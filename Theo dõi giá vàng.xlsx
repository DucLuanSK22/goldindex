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3ddabe620dd66f/Documents/Investment/Gold/"/>
    </mc:Choice>
  </mc:AlternateContent>
  <xr:revisionPtr revIDLastSave="3802" documentId="8_{D6F8DE59-E249-45AE-9308-9F0B8DA2557B}" xr6:coauthVersionLast="47" xr6:coauthVersionMax="47" xr10:uidLastSave="{EF15B932-9E26-4079-968C-E2823017022D}"/>
  <bookViews>
    <workbookView xWindow="-108" yWindow="-108" windowWidth="23256" windowHeight="14616" activeTab="1" xr2:uid="{6D65950F-436B-472C-B819-D1B6CA1BBBC6}"/>
  </bookViews>
  <sheets>
    <sheet name="Sheet1" sheetId="1" r:id="rId1"/>
    <sheet name="Sheet2" sheetId="2" r:id="rId2"/>
  </sheets>
  <definedNames>
    <definedName name="_xlnm._FilterDatabase" localSheetId="0" hidden="1">Sheet1!$A$1:$P$233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3" i="1" l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<sst xmlns="http://schemas.openxmlformats.org/spreadsheetml/2006/main" count="616" uniqueCount="160">
  <si>
    <t>Ngay</t>
  </si>
  <si>
    <t>ISO_Date</t>
  </si>
  <si>
    <t>Tháng</t>
  </si>
  <si>
    <t>Thu</t>
  </si>
  <si>
    <t>Loai_Vang</t>
  </si>
  <si>
    <t>Gia_Mua_VND_Luong</t>
  </si>
  <si>
    <t>Gia_Ban_VND_Luong</t>
  </si>
  <si>
    <t>Giá vàng thế giới</t>
  </si>
  <si>
    <t>Độ chênh lệch</t>
  </si>
  <si>
    <t>Chenh_Lech_VND_Luong</t>
  </si>
  <si>
    <t>Gia_Mua_VND_Chi</t>
  </si>
  <si>
    <t>Gia_Ban_VND_Chi</t>
  </si>
  <si>
    <t>Gia_The_Gioi_USD_oz</t>
  </si>
  <si>
    <t>SJC_Mieng_Mua_VND_Luong</t>
  </si>
  <si>
    <t>SJC_Mieng_Ban_VND_Luong</t>
  </si>
  <si>
    <t>Cap_Nhat_Luc</t>
  </si>
  <si>
    <t>Thứ Năm</t>
  </si>
  <si>
    <t>Thứ Sáu</t>
  </si>
  <si>
    <t>Thứ Bảy</t>
  </si>
  <si>
    <t>Chủ Nhật</t>
  </si>
  <si>
    <t>Thứ Hai</t>
  </si>
  <si>
    <t>Thứ Ba</t>
  </si>
  <si>
    <t>Thứ Tư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</si>
  <si>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</si>
  <si>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</si>
  <si>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</si>
  <si>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</si>
  <si>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</si>
  <si>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</si>
  <si>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</si>
  <si>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</si>
  <si>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</si>
  <si>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</si>
  <si>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</si>
  <si>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</si>
  <si>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</si>
  <si>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</si>
  <si>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</si>
  <si>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</si>
  <si>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</si>
  <si>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</si>
  <si>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</si>
  <si>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</si>
  <si>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</si>
  <si>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</si>
  <si>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</si>
  <si>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</si>
  <si>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</si>
  <si>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</si>
  <si>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</si>
  <si>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</si>
  <si>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</si>
  <si>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</si>
  <si>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</si>
  <si>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</si>
  <si>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</si>
  <si>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</si>
  <si>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</si>
  <si>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</si>
  <si>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</si>
  <si>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</si>
  <si>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</si>
  <si>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</si>
  <si>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</si>
  <si>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</si>
  <si>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</si>
  <si>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</si>
  <si>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</si>
  <si>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</si>
  <si>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</si>
  <si>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</si>
  <si>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</si>
  <si>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</si>
  <si>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</si>
  <si>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</si>
  <si>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</si>
  <si>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</si>
  <si>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</si>
  <si>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</si>
  <si>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</si>
  <si>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</si>
  <si>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</si>
  <si>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</si>
  <si>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</si>
  <si>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</si>
  <si>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</si>
  <si>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</si>
  <si>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</si>
  <si>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</si>
  <si>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</si>
  <si>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</si>
  <si>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</si>
  <si>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</si>
  <si>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</si>
  <si>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</si>
  <si>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</si>
  <si>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</si>
  <si>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</si>
  <si>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</si>
  <si>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</si>
  <si>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</si>
  <si>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</si>
  <si>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</si>
  <si>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</si>
  <si>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</si>
  <si>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</si>
  <si>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</si>
  <si>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</si>
  <si>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</si>
  <si>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</si>
  <si>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</si>
  <si>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</si>
  <si>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</si>
  <si>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</si>
  <si>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</si>
  <si>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</si>
  <si>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</si>
  <si>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</si>
  <si>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</si>
  <si>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</si>
  <si>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</si>
  <si>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</si>
  <si>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</si>
  <si>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</si>
  <si>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</si>
  <si>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</si>
  <si>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</si>
  <si>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</si>
  <si>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</si>
  <si>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</si>
  <si>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</si>
  <si>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</si>
  <si>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</si>
  <si>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</si>
  <si>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</si>
  <si>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</si>
  <si>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</si>
  <si>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</si>
  <si>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</si>
  <si>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</si>
  <si>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</si>
  <si>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</si>
  <si>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</si>
  <si>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</si>
  <si>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</si>
  <si>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</si>
  <si>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</si>
  <si>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</si>
  <si>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</si>
  <si>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</si>
  <si>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</si>
  <si>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</si>
  <si>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</si>
  <si>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</si>
  <si>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</si>
  <si>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</si>
  <si>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</si>
  <si>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</si>
  <si>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</si>
  <si>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Vàng Nhẫn SJC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</si>
</sst>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2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  <xf numFmtId="164" fontId="0" fillId="0" borderId="0" xfId="1" applyNumberFormat="1" applyFont="1"/>
    <xf numFmtId="164" fontId="2" fillId="2" borderId="0" xfId="1" applyNumberFormat="1" applyFon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 đồ giá vàng</a:t>
            </a:r>
          </a:p>
        </c:rich>
      </c:tx>
      <c:layout>
        <c:manualLayout>
          <c:xMode val="edge"/>
          <c:yMode val="edge"/>
          <c:x val="0.44653809934421024"/>
          <c:y val="1.965754585183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06188023327056E-2"/>
          <c:y val="7.9354445797807566E-2"/>
          <c:w val="0.91972966635654696"/>
          <c:h val="0.79625800429026761"/>
        </c:manualLayout>
      </c:layout>
      <c:lineChart>
        <c:grouping val="standard"/>
        <c:varyColors val="0"/>
        <c:ser>
          <c:idx val="4"/>
          <c:order val="4"/>
          <c:tx>
            <c:strRef>
              <c:f>Sheet1!$J$1</c:f>
              <c:strCache>
                <c:ptCount val="1"/>
                <c:pt idx="0">
                  <c:v> Chenh_Lech_VND_Luong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Sheet1!$C$2:$C$228</c:f>
              <c:strCache>
                <c:ptCount val="227"/>
                <c:pt idx="0">
                  <c:v>Tuần  1</c:v>
                </c:pt>
                <c:pt idx="1">
                  <c:v>Tuần  1</c:v>
                </c:pt>
                <c:pt idx="2">
                  <c:v>Tuần  1</c:v>
                </c:pt>
                <c:pt idx="3">
                  <c:v>Tuần  2</c:v>
                </c:pt>
                <c:pt idx="4">
                  <c:v>Tuần  2</c:v>
                </c:pt>
                <c:pt idx="5">
                  <c:v>Tuần  2</c:v>
                </c:pt>
                <c:pt idx="6">
                  <c:v>Tuần  2</c:v>
                </c:pt>
                <c:pt idx="7">
                  <c:v>Tuần  2</c:v>
                </c:pt>
                <c:pt idx="8">
                  <c:v>Tuần  2</c:v>
                </c:pt>
                <c:pt idx="9">
                  <c:v>Tuần  2</c:v>
                </c:pt>
                <c:pt idx="10">
                  <c:v>Tuần  3</c:v>
                </c:pt>
                <c:pt idx="11">
                  <c:v>Tuần  3</c:v>
                </c:pt>
                <c:pt idx="12">
                  <c:v>Tuần  3</c:v>
                </c:pt>
                <c:pt idx="13">
                  <c:v>Tuần  3</c:v>
                </c:pt>
                <c:pt idx="14">
                  <c:v>Tuần  3</c:v>
                </c:pt>
                <c:pt idx="15">
                  <c:v>Tuần  3</c:v>
                </c:pt>
                <c:pt idx="16">
                  <c:v>Tuần  3</c:v>
                </c:pt>
                <c:pt idx="17">
                  <c:v>Tuần  4</c:v>
                </c:pt>
                <c:pt idx="18">
                  <c:v>Tuần  4</c:v>
                </c:pt>
                <c:pt idx="19">
                  <c:v>Tuần  4</c:v>
                </c:pt>
                <c:pt idx="20">
                  <c:v>Tuần  4</c:v>
                </c:pt>
                <c:pt idx="21">
                  <c:v>Tuần  4</c:v>
                </c:pt>
                <c:pt idx="22">
                  <c:v>Tuần  4</c:v>
                </c:pt>
                <c:pt idx="23">
                  <c:v>Tuần  4</c:v>
                </c:pt>
                <c:pt idx="24">
                  <c:v>Tuần  5</c:v>
                </c:pt>
                <c:pt idx="25">
                  <c:v>Tuần  5</c:v>
                </c:pt>
                <c:pt idx="26">
                  <c:v>Tuần  5</c:v>
                </c:pt>
                <c:pt idx="27">
                  <c:v>Tuần  5</c:v>
                </c:pt>
                <c:pt idx="28">
                  <c:v>Tuần  5</c:v>
                </c:pt>
                <c:pt idx="29">
                  <c:v>Tuần  5</c:v>
                </c:pt>
                <c:pt idx="30">
                  <c:v>Tuần  5</c:v>
                </c:pt>
                <c:pt idx="31">
                  <c:v>Tuần  6</c:v>
                </c:pt>
                <c:pt idx="32">
                  <c:v>Tuần  6</c:v>
                </c:pt>
                <c:pt idx="33">
                  <c:v>Tuần  6</c:v>
                </c:pt>
                <c:pt idx="34">
                  <c:v>Tuần  6</c:v>
                </c:pt>
                <c:pt idx="35">
                  <c:v>Tuần  6</c:v>
                </c:pt>
                <c:pt idx="36">
                  <c:v>Tuần  6</c:v>
                </c:pt>
                <c:pt idx="37">
                  <c:v>Tuần  6</c:v>
                </c:pt>
                <c:pt idx="38">
                  <c:v>Tuần  7</c:v>
                </c:pt>
                <c:pt idx="39">
                  <c:v>Tuần  7</c:v>
                </c:pt>
                <c:pt idx="40">
                  <c:v>Tuần  7</c:v>
                </c:pt>
                <c:pt idx="41">
                  <c:v>Tuần  7</c:v>
                </c:pt>
                <c:pt idx="42">
                  <c:v>Tuần  7</c:v>
                </c:pt>
                <c:pt idx="43">
                  <c:v>Tuần  7</c:v>
                </c:pt>
                <c:pt idx="44">
                  <c:v>Tuần  7</c:v>
                </c:pt>
                <c:pt idx="45">
                  <c:v>Tuần  8</c:v>
                </c:pt>
                <c:pt idx="46">
                  <c:v>Tuần  8</c:v>
                </c:pt>
                <c:pt idx="47">
                  <c:v>Tuần  8</c:v>
                </c:pt>
                <c:pt idx="48">
                  <c:v>Tuần  8</c:v>
                </c:pt>
                <c:pt idx="49">
                  <c:v>Tuần  8</c:v>
                </c:pt>
                <c:pt idx="50">
                  <c:v>Tuần  8</c:v>
                </c:pt>
                <c:pt idx="51">
                  <c:v>Tuần  8</c:v>
                </c:pt>
                <c:pt idx="52">
                  <c:v>Tuần  9</c:v>
                </c:pt>
                <c:pt idx="53">
                  <c:v>Tuần  9</c:v>
                </c:pt>
                <c:pt idx="54">
                  <c:v>Tuần  9</c:v>
                </c:pt>
                <c:pt idx="55">
                  <c:v>Tuần  9</c:v>
                </c:pt>
                <c:pt idx="56">
                  <c:v>Tuần  9</c:v>
                </c:pt>
                <c:pt idx="57">
                  <c:v>Tuần  9</c:v>
                </c:pt>
                <c:pt idx="58">
                  <c:v>Tuần  9</c:v>
                </c:pt>
                <c:pt idx="59">
                  <c:v>Tuần  10</c:v>
                </c:pt>
                <c:pt idx="60">
                  <c:v>Tuần  10</c:v>
                </c:pt>
                <c:pt idx="61">
                  <c:v>Tuần  10</c:v>
                </c:pt>
                <c:pt idx="62">
                  <c:v>Tuần  10</c:v>
                </c:pt>
                <c:pt idx="63">
                  <c:v>Tuần  10</c:v>
                </c:pt>
                <c:pt idx="64">
                  <c:v>Tuần  10</c:v>
                </c:pt>
                <c:pt idx="65">
                  <c:v>Tuần  10</c:v>
                </c:pt>
                <c:pt idx="66">
                  <c:v>Tuần  11</c:v>
                </c:pt>
                <c:pt idx="67">
                  <c:v>Tuần  11</c:v>
                </c:pt>
                <c:pt idx="68">
                  <c:v>Tuần  11</c:v>
                </c:pt>
                <c:pt idx="69">
                  <c:v>Tuần  11</c:v>
                </c:pt>
                <c:pt idx="70">
                  <c:v>Tuần  11</c:v>
                </c:pt>
                <c:pt idx="71">
                  <c:v>Tuần  11</c:v>
                </c:pt>
                <c:pt idx="72">
                  <c:v>Tuần  11</c:v>
                </c:pt>
                <c:pt idx="73">
                  <c:v>Tuần  12</c:v>
                </c:pt>
                <c:pt idx="74">
                  <c:v>Tuần  12</c:v>
                </c:pt>
                <c:pt idx="75">
                  <c:v>Tuần  12</c:v>
                </c:pt>
                <c:pt idx="76">
                  <c:v>Tuần  12</c:v>
                </c:pt>
                <c:pt idx="77">
                  <c:v>Tuần  12</c:v>
                </c:pt>
                <c:pt idx="78">
                  <c:v>Tuần  12</c:v>
                </c:pt>
                <c:pt idx="79">
                  <c:v>Tuần  12</c:v>
                </c:pt>
                <c:pt idx="80">
                  <c:v>Tuần  13</c:v>
                </c:pt>
                <c:pt idx="81">
                  <c:v>Tuần  13</c:v>
                </c:pt>
                <c:pt idx="82">
                  <c:v>Tuần  13</c:v>
                </c:pt>
                <c:pt idx="83">
                  <c:v>Tuần  13</c:v>
                </c:pt>
                <c:pt idx="84">
                  <c:v>Tuần  13</c:v>
                </c:pt>
                <c:pt idx="85">
                  <c:v>Tuần  13</c:v>
                </c:pt>
                <c:pt idx="86">
                  <c:v>Tuần  13</c:v>
                </c:pt>
                <c:pt idx="87">
                  <c:v>Tuần  14</c:v>
                </c:pt>
                <c:pt idx="88">
                  <c:v>Tuần  14</c:v>
                </c:pt>
                <c:pt idx="89">
                  <c:v>Tuần  14</c:v>
                </c:pt>
                <c:pt idx="90">
                  <c:v>Tuần  14</c:v>
                </c:pt>
                <c:pt idx="91">
                  <c:v>Tuần  14</c:v>
                </c:pt>
                <c:pt idx="92">
                  <c:v>Tuần  14</c:v>
                </c:pt>
                <c:pt idx="93">
                  <c:v>Tuần  14</c:v>
                </c:pt>
                <c:pt idx="94">
                  <c:v>Tuần  15</c:v>
                </c:pt>
                <c:pt idx="95">
                  <c:v>Tuần  15</c:v>
                </c:pt>
                <c:pt idx="96">
                  <c:v>Tuần  15</c:v>
                </c:pt>
                <c:pt idx="97">
                  <c:v>Tuần  15</c:v>
                </c:pt>
                <c:pt idx="98">
                  <c:v>Tuần  15</c:v>
                </c:pt>
                <c:pt idx="99">
                  <c:v>Tuần  15</c:v>
                </c:pt>
                <c:pt idx="100">
                  <c:v>Tuần  15</c:v>
                </c:pt>
                <c:pt idx="101">
                  <c:v>Tuần  16</c:v>
                </c:pt>
                <c:pt idx="102">
                  <c:v>Tuần  16</c:v>
                </c:pt>
                <c:pt idx="103">
                  <c:v>Tuần  16</c:v>
                </c:pt>
                <c:pt idx="104">
                  <c:v>Tuần  16</c:v>
                </c:pt>
                <c:pt idx="105">
                  <c:v>Tuần  16</c:v>
                </c:pt>
                <c:pt idx="106">
                  <c:v>Tuần  16</c:v>
                </c:pt>
                <c:pt idx="107">
                  <c:v>Tuần  16</c:v>
                </c:pt>
                <c:pt idx="108">
                  <c:v>Tuần  17</c:v>
                </c:pt>
                <c:pt idx="109">
                  <c:v>Tuần  17</c:v>
                </c:pt>
                <c:pt idx="110">
                  <c:v>Tuần  17</c:v>
                </c:pt>
                <c:pt idx="111">
                  <c:v>Tuần  17</c:v>
                </c:pt>
                <c:pt idx="112">
                  <c:v>Tuần  17</c:v>
                </c:pt>
                <c:pt idx="113">
                  <c:v>Tuần  17</c:v>
                </c:pt>
                <c:pt idx="114">
                  <c:v>Tuần  17</c:v>
                </c:pt>
                <c:pt idx="115">
                  <c:v>Tuần  18</c:v>
                </c:pt>
                <c:pt idx="116">
                  <c:v>Tuần  18</c:v>
                </c:pt>
                <c:pt idx="117">
                  <c:v>Tuần  18</c:v>
                </c:pt>
                <c:pt idx="118">
                  <c:v>Tuần  18</c:v>
                </c:pt>
                <c:pt idx="119">
                  <c:v>Tuần  18</c:v>
                </c:pt>
                <c:pt idx="120">
                  <c:v>Tuần  18</c:v>
                </c:pt>
                <c:pt idx="121">
                  <c:v>Tuần  18</c:v>
                </c:pt>
                <c:pt idx="122">
                  <c:v>Tuần  19</c:v>
                </c:pt>
                <c:pt idx="123">
                  <c:v>Tuần  19</c:v>
                </c:pt>
                <c:pt idx="124">
                  <c:v>Tuần  19</c:v>
                </c:pt>
                <c:pt idx="125">
                  <c:v>Tuần  19</c:v>
                </c:pt>
                <c:pt idx="126">
                  <c:v>Tuần  19</c:v>
                </c:pt>
                <c:pt idx="127">
                  <c:v>Tuần  19</c:v>
                </c:pt>
                <c:pt idx="128">
                  <c:v>Tuần  19</c:v>
                </c:pt>
                <c:pt idx="129">
                  <c:v>Tuần  20</c:v>
                </c:pt>
                <c:pt idx="130">
                  <c:v>Tuần  20</c:v>
                </c:pt>
                <c:pt idx="131">
                  <c:v>Tuần  20</c:v>
                </c:pt>
                <c:pt idx="132">
                  <c:v>Tuần  20</c:v>
                </c:pt>
                <c:pt idx="133">
                  <c:v>Tuần  20</c:v>
                </c:pt>
                <c:pt idx="134">
                  <c:v>Tuần  20</c:v>
                </c:pt>
                <c:pt idx="135">
                  <c:v>Tuần  20</c:v>
                </c:pt>
                <c:pt idx="136">
                  <c:v>Tuần  21</c:v>
                </c:pt>
                <c:pt idx="137">
                  <c:v>Tuần  21</c:v>
                </c:pt>
                <c:pt idx="138">
                  <c:v>Tuần  21</c:v>
                </c:pt>
                <c:pt idx="139">
                  <c:v>Tuần  21</c:v>
                </c:pt>
                <c:pt idx="140">
                  <c:v>Tuần  21</c:v>
                </c:pt>
                <c:pt idx="141">
                  <c:v>Tuần  21</c:v>
                </c:pt>
                <c:pt idx="142">
                  <c:v>Tuần  21</c:v>
                </c:pt>
                <c:pt idx="143">
                  <c:v>Tuần  22</c:v>
                </c:pt>
                <c:pt idx="144">
                  <c:v>Tuần  22</c:v>
                </c:pt>
                <c:pt idx="145">
                  <c:v>Tuần  22</c:v>
                </c:pt>
                <c:pt idx="146">
                  <c:v>Tuần  22</c:v>
                </c:pt>
                <c:pt idx="147">
                  <c:v>Tuần  22</c:v>
                </c:pt>
                <c:pt idx="148">
                  <c:v>Tuần  22</c:v>
                </c:pt>
                <c:pt idx="149">
                  <c:v>Tuần  22</c:v>
                </c:pt>
                <c:pt idx="150">
                  <c:v>Tuần  23</c:v>
                </c:pt>
                <c:pt idx="151">
                  <c:v>Tuần  23</c:v>
                </c:pt>
                <c:pt idx="152">
                  <c:v>Tuần  23</c:v>
                </c:pt>
                <c:pt idx="153">
                  <c:v>Tuần  23</c:v>
                </c:pt>
                <c:pt idx="154">
                  <c:v>Tuần  23</c:v>
                </c:pt>
                <c:pt idx="155">
                  <c:v>Tuần  23</c:v>
                </c:pt>
                <c:pt idx="156">
                  <c:v>Tuần  23</c:v>
                </c:pt>
                <c:pt idx="157">
                  <c:v>Tuần  24</c:v>
                </c:pt>
                <c:pt idx="158">
                  <c:v>Tuần  24</c:v>
                </c:pt>
                <c:pt idx="159">
                  <c:v>Tuần  24</c:v>
                </c:pt>
                <c:pt idx="160">
                  <c:v>Tuần  24</c:v>
                </c:pt>
                <c:pt idx="161">
                  <c:v>Tuần  24</c:v>
                </c:pt>
                <c:pt idx="162">
                  <c:v>Tuần  24</c:v>
                </c:pt>
                <c:pt idx="163">
                  <c:v>Tuần  24</c:v>
                </c:pt>
                <c:pt idx="164">
                  <c:v>Tuần  25</c:v>
                </c:pt>
                <c:pt idx="165">
                  <c:v>Tuần  25</c:v>
                </c:pt>
                <c:pt idx="166">
                  <c:v>Tuần  25</c:v>
                </c:pt>
                <c:pt idx="167">
                  <c:v>Tuần  25</c:v>
                </c:pt>
                <c:pt idx="168">
                  <c:v>Tuần  25</c:v>
                </c:pt>
                <c:pt idx="169">
                  <c:v>Tuần  25</c:v>
                </c:pt>
                <c:pt idx="170">
                  <c:v>Tuần  25</c:v>
                </c:pt>
                <c:pt idx="171">
                  <c:v>Tuần  26</c:v>
                </c:pt>
                <c:pt idx="172">
                  <c:v>Tuần  26</c:v>
                </c:pt>
                <c:pt idx="173">
                  <c:v>Tuần  26</c:v>
                </c:pt>
                <c:pt idx="174">
                  <c:v>Tuần  26</c:v>
                </c:pt>
                <c:pt idx="175">
                  <c:v>Tuần  26</c:v>
                </c:pt>
                <c:pt idx="176">
                  <c:v>Tuần  26</c:v>
                </c:pt>
                <c:pt idx="177">
                  <c:v>Tuần  26</c:v>
                </c:pt>
                <c:pt idx="178">
                  <c:v>Tuần  27</c:v>
                </c:pt>
                <c:pt idx="179">
                  <c:v>Tuần  27</c:v>
                </c:pt>
                <c:pt idx="180">
                  <c:v>Tuần  27</c:v>
                </c:pt>
                <c:pt idx="181">
                  <c:v>Tuần  27</c:v>
                </c:pt>
                <c:pt idx="182">
                  <c:v>Tuần  27</c:v>
                </c:pt>
                <c:pt idx="183">
                  <c:v>Tuần  27</c:v>
                </c:pt>
                <c:pt idx="184">
                  <c:v>Tuần  27</c:v>
                </c:pt>
                <c:pt idx="185">
                  <c:v>Tuần  28</c:v>
                </c:pt>
                <c:pt idx="186">
                  <c:v>Tuần  28</c:v>
                </c:pt>
                <c:pt idx="187">
                  <c:v>Tuần  28</c:v>
                </c:pt>
                <c:pt idx="188">
                  <c:v>Tuần  28</c:v>
                </c:pt>
                <c:pt idx="189">
                  <c:v>Tuần  28</c:v>
                </c:pt>
                <c:pt idx="190">
                  <c:v>Tuần  28</c:v>
                </c:pt>
                <c:pt idx="191">
                  <c:v>Tuần  28</c:v>
                </c:pt>
                <c:pt idx="192">
                  <c:v>Tuần  29</c:v>
                </c:pt>
                <c:pt idx="193">
                  <c:v>Tuần  29</c:v>
                </c:pt>
                <c:pt idx="194">
                  <c:v>Tuần  29</c:v>
                </c:pt>
                <c:pt idx="195">
                  <c:v>Tuần  29</c:v>
                </c:pt>
                <c:pt idx="196">
                  <c:v>Tuần  29</c:v>
                </c:pt>
                <c:pt idx="197">
                  <c:v>Tuần  29</c:v>
                </c:pt>
                <c:pt idx="198">
                  <c:v>Tuần  29</c:v>
                </c:pt>
                <c:pt idx="199">
                  <c:v>Tuần  30</c:v>
                </c:pt>
                <c:pt idx="200">
                  <c:v>Tuần  30</c:v>
                </c:pt>
                <c:pt idx="201">
                  <c:v>Tuần  30</c:v>
                </c:pt>
                <c:pt idx="202">
                  <c:v>Tuần  30</c:v>
                </c:pt>
                <c:pt idx="203">
                  <c:v>Tuần  30</c:v>
                </c:pt>
                <c:pt idx="204">
                  <c:v>Tuần  30</c:v>
                </c:pt>
                <c:pt idx="205">
                  <c:v>Tuần  30</c:v>
                </c:pt>
                <c:pt idx="206">
                  <c:v>Tuần  31</c:v>
                </c:pt>
                <c:pt idx="207">
                  <c:v>Tuần  31</c:v>
                </c:pt>
                <c:pt idx="208">
                  <c:v>Tuần  31</c:v>
                </c:pt>
                <c:pt idx="209">
                  <c:v>Tuần  31</c:v>
                </c:pt>
                <c:pt idx="210">
                  <c:v>Tuần  31</c:v>
                </c:pt>
                <c:pt idx="211">
                  <c:v>Tuần  31</c:v>
                </c:pt>
                <c:pt idx="212">
                  <c:v>Tuần  31</c:v>
                </c:pt>
                <c:pt idx="213">
                  <c:v>Tuần  32</c:v>
                </c:pt>
                <c:pt idx="214">
                  <c:v>Tuần  32</c:v>
                </c:pt>
                <c:pt idx="215">
                  <c:v>Tuần  32</c:v>
                </c:pt>
                <c:pt idx="216">
                  <c:v>Tuần  32</c:v>
                </c:pt>
                <c:pt idx="217">
                  <c:v>Tuần  32</c:v>
                </c:pt>
                <c:pt idx="218">
                  <c:v>Tuần  32</c:v>
                </c:pt>
                <c:pt idx="219">
                  <c:v>Tuần  32</c:v>
                </c:pt>
                <c:pt idx="220">
                  <c:v>Tuần  33</c:v>
                </c:pt>
                <c:pt idx="221">
                  <c:v>Tuần  33</c:v>
                </c:pt>
                <c:pt idx="222">
                  <c:v>Tuần  33</c:v>
                </c:pt>
                <c:pt idx="223">
                  <c:v>Tuần  33</c:v>
                </c:pt>
                <c:pt idx="224">
                  <c:v>Tuần  33</c:v>
                </c:pt>
                <c:pt idx="225">
                  <c:v>Tuần  33</c:v>
                </c:pt>
                <c:pt idx="226">
                  <c:v>Tuần  33</c:v>
                </c:pt>
              </c:strCache>
              <c:extLst xmlns:c15="http://schemas.microsoft.com/office/drawing/2012/chart"/>
            </c:strRef>
          </c:cat>
          <c:val>
            <c:numRef>
              <c:f>Sheet1!$J$2:$J$228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704-4E83-A392-44315367E881}"/>
            </c:ext>
          </c:extLst>
        </c:ser>
        <c:ser>
          <c:idx val="5"/>
          <c:order val="5"/>
          <c:tx>
            <c:strRef>
              <c:f>Sheet1!$K$1</c:f>
              <c:strCache>
                <c:ptCount val="1"/>
                <c:pt idx="0">
                  <c:v> Gia_Mua_VND_Chi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Sheet1!$C$2:$C$228</c:f>
              <c:strCache>
                <c:ptCount val="227"/>
                <c:pt idx="0">
                  <c:v>Tuần  1</c:v>
                </c:pt>
                <c:pt idx="1">
                  <c:v>Tuần  1</c:v>
                </c:pt>
                <c:pt idx="2">
                  <c:v>Tuần  1</c:v>
                </c:pt>
                <c:pt idx="3">
                  <c:v>Tuần  2</c:v>
                </c:pt>
                <c:pt idx="4">
                  <c:v>Tuần  2</c:v>
                </c:pt>
                <c:pt idx="5">
                  <c:v>Tuần  2</c:v>
                </c:pt>
                <c:pt idx="6">
                  <c:v>Tuần  2</c:v>
                </c:pt>
                <c:pt idx="7">
                  <c:v>Tuần  2</c:v>
                </c:pt>
                <c:pt idx="8">
                  <c:v>Tuần  2</c:v>
                </c:pt>
                <c:pt idx="9">
                  <c:v>Tuần  2</c:v>
                </c:pt>
                <c:pt idx="10">
                  <c:v>Tuần  3</c:v>
                </c:pt>
                <c:pt idx="11">
                  <c:v>Tuần  3</c:v>
                </c:pt>
                <c:pt idx="12">
                  <c:v>Tuần  3</c:v>
                </c:pt>
                <c:pt idx="13">
                  <c:v>Tuần  3</c:v>
                </c:pt>
                <c:pt idx="14">
                  <c:v>Tuần  3</c:v>
                </c:pt>
                <c:pt idx="15">
                  <c:v>Tuần  3</c:v>
                </c:pt>
                <c:pt idx="16">
                  <c:v>Tuần  3</c:v>
                </c:pt>
                <c:pt idx="17">
                  <c:v>Tuần  4</c:v>
                </c:pt>
                <c:pt idx="18">
                  <c:v>Tuần  4</c:v>
                </c:pt>
                <c:pt idx="19">
                  <c:v>Tuần  4</c:v>
                </c:pt>
                <c:pt idx="20">
                  <c:v>Tuần  4</c:v>
                </c:pt>
                <c:pt idx="21">
                  <c:v>Tuần  4</c:v>
                </c:pt>
                <c:pt idx="22">
                  <c:v>Tuần  4</c:v>
                </c:pt>
                <c:pt idx="23">
                  <c:v>Tuần  4</c:v>
                </c:pt>
                <c:pt idx="24">
                  <c:v>Tuần  5</c:v>
                </c:pt>
                <c:pt idx="25">
                  <c:v>Tuần  5</c:v>
                </c:pt>
                <c:pt idx="26">
                  <c:v>Tuần  5</c:v>
                </c:pt>
                <c:pt idx="27">
                  <c:v>Tuần  5</c:v>
                </c:pt>
                <c:pt idx="28">
                  <c:v>Tuần  5</c:v>
                </c:pt>
                <c:pt idx="29">
                  <c:v>Tuần  5</c:v>
                </c:pt>
                <c:pt idx="30">
                  <c:v>Tuần  5</c:v>
                </c:pt>
                <c:pt idx="31">
                  <c:v>Tuần  6</c:v>
                </c:pt>
                <c:pt idx="32">
                  <c:v>Tuần  6</c:v>
                </c:pt>
                <c:pt idx="33">
                  <c:v>Tuần  6</c:v>
                </c:pt>
                <c:pt idx="34">
                  <c:v>Tuần  6</c:v>
                </c:pt>
                <c:pt idx="35">
                  <c:v>Tuần  6</c:v>
                </c:pt>
                <c:pt idx="36">
                  <c:v>Tuần  6</c:v>
                </c:pt>
                <c:pt idx="37">
                  <c:v>Tuần  6</c:v>
                </c:pt>
                <c:pt idx="38">
                  <c:v>Tuần  7</c:v>
                </c:pt>
                <c:pt idx="39">
                  <c:v>Tuần  7</c:v>
                </c:pt>
                <c:pt idx="40">
                  <c:v>Tuần  7</c:v>
                </c:pt>
                <c:pt idx="41">
                  <c:v>Tuần  7</c:v>
                </c:pt>
                <c:pt idx="42">
                  <c:v>Tuần  7</c:v>
                </c:pt>
                <c:pt idx="43">
                  <c:v>Tuần  7</c:v>
                </c:pt>
                <c:pt idx="44">
                  <c:v>Tuần  7</c:v>
                </c:pt>
                <c:pt idx="45">
                  <c:v>Tuần  8</c:v>
                </c:pt>
                <c:pt idx="46">
                  <c:v>Tuần  8</c:v>
                </c:pt>
                <c:pt idx="47">
                  <c:v>Tuần  8</c:v>
                </c:pt>
                <c:pt idx="48">
                  <c:v>Tuần  8</c:v>
                </c:pt>
                <c:pt idx="49">
                  <c:v>Tuần  8</c:v>
                </c:pt>
                <c:pt idx="50">
                  <c:v>Tuần  8</c:v>
                </c:pt>
                <c:pt idx="51">
                  <c:v>Tuần  8</c:v>
                </c:pt>
                <c:pt idx="52">
                  <c:v>Tuần  9</c:v>
                </c:pt>
                <c:pt idx="53">
                  <c:v>Tuần  9</c:v>
                </c:pt>
                <c:pt idx="54">
                  <c:v>Tuần  9</c:v>
                </c:pt>
                <c:pt idx="55">
                  <c:v>Tuần  9</c:v>
                </c:pt>
                <c:pt idx="56">
                  <c:v>Tuần  9</c:v>
                </c:pt>
                <c:pt idx="57">
                  <c:v>Tuần  9</c:v>
                </c:pt>
                <c:pt idx="58">
                  <c:v>Tuần  9</c:v>
                </c:pt>
                <c:pt idx="59">
                  <c:v>Tuần  10</c:v>
                </c:pt>
                <c:pt idx="60">
                  <c:v>Tuần  10</c:v>
                </c:pt>
                <c:pt idx="61">
                  <c:v>Tuần  10</c:v>
                </c:pt>
                <c:pt idx="62">
                  <c:v>Tuần  10</c:v>
                </c:pt>
                <c:pt idx="63">
                  <c:v>Tuần  10</c:v>
                </c:pt>
                <c:pt idx="64">
                  <c:v>Tuần  10</c:v>
                </c:pt>
                <c:pt idx="65">
                  <c:v>Tuần  10</c:v>
                </c:pt>
                <c:pt idx="66">
                  <c:v>Tuần  11</c:v>
                </c:pt>
                <c:pt idx="67">
                  <c:v>Tuần  11</c:v>
                </c:pt>
                <c:pt idx="68">
                  <c:v>Tuần  11</c:v>
                </c:pt>
                <c:pt idx="69">
                  <c:v>Tuần  11</c:v>
                </c:pt>
                <c:pt idx="70">
                  <c:v>Tuần  11</c:v>
                </c:pt>
                <c:pt idx="71">
                  <c:v>Tuần  11</c:v>
                </c:pt>
                <c:pt idx="72">
                  <c:v>Tuần  11</c:v>
                </c:pt>
                <c:pt idx="73">
                  <c:v>Tuần  12</c:v>
                </c:pt>
                <c:pt idx="74">
                  <c:v>Tuần  12</c:v>
                </c:pt>
                <c:pt idx="75">
                  <c:v>Tuần  12</c:v>
                </c:pt>
                <c:pt idx="76">
                  <c:v>Tuần  12</c:v>
                </c:pt>
                <c:pt idx="77">
                  <c:v>Tuần  12</c:v>
                </c:pt>
                <c:pt idx="78">
                  <c:v>Tuần  12</c:v>
                </c:pt>
                <c:pt idx="79">
                  <c:v>Tuần  12</c:v>
                </c:pt>
                <c:pt idx="80">
                  <c:v>Tuần  13</c:v>
                </c:pt>
                <c:pt idx="81">
                  <c:v>Tuần  13</c:v>
                </c:pt>
                <c:pt idx="82">
                  <c:v>Tuần  13</c:v>
                </c:pt>
                <c:pt idx="83">
                  <c:v>Tuần  13</c:v>
                </c:pt>
                <c:pt idx="84">
                  <c:v>Tuần  13</c:v>
                </c:pt>
                <c:pt idx="85">
                  <c:v>Tuần  13</c:v>
                </c:pt>
                <c:pt idx="86">
                  <c:v>Tuần  13</c:v>
                </c:pt>
                <c:pt idx="87">
                  <c:v>Tuần  14</c:v>
                </c:pt>
                <c:pt idx="88">
                  <c:v>Tuần  14</c:v>
                </c:pt>
                <c:pt idx="89">
                  <c:v>Tuần  14</c:v>
                </c:pt>
                <c:pt idx="90">
                  <c:v>Tuần  14</c:v>
                </c:pt>
                <c:pt idx="91">
                  <c:v>Tuần  14</c:v>
                </c:pt>
                <c:pt idx="92">
                  <c:v>Tuần  14</c:v>
                </c:pt>
                <c:pt idx="93">
                  <c:v>Tuần  14</c:v>
                </c:pt>
                <c:pt idx="94">
                  <c:v>Tuần  15</c:v>
                </c:pt>
                <c:pt idx="95">
                  <c:v>Tuần  15</c:v>
                </c:pt>
                <c:pt idx="96">
                  <c:v>Tuần  15</c:v>
                </c:pt>
                <c:pt idx="97">
                  <c:v>Tuần  15</c:v>
                </c:pt>
                <c:pt idx="98">
                  <c:v>Tuần  15</c:v>
                </c:pt>
                <c:pt idx="99">
                  <c:v>Tuần  15</c:v>
                </c:pt>
                <c:pt idx="100">
                  <c:v>Tuần  15</c:v>
                </c:pt>
                <c:pt idx="101">
                  <c:v>Tuần  16</c:v>
                </c:pt>
                <c:pt idx="102">
                  <c:v>Tuần  16</c:v>
                </c:pt>
                <c:pt idx="103">
                  <c:v>Tuần  16</c:v>
                </c:pt>
                <c:pt idx="104">
                  <c:v>Tuần  16</c:v>
                </c:pt>
                <c:pt idx="105">
                  <c:v>Tuần  16</c:v>
                </c:pt>
                <c:pt idx="106">
                  <c:v>Tuần  16</c:v>
                </c:pt>
                <c:pt idx="107">
                  <c:v>Tuần  16</c:v>
                </c:pt>
                <c:pt idx="108">
                  <c:v>Tuần  17</c:v>
                </c:pt>
                <c:pt idx="109">
                  <c:v>Tuần  17</c:v>
                </c:pt>
                <c:pt idx="110">
                  <c:v>Tuần  17</c:v>
                </c:pt>
                <c:pt idx="111">
                  <c:v>Tuần  17</c:v>
                </c:pt>
                <c:pt idx="112">
                  <c:v>Tuần  17</c:v>
                </c:pt>
                <c:pt idx="113">
                  <c:v>Tuần  17</c:v>
                </c:pt>
                <c:pt idx="114">
                  <c:v>Tuần  17</c:v>
                </c:pt>
                <c:pt idx="115">
                  <c:v>Tuần  18</c:v>
                </c:pt>
                <c:pt idx="116">
                  <c:v>Tuần  18</c:v>
                </c:pt>
                <c:pt idx="117">
                  <c:v>Tuần  18</c:v>
                </c:pt>
                <c:pt idx="118">
                  <c:v>Tuần  18</c:v>
                </c:pt>
                <c:pt idx="119">
                  <c:v>Tuần  18</c:v>
                </c:pt>
                <c:pt idx="120">
                  <c:v>Tuần  18</c:v>
                </c:pt>
                <c:pt idx="121">
                  <c:v>Tuần  18</c:v>
                </c:pt>
                <c:pt idx="122">
                  <c:v>Tuần  19</c:v>
                </c:pt>
                <c:pt idx="123">
                  <c:v>Tuần  19</c:v>
                </c:pt>
                <c:pt idx="124">
                  <c:v>Tuần  19</c:v>
                </c:pt>
                <c:pt idx="125">
                  <c:v>Tuần  19</c:v>
                </c:pt>
                <c:pt idx="126">
                  <c:v>Tuần  19</c:v>
                </c:pt>
                <c:pt idx="127">
                  <c:v>Tuần  19</c:v>
                </c:pt>
                <c:pt idx="128">
                  <c:v>Tuần  19</c:v>
                </c:pt>
                <c:pt idx="129">
                  <c:v>Tuần  20</c:v>
                </c:pt>
                <c:pt idx="130">
                  <c:v>Tuần  20</c:v>
                </c:pt>
                <c:pt idx="131">
                  <c:v>Tuần  20</c:v>
                </c:pt>
                <c:pt idx="132">
                  <c:v>Tuần  20</c:v>
                </c:pt>
                <c:pt idx="133">
                  <c:v>Tuần  20</c:v>
                </c:pt>
                <c:pt idx="134">
                  <c:v>Tuần  20</c:v>
                </c:pt>
                <c:pt idx="135">
                  <c:v>Tuần  20</c:v>
                </c:pt>
                <c:pt idx="136">
                  <c:v>Tuần  21</c:v>
                </c:pt>
                <c:pt idx="137">
                  <c:v>Tuần  21</c:v>
                </c:pt>
                <c:pt idx="138">
                  <c:v>Tuần  21</c:v>
                </c:pt>
                <c:pt idx="139">
                  <c:v>Tuần  21</c:v>
                </c:pt>
                <c:pt idx="140">
                  <c:v>Tuần  21</c:v>
                </c:pt>
                <c:pt idx="141">
                  <c:v>Tuần  21</c:v>
                </c:pt>
                <c:pt idx="142">
                  <c:v>Tuần  21</c:v>
                </c:pt>
                <c:pt idx="143">
                  <c:v>Tuần  22</c:v>
                </c:pt>
                <c:pt idx="144">
                  <c:v>Tuần  22</c:v>
                </c:pt>
                <c:pt idx="145">
                  <c:v>Tuần  22</c:v>
                </c:pt>
                <c:pt idx="146">
                  <c:v>Tuần  22</c:v>
                </c:pt>
                <c:pt idx="147">
                  <c:v>Tuần  22</c:v>
                </c:pt>
                <c:pt idx="148">
                  <c:v>Tuần  22</c:v>
                </c:pt>
                <c:pt idx="149">
                  <c:v>Tuần  22</c:v>
                </c:pt>
                <c:pt idx="150">
                  <c:v>Tuần  23</c:v>
                </c:pt>
                <c:pt idx="151">
                  <c:v>Tuần  23</c:v>
                </c:pt>
                <c:pt idx="152">
                  <c:v>Tuần  23</c:v>
                </c:pt>
                <c:pt idx="153">
                  <c:v>Tuần  23</c:v>
                </c:pt>
                <c:pt idx="154">
                  <c:v>Tuần  23</c:v>
                </c:pt>
                <c:pt idx="155">
                  <c:v>Tuần  23</c:v>
                </c:pt>
                <c:pt idx="156">
                  <c:v>Tuần  23</c:v>
                </c:pt>
                <c:pt idx="157">
                  <c:v>Tuần  24</c:v>
                </c:pt>
                <c:pt idx="158">
                  <c:v>Tuần  24</c:v>
                </c:pt>
                <c:pt idx="159">
                  <c:v>Tuần  24</c:v>
                </c:pt>
                <c:pt idx="160">
                  <c:v>Tuần  24</c:v>
                </c:pt>
                <c:pt idx="161">
                  <c:v>Tuần  24</c:v>
                </c:pt>
                <c:pt idx="162">
                  <c:v>Tuần  24</c:v>
                </c:pt>
                <c:pt idx="163">
                  <c:v>Tuần  24</c:v>
                </c:pt>
                <c:pt idx="164">
                  <c:v>Tuần  25</c:v>
                </c:pt>
                <c:pt idx="165">
                  <c:v>Tuần  25</c:v>
                </c:pt>
                <c:pt idx="166">
                  <c:v>Tuần  25</c:v>
                </c:pt>
                <c:pt idx="167">
                  <c:v>Tuần  25</c:v>
                </c:pt>
                <c:pt idx="168">
                  <c:v>Tuần  25</c:v>
                </c:pt>
                <c:pt idx="169">
                  <c:v>Tuần  25</c:v>
                </c:pt>
                <c:pt idx="170">
                  <c:v>Tuần  25</c:v>
                </c:pt>
                <c:pt idx="171">
                  <c:v>Tuần  26</c:v>
                </c:pt>
                <c:pt idx="172">
                  <c:v>Tuần  26</c:v>
                </c:pt>
                <c:pt idx="173">
                  <c:v>Tuần  26</c:v>
                </c:pt>
                <c:pt idx="174">
                  <c:v>Tuần  26</c:v>
                </c:pt>
                <c:pt idx="175">
                  <c:v>Tuần  26</c:v>
                </c:pt>
                <c:pt idx="176">
                  <c:v>Tuần  26</c:v>
                </c:pt>
                <c:pt idx="177">
                  <c:v>Tuần  26</c:v>
                </c:pt>
                <c:pt idx="178">
                  <c:v>Tuần  27</c:v>
                </c:pt>
                <c:pt idx="179">
                  <c:v>Tuần  27</c:v>
                </c:pt>
                <c:pt idx="180">
                  <c:v>Tuần  27</c:v>
                </c:pt>
                <c:pt idx="181">
                  <c:v>Tuần  27</c:v>
                </c:pt>
                <c:pt idx="182">
                  <c:v>Tuần  27</c:v>
                </c:pt>
                <c:pt idx="183">
                  <c:v>Tuần  27</c:v>
                </c:pt>
                <c:pt idx="184">
                  <c:v>Tuần  27</c:v>
                </c:pt>
                <c:pt idx="185">
                  <c:v>Tuần  28</c:v>
                </c:pt>
                <c:pt idx="186">
                  <c:v>Tuần  28</c:v>
                </c:pt>
                <c:pt idx="187">
                  <c:v>Tuần  28</c:v>
                </c:pt>
                <c:pt idx="188">
                  <c:v>Tuần  28</c:v>
                </c:pt>
                <c:pt idx="189">
                  <c:v>Tuần  28</c:v>
                </c:pt>
                <c:pt idx="190">
                  <c:v>Tuần  28</c:v>
                </c:pt>
                <c:pt idx="191">
                  <c:v>Tuần  28</c:v>
                </c:pt>
                <c:pt idx="192">
                  <c:v>Tuần  29</c:v>
                </c:pt>
                <c:pt idx="193">
                  <c:v>Tuần  29</c:v>
                </c:pt>
                <c:pt idx="194">
                  <c:v>Tuần  29</c:v>
                </c:pt>
                <c:pt idx="195">
                  <c:v>Tuần  29</c:v>
                </c:pt>
                <c:pt idx="196">
                  <c:v>Tuần  29</c:v>
                </c:pt>
                <c:pt idx="197">
                  <c:v>Tuần  29</c:v>
                </c:pt>
                <c:pt idx="198">
                  <c:v>Tuần  29</c:v>
                </c:pt>
                <c:pt idx="199">
                  <c:v>Tuần  30</c:v>
                </c:pt>
                <c:pt idx="200">
                  <c:v>Tuần  30</c:v>
                </c:pt>
                <c:pt idx="201">
                  <c:v>Tuần  30</c:v>
                </c:pt>
                <c:pt idx="202">
                  <c:v>Tuần  30</c:v>
                </c:pt>
                <c:pt idx="203">
                  <c:v>Tuần  30</c:v>
                </c:pt>
                <c:pt idx="204">
                  <c:v>Tuần  30</c:v>
                </c:pt>
                <c:pt idx="205">
                  <c:v>Tuần  30</c:v>
                </c:pt>
                <c:pt idx="206">
                  <c:v>Tuần  31</c:v>
                </c:pt>
                <c:pt idx="207">
                  <c:v>Tuần  31</c:v>
                </c:pt>
                <c:pt idx="208">
                  <c:v>Tuần  31</c:v>
                </c:pt>
                <c:pt idx="209">
                  <c:v>Tuần  31</c:v>
                </c:pt>
                <c:pt idx="210">
                  <c:v>Tuần  31</c:v>
                </c:pt>
                <c:pt idx="211">
                  <c:v>Tuần  31</c:v>
                </c:pt>
                <c:pt idx="212">
                  <c:v>Tuần  31</c:v>
                </c:pt>
                <c:pt idx="213">
                  <c:v>Tuần  32</c:v>
                </c:pt>
                <c:pt idx="214">
                  <c:v>Tuần  32</c:v>
                </c:pt>
                <c:pt idx="215">
                  <c:v>Tuần  32</c:v>
                </c:pt>
                <c:pt idx="216">
                  <c:v>Tuần  32</c:v>
                </c:pt>
                <c:pt idx="217">
                  <c:v>Tuần  32</c:v>
                </c:pt>
                <c:pt idx="218">
                  <c:v>Tuần  32</c:v>
                </c:pt>
                <c:pt idx="219">
                  <c:v>Tuần  32</c:v>
                </c:pt>
                <c:pt idx="220">
                  <c:v>Tuần  33</c:v>
                </c:pt>
                <c:pt idx="221">
                  <c:v>Tuần  33</c:v>
                </c:pt>
                <c:pt idx="222">
                  <c:v>Tuần  33</c:v>
                </c:pt>
                <c:pt idx="223">
                  <c:v>Tuần  33</c:v>
                </c:pt>
                <c:pt idx="224">
                  <c:v>Tuần  33</c:v>
                </c:pt>
                <c:pt idx="225">
                  <c:v>Tuần  33</c:v>
                </c:pt>
                <c:pt idx="226">
                  <c:v>Tuần  33</c:v>
                </c:pt>
              </c:strCache>
              <c:extLst xmlns:c15="http://schemas.microsoft.com/office/drawing/2012/chart"/>
            </c:strRef>
          </c:cat>
          <c:val>
            <c:numRef>
              <c:f>Sheet1!$K$2:$K$228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704-4E83-A392-44315367E881}"/>
            </c:ext>
          </c:extLst>
        </c:ser>
        <c:ser>
          <c:idx val="6"/>
          <c:order val="6"/>
          <c:tx>
            <c:strRef>
              <c:f>Sheet1!$L$1</c:f>
              <c:strCache>
                <c:ptCount val="1"/>
                <c:pt idx="0">
                  <c:v> Gia_Ban_VND_Chi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Sheet1!$C$2:$C$228</c:f>
              <c:strCache>
                <c:ptCount val="227"/>
                <c:pt idx="0">
                  <c:v>Tuần  1</c:v>
                </c:pt>
                <c:pt idx="1">
                  <c:v>Tuần  1</c:v>
                </c:pt>
                <c:pt idx="2">
                  <c:v>Tuần  1</c:v>
                </c:pt>
                <c:pt idx="3">
                  <c:v>Tuần  2</c:v>
                </c:pt>
                <c:pt idx="4">
                  <c:v>Tuần  2</c:v>
                </c:pt>
                <c:pt idx="5">
                  <c:v>Tuần  2</c:v>
                </c:pt>
                <c:pt idx="6">
                  <c:v>Tuần  2</c:v>
                </c:pt>
                <c:pt idx="7">
                  <c:v>Tuần  2</c:v>
                </c:pt>
                <c:pt idx="8">
                  <c:v>Tuần  2</c:v>
                </c:pt>
                <c:pt idx="9">
                  <c:v>Tuần  2</c:v>
                </c:pt>
                <c:pt idx="10">
                  <c:v>Tuần  3</c:v>
                </c:pt>
                <c:pt idx="11">
                  <c:v>Tuần  3</c:v>
                </c:pt>
                <c:pt idx="12">
                  <c:v>Tuần  3</c:v>
                </c:pt>
                <c:pt idx="13">
                  <c:v>Tuần  3</c:v>
                </c:pt>
                <c:pt idx="14">
                  <c:v>Tuần  3</c:v>
                </c:pt>
                <c:pt idx="15">
                  <c:v>Tuần  3</c:v>
                </c:pt>
                <c:pt idx="16">
                  <c:v>Tuần  3</c:v>
                </c:pt>
                <c:pt idx="17">
                  <c:v>Tuần  4</c:v>
                </c:pt>
                <c:pt idx="18">
                  <c:v>Tuần  4</c:v>
                </c:pt>
                <c:pt idx="19">
                  <c:v>Tuần  4</c:v>
                </c:pt>
                <c:pt idx="20">
                  <c:v>Tuần  4</c:v>
                </c:pt>
                <c:pt idx="21">
                  <c:v>Tuần  4</c:v>
                </c:pt>
                <c:pt idx="22">
                  <c:v>Tuần  4</c:v>
                </c:pt>
                <c:pt idx="23">
                  <c:v>Tuần  4</c:v>
                </c:pt>
                <c:pt idx="24">
                  <c:v>Tuần  5</c:v>
                </c:pt>
                <c:pt idx="25">
                  <c:v>Tuần  5</c:v>
                </c:pt>
                <c:pt idx="26">
                  <c:v>Tuần  5</c:v>
                </c:pt>
                <c:pt idx="27">
                  <c:v>Tuần  5</c:v>
                </c:pt>
                <c:pt idx="28">
                  <c:v>Tuần  5</c:v>
                </c:pt>
                <c:pt idx="29">
                  <c:v>Tuần  5</c:v>
                </c:pt>
                <c:pt idx="30">
                  <c:v>Tuần  5</c:v>
                </c:pt>
                <c:pt idx="31">
                  <c:v>Tuần  6</c:v>
                </c:pt>
                <c:pt idx="32">
                  <c:v>Tuần  6</c:v>
                </c:pt>
                <c:pt idx="33">
                  <c:v>Tuần  6</c:v>
                </c:pt>
                <c:pt idx="34">
                  <c:v>Tuần  6</c:v>
                </c:pt>
                <c:pt idx="35">
                  <c:v>Tuần  6</c:v>
                </c:pt>
                <c:pt idx="36">
                  <c:v>Tuần  6</c:v>
                </c:pt>
                <c:pt idx="37">
                  <c:v>Tuần  6</c:v>
                </c:pt>
                <c:pt idx="38">
                  <c:v>Tuần  7</c:v>
                </c:pt>
                <c:pt idx="39">
                  <c:v>Tuần  7</c:v>
                </c:pt>
                <c:pt idx="40">
                  <c:v>Tuần  7</c:v>
                </c:pt>
                <c:pt idx="41">
                  <c:v>Tuần  7</c:v>
                </c:pt>
                <c:pt idx="42">
                  <c:v>Tuần  7</c:v>
                </c:pt>
                <c:pt idx="43">
                  <c:v>Tuần  7</c:v>
                </c:pt>
                <c:pt idx="44">
                  <c:v>Tuần  7</c:v>
                </c:pt>
                <c:pt idx="45">
                  <c:v>Tuần  8</c:v>
                </c:pt>
                <c:pt idx="46">
                  <c:v>Tuần  8</c:v>
                </c:pt>
                <c:pt idx="47">
                  <c:v>Tuần  8</c:v>
                </c:pt>
                <c:pt idx="48">
                  <c:v>Tuần  8</c:v>
                </c:pt>
                <c:pt idx="49">
                  <c:v>Tuần  8</c:v>
                </c:pt>
                <c:pt idx="50">
                  <c:v>Tuần  8</c:v>
                </c:pt>
                <c:pt idx="51">
                  <c:v>Tuần  8</c:v>
                </c:pt>
                <c:pt idx="52">
                  <c:v>Tuần  9</c:v>
                </c:pt>
                <c:pt idx="53">
                  <c:v>Tuần  9</c:v>
                </c:pt>
                <c:pt idx="54">
                  <c:v>Tuần  9</c:v>
                </c:pt>
                <c:pt idx="55">
                  <c:v>Tuần  9</c:v>
                </c:pt>
                <c:pt idx="56">
                  <c:v>Tuần  9</c:v>
                </c:pt>
                <c:pt idx="57">
                  <c:v>Tuần  9</c:v>
                </c:pt>
                <c:pt idx="58">
                  <c:v>Tuần  9</c:v>
                </c:pt>
                <c:pt idx="59">
                  <c:v>Tuần  10</c:v>
                </c:pt>
                <c:pt idx="60">
                  <c:v>Tuần  10</c:v>
                </c:pt>
                <c:pt idx="61">
                  <c:v>Tuần  10</c:v>
                </c:pt>
                <c:pt idx="62">
                  <c:v>Tuần  10</c:v>
                </c:pt>
                <c:pt idx="63">
                  <c:v>Tuần  10</c:v>
                </c:pt>
                <c:pt idx="64">
                  <c:v>Tuần  10</c:v>
                </c:pt>
                <c:pt idx="65">
                  <c:v>Tuần  10</c:v>
                </c:pt>
                <c:pt idx="66">
                  <c:v>Tuần  11</c:v>
                </c:pt>
                <c:pt idx="67">
                  <c:v>Tuần  11</c:v>
                </c:pt>
                <c:pt idx="68">
                  <c:v>Tuần  11</c:v>
                </c:pt>
                <c:pt idx="69">
                  <c:v>Tuần  11</c:v>
                </c:pt>
                <c:pt idx="70">
                  <c:v>Tuần  11</c:v>
                </c:pt>
                <c:pt idx="71">
                  <c:v>Tuần  11</c:v>
                </c:pt>
                <c:pt idx="72">
                  <c:v>Tuần  11</c:v>
                </c:pt>
                <c:pt idx="73">
                  <c:v>Tuần  12</c:v>
                </c:pt>
                <c:pt idx="74">
                  <c:v>Tuần  12</c:v>
                </c:pt>
                <c:pt idx="75">
                  <c:v>Tuần  12</c:v>
                </c:pt>
                <c:pt idx="76">
                  <c:v>Tuần  12</c:v>
                </c:pt>
                <c:pt idx="77">
                  <c:v>Tuần  12</c:v>
                </c:pt>
                <c:pt idx="78">
                  <c:v>Tuần  12</c:v>
                </c:pt>
                <c:pt idx="79">
                  <c:v>Tuần  12</c:v>
                </c:pt>
                <c:pt idx="80">
                  <c:v>Tuần  13</c:v>
                </c:pt>
                <c:pt idx="81">
                  <c:v>Tuần  13</c:v>
                </c:pt>
                <c:pt idx="82">
                  <c:v>Tuần  13</c:v>
                </c:pt>
                <c:pt idx="83">
                  <c:v>Tuần  13</c:v>
                </c:pt>
                <c:pt idx="84">
                  <c:v>Tuần  13</c:v>
                </c:pt>
                <c:pt idx="85">
                  <c:v>Tuần  13</c:v>
                </c:pt>
                <c:pt idx="86">
                  <c:v>Tuần  13</c:v>
                </c:pt>
                <c:pt idx="87">
                  <c:v>Tuần  14</c:v>
                </c:pt>
                <c:pt idx="88">
                  <c:v>Tuần  14</c:v>
                </c:pt>
                <c:pt idx="89">
                  <c:v>Tuần  14</c:v>
                </c:pt>
                <c:pt idx="90">
                  <c:v>Tuần  14</c:v>
                </c:pt>
                <c:pt idx="91">
                  <c:v>Tuần  14</c:v>
                </c:pt>
                <c:pt idx="92">
                  <c:v>Tuần  14</c:v>
                </c:pt>
                <c:pt idx="93">
                  <c:v>Tuần  14</c:v>
                </c:pt>
                <c:pt idx="94">
                  <c:v>Tuần  15</c:v>
                </c:pt>
                <c:pt idx="95">
                  <c:v>Tuần  15</c:v>
                </c:pt>
                <c:pt idx="96">
                  <c:v>Tuần  15</c:v>
                </c:pt>
                <c:pt idx="97">
                  <c:v>Tuần  15</c:v>
                </c:pt>
                <c:pt idx="98">
                  <c:v>Tuần  15</c:v>
                </c:pt>
                <c:pt idx="99">
                  <c:v>Tuần  15</c:v>
                </c:pt>
                <c:pt idx="100">
                  <c:v>Tuần  15</c:v>
                </c:pt>
                <c:pt idx="101">
                  <c:v>Tuần  16</c:v>
                </c:pt>
                <c:pt idx="102">
                  <c:v>Tuần  16</c:v>
                </c:pt>
                <c:pt idx="103">
                  <c:v>Tuần  16</c:v>
                </c:pt>
                <c:pt idx="104">
                  <c:v>Tuần  16</c:v>
                </c:pt>
                <c:pt idx="105">
                  <c:v>Tuần  16</c:v>
                </c:pt>
                <c:pt idx="106">
                  <c:v>Tuần  16</c:v>
                </c:pt>
                <c:pt idx="107">
                  <c:v>Tuần  16</c:v>
                </c:pt>
                <c:pt idx="108">
                  <c:v>Tuần  17</c:v>
                </c:pt>
                <c:pt idx="109">
                  <c:v>Tuần  17</c:v>
                </c:pt>
                <c:pt idx="110">
                  <c:v>Tuần  17</c:v>
                </c:pt>
                <c:pt idx="111">
                  <c:v>Tuần  17</c:v>
                </c:pt>
                <c:pt idx="112">
                  <c:v>Tuần  17</c:v>
                </c:pt>
                <c:pt idx="113">
                  <c:v>Tuần  17</c:v>
                </c:pt>
                <c:pt idx="114">
                  <c:v>Tuần  17</c:v>
                </c:pt>
                <c:pt idx="115">
                  <c:v>Tuần  18</c:v>
                </c:pt>
                <c:pt idx="116">
                  <c:v>Tuần  18</c:v>
                </c:pt>
                <c:pt idx="117">
                  <c:v>Tuần  18</c:v>
                </c:pt>
                <c:pt idx="118">
                  <c:v>Tuần  18</c:v>
                </c:pt>
                <c:pt idx="119">
                  <c:v>Tuần  18</c:v>
                </c:pt>
                <c:pt idx="120">
                  <c:v>Tuần  18</c:v>
                </c:pt>
                <c:pt idx="121">
                  <c:v>Tuần  18</c:v>
                </c:pt>
                <c:pt idx="122">
                  <c:v>Tuần  19</c:v>
                </c:pt>
                <c:pt idx="123">
                  <c:v>Tuần  19</c:v>
                </c:pt>
                <c:pt idx="124">
                  <c:v>Tuần  19</c:v>
                </c:pt>
                <c:pt idx="125">
                  <c:v>Tuần  19</c:v>
                </c:pt>
                <c:pt idx="126">
                  <c:v>Tuần  19</c:v>
                </c:pt>
                <c:pt idx="127">
                  <c:v>Tuần  19</c:v>
                </c:pt>
                <c:pt idx="128">
                  <c:v>Tuần  19</c:v>
                </c:pt>
                <c:pt idx="129">
                  <c:v>Tuần  20</c:v>
                </c:pt>
                <c:pt idx="130">
                  <c:v>Tuần  20</c:v>
                </c:pt>
                <c:pt idx="131">
                  <c:v>Tuần  20</c:v>
                </c:pt>
                <c:pt idx="132">
                  <c:v>Tuần  20</c:v>
                </c:pt>
                <c:pt idx="133">
                  <c:v>Tuần  20</c:v>
                </c:pt>
                <c:pt idx="134">
                  <c:v>Tuần  20</c:v>
                </c:pt>
                <c:pt idx="135">
                  <c:v>Tuần  20</c:v>
                </c:pt>
                <c:pt idx="136">
                  <c:v>Tuần  21</c:v>
                </c:pt>
                <c:pt idx="137">
                  <c:v>Tuần  21</c:v>
                </c:pt>
                <c:pt idx="138">
                  <c:v>Tuần  21</c:v>
                </c:pt>
                <c:pt idx="139">
                  <c:v>Tuần  21</c:v>
                </c:pt>
                <c:pt idx="140">
                  <c:v>Tuần  21</c:v>
                </c:pt>
                <c:pt idx="141">
                  <c:v>Tuần  21</c:v>
                </c:pt>
                <c:pt idx="142">
                  <c:v>Tuần  21</c:v>
                </c:pt>
                <c:pt idx="143">
                  <c:v>Tuần  22</c:v>
                </c:pt>
                <c:pt idx="144">
                  <c:v>Tuần  22</c:v>
                </c:pt>
                <c:pt idx="145">
                  <c:v>Tuần  22</c:v>
                </c:pt>
                <c:pt idx="146">
                  <c:v>Tuần  22</c:v>
                </c:pt>
                <c:pt idx="147">
                  <c:v>Tuần  22</c:v>
                </c:pt>
                <c:pt idx="148">
                  <c:v>Tuần  22</c:v>
                </c:pt>
                <c:pt idx="149">
                  <c:v>Tuần  22</c:v>
                </c:pt>
                <c:pt idx="150">
                  <c:v>Tuần  23</c:v>
                </c:pt>
                <c:pt idx="151">
                  <c:v>Tuần  23</c:v>
                </c:pt>
                <c:pt idx="152">
                  <c:v>Tuần  23</c:v>
                </c:pt>
                <c:pt idx="153">
                  <c:v>Tuần  23</c:v>
                </c:pt>
                <c:pt idx="154">
                  <c:v>Tuần  23</c:v>
                </c:pt>
                <c:pt idx="155">
                  <c:v>Tuần  23</c:v>
                </c:pt>
                <c:pt idx="156">
                  <c:v>Tuần  23</c:v>
                </c:pt>
                <c:pt idx="157">
                  <c:v>Tuần  24</c:v>
                </c:pt>
                <c:pt idx="158">
                  <c:v>Tuần  24</c:v>
                </c:pt>
                <c:pt idx="159">
                  <c:v>Tuần  24</c:v>
                </c:pt>
                <c:pt idx="160">
                  <c:v>Tuần  24</c:v>
                </c:pt>
                <c:pt idx="161">
                  <c:v>Tuần  24</c:v>
                </c:pt>
                <c:pt idx="162">
                  <c:v>Tuần  24</c:v>
                </c:pt>
                <c:pt idx="163">
                  <c:v>Tuần  24</c:v>
                </c:pt>
                <c:pt idx="164">
                  <c:v>Tuần  25</c:v>
                </c:pt>
                <c:pt idx="165">
                  <c:v>Tuần  25</c:v>
                </c:pt>
                <c:pt idx="166">
                  <c:v>Tuần  25</c:v>
                </c:pt>
                <c:pt idx="167">
                  <c:v>Tuần  25</c:v>
                </c:pt>
                <c:pt idx="168">
                  <c:v>Tuần  25</c:v>
                </c:pt>
                <c:pt idx="169">
                  <c:v>Tuần  25</c:v>
                </c:pt>
                <c:pt idx="170">
                  <c:v>Tuần  25</c:v>
                </c:pt>
                <c:pt idx="171">
                  <c:v>Tuần  26</c:v>
                </c:pt>
                <c:pt idx="172">
                  <c:v>Tuần  26</c:v>
                </c:pt>
                <c:pt idx="173">
                  <c:v>Tuần  26</c:v>
                </c:pt>
                <c:pt idx="174">
                  <c:v>Tuần  26</c:v>
                </c:pt>
                <c:pt idx="175">
                  <c:v>Tuần  26</c:v>
                </c:pt>
                <c:pt idx="176">
                  <c:v>Tuần  26</c:v>
                </c:pt>
                <c:pt idx="177">
                  <c:v>Tuần  26</c:v>
                </c:pt>
                <c:pt idx="178">
                  <c:v>Tuần  27</c:v>
                </c:pt>
                <c:pt idx="179">
                  <c:v>Tuần  27</c:v>
                </c:pt>
                <c:pt idx="180">
                  <c:v>Tuần  27</c:v>
                </c:pt>
                <c:pt idx="181">
                  <c:v>Tuần  27</c:v>
                </c:pt>
                <c:pt idx="182">
                  <c:v>Tuần  27</c:v>
                </c:pt>
                <c:pt idx="183">
                  <c:v>Tuần  27</c:v>
                </c:pt>
                <c:pt idx="184">
                  <c:v>Tuần  27</c:v>
                </c:pt>
                <c:pt idx="185">
                  <c:v>Tuần  28</c:v>
                </c:pt>
                <c:pt idx="186">
                  <c:v>Tuần  28</c:v>
                </c:pt>
                <c:pt idx="187">
                  <c:v>Tuần  28</c:v>
                </c:pt>
                <c:pt idx="188">
                  <c:v>Tuần  28</c:v>
                </c:pt>
                <c:pt idx="189">
                  <c:v>Tuần  28</c:v>
                </c:pt>
                <c:pt idx="190">
                  <c:v>Tuần  28</c:v>
                </c:pt>
                <c:pt idx="191">
                  <c:v>Tuần  28</c:v>
                </c:pt>
                <c:pt idx="192">
                  <c:v>Tuần  29</c:v>
                </c:pt>
                <c:pt idx="193">
                  <c:v>Tuần  29</c:v>
                </c:pt>
                <c:pt idx="194">
                  <c:v>Tuần  29</c:v>
                </c:pt>
                <c:pt idx="195">
                  <c:v>Tuần  29</c:v>
                </c:pt>
                <c:pt idx="196">
                  <c:v>Tuần  29</c:v>
                </c:pt>
                <c:pt idx="197">
                  <c:v>Tuần  29</c:v>
                </c:pt>
                <c:pt idx="198">
                  <c:v>Tuần  29</c:v>
                </c:pt>
                <c:pt idx="199">
                  <c:v>Tuần  30</c:v>
                </c:pt>
                <c:pt idx="200">
                  <c:v>Tuần  30</c:v>
                </c:pt>
                <c:pt idx="201">
                  <c:v>Tuần  30</c:v>
                </c:pt>
                <c:pt idx="202">
                  <c:v>Tuần  30</c:v>
                </c:pt>
                <c:pt idx="203">
                  <c:v>Tuần  30</c:v>
                </c:pt>
                <c:pt idx="204">
                  <c:v>Tuần  30</c:v>
                </c:pt>
                <c:pt idx="205">
                  <c:v>Tuần  30</c:v>
                </c:pt>
                <c:pt idx="206">
                  <c:v>Tuần  31</c:v>
                </c:pt>
                <c:pt idx="207">
                  <c:v>Tuần  31</c:v>
                </c:pt>
                <c:pt idx="208">
                  <c:v>Tuần  31</c:v>
                </c:pt>
                <c:pt idx="209">
                  <c:v>Tuần  31</c:v>
                </c:pt>
                <c:pt idx="210">
                  <c:v>Tuần  31</c:v>
                </c:pt>
                <c:pt idx="211">
                  <c:v>Tuần  31</c:v>
                </c:pt>
                <c:pt idx="212">
                  <c:v>Tuần  31</c:v>
                </c:pt>
                <c:pt idx="213">
                  <c:v>Tuần  32</c:v>
                </c:pt>
                <c:pt idx="214">
                  <c:v>Tuần  32</c:v>
                </c:pt>
                <c:pt idx="215">
                  <c:v>Tuần  32</c:v>
                </c:pt>
                <c:pt idx="216">
                  <c:v>Tuần  32</c:v>
                </c:pt>
                <c:pt idx="217">
                  <c:v>Tuần  32</c:v>
                </c:pt>
                <c:pt idx="218">
                  <c:v>Tuần  32</c:v>
                </c:pt>
                <c:pt idx="219">
                  <c:v>Tuần  32</c:v>
                </c:pt>
                <c:pt idx="220">
                  <c:v>Tuần  33</c:v>
                </c:pt>
                <c:pt idx="221">
                  <c:v>Tuần  33</c:v>
                </c:pt>
                <c:pt idx="222">
                  <c:v>Tuần  33</c:v>
                </c:pt>
                <c:pt idx="223">
                  <c:v>Tuần  33</c:v>
                </c:pt>
                <c:pt idx="224">
                  <c:v>Tuần  33</c:v>
                </c:pt>
                <c:pt idx="225">
                  <c:v>Tuần  33</c:v>
                </c:pt>
                <c:pt idx="226">
                  <c:v>Tuần  33</c:v>
                </c:pt>
              </c:strCache>
              <c:extLst xmlns:c15="http://schemas.microsoft.com/office/drawing/2012/chart"/>
            </c:strRef>
          </c:cat>
          <c:val>
            <c:numRef>
              <c:f>Sheet1!$L$2:$L$228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2704-4E83-A392-44315367E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400368"/>
        <c:axId val="1305851248"/>
        <c:extLst/>
      </c:lineChart>
      <c:lineChart>
        <c:grouping val="standar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 Gia_Ban_VND_Luong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2B-4317-A5DF-F81A668D4F02}"/>
                </c:ext>
              </c:extLst>
            </c:dLbl>
            <c:dLbl>
              <c:idx val="6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2B-4317-A5DF-F81A668D4F02}"/>
                </c:ext>
              </c:extLst>
            </c:dLbl>
            <c:dLbl>
              <c:idx val="16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04-4E83-A392-44315367E881}"/>
                </c:ext>
              </c:extLst>
            </c:dLbl>
            <c:dLbl>
              <c:idx val="204"/>
              <c:layout>
                <c:manualLayout>
                  <c:x val="-3.3864697028145256E-2"/>
                  <c:y val="-5.37809981425890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04-4E83-A392-44315367E881}"/>
                </c:ext>
              </c:extLst>
            </c:dLbl>
            <c:dLbl>
              <c:idx val="22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23-4FBC-B8A1-7D03E33CBB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Sheet1!$C$2:$C$228</c:f>
              <c:strCache>
                <c:ptCount val="227"/>
                <c:pt idx="0">
                  <c:v>Tuần  1</c:v>
                </c:pt>
                <c:pt idx="1">
                  <c:v>Tuần  1</c:v>
                </c:pt>
                <c:pt idx="2">
                  <c:v>Tuần  1</c:v>
                </c:pt>
                <c:pt idx="3">
                  <c:v>Tuần  2</c:v>
                </c:pt>
                <c:pt idx="4">
                  <c:v>Tuần  2</c:v>
                </c:pt>
                <c:pt idx="5">
                  <c:v>Tuần  2</c:v>
                </c:pt>
                <c:pt idx="6">
                  <c:v>Tuần  2</c:v>
                </c:pt>
                <c:pt idx="7">
                  <c:v>Tuần  2</c:v>
                </c:pt>
                <c:pt idx="8">
                  <c:v>Tuần  2</c:v>
                </c:pt>
                <c:pt idx="9">
                  <c:v>Tuần  2</c:v>
                </c:pt>
                <c:pt idx="10">
                  <c:v>Tuần  3</c:v>
                </c:pt>
                <c:pt idx="11">
                  <c:v>Tuần  3</c:v>
                </c:pt>
                <c:pt idx="12">
                  <c:v>Tuần  3</c:v>
                </c:pt>
                <c:pt idx="13">
                  <c:v>Tuần  3</c:v>
                </c:pt>
                <c:pt idx="14">
                  <c:v>Tuần  3</c:v>
                </c:pt>
                <c:pt idx="15">
                  <c:v>Tuần  3</c:v>
                </c:pt>
                <c:pt idx="16">
                  <c:v>Tuần  3</c:v>
                </c:pt>
                <c:pt idx="17">
                  <c:v>Tuần  4</c:v>
                </c:pt>
                <c:pt idx="18">
                  <c:v>Tuần  4</c:v>
                </c:pt>
                <c:pt idx="19">
                  <c:v>Tuần  4</c:v>
                </c:pt>
                <c:pt idx="20">
                  <c:v>Tuần  4</c:v>
                </c:pt>
                <c:pt idx="21">
                  <c:v>Tuần  4</c:v>
                </c:pt>
                <c:pt idx="22">
                  <c:v>Tuần  4</c:v>
                </c:pt>
                <c:pt idx="23">
                  <c:v>Tuần  4</c:v>
                </c:pt>
                <c:pt idx="24">
                  <c:v>Tuần  5</c:v>
                </c:pt>
                <c:pt idx="25">
                  <c:v>Tuần  5</c:v>
                </c:pt>
                <c:pt idx="26">
                  <c:v>Tuần  5</c:v>
                </c:pt>
                <c:pt idx="27">
                  <c:v>Tuần  5</c:v>
                </c:pt>
                <c:pt idx="28">
                  <c:v>Tuần  5</c:v>
                </c:pt>
                <c:pt idx="29">
                  <c:v>Tuần  5</c:v>
                </c:pt>
                <c:pt idx="30">
                  <c:v>Tuần  5</c:v>
                </c:pt>
                <c:pt idx="31">
                  <c:v>Tuần  6</c:v>
                </c:pt>
                <c:pt idx="32">
                  <c:v>Tuần  6</c:v>
                </c:pt>
                <c:pt idx="33">
                  <c:v>Tuần  6</c:v>
                </c:pt>
                <c:pt idx="34">
                  <c:v>Tuần  6</c:v>
                </c:pt>
                <c:pt idx="35">
                  <c:v>Tuần  6</c:v>
                </c:pt>
                <c:pt idx="36">
                  <c:v>Tuần  6</c:v>
                </c:pt>
                <c:pt idx="37">
                  <c:v>Tuần  6</c:v>
                </c:pt>
                <c:pt idx="38">
                  <c:v>Tuần  7</c:v>
                </c:pt>
                <c:pt idx="39">
                  <c:v>Tuần  7</c:v>
                </c:pt>
                <c:pt idx="40">
                  <c:v>Tuần  7</c:v>
                </c:pt>
                <c:pt idx="41">
                  <c:v>Tuần  7</c:v>
                </c:pt>
                <c:pt idx="42">
                  <c:v>Tuần  7</c:v>
                </c:pt>
                <c:pt idx="43">
                  <c:v>Tuần  7</c:v>
                </c:pt>
                <c:pt idx="44">
                  <c:v>Tuần  7</c:v>
                </c:pt>
                <c:pt idx="45">
                  <c:v>Tuần  8</c:v>
                </c:pt>
                <c:pt idx="46">
                  <c:v>Tuần  8</c:v>
                </c:pt>
                <c:pt idx="47">
                  <c:v>Tuần  8</c:v>
                </c:pt>
                <c:pt idx="48">
                  <c:v>Tuần  8</c:v>
                </c:pt>
                <c:pt idx="49">
                  <c:v>Tuần  8</c:v>
                </c:pt>
                <c:pt idx="50">
                  <c:v>Tuần  8</c:v>
                </c:pt>
                <c:pt idx="51">
                  <c:v>Tuần  8</c:v>
                </c:pt>
                <c:pt idx="52">
                  <c:v>Tuần  9</c:v>
                </c:pt>
                <c:pt idx="53">
                  <c:v>Tuần  9</c:v>
                </c:pt>
                <c:pt idx="54">
                  <c:v>Tuần  9</c:v>
                </c:pt>
                <c:pt idx="55">
                  <c:v>Tuần  9</c:v>
                </c:pt>
                <c:pt idx="56">
                  <c:v>Tuần  9</c:v>
                </c:pt>
                <c:pt idx="57">
                  <c:v>Tuần  9</c:v>
                </c:pt>
                <c:pt idx="58">
                  <c:v>Tuần  9</c:v>
                </c:pt>
                <c:pt idx="59">
                  <c:v>Tuần  10</c:v>
                </c:pt>
                <c:pt idx="60">
                  <c:v>Tuần  10</c:v>
                </c:pt>
                <c:pt idx="61">
                  <c:v>Tuần  10</c:v>
                </c:pt>
                <c:pt idx="62">
                  <c:v>Tuần  10</c:v>
                </c:pt>
                <c:pt idx="63">
                  <c:v>Tuần  10</c:v>
                </c:pt>
                <c:pt idx="64">
                  <c:v>Tuần  10</c:v>
                </c:pt>
                <c:pt idx="65">
                  <c:v>Tuần  10</c:v>
                </c:pt>
                <c:pt idx="66">
                  <c:v>Tuần  11</c:v>
                </c:pt>
                <c:pt idx="67">
                  <c:v>Tuần  11</c:v>
                </c:pt>
                <c:pt idx="68">
                  <c:v>Tuần  11</c:v>
                </c:pt>
                <c:pt idx="69">
                  <c:v>Tuần  11</c:v>
                </c:pt>
                <c:pt idx="70">
                  <c:v>Tuần  11</c:v>
                </c:pt>
                <c:pt idx="71">
                  <c:v>Tuần  11</c:v>
                </c:pt>
                <c:pt idx="72">
                  <c:v>Tuần  11</c:v>
                </c:pt>
                <c:pt idx="73">
                  <c:v>Tuần  12</c:v>
                </c:pt>
                <c:pt idx="74">
                  <c:v>Tuần  12</c:v>
                </c:pt>
                <c:pt idx="75">
                  <c:v>Tuần  12</c:v>
                </c:pt>
                <c:pt idx="76">
                  <c:v>Tuần  12</c:v>
                </c:pt>
                <c:pt idx="77">
                  <c:v>Tuần  12</c:v>
                </c:pt>
                <c:pt idx="78">
                  <c:v>Tuần  12</c:v>
                </c:pt>
                <c:pt idx="79">
                  <c:v>Tuần  12</c:v>
                </c:pt>
                <c:pt idx="80">
                  <c:v>Tuần  13</c:v>
                </c:pt>
                <c:pt idx="81">
                  <c:v>Tuần  13</c:v>
                </c:pt>
                <c:pt idx="82">
                  <c:v>Tuần  13</c:v>
                </c:pt>
                <c:pt idx="83">
                  <c:v>Tuần  13</c:v>
                </c:pt>
                <c:pt idx="84">
                  <c:v>Tuần  13</c:v>
                </c:pt>
                <c:pt idx="85">
                  <c:v>Tuần  13</c:v>
                </c:pt>
                <c:pt idx="86">
                  <c:v>Tuần  13</c:v>
                </c:pt>
                <c:pt idx="87">
                  <c:v>Tuần  14</c:v>
                </c:pt>
                <c:pt idx="88">
                  <c:v>Tuần  14</c:v>
                </c:pt>
                <c:pt idx="89">
                  <c:v>Tuần  14</c:v>
                </c:pt>
                <c:pt idx="90">
                  <c:v>Tuần  14</c:v>
                </c:pt>
                <c:pt idx="91">
                  <c:v>Tuần  14</c:v>
                </c:pt>
                <c:pt idx="92">
                  <c:v>Tuần  14</c:v>
                </c:pt>
                <c:pt idx="93">
                  <c:v>Tuần  14</c:v>
                </c:pt>
                <c:pt idx="94">
                  <c:v>Tuần  15</c:v>
                </c:pt>
                <c:pt idx="95">
                  <c:v>Tuần  15</c:v>
                </c:pt>
                <c:pt idx="96">
                  <c:v>Tuần  15</c:v>
                </c:pt>
                <c:pt idx="97">
                  <c:v>Tuần  15</c:v>
                </c:pt>
                <c:pt idx="98">
                  <c:v>Tuần  15</c:v>
                </c:pt>
                <c:pt idx="99">
                  <c:v>Tuần  15</c:v>
                </c:pt>
                <c:pt idx="100">
                  <c:v>Tuần  15</c:v>
                </c:pt>
                <c:pt idx="101">
                  <c:v>Tuần  16</c:v>
                </c:pt>
                <c:pt idx="102">
                  <c:v>Tuần  16</c:v>
                </c:pt>
                <c:pt idx="103">
                  <c:v>Tuần  16</c:v>
                </c:pt>
                <c:pt idx="104">
                  <c:v>Tuần  16</c:v>
                </c:pt>
                <c:pt idx="105">
                  <c:v>Tuần  16</c:v>
                </c:pt>
                <c:pt idx="106">
                  <c:v>Tuần  16</c:v>
                </c:pt>
                <c:pt idx="107">
                  <c:v>Tuần  16</c:v>
                </c:pt>
                <c:pt idx="108">
                  <c:v>Tuần  17</c:v>
                </c:pt>
                <c:pt idx="109">
                  <c:v>Tuần  17</c:v>
                </c:pt>
                <c:pt idx="110">
                  <c:v>Tuần  17</c:v>
                </c:pt>
                <c:pt idx="111">
                  <c:v>Tuần  17</c:v>
                </c:pt>
                <c:pt idx="112">
                  <c:v>Tuần  17</c:v>
                </c:pt>
                <c:pt idx="113">
                  <c:v>Tuần  17</c:v>
                </c:pt>
                <c:pt idx="114">
                  <c:v>Tuần  17</c:v>
                </c:pt>
                <c:pt idx="115">
                  <c:v>Tuần  18</c:v>
                </c:pt>
                <c:pt idx="116">
                  <c:v>Tuần  18</c:v>
                </c:pt>
                <c:pt idx="117">
                  <c:v>Tuần  18</c:v>
                </c:pt>
                <c:pt idx="118">
                  <c:v>Tuần  18</c:v>
                </c:pt>
                <c:pt idx="119">
                  <c:v>Tuần  18</c:v>
                </c:pt>
                <c:pt idx="120">
                  <c:v>Tuần  18</c:v>
                </c:pt>
                <c:pt idx="121">
                  <c:v>Tuần  18</c:v>
                </c:pt>
                <c:pt idx="122">
                  <c:v>Tuần  19</c:v>
                </c:pt>
                <c:pt idx="123">
                  <c:v>Tuần  19</c:v>
                </c:pt>
                <c:pt idx="124">
                  <c:v>Tuần  19</c:v>
                </c:pt>
                <c:pt idx="125">
                  <c:v>Tuần  19</c:v>
                </c:pt>
                <c:pt idx="126">
                  <c:v>Tuần  19</c:v>
                </c:pt>
                <c:pt idx="127">
                  <c:v>Tuần  19</c:v>
                </c:pt>
                <c:pt idx="128">
                  <c:v>Tuần  19</c:v>
                </c:pt>
                <c:pt idx="129">
                  <c:v>Tuần  20</c:v>
                </c:pt>
                <c:pt idx="130">
                  <c:v>Tuần  20</c:v>
                </c:pt>
                <c:pt idx="131">
                  <c:v>Tuần  20</c:v>
                </c:pt>
                <c:pt idx="132">
                  <c:v>Tuần  20</c:v>
                </c:pt>
                <c:pt idx="133">
                  <c:v>Tuần  20</c:v>
                </c:pt>
                <c:pt idx="134">
                  <c:v>Tuần  20</c:v>
                </c:pt>
                <c:pt idx="135">
                  <c:v>Tuần  20</c:v>
                </c:pt>
                <c:pt idx="136">
                  <c:v>Tuần  21</c:v>
                </c:pt>
                <c:pt idx="137">
                  <c:v>Tuần  21</c:v>
                </c:pt>
                <c:pt idx="138">
                  <c:v>Tuần  21</c:v>
                </c:pt>
                <c:pt idx="139">
                  <c:v>Tuần  21</c:v>
                </c:pt>
                <c:pt idx="140">
                  <c:v>Tuần  21</c:v>
                </c:pt>
                <c:pt idx="141">
                  <c:v>Tuần  21</c:v>
                </c:pt>
                <c:pt idx="142">
                  <c:v>Tuần  21</c:v>
                </c:pt>
                <c:pt idx="143">
                  <c:v>Tuần  22</c:v>
                </c:pt>
                <c:pt idx="144">
                  <c:v>Tuần  22</c:v>
                </c:pt>
                <c:pt idx="145">
                  <c:v>Tuần  22</c:v>
                </c:pt>
                <c:pt idx="146">
                  <c:v>Tuần  22</c:v>
                </c:pt>
                <c:pt idx="147">
                  <c:v>Tuần  22</c:v>
                </c:pt>
                <c:pt idx="148">
                  <c:v>Tuần  22</c:v>
                </c:pt>
                <c:pt idx="149">
                  <c:v>Tuần  22</c:v>
                </c:pt>
                <c:pt idx="150">
                  <c:v>Tuần  23</c:v>
                </c:pt>
                <c:pt idx="151">
                  <c:v>Tuần  23</c:v>
                </c:pt>
                <c:pt idx="152">
                  <c:v>Tuần  23</c:v>
                </c:pt>
                <c:pt idx="153">
                  <c:v>Tuần  23</c:v>
                </c:pt>
                <c:pt idx="154">
                  <c:v>Tuần  23</c:v>
                </c:pt>
                <c:pt idx="155">
                  <c:v>Tuần  23</c:v>
                </c:pt>
                <c:pt idx="156">
                  <c:v>Tuần  23</c:v>
                </c:pt>
                <c:pt idx="157">
                  <c:v>Tuần  24</c:v>
                </c:pt>
                <c:pt idx="158">
                  <c:v>Tuần  24</c:v>
                </c:pt>
                <c:pt idx="159">
                  <c:v>Tuần  24</c:v>
                </c:pt>
                <c:pt idx="160">
                  <c:v>Tuần  24</c:v>
                </c:pt>
                <c:pt idx="161">
                  <c:v>Tuần  24</c:v>
                </c:pt>
                <c:pt idx="162">
                  <c:v>Tuần  24</c:v>
                </c:pt>
                <c:pt idx="163">
                  <c:v>Tuần  24</c:v>
                </c:pt>
                <c:pt idx="164">
                  <c:v>Tuần  25</c:v>
                </c:pt>
                <c:pt idx="165">
                  <c:v>Tuần  25</c:v>
                </c:pt>
                <c:pt idx="166">
                  <c:v>Tuần  25</c:v>
                </c:pt>
                <c:pt idx="167">
                  <c:v>Tuần  25</c:v>
                </c:pt>
                <c:pt idx="168">
                  <c:v>Tuần  25</c:v>
                </c:pt>
                <c:pt idx="169">
                  <c:v>Tuần  25</c:v>
                </c:pt>
                <c:pt idx="170">
                  <c:v>Tuần  25</c:v>
                </c:pt>
                <c:pt idx="171">
                  <c:v>Tuần  26</c:v>
                </c:pt>
                <c:pt idx="172">
                  <c:v>Tuần  26</c:v>
                </c:pt>
                <c:pt idx="173">
                  <c:v>Tuần  26</c:v>
                </c:pt>
                <c:pt idx="174">
                  <c:v>Tuần  26</c:v>
                </c:pt>
                <c:pt idx="175">
                  <c:v>Tuần  26</c:v>
                </c:pt>
                <c:pt idx="176">
                  <c:v>Tuần  26</c:v>
                </c:pt>
                <c:pt idx="177">
                  <c:v>Tuần  26</c:v>
                </c:pt>
                <c:pt idx="178">
                  <c:v>Tuần  27</c:v>
                </c:pt>
                <c:pt idx="179">
                  <c:v>Tuần  27</c:v>
                </c:pt>
                <c:pt idx="180">
                  <c:v>Tuần  27</c:v>
                </c:pt>
                <c:pt idx="181">
                  <c:v>Tuần  27</c:v>
                </c:pt>
                <c:pt idx="182">
                  <c:v>Tuần  27</c:v>
                </c:pt>
                <c:pt idx="183">
                  <c:v>Tuần  27</c:v>
                </c:pt>
                <c:pt idx="184">
                  <c:v>Tuần  27</c:v>
                </c:pt>
                <c:pt idx="185">
                  <c:v>Tuần  28</c:v>
                </c:pt>
                <c:pt idx="186">
                  <c:v>Tuần  28</c:v>
                </c:pt>
                <c:pt idx="187">
                  <c:v>Tuần  28</c:v>
                </c:pt>
                <c:pt idx="188">
                  <c:v>Tuần  28</c:v>
                </c:pt>
                <c:pt idx="189">
                  <c:v>Tuần  28</c:v>
                </c:pt>
                <c:pt idx="190">
                  <c:v>Tuần  28</c:v>
                </c:pt>
                <c:pt idx="191">
                  <c:v>Tuần  28</c:v>
                </c:pt>
                <c:pt idx="192">
                  <c:v>Tuần  29</c:v>
                </c:pt>
                <c:pt idx="193">
                  <c:v>Tuần  29</c:v>
                </c:pt>
                <c:pt idx="194">
                  <c:v>Tuần  29</c:v>
                </c:pt>
                <c:pt idx="195">
                  <c:v>Tuần  29</c:v>
                </c:pt>
                <c:pt idx="196">
                  <c:v>Tuần  29</c:v>
                </c:pt>
                <c:pt idx="197">
                  <c:v>Tuần  29</c:v>
                </c:pt>
                <c:pt idx="198">
                  <c:v>Tuần  29</c:v>
                </c:pt>
                <c:pt idx="199">
                  <c:v>Tuần  30</c:v>
                </c:pt>
                <c:pt idx="200">
                  <c:v>Tuần  30</c:v>
                </c:pt>
                <c:pt idx="201">
                  <c:v>Tuần  30</c:v>
                </c:pt>
                <c:pt idx="202">
                  <c:v>Tuần  30</c:v>
                </c:pt>
                <c:pt idx="203">
                  <c:v>Tuần  30</c:v>
                </c:pt>
                <c:pt idx="204">
                  <c:v>Tuần  30</c:v>
                </c:pt>
                <c:pt idx="205">
                  <c:v>Tuần  30</c:v>
                </c:pt>
                <c:pt idx="206">
                  <c:v>Tuần  31</c:v>
                </c:pt>
                <c:pt idx="207">
                  <c:v>Tuần  31</c:v>
                </c:pt>
                <c:pt idx="208">
                  <c:v>Tuần  31</c:v>
                </c:pt>
                <c:pt idx="209">
                  <c:v>Tuần  31</c:v>
                </c:pt>
                <c:pt idx="210">
                  <c:v>Tuần  31</c:v>
                </c:pt>
                <c:pt idx="211">
                  <c:v>Tuần  31</c:v>
                </c:pt>
                <c:pt idx="212">
                  <c:v>Tuần  31</c:v>
                </c:pt>
                <c:pt idx="213">
                  <c:v>Tuần  32</c:v>
                </c:pt>
                <c:pt idx="214">
                  <c:v>Tuần  32</c:v>
                </c:pt>
                <c:pt idx="215">
                  <c:v>Tuần  32</c:v>
                </c:pt>
                <c:pt idx="216">
                  <c:v>Tuần  32</c:v>
                </c:pt>
                <c:pt idx="217">
                  <c:v>Tuần  32</c:v>
                </c:pt>
                <c:pt idx="218">
                  <c:v>Tuần  32</c:v>
                </c:pt>
                <c:pt idx="219">
                  <c:v>Tuần  32</c:v>
                </c:pt>
                <c:pt idx="220">
                  <c:v>Tuần  33</c:v>
                </c:pt>
                <c:pt idx="221">
                  <c:v>Tuần  33</c:v>
                </c:pt>
                <c:pt idx="222">
                  <c:v>Tuần  33</c:v>
                </c:pt>
                <c:pt idx="223">
                  <c:v>Tuần  33</c:v>
                </c:pt>
                <c:pt idx="224">
                  <c:v>Tuần  33</c:v>
                </c:pt>
                <c:pt idx="225">
                  <c:v>Tuần  33</c:v>
                </c:pt>
                <c:pt idx="226">
                  <c:v>Tuần  33</c:v>
                </c:pt>
              </c:strCache>
            </c:strRef>
          </c:cat>
          <c:val>
            <c:numRef>
              <c:f>Sheet1!$G$2:$G$228</c:f>
              <c:numCache>
                <c:formatCode>_(* #,##0_);_(* \(#,##0\);_(* "-"??_);_(@_)</c:formatCode>
                <c:ptCount val="227"/>
                <c:pt idx="0">
                  <c:v>148900000</c:v>
                </c:pt>
                <c:pt idx="1">
                  <c:v>148900000</c:v>
                </c:pt>
                <c:pt idx="2">
                  <c:v>148900000</c:v>
                </c:pt>
                <c:pt idx="3">
                  <c:v>148900000</c:v>
                </c:pt>
                <c:pt idx="4">
                  <c:v>152900000</c:v>
                </c:pt>
                <c:pt idx="5">
                  <c:v>154000000</c:v>
                </c:pt>
                <c:pt idx="6">
                  <c:v>154600000</c:v>
                </c:pt>
                <c:pt idx="7">
                  <c:v>154400000</c:v>
                </c:pt>
                <c:pt idx="8">
                  <c:v>155300000</c:v>
                </c:pt>
                <c:pt idx="9">
                  <c:v>156800000</c:v>
                </c:pt>
                <c:pt idx="10">
                  <c:v>156800000</c:v>
                </c:pt>
                <c:pt idx="11">
                  <c:v>159000000</c:v>
                </c:pt>
                <c:pt idx="12">
                  <c:v>159000000</c:v>
                </c:pt>
                <c:pt idx="13">
                  <c:v>160400000</c:v>
                </c:pt>
                <c:pt idx="14">
                  <c:v>159700000</c:v>
                </c:pt>
                <c:pt idx="15">
                  <c:v>159700000</c:v>
                </c:pt>
                <c:pt idx="16">
                  <c:v>159700000</c:v>
                </c:pt>
                <c:pt idx="17">
                  <c:v>159700000</c:v>
                </c:pt>
                <c:pt idx="18">
                  <c:v>162200000</c:v>
                </c:pt>
                <c:pt idx="19">
                  <c:v>163500000</c:v>
                </c:pt>
                <c:pt idx="20">
                  <c:v>168400000</c:v>
                </c:pt>
                <c:pt idx="21">
                  <c:v>167700000</c:v>
                </c:pt>
                <c:pt idx="22">
                  <c:v>170800000</c:v>
                </c:pt>
                <c:pt idx="23">
                  <c:v>173000000</c:v>
                </c:pt>
                <c:pt idx="24">
                  <c:v>173000000</c:v>
                </c:pt>
                <c:pt idx="25">
                  <c:v>176000000</c:v>
                </c:pt>
                <c:pt idx="26">
                  <c:v>176600000</c:v>
                </c:pt>
                <c:pt idx="27">
                  <c:v>183700000</c:v>
                </c:pt>
                <c:pt idx="28">
                  <c:v>189300000</c:v>
                </c:pt>
                <c:pt idx="29">
                  <c:v>180000000</c:v>
                </c:pt>
                <c:pt idx="30">
                  <c:v>171000000</c:v>
                </c:pt>
                <c:pt idx="31">
                  <c:v>171000000</c:v>
                </c:pt>
                <c:pt idx="32">
                  <c:v>165500000</c:v>
                </c:pt>
                <c:pt idx="33">
                  <c:v>174500000</c:v>
                </c:pt>
                <c:pt idx="34">
                  <c:v>179700000</c:v>
                </c:pt>
                <c:pt idx="35">
                  <c:v>174500000</c:v>
                </c:pt>
                <c:pt idx="36">
                  <c:v>176000000</c:v>
                </c:pt>
                <c:pt idx="37">
                  <c:v>178800000</c:v>
                </c:pt>
                <c:pt idx="38">
                  <c:v>178800000</c:v>
                </c:pt>
                <c:pt idx="39">
                  <c:v>179900000</c:v>
                </c:pt>
                <c:pt idx="40">
                  <c:v>180500000</c:v>
                </c:pt>
                <c:pt idx="41">
                  <c:v>180500000</c:v>
                </c:pt>
                <c:pt idx="42">
                  <c:v>180500000</c:v>
                </c:pt>
                <c:pt idx="43">
                  <c:v>178500000</c:v>
                </c:pt>
                <c:pt idx="44">
                  <c:v>180500000</c:v>
                </c:pt>
                <c:pt idx="45">
                  <c:v>180500000</c:v>
                </c:pt>
                <c:pt idx="46">
                  <c:v>180500000</c:v>
                </c:pt>
                <c:pt idx="47">
                  <c:v>180500000</c:v>
                </c:pt>
                <c:pt idx="48">
                  <c:v>180500000</c:v>
                </c:pt>
                <c:pt idx="49">
                  <c:v>180500000</c:v>
                </c:pt>
                <c:pt idx="50">
                  <c:v>180500000</c:v>
                </c:pt>
                <c:pt idx="51">
                  <c:v>180500000</c:v>
                </c:pt>
                <c:pt idx="52">
                  <c:v>180500000</c:v>
                </c:pt>
                <c:pt idx="53">
                  <c:v>184100000</c:v>
                </c:pt>
                <c:pt idx="54">
                  <c:v>184100000</c:v>
                </c:pt>
                <c:pt idx="55">
                  <c:v>184800000</c:v>
                </c:pt>
                <c:pt idx="56">
                  <c:v>184000000</c:v>
                </c:pt>
                <c:pt idx="57">
                  <c:v>183800000</c:v>
                </c:pt>
                <c:pt idx="58">
                  <c:v>186800000</c:v>
                </c:pt>
                <c:pt idx="59">
                  <c:v>186800000</c:v>
                </c:pt>
                <c:pt idx="60">
                  <c:v>189400000</c:v>
                </c:pt>
                <c:pt idx="61">
                  <c:v>187900000</c:v>
                </c:pt>
                <c:pt idx="62">
                  <c:v>183900000</c:v>
                </c:pt>
                <c:pt idx="63">
                  <c:v>184400000</c:v>
                </c:pt>
                <c:pt idx="64">
                  <c:v>183500000</c:v>
                </c:pt>
                <c:pt idx="65">
                  <c:v>184700000</c:v>
                </c:pt>
                <c:pt idx="66">
                  <c:v>184700000</c:v>
                </c:pt>
                <c:pt idx="67">
                  <c:v>183800000</c:v>
                </c:pt>
                <c:pt idx="68">
                  <c:v>185800000</c:v>
                </c:pt>
                <c:pt idx="69">
                  <c:v>186900000</c:v>
                </c:pt>
                <c:pt idx="70">
                  <c:v>186000000</c:v>
                </c:pt>
                <c:pt idx="71">
                  <c:v>184500000</c:v>
                </c:pt>
                <c:pt idx="72">
                  <c:v>182300000</c:v>
                </c:pt>
                <c:pt idx="73">
                  <c:v>182300000</c:v>
                </c:pt>
                <c:pt idx="74">
                  <c:v>182800000</c:v>
                </c:pt>
                <c:pt idx="75">
                  <c:v>182700000</c:v>
                </c:pt>
                <c:pt idx="76">
                  <c:v>182700000</c:v>
                </c:pt>
                <c:pt idx="77">
                  <c:v>175200000</c:v>
                </c:pt>
                <c:pt idx="78">
                  <c:v>175800000</c:v>
                </c:pt>
                <c:pt idx="79">
                  <c:v>170700000</c:v>
                </c:pt>
                <c:pt idx="80">
                  <c:v>170700000</c:v>
                </c:pt>
                <c:pt idx="81">
                  <c:v>165800000</c:v>
                </c:pt>
                <c:pt idx="82">
                  <c:v>170000000</c:v>
                </c:pt>
                <c:pt idx="83">
                  <c:v>173300000</c:v>
                </c:pt>
                <c:pt idx="84">
                  <c:v>171300000</c:v>
                </c:pt>
                <c:pt idx="85">
                  <c:v>171400000</c:v>
                </c:pt>
                <c:pt idx="86">
                  <c:v>172600000</c:v>
                </c:pt>
                <c:pt idx="87">
                  <c:v>172600000</c:v>
                </c:pt>
                <c:pt idx="88">
                  <c:v>173600000</c:v>
                </c:pt>
                <c:pt idx="89">
                  <c:v>174700000</c:v>
                </c:pt>
                <c:pt idx="90">
                  <c:v>176500000</c:v>
                </c:pt>
                <c:pt idx="91">
                  <c:v>173300000</c:v>
                </c:pt>
                <c:pt idx="92">
                  <c:v>174300000</c:v>
                </c:pt>
                <c:pt idx="93">
                  <c:v>174300000</c:v>
                </c:pt>
                <c:pt idx="94">
                  <c:v>174300000</c:v>
                </c:pt>
                <c:pt idx="95">
                  <c:v>172600000</c:v>
                </c:pt>
                <c:pt idx="96">
                  <c:v>172000000</c:v>
                </c:pt>
                <c:pt idx="97">
                  <c:v>174500000</c:v>
                </c:pt>
                <c:pt idx="98">
                  <c:v>171000000</c:v>
                </c:pt>
                <c:pt idx="99">
                  <c:v>172400000</c:v>
                </c:pt>
                <c:pt idx="100">
                  <c:v>172100000</c:v>
                </c:pt>
                <c:pt idx="101">
                  <c:v>172100000</c:v>
                </c:pt>
                <c:pt idx="102">
                  <c:v>171200000</c:v>
                </c:pt>
                <c:pt idx="103">
                  <c:v>172700000</c:v>
                </c:pt>
                <c:pt idx="104">
                  <c:v>173200000</c:v>
                </c:pt>
                <c:pt idx="105">
                  <c:v>170700000</c:v>
                </c:pt>
                <c:pt idx="106">
                  <c:v>170500000</c:v>
                </c:pt>
                <c:pt idx="107">
                  <c:v>171500000</c:v>
                </c:pt>
                <c:pt idx="108">
                  <c:v>171500000</c:v>
                </c:pt>
                <c:pt idx="109">
                  <c:v>170800000</c:v>
                </c:pt>
                <c:pt idx="110">
                  <c:v>170400000</c:v>
                </c:pt>
                <c:pt idx="111">
                  <c:v>169800000</c:v>
                </c:pt>
                <c:pt idx="112">
                  <c:v>169000000</c:v>
                </c:pt>
                <c:pt idx="113">
                  <c:v>167500000</c:v>
                </c:pt>
                <c:pt idx="114">
                  <c:v>168300000</c:v>
                </c:pt>
                <c:pt idx="115">
                  <c:v>168300000</c:v>
                </c:pt>
                <c:pt idx="116">
                  <c:v>168300000</c:v>
                </c:pt>
                <c:pt idx="117">
                  <c:v>168300000</c:v>
                </c:pt>
                <c:pt idx="118">
                  <c:v>168300000</c:v>
                </c:pt>
                <c:pt idx="119">
                  <c:v>165500000</c:v>
                </c:pt>
                <c:pt idx="120">
                  <c:v>165500000</c:v>
                </c:pt>
                <c:pt idx="121">
                  <c:v>165500000</c:v>
                </c:pt>
                <c:pt idx="122">
                  <c:v>165500000</c:v>
                </c:pt>
                <c:pt idx="123">
                  <c:v>165800000</c:v>
                </c:pt>
                <c:pt idx="124">
                  <c:v>164500000</c:v>
                </c:pt>
                <c:pt idx="125">
                  <c:v>165500000</c:v>
                </c:pt>
                <c:pt idx="126">
                  <c:v>167000000</c:v>
                </c:pt>
                <c:pt idx="127">
                  <c:v>167000000</c:v>
                </c:pt>
                <c:pt idx="128">
                  <c:v>167000000</c:v>
                </c:pt>
                <c:pt idx="129">
                  <c:v>167000000</c:v>
                </c:pt>
                <c:pt idx="130">
                  <c:v>164700000</c:v>
                </c:pt>
                <c:pt idx="131">
                  <c:v>165300000</c:v>
                </c:pt>
                <c:pt idx="132">
                  <c:v>164800000</c:v>
                </c:pt>
                <c:pt idx="133">
                  <c:v>164800000</c:v>
                </c:pt>
                <c:pt idx="134">
                  <c:v>163800000</c:v>
                </c:pt>
                <c:pt idx="135">
                  <c:v>163300000</c:v>
                </c:pt>
                <c:pt idx="136">
                  <c:v>163300000</c:v>
                </c:pt>
                <c:pt idx="137">
                  <c:v>163300000</c:v>
                </c:pt>
                <c:pt idx="138">
                  <c:v>163300000</c:v>
                </c:pt>
                <c:pt idx="139">
                  <c:v>161000000</c:v>
                </c:pt>
                <c:pt idx="140">
                  <c:v>161900000</c:v>
                </c:pt>
                <c:pt idx="141">
                  <c:v>161500000</c:v>
                </c:pt>
                <c:pt idx="142">
                  <c:v>161000000</c:v>
                </c:pt>
                <c:pt idx="143">
                  <c:v>161000000</c:v>
                </c:pt>
                <c:pt idx="144">
                  <c:v>161500000</c:v>
                </c:pt>
                <c:pt idx="145">
                  <c:v>161000000</c:v>
                </c:pt>
                <c:pt idx="146">
                  <c:v>160200000</c:v>
                </c:pt>
                <c:pt idx="147">
                  <c:v>157300000</c:v>
                </c:pt>
                <c:pt idx="148">
                  <c:v>158300000</c:v>
                </c:pt>
                <c:pt idx="149">
                  <c:v>158800000</c:v>
                </c:pt>
                <c:pt idx="150">
                  <c:v>158800000</c:v>
                </c:pt>
                <c:pt idx="151">
                  <c:v>158300000</c:v>
                </c:pt>
                <c:pt idx="152">
                  <c:v>157300000</c:v>
                </c:pt>
                <c:pt idx="153">
                  <c:v>156800000</c:v>
                </c:pt>
                <c:pt idx="154">
                  <c:v>155800000</c:v>
                </c:pt>
                <c:pt idx="155">
                  <c:v>153000000</c:v>
                </c:pt>
                <c:pt idx="156">
                  <c:v>150000000</c:v>
                </c:pt>
                <c:pt idx="157">
                  <c:v>150000000</c:v>
                </c:pt>
                <c:pt idx="158">
                  <c:v>143600000</c:v>
                </c:pt>
                <c:pt idx="159">
                  <c:v>143600000</c:v>
                </c:pt>
                <c:pt idx="160">
                  <c:v>138200000</c:v>
                </c:pt>
                <c:pt idx="161">
                  <c:v>138300000</c:v>
                </c:pt>
                <c:pt idx="162">
                  <c:v>145300000</c:v>
                </c:pt>
                <c:pt idx="163">
                  <c:v>146900000</c:v>
                </c:pt>
                <c:pt idx="164">
                  <c:v>146900000</c:v>
                </c:pt>
                <c:pt idx="165">
                  <c:v>150400000</c:v>
                </c:pt>
                <c:pt idx="166">
                  <c:v>151400000</c:v>
                </c:pt>
                <c:pt idx="167">
                  <c:v>151200000</c:v>
                </c:pt>
                <c:pt idx="168">
                  <c:v>151200000</c:v>
                </c:pt>
                <c:pt idx="169">
                  <c:v>146600000</c:v>
                </c:pt>
                <c:pt idx="170">
                  <c:v>147100000</c:v>
                </c:pt>
                <c:pt idx="171">
                  <c:v>147100000</c:v>
                </c:pt>
                <c:pt idx="172">
                  <c:v>148500000</c:v>
                </c:pt>
                <c:pt idx="173">
                  <c:v>146900000</c:v>
                </c:pt>
                <c:pt idx="174">
                  <c:v>146900000</c:v>
                </c:pt>
                <c:pt idx="175">
                  <c:v>146100000</c:v>
                </c:pt>
                <c:pt idx="176">
                  <c:v>146900000</c:v>
                </c:pt>
                <c:pt idx="177">
                  <c:v>148400000</c:v>
                </c:pt>
                <c:pt idx="178">
                  <c:v>148400000</c:v>
                </c:pt>
                <c:pt idx="179">
                  <c:v>147900000</c:v>
                </c:pt>
                <c:pt idx="180">
                  <c:v>146900000</c:v>
                </c:pt>
                <c:pt idx="181">
                  <c:v>146300000</c:v>
                </c:pt>
                <c:pt idx="182">
                  <c:v>148300000</c:v>
                </c:pt>
                <c:pt idx="183">
                  <c:v>151300000</c:v>
                </c:pt>
                <c:pt idx="184">
                  <c:v>151300000</c:v>
                </c:pt>
                <c:pt idx="185">
                  <c:v>151300000</c:v>
                </c:pt>
                <c:pt idx="186">
                  <c:v>150900000</c:v>
                </c:pt>
                <c:pt idx="187">
                  <c:v>149700000</c:v>
                </c:pt>
                <c:pt idx="188">
                  <c:v>148200000</c:v>
                </c:pt>
                <c:pt idx="189">
                  <c:v>148700000</c:v>
                </c:pt>
                <c:pt idx="190">
                  <c:v>149400000</c:v>
                </c:pt>
                <c:pt idx="191">
                  <c:v>149400000</c:v>
                </c:pt>
                <c:pt idx="192">
                  <c:v>149400000</c:v>
                </c:pt>
                <c:pt idx="193">
                  <c:v>147900000</c:v>
                </c:pt>
                <c:pt idx="194">
                  <c:v>147000000</c:v>
                </c:pt>
                <c:pt idx="195">
                  <c:v>148000000</c:v>
                </c:pt>
                <c:pt idx="196">
                  <c:v>147200000</c:v>
                </c:pt>
                <c:pt idx="197">
                  <c:v>145600000</c:v>
                </c:pt>
                <c:pt idx="198">
                  <c:v>146500000</c:v>
                </c:pt>
                <c:pt idx="199">
                  <c:v>146500000</c:v>
                </c:pt>
                <c:pt idx="200">
                  <c:v>145000000</c:v>
                </c:pt>
                <c:pt idx="201">
                  <c:v>145400000</c:v>
                </c:pt>
                <c:pt idx="202">
                  <c:v>145000000</c:v>
                </c:pt>
                <c:pt idx="203">
                  <c:v>139000000</c:v>
                </c:pt>
                <c:pt idx="204">
                  <c:v>140000000</c:v>
                </c:pt>
                <c:pt idx="205">
                  <c:v>141000000</c:v>
                </c:pt>
                <c:pt idx="206">
                  <c:v>141000000</c:v>
                </c:pt>
                <c:pt idx="207">
                  <c:v>142500000</c:v>
                </c:pt>
                <c:pt idx="208">
                  <c:v>141000000</c:v>
                </c:pt>
                <c:pt idx="209">
                  <c:v>141000000</c:v>
                </c:pt>
                <c:pt idx="210">
                  <c:v>141200000</c:v>
                </c:pt>
                <c:pt idx="211">
                  <c:v>141400000</c:v>
                </c:pt>
                <c:pt idx="212">
                  <c:v>140500000</c:v>
                </c:pt>
                <c:pt idx="213">
                  <c:v>140500000</c:v>
                </c:pt>
                <c:pt idx="214">
                  <c:v>140500000</c:v>
                </c:pt>
                <c:pt idx="215">
                  <c:v>140000000</c:v>
                </c:pt>
                <c:pt idx="216">
                  <c:v>141300000</c:v>
                </c:pt>
                <c:pt idx="217">
                  <c:v>142200000</c:v>
                </c:pt>
                <c:pt idx="218">
                  <c:v>141700000</c:v>
                </c:pt>
                <c:pt idx="219">
                  <c:v>143500000</c:v>
                </c:pt>
                <c:pt idx="220">
                  <c:v>143500000</c:v>
                </c:pt>
                <c:pt idx="221">
                  <c:v>143600000</c:v>
                </c:pt>
                <c:pt idx="222">
                  <c:v>143000000</c:v>
                </c:pt>
                <c:pt idx="223">
                  <c:v>143800000</c:v>
                </c:pt>
                <c:pt idx="224">
                  <c:v>143800000</c:v>
                </c:pt>
                <c:pt idx="225">
                  <c:v>142800000</c:v>
                </c:pt>
                <c:pt idx="226">
                  <c:v>143500000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4-4E83-A392-44315367E881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 Giá vàng thế giới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61"/>
              <c:layout>
                <c:manualLayout>
                  <c:x val="-3.9868539487319131E-2"/>
                  <c:y val="1.72705649917998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04-4E83-A392-44315367E881}"/>
                </c:ext>
              </c:extLst>
            </c:dLbl>
            <c:dLbl>
              <c:idx val="206"/>
              <c:layout>
                <c:manualLayout>
                  <c:x val="-3.8667770995484352E-2"/>
                  <c:y val="3.3510922279660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04-4E83-A392-44315367E881}"/>
                </c:ext>
              </c:extLst>
            </c:dLbl>
            <c:dLbl>
              <c:idx val="226"/>
              <c:layout>
                <c:manualLayout>
                  <c:x val="0"/>
                  <c:y val="7.6141860160293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04-4E83-A392-44315367E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Sheet1!$C$2:$C$228</c:f>
              <c:strCache>
                <c:ptCount val="227"/>
                <c:pt idx="0">
                  <c:v>Tuần  1</c:v>
                </c:pt>
                <c:pt idx="1">
                  <c:v>Tuần  1</c:v>
                </c:pt>
                <c:pt idx="2">
                  <c:v>Tuần  1</c:v>
                </c:pt>
                <c:pt idx="3">
                  <c:v>Tuần  2</c:v>
                </c:pt>
                <c:pt idx="4">
                  <c:v>Tuần  2</c:v>
                </c:pt>
                <c:pt idx="5">
                  <c:v>Tuần  2</c:v>
                </c:pt>
                <c:pt idx="6">
                  <c:v>Tuần  2</c:v>
                </c:pt>
                <c:pt idx="7">
                  <c:v>Tuần  2</c:v>
                </c:pt>
                <c:pt idx="8">
                  <c:v>Tuần  2</c:v>
                </c:pt>
                <c:pt idx="9">
                  <c:v>Tuần  2</c:v>
                </c:pt>
                <c:pt idx="10">
                  <c:v>Tuần  3</c:v>
                </c:pt>
                <c:pt idx="11">
                  <c:v>Tuần  3</c:v>
                </c:pt>
                <c:pt idx="12">
                  <c:v>Tuần  3</c:v>
                </c:pt>
                <c:pt idx="13">
                  <c:v>Tuần  3</c:v>
                </c:pt>
                <c:pt idx="14">
                  <c:v>Tuần  3</c:v>
                </c:pt>
                <c:pt idx="15">
                  <c:v>Tuần  3</c:v>
                </c:pt>
                <c:pt idx="16">
                  <c:v>Tuần  3</c:v>
                </c:pt>
                <c:pt idx="17">
                  <c:v>Tuần  4</c:v>
                </c:pt>
                <c:pt idx="18">
                  <c:v>Tuần  4</c:v>
                </c:pt>
                <c:pt idx="19">
                  <c:v>Tuần  4</c:v>
                </c:pt>
                <c:pt idx="20">
                  <c:v>Tuần  4</c:v>
                </c:pt>
                <c:pt idx="21">
                  <c:v>Tuần  4</c:v>
                </c:pt>
                <c:pt idx="22">
                  <c:v>Tuần  4</c:v>
                </c:pt>
                <c:pt idx="23">
                  <c:v>Tuần  4</c:v>
                </c:pt>
                <c:pt idx="24">
                  <c:v>Tuần  5</c:v>
                </c:pt>
                <c:pt idx="25">
                  <c:v>Tuần  5</c:v>
                </c:pt>
                <c:pt idx="26">
                  <c:v>Tuần  5</c:v>
                </c:pt>
                <c:pt idx="27">
                  <c:v>Tuần  5</c:v>
                </c:pt>
                <c:pt idx="28">
                  <c:v>Tuần  5</c:v>
                </c:pt>
                <c:pt idx="29">
                  <c:v>Tuần  5</c:v>
                </c:pt>
                <c:pt idx="30">
                  <c:v>Tuần  5</c:v>
                </c:pt>
                <c:pt idx="31">
                  <c:v>Tuần  6</c:v>
                </c:pt>
                <c:pt idx="32">
                  <c:v>Tuần  6</c:v>
                </c:pt>
                <c:pt idx="33">
                  <c:v>Tuần  6</c:v>
                </c:pt>
                <c:pt idx="34">
                  <c:v>Tuần  6</c:v>
                </c:pt>
                <c:pt idx="35">
                  <c:v>Tuần  6</c:v>
                </c:pt>
                <c:pt idx="36">
                  <c:v>Tuần  6</c:v>
                </c:pt>
                <c:pt idx="37">
                  <c:v>Tuần  6</c:v>
                </c:pt>
                <c:pt idx="38">
                  <c:v>Tuần  7</c:v>
                </c:pt>
                <c:pt idx="39">
                  <c:v>Tuần  7</c:v>
                </c:pt>
                <c:pt idx="40">
                  <c:v>Tuần  7</c:v>
                </c:pt>
                <c:pt idx="41">
                  <c:v>Tuần  7</c:v>
                </c:pt>
                <c:pt idx="42">
                  <c:v>Tuần  7</c:v>
                </c:pt>
                <c:pt idx="43">
                  <c:v>Tuần  7</c:v>
                </c:pt>
                <c:pt idx="44">
                  <c:v>Tuần  7</c:v>
                </c:pt>
                <c:pt idx="45">
                  <c:v>Tuần  8</c:v>
                </c:pt>
                <c:pt idx="46">
                  <c:v>Tuần  8</c:v>
                </c:pt>
                <c:pt idx="47">
                  <c:v>Tuần  8</c:v>
                </c:pt>
                <c:pt idx="48">
                  <c:v>Tuần  8</c:v>
                </c:pt>
                <c:pt idx="49">
                  <c:v>Tuần  8</c:v>
                </c:pt>
                <c:pt idx="50">
                  <c:v>Tuần  8</c:v>
                </c:pt>
                <c:pt idx="51">
                  <c:v>Tuần  8</c:v>
                </c:pt>
                <c:pt idx="52">
                  <c:v>Tuần  9</c:v>
                </c:pt>
                <c:pt idx="53">
                  <c:v>Tuần  9</c:v>
                </c:pt>
                <c:pt idx="54">
                  <c:v>Tuần  9</c:v>
                </c:pt>
                <c:pt idx="55">
                  <c:v>Tuần  9</c:v>
                </c:pt>
                <c:pt idx="56">
                  <c:v>Tuần  9</c:v>
                </c:pt>
                <c:pt idx="57">
                  <c:v>Tuần  9</c:v>
                </c:pt>
                <c:pt idx="58">
                  <c:v>Tuần  9</c:v>
                </c:pt>
                <c:pt idx="59">
                  <c:v>Tuần  10</c:v>
                </c:pt>
                <c:pt idx="60">
                  <c:v>Tuần  10</c:v>
                </c:pt>
                <c:pt idx="61">
                  <c:v>Tuần  10</c:v>
                </c:pt>
                <c:pt idx="62">
                  <c:v>Tuần  10</c:v>
                </c:pt>
                <c:pt idx="63">
                  <c:v>Tuần  10</c:v>
                </c:pt>
                <c:pt idx="64">
                  <c:v>Tuần  10</c:v>
                </c:pt>
                <c:pt idx="65">
                  <c:v>Tuần  10</c:v>
                </c:pt>
                <c:pt idx="66">
                  <c:v>Tuần  11</c:v>
                </c:pt>
                <c:pt idx="67">
                  <c:v>Tuần  11</c:v>
                </c:pt>
                <c:pt idx="68">
                  <c:v>Tuần  11</c:v>
                </c:pt>
                <c:pt idx="69">
                  <c:v>Tuần  11</c:v>
                </c:pt>
                <c:pt idx="70">
                  <c:v>Tuần  11</c:v>
                </c:pt>
                <c:pt idx="71">
                  <c:v>Tuần  11</c:v>
                </c:pt>
                <c:pt idx="72">
                  <c:v>Tuần  11</c:v>
                </c:pt>
                <c:pt idx="73">
                  <c:v>Tuần  12</c:v>
                </c:pt>
                <c:pt idx="74">
                  <c:v>Tuần  12</c:v>
                </c:pt>
                <c:pt idx="75">
                  <c:v>Tuần  12</c:v>
                </c:pt>
                <c:pt idx="76">
                  <c:v>Tuần  12</c:v>
                </c:pt>
                <c:pt idx="77">
                  <c:v>Tuần  12</c:v>
                </c:pt>
                <c:pt idx="78">
                  <c:v>Tuần  12</c:v>
                </c:pt>
                <c:pt idx="79">
                  <c:v>Tuần  12</c:v>
                </c:pt>
                <c:pt idx="80">
                  <c:v>Tuần  13</c:v>
                </c:pt>
                <c:pt idx="81">
                  <c:v>Tuần  13</c:v>
                </c:pt>
                <c:pt idx="82">
                  <c:v>Tuần  13</c:v>
                </c:pt>
                <c:pt idx="83">
                  <c:v>Tuần  13</c:v>
                </c:pt>
                <c:pt idx="84">
                  <c:v>Tuần  13</c:v>
                </c:pt>
                <c:pt idx="85">
                  <c:v>Tuần  13</c:v>
                </c:pt>
                <c:pt idx="86">
                  <c:v>Tuần  13</c:v>
                </c:pt>
                <c:pt idx="87">
                  <c:v>Tuần  14</c:v>
                </c:pt>
                <c:pt idx="88">
                  <c:v>Tuần  14</c:v>
                </c:pt>
                <c:pt idx="89">
                  <c:v>Tuần  14</c:v>
                </c:pt>
                <c:pt idx="90">
                  <c:v>Tuần  14</c:v>
                </c:pt>
                <c:pt idx="91">
                  <c:v>Tuần  14</c:v>
                </c:pt>
                <c:pt idx="92">
                  <c:v>Tuần  14</c:v>
                </c:pt>
                <c:pt idx="93">
                  <c:v>Tuần  14</c:v>
                </c:pt>
                <c:pt idx="94">
                  <c:v>Tuần  15</c:v>
                </c:pt>
                <c:pt idx="95">
                  <c:v>Tuần  15</c:v>
                </c:pt>
                <c:pt idx="96">
                  <c:v>Tuần  15</c:v>
                </c:pt>
                <c:pt idx="97">
                  <c:v>Tuần  15</c:v>
                </c:pt>
                <c:pt idx="98">
                  <c:v>Tuần  15</c:v>
                </c:pt>
                <c:pt idx="99">
                  <c:v>Tuần  15</c:v>
                </c:pt>
                <c:pt idx="100">
                  <c:v>Tuần  15</c:v>
                </c:pt>
                <c:pt idx="101">
                  <c:v>Tuần  16</c:v>
                </c:pt>
                <c:pt idx="102">
                  <c:v>Tuần  16</c:v>
                </c:pt>
                <c:pt idx="103">
                  <c:v>Tuần  16</c:v>
                </c:pt>
                <c:pt idx="104">
                  <c:v>Tuần  16</c:v>
                </c:pt>
                <c:pt idx="105">
                  <c:v>Tuần  16</c:v>
                </c:pt>
                <c:pt idx="106">
                  <c:v>Tuần  16</c:v>
                </c:pt>
                <c:pt idx="107">
                  <c:v>Tuần  16</c:v>
                </c:pt>
                <c:pt idx="108">
                  <c:v>Tuần  17</c:v>
                </c:pt>
                <c:pt idx="109">
                  <c:v>Tuần  17</c:v>
                </c:pt>
                <c:pt idx="110">
                  <c:v>Tuần  17</c:v>
                </c:pt>
                <c:pt idx="111">
                  <c:v>Tuần  17</c:v>
                </c:pt>
                <c:pt idx="112">
                  <c:v>Tuần  17</c:v>
                </c:pt>
                <c:pt idx="113">
                  <c:v>Tuần  17</c:v>
                </c:pt>
                <c:pt idx="114">
                  <c:v>Tuần  17</c:v>
                </c:pt>
                <c:pt idx="115">
                  <c:v>Tuần  18</c:v>
                </c:pt>
                <c:pt idx="116">
                  <c:v>Tuần  18</c:v>
                </c:pt>
                <c:pt idx="117">
                  <c:v>Tuần  18</c:v>
                </c:pt>
                <c:pt idx="118">
                  <c:v>Tuần  18</c:v>
                </c:pt>
                <c:pt idx="119">
                  <c:v>Tuần  18</c:v>
                </c:pt>
                <c:pt idx="120">
                  <c:v>Tuần  18</c:v>
                </c:pt>
                <c:pt idx="121">
                  <c:v>Tuần  18</c:v>
                </c:pt>
                <c:pt idx="122">
                  <c:v>Tuần  19</c:v>
                </c:pt>
                <c:pt idx="123">
                  <c:v>Tuần  19</c:v>
                </c:pt>
                <c:pt idx="124">
                  <c:v>Tuần  19</c:v>
                </c:pt>
                <c:pt idx="125">
                  <c:v>Tuần  19</c:v>
                </c:pt>
                <c:pt idx="126">
                  <c:v>Tuần  19</c:v>
                </c:pt>
                <c:pt idx="127">
                  <c:v>Tuần  19</c:v>
                </c:pt>
                <c:pt idx="128">
                  <c:v>Tuần  19</c:v>
                </c:pt>
                <c:pt idx="129">
                  <c:v>Tuần  20</c:v>
                </c:pt>
                <c:pt idx="130">
                  <c:v>Tuần  20</c:v>
                </c:pt>
                <c:pt idx="131">
                  <c:v>Tuần  20</c:v>
                </c:pt>
                <c:pt idx="132">
                  <c:v>Tuần  20</c:v>
                </c:pt>
                <c:pt idx="133">
                  <c:v>Tuần  20</c:v>
                </c:pt>
                <c:pt idx="134">
                  <c:v>Tuần  20</c:v>
                </c:pt>
                <c:pt idx="135">
                  <c:v>Tuần  20</c:v>
                </c:pt>
                <c:pt idx="136">
                  <c:v>Tuần  21</c:v>
                </c:pt>
                <c:pt idx="137">
                  <c:v>Tuần  21</c:v>
                </c:pt>
                <c:pt idx="138">
                  <c:v>Tuần  21</c:v>
                </c:pt>
                <c:pt idx="139">
                  <c:v>Tuần  21</c:v>
                </c:pt>
                <c:pt idx="140">
                  <c:v>Tuần  21</c:v>
                </c:pt>
                <c:pt idx="141">
                  <c:v>Tuần  21</c:v>
                </c:pt>
                <c:pt idx="142">
                  <c:v>Tuần  21</c:v>
                </c:pt>
                <c:pt idx="143">
                  <c:v>Tuần  22</c:v>
                </c:pt>
                <c:pt idx="144">
                  <c:v>Tuần  22</c:v>
                </c:pt>
                <c:pt idx="145">
                  <c:v>Tuần  22</c:v>
                </c:pt>
                <c:pt idx="146">
                  <c:v>Tuần  22</c:v>
                </c:pt>
                <c:pt idx="147">
                  <c:v>Tuần  22</c:v>
                </c:pt>
                <c:pt idx="148">
                  <c:v>Tuần  22</c:v>
                </c:pt>
                <c:pt idx="149">
                  <c:v>Tuần  22</c:v>
                </c:pt>
                <c:pt idx="150">
                  <c:v>Tuần  23</c:v>
                </c:pt>
                <c:pt idx="151">
                  <c:v>Tuần  23</c:v>
                </c:pt>
                <c:pt idx="152">
                  <c:v>Tuần  23</c:v>
                </c:pt>
                <c:pt idx="153">
                  <c:v>Tuần  23</c:v>
                </c:pt>
                <c:pt idx="154">
                  <c:v>Tuần  23</c:v>
                </c:pt>
                <c:pt idx="155">
                  <c:v>Tuần  23</c:v>
                </c:pt>
                <c:pt idx="156">
                  <c:v>Tuần  23</c:v>
                </c:pt>
                <c:pt idx="157">
                  <c:v>Tuần  24</c:v>
                </c:pt>
                <c:pt idx="158">
                  <c:v>Tuần  24</c:v>
                </c:pt>
                <c:pt idx="159">
                  <c:v>Tuần  24</c:v>
                </c:pt>
                <c:pt idx="160">
                  <c:v>Tuần  24</c:v>
                </c:pt>
                <c:pt idx="161">
                  <c:v>Tuần  24</c:v>
                </c:pt>
                <c:pt idx="162">
                  <c:v>Tuần  24</c:v>
                </c:pt>
                <c:pt idx="163">
                  <c:v>Tuần  24</c:v>
                </c:pt>
                <c:pt idx="164">
                  <c:v>Tuần  25</c:v>
                </c:pt>
                <c:pt idx="165">
                  <c:v>Tuần  25</c:v>
                </c:pt>
                <c:pt idx="166">
                  <c:v>Tuần  25</c:v>
                </c:pt>
                <c:pt idx="167">
                  <c:v>Tuần  25</c:v>
                </c:pt>
                <c:pt idx="168">
                  <c:v>Tuần  25</c:v>
                </c:pt>
                <c:pt idx="169">
                  <c:v>Tuần  25</c:v>
                </c:pt>
                <c:pt idx="170">
                  <c:v>Tuần  25</c:v>
                </c:pt>
                <c:pt idx="171">
                  <c:v>Tuần  26</c:v>
                </c:pt>
                <c:pt idx="172">
                  <c:v>Tuần  26</c:v>
                </c:pt>
                <c:pt idx="173">
                  <c:v>Tuần  26</c:v>
                </c:pt>
                <c:pt idx="174">
                  <c:v>Tuần  26</c:v>
                </c:pt>
                <c:pt idx="175">
                  <c:v>Tuần  26</c:v>
                </c:pt>
                <c:pt idx="176">
                  <c:v>Tuần  26</c:v>
                </c:pt>
                <c:pt idx="177">
                  <c:v>Tuần  26</c:v>
                </c:pt>
                <c:pt idx="178">
                  <c:v>Tuần  27</c:v>
                </c:pt>
                <c:pt idx="179">
                  <c:v>Tuần  27</c:v>
                </c:pt>
                <c:pt idx="180">
                  <c:v>Tuần  27</c:v>
                </c:pt>
                <c:pt idx="181">
                  <c:v>Tuần  27</c:v>
                </c:pt>
                <c:pt idx="182">
                  <c:v>Tuần  27</c:v>
                </c:pt>
                <c:pt idx="183">
                  <c:v>Tuần  27</c:v>
                </c:pt>
                <c:pt idx="184">
                  <c:v>Tuần  27</c:v>
                </c:pt>
                <c:pt idx="185">
                  <c:v>Tuần  28</c:v>
                </c:pt>
                <c:pt idx="186">
                  <c:v>Tuần  28</c:v>
                </c:pt>
                <c:pt idx="187">
                  <c:v>Tuần  28</c:v>
                </c:pt>
                <c:pt idx="188">
                  <c:v>Tuần  28</c:v>
                </c:pt>
                <c:pt idx="189">
                  <c:v>Tuần  28</c:v>
                </c:pt>
                <c:pt idx="190">
                  <c:v>Tuần  28</c:v>
                </c:pt>
                <c:pt idx="191">
                  <c:v>Tuần  28</c:v>
                </c:pt>
                <c:pt idx="192">
                  <c:v>Tuần  29</c:v>
                </c:pt>
                <c:pt idx="193">
                  <c:v>Tuần  29</c:v>
                </c:pt>
                <c:pt idx="194">
                  <c:v>Tuần  29</c:v>
                </c:pt>
                <c:pt idx="195">
                  <c:v>Tuần  29</c:v>
                </c:pt>
                <c:pt idx="196">
                  <c:v>Tuần  29</c:v>
                </c:pt>
                <c:pt idx="197">
                  <c:v>Tuần  29</c:v>
                </c:pt>
                <c:pt idx="198">
                  <c:v>Tuần  29</c:v>
                </c:pt>
                <c:pt idx="199">
                  <c:v>Tuần  30</c:v>
                </c:pt>
                <c:pt idx="200">
                  <c:v>Tuần  30</c:v>
                </c:pt>
                <c:pt idx="201">
                  <c:v>Tuần  30</c:v>
                </c:pt>
                <c:pt idx="202">
                  <c:v>Tuần  30</c:v>
                </c:pt>
                <c:pt idx="203">
                  <c:v>Tuần  30</c:v>
                </c:pt>
                <c:pt idx="204">
                  <c:v>Tuần  30</c:v>
                </c:pt>
                <c:pt idx="205">
                  <c:v>Tuần  30</c:v>
                </c:pt>
                <c:pt idx="206">
                  <c:v>Tuần  31</c:v>
                </c:pt>
                <c:pt idx="207">
                  <c:v>Tuần  31</c:v>
                </c:pt>
                <c:pt idx="208">
                  <c:v>Tuần  31</c:v>
                </c:pt>
                <c:pt idx="209">
                  <c:v>Tuần  31</c:v>
                </c:pt>
                <c:pt idx="210">
                  <c:v>Tuần  31</c:v>
                </c:pt>
                <c:pt idx="211">
                  <c:v>Tuần  31</c:v>
                </c:pt>
                <c:pt idx="212">
                  <c:v>Tuần  31</c:v>
                </c:pt>
                <c:pt idx="213">
                  <c:v>Tuần  32</c:v>
                </c:pt>
                <c:pt idx="214">
                  <c:v>Tuần  32</c:v>
                </c:pt>
                <c:pt idx="215">
                  <c:v>Tuần  32</c:v>
                </c:pt>
                <c:pt idx="216">
                  <c:v>Tuần  32</c:v>
                </c:pt>
                <c:pt idx="217">
                  <c:v>Tuần  32</c:v>
                </c:pt>
                <c:pt idx="218">
                  <c:v>Tuần  32</c:v>
                </c:pt>
                <c:pt idx="219">
                  <c:v>Tuần  32</c:v>
                </c:pt>
                <c:pt idx="220">
                  <c:v>Tuần  33</c:v>
                </c:pt>
                <c:pt idx="221">
                  <c:v>Tuần  33</c:v>
                </c:pt>
                <c:pt idx="222">
                  <c:v>Tuần  33</c:v>
                </c:pt>
                <c:pt idx="223">
                  <c:v>Tuần  33</c:v>
                </c:pt>
                <c:pt idx="224">
                  <c:v>Tuần  33</c:v>
                </c:pt>
                <c:pt idx="225">
                  <c:v>Tuần  33</c:v>
                </c:pt>
                <c:pt idx="226">
                  <c:v>Tuần  33</c:v>
                </c:pt>
              </c:strCache>
            </c:strRef>
          </c:cat>
          <c:val>
            <c:numRef>
              <c:f>Sheet1!$H$2:$H$228</c:f>
              <c:numCache>
                <c:formatCode>_(* #,##0_);_(* \(#,##0\);_(* "-"??_);_(@_)</c:formatCode>
                <c:ptCount val="227"/>
                <c:pt idx="0">
                  <c:v>135406413.59205043</c:v>
                </c:pt>
                <c:pt idx="1">
                  <c:v>135494185.13526219</c:v>
                </c:pt>
                <c:pt idx="2">
                  <c:v>135804520.2344754</c:v>
                </c:pt>
                <c:pt idx="3">
                  <c:v>135804520.2344754</c:v>
                </c:pt>
                <c:pt idx="4">
                  <c:v>139280900.28525752</c:v>
                </c:pt>
                <c:pt idx="5">
                  <c:v>140575530.54763174</c:v>
                </c:pt>
                <c:pt idx="6">
                  <c:v>139738566.18914768</c:v>
                </c:pt>
                <c:pt idx="7">
                  <c:v>139688411.02159807</c:v>
                </c:pt>
                <c:pt idx="8">
                  <c:v>141218143.63186106</c:v>
                </c:pt>
                <c:pt idx="9">
                  <c:v>141399956.1142284</c:v>
                </c:pt>
                <c:pt idx="10">
                  <c:v>141399956.1142284</c:v>
                </c:pt>
                <c:pt idx="11">
                  <c:v>144907683.14472902</c:v>
                </c:pt>
                <c:pt idx="12">
                  <c:v>144092661.67204791</c:v>
                </c:pt>
                <c:pt idx="13">
                  <c:v>144892009.65486977</c:v>
                </c:pt>
                <c:pt idx="14">
                  <c:v>144678850.19278392</c:v>
                </c:pt>
                <c:pt idx="15">
                  <c:v>144017428.9207235</c:v>
                </c:pt>
                <c:pt idx="16">
                  <c:v>144133412.74568194</c:v>
                </c:pt>
                <c:pt idx="17">
                  <c:v>144133412.74568194</c:v>
                </c:pt>
                <c:pt idx="18">
                  <c:v>146481301.52659789</c:v>
                </c:pt>
                <c:pt idx="19">
                  <c:v>148688128.89878061</c:v>
                </c:pt>
                <c:pt idx="20">
                  <c:v>151694304.25378516</c:v>
                </c:pt>
                <c:pt idx="21">
                  <c:v>152948183.44252533</c:v>
                </c:pt>
                <c:pt idx="22">
                  <c:v>156321118.46023637</c:v>
                </c:pt>
                <c:pt idx="23">
                  <c:v>156267828.59471491</c:v>
                </c:pt>
                <c:pt idx="24">
                  <c:v>156267828.59471491</c:v>
                </c:pt>
                <c:pt idx="25">
                  <c:v>159352371.39901569</c:v>
                </c:pt>
                <c:pt idx="26">
                  <c:v>159759882.13535625</c:v>
                </c:pt>
                <c:pt idx="27">
                  <c:v>165762828.75144979</c:v>
                </c:pt>
                <c:pt idx="28">
                  <c:v>165853734.99263346</c:v>
                </c:pt>
                <c:pt idx="29">
                  <c:v>156794457.85398576</c:v>
                </c:pt>
                <c:pt idx="30">
                  <c:v>153330616.59509104</c:v>
                </c:pt>
                <c:pt idx="31">
                  <c:v>153330616.59509104</c:v>
                </c:pt>
                <c:pt idx="32">
                  <c:v>146308893.13814613</c:v>
                </c:pt>
                <c:pt idx="33">
                  <c:v>156089150.81031939</c:v>
                </c:pt>
                <c:pt idx="34">
                  <c:v>154308642.36230841</c:v>
                </c:pt>
                <c:pt idx="35">
                  <c:v>152211529.41914046</c:v>
                </c:pt>
                <c:pt idx="36">
                  <c:v>154835271.62157923</c:v>
                </c:pt>
                <c:pt idx="37">
                  <c:v>155731795.24152848</c:v>
                </c:pt>
                <c:pt idx="38">
                  <c:v>155731795.24152848</c:v>
                </c:pt>
                <c:pt idx="39">
                  <c:v>159085922.07140842</c:v>
                </c:pt>
                <c:pt idx="40">
                  <c:v>157302278.92542556</c:v>
                </c:pt>
                <c:pt idx="41">
                  <c:v>158656468.44926491</c:v>
                </c:pt>
                <c:pt idx="42">
                  <c:v>153129995.92489263</c:v>
                </c:pt>
                <c:pt idx="43">
                  <c:v>157509168.99156767</c:v>
                </c:pt>
                <c:pt idx="44">
                  <c:v>158089088.11635998</c:v>
                </c:pt>
                <c:pt idx="45">
                  <c:v>158089088.11635998</c:v>
                </c:pt>
                <c:pt idx="46">
                  <c:v>156339926.64806744</c:v>
                </c:pt>
                <c:pt idx="47">
                  <c:v>153189555.18635777</c:v>
                </c:pt>
                <c:pt idx="48">
                  <c:v>156600106.57973105</c:v>
                </c:pt>
                <c:pt idx="49">
                  <c:v>156712955.70671767</c:v>
                </c:pt>
                <c:pt idx="50">
                  <c:v>158399423.21557319</c:v>
                </c:pt>
                <c:pt idx="51">
                  <c:v>160117237.70414719</c:v>
                </c:pt>
                <c:pt idx="52">
                  <c:v>160117237.70414719</c:v>
                </c:pt>
                <c:pt idx="53">
                  <c:v>163549731.9833234</c:v>
                </c:pt>
                <c:pt idx="54">
                  <c:v>161264537.16184446</c:v>
                </c:pt>
                <c:pt idx="55">
                  <c:v>163114008.96523619</c:v>
                </c:pt>
                <c:pt idx="56">
                  <c:v>162414971.31751356</c:v>
                </c:pt>
                <c:pt idx="57">
                  <c:v>164117112.31622833</c:v>
                </c:pt>
                <c:pt idx="58">
                  <c:v>165518322.30964547</c:v>
                </c:pt>
                <c:pt idx="59">
                  <c:v>165518322.30964547</c:v>
                </c:pt>
                <c:pt idx="60">
                  <c:v>166421115.3255384</c:v>
                </c:pt>
                <c:pt idx="61">
                  <c:v>160430707.50133222</c:v>
                </c:pt>
                <c:pt idx="62">
                  <c:v>161474561.92595842</c:v>
                </c:pt>
                <c:pt idx="63">
                  <c:v>158957399.45456254</c:v>
                </c:pt>
                <c:pt idx="64">
                  <c:v>161220651.39023858</c:v>
                </c:pt>
                <c:pt idx="65">
                  <c:v>162189273.06354034</c:v>
                </c:pt>
                <c:pt idx="66">
                  <c:v>162189273.06354034</c:v>
                </c:pt>
                <c:pt idx="67">
                  <c:v>160035735.5568791</c:v>
                </c:pt>
                <c:pt idx="68">
                  <c:v>164076361.24259427</c:v>
                </c:pt>
                <c:pt idx="69">
                  <c:v>162032538.16494781</c:v>
                </c:pt>
                <c:pt idx="70">
                  <c:v>160969875.55249053</c:v>
                </c:pt>
                <c:pt idx="71">
                  <c:v>157935487.91573933</c:v>
                </c:pt>
                <c:pt idx="72">
                  <c:v>157352434.09297514</c:v>
                </c:pt>
                <c:pt idx="73">
                  <c:v>157352434.09297514</c:v>
                </c:pt>
                <c:pt idx="74">
                  <c:v>156139305.97786903</c:v>
                </c:pt>
                <c:pt idx="75">
                  <c:v>156847747.71950725</c:v>
                </c:pt>
                <c:pt idx="76">
                  <c:v>153023416.19384974</c:v>
                </c:pt>
                <c:pt idx="77">
                  <c:v>144268204.75847152</c:v>
                </c:pt>
                <c:pt idx="78">
                  <c:v>143838751.13632804</c:v>
                </c:pt>
                <c:pt idx="79">
                  <c:v>140816902.29146421</c:v>
                </c:pt>
                <c:pt idx="80">
                  <c:v>140816902.29146421</c:v>
                </c:pt>
                <c:pt idx="81">
                  <c:v>136744929.62603053</c:v>
                </c:pt>
                <c:pt idx="82">
                  <c:v>138675903.57669038</c:v>
                </c:pt>
                <c:pt idx="83">
                  <c:v>142885802.95288548</c:v>
                </c:pt>
                <c:pt idx="84">
                  <c:v>137769975.86282563</c:v>
                </c:pt>
                <c:pt idx="85">
                  <c:v>141995548.72887996</c:v>
                </c:pt>
                <c:pt idx="86">
                  <c:v>140904673.83467603</c:v>
                </c:pt>
                <c:pt idx="87">
                  <c:v>140904673.83467603</c:v>
                </c:pt>
                <c:pt idx="88">
                  <c:v>142312153.22403684</c:v>
                </c:pt>
                <c:pt idx="89">
                  <c:v>144797968.71571425</c:v>
                </c:pt>
                <c:pt idx="90">
                  <c:v>150061126.6104511</c:v>
                </c:pt>
                <c:pt idx="91">
                  <c:v>145967211.05921444</c:v>
                </c:pt>
                <c:pt idx="92">
                  <c:v>146641171.12316227</c:v>
                </c:pt>
                <c:pt idx="93">
                  <c:v>146641171.12316227</c:v>
                </c:pt>
                <c:pt idx="94">
                  <c:v>146641171.12316227</c:v>
                </c:pt>
                <c:pt idx="95">
                  <c:v>146368452.39961129</c:v>
                </c:pt>
                <c:pt idx="96">
                  <c:v>146145888.84360993</c:v>
                </c:pt>
                <c:pt idx="97">
                  <c:v>148923231.24666938</c:v>
                </c:pt>
                <c:pt idx="98">
                  <c:v>150286824.86442432</c:v>
                </c:pt>
                <c:pt idx="99">
                  <c:v>149286856.21140403</c:v>
                </c:pt>
                <c:pt idx="100">
                  <c:v>148873076.07911977</c:v>
                </c:pt>
                <c:pt idx="101">
                  <c:v>148873076.07911977</c:v>
                </c:pt>
                <c:pt idx="102">
                  <c:v>148324503.93404594</c:v>
                </c:pt>
                <c:pt idx="103">
                  <c:v>151098711.63913357</c:v>
                </c:pt>
                <c:pt idx="104">
                  <c:v>150782107.14397669</c:v>
                </c:pt>
                <c:pt idx="105">
                  <c:v>150499984.32651016</c:v>
                </c:pt>
                <c:pt idx="106">
                  <c:v>152681734.11491802</c:v>
                </c:pt>
                <c:pt idx="107">
                  <c:v>151449797.81198078</c:v>
                </c:pt>
                <c:pt idx="108">
                  <c:v>151449797.81198078</c:v>
                </c:pt>
                <c:pt idx="109">
                  <c:v>150518792.51434124</c:v>
                </c:pt>
                <c:pt idx="110">
                  <c:v>148170903.73342529</c:v>
                </c:pt>
                <c:pt idx="111">
                  <c:v>148233597.6928623</c:v>
                </c:pt>
                <c:pt idx="112">
                  <c:v>148105075.07601643</c:v>
                </c:pt>
                <c:pt idx="113">
                  <c:v>148123883.26384753</c:v>
                </c:pt>
                <c:pt idx="114">
                  <c:v>147669352.05792922</c:v>
                </c:pt>
                <c:pt idx="115">
                  <c:v>147669352.05792922</c:v>
                </c:pt>
                <c:pt idx="116">
                  <c:v>146597285.35155639</c:v>
                </c:pt>
                <c:pt idx="117">
                  <c:v>143747844.89514434</c:v>
                </c:pt>
                <c:pt idx="118">
                  <c:v>143089558.32105577</c:v>
                </c:pt>
                <c:pt idx="119">
                  <c:v>144506441.80433214</c:v>
                </c:pt>
                <c:pt idx="120">
                  <c:v>145497006.36343688</c:v>
                </c:pt>
                <c:pt idx="121">
                  <c:v>144678850.19278392</c:v>
                </c:pt>
                <c:pt idx="122">
                  <c:v>144678850.19278392</c:v>
                </c:pt>
                <c:pt idx="123">
                  <c:v>141541017.52296168</c:v>
                </c:pt>
                <c:pt idx="124">
                  <c:v>142948496.91232249</c:v>
                </c:pt>
                <c:pt idx="125">
                  <c:v>146982853.20209396</c:v>
                </c:pt>
                <c:pt idx="126">
                  <c:v>148083132.19021347</c:v>
                </c:pt>
                <c:pt idx="127">
                  <c:v>147860568.63421208</c:v>
                </c:pt>
                <c:pt idx="128">
                  <c:v>147822952.2585499</c:v>
                </c:pt>
                <c:pt idx="129">
                  <c:v>147822952.2585499</c:v>
                </c:pt>
                <c:pt idx="130">
                  <c:v>148142691.4516786</c:v>
                </c:pt>
                <c:pt idx="131">
                  <c:v>146409203.47324538</c:v>
                </c:pt>
                <c:pt idx="132">
                  <c:v>147669352.05792922</c:v>
                </c:pt>
                <c:pt idx="133">
                  <c:v>146631767.02924675</c:v>
                </c:pt>
                <c:pt idx="134">
                  <c:v>142343500.20375535</c:v>
                </c:pt>
                <c:pt idx="135">
                  <c:v>142352904.29767093</c:v>
                </c:pt>
                <c:pt idx="136">
                  <c:v>142352904.29767093</c:v>
                </c:pt>
                <c:pt idx="137">
                  <c:v>142352904.29767093</c:v>
                </c:pt>
                <c:pt idx="138">
                  <c:v>141359205.04059434</c:v>
                </c:pt>
                <c:pt idx="139">
                  <c:v>141951662.95727405</c:v>
                </c:pt>
                <c:pt idx="140">
                  <c:v>141638193.16008902</c:v>
                </c:pt>
                <c:pt idx="141">
                  <c:v>141813736.24651265</c:v>
                </c:pt>
                <c:pt idx="142">
                  <c:v>141390552.02031285</c:v>
                </c:pt>
                <c:pt idx="143">
                  <c:v>141390552.02031285</c:v>
                </c:pt>
                <c:pt idx="144">
                  <c:v>143283909.59531048</c:v>
                </c:pt>
                <c:pt idx="145">
                  <c:v>141343531.55073509</c:v>
                </c:pt>
                <c:pt idx="146">
                  <c:v>139403153.50615969</c:v>
                </c:pt>
                <c:pt idx="147">
                  <c:v>141108429.20284632</c:v>
                </c:pt>
                <c:pt idx="148">
                  <c:v>143036268.45553431</c:v>
                </c:pt>
                <c:pt idx="149">
                  <c:v>142324692.01592427</c:v>
                </c:pt>
                <c:pt idx="150">
                  <c:v>142324692.01592427</c:v>
                </c:pt>
                <c:pt idx="151">
                  <c:v>140064574.77822012</c:v>
                </c:pt>
                <c:pt idx="152">
                  <c:v>140832575.78132346</c:v>
                </c:pt>
                <c:pt idx="153">
                  <c:v>139114761.29274943</c:v>
                </c:pt>
                <c:pt idx="154">
                  <c:v>140600608.13140655</c:v>
                </c:pt>
                <c:pt idx="155">
                  <c:v>135810789.63041911</c:v>
                </c:pt>
                <c:pt idx="156">
                  <c:v>135732422.18112284</c:v>
                </c:pt>
                <c:pt idx="157">
                  <c:v>135732422.18112284</c:v>
                </c:pt>
                <c:pt idx="158">
                  <c:v>136161875.80326635</c:v>
                </c:pt>
                <c:pt idx="159">
                  <c:v>133669790.91564527</c:v>
                </c:pt>
                <c:pt idx="160">
                  <c:v>129547663.08266199</c:v>
                </c:pt>
                <c:pt idx="161">
                  <c:v>128039873.35820194</c:v>
                </c:pt>
                <c:pt idx="162">
                  <c:v>132237233.94250964</c:v>
                </c:pt>
                <c:pt idx="163">
                  <c:v>132293658.50600295</c:v>
                </c:pt>
                <c:pt idx="164">
                  <c:v>132293658.50600295</c:v>
                </c:pt>
                <c:pt idx="165">
                  <c:v>136121124.72963229</c:v>
                </c:pt>
                <c:pt idx="166">
                  <c:v>136237108.55459079</c:v>
                </c:pt>
                <c:pt idx="167">
                  <c:v>136876586.94084826</c:v>
                </c:pt>
                <c:pt idx="168">
                  <c:v>132475470.98837028</c:v>
                </c:pt>
                <c:pt idx="169">
                  <c:v>130083696.4358484</c:v>
                </c:pt>
                <c:pt idx="170">
                  <c:v>130299990.59590608</c:v>
                </c:pt>
                <c:pt idx="171">
                  <c:v>130299990.59590608</c:v>
                </c:pt>
                <c:pt idx="172">
                  <c:v>131124416.16250275</c:v>
                </c:pt>
                <c:pt idx="173">
                  <c:v>129698128.5853108</c:v>
                </c:pt>
                <c:pt idx="174">
                  <c:v>125845584.77790666</c:v>
                </c:pt>
                <c:pt idx="175">
                  <c:v>126738973.69988401</c:v>
                </c:pt>
                <c:pt idx="176">
                  <c:v>128177800.06896335</c:v>
                </c:pt>
                <c:pt idx="177">
                  <c:v>128227955.23651296</c:v>
                </c:pt>
                <c:pt idx="178">
                  <c:v>128227955.23651296</c:v>
                </c:pt>
                <c:pt idx="179">
                  <c:v>126165323.97103539</c:v>
                </c:pt>
                <c:pt idx="180">
                  <c:v>126322058.86962791</c:v>
                </c:pt>
                <c:pt idx="181">
                  <c:v>128049277.45211749</c:v>
                </c:pt>
                <c:pt idx="182">
                  <c:v>129130748.25240587</c:v>
                </c:pt>
                <c:pt idx="183">
                  <c:v>130625999.18497854</c:v>
                </c:pt>
                <c:pt idx="184">
                  <c:v>130908122.00244509</c:v>
                </c:pt>
                <c:pt idx="185">
                  <c:v>130908122.00244509</c:v>
                </c:pt>
                <c:pt idx="186">
                  <c:v>129961443.21494623</c:v>
                </c:pt>
                <c:pt idx="187">
                  <c:v>130017867.77843955</c:v>
                </c:pt>
                <c:pt idx="188">
                  <c:v>126795398.26337732</c:v>
                </c:pt>
                <c:pt idx="189">
                  <c:v>129494373.21714053</c:v>
                </c:pt>
                <c:pt idx="190">
                  <c:v>128591580.20124762</c:v>
                </c:pt>
                <c:pt idx="191">
                  <c:v>129193442.21184286</c:v>
                </c:pt>
                <c:pt idx="192">
                  <c:v>129193442.21184286</c:v>
                </c:pt>
                <c:pt idx="193">
                  <c:v>125807968.40224445</c:v>
                </c:pt>
                <c:pt idx="194">
                  <c:v>127315758.1267045</c:v>
                </c:pt>
                <c:pt idx="195">
                  <c:v>126494467.25807968</c:v>
                </c:pt>
                <c:pt idx="196">
                  <c:v>124967869.34578854</c:v>
                </c:pt>
                <c:pt idx="197">
                  <c:v>126046205.44810508</c:v>
                </c:pt>
                <c:pt idx="198">
                  <c:v>125992915.58258362</c:v>
                </c:pt>
                <c:pt idx="199">
                  <c:v>125992915.58258362</c:v>
                </c:pt>
                <c:pt idx="200">
                  <c:v>125811103.1002163</c:v>
                </c:pt>
                <c:pt idx="201">
                  <c:v>127792232.21842575</c:v>
                </c:pt>
                <c:pt idx="202">
                  <c:v>130083696.4358484</c:v>
                </c:pt>
                <c:pt idx="203">
                  <c:v>126996018.93357575</c:v>
                </c:pt>
                <c:pt idx="204">
                  <c:v>127826713.89611611</c:v>
                </c:pt>
                <c:pt idx="205">
                  <c:v>127071251.68490016</c:v>
                </c:pt>
                <c:pt idx="206">
                  <c:v>127071251.68490016</c:v>
                </c:pt>
                <c:pt idx="207">
                  <c:v>128115106.10952635</c:v>
                </c:pt>
                <c:pt idx="208">
                  <c:v>126767185.98163067</c:v>
                </c:pt>
                <c:pt idx="209">
                  <c:v>125930221.62314661</c:v>
                </c:pt>
                <c:pt idx="210">
                  <c:v>129080593.08485627</c:v>
                </c:pt>
                <c:pt idx="211">
                  <c:v>126892573.90050469</c:v>
                </c:pt>
                <c:pt idx="212">
                  <c:v>126757781.88771512</c:v>
                </c:pt>
                <c:pt idx="213">
                  <c:v>126757781.88771512</c:v>
                </c:pt>
                <c:pt idx="214">
                  <c:v>126585373.49926335</c:v>
                </c:pt>
                <c:pt idx="215">
                  <c:v>128227955.23651296</c:v>
                </c:pt>
                <c:pt idx="216">
                  <c:v>132977022.66386636</c:v>
                </c:pt>
                <c:pt idx="217">
                  <c:v>132550703.73969468</c:v>
                </c:pt>
                <c:pt idx="218">
                  <c:v>135973793.92495534</c:v>
                </c:pt>
                <c:pt idx="219">
                  <c:v>136149337.01137894</c:v>
                </c:pt>
                <c:pt idx="220">
                  <c:v>136149337.01137894</c:v>
                </c:pt>
                <c:pt idx="221">
                  <c:v>136807623.58546755</c:v>
                </c:pt>
                <c:pt idx="222">
                  <c:v>137422024.38795021</c:v>
                </c:pt>
                <c:pt idx="223">
                  <c:v>138697846.46249336</c:v>
                </c:pt>
                <c:pt idx="224">
                  <c:v>136607002.91526911</c:v>
                </c:pt>
                <c:pt idx="225">
                  <c:v>137569355.19262722</c:v>
                </c:pt>
                <c:pt idx="226">
                  <c:v>137224538.41572365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4-4E83-A392-44315367E881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 Độ chênh lệch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23"/>
              <c:layout>
                <c:manualLayout>
                  <c:x val="-3.2420749279538905E-2"/>
                  <c:y val="-9.9472188388144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2B-4317-A5DF-F81A668D4F02}"/>
                </c:ext>
              </c:extLst>
            </c:dLbl>
            <c:dLbl>
              <c:idx val="226"/>
              <c:layout>
                <c:manualLayout>
                  <c:x val="0"/>
                  <c:y val="-4.8721071863580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2B-4317-A5DF-F81A668D4F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Sheet1!$C$2:$C$228</c:f>
              <c:strCache>
                <c:ptCount val="227"/>
                <c:pt idx="0">
                  <c:v>Tuần  1</c:v>
                </c:pt>
                <c:pt idx="1">
                  <c:v>Tuần  1</c:v>
                </c:pt>
                <c:pt idx="2">
                  <c:v>Tuần  1</c:v>
                </c:pt>
                <c:pt idx="3">
                  <c:v>Tuần  2</c:v>
                </c:pt>
                <c:pt idx="4">
                  <c:v>Tuần  2</c:v>
                </c:pt>
                <c:pt idx="5">
                  <c:v>Tuần  2</c:v>
                </c:pt>
                <c:pt idx="6">
                  <c:v>Tuần  2</c:v>
                </c:pt>
                <c:pt idx="7">
                  <c:v>Tuần  2</c:v>
                </c:pt>
                <c:pt idx="8">
                  <c:v>Tuần  2</c:v>
                </c:pt>
                <c:pt idx="9">
                  <c:v>Tuần  2</c:v>
                </c:pt>
                <c:pt idx="10">
                  <c:v>Tuần  3</c:v>
                </c:pt>
                <c:pt idx="11">
                  <c:v>Tuần  3</c:v>
                </c:pt>
                <c:pt idx="12">
                  <c:v>Tuần  3</c:v>
                </c:pt>
                <c:pt idx="13">
                  <c:v>Tuần  3</c:v>
                </c:pt>
                <c:pt idx="14">
                  <c:v>Tuần  3</c:v>
                </c:pt>
                <c:pt idx="15">
                  <c:v>Tuần  3</c:v>
                </c:pt>
                <c:pt idx="16">
                  <c:v>Tuần  3</c:v>
                </c:pt>
                <c:pt idx="17">
                  <c:v>Tuần  4</c:v>
                </c:pt>
                <c:pt idx="18">
                  <c:v>Tuần  4</c:v>
                </c:pt>
                <c:pt idx="19">
                  <c:v>Tuần  4</c:v>
                </c:pt>
                <c:pt idx="20">
                  <c:v>Tuần  4</c:v>
                </c:pt>
                <c:pt idx="21">
                  <c:v>Tuần  4</c:v>
                </c:pt>
                <c:pt idx="22">
                  <c:v>Tuần  4</c:v>
                </c:pt>
                <c:pt idx="23">
                  <c:v>Tuần  4</c:v>
                </c:pt>
                <c:pt idx="24">
                  <c:v>Tuần  5</c:v>
                </c:pt>
                <c:pt idx="25">
                  <c:v>Tuần  5</c:v>
                </c:pt>
                <c:pt idx="26">
                  <c:v>Tuần  5</c:v>
                </c:pt>
                <c:pt idx="27">
                  <c:v>Tuần  5</c:v>
                </c:pt>
                <c:pt idx="28">
                  <c:v>Tuần  5</c:v>
                </c:pt>
                <c:pt idx="29">
                  <c:v>Tuần  5</c:v>
                </c:pt>
                <c:pt idx="30">
                  <c:v>Tuần  5</c:v>
                </c:pt>
                <c:pt idx="31">
                  <c:v>Tuần  6</c:v>
                </c:pt>
                <c:pt idx="32">
                  <c:v>Tuần  6</c:v>
                </c:pt>
                <c:pt idx="33">
                  <c:v>Tuần  6</c:v>
                </c:pt>
                <c:pt idx="34">
                  <c:v>Tuần  6</c:v>
                </c:pt>
                <c:pt idx="35">
                  <c:v>Tuần  6</c:v>
                </c:pt>
                <c:pt idx="36">
                  <c:v>Tuần  6</c:v>
                </c:pt>
                <c:pt idx="37">
                  <c:v>Tuần  6</c:v>
                </c:pt>
                <c:pt idx="38">
                  <c:v>Tuần  7</c:v>
                </c:pt>
                <c:pt idx="39">
                  <c:v>Tuần  7</c:v>
                </c:pt>
                <c:pt idx="40">
                  <c:v>Tuần  7</c:v>
                </c:pt>
                <c:pt idx="41">
                  <c:v>Tuần  7</c:v>
                </c:pt>
                <c:pt idx="42">
                  <c:v>Tuần  7</c:v>
                </c:pt>
                <c:pt idx="43">
                  <c:v>Tuần  7</c:v>
                </c:pt>
                <c:pt idx="44">
                  <c:v>Tuần  7</c:v>
                </c:pt>
                <c:pt idx="45">
                  <c:v>Tuần  8</c:v>
                </c:pt>
                <c:pt idx="46">
                  <c:v>Tuần  8</c:v>
                </c:pt>
                <c:pt idx="47">
                  <c:v>Tuần  8</c:v>
                </c:pt>
                <c:pt idx="48">
                  <c:v>Tuần  8</c:v>
                </c:pt>
                <c:pt idx="49">
                  <c:v>Tuần  8</c:v>
                </c:pt>
                <c:pt idx="50">
                  <c:v>Tuần  8</c:v>
                </c:pt>
                <c:pt idx="51">
                  <c:v>Tuần  8</c:v>
                </c:pt>
                <c:pt idx="52">
                  <c:v>Tuần  9</c:v>
                </c:pt>
                <c:pt idx="53">
                  <c:v>Tuần  9</c:v>
                </c:pt>
                <c:pt idx="54">
                  <c:v>Tuần  9</c:v>
                </c:pt>
                <c:pt idx="55">
                  <c:v>Tuần  9</c:v>
                </c:pt>
                <c:pt idx="56">
                  <c:v>Tuần  9</c:v>
                </c:pt>
                <c:pt idx="57">
                  <c:v>Tuần  9</c:v>
                </c:pt>
                <c:pt idx="58">
                  <c:v>Tuần  9</c:v>
                </c:pt>
                <c:pt idx="59">
                  <c:v>Tuần  10</c:v>
                </c:pt>
                <c:pt idx="60">
                  <c:v>Tuần  10</c:v>
                </c:pt>
                <c:pt idx="61">
                  <c:v>Tuần  10</c:v>
                </c:pt>
                <c:pt idx="62">
                  <c:v>Tuần  10</c:v>
                </c:pt>
                <c:pt idx="63">
                  <c:v>Tuần  10</c:v>
                </c:pt>
                <c:pt idx="64">
                  <c:v>Tuần  10</c:v>
                </c:pt>
                <c:pt idx="65">
                  <c:v>Tuần  10</c:v>
                </c:pt>
                <c:pt idx="66">
                  <c:v>Tuần  11</c:v>
                </c:pt>
                <c:pt idx="67">
                  <c:v>Tuần  11</c:v>
                </c:pt>
                <c:pt idx="68">
                  <c:v>Tuần  11</c:v>
                </c:pt>
                <c:pt idx="69">
                  <c:v>Tuần  11</c:v>
                </c:pt>
                <c:pt idx="70">
                  <c:v>Tuần  11</c:v>
                </c:pt>
                <c:pt idx="71">
                  <c:v>Tuần  11</c:v>
                </c:pt>
                <c:pt idx="72">
                  <c:v>Tuần  11</c:v>
                </c:pt>
                <c:pt idx="73">
                  <c:v>Tuần  12</c:v>
                </c:pt>
                <c:pt idx="74">
                  <c:v>Tuần  12</c:v>
                </c:pt>
                <c:pt idx="75">
                  <c:v>Tuần  12</c:v>
                </c:pt>
                <c:pt idx="76">
                  <c:v>Tuần  12</c:v>
                </c:pt>
                <c:pt idx="77">
                  <c:v>Tuần  12</c:v>
                </c:pt>
                <c:pt idx="78">
                  <c:v>Tuần  12</c:v>
                </c:pt>
                <c:pt idx="79">
                  <c:v>Tuần  12</c:v>
                </c:pt>
                <c:pt idx="80">
                  <c:v>Tuần  13</c:v>
                </c:pt>
                <c:pt idx="81">
                  <c:v>Tuần  13</c:v>
                </c:pt>
                <c:pt idx="82">
                  <c:v>Tuần  13</c:v>
                </c:pt>
                <c:pt idx="83">
                  <c:v>Tuần  13</c:v>
                </c:pt>
                <c:pt idx="84">
                  <c:v>Tuần  13</c:v>
                </c:pt>
                <c:pt idx="85">
                  <c:v>Tuần  13</c:v>
                </c:pt>
                <c:pt idx="86">
                  <c:v>Tuần  13</c:v>
                </c:pt>
                <c:pt idx="87">
                  <c:v>Tuần  14</c:v>
                </c:pt>
                <c:pt idx="88">
                  <c:v>Tuần  14</c:v>
                </c:pt>
                <c:pt idx="89">
                  <c:v>Tuần  14</c:v>
                </c:pt>
                <c:pt idx="90">
                  <c:v>Tuần  14</c:v>
                </c:pt>
                <c:pt idx="91">
                  <c:v>Tuần  14</c:v>
                </c:pt>
                <c:pt idx="92">
                  <c:v>Tuần  14</c:v>
                </c:pt>
                <c:pt idx="93">
                  <c:v>Tuần  14</c:v>
                </c:pt>
                <c:pt idx="94">
                  <c:v>Tuần  15</c:v>
                </c:pt>
                <c:pt idx="95">
                  <c:v>Tuần  15</c:v>
                </c:pt>
                <c:pt idx="96">
                  <c:v>Tuần  15</c:v>
                </c:pt>
                <c:pt idx="97">
                  <c:v>Tuần  15</c:v>
                </c:pt>
                <c:pt idx="98">
                  <c:v>Tuần  15</c:v>
                </c:pt>
                <c:pt idx="99">
                  <c:v>Tuần  15</c:v>
                </c:pt>
                <c:pt idx="100">
                  <c:v>Tuần  15</c:v>
                </c:pt>
                <c:pt idx="101">
                  <c:v>Tuần  16</c:v>
                </c:pt>
                <c:pt idx="102">
                  <c:v>Tuần  16</c:v>
                </c:pt>
                <c:pt idx="103">
                  <c:v>Tuần  16</c:v>
                </c:pt>
                <c:pt idx="104">
                  <c:v>Tuần  16</c:v>
                </c:pt>
                <c:pt idx="105">
                  <c:v>Tuần  16</c:v>
                </c:pt>
                <c:pt idx="106">
                  <c:v>Tuần  16</c:v>
                </c:pt>
                <c:pt idx="107">
                  <c:v>Tuần  16</c:v>
                </c:pt>
                <c:pt idx="108">
                  <c:v>Tuần  17</c:v>
                </c:pt>
                <c:pt idx="109">
                  <c:v>Tuần  17</c:v>
                </c:pt>
                <c:pt idx="110">
                  <c:v>Tuần  17</c:v>
                </c:pt>
                <c:pt idx="111">
                  <c:v>Tuần  17</c:v>
                </c:pt>
                <c:pt idx="112">
                  <c:v>Tuần  17</c:v>
                </c:pt>
                <c:pt idx="113">
                  <c:v>Tuần  17</c:v>
                </c:pt>
                <c:pt idx="114">
                  <c:v>Tuần  17</c:v>
                </c:pt>
                <c:pt idx="115">
                  <c:v>Tuần  18</c:v>
                </c:pt>
                <c:pt idx="116">
                  <c:v>Tuần  18</c:v>
                </c:pt>
                <c:pt idx="117">
                  <c:v>Tuần  18</c:v>
                </c:pt>
                <c:pt idx="118">
                  <c:v>Tuần  18</c:v>
                </c:pt>
                <c:pt idx="119">
                  <c:v>Tuần  18</c:v>
                </c:pt>
                <c:pt idx="120">
                  <c:v>Tuần  18</c:v>
                </c:pt>
                <c:pt idx="121">
                  <c:v>Tuần  18</c:v>
                </c:pt>
                <c:pt idx="122">
                  <c:v>Tuần  19</c:v>
                </c:pt>
                <c:pt idx="123">
                  <c:v>Tuần  19</c:v>
                </c:pt>
                <c:pt idx="124">
                  <c:v>Tuần  19</c:v>
                </c:pt>
                <c:pt idx="125">
                  <c:v>Tuần  19</c:v>
                </c:pt>
                <c:pt idx="126">
                  <c:v>Tuần  19</c:v>
                </c:pt>
                <c:pt idx="127">
                  <c:v>Tuần  19</c:v>
                </c:pt>
                <c:pt idx="128">
                  <c:v>Tuần  19</c:v>
                </c:pt>
                <c:pt idx="129">
                  <c:v>Tuần  20</c:v>
                </c:pt>
                <c:pt idx="130">
                  <c:v>Tuần  20</c:v>
                </c:pt>
                <c:pt idx="131">
                  <c:v>Tuần  20</c:v>
                </c:pt>
                <c:pt idx="132">
                  <c:v>Tuần  20</c:v>
                </c:pt>
                <c:pt idx="133">
                  <c:v>Tuần  20</c:v>
                </c:pt>
                <c:pt idx="134">
                  <c:v>Tuần  20</c:v>
                </c:pt>
                <c:pt idx="135">
                  <c:v>Tuần  20</c:v>
                </c:pt>
                <c:pt idx="136">
                  <c:v>Tuần  21</c:v>
                </c:pt>
                <c:pt idx="137">
                  <c:v>Tuần  21</c:v>
                </c:pt>
                <c:pt idx="138">
                  <c:v>Tuần  21</c:v>
                </c:pt>
                <c:pt idx="139">
                  <c:v>Tuần  21</c:v>
                </c:pt>
                <c:pt idx="140">
                  <c:v>Tuần  21</c:v>
                </c:pt>
                <c:pt idx="141">
                  <c:v>Tuần  21</c:v>
                </c:pt>
                <c:pt idx="142">
                  <c:v>Tuần  21</c:v>
                </c:pt>
                <c:pt idx="143">
                  <c:v>Tuần  22</c:v>
                </c:pt>
                <c:pt idx="144">
                  <c:v>Tuần  22</c:v>
                </c:pt>
                <c:pt idx="145">
                  <c:v>Tuần  22</c:v>
                </c:pt>
                <c:pt idx="146">
                  <c:v>Tuần  22</c:v>
                </c:pt>
                <c:pt idx="147">
                  <c:v>Tuần  22</c:v>
                </c:pt>
                <c:pt idx="148">
                  <c:v>Tuần  22</c:v>
                </c:pt>
                <c:pt idx="149">
                  <c:v>Tuần  22</c:v>
                </c:pt>
                <c:pt idx="150">
                  <c:v>Tuần  23</c:v>
                </c:pt>
                <c:pt idx="151">
                  <c:v>Tuần  23</c:v>
                </c:pt>
                <c:pt idx="152">
                  <c:v>Tuần  23</c:v>
                </c:pt>
                <c:pt idx="153">
                  <c:v>Tuần  23</c:v>
                </c:pt>
                <c:pt idx="154">
                  <c:v>Tuần  23</c:v>
                </c:pt>
                <c:pt idx="155">
                  <c:v>Tuần  23</c:v>
                </c:pt>
                <c:pt idx="156">
                  <c:v>Tuần  23</c:v>
                </c:pt>
                <c:pt idx="157">
                  <c:v>Tuần  24</c:v>
                </c:pt>
                <c:pt idx="158">
                  <c:v>Tuần  24</c:v>
                </c:pt>
                <c:pt idx="159">
                  <c:v>Tuần  24</c:v>
                </c:pt>
                <c:pt idx="160">
                  <c:v>Tuần  24</c:v>
                </c:pt>
                <c:pt idx="161">
                  <c:v>Tuần  24</c:v>
                </c:pt>
                <c:pt idx="162">
                  <c:v>Tuần  24</c:v>
                </c:pt>
                <c:pt idx="163">
                  <c:v>Tuần  24</c:v>
                </c:pt>
                <c:pt idx="164">
                  <c:v>Tuần  25</c:v>
                </c:pt>
                <c:pt idx="165">
                  <c:v>Tuần  25</c:v>
                </c:pt>
                <c:pt idx="166">
                  <c:v>Tuần  25</c:v>
                </c:pt>
                <c:pt idx="167">
                  <c:v>Tuần  25</c:v>
                </c:pt>
                <c:pt idx="168">
                  <c:v>Tuần  25</c:v>
                </c:pt>
                <c:pt idx="169">
                  <c:v>Tuần  25</c:v>
                </c:pt>
                <c:pt idx="170">
                  <c:v>Tuần  25</c:v>
                </c:pt>
                <c:pt idx="171">
                  <c:v>Tuần  26</c:v>
                </c:pt>
                <c:pt idx="172">
                  <c:v>Tuần  26</c:v>
                </c:pt>
                <c:pt idx="173">
                  <c:v>Tuần  26</c:v>
                </c:pt>
                <c:pt idx="174">
                  <c:v>Tuần  26</c:v>
                </c:pt>
                <c:pt idx="175">
                  <c:v>Tuần  26</c:v>
                </c:pt>
                <c:pt idx="176">
                  <c:v>Tuần  26</c:v>
                </c:pt>
                <c:pt idx="177">
                  <c:v>Tuần  26</c:v>
                </c:pt>
                <c:pt idx="178">
                  <c:v>Tuần  27</c:v>
                </c:pt>
                <c:pt idx="179">
                  <c:v>Tuần  27</c:v>
                </c:pt>
                <c:pt idx="180">
                  <c:v>Tuần  27</c:v>
                </c:pt>
                <c:pt idx="181">
                  <c:v>Tuần  27</c:v>
                </c:pt>
                <c:pt idx="182">
                  <c:v>Tuần  27</c:v>
                </c:pt>
                <c:pt idx="183">
                  <c:v>Tuần  27</c:v>
                </c:pt>
                <c:pt idx="184">
                  <c:v>Tuần  27</c:v>
                </c:pt>
                <c:pt idx="185">
                  <c:v>Tuần  28</c:v>
                </c:pt>
                <c:pt idx="186">
                  <c:v>Tuần  28</c:v>
                </c:pt>
                <c:pt idx="187">
                  <c:v>Tuần  28</c:v>
                </c:pt>
                <c:pt idx="188">
                  <c:v>Tuần  28</c:v>
                </c:pt>
                <c:pt idx="189">
                  <c:v>Tuần  28</c:v>
                </c:pt>
                <c:pt idx="190">
                  <c:v>Tuần  28</c:v>
                </c:pt>
                <c:pt idx="191">
                  <c:v>Tuần  28</c:v>
                </c:pt>
                <c:pt idx="192">
                  <c:v>Tuần  29</c:v>
                </c:pt>
                <c:pt idx="193">
                  <c:v>Tuần  29</c:v>
                </c:pt>
                <c:pt idx="194">
                  <c:v>Tuần  29</c:v>
                </c:pt>
                <c:pt idx="195">
                  <c:v>Tuần  29</c:v>
                </c:pt>
                <c:pt idx="196">
                  <c:v>Tuần  29</c:v>
                </c:pt>
                <c:pt idx="197">
                  <c:v>Tuần  29</c:v>
                </c:pt>
                <c:pt idx="198">
                  <c:v>Tuần  29</c:v>
                </c:pt>
                <c:pt idx="199">
                  <c:v>Tuần  30</c:v>
                </c:pt>
                <c:pt idx="200">
                  <c:v>Tuần  30</c:v>
                </c:pt>
                <c:pt idx="201">
                  <c:v>Tuần  30</c:v>
                </c:pt>
                <c:pt idx="202">
                  <c:v>Tuần  30</c:v>
                </c:pt>
                <c:pt idx="203">
                  <c:v>Tuần  30</c:v>
                </c:pt>
                <c:pt idx="204">
                  <c:v>Tuần  30</c:v>
                </c:pt>
                <c:pt idx="205">
                  <c:v>Tuần  30</c:v>
                </c:pt>
                <c:pt idx="206">
                  <c:v>Tuần  31</c:v>
                </c:pt>
                <c:pt idx="207">
                  <c:v>Tuần  31</c:v>
                </c:pt>
                <c:pt idx="208">
                  <c:v>Tuần  31</c:v>
                </c:pt>
                <c:pt idx="209">
                  <c:v>Tuần  31</c:v>
                </c:pt>
                <c:pt idx="210">
                  <c:v>Tuần  31</c:v>
                </c:pt>
                <c:pt idx="211">
                  <c:v>Tuần  31</c:v>
                </c:pt>
                <c:pt idx="212">
                  <c:v>Tuần  31</c:v>
                </c:pt>
                <c:pt idx="213">
                  <c:v>Tuần  32</c:v>
                </c:pt>
                <c:pt idx="214">
                  <c:v>Tuần  32</c:v>
                </c:pt>
                <c:pt idx="215">
                  <c:v>Tuần  32</c:v>
                </c:pt>
                <c:pt idx="216">
                  <c:v>Tuần  32</c:v>
                </c:pt>
                <c:pt idx="217">
                  <c:v>Tuần  32</c:v>
                </c:pt>
                <c:pt idx="218">
                  <c:v>Tuần  32</c:v>
                </c:pt>
                <c:pt idx="219">
                  <c:v>Tuần  32</c:v>
                </c:pt>
                <c:pt idx="220">
                  <c:v>Tuần  33</c:v>
                </c:pt>
                <c:pt idx="221">
                  <c:v>Tuần  33</c:v>
                </c:pt>
                <c:pt idx="222">
                  <c:v>Tuần  33</c:v>
                </c:pt>
                <c:pt idx="223">
                  <c:v>Tuần  33</c:v>
                </c:pt>
                <c:pt idx="224">
                  <c:v>Tuần  33</c:v>
                </c:pt>
                <c:pt idx="225">
                  <c:v>Tuần  33</c:v>
                </c:pt>
                <c:pt idx="226">
                  <c:v>Tuần  33</c:v>
                </c:pt>
              </c:strCache>
            </c:strRef>
          </c:cat>
          <c:val>
            <c:numRef>
              <c:f>Sheet1!$I$2:$I$228</c:f>
              <c:numCache>
                <c:formatCode>_(* #,##0_);_(* \(#,##0\);_(* "-"??_);_(@_)</c:formatCode>
                <c:ptCount val="227"/>
                <c:pt idx="0">
                  <c:v>13493586.407949567</c:v>
                </c:pt>
                <c:pt idx="1">
                  <c:v>13405814.864737809</c:v>
                </c:pt>
                <c:pt idx="2">
                  <c:v>13095479.765524596</c:v>
                </c:pt>
                <c:pt idx="3">
                  <c:v>13095479.765524596</c:v>
                </c:pt>
                <c:pt idx="4">
                  <c:v>13619099.714742482</c:v>
                </c:pt>
                <c:pt idx="5">
                  <c:v>13424469.452368259</c:v>
                </c:pt>
                <c:pt idx="6">
                  <c:v>14861433.810852319</c:v>
                </c:pt>
                <c:pt idx="7">
                  <c:v>14711588.978401929</c:v>
                </c:pt>
                <c:pt idx="8">
                  <c:v>14081856.368138939</c:v>
                </c:pt>
                <c:pt idx="9">
                  <c:v>15400043.885771602</c:v>
                </c:pt>
                <c:pt idx="10">
                  <c:v>15400043.885771602</c:v>
                </c:pt>
                <c:pt idx="11">
                  <c:v>14092316.855270982</c:v>
                </c:pt>
                <c:pt idx="12">
                  <c:v>14907338.327952087</c:v>
                </c:pt>
                <c:pt idx="13">
                  <c:v>15507990.345130235</c:v>
                </c:pt>
                <c:pt idx="14">
                  <c:v>15021149.807216078</c:v>
                </c:pt>
                <c:pt idx="15">
                  <c:v>15682571.079276502</c:v>
                </c:pt>
                <c:pt idx="16">
                  <c:v>15566587.254318058</c:v>
                </c:pt>
                <c:pt idx="17">
                  <c:v>15566587.254318058</c:v>
                </c:pt>
                <c:pt idx="18">
                  <c:v>15718698.473402113</c:v>
                </c:pt>
                <c:pt idx="19">
                  <c:v>14811871.101219386</c:v>
                </c:pt>
                <c:pt idx="20">
                  <c:v>16705695.746214837</c:v>
                </c:pt>
                <c:pt idx="21">
                  <c:v>14751816.557474673</c:v>
                </c:pt>
                <c:pt idx="22">
                  <c:v>14478881.539763629</c:v>
                </c:pt>
                <c:pt idx="23">
                  <c:v>16732171.40528509</c:v>
                </c:pt>
                <c:pt idx="24">
                  <c:v>16732171.40528509</c:v>
                </c:pt>
                <c:pt idx="25">
                  <c:v>16647628.600984305</c:v>
                </c:pt>
                <c:pt idx="26">
                  <c:v>16840117.864643753</c:v>
                </c:pt>
                <c:pt idx="27">
                  <c:v>17937171.248550206</c:v>
                </c:pt>
                <c:pt idx="28">
                  <c:v>23446265.007366538</c:v>
                </c:pt>
                <c:pt idx="29">
                  <c:v>23205542.146014243</c:v>
                </c:pt>
                <c:pt idx="30">
                  <c:v>17669383.404908955</c:v>
                </c:pt>
                <c:pt idx="31">
                  <c:v>17669383.404908955</c:v>
                </c:pt>
                <c:pt idx="32">
                  <c:v>19191106.861853868</c:v>
                </c:pt>
                <c:pt idx="33">
                  <c:v>18410849.189680606</c:v>
                </c:pt>
                <c:pt idx="34">
                  <c:v>25391357.637691587</c:v>
                </c:pt>
                <c:pt idx="35">
                  <c:v>22288470.580859542</c:v>
                </c:pt>
                <c:pt idx="36">
                  <c:v>21164728.37842077</c:v>
                </c:pt>
                <c:pt idx="37">
                  <c:v>23068204.758471519</c:v>
                </c:pt>
                <c:pt idx="38">
                  <c:v>23068204.758471519</c:v>
                </c:pt>
                <c:pt idx="39">
                  <c:v>20814077.928591579</c:v>
                </c:pt>
                <c:pt idx="40">
                  <c:v>23197721.074574441</c:v>
                </c:pt>
                <c:pt idx="41">
                  <c:v>21843531.550735086</c:v>
                </c:pt>
                <c:pt idx="42">
                  <c:v>27370004.075107366</c:v>
                </c:pt>
                <c:pt idx="43">
                  <c:v>20990831.008432329</c:v>
                </c:pt>
                <c:pt idx="44">
                  <c:v>22410911.883640021</c:v>
                </c:pt>
                <c:pt idx="45">
                  <c:v>22410911.883640021</c:v>
                </c:pt>
                <c:pt idx="46">
                  <c:v>24160073.351932555</c:v>
                </c:pt>
                <c:pt idx="47">
                  <c:v>27310444.813642234</c:v>
                </c:pt>
                <c:pt idx="48">
                  <c:v>23899893.420268953</c:v>
                </c:pt>
                <c:pt idx="49">
                  <c:v>23787044.29328233</c:v>
                </c:pt>
                <c:pt idx="50">
                  <c:v>22100576.784426808</c:v>
                </c:pt>
                <c:pt idx="51">
                  <c:v>20382762.29585281</c:v>
                </c:pt>
                <c:pt idx="52">
                  <c:v>20382762.29585281</c:v>
                </c:pt>
                <c:pt idx="53">
                  <c:v>20550268.016676605</c:v>
                </c:pt>
                <c:pt idx="54">
                  <c:v>22835462.838155538</c:v>
                </c:pt>
                <c:pt idx="55">
                  <c:v>21685991.034763813</c:v>
                </c:pt>
                <c:pt idx="56">
                  <c:v>21585028.682486445</c:v>
                </c:pt>
                <c:pt idx="57">
                  <c:v>19682887.68377167</c:v>
                </c:pt>
                <c:pt idx="58">
                  <c:v>21281677.690354526</c:v>
                </c:pt>
                <c:pt idx="59">
                  <c:v>21281677.690354526</c:v>
                </c:pt>
                <c:pt idx="60">
                  <c:v>22978884.674461603</c:v>
                </c:pt>
                <c:pt idx="61">
                  <c:v>27469292.498667777</c:v>
                </c:pt>
                <c:pt idx="62">
                  <c:v>22425438.074041575</c:v>
                </c:pt>
                <c:pt idx="63">
                  <c:v>25442600.545437455</c:v>
                </c:pt>
                <c:pt idx="64">
                  <c:v>22279348.609761417</c:v>
                </c:pt>
                <c:pt idx="65">
                  <c:v>22510726.936459661</c:v>
                </c:pt>
                <c:pt idx="66">
                  <c:v>22510726.936459661</c:v>
                </c:pt>
                <c:pt idx="67">
                  <c:v>23764264.443120897</c:v>
                </c:pt>
                <c:pt idx="68">
                  <c:v>21723638.757405728</c:v>
                </c:pt>
                <c:pt idx="69">
                  <c:v>24867461.835052192</c:v>
                </c:pt>
                <c:pt idx="70">
                  <c:v>25030124.447509468</c:v>
                </c:pt>
                <c:pt idx="71">
                  <c:v>26564512.084260672</c:v>
                </c:pt>
                <c:pt idx="72">
                  <c:v>24947565.90702486</c:v>
                </c:pt>
                <c:pt idx="73">
                  <c:v>24947565.90702486</c:v>
                </c:pt>
                <c:pt idx="74">
                  <c:v>26660694.022130966</c:v>
                </c:pt>
                <c:pt idx="75">
                  <c:v>25852252.280492753</c:v>
                </c:pt>
                <c:pt idx="76">
                  <c:v>29676583.806150258</c:v>
                </c:pt>
                <c:pt idx="77">
                  <c:v>30931795.241528481</c:v>
                </c:pt>
                <c:pt idx="78">
                  <c:v>31961248.863671958</c:v>
                </c:pt>
                <c:pt idx="79">
                  <c:v>29883097.70853579</c:v>
                </c:pt>
                <c:pt idx="80">
                  <c:v>29883097.70853579</c:v>
                </c:pt>
                <c:pt idx="81">
                  <c:v>29055070.373969465</c:v>
                </c:pt>
                <c:pt idx="82">
                  <c:v>31324096.423309624</c:v>
                </c:pt>
                <c:pt idx="83">
                  <c:v>30414197.047114521</c:v>
                </c:pt>
                <c:pt idx="84">
                  <c:v>33530024.137174368</c:v>
                </c:pt>
                <c:pt idx="85">
                  <c:v>29404451.271120042</c:v>
                </c:pt>
                <c:pt idx="86">
                  <c:v>31695326.165323973</c:v>
                </c:pt>
                <c:pt idx="87">
                  <c:v>31695326.165323973</c:v>
                </c:pt>
                <c:pt idx="88">
                  <c:v>31287846.775963157</c:v>
                </c:pt>
                <c:pt idx="89">
                  <c:v>29902031.284285754</c:v>
                </c:pt>
                <c:pt idx="90">
                  <c:v>26438873.389548898</c:v>
                </c:pt>
                <c:pt idx="91">
                  <c:v>27332788.940785557</c:v>
                </c:pt>
                <c:pt idx="92">
                  <c:v>27658828.87683773</c:v>
                </c:pt>
                <c:pt idx="93">
                  <c:v>27658828.87683773</c:v>
                </c:pt>
                <c:pt idx="94">
                  <c:v>27658828.87683773</c:v>
                </c:pt>
                <c:pt idx="95">
                  <c:v>26231547.600388706</c:v>
                </c:pt>
                <c:pt idx="96">
                  <c:v>25854111.156390071</c:v>
                </c:pt>
                <c:pt idx="97">
                  <c:v>25576768.753330618</c:v>
                </c:pt>
                <c:pt idx="98">
                  <c:v>20713175.135575682</c:v>
                </c:pt>
                <c:pt idx="99">
                  <c:v>23113143.788595974</c:v>
                </c:pt>
                <c:pt idx="100">
                  <c:v>23226923.920880228</c:v>
                </c:pt>
                <c:pt idx="101">
                  <c:v>23226923.920880228</c:v>
                </c:pt>
                <c:pt idx="102">
                  <c:v>22875496.065954059</c:v>
                </c:pt>
                <c:pt idx="103">
                  <c:v>21601288.360866427</c:v>
                </c:pt>
                <c:pt idx="104">
                  <c:v>22417892.856023312</c:v>
                </c:pt>
                <c:pt idx="105">
                  <c:v>20200015.673489839</c:v>
                </c:pt>
                <c:pt idx="106">
                  <c:v>17818265.885081977</c:v>
                </c:pt>
                <c:pt idx="107">
                  <c:v>20050202.188019216</c:v>
                </c:pt>
                <c:pt idx="108">
                  <c:v>20050202.188019216</c:v>
                </c:pt>
                <c:pt idx="109">
                  <c:v>20281207.485658765</c:v>
                </c:pt>
                <c:pt idx="110">
                  <c:v>22229096.266574711</c:v>
                </c:pt>
                <c:pt idx="111">
                  <c:v>21566402.307137698</c:v>
                </c:pt>
                <c:pt idx="112">
                  <c:v>20894924.923983574</c:v>
                </c:pt>
                <c:pt idx="113">
                  <c:v>19376116.73615247</c:v>
                </c:pt>
                <c:pt idx="114">
                  <c:v>20630647.942070782</c:v>
                </c:pt>
                <c:pt idx="115">
                  <c:v>20630647.942070782</c:v>
                </c:pt>
                <c:pt idx="116">
                  <c:v>21702714.648443609</c:v>
                </c:pt>
                <c:pt idx="117">
                  <c:v>24552155.104855657</c:v>
                </c:pt>
                <c:pt idx="118">
                  <c:v>25210441.67894423</c:v>
                </c:pt>
                <c:pt idx="119">
                  <c:v>20993558.195667863</c:v>
                </c:pt>
                <c:pt idx="120">
                  <c:v>20002993.636563122</c:v>
                </c:pt>
                <c:pt idx="121">
                  <c:v>20821149.807216078</c:v>
                </c:pt>
                <c:pt idx="122">
                  <c:v>20821149.807216078</c:v>
                </c:pt>
                <c:pt idx="123">
                  <c:v>24258982.477038324</c:v>
                </c:pt>
                <c:pt idx="124">
                  <c:v>21551503.087677509</c:v>
                </c:pt>
                <c:pt idx="125">
                  <c:v>18517146.797906041</c:v>
                </c:pt>
                <c:pt idx="126">
                  <c:v>18916867.809786528</c:v>
                </c:pt>
                <c:pt idx="127">
                  <c:v>19139431.365787923</c:v>
                </c:pt>
                <c:pt idx="128">
                  <c:v>19177047.741450101</c:v>
                </c:pt>
                <c:pt idx="129">
                  <c:v>19177047.741450101</c:v>
                </c:pt>
                <c:pt idx="130">
                  <c:v>16557308.548321396</c:v>
                </c:pt>
                <c:pt idx="131">
                  <c:v>18890796.526754618</c:v>
                </c:pt>
                <c:pt idx="132">
                  <c:v>17130647.942070782</c:v>
                </c:pt>
                <c:pt idx="133">
                  <c:v>18168232.970753253</c:v>
                </c:pt>
                <c:pt idx="134">
                  <c:v>21456499.796244651</c:v>
                </c:pt>
                <c:pt idx="135">
                  <c:v>20947095.702329069</c:v>
                </c:pt>
                <c:pt idx="136">
                  <c:v>20947095.702329069</c:v>
                </c:pt>
                <c:pt idx="137">
                  <c:v>20947095.702329069</c:v>
                </c:pt>
                <c:pt idx="138">
                  <c:v>21940794.959405661</c:v>
                </c:pt>
                <c:pt idx="139">
                  <c:v>19048337.04272595</c:v>
                </c:pt>
                <c:pt idx="140">
                  <c:v>20261806.839910984</c:v>
                </c:pt>
                <c:pt idx="141">
                  <c:v>19686263.753487349</c:v>
                </c:pt>
                <c:pt idx="142">
                  <c:v>19609447.979687154</c:v>
                </c:pt>
                <c:pt idx="143">
                  <c:v>19609447.979687154</c:v>
                </c:pt>
                <c:pt idx="144">
                  <c:v>18216090.404689521</c:v>
                </c:pt>
                <c:pt idx="145">
                  <c:v>19656468.449264914</c:v>
                </c:pt>
                <c:pt idx="146">
                  <c:v>20796846.493840307</c:v>
                </c:pt>
                <c:pt idx="147">
                  <c:v>16191570.797153682</c:v>
                </c:pt>
                <c:pt idx="148">
                  <c:v>15263731.544465691</c:v>
                </c:pt>
                <c:pt idx="149">
                  <c:v>16475307.984075725</c:v>
                </c:pt>
                <c:pt idx="150">
                  <c:v>16475307.984075725</c:v>
                </c:pt>
                <c:pt idx="151">
                  <c:v>18235425.221779883</c:v>
                </c:pt>
                <c:pt idx="152">
                  <c:v>16467424.218676537</c:v>
                </c:pt>
                <c:pt idx="153">
                  <c:v>17685238.707250565</c:v>
                </c:pt>
                <c:pt idx="154">
                  <c:v>15199391.868593454</c:v>
                </c:pt>
                <c:pt idx="155">
                  <c:v>17189210.369580895</c:v>
                </c:pt>
                <c:pt idx="156">
                  <c:v>14267577.818877161</c:v>
                </c:pt>
                <c:pt idx="157">
                  <c:v>14267577.818877161</c:v>
                </c:pt>
                <c:pt idx="158">
                  <c:v>7438124.1967336535</c:v>
                </c:pt>
                <c:pt idx="159">
                  <c:v>9930209.0843547285</c:v>
                </c:pt>
                <c:pt idx="160">
                  <c:v>8652336.9173380136</c:v>
                </c:pt>
                <c:pt idx="161">
                  <c:v>10260126.641798064</c:v>
                </c:pt>
                <c:pt idx="162">
                  <c:v>13062766.057490364</c:v>
                </c:pt>
                <c:pt idx="163">
                  <c:v>14606341.493997052</c:v>
                </c:pt>
                <c:pt idx="164">
                  <c:v>14606341.493997052</c:v>
                </c:pt>
                <c:pt idx="165">
                  <c:v>14278875.270367712</c:v>
                </c:pt>
                <c:pt idx="166">
                  <c:v>15162891.445409209</c:v>
                </c:pt>
                <c:pt idx="167">
                  <c:v>14323413.059151739</c:v>
                </c:pt>
                <c:pt idx="168">
                  <c:v>18724529.011629716</c:v>
                </c:pt>
                <c:pt idx="169">
                  <c:v>16516303.5641516</c:v>
                </c:pt>
                <c:pt idx="170">
                  <c:v>16800009.404093921</c:v>
                </c:pt>
                <c:pt idx="171">
                  <c:v>16800009.404093921</c:v>
                </c:pt>
                <c:pt idx="172">
                  <c:v>17375583.837497249</c:v>
                </c:pt>
                <c:pt idx="173">
                  <c:v>17201871.414689198</c:v>
                </c:pt>
                <c:pt idx="174">
                  <c:v>21054415.222093344</c:v>
                </c:pt>
                <c:pt idx="175">
                  <c:v>19361026.300115988</c:v>
                </c:pt>
                <c:pt idx="176">
                  <c:v>18722199.931036651</c:v>
                </c:pt>
                <c:pt idx="177">
                  <c:v>20172044.763487041</c:v>
                </c:pt>
                <c:pt idx="178">
                  <c:v>20172044.763487041</c:v>
                </c:pt>
                <c:pt idx="179">
                  <c:v>21734676.028964609</c:v>
                </c:pt>
                <c:pt idx="180">
                  <c:v>20577941.130372092</c:v>
                </c:pt>
                <c:pt idx="181">
                  <c:v>18250722.547882512</c:v>
                </c:pt>
                <c:pt idx="182">
                  <c:v>19169251.747594133</c:v>
                </c:pt>
                <c:pt idx="183">
                  <c:v>20674000.815021455</c:v>
                </c:pt>
                <c:pt idx="184">
                  <c:v>20391877.997554913</c:v>
                </c:pt>
                <c:pt idx="185">
                  <c:v>20391877.997554913</c:v>
                </c:pt>
                <c:pt idx="186">
                  <c:v>20938556.785053775</c:v>
                </c:pt>
                <c:pt idx="187">
                  <c:v>19682132.221560448</c:v>
                </c:pt>
                <c:pt idx="188">
                  <c:v>21404601.736622676</c:v>
                </c:pt>
                <c:pt idx="189">
                  <c:v>19205626.782859474</c:v>
                </c:pt>
                <c:pt idx="190">
                  <c:v>20808419.798752382</c:v>
                </c:pt>
                <c:pt idx="191">
                  <c:v>20206557.788157135</c:v>
                </c:pt>
                <c:pt idx="192">
                  <c:v>20206557.788157135</c:v>
                </c:pt>
                <c:pt idx="193">
                  <c:v>22092031.597755551</c:v>
                </c:pt>
                <c:pt idx="194">
                  <c:v>19684241.873295501</c:v>
                </c:pt>
                <c:pt idx="195">
                  <c:v>21505532.741920322</c:v>
                </c:pt>
                <c:pt idx="196">
                  <c:v>22232130.654211462</c:v>
                </c:pt>
                <c:pt idx="197">
                  <c:v>19553794.551894918</c:v>
                </c:pt>
                <c:pt idx="198">
                  <c:v>20507084.417416379</c:v>
                </c:pt>
                <c:pt idx="199">
                  <c:v>20507084.417416379</c:v>
                </c:pt>
                <c:pt idx="200">
                  <c:v>19188896.899783701</c:v>
                </c:pt>
                <c:pt idx="201">
                  <c:v>17607767.781574249</c:v>
                </c:pt>
                <c:pt idx="202">
                  <c:v>14916303.5641516</c:v>
                </c:pt>
                <c:pt idx="203">
                  <c:v>12003981.066424251</c:v>
                </c:pt>
                <c:pt idx="204">
                  <c:v>12173286.103883892</c:v>
                </c:pt>
                <c:pt idx="205">
                  <c:v>13928748.315099835</c:v>
                </c:pt>
                <c:pt idx="206">
                  <c:v>13928748.315099835</c:v>
                </c:pt>
                <c:pt idx="207">
                  <c:v>14384893.890473649</c:v>
                </c:pt>
                <c:pt idx="208">
                  <c:v>14232814.018369332</c:v>
                </c:pt>
                <c:pt idx="209">
                  <c:v>15069778.376853392</c:v>
                </c:pt>
                <c:pt idx="210">
                  <c:v>12119406.915143728</c:v>
                </c:pt>
                <c:pt idx="211">
                  <c:v>14507426.099495307</c:v>
                </c:pt>
                <c:pt idx="212">
                  <c:v>13742218.112284884</c:v>
                </c:pt>
                <c:pt idx="213">
                  <c:v>13742218.112284884</c:v>
                </c:pt>
                <c:pt idx="214">
                  <c:v>13914626.500736654</c:v>
                </c:pt>
                <c:pt idx="215">
                  <c:v>11772044.763487041</c:v>
                </c:pt>
                <c:pt idx="216">
                  <c:v>8322977.336133644</c:v>
                </c:pt>
                <c:pt idx="217">
                  <c:v>9649296.2603053153</c:v>
                </c:pt>
                <c:pt idx="218">
                  <c:v>5726206.0750446618</c:v>
                </c:pt>
                <c:pt idx="219">
                  <c:v>7350662.9886210561</c:v>
                </c:pt>
                <c:pt idx="220">
                  <c:v>7350662.9886210561</c:v>
                </c:pt>
                <c:pt idx="221">
                  <c:v>6792376.4145324528</c:v>
                </c:pt>
                <c:pt idx="222">
                  <c:v>5577975.6120497882</c:v>
                </c:pt>
                <c:pt idx="223">
                  <c:v>5102153.53750664</c:v>
                </c:pt>
                <c:pt idx="224">
                  <c:v>7192997.0847308934</c:v>
                </c:pt>
                <c:pt idx="225">
                  <c:v>5230644.8073727787</c:v>
                </c:pt>
                <c:pt idx="226">
                  <c:v>6275461.5842763484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4-4E83-A392-44315367E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400368"/>
        <c:axId val="1305851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 Gia_Mua_VND_Luong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Sheet1!$C$2:$C$228</c15:sqref>
                        </c15:formulaRef>
                      </c:ext>
                    </c:extLst>
                    <c:strCache>
                      <c:ptCount val="227"/>
                      <c:pt idx="0">
                        <c:v>Tuần  1</c:v>
                      </c:pt>
                      <c:pt idx="1">
                        <c:v>Tuần  1</c:v>
                      </c:pt>
                      <c:pt idx="2">
                        <c:v>Tuần  1</c:v>
                      </c:pt>
                      <c:pt idx="3">
                        <c:v>Tuần  2</c:v>
                      </c:pt>
                      <c:pt idx="4">
                        <c:v>Tuần  2</c:v>
                      </c:pt>
                      <c:pt idx="5">
                        <c:v>Tuần  2</c:v>
                      </c:pt>
                      <c:pt idx="6">
                        <c:v>Tuần  2</c:v>
                      </c:pt>
                      <c:pt idx="7">
                        <c:v>Tuần  2</c:v>
                      </c:pt>
                      <c:pt idx="8">
                        <c:v>Tuần  2</c:v>
                      </c:pt>
                      <c:pt idx="9">
                        <c:v>Tuần  2</c:v>
                      </c:pt>
                      <c:pt idx="10">
                        <c:v>Tuần  3</c:v>
                      </c:pt>
                      <c:pt idx="11">
                        <c:v>Tuần  3</c:v>
                      </c:pt>
                      <c:pt idx="12">
                        <c:v>Tuần  3</c:v>
                      </c:pt>
                      <c:pt idx="13">
                        <c:v>Tuần  3</c:v>
                      </c:pt>
                      <c:pt idx="14">
                        <c:v>Tuần  3</c:v>
                      </c:pt>
                      <c:pt idx="15">
                        <c:v>Tuần  3</c:v>
                      </c:pt>
                      <c:pt idx="16">
                        <c:v>Tuần  3</c:v>
                      </c:pt>
                      <c:pt idx="17">
                        <c:v>Tuần  4</c:v>
                      </c:pt>
                      <c:pt idx="18">
                        <c:v>Tuần  4</c:v>
                      </c:pt>
                      <c:pt idx="19">
                        <c:v>Tuần  4</c:v>
                      </c:pt>
                      <c:pt idx="20">
                        <c:v>Tuần  4</c:v>
                      </c:pt>
                      <c:pt idx="21">
                        <c:v>Tuần  4</c:v>
                      </c:pt>
                      <c:pt idx="22">
                        <c:v>Tuần  4</c:v>
                      </c:pt>
                      <c:pt idx="23">
                        <c:v>Tuần  4</c:v>
                      </c:pt>
                      <c:pt idx="24">
                        <c:v>Tuần  5</c:v>
                      </c:pt>
                      <c:pt idx="25">
                        <c:v>Tuần  5</c:v>
                      </c:pt>
                      <c:pt idx="26">
                        <c:v>Tuần  5</c:v>
                      </c:pt>
                      <c:pt idx="27">
                        <c:v>Tuần  5</c:v>
                      </c:pt>
                      <c:pt idx="28">
                        <c:v>Tuần  5</c:v>
                      </c:pt>
                      <c:pt idx="29">
                        <c:v>Tuần  5</c:v>
                      </c:pt>
                      <c:pt idx="30">
                        <c:v>Tuần  5</c:v>
                      </c:pt>
                      <c:pt idx="31">
                        <c:v>Tuần  6</c:v>
                      </c:pt>
                      <c:pt idx="32">
                        <c:v>Tuần  6</c:v>
                      </c:pt>
                      <c:pt idx="33">
                        <c:v>Tuần  6</c:v>
                      </c:pt>
                      <c:pt idx="34">
                        <c:v>Tuần  6</c:v>
                      </c:pt>
                      <c:pt idx="35">
                        <c:v>Tuần  6</c:v>
                      </c:pt>
                      <c:pt idx="36">
                        <c:v>Tuần  6</c:v>
                      </c:pt>
                      <c:pt idx="37">
                        <c:v>Tuần  6</c:v>
                      </c:pt>
                      <c:pt idx="38">
                        <c:v>Tuần  7</c:v>
                      </c:pt>
                      <c:pt idx="39">
                        <c:v>Tuần  7</c:v>
                      </c:pt>
                      <c:pt idx="40">
                        <c:v>Tuần  7</c:v>
                      </c:pt>
                      <c:pt idx="41">
                        <c:v>Tuần  7</c:v>
                      </c:pt>
                      <c:pt idx="42">
                        <c:v>Tuần  7</c:v>
                      </c:pt>
                      <c:pt idx="43">
                        <c:v>Tuần  7</c:v>
                      </c:pt>
                      <c:pt idx="44">
                        <c:v>Tuần  7</c:v>
                      </c:pt>
                      <c:pt idx="45">
                        <c:v>Tuần  8</c:v>
                      </c:pt>
                      <c:pt idx="46">
                        <c:v>Tuần  8</c:v>
                      </c:pt>
                      <c:pt idx="47">
                        <c:v>Tuần  8</c:v>
                      </c:pt>
                      <c:pt idx="48">
                        <c:v>Tuần  8</c:v>
                      </c:pt>
                      <c:pt idx="49">
                        <c:v>Tuần  8</c:v>
                      </c:pt>
                      <c:pt idx="50">
                        <c:v>Tuần  8</c:v>
                      </c:pt>
                      <c:pt idx="51">
                        <c:v>Tuần  8</c:v>
                      </c:pt>
                      <c:pt idx="52">
                        <c:v>Tuần  9</c:v>
                      </c:pt>
                      <c:pt idx="53">
                        <c:v>Tuần  9</c:v>
                      </c:pt>
                      <c:pt idx="54">
                        <c:v>Tuần  9</c:v>
                      </c:pt>
                      <c:pt idx="55">
                        <c:v>Tuần  9</c:v>
                      </c:pt>
                      <c:pt idx="56">
                        <c:v>Tuần  9</c:v>
                      </c:pt>
                      <c:pt idx="57">
                        <c:v>Tuần  9</c:v>
                      </c:pt>
                      <c:pt idx="58">
                        <c:v>Tuần  9</c:v>
                      </c:pt>
                      <c:pt idx="59">
                        <c:v>Tuần  10</c:v>
                      </c:pt>
                      <c:pt idx="60">
                        <c:v>Tuần  10</c:v>
                      </c:pt>
                      <c:pt idx="61">
                        <c:v>Tuần  10</c:v>
                      </c:pt>
                      <c:pt idx="62">
                        <c:v>Tuần  10</c:v>
                      </c:pt>
                      <c:pt idx="63">
                        <c:v>Tuần  10</c:v>
                      </c:pt>
                      <c:pt idx="64">
                        <c:v>Tuần  10</c:v>
                      </c:pt>
                      <c:pt idx="65">
                        <c:v>Tuần  10</c:v>
                      </c:pt>
                      <c:pt idx="66">
                        <c:v>Tuần  11</c:v>
                      </c:pt>
                      <c:pt idx="67">
                        <c:v>Tuần  11</c:v>
                      </c:pt>
                      <c:pt idx="68">
                        <c:v>Tuần  11</c:v>
                      </c:pt>
                      <c:pt idx="69">
                        <c:v>Tuần  11</c:v>
                      </c:pt>
                      <c:pt idx="70">
                        <c:v>Tuần  11</c:v>
                      </c:pt>
                      <c:pt idx="71">
                        <c:v>Tuần  11</c:v>
                      </c:pt>
                      <c:pt idx="72">
                        <c:v>Tuần  11</c:v>
                      </c:pt>
                      <c:pt idx="73">
                        <c:v>Tuần  12</c:v>
                      </c:pt>
                      <c:pt idx="74">
                        <c:v>Tuần  12</c:v>
                      </c:pt>
                      <c:pt idx="75">
                        <c:v>Tuần  12</c:v>
                      </c:pt>
                      <c:pt idx="76">
                        <c:v>Tuần  12</c:v>
                      </c:pt>
                      <c:pt idx="77">
                        <c:v>Tuần  12</c:v>
                      </c:pt>
                      <c:pt idx="78">
                        <c:v>Tuần  12</c:v>
                      </c:pt>
                      <c:pt idx="79">
                        <c:v>Tuần  12</c:v>
                      </c:pt>
                      <c:pt idx="80">
                        <c:v>Tuần  13</c:v>
                      </c:pt>
                      <c:pt idx="81">
                        <c:v>Tuần  13</c:v>
                      </c:pt>
                      <c:pt idx="82">
                        <c:v>Tuần  13</c:v>
                      </c:pt>
                      <c:pt idx="83">
                        <c:v>Tuần  13</c:v>
                      </c:pt>
                      <c:pt idx="84">
                        <c:v>Tuần  13</c:v>
                      </c:pt>
                      <c:pt idx="85">
                        <c:v>Tuần  13</c:v>
                      </c:pt>
                      <c:pt idx="86">
                        <c:v>Tuần  13</c:v>
                      </c:pt>
                      <c:pt idx="87">
                        <c:v>Tuần  14</c:v>
                      </c:pt>
                      <c:pt idx="88">
                        <c:v>Tuần  14</c:v>
                      </c:pt>
                      <c:pt idx="89">
                        <c:v>Tuần  14</c:v>
                      </c:pt>
                      <c:pt idx="90">
                        <c:v>Tuần  14</c:v>
                      </c:pt>
                      <c:pt idx="91">
                        <c:v>Tuần  14</c:v>
                      </c:pt>
                      <c:pt idx="92">
                        <c:v>Tuần  14</c:v>
                      </c:pt>
                      <c:pt idx="93">
                        <c:v>Tuần  14</c:v>
                      </c:pt>
                      <c:pt idx="94">
                        <c:v>Tuần  15</c:v>
                      </c:pt>
                      <c:pt idx="95">
                        <c:v>Tuần  15</c:v>
                      </c:pt>
                      <c:pt idx="96">
                        <c:v>Tuần  15</c:v>
                      </c:pt>
                      <c:pt idx="97">
                        <c:v>Tuần  15</c:v>
                      </c:pt>
                      <c:pt idx="98">
                        <c:v>Tuần  15</c:v>
                      </c:pt>
                      <c:pt idx="99">
                        <c:v>Tuần  15</c:v>
                      </c:pt>
                      <c:pt idx="100">
                        <c:v>Tuần  15</c:v>
                      </c:pt>
                      <c:pt idx="101">
                        <c:v>Tuần  16</c:v>
                      </c:pt>
                      <c:pt idx="102">
                        <c:v>Tuần  16</c:v>
                      </c:pt>
                      <c:pt idx="103">
                        <c:v>Tuần  16</c:v>
                      </c:pt>
                      <c:pt idx="104">
                        <c:v>Tuần  16</c:v>
                      </c:pt>
                      <c:pt idx="105">
                        <c:v>Tuần  16</c:v>
                      </c:pt>
                      <c:pt idx="106">
                        <c:v>Tuần  16</c:v>
                      </c:pt>
                      <c:pt idx="107">
                        <c:v>Tuần  16</c:v>
                      </c:pt>
                      <c:pt idx="108">
                        <c:v>Tuần  17</c:v>
                      </c:pt>
                      <c:pt idx="109">
                        <c:v>Tuần  17</c:v>
                      </c:pt>
                      <c:pt idx="110">
                        <c:v>Tuần  17</c:v>
                      </c:pt>
                      <c:pt idx="111">
                        <c:v>Tuần  17</c:v>
                      </c:pt>
                      <c:pt idx="112">
                        <c:v>Tuần  17</c:v>
                      </c:pt>
                      <c:pt idx="113">
                        <c:v>Tuần  17</c:v>
                      </c:pt>
                      <c:pt idx="114">
                        <c:v>Tuần  17</c:v>
                      </c:pt>
                      <c:pt idx="115">
                        <c:v>Tuần  18</c:v>
                      </c:pt>
                      <c:pt idx="116">
                        <c:v>Tuần  18</c:v>
                      </c:pt>
                      <c:pt idx="117">
                        <c:v>Tuần  18</c:v>
                      </c:pt>
                      <c:pt idx="118">
                        <c:v>Tuần  18</c:v>
                      </c:pt>
                      <c:pt idx="119">
                        <c:v>Tuần  18</c:v>
                      </c:pt>
                      <c:pt idx="120">
                        <c:v>Tuần  18</c:v>
                      </c:pt>
                      <c:pt idx="121">
                        <c:v>Tuần  18</c:v>
                      </c:pt>
                      <c:pt idx="122">
                        <c:v>Tuần  19</c:v>
                      </c:pt>
                      <c:pt idx="123">
                        <c:v>Tuần  19</c:v>
                      </c:pt>
                      <c:pt idx="124">
                        <c:v>Tuần  19</c:v>
                      </c:pt>
                      <c:pt idx="125">
                        <c:v>Tuần  19</c:v>
                      </c:pt>
                      <c:pt idx="126">
                        <c:v>Tuần  19</c:v>
                      </c:pt>
                      <c:pt idx="127">
                        <c:v>Tuần  19</c:v>
                      </c:pt>
                      <c:pt idx="128">
                        <c:v>Tuần  19</c:v>
                      </c:pt>
                      <c:pt idx="129">
                        <c:v>Tuần  20</c:v>
                      </c:pt>
                      <c:pt idx="130">
                        <c:v>Tuần  20</c:v>
                      </c:pt>
                      <c:pt idx="131">
                        <c:v>Tuần  20</c:v>
                      </c:pt>
                      <c:pt idx="132">
                        <c:v>Tuần  20</c:v>
                      </c:pt>
                      <c:pt idx="133">
                        <c:v>Tuần  20</c:v>
                      </c:pt>
                      <c:pt idx="134">
                        <c:v>Tuần  20</c:v>
                      </c:pt>
                      <c:pt idx="135">
                        <c:v>Tuần  20</c:v>
                      </c:pt>
                      <c:pt idx="136">
                        <c:v>Tuần  21</c:v>
                      </c:pt>
                      <c:pt idx="137">
                        <c:v>Tuần  21</c:v>
                      </c:pt>
                      <c:pt idx="138">
                        <c:v>Tuần  21</c:v>
                      </c:pt>
                      <c:pt idx="139">
                        <c:v>Tuần  21</c:v>
                      </c:pt>
                      <c:pt idx="140">
                        <c:v>Tuần  21</c:v>
                      </c:pt>
                      <c:pt idx="141">
                        <c:v>Tuần  21</c:v>
                      </c:pt>
                      <c:pt idx="142">
                        <c:v>Tuần  21</c:v>
                      </c:pt>
                      <c:pt idx="143">
                        <c:v>Tuần  22</c:v>
                      </c:pt>
                      <c:pt idx="144">
                        <c:v>Tuần  22</c:v>
                      </c:pt>
                      <c:pt idx="145">
                        <c:v>Tuần  22</c:v>
                      </c:pt>
                      <c:pt idx="146">
                        <c:v>Tuần  22</c:v>
                      </c:pt>
                      <c:pt idx="147">
                        <c:v>Tuần  22</c:v>
                      </c:pt>
                      <c:pt idx="148">
                        <c:v>Tuần  22</c:v>
                      </c:pt>
                      <c:pt idx="149">
                        <c:v>Tuần  22</c:v>
                      </c:pt>
                      <c:pt idx="150">
                        <c:v>Tuần  23</c:v>
                      </c:pt>
                      <c:pt idx="151">
                        <c:v>Tuần  23</c:v>
                      </c:pt>
                      <c:pt idx="152">
                        <c:v>Tuần  23</c:v>
                      </c:pt>
                      <c:pt idx="153">
                        <c:v>Tuần  23</c:v>
                      </c:pt>
                      <c:pt idx="154">
                        <c:v>Tuần  23</c:v>
                      </c:pt>
                      <c:pt idx="155">
                        <c:v>Tuần  23</c:v>
                      </c:pt>
                      <c:pt idx="156">
                        <c:v>Tuần  23</c:v>
                      </c:pt>
                      <c:pt idx="157">
                        <c:v>Tuần  24</c:v>
                      </c:pt>
                      <c:pt idx="158">
                        <c:v>Tuần  24</c:v>
                      </c:pt>
                      <c:pt idx="159">
                        <c:v>Tuần  24</c:v>
                      </c:pt>
                      <c:pt idx="160">
                        <c:v>Tuần  24</c:v>
                      </c:pt>
                      <c:pt idx="161">
                        <c:v>Tuần  24</c:v>
                      </c:pt>
                      <c:pt idx="162">
                        <c:v>Tuần  24</c:v>
                      </c:pt>
                      <c:pt idx="163">
                        <c:v>Tuần  24</c:v>
                      </c:pt>
                      <c:pt idx="164">
                        <c:v>Tuần  25</c:v>
                      </c:pt>
                      <c:pt idx="165">
                        <c:v>Tuần  25</c:v>
                      </c:pt>
                      <c:pt idx="166">
                        <c:v>Tuần  25</c:v>
                      </c:pt>
                      <c:pt idx="167">
                        <c:v>Tuần  25</c:v>
                      </c:pt>
                      <c:pt idx="168">
                        <c:v>Tuần  25</c:v>
                      </c:pt>
                      <c:pt idx="169">
                        <c:v>Tuần  25</c:v>
                      </c:pt>
                      <c:pt idx="170">
                        <c:v>Tuần  25</c:v>
                      </c:pt>
                      <c:pt idx="171">
                        <c:v>Tuần  26</c:v>
                      </c:pt>
                      <c:pt idx="172">
                        <c:v>Tuần  26</c:v>
                      </c:pt>
                      <c:pt idx="173">
                        <c:v>Tuần  26</c:v>
                      </c:pt>
                      <c:pt idx="174">
                        <c:v>Tuần  26</c:v>
                      </c:pt>
                      <c:pt idx="175">
                        <c:v>Tuần  26</c:v>
                      </c:pt>
                      <c:pt idx="176">
                        <c:v>Tuần  26</c:v>
                      </c:pt>
                      <c:pt idx="177">
                        <c:v>Tuần  26</c:v>
                      </c:pt>
                      <c:pt idx="178">
                        <c:v>Tuần  27</c:v>
                      </c:pt>
                      <c:pt idx="179">
                        <c:v>Tuần  27</c:v>
                      </c:pt>
                      <c:pt idx="180">
                        <c:v>Tuần  27</c:v>
                      </c:pt>
                      <c:pt idx="181">
                        <c:v>Tuần  27</c:v>
                      </c:pt>
                      <c:pt idx="182">
                        <c:v>Tuần  27</c:v>
                      </c:pt>
                      <c:pt idx="183">
                        <c:v>Tuần  27</c:v>
                      </c:pt>
                      <c:pt idx="184">
                        <c:v>Tuần  27</c:v>
                      </c:pt>
                      <c:pt idx="185">
                        <c:v>Tuần  28</c:v>
                      </c:pt>
                      <c:pt idx="186">
                        <c:v>Tuần  28</c:v>
                      </c:pt>
                      <c:pt idx="187">
                        <c:v>Tuần  28</c:v>
                      </c:pt>
                      <c:pt idx="188">
                        <c:v>Tuần  28</c:v>
                      </c:pt>
                      <c:pt idx="189">
                        <c:v>Tuần  28</c:v>
                      </c:pt>
                      <c:pt idx="190">
                        <c:v>Tuần  28</c:v>
                      </c:pt>
                      <c:pt idx="191">
                        <c:v>Tuần  28</c:v>
                      </c:pt>
                      <c:pt idx="192">
                        <c:v>Tuần  29</c:v>
                      </c:pt>
                      <c:pt idx="193">
                        <c:v>Tuần  29</c:v>
                      </c:pt>
                      <c:pt idx="194">
                        <c:v>Tuần  29</c:v>
                      </c:pt>
                      <c:pt idx="195">
                        <c:v>Tuần  29</c:v>
                      </c:pt>
                      <c:pt idx="196">
                        <c:v>Tuần  29</c:v>
                      </c:pt>
                      <c:pt idx="197">
                        <c:v>Tuần  29</c:v>
                      </c:pt>
                      <c:pt idx="198">
                        <c:v>Tuần  29</c:v>
                      </c:pt>
                      <c:pt idx="199">
                        <c:v>Tuần  30</c:v>
                      </c:pt>
                      <c:pt idx="200">
                        <c:v>Tuần  30</c:v>
                      </c:pt>
                      <c:pt idx="201">
                        <c:v>Tuần  30</c:v>
                      </c:pt>
                      <c:pt idx="202">
                        <c:v>Tuần  30</c:v>
                      </c:pt>
                      <c:pt idx="203">
                        <c:v>Tuần  30</c:v>
                      </c:pt>
                      <c:pt idx="204">
                        <c:v>Tuần  30</c:v>
                      </c:pt>
                      <c:pt idx="205">
                        <c:v>Tuần  30</c:v>
                      </c:pt>
                      <c:pt idx="206">
                        <c:v>Tuần  31</c:v>
                      </c:pt>
                      <c:pt idx="207">
                        <c:v>Tuần  31</c:v>
                      </c:pt>
                      <c:pt idx="208">
                        <c:v>Tuần  31</c:v>
                      </c:pt>
                      <c:pt idx="209">
                        <c:v>Tuần  31</c:v>
                      </c:pt>
                      <c:pt idx="210">
                        <c:v>Tuần  31</c:v>
                      </c:pt>
                      <c:pt idx="211">
                        <c:v>Tuần  31</c:v>
                      </c:pt>
                      <c:pt idx="212">
                        <c:v>Tuần  31</c:v>
                      </c:pt>
                      <c:pt idx="213">
                        <c:v>Tuần  32</c:v>
                      </c:pt>
                      <c:pt idx="214">
                        <c:v>Tuần  32</c:v>
                      </c:pt>
                      <c:pt idx="215">
                        <c:v>Tuần  32</c:v>
                      </c:pt>
                      <c:pt idx="216">
                        <c:v>Tuần  32</c:v>
                      </c:pt>
                      <c:pt idx="217">
                        <c:v>Tuần  32</c:v>
                      </c:pt>
                      <c:pt idx="218">
                        <c:v>Tuần  32</c:v>
                      </c:pt>
                      <c:pt idx="219">
                        <c:v>Tuần  32</c:v>
                      </c:pt>
                      <c:pt idx="220">
                        <c:v>Tuần  33</c:v>
                      </c:pt>
                      <c:pt idx="221">
                        <c:v>Tuần  33</c:v>
                      </c:pt>
                      <c:pt idx="222">
                        <c:v>Tuần  33</c:v>
                      </c:pt>
                      <c:pt idx="223">
                        <c:v>Tuần  33</c:v>
                      </c:pt>
                      <c:pt idx="224">
                        <c:v>Tuần  33</c:v>
                      </c:pt>
                      <c:pt idx="225">
                        <c:v>Tuần  33</c:v>
                      </c:pt>
                      <c:pt idx="226">
                        <c:v>Tuần  33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Sheet1!$F$2:$F$228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7"/>
                      <c:pt idx="0">
                        <c:v>145900000</c:v>
                      </c:pt>
                      <c:pt idx="1">
                        <c:v>145900000</c:v>
                      </c:pt>
                      <c:pt idx="2">
                        <c:v>145900000</c:v>
                      </c:pt>
                      <c:pt idx="3">
                        <c:v>145900000</c:v>
                      </c:pt>
                      <c:pt idx="4">
                        <c:v>149900000</c:v>
                      </c:pt>
                      <c:pt idx="5">
                        <c:v>151000000</c:v>
                      </c:pt>
                      <c:pt idx="6">
                        <c:v>152100000</c:v>
                      </c:pt>
                      <c:pt idx="7">
                        <c:v>151900000</c:v>
                      </c:pt>
                      <c:pt idx="8">
                        <c:v>152800000</c:v>
                      </c:pt>
                      <c:pt idx="9">
                        <c:v>154300000</c:v>
                      </c:pt>
                      <c:pt idx="10">
                        <c:v>154300000</c:v>
                      </c:pt>
                      <c:pt idx="11">
                        <c:v>156500000</c:v>
                      </c:pt>
                      <c:pt idx="12">
                        <c:v>156500000</c:v>
                      </c:pt>
                      <c:pt idx="13">
                        <c:v>157900000</c:v>
                      </c:pt>
                      <c:pt idx="14">
                        <c:v>157200000</c:v>
                      </c:pt>
                      <c:pt idx="15">
                        <c:v>157200000</c:v>
                      </c:pt>
                      <c:pt idx="16">
                        <c:v>157200000</c:v>
                      </c:pt>
                      <c:pt idx="17">
                        <c:v>157200000</c:v>
                      </c:pt>
                      <c:pt idx="18">
                        <c:v>159700000</c:v>
                      </c:pt>
                      <c:pt idx="19">
                        <c:v>161000000</c:v>
                      </c:pt>
                      <c:pt idx="20">
                        <c:v>165900000</c:v>
                      </c:pt>
                      <c:pt idx="21">
                        <c:v>165200000</c:v>
                      </c:pt>
                      <c:pt idx="22">
                        <c:v>168300000</c:v>
                      </c:pt>
                      <c:pt idx="23">
                        <c:v>170500000</c:v>
                      </c:pt>
                      <c:pt idx="24">
                        <c:v>170500000</c:v>
                      </c:pt>
                      <c:pt idx="25">
                        <c:v>173500000</c:v>
                      </c:pt>
                      <c:pt idx="26">
                        <c:v>174100000</c:v>
                      </c:pt>
                      <c:pt idx="27">
                        <c:v>180700000</c:v>
                      </c:pt>
                      <c:pt idx="28">
                        <c:v>186300000</c:v>
                      </c:pt>
                      <c:pt idx="29">
                        <c:v>177000000</c:v>
                      </c:pt>
                      <c:pt idx="30">
                        <c:v>168000000</c:v>
                      </c:pt>
                      <c:pt idx="31">
                        <c:v>168000000</c:v>
                      </c:pt>
                      <c:pt idx="32">
                        <c:v>162500000</c:v>
                      </c:pt>
                      <c:pt idx="33">
                        <c:v>171500000</c:v>
                      </c:pt>
                      <c:pt idx="34">
                        <c:v>176700000</c:v>
                      </c:pt>
                      <c:pt idx="35">
                        <c:v>171500000</c:v>
                      </c:pt>
                      <c:pt idx="36">
                        <c:v>173000000</c:v>
                      </c:pt>
                      <c:pt idx="37">
                        <c:v>175800000</c:v>
                      </c:pt>
                      <c:pt idx="38">
                        <c:v>175800000</c:v>
                      </c:pt>
                      <c:pt idx="39">
                        <c:v>176900000</c:v>
                      </c:pt>
                      <c:pt idx="40">
                        <c:v>177500000</c:v>
                      </c:pt>
                      <c:pt idx="41">
                        <c:v>177500000</c:v>
                      </c:pt>
                      <c:pt idx="42">
                        <c:v>177500000</c:v>
                      </c:pt>
                      <c:pt idx="43">
                        <c:v>175500000</c:v>
                      </c:pt>
                      <c:pt idx="44">
                        <c:v>177500000</c:v>
                      </c:pt>
                      <c:pt idx="45">
                        <c:v>177500000</c:v>
                      </c:pt>
                      <c:pt idx="46">
                        <c:v>177500000</c:v>
                      </c:pt>
                      <c:pt idx="47">
                        <c:v>177500000</c:v>
                      </c:pt>
                      <c:pt idx="48">
                        <c:v>177500000</c:v>
                      </c:pt>
                      <c:pt idx="49">
                        <c:v>177500000</c:v>
                      </c:pt>
                      <c:pt idx="50">
                        <c:v>177500000</c:v>
                      </c:pt>
                      <c:pt idx="51">
                        <c:v>177500000</c:v>
                      </c:pt>
                      <c:pt idx="52">
                        <c:v>177500000</c:v>
                      </c:pt>
                      <c:pt idx="53">
                        <c:v>181100000</c:v>
                      </c:pt>
                      <c:pt idx="54">
                        <c:v>181100000</c:v>
                      </c:pt>
                      <c:pt idx="55">
                        <c:v>181800000</c:v>
                      </c:pt>
                      <c:pt idx="56">
                        <c:v>181000000</c:v>
                      </c:pt>
                      <c:pt idx="57">
                        <c:v>180800000</c:v>
                      </c:pt>
                      <c:pt idx="58">
                        <c:v>183800000</c:v>
                      </c:pt>
                      <c:pt idx="59">
                        <c:v>183800000</c:v>
                      </c:pt>
                      <c:pt idx="60">
                        <c:v>186400000</c:v>
                      </c:pt>
                      <c:pt idx="61">
                        <c:v>184900000</c:v>
                      </c:pt>
                      <c:pt idx="62">
                        <c:v>180900000</c:v>
                      </c:pt>
                      <c:pt idx="63">
                        <c:v>181400000</c:v>
                      </c:pt>
                      <c:pt idx="64">
                        <c:v>180500000</c:v>
                      </c:pt>
                      <c:pt idx="65">
                        <c:v>181700000</c:v>
                      </c:pt>
                      <c:pt idx="66">
                        <c:v>181700000</c:v>
                      </c:pt>
                      <c:pt idx="67">
                        <c:v>180800000</c:v>
                      </c:pt>
                      <c:pt idx="68">
                        <c:v>182800000</c:v>
                      </c:pt>
                      <c:pt idx="69">
                        <c:v>183900000</c:v>
                      </c:pt>
                      <c:pt idx="70">
                        <c:v>183000000</c:v>
                      </c:pt>
                      <c:pt idx="71">
                        <c:v>181500000</c:v>
                      </c:pt>
                      <c:pt idx="72">
                        <c:v>179300000</c:v>
                      </c:pt>
                      <c:pt idx="73">
                        <c:v>179300000</c:v>
                      </c:pt>
                      <c:pt idx="74">
                        <c:v>179800000</c:v>
                      </c:pt>
                      <c:pt idx="75">
                        <c:v>179700000</c:v>
                      </c:pt>
                      <c:pt idx="76">
                        <c:v>179700000</c:v>
                      </c:pt>
                      <c:pt idx="77">
                        <c:v>172200000</c:v>
                      </c:pt>
                      <c:pt idx="78">
                        <c:v>172800000</c:v>
                      </c:pt>
                      <c:pt idx="79">
                        <c:v>167700000</c:v>
                      </c:pt>
                      <c:pt idx="80">
                        <c:v>167700000</c:v>
                      </c:pt>
                      <c:pt idx="81">
                        <c:v>162800000</c:v>
                      </c:pt>
                      <c:pt idx="82">
                        <c:v>167000000</c:v>
                      </c:pt>
                      <c:pt idx="83">
                        <c:v>170300000</c:v>
                      </c:pt>
                      <c:pt idx="84">
                        <c:v>168300000</c:v>
                      </c:pt>
                      <c:pt idx="85">
                        <c:v>168400000</c:v>
                      </c:pt>
                      <c:pt idx="86">
                        <c:v>169600000</c:v>
                      </c:pt>
                      <c:pt idx="87">
                        <c:v>169600000</c:v>
                      </c:pt>
                      <c:pt idx="88">
                        <c:v>170600000</c:v>
                      </c:pt>
                      <c:pt idx="89">
                        <c:v>171700000</c:v>
                      </c:pt>
                      <c:pt idx="90">
                        <c:v>173500000</c:v>
                      </c:pt>
                      <c:pt idx="91">
                        <c:v>169800000</c:v>
                      </c:pt>
                      <c:pt idx="92">
                        <c:v>170800000</c:v>
                      </c:pt>
                      <c:pt idx="93">
                        <c:v>171300000</c:v>
                      </c:pt>
                      <c:pt idx="94">
                        <c:v>171300000</c:v>
                      </c:pt>
                      <c:pt idx="95">
                        <c:v>169600000</c:v>
                      </c:pt>
                      <c:pt idx="96">
                        <c:v>169000000</c:v>
                      </c:pt>
                      <c:pt idx="97">
                        <c:v>170500000</c:v>
                      </c:pt>
                      <c:pt idx="98">
                        <c:v>168000000</c:v>
                      </c:pt>
                      <c:pt idx="99">
                        <c:v>169400000</c:v>
                      </c:pt>
                      <c:pt idx="100">
                        <c:v>169100000</c:v>
                      </c:pt>
                      <c:pt idx="101">
                        <c:v>169100000</c:v>
                      </c:pt>
                      <c:pt idx="102">
                        <c:v>168200000</c:v>
                      </c:pt>
                      <c:pt idx="103">
                        <c:v>170200000</c:v>
                      </c:pt>
                      <c:pt idx="104">
                        <c:v>169700000</c:v>
                      </c:pt>
                      <c:pt idx="105">
                        <c:v>167200000</c:v>
                      </c:pt>
                      <c:pt idx="106">
                        <c:v>167000000</c:v>
                      </c:pt>
                      <c:pt idx="107">
                        <c:v>168000000</c:v>
                      </c:pt>
                      <c:pt idx="108">
                        <c:v>168000000</c:v>
                      </c:pt>
                      <c:pt idx="109">
                        <c:v>167800000</c:v>
                      </c:pt>
                      <c:pt idx="110">
                        <c:v>167900000</c:v>
                      </c:pt>
                      <c:pt idx="111">
                        <c:v>167300000</c:v>
                      </c:pt>
                      <c:pt idx="112">
                        <c:v>166500000</c:v>
                      </c:pt>
                      <c:pt idx="113">
                        <c:v>165000000</c:v>
                      </c:pt>
                      <c:pt idx="114">
                        <c:v>165800000</c:v>
                      </c:pt>
                      <c:pt idx="115">
                        <c:v>165800000</c:v>
                      </c:pt>
                      <c:pt idx="116">
                        <c:v>165800000</c:v>
                      </c:pt>
                      <c:pt idx="117">
                        <c:v>165800000</c:v>
                      </c:pt>
                      <c:pt idx="118">
                        <c:v>165800000</c:v>
                      </c:pt>
                      <c:pt idx="119">
                        <c:v>162500000</c:v>
                      </c:pt>
                      <c:pt idx="120">
                        <c:v>162500000</c:v>
                      </c:pt>
                      <c:pt idx="121">
                        <c:v>162500000</c:v>
                      </c:pt>
                      <c:pt idx="122">
                        <c:v>162500000</c:v>
                      </c:pt>
                      <c:pt idx="123">
                        <c:v>162800000</c:v>
                      </c:pt>
                      <c:pt idx="124">
                        <c:v>161500000</c:v>
                      </c:pt>
                      <c:pt idx="125">
                        <c:v>162500000</c:v>
                      </c:pt>
                      <c:pt idx="126">
                        <c:v>164000000</c:v>
                      </c:pt>
                      <c:pt idx="127">
                        <c:v>164000000</c:v>
                      </c:pt>
                      <c:pt idx="128">
                        <c:v>164000000</c:v>
                      </c:pt>
                      <c:pt idx="129">
                        <c:v>164000000</c:v>
                      </c:pt>
                      <c:pt idx="130">
                        <c:v>161700000</c:v>
                      </c:pt>
                      <c:pt idx="131">
                        <c:v>162300000</c:v>
                      </c:pt>
                      <c:pt idx="132">
                        <c:v>161800000</c:v>
                      </c:pt>
                      <c:pt idx="133">
                        <c:v>161800000</c:v>
                      </c:pt>
                      <c:pt idx="134">
                        <c:v>160800000</c:v>
                      </c:pt>
                      <c:pt idx="135">
                        <c:v>160300000</c:v>
                      </c:pt>
                      <c:pt idx="136">
                        <c:v>160300000</c:v>
                      </c:pt>
                      <c:pt idx="137">
                        <c:v>160300000</c:v>
                      </c:pt>
                      <c:pt idx="138">
                        <c:v>160300000</c:v>
                      </c:pt>
                      <c:pt idx="139">
                        <c:v>158000000</c:v>
                      </c:pt>
                      <c:pt idx="140">
                        <c:v>158900000</c:v>
                      </c:pt>
                      <c:pt idx="141">
                        <c:v>158500000</c:v>
                      </c:pt>
                      <c:pt idx="142">
                        <c:v>158000000</c:v>
                      </c:pt>
                      <c:pt idx="143">
                        <c:v>158000000</c:v>
                      </c:pt>
                      <c:pt idx="144">
                        <c:v>158500000</c:v>
                      </c:pt>
                      <c:pt idx="145">
                        <c:v>158000000</c:v>
                      </c:pt>
                      <c:pt idx="146">
                        <c:v>157200000</c:v>
                      </c:pt>
                      <c:pt idx="147">
                        <c:v>154300000</c:v>
                      </c:pt>
                      <c:pt idx="148">
                        <c:v>155300000</c:v>
                      </c:pt>
                      <c:pt idx="149">
                        <c:v>155800000</c:v>
                      </c:pt>
                      <c:pt idx="150">
                        <c:v>155800000</c:v>
                      </c:pt>
                      <c:pt idx="151">
                        <c:v>155300000</c:v>
                      </c:pt>
                      <c:pt idx="152">
                        <c:v>154300000</c:v>
                      </c:pt>
                      <c:pt idx="153">
                        <c:v>153800000</c:v>
                      </c:pt>
                      <c:pt idx="154">
                        <c:v>152800000</c:v>
                      </c:pt>
                      <c:pt idx="155">
                        <c:v>149000000</c:v>
                      </c:pt>
                      <c:pt idx="156">
                        <c:v>146000000</c:v>
                      </c:pt>
                      <c:pt idx="157">
                        <c:v>146000000</c:v>
                      </c:pt>
                      <c:pt idx="158">
                        <c:v>138600000</c:v>
                      </c:pt>
                      <c:pt idx="159">
                        <c:v>138600000</c:v>
                      </c:pt>
                      <c:pt idx="160">
                        <c:v>133200000</c:v>
                      </c:pt>
                      <c:pt idx="161">
                        <c:v>133300000</c:v>
                      </c:pt>
                      <c:pt idx="162">
                        <c:v>142300000</c:v>
                      </c:pt>
                      <c:pt idx="163">
                        <c:v>143900000</c:v>
                      </c:pt>
                      <c:pt idx="164">
                        <c:v>143900000</c:v>
                      </c:pt>
                      <c:pt idx="165">
                        <c:v>147900000</c:v>
                      </c:pt>
                      <c:pt idx="166">
                        <c:v>149400000</c:v>
                      </c:pt>
                      <c:pt idx="167">
                        <c:v>148700000</c:v>
                      </c:pt>
                      <c:pt idx="168">
                        <c:v>148700000</c:v>
                      </c:pt>
                      <c:pt idx="169">
                        <c:v>143600000</c:v>
                      </c:pt>
                      <c:pt idx="170">
                        <c:v>144100000</c:v>
                      </c:pt>
                      <c:pt idx="171">
                        <c:v>144100000</c:v>
                      </c:pt>
                      <c:pt idx="172">
                        <c:v>145500000</c:v>
                      </c:pt>
                      <c:pt idx="173">
                        <c:v>143900000</c:v>
                      </c:pt>
                      <c:pt idx="174">
                        <c:v>143900000</c:v>
                      </c:pt>
                      <c:pt idx="175">
                        <c:v>143100000</c:v>
                      </c:pt>
                      <c:pt idx="176">
                        <c:v>143900000</c:v>
                      </c:pt>
                      <c:pt idx="177">
                        <c:v>145400000</c:v>
                      </c:pt>
                      <c:pt idx="178">
                        <c:v>145400000</c:v>
                      </c:pt>
                      <c:pt idx="179">
                        <c:v>144900000</c:v>
                      </c:pt>
                      <c:pt idx="180">
                        <c:v>143900000</c:v>
                      </c:pt>
                      <c:pt idx="181">
                        <c:v>143300000</c:v>
                      </c:pt>
                      <c:pt idx="182">
                        <c:v>145300000</c:v>
                      </c:pt>
                      <c:pt idx="183">
                        <c:v>148300000</c:v>
                      </c:pt>
                      <c:pt idx="184">
                        <c:v>148300000</c:v>
                      </c:pt>
                      <c:pt idx="185">
                        <c:v>148300000</c:v>
                      </c:pt>
                      <c:pt idx="186">
                        <c:v>147900000</c:v>
                      </c:pt>
                      <c:pt idx="187">
                        <c:v>146700000</c:v>
                      </c:pt>
                      <c:pt idx="188">
                        <c:v>145200000</c:v>
                      </c:pt>
                      <c:pt idx="189">
                        <c:v>145700000</c:v>
                      </c:pt>
                      <c:pt idx="190">
                        <c:v>146400000</c:v>
                      </c:pt>
                      <c:pt idx="191">
                        <c:v>146400000</c:v>
                      </c:pt>
                      <c:pt idx="192">
                        <c:v>146400000</c:v>
                      </c:pt>
                      <c:pt idx="193">
                        <c:v>144400000</c:v>
                      </c:pt>
                      <c:pt idx="194">
                        <c:v>143500000</c:v>
                      </c:pt>
                      <c:pt idx="195">
                        <c:v>144500000</c:v>
                      </c:pt>
                      <c:pt idx="196">
                        <c:v>143700000</c:v>
                      </c:pt>
                      <c:pt idx="197">
                        <c:v>142100000</c:v>
                      </c:pt>
                      <c:pt idx="198">
                        <c:v>143000000</c:v>
                      </c:pt>
                      <c:pt idx="199">
                        <c:v>143000000</c:v>
                      </c:pt>
                      <c:pt idx="200">
                        <c:v>141500000</c:v>
                      </c:pt>
                      <c:pt idx="201">
                        <c:v>141900000</c:v>
                      </c:pt>
                      <c:pt idx="202">
                        <c:v>141000000</c:v>
                      </c:pt>
                      <c:pt idx="203">
                        <c:v>134000000</c:v>
                      </c:pt>
                      <c:pt idx="204">
                        <c:v>135000000</c:v>
                      </c:pt>
                      <c:pt idx="205">
                        <c:v>137000000</c:v>
                      </c:pt>
                      <c:pt idx="206">
                        <c:v>137000000</c:v>
                      </c:pt>
                      <c:pt idx="207">
                        <c:v>138500000</c:v>
                      </c:pt>
                      <c:pt idx="208">
                        <c:v>137000000</c:v>
                      </c:pt>
                      <c:pt idx="209">
                        <c:v>137000000</c:v>
                      </c:pt>
                      <c:pt idx="210">
                        <c:v>137200000</c:v>
                      </c:pt>
                      <c:pt idx="211">
                        <c:v>137400000</c:v>
                      </c:pt>
                      <c:pt idx="212">
                        <c:v>136500000</c:v>
                      </c:pt>
                      <c:pt idx="213">
                        <c:v>136500000</c:v>
                      </c:pt>
                      <c:pt idx="214">
                        <c:v>136500000</c:v>
                      </c:pt>
                      <c:pt idx="215">
                        <c:v>136500000</c:v>
                      </c:pt>
                      <c:pt idx="216">
                        <c:v>138300000</c:v>
                      </c:pt>
                      <c:pt idx="217">
                        <c:v>139200000</c:v>
                      </c:pt>
                      <c:pt idx="218">
                        <c:v>138700000</c:v>
                      </c:pt>
                      <c:pt idx="219">
                        <c:v>140500000</c:v>
                      </c:pt>
                      <c:pt idx="220">
                        <c:v>140500000</c:v>
                      </c:pt>
                      <c:pt idx="221">
                        <c:v>140600000</c:v>
                      </c:pt>
                      <c:pt idx="222">
                        <c:v>140000000</c:v>
                      </c:pt>
                      <c:pt idx="223">
                        <c:v>140800000</c:v>
                      </c:pt>
                      <c:pt idx="224">
                        <c:v>140800000</c:v>
                      </c:pt>
                      <c:pt idx="225">
                        <c:v>139800000</c:v>
                      </c:pt>
                      <c:pt idx="226">
                        <c:v>140500000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704-4E83-A392-44315367E88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 Gia_The_Gioi_USD_oz 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Sheet1!$C$2:$C$228</c15:sqref>
                        </c15:formulaRef>
                      </c:ext>
                    </c:extLst>
                    <c:strCache>
                      <c:ptCount val="227"/>
                      <c:pt idx="0">
                        <c:v>Tuần  1</c:v>
                      </c:pt>
                      <c:pt idx="1">
                        <c:v>Tuần  1</c:v>
                      </c:pt>
                      <c:pt idx="2">
                        <c:v>Tuần  1</c:v>
                      </c:pt>
                      <c:pt idx="3">
                        <c:v>Tuần  2</c:v>
                      </c:pt>
                      <c:pt idx="4">
                        <c:v>Tuần  2</c:v>
                      </c:pt>
                      <c:pt idx="5">
                        <c:v>Tuần  2</c:v>
                      </c:pt>
                      <c:pt idx="6">
                        <c:v>Tuần  2</c:v>
                      </c:pt>
                      <c:pt idx="7">
                        <c:v>Tuần  2</c:v>
                      </c:pt>
                      <c:pt idx="8">
                        <c:v>Tuần  2</c:v>
                      </c:pt>
                      <c:pt idx="9">
                        <c:v>Tuần  2</c:v>
                      </c:pt>
                      <c:pt idx="10">
                        <c:v>Tuần  3</c:v>
                      </c:pt>
                      <c:pt idx="11">
                        <c:v>Tuần  3</c:v>
                      </c:pt>
                      <c:pt idx="12">
                        <c:v>Tuần  3</c:v>
                      </c:pt>
                      <c:pt idx="13">
                        <c:v>Tuần  3</c:v>
                      </c:pt>
                      <c:pt idx="14">
                        <c:v>Tuần  3</c:v>
                      </c:pt>
                      <c:pt idx="15">
                        <c:v>Tuần  3</c:v>
                      </c:pt>
                      <c:pt idx="16">
                        <c:v>Tuần  3</c:v>
                      </c:pt>
                      <c:pt idx="17">
                        <c:v>Tuần  4</c:v>
                      </c:pt>
                      <c:pt idx="18">
                        <c:v>Tuần  4</c:v>
                      </c:pt>
                      <c:pt idx="19">
                        <c:v>Tuần  4</c:v>
                      </c:pt>
                      <c:pt idx="20">
                        <c:v>Tuần  4</c:v>
                      </c:pt>
                      <c:pt idx="21">
                        <c:v>Tuần  4</c:v>
                      </c:pt>
                      <c:pt idx="22">
                        <c:v>Tuần  4</c:v>
                      </c:pt>
                      <c:pt idx="23">
                        <c:v>Tuần  4</c:v>
                      </c:pt>
                      <c:pt idx="24">
                        <c:v>Tuần  5</c:v>
                      </c:pt>
                      <c:pt idx="25">
                        <c:v>Tuần  5</c:v>
                      </c:pt>
                      <c:pt idx="26">
                        <c:v>Tuần  5</c:v>
                      </c:pt>
                      <c:pt idx="27">
                        <c:v>Tuần  5</c:v>
                      </c:pt>
                      <c:pt idx="28">
                        <c:v>Tuần  5</c:v>
                      </c:pt>
                      <c:pt idx="29">
                        <c:v>Tuần  5</c:v>
                      </c:pt>
                      <c:pt idx="30">
                        <c:v>Tuần  5</c:v>
                      </c:pt>
                      <c:pt idx="31">
                        <c:v>Tuần  6</c:v>
                      </c:pt>
                      <c:pt idx="32">
                        <c:v>Tuần  6</c:v>
                      </c:pt>
                      <c:pt idx="33">
                        <c:v>Tuần  6</c:v>
                      </c:pt>
                      <c:pt idx="34">
                        <c:v>Tuần  6</c:v>
                      </c:pt>
                      <c:pt idx="35">
                        <c:v>Tuần  6</c:v>
                      </c:pt>
                      <c:pt idx="36">
                        <c:v>Tuần  6</c:v>
                      </c:pt>
                      <c:pt idx="37">
                        <c:v>Tuần  6</c:v>
                      </c:pt>
                      <c:pt idx="38">
                        <c:v>Tuần  7</c:v>
                      </c:pt>
                      <c:pt idx="39">
                        <c:v>Tuần  7</c:v>
                      </c:pt>
                      <c:pt idx="40">
                        <c:v>Tuần  7</c:v>
                      </c:pt>
                      <c:pt idx="41">
                        <c:v>Tuần  7</c:v>
                      </c:pt>
                      <c:pt idx="42">
                        <c:v>Tuần  7</c:v>
                      </c:pt>
                      <c:pt idx="43">
                        <c:v>Tuần  7</c:v>
                      </c:pt>
                      <c:pt idx="44">
                        <c:v>Tuần  7</c:v>
                      </c:pt>
                      <c:pt idx="45">
                        <c:v>Tuần  8</c:v>
                      </c:pt>
                      <c:pt idx="46">
                        <c:v>Tuần  8</c:v>
                      </c:pt>
                      <c:pt idx="47">
                        <c:v>Tuần  8</c:v>
                      </c:pt>
                      <c:pt idx="48">
                        <c:v>Tuần  8</c:v>
                      </c:pt>
                      <c:pt idx="49">
                        <c:v>Tuần  8</c:v>
                      </c:pt>
                      <c:pt idx="50">
                        <c:v>Tuần  8</c:v>
                      </c:pt>
                      <c:pt idx="51">
                        <c:v>Tuần  8</c:v>
                      </c:pt>
                      <c:pt idx="52">
                        <c:v>Tuần  9</c:v>
                      </c:pt>
                      <c:pt idx="53">
                        <c:v>Tuần  9</c:v>
                      </c:pt>
                      <c:pt idx="54">
                        <c:v>Tuần  9</c:v>
                      </c:pt>
                      <c:pt idx="55">
                        <c:v>Tuần  9</c:v>
                      </c:pt>
                      <c:pt idx="56">
                        <c:v>Tuần  9</c:v>
                      </c:pt>
                      <c:pt idx="57">
                        <c:v>Tuần  9</c:v>
                      </c:pt>
                      <c:pt idx="58">
                        <c:v>Tuần  9</c:v>
                      </c:pt>
                      <c:pt idx="59">
                        <c:v>Tuần  10</c:v>
                      </c:pt>
                      <c:pt idx="60">
                        <c:v>Tuần  10</c:v>
                      </c:pt>
                      <c:pt idx="61">
                        <c:v>Tuần  10</c:v>
                      </c:pt>
                      <c:pt idx="62">
                        <c:v>Tuần  10</c:v>
                      </c:pt>
                      <c:pt idx="63">
                        <c:v>Tuần  10</c:v>
                      </c:pt>
                      <c:pt idx="64">
                        <c:v>Tuần  10</c:v>
                      </c:pt>
                      <c:pt idx="65">
                        <c:v>Tuần  10</c:v>
                      </c:pt>
                      <c:pt idx="66">
                        <c:v>Tuần  11</c:v>
                      </c:pt>
                      <c:pt idx="67">
                        <c:v>Tuần  11</c:v>
                      </c:pt>
                      <c:pt idx="68">
                        <c:v>Tuần  11</c:v>
                      </c:pt>
                      <c:pt idx="69">
                        <c:v>Tuần  11</c:v>
                      </c:pt>
                      <c:pt idx="70">
                        <c:v>Tuần  11</c:v>
                      </c:pt>
                      <c:pt idx="71">
                        <c:v>Tuần  11</c:v>
                      </c:pt>
                      <c:pt idx="72">
                        <c:v>Tuần  11</c:v>
                      </c:pt>
                      <c:pt idx="73">
                        <c:v>Tuần  12</c:v>
                      </c:pt>
                      <c:pt idx="74">
                        <c:v>Tuần  12</c:v>
                      </c:pt>
                      <c:pt idx="75">
                        <c:v>Tuần  12</c:v>
                      </c:pt>
                      <c:pt idx="76">
                        <c:v>Tuần  12</c:v>
                      </c:pt>
                      <c:pt idx="77">
                        <c:v>Tuần  12</c:v>
                      </c:pt>
                      <c:pt idx="78">
                        <c:v>Tuần  12</c:v>
                      </c:pt>
                      <c:pt idx="79">
                        <c:v>Tuần  12</c:v>
                      </c:pt>
                      <c:pt idx="80">
                        <c:v>Tuần  13</c:v>
                      </c:pt>
                      <c:pt idx="81">
                        <c:v>Tuần  13</c:v>
                      </c:pt>
                      <c:pt idx="82">
                        <c:v>Tuần  13</c:v>
                      </c:pt>
                      <c:pt idx="83">
                        <c:v>Tuần  13</c:v>
                      </c:pt>
                      <c:pt idx="84">
                        <c:v>Tuần  13</c:v>
                      </c:pt>
                      <c:pt idx="85">
                        <c:v>Tuần  13</c:v>
                      </c:pt>
                      <c:pt idx="86">
                        <c:v>Tuần  13</c:v>
                      </c:pt>
                      <c:pt idx="87">
                        <c:v>Tuần  14</c:v>
                      </c:pt>
                      <c:pt idx="88">
                        <c:v>Tuần  14</c:v>
                      </c:pt>
                      <c:pt idx="89">
                        <c:v>Tuần  14</c:v>
                      </c:pt>
                      <c:pt idx="90">
                        <c:v>Tuần  14</c:v>
                      </c:pt>
                      <c:pt idx="91">
                        <c:v>Tuần  14</c:v>
                      </c:pt>
                      <c:pt idx="92">
                        <c:v>Tuần  14</c:v>
                      </c:pt>
                      <c:pt idx="93">
                        <c:v>Tuần  14</c:v>
                      </c:pt>
                      <c:pt idx="94">
                        <c:v>Tuần  15</c:v>
                      </c:pt>
                      <c:pt idx="95">
                        <c:v>Tuần  15</c:v>
                      </c:pt>
                      <c:pt idx="96">
                        <c:v>Tuần  15</c:v>
                      </c:pt>
                      <c:pt idx="97">
                        <c:v>Tuần  15</c:v>
                      </c:pt>
                      <c:pt idx="98">
                        <c:v>Tuần  15</c:v>
                      </c:pt>
                      <c:pt idx="99">
                        <c:v>Tuần  15</c:v>
                      </c:pt>
                      <c:pt idx="100">
                        <c:v>Tuần  15</c:v>
                      </c:pt>
                      <c:pt idx="101">
                        <c:v>Tuần  16</c:v>
                      </c:pt>
                      <c:pt idx="102">
                        <c:v>Tuần  16</c:v>
                      </c:pt>
                      <c:pt idx="103">
                        <c:v>Tuần  16</c:v>
                      </c:pt>
                      <c:pt idx="104">
                        <c:v>Tuần  16</c:v>
                      </c:pt>
                      <c:pt idx="105">
                        <c:v>Tuần  16</c:v>
                      </c:pt>
                      <c:pt idx="106">
                        <c:v>Tuần  16</c:v>
                      </c:pt>
                      <c:pt idx="107">
                        <c:v>Tuần  16</c:v>
                      </c:pt>
                      <c:pt idx="108">
                        <c:v>Tuần  17</c:v>
                      </c:pt>
                      <c:pt idx="109">
                        <c:v>Tuần  17</c:v>
                      </c:pt>
                      <c:pt idx="110">
                        <c:v>Tuần  17</c:v>
                      </c:pt>
                      <c:pt idx="111">
                        <c:v>Tuần  17</c:v>
                      </c:pt>
                      <c:pt idx="112">
                        <c:v>Tuần  17</c:v>
                      </c:pt>
                      <c:pt idx="113">
                        <c:v>Tuần  17</c:v>
                      </c:pt>
                      <c:pt idx="114">
                        <c:v>Tuần  17</c:v>
                      </c:pt>
                      <c:pt idx="115">
                        <c:v>Tuần  18</c:v>
                      </c:pt>
                      <c:pt idx="116">
                        <c:v>Tuần  18</c:v>
                      </c:pt>
                      <c:pt idx="117">
                        <c:v>Tuần  18</c:v>
                      </c:pt>
                      <c:pt idx="118">
                        <c:v>Tuần  18</c:v>
                      </c:pt>
                      <c:pt idx="119">
                        <c:v>Tuần  18</c:v>
                      </c:pt>
                      <c:pt idx="120">
                        <c:v>Tuần  18</c:v>
                      </c:pt>
                      <c:pt idx="121">
                        <c:v>Tuần  18</c:v>
                      </c:pt>
                      <c:pt idx="122">
                        <c:v>Tuần  19</c:v>
                      </c:pt>
                      <c:pt idx="123">
                        <c:v>Tuần  19</c:v>
                      </c:pt>
                      <c:pt idx="124">
                        <c:v>Tuần  19</c:v>
                      </c:pt>
                      <c:pt idx="125">
                        <c:v>Tuần  19</c:v>
                      </c:pt>
                      <c:pt idx="126">
                        <c:v>Tuần  19</c:v>
                      </c:pt>
                      <c:pt idx="127">
                        <c:v>Tuần  19</c:v>
                      </c:pt>
                      <c:pt idx="128">
                        <c:v>Tuần  19</c:v>
                      </c:pt>
                      <c:pt idx="129">
                        <c:v>Tuần  20</c:v>
                      </c:pt>
                      <c:pt idx="130">
                        <c:v>Tuần  20</c:v>
                      </c:pt>
                      <c:pt idx="131">
                        <c:v>Tuần  20</c:v>
                      </c:pt>
                      <c:pt idx="132">
                        <c:v>Tuần  20</c:v>
                      </c:pt>
                      <c:pt idx="133">
                        <c:v>Tuần  20</c:v>
                      </c:pt>
                      <c:pt idx="134">
                        <c:v>Tuần  20</c:v>
                      </c:pt>
                      <c:pt idx="135">
                        <c:v>Tuần  20</c:v>
                      </c:pt>
                      <c:pt idx="136">
                        <c:v>Tuần  21</c:v>
                      </c:pt>
                      <c:pt idx="137">
                        <c:v>Tuần  21</c:v>
                      </c:pt>
                      <c:pt idx="138">
                        <c:v>Tuần  21</c:v>
                      </c:pt>
                      <c:pt idx="139">
                        <c:v>Tuần  21</c:v>
                      </c:pt>
                      <c:pt idx="140">
                        <c:v>Tuần  21</c:v>
                      </c:pt>
                      <c:pt idx="141">
                        <c:v>Tuần  21</c:v>
                      </c:pt>
                      <c:pt idx="142">
                        <c:v>Tuần  21</c:v>
                      </c:pt>
                      <c:pt idx="143">
                        <c:v>Tuần  22</c:v>
                      </c:pt>
                      <c:pt idx="144">
                        <c:v>Tuần  22</c:v>
                      </c:pt>
                      <c:pt idx="145">
                        <c:v>Tuần  22</c:v>
                      </c:pt>
                      <c:pt idx="146">
                        <c:v>Tuần  22</c:v>
                      </c:pt>
                      <c:pt idx="147">
                        <c:v>Tuần  22</c:v>
                      </c:pt>
                      <c:pt idx="148">
                        <c:v>Tuần  22</c:v>
                      </c:pt>
                      <c:pt idx="149">
                        <c:v>Tuần  22</c:v>
                      </c:pt>
                      <c:pt idx="150">
                        <c:v>Tuần  23</c:v>
                      </c:pt>
                      <c:pt idx="151">
                        <c:v>Tuần  23</c:v>
                      </c:pt>
                      <c:pt idx="152">
                        <c:v>Tuần  23</c:v>
                      </c:pt>
                      <c:pt idx="153">
                        <c:v>Tuần  23</c:v>
                      </c:pt>
                      <c:pt idx="154">
                        <c:v>Tuần  23</c:v>
                      </c:pt>
                      <c:pt idx="155">
                        <c:v>Tuần  23</c:v>
                      </c:pt>
                      <c:pt idx="156">
                        <c:v>Tuần  23</c:v>
                      </c:pt>
                      <c:pt idx="157">
                        <c:v>Tuần  24</c:v>
                      </c:pt>
                      <c:pt idx="158">
                        <c:v>Tuần  24</c:v>
                      </c:pt>
                      <c:pt idx="159">
                        <c:v>Tuần  24</c:v>
                      </c:pt>
                      <c:pt idx="160">
                        <c:v>Tuần  24</c:v>
                      </c:pt>
                      <c:pt idx="161">
                        <c:v>Tuần  24</c:v>
                      </c:pt>
                      <c:pt idx="162">
                        <c:v>Tuần  24</c:v>
                      </c:pt>
                      <c:pt idx="163">
                        <c:v>Tuần  24</c:v>
                      </c:pt>
                      <c:pt idx="164">
                        <c:v>Tuần  25</c:v>
                      </c:pt>
                      <c:pt idx="165">
                        <c:v>Tuần  25</c:v>
                      </c:pt>
                      <c:pt idx="166">
                        <c:v>Tuần  25</c:v>
                      </c:pt>
                      <c:pt idx="167">
                        <c:v>Tuần  25</c:v>
                      </c:pt>
                      <c:pt idx="168">
                        <c:v>Tuần  25</c:v>
                      </c:pt>
                      <c:pt idx="169">
                        <c:v>Tuần  25</c:v>
                      </c:pt>
                      <c:pt idx="170">
                        <c:v>Tuần  25</c:v>
                      </c:pt>
                      <c:pt idx="171">
                        <c:v>Tuần  26</c:v>
                      </c:pt>
                      <c:pt idx="172">
                        <c:v>Tuần  26</c:v>
                      </c:pt>
                      <c:pt idx="173">
                        <c:v>Tuần  26</c:v>
                      </c:pt>
                      <c:pt idx="174">
                        <c:v>Tuần  26</c:v>
                      </c:pt>
                      <c:pt idx="175">
                        <c:v>Tuần  26</c:v>
                      </c:pt>
                      <c:pt idx="176">
                        <c:v>Tuần  26</c:v>
                      </c:pt>
                      <c:pt idx="177">
                        <c:v>Tuần  26</c:v>
                      </c:pt>
                      <c:pt idx="178">
                        <c:v>Tuần  27</c:v>
                      </c:pt>
                      <c:pt idx="179">
                        <c:v>Tuần  27</c:v>
                      </c:pt>
                      <c:pt idx="180">
                        <c:v>Tuần  27</c:v>
                      </c:pt>
                      <c:pt idx="181">
                        <c:v>Tuần  27</c:v>
                      </c:pt>
                      <c:pt idx="182">
                        <c:v>Tuần  27</c:v>
                      </c:pt>
                      <c:pt idx="183">
                        <c:v>Tuần  27</c:v>
                      </c:pt>
                      <c:pt idx="184">
                        <c:v>Tuần  27</c:v>
                      </c:pt>
                      <c:pt idx="185">
                        <c:v>Tuần  28</c:v>
                      </c:pt>
                      <c:pt idx="186">
                        <c:v>Tuần  28</c:v>
                      </c:pt>
                      <c:pt idx="187">
                        <c:v>Tuần  28</c:v>
                      </c:pt>
                      <c:pt idx="188">
                        <c:v>Tuần  28</c:v>
                      </c:pt>
                      <c:pt idx="189">
                        <c:v>Tuần  28</c:v>
                      </c:pt>
                      <c:pt idx="190">
                        <c:v>Tuần  28</c:v>
                      </c:pt>
                      <c:pt idx="191">
                        <c:v>Tuần  28</c:v>
                      </c:pt>
                      <c:pt idx="192">
                        <c:v>Tuần  29</c:v>
                      </c:pt>
                      <c:pt idx="193">
                        <c:v>Tuần  29</c:v>
                      </c:pt>
                      <c:pt idx="194">
                        <c:v>Tuần  29</c:v>
                      </c:pt>
                      <c:pt idx="195">
                        <c:v>Tuần  29</c:v>
                      </c:pt>
                      <c:pt idx="196">
                        <c:v>Tuần  29</c:v>
                      </c:pt>
                      <c:pt idx="197">
                        <c:v>Tuần  29</c:v>
                      </c:pt>
                      <c:pt idx="198">
                        <c:v>Tuần  29</c:v>
                      </c:pt>
                      <c:pt idx="199">
                        <c:v>Tuần  30</c:v>
                      </c:pt>
                      <c:pt idx="200">
                        <c:v>Tuần  30</c:v>
                      </c:pt>
                      <c:pt idx="201">
                        <c:v>Tuần  30</c:v>
                      </c:pt>
                      <c:pt idx="202">
                        <c:v>Tuần  30</c:v>
                      </c:pt>
                      <c:pt idx="203">
                        <c:v>Tuần  30</c:v>
                      </c:pt>
                      <c:pt idx="204">
                        <c:v>Tuần  30</c:v>
                      </c:pt>
                      <c:pt idx="205">
                        <c:v>Tuần  30</c:v>
                      </c:pt>
                      <c:pt idx="206">
                        <c:v>Tuần  31</c:v>
                      </c:pt>
                      <c:pt idx="207">
                        <c:v>Tuần  31</c:v>
                      </c:pt>
                      <c:pt idx="208">
                        <c:v>Tuần  31</c:v>
                      </c:pt>
                      <c:pt idx="209">
                        <c:v>Tuần  31</c:v>
                      </c:pt>
                      <c:pt idx="210">
                        <c:v>Tuần  31</c:v>
                      </c:pt>
                      <c:pt idx="211">
                        <c:v>Tuần  31</c:v>
                      </c:pt>
                      <c:pt idx="212">
                        <c:v>Tuần  31</c:v>
                      </c:pt>
                      <c:pt idx="213">
                        <c:v>Tuần  32</c:v>
                      </c:pt>
                      <c:pt idx="214">
                        <c:v>Tuần  32</c:v>
                      </c:pt>
                      <c:pt idx="215">
                        <c:v>Tuần  32</c:v>
                      </c:pt>
                      <c:pt idx="216">
                        <c:v>Tuần  32</c:v>
                      </c:pt>
                      <c:pt idx="217">
                        <c:v>Tuần  32</c:v>
                      </c:pt>
                      <c:pt idx="218">
                        <c:v>Tuần  32</c:v>
                      </c:pt>
                      <c:pt idx="219">
                        <c:v>Tuần  32</c:v>
                      </c:pt>
                      <c:pt idx="220">
                        <c:v>Tuần  33</c:v>
                      </c:pt>
                      <c:pt idx="221">
                        <c:v>Tuần  33</c:v>
                      </c:pt>
                      <c:pt idx="222">
                        <c:v>Tuần  33</c:v>
                      </c:pt>
                      <c:pt idx="223">
                        <c:v>Tuần  33</c:v>
                      </c:pt>
                      <c:pt idx="224">
                        <c:v>Tuần  33</c:v>
                      </c:pt>
                      <c:pt idx="225">
                        <c:v>Tuần  33</c:v>
                      </c:pt>
                      <c:pt idx="226">
                        <c:v>Tuần  33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Sheet1!$M$2:$M$228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7"/>
                      <c:pt idx="0">
                        <c:v>4319.6000000000004</c:v>
                      </c:pt>
                      <c:pt idx="1">
                        <c:v>4322.3999999999996</c:v>
                      </c:pt>
                      <c:pt idx="2">
                        <c:v>4332.3</c:v>
                      </c:pt>
                      <c:pt idx="3">
                        <c:v>4332.3</c:v>
                      </c:pt>
                      <c:pt idx="4">
                        <c:v>4443.2</c:v>
                      </c:pt>
                      <c:pt idx="5">
                        <c:v>4484.5</c:v>
                      </c:pt>
                      <c:pt idx="6">
                        <c:v>4457.8</c:v>
                      </c:pt>
                      <c:pt idx="7">
                        <c:v>4456.2</c:v>
                      </c:pt>
                      <c:pt idx="8">
                        <c:v>4505</c:v>
                      </c:pt>
                      <c:pt idx="9">
                        <c:v>4510.8</c:v>
                      </c:pt>
                      <c:pt idx="10">
                        <c:v>4510.8</c:v>
                      </c:pt>
                      <c:pt idx="11">
                        <c:v>4622.7</c:v>
                      </c:pt>
                      <c:pt idx="12">
                        <c:v>4596.7</c:v>
                      </c:pt>
                      <c:pt idx="13">
                        <c:v>4622.2</c:v>
                      </c:pt>
                      <c:pt idx="14">
                        <c:v>4615.3999999999996</c:v>
                      </c:pt>
                      <c:pt idx="15">
                        <c:v>4594.3</c:v>
                      </c:pt>
                      <c:pt idx="16">
                        <c:v>4598</c:v>
                      </c:pt>
                      <c:pt idx="17">
                        <c:v>4598</c:v>
                      </c:pt>
                      <c:pt idx="18">
                        <c:v>4672.8999999999996</c:v>
                      </c:pt>
                      <c:pt idx="19">
                        <c:v>4743.3</c:v>
                      </c:pt>
                      <c:pt idx="20">
                        <c:v>4839.2</c:v>
                      </c:pt>
                      <c:pt idx="21">
                        <c:v>4879.2</c:v>
                      </c:pt>
                      <c:pt idx="22">
                        <c:v>4986.8</c:v>
                      </c:pt>
                      <c:pt idx="23">
                        <c:v>4985.1000000000004</c:v>
                      </c:pt>
                      <c:pt idx="24">
                        <c:v>4985.1000000000004</c:v>
                      </c:pt>
                      <c:pt idx="25">
                        <c:v>5083.5</c:v>
                      </c:pt>
                      <c:pt idx="26">
                        <c:v>5096.5</c:v>
                      </c:pt>
                      <c:pt idx="27">
                        <c:v>5288</c:v>
                      </c:pt>
                      <c:pt idx="28">
                        <c:v>5290.9</c:v>
                      </c:pt>
                      <c:pt idx="29">
                        <c:v>5001.8999999999996</c:v>
                      </c:pt>
                      <c:pt idx="30">
                        <c:v>4891.3999999999996</c:v>
                      </c:pt>
                      <c:pt idx="31">
                        <c:v>4891.3999999999996</c:v>
                      </c:pt>
                      <c:pt idx="32">
                        <c:v>4667.3999999999996</c:v>
                      </c:pt>
                      <c:pt idx="33">
                        <c:v>4979.3999999999996</c:v>
                      </c:pt>
                      <c:pt idx="34">
                        <c:v>4922.6000000000004</c:v>
                      </c:pt>
                      <c:pt idx="35">
                        <c:v>4855.7</c:v>
                      </c:pt>
                      <c:pt idx="36">
                        <c:v>4939.3999999999996</c:v>
                      </c:pt>
                      <c:pt idx="37">
                        <c:v>4968</c:v>
                      </c:pt>
                      <c:pt idx="38">
                        <c:v>4968</c:v>
                      </c:pt>
                      <c:pt idx="39">
                        <c:v>5075</c:v>
                      </c:pt>
                      <c:pt idx="40">
                        <c:v>5018.1000000000004</c:v>
                      </c:pt>
                      <c:pt idx="41">
                        <c:v>5061.3</c:v>
                      </c:pt>
                      <c:pt idx="42">
                        <c:v>4885</c:v>
                      </c:pt>
                      <c:pt idx="43">
                        <c:v>5024.7</c:v>
                      </c:pt>
                      <c:pt idx="44">
                        <c:v>5043.2</c:v>
                      </c:pt>
                      <c:pt idx="45">
                        <c:v>5043.2</c:v>
                      </c:pt>
                      <c:pt idx="46">
                        <c:v>4987.3999999999996</c:v>
                      </c:pt>
                      <c:pt idx="47">
                        <c:v>4886.8999999999996</c:v>
                      </c:pt>
                      <c:pt idx="48">
                        <c:v>4995.7</c:v>
                      </c:pt>
                      <c:pt idx="49">
                        <c:v>4999.3</c:v>
                      </c:pt>
                      <c:pt idx="50">
                        <c:v>5053.1000000000004</c:v>
                      </c:pt>
                      <c:pt idx="51">
                        <c:v>5107.8999999999996</c:v>
                      </c:pt>
                      <c:pt idx="52">
                        <c:v>5107.8999999999996</c:v>
                      </c:pt>
                      <c:pt idx="53">
                        <c:v>5217.3999999999996</c:v>
                      </c:pt>
                      <c:pt idx="54">
                        <c:v>5144.5</c:v>
                      </c:pt>
                      <c:pt idx="55">
                        <c:v>5203.5</c:v>
                      </c:pt>
                      <c:pt idx="56">
                        <c:v>5181.2</c:v>
                      </c:pt>
                      <c:pt idx="57">
                        <c:v>5235.5</c:v>
                      </c:pt>
                      <c:pt idx="58">
                        <c:v>5280.2</c:v>
                      </c:pt>
                      <c:pt idx="59">
                        <c:v>5280.2</c:v>
                      </c:pt>
                      <c:pt idx="60">
                        <c:v>5309</c:v>
                      </c:pt>
                      <c:pt idx="61">
                        <c:v>5117.8999999999996</c:v>
                      </c:pt>
                      <c:pt idx="62">
                        <c:v>5151.2</c:v>
                      </c:pt>
                      <c:pt idx="63">
                        <c:v>5070.8999999999996</c:v>
                      </c:pt>
                      <c:pt idx="64">
                        <c:v>5143.1000000000004</c:v>
                      </c:pt>
                      <c:pt idx="65">
                        <c:v>5174</c:v>
                      </c:pt>
                      <c:pt idx="66">
                        <c:v>5174</c:v>
                      </c:pt>
                      <c:pt idx="67">
                        <c:v>5105.3</c:v>
                      </c:pt>
                      <c:pt idx="68">
                        <c:v>5234.2</c:v>
                      </c:pt>
                      <c:pt idx="69">
                        <c:v>5169</c:v>
                      </c:pt>
                      <c:pt idx="70">
                        <c:v>5135.1000000000004</c:v>
                      </c:pt>
                      <c:pt idx="71">
                        <c:v>5038.3</c:v>
                      </c:pt>
                      <c:pt idx="72">
                        <c:v>5019.7</c:v>
                      </c:pt>
                      <c:pt idx="73">
                        <c:v>5019.7</c:v>
                      </c:pt>
                      <c:pt idx="74">
                        <c:v>4981</c:v>
                      </c:pt>
                      <c:pt idx="75">
                        <c:v>5003.6000000000004</c:v>
                      </c:pt>
                      <c:pt idx="76">
                        <c:v>4881.6000000000004</c:v>
                      </c:pt>
                      <c:pt idx="77">
                        <c:v>4602.3</c:v>
                      </c:pt>
                      <c:pt idx="78">
                        <c:v>4588.6000000000004</c:v>
                      </c:pt>
                      <c:pt idx="79">
                        <c:v>4492.2</c:v>
                      </c:pt>
                      <c:pt idx="80">
                        <c:v>4492.2</c:v>
                      </c:pt>
                      <c:pt idx="81">
                        <c:v>4362.3</c:v>
                      </c:pt>
                      <c:pt idx="82">
                        <c:v>4423.8999999999996</c:v>
                      </c:pt>
                      <c:pt idx="83">
                        <c:v>4558.2</c:v>
                      </c:pt>
                      <c:pt idx="84">
                        <c:v>4395</c:v>
                      </c:pt>
                      <c:pt idx="85">
                        <c:v>4529.8</c:v>
                      </c:pt>
                      <c:pt idx="86">
                        <c:v>4495</c:v>
                      </c:pt>
                      <c:pt idx="87">
                        <c:v>4495</c:v>
                      </c:pt>
                      <c:pt idx="88">
                        <c:v>4539.8999999999996</c:v>
                      </c:pt>
                      <c:pt idx="89">
                        <c:v>4619.2</c:v>
                      </c:pt>
                      <c:pt idx="90">
                        <c:v>4787.1000000000004</c:v>
                      </c:pt>
                      <c:pt idx="91">
                        <c:v>4656.5</c:v>
                      </c:pt>
                      <c:pt idx="92">
                        <c:v>4678</c:v>
                      </c:pt>
                      <c:pt idx="93">
                        <c:v>4678</c:v>
                      </c:pt>
                      <c:pt idx="94">
                        <c:v>4678</c:v>
                      </c:pt>
                      <c:pt idx="95">
                        <c:v>4669.3</c:v>
                      </c:pt>
                      <c:pt idx="96">
                        <c:v>4662.2</c:v>
                      </c:pt>
                      <c:pt idx="97">
                        <c:v>4750.8</c:v>
                      </c:pt>
                      <c:pt idx="98">
                        <c:v>4794.3</c:v>
                      </c:pt>
                      <c:pt idx="99">
                        <c:v>4762.3999999999996</c:v>
                      </c:pt>
                      <c:pt idx="100">
                        <c:v>4749.2</c:v>
                      </c:pt>
                      <c:pt idx="101">
                        <c:v>4749.2</c:v>
                      </c:pt>
                      <c:pt idx="102">
                        <c:v>4731.7</c:v>
                      </c:pt>
                      <c:pt idx="103">
                        <c:v>4820.2</c:v>
                      </c:pt>
                      <c:pt idx="104">
                        <c:v>4810.1000000000004</c:v>
                      </c:pt>
                      <c:pt idx="105">
                        <c:v>4801.1000000000004</c:v>
                      </c:pt>
                      <c:pt idx="106">
                        <c:v>4870.7</c:v>
                      </c:pt>
                      <c:pt idx="107">
                        <c:v>4831.3999999999996</c:v>
                      </c:pt>
                      <c:pt idx="108">
                        <c:v>4831.3999999999996</c:v>
                      </c:pt>
                      <c:pt idx="109">
                        <c:v>4801.7</c:v>
                      </c:pt>
                      <c:pt idx="110">
                        <c:v>4726.8</c:v>
                      </c:pt>
                      <c:pt idx="111">
                        <c:v>4728.8</c:v>
                      </c:pt>
                      <c:pt idx="112">
                        <c:v>4724.7</c:v>
                      </c:pt>
                      <c:pt idx="113">
                        <c:v>4725.3</c:v>
                      </c:pt>
                      <c:pt idx="114">
                        <c:v>4710.8</c:v>
                      </c:pt>
                      <c:pt idx="115">
                        <c:v>4710.8</c:v>
                      </c:pt>
                      <c:pt idx="116">
                        <c:v>4676.6000000000004</c:v>
                      </c:pt>
                      <c:pt idx="117">
                        <c:v>4585.7</c:v>
                      </c:pt>
                      <c:pt idx="118">
                        <c:v>4564.7</c:v>
                      </c:pt>
                      <c:pt idx="119">
                        <c:v>4609.8999999999996</c:v>
                      </c:pt>
                      <c:pt idx="120">
                        <c:v>4641.5</c:v>
                      </c:pt>
                      <c:pt idx="121">
                        <c:v>4615.3999999999996</c:v>
                      </c:pt>
                      <c:pt idx="122">
                        <c:v>4615.3999999999996</c:v>
                      </c:pt>
                      <c:pt idx="123">
                        <c:v>4515.3</c:v>
                      </c:pt>
                      <c:pt idx="124">
                        <c:v>4560.2</c:v>
                      </c:pt>
                      <c:pt idx="125">
                        <c:v>4688.8999999999996</c:v>
                      </c:pt>
                      <c:pt idx="126">
                        <c:v>4724</c:v>
                      </c:pt>
                      <c:pt idx="127">
                        <c:v>4716.8999999999996</c:v>
                      </c:pt>
                      <c:pt idx="128">
                        <c:v>4715.7</c:v>
                      </c:pt>
                      <c:pt idx="129">
                        <c:v>4715.7</c:v>
                      </c:pt>
                      <c:pt idx="130">
                        <c:v>4725.8999999999996</c:v>
                      </c:pt>
                      <c:pt idx="131">
                        <c:v>4670.6000000000004</c:v>
                      </c:pt>
                      <c:pt idx="132">
                        <c:v>4710.8</c:v>
                      </c:pt>
                      <c:pt idx="133">
                        <c:v>4677.7</c:v>
                      </c:pt>
                      <c:pt idx="134">
                        <c:v>4540.8999999999996</c:v>
                      </c:pt>
                      <c:pt idx="135">
                        <c:v>4541.2</c:v>
                      </c:pt>
                      <c:pt idx="136">
                        <c:v>4541.2</c:v>
                      </c:pt>
                      <c:pt idx="137">
                        <c:v>4541.2</c:v>
                      </c:pt>
                      <c:pt idx="138">
                        <c:v>4509.5</c:v>
                      </c:pt>
                      <c:pt idx="139">
                        <c:v>4528.3999999999996</c:v>
                      </c:pt>
                      <c:pt idx="140">
                        <c:v>4518.3999999999996</c:v>
                      </c:pt>
                      <c:pt idx="141">
                        <c:v>4524</c:v>
                      </c:pt>
                      <c:pt idx="142">
                        <c:v>4510.5</c:v>
                      </c:pt>
                      <c:pt idx="143">
                        <c:v>4510.5</c:v>
                      </c:pt>
                      <c:pt idx="144">
                        <c:v>4570.8999999999996</c:v>
                      </c:pt>
                      <c:pt idx="145">
                        <c:v>4509</c:v>
                      </c:pt>
                      <c:pt idx="146">
                        <c:v>4447.1000000000004</c:v>
                      </c:pt>
                      <c:pt idx="147">
                        <c:v>4501.5</c:v>
                      </c:pt>
                      <c:pt idx="148">
                        <c:v>4563</c:v>
                      </c:pt>
                      <c:pt idx="149">
                        <c:v>4540.3</c:v>
                      </c:pt>
                      <c:pt idx="150">
                        <c:v>4540.3</c:v>
                      </c:pt>
                      <c:pt idx="151">
                        <c:v>4468.2</c:v>
                      </c:pt>
                      <c:pt idx="152">
                        <c:v>4492.7</c:v>
                      </c:pt>
                      <c:pt idx="153">
                        <c:v>4437.8999999999996</c:v>
                      </c:pt>
                      <c:pt idx="154">
                        <c:v>4485.3</c:v>
                      </c:pt>
                      <c:pt idx="155">
                        <c:v>4332.5</c:v>
                      </c:pt>
                      <c:pt idx="156">
                        <c:v>4330</c:v>
                      </c:pt>
                      <c:pt idx="157">
                        <c:v>4330</c:v>
                      </c:pt>
                      <c:pt idx="158">
                        <c:v>4343.7</c:v>
                      </c:pt>
                      <c:pt idx="159">
                        <c:v>4264.2</c:v>
                      </c:pt>
                      <c:pt idx="160">
                        <c:v>4132.7</c:v>
                      </c:pt>
                      <c:pt idx="161">
                        <c:v>4084.6</c:v>
                      </c:pt>
                      <c:pt idx="162">
                        <c:v>4218.5</c:v>
                      </c:pt>
                      <c:pt idx="163">
                        <c:v>4220.3</c:v>
                      </c:pt>
                      <c:pt idx="164">
                        <c:v>4220.3</c:v>
                      </c:pt>
                      <c:pt idx="165">
                        <c:v>4342.3999999999996</c:v>
                      </c:pt>
                      <c:pt idx="166">
                        <c:v>4346.1000000000004</c:v>
                      </c:pt>
                      <c:pt idx="167">
                        <c:v>4366.5</c:v>
                      </c:pt>
                      <c:pt idx="168">
                        <c:v>4226.1000000000004</c:v>
                      </c:pt>
                      <c:pt idx="169">
                        <c:v>4149.8</c:v>
                      </c:pt>
                      <c:pt idx="170">
                        <c:v>4156.7</c:v>
                      </c:pt>
                      <c:pt idx="171">
                        <c:v>4156.7</c:v>
                      </c:pt>
                      <c:pt idx="172">
                        <c:v>4183</c:v>
                      </c:pt>
                      <c:pt idx="173">
                        <c:v>4137.5</c:v>
                      </c:pt>
                      <c:pt idx="174">
                        <c:v>4014.6</c:v>
                      </c:pt>
                      <c:pt idx="175">
                        <c:v>4043.1</c:v>
                      </c:pt>
                      <c:pt idx="176">
                        <c:v>4089</c:v>
                      </c:pt>
                      <c:pt idx="177">
                        <c:v>4090.6</c:v>
                      </c:pt>
                      <c:pt idx="178">
                        <c:v>4090.6</c:v>
                      </c:pt>
                      <c:pt idx="179">
                        <c:v>4024.8</c:v>
                      </c:pt>
                      <c:pt idx="180">
                        <c:v>4029.8</c:v>
                      </c:pt>
                      <c:pt idx="181">
                        <c:v>4084.9</c:v>
                      </c:pt>
                      <c:pt idx="182">
                        <c:v>4119.3999999999996</c:v>
                      </c:pt>
                      <c:pt idx="183">
                        <c:v>4167.1000000000004</c:v>
                      </c:pt>
                      <c:pt idx="184">
                        <c:v>4176.1000000000004</c:v>
                      </c:pt>
                      <c:pt idx="185">
                        <c:v>4176.1000000000004</c:v>
                      </c:pt>
                      <c:pt idx="186">
                        <c:v>4145.8999999999996</c:v>
                      </c:pt>
                      <c:pt idx="187">
                        <c:v>4147.7</c:v>
                      </c:pt>
                      <c:pt idx="188">
                        <c:v>4044.9</c:v>
                      </c:pt>
                      <c:pt idx="189">
                        <c:v>4131</c:v>
                      </c:pt>
                      <c:pt idx="190">
                        <c:v>4102.2</c:v>
                      </c:pt>
                      <c:pt idx="191">
                        <c:v>4121.3999999999996</c:v>
                      </c:pt>
                      <c:pt idx="192">
                        <c:v>4121.3999999999996</c:v>
                      </c:pt>
                      <c:pt idx="193">
                        <c:v>4013.4</c:v>
                      </c:pt>
                      <c:pt idx="194">
                        <c:v>4061.5</c:v>
                      </c:pt>
                      <c:pt idx="195">
                        <c:v>4035.3</c:v>
                      </c:pt>
                      <c:pt idx="196">
                        <c:v>3986.6</c:v>
                      </c:pt>
                      <c:pt idx="197">
                        <c:v>4021</c:v>
                      </c:pt>
                      <c:pt idx="198">
                        <c:v>4019.3</c:v>
                      </c:pt>
                      <c:pt idx="199">
                        <c:v>4019.3</c:v>
                      </c:pt>
                      <c:pt idx="200">
                        <c:v>4013.5</c:v>
                      </c:pt>
                      <c:pt idx="201">
                        <c:v>4076.7</c:v>
                      </c:pt>
                      <c:pt idx="202">
                        <c:v>4149.8</c:v>
                      </c:pt>
                      <c:pt idx="203">
                        <c:v>4051.3</c:v>
                      </c:pt>
                      <c:pt idx="204">
                        <c:v>4077.8</c:v>
                      </c:pt>
                      <c:pt idx="205">
                        <c:v>4053.7</c:v>
                      </c:pt>
                      <c:pt idx="206">
                        <c:v>4053.7</c:v>
                      </c:pt>
                      <c:pt idx="207">
                        <c:v>4087</c:v>
                      </c:pt>
                      <c:pt idx="208">
                        <c:v>4044</c:v>
                      </c:pt>
                      <c:pt idx="209">
                        <c:v>4017.3</c:v>
                      </c:pt>
                      <c:pt idx="210">
                        <c:v>4117.8</c:v>
                      </c:pt>
                      <c:pt idx="211">
                        <c:v>4048</c:v>
                      </c:pt>
                      <c:pt idx="212">
                        <c:v>4043.7</c:v>
                      </c:pt>
                      <c:pt idx="213">
                        <c:v>4043.7</c:v>
                      </c:pt>
                      <c:pt idx="214">
                        <c:v>4038.2</c:v>
                      </c:pt>
                      <c:pt idx="215">
                        <c:v>4090.6</c:v>
                      </c:pt>
                      <c:pt idx="216">
                        <c:v>4242.1000000000004</c:v>
                      </c:pt>
                      <c:pt idx="217">
                        <c:v>4228.5</c:v>
                      </c:pt>
                      <c:pt idx="218">
                        <c:v>4337.7</c:v>
                      </c:pt>
                      <c:pt idx="219">
                        <c:v>4343.3</c:v>
                      </c:pt>
                      <c:pt idx="220">
                        <c:v>4343.3</c:v>
                      </c:pt>
                      <c:pt idx="221">
                        <c:v>4364.3</c:v>
                      </c:pt>
                      <c:pt idx="222">
                        <c:v>4383.8999999999996</c:v>
                      </c:pt>
                      <c:pt idx="223">
                        <c:v>4424.6000000000004</c:v>
                      </c:pt>
                      <c:pt idx="224">
                        <c:v>4357.8999999999996</c:v>
                      </c:pt>
                      <c:pt idx="225">
                        <c:v>4388.6000000000004</c:v>
                      </c:pt>
                      <c:pt idx="226">
                        <c:v>4377.6000000000004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704-4E83-A392-44315367E88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 SJC_Mieng_Mua_VND_Luong 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Sheet1!$C$2:$C$228</c15:sqref>
                        </c15:formulaRef>
                      </c:ext>
                    </c:extLst>
                    <c:strCache>
                      <c:ptCount val="227"/>
                      <c:pt idx="0">
                        <c:v>Tuần  1</c:v>
                      </c:pt>
                      <c:pt idx="1">
                        <c:v>Tuần  1</c:v>
                      </c:pt>
                      <c:pt idx="2">
                        <c:v>Tuần  1</c:v>
                      </c:pt>
                      <c:pt idx="3">
                        <c:v>Tuần  2</c:v>
                      </c:pt>
                      <c:pt idx="4">
                        <c:v>Tuần  2</c:v>
                      </c:pt>
                      <c:pt idx="5">
                        <c:v>Tuần  2</c:v>
                      </c:pt>
                      <c:pt idx="6">
                        <c:v>Tuần  2</c:v>
                      </c:pt>
                      <c:pt idx="7">
                        <c:v>Tuần  2</c:v>
                      </c:pt>
                      <c:pt idx="8">
                        <c:v>Tuần  2</c:v>
                      </c:pt>
                      <c:pt idx="9">
                        <c:v>Tuần  2</c:v>
                      </c:pt>
                      <c:pt idx="10">
                        <c:v>Tuần  3</c:v>
                      </c:pt>
                      <c:pt idx="11">
                        <c:v>Tuần  3</c:v>
                      </c:pt>
                      <c:pt idx="12">
                        <c:v>Tuần  3</c:v>
                      </c:pt>
                      <c:pt idx="13">
                        <c:v>Tuần  3</c:v>
                      </c:pt>
                      <c:pt idx="14">
                        <c:v>Tuần  3</c:v>
                      </c:pt>
                      <c:pt idx="15">
                        <c:v>Tuần  3</c:v>
                      </c:pt>
                      <c:pt idx="16">
                        <c:v>Tuần  3</c:v>
                      </c:pt>
                      <c:pt idx="17">
                        <c:v>Tuần  4</c:v>
                      </c:pt>
                      <c:pt idx="18">
                        <c:v>Tuần  4</c:v>
                      </c:pt>
                      <c:pt idx="19">
                        <c:v>Tuần  4</c:v>
                      </c:pt>
                      <c:pt idx="20">
                        <c:v>Tuần  4</c:v>
                      </c:pt>
                      <c:pt idx="21">
                        <c:v>Tuần  4</c:v>
                      </c:pt>
                      <c:pt idx="22">
                        <c:v>Tuần  4</c:v>
                      </c:pt>
                      <c:pt idx="23">
                        <c:v>Tuần  4</c:v>
                      </c:pt>
                      <c:pt idx="24">
                        <c:v>Tuần  5</c:v>
                      </c:pt>
                      <c:pt idx="25">
                        <c:v>Tuần  5</c:v>
                      </c:pt>
                      <c:pt idx="26">
                        <c:v>Tuần  5</c:v>
                      </c:pt>
                      <c:pt idx="27">
                        <c:v>Tuần  5</c:v>
                      </c:pt>
                      <c:pt idx="28">
                        <c:v>Tuần  5</c:v>
                      </c:pt>
                      <c:pt idx="29">
                        <c:v>Tuần  5</c:v>
                      </c:pt>
                      <c:pt idx="30">
                        <c:v>Tuần  5</c:v>
                      </c:pt>
                      <c:pt idx="31">
                        <c:v>Tuần  6</c:v>
                      </c:pt>
                      <c:pt idx="32">
                        <c:v>Tuần  6</c:v>
                      </c:pt>
                      <c:pt idx="33">
                        <c:v>Tuần  6</c:v>
                      </c:pt>
                      <c:pt idx="34">
                        <c:v>Tuần  6</c:v>
                      </c:pt>
                      <c:pt idx="35">
                        <c:v>Tuần  6</c:v>
                      </c:pt>
                      <c:pt idx="36">
                        <c:v>Tuần  6</c:v>
                      </c:pt>
                      <c:pt idx="37">
                        <c:v>Tuần  6</c:v>
                      </c:pt>
                      <c:pt idx="38">
                        <c:v>Tuần  7</c:v>
                      </c:pt>
                      <c:pt idx="39">
                        <c:v>Tuần  7</c:v>
                      </c:pt>
                      <c:pt idx="40">
                        <c:v>Tuần  7</c:v>
                      </c:pt>
                      <c:pt idx="41">
                        <c:v>Tuần  7</c:v>
                      </c:pt>
                      <c:pt idx="42">
                        <c:v>Tuần  7</c:v>
                      </c:pt>
                      <c:pt idx="43">
                        <c:v>Tuần  7</c:v>
                      </c:pt>
                      <c:pt idx="44">
                        <c:v>Tuần  7</c:v>
                      </c:pt>
                      <c:pt idx="45">
                        <c:v>Tuần  8</c:v>
                      </c:pt>
                      <c:pt idx="46">
                        <c:v>Tuần  8</c:v>
                      </c:pt>
                      <c:pt idx="47">
                        <c:v>Tuần  8</c:v>
                      </c:pt>
                      <c:pt idx="48">
                        <c:v>Tuần  8</c:v>
                      </c:pt>
                      <c:pt idx="49">
                        <c:v>Tuần  8</c:v>
                      </c:pt>
                      <c:pt idx="50">
                        <c:v>Tuần  8</c:v>
                      </c:pt>
                      <c:pt idx="51">
                        <c:v>Tuần  8</c:v>
                      </c:pt>
                      <c:pt idx="52">
                        <c:v>Tuần  9</c:v>
                      </c:pt>
                      <c:pt idx="53">
                        <c:v>Tuần  9</c:v>
                      </c:pt>
                      <c:pt idx="54">
                        <c:v>Tuần  9</c:v>
                      </c:pt>
                      <c:pt idx="55">
                        <c:v>Tuần  9</c:v>
                      </c:pt>
                      <c:pt idx="56">
                        <c:v>Tuần  9</c:v>
                      </c:pt>
                      <c:pt idx="57">
                        <c:v>Tuần  9</c:v>
                      </c:pt>
                      <c:pt idx="58">
                        <c:v>Tuần  9</c:v>
                      </c:pt>
                      <c:pt idx="59">
                        <c:v>Tuần  10</c:v>
                      </c:pt>
                      <c:pt idx="60">
                        <c:v>Tuần  10</c:v>
                      </c:pt>
                      <c:pt idx="61">
                        <c:v>Tuần  10</c:v>
                      </c:pt>
                      <c:pt idx="62">
                        <c:v>Tuần  10</c:v>
                      </c:pt>
                      <c:pt idx="63">
                        <c:v>Tuần  10</c:v>
                      </c:pt>
                      <c:pt idx="64">
                        <c:v>Tuần  10</c:v>
                      </c:pt>
                      <c:pt idx="65">
                        <c:v>Tuần  10</c:v>
                      </c:pt>
                      <c:pt idx="66">
                        <c:v>Tuần  11</c:v>
                      </c:pt>
                      <c:pt idx="67">
                        <c:v>Tuần  11</c:v>
                      </c:pt>
                      <c:pt idx="68">
                        <c:v>Tuần  11</c:v>
                      </c:pt>
                      <c:pt idx="69">
                        <c:v>Tuần  11</c:v>
                      </c:pt>
                      <c:pt idx="70">
                        <c:v>Tuần  11</c:v>
                      </c:pt>
                      <c:pt idx="71">
                        <c:v>Tuần  11</c:v>
                      </c:pt>
                      <c:pt idx="72">
                        <c:v>Tuần  11</c:v>
                      </c:pt>
                      <c:pt idx="73">
                        <c:v>Tuần  12</c:v>
                      </c:pt>
                      <c:pt idx="74">
                        <c:v>Tuần  12</c:v>
                      </c:pt>
                      <c:pt idx="75">
                        <c:v>Tuần  12</c:v>
                      </c:pt>
                      <c:pt idx="76">
                        <c:v>Tuần  12</c:v>
                      </c:pt>
                      <c:pt idx="77">
                        <c:v>Tuần  12</c:v>
                      </c:pt>
                      <c:pt idx="78">
                        <c:v>Tuần  12</c:v>
                      </c:pt>
                      <c:pt idx="79">
                        <c:v>Tuần  12</c:v>
                      </c:pt>
                      <c:pt idx="80">
                        <c:v>Tuần  13</c:v>
                      </c:pt>
                      <c:pt idx="81">
                        <c:v>Tuần  13</c:v>
                      </c:pt>
                      <c:pt idx="82">
                        <c:v>Tuần  13</c:v>
                      </c:pt>
                      <c:pt idx="83">
                        <c:v>Tuần  13</c:v>
                      </c:pt>
                      <c:pt idx="84">
                        <c:v>Tuần  13</c:v>
                      </c:pt>
                      <c:pt idx="85">
                        <c:v>Tuần  13</c:v>
                      </c:pt>
                      <c:pt idx="86">
                        <c:v>Tuần  13</c:v>
                      </c:pt>
                      <c:pt idx="87">
                        <c:v>Tuần  14</c:v>
                      </c:pt>
                      <c:pt idx="88">
                        <c:v>Tuần  14</c:v>
                      </c:pt>
                      <c:pt idx="89">
                        <c:v>Tuần  14</c:v>
                      </c:pt>
                      <c:pt idx="90">
                        <c:v>Tuần  14</c:v>
                      </c:pt>
                      <c:pt idx="91">
                        <c:v>Tuần  14</c:v>
                      </c:pt>
                      <c:pt idx="92">
                        <c:v>Tuần  14</c:v>
                      </c:pt>
                      <c:pt idx="93">
                        <c:v>Tuần  14</c:v>
                      </c:pt>
                      <c:pt idx="94">
                        <c:v>Tuần  15</c:v>
                      </c:pt>
                      <c:pt idx="95">
                        <c:v>Tuần  15</c:v>
                      </c:pt>
                      <c:pt idx="96">
                        <c:v>Tuần  15</c:v>
                      </c:pt>
                      <c:pt idx="97">
                        <c:v>Tuần  15</c:v>
                      </c:pt>
                      <c:pt idx="98">
                        <c:v>Tuần  15</c:v>
                      </c:pt>
                      <c:pt idx="99">
                        <c:v>Tuần  15</c:v>
                      </c:pt>
                      <c:pt idx="100">
                        <c:v>Tuần  15</c:v>
                      </c:pt>
                      <c:pt idx="101">
                        <c:v>Tuần  16</c:v>
                      </c:pt>
                      <c:pt idx="102">
                        <c:v>Tuần  16</c:v>
                      </c:pt>
                      <c:pt idx="103">
                        <c:v>Tuần  16</c:v>
                      </c:pt>
                      <c:pt idx="104">
                        <c:v>Tuần  16</c:v>
                      </c:pt>
                      <c:pt idx="105">
                        <c:v>Tuần  16</c:v>
                      </c:pt>
                      <c:pt idx="106">
                        <c:v>Tuần  16</c:v>
                      </c:pt>
                      <c:pt idx="107">
                        <c:v>Tuần  16</c:v>
                      </c:pt>
                      <c:pt idx="108">
                        <c:v>Tuần  17</c:v>
                      </c:pt>
                      <c:pt idx="109">
                        <c:v>Tuần  17</c:v>
                      </c:pt>
                      <c:pt idx="110">
                        <c:v>Tuần  17</c:v>
                      </c:pt>
                      <c:pt idx="111">
                        <c:v>Tuần  17</c:v>
                      </c:pt>
                      <c:pt idx="112">
                        <c:v>Tuần  17</c:v>
                      </c:pt>
                      <c:pt idx="113">
                        <c:v>Tuần  17</c:v>
                      </c:pt>
                      <c:pt idx="114">
                        <c:v>Tuần  17</c:v>
                      </c:pt>
                      <c:pt idx="115">
                        <c:v>Tuần  18</c:v>
                      </c:pt>
                      <c:pt idx="116">
                        <c:v>Tuần  18</c:v>
                      </c:pt>
                      <c:pt idx="117">
                        <c:v>Tuần  18</c:v>
                      </c:pt>
                      <c:pt idx="118">
                        <c:v>Tuần  18</c:v>
                      </c:pt>
                      <c:pt idx="119">
                        <c:v>Tuần  18</c:v>
                      </c:pt>
                      <c:pt idx="120">
                        <c:v>Tuần  18</c:v>
                      </c:pt>
                      <c:pt idx="121">
                        <c:v>Tuần  18</c:v>
                      </c:pt>
                      <c:pt idx="122">
                        <c:v>Tuần  19</c:v>
                      </c:pt>
                      <c:pt idx="123">
                        <c:v>Tuần  19</c:v>
                      </c:pt>
                      <c:pt idx="124">
                        <c:v>Tuần  19</c:v>
                      </c:pt>
                      <c:pt idx="125">
                        <c:v>Tuần  19</c:v>
                      </c:pt>
                      <c:pt idx="126">
                        <c:v>Tuần  19</c:v>
                      </c:pt>
                      <c:pt idx="127">
                        <c:v>Tuần  19</c:v>
                      </c:pt>
                      <c:pt idx="128">
                        <c:v>Tuần  19</c:v>
                      </c:pt>
                      <c:pt idx="129">
                        <c:v>Tuần  20</c:v>
                      </c:pt>
                      <c:pt idx="130">
                        <c:v>Tuần  20</c:v>
                      </c:pt>
                      <c:pt idx="131">
                        <c:v>Tuần  20</c:v>
                      </c:pt>
                      <c:pt idx="132">
                        <c:v>Tuần  20</c:v>
                      </c:pt>
                      <c:pt idx="133">
                        <c:v>Tuần  20</c:v>
                      </c:pt>
                      <c:pt idx="134">
                        <c:v>Tuần  20</c:v>
                      </c:pt>
                      <c:pt idx="135">
                        <c:v>Tuần  20</c:v>
                      </c:pt>
                      <c:pt idx="136">
                        <c:v>Tuần  21</c:v>
                      </c:pt>
                      <c:pt idx="137">
                        <c:v>Tuần  21</c:v>
                      </c:pt>
                      <c:pt idx="138">
                        <c:v>Tuần  21</c:v>
                      </c:pt>
                      <c:pt idx="139">
                        <c:v>Tuần  21</c:v>
                      </c:pt>
                      <c:pt idx="140">
                        <c:v>Tuần  21</c:v>
                      </c:pt>
                      <c:pt idx="141">
                        <c:v>Tuần  21</c:v>
                      </c:pt>
                      <c:pt idx="142">
                        <c:v>Tuần  21</c:v>
                      </c:pt>
                      <c:pt idx="143">
                        <c:v>Tuần  22</c:v>
                      </c:pt>
                      <c:pt idx="144">
                        <c:v>Tuần  22</c:v>
                      </c:pt>
                      <c:pt idx="145">
                        <c:v>Tuần  22</c:v>
                      </c:pt>
                      <c:pt idx="146">
                        <c:v>Tuần  22</c:v>
                      </c:pt>
                      <c:pt idx="147">
                        <c:v>Tuần  22</c:v>
                      </c:pt>
                      <c:pt idx="148">
                        <c:v>Tuần  22</c:v>
                      </c:pt>
                      <c:pt idx="149">
                        <c:v>Tuần  22</c:v>
                      </c:pt>
                      <c:pt idx="150">
                        <c:v>Tuần  23</c:v>
                      </c:pt>
                      <c:pt idx="151">
                        <c:v>Tuần  23</c:v>
                      </c:pt>
                      <c:pt idx="152">
                        <c:v>Tuần  23</c:v>
                      </c:pt>
                      <c:pt idx="153">
                        <c:v>Tuần  23</c:v>
                      </c:pt>
                      <c:pt idx="154">
                        <c:v>Tuần  23</c:v>
                      </c:pt>
                      <c:pt idx="155">
                        <c:v>Tuần  23</c:v>
                      </c:pt>
                      <c:pt idx="156">
                        <c:v>Tuần  23</c:v>
                      </c:pt>
                      <c:pt idx="157">
                        <c:v>Tuần  24</c:v>
                      </c:pt>
                      <c:pt idx="158">
                        <c:v>Tuần  24</c:v>
                      </c:pt>
                      <c:pt idx="159">
                        <c:v>Tuần  24</c:v>
                      </c:pt>
                      <c:pt idx="160">
                        <c:v>Tuần  24</c:v>
                      </c:pt>
                      <c:pt idx="161">
                        <c:v>Tuần  24</c:v>
                      </c:pt>
                      <c:pt idx="162">
                        <c:v>Tuần  24</c:v>
                      </c:pt>
                      <c:pt idx="163">
                        <c:v>Tuần  24</c:v>
                      </c:pt>
                      <c:pt idx="164">
                        <c:v>Tuần  25</c:v>
                      </c:pt>
                      <c:pt idx="165">
                        <c:v>Tuần  25</c:v>
                      </c:pt>
                      <c:pt idx="166">
                        <c:v>Tuần  25</c:v>
                      </c:pt>
                      <c:pt idx="167">
                        <c:v>Tuần  25</c:v>
                      </c:pt>
                      <c:pt idx="168">
                        <c:v>Tuần  25</c:v>
                      </c:pt>
                      <c:pt idx="169">
                        <c:v>Tuần  25</c:v>
                      </c:pt>
                      <c:pt idx="170">
                        <c:v>Tuần  25</c:v>
                      </c:pt>
                      <c:pt idx="171">
                        <c:v>Tuần  26</c:v>
                      </c:pt>
                      <c:pt idx="172">
                        <c:v>Tuần  26</c:v>
                      </c:pt>
                      <c:pt idx="173">
                        <c:v>Tuần  26</c:v>
                      </c:pt>
                      <c:pt idx="174">
                        <c:v>Tuần  26</c:v>
                      </c:pt>
                      <c:pt idx="175">
                        <c:v>Tuần  26</c:v>
                      </c:pt>
                      <c:pt idx="176">
                        <c:v>Tuần  26</c:v>
                      </c:pt>
                      <c:pt idx="177">
                        <c:v>Tuần  26</c:v>
                      </c:pt>
                      <c:pt idx="178">
                        <c:v>Tuần  27</c:v>
                      </c:pt>
                      <c:pt idx="179">
                        <c:v>Tuần  27</c:v>
                      </c:pt>
                      <c:pt idx="180">
                        <c:v>Tuần  27</c:v>
                      </c:pt>
                      <c:pt idx="181">
                        <c:v>Tuần  27</c:v>
                      </c:pt>
                      <c:pt idx="182">
                        <c:v>Tuần  27</c:v>
                      </c:pt>
                      <c:pt idx="183">
                        <c:v>Tuần  27</c:v>
                      </c:pt>
                      <c:pt idx="184">
                        <c:v>Tuần  27</c:v>
                      </c:pt>
                      <c:pt idx="185">
                        <c:v>Tuần  28</c:v>
                      </c:pt>
                      <c:pt idx="186">
                        <c:v>Tuần  28</c:v>
                      </c:pt>
                      <c:pt idx="187">
                        <c:v>Tuần  28</c:v>
                      </c:pt>
                      <c:pt idx="188">
                        <c:v>Tuần  28</c:v>
                      </c:pt>
                      <c:pt idx="189">
                        <c:v>Tuần  28</c:v>
                      </c:pt>
                      <c:pt idx="190">
                        <c:v>Tuần  28</c:v>
                      </c:pt>
                      <c:pt idx="191">
                        <c:v>Tuần  28</c:v>
                      </c:pt>
                      <c:pt idx="192">
                        <c:v>Tuần  29</c:v>
                      </c:pt>
                      <c:pt idx="193">
                        <c:v>Tuần  29</c:v>
                      </c:pt>
                      <c:pt idx="194">
                        <c:v>Tuần  29</c:v>
                      </c:pt>
                      <c:pt idx="195">
                        <c:v>Tuần  29</c:v>
                      </c:pt>
                      <c:pt idx="196">
                        <c:v>Tuần  29</c:v>
                      </c:pt>
                      <c:pt idx="197">
                        <c:v>Tuần  29</c:v>
                      </c:pt>
                      <c:pt idx="198">
                        <c:v>Tuần  29</c:v>
                      </c:pt>
                      <c:pt idx="199">
                        <c:v>Tuần  30</c:v>
                      </c:pt>
                      <c:pt idx="200">
                        <c:v>Tuần  30</c:v>
                      </c:pt>
                      <c:pt idx="201">
                        <c:v>Tuần  30</c:v>
                      </c:pt>
                      <c:pt idx="202">
                        <c:v>Tuần  30</c:v>
                      </c:pt>
                      <c:pt idx="203">
                        <c:v>Tuần  30</c:v>
                      </c:pt>
                      <c:pt idx="204">
                        <c:v>Tuần  30</c:v>
                      </c:pt>
                      <c:pt idx="205">
                        <c:v>Tuần  30</c:v>
                      </c:pt>
                      <c:pt idx="206">
                        <c:v>Tuần  31</c:v>
                      </c:pt>
                      <c:pt idx="207">
                        <c:v>Tuần  31</c:v>
                      </c:pt>
                      <c:pt idx="208">
                        <c:v>Tuần  31</c:v>
                      </c:pt>
                      <c:pt idx="209">
                        <c:v>Tuần  31</c:v>
                      </c:pt>
                      <c:pt idx="210">
                        <c:v>Tuần  31</c:v>
                      </c:pt>
                      <c:pt idx="211">
                        <c:v>Tuần  31</c:v>
                      </c:pt>
                      <c:pt idx="212">
                        <c:v>Tuần  31</c:v>
                      </c:pt>
                      <c:pt idx="213">
                        <c:v>Tuần  32</c:v>
                      </c:pt>
                      <c:pt idx="214">
                        <c:v>Tuần  32</c:v>
                      </c:pt>
                      <c:pt idx="215">
                        <c:v>Tuần  32</c:v>
                      </c:pt>
                      <c:pt idx="216">
                        <c:v>Tuần  32</c:v>
                      </c:pt>
                      <c:pt idx="217">
                        <c:v>Tuần  32</c:v>
                      </c:pt>
                      <c:pt idx="218">
                        <c:v>Tuần  32</c:v>
                      </c:pt>
                      <c:pt idx="219">
                        <c:v>Tuần  32</c:v>
                      </c:pt>
                      <c:pt idx="220">
                        <c:v>Tuần  33</c:v>
                      </c:pt>
                      <c:pt idx="221">
                        <c:v>Tuần  33</c:v>
                      </c:pt>
                      <c:pt idx="222">
                        <c:v>Tuần  33</c:v>
                      </c:pt>
                      <c:pt idx="223">
                        <c:v>Tuần  33</c:v>
                      </c:pt>
                      <c:pt idx="224">
                        <c:v>Tuần  33</c:v>
                      </c:pt>
                      <c:pt idx="225">
                        <c:v>Tuần  33</c:v>
                      </c:pt>
                      <c:pt idx="226">
                        <c:v>Tuần  33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Sheet1!$N$2:$N$228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7"/>
                      <c:pt idx="0">
                        <c:v>150800000</c:v>
                      </c:pt>
                      <c:pt idx="1">
                        <c:v>150800000</c:v>
                      </c:pt>
                      <c:pt idx="2">
                        <c:v>150800000</c:v>
                      </c:pt>
                      <c:pt idx="3">
                        <c:v>150800000</c:v>
                      </c:pt>
                      <c:pt idx="4">
                        <c:v>155100000</c:v>
                      </c:pt>
                      <c:pt idx="5">
                        <c:v>156000000</c:v>
                      </c:pt>
                      <c:pt idx="6">
                        <c:v>156100000</c:v>
                      </c:pt>
                      <c:pt idx="7">
                        <c:v>155200000</c:v>
                      </c:pt>
                      <c:pt idx="8">
                        <c:v>156300000</c:v>
                      </c:pt>
                      <c:pt idx="9">
                        <c:v>157800000</c:v>
                      </c:pt>
                      <c:pt idx="10">
                        <c:v>157800000</c:v>
                      </c:pt>
                      <c:pt idx="11">
                        <c:v>160000000</c:v>
                      </c:pt>
                      <c:pt idx="12">
                        <c:v>160000000</c:v>
                      </c:pt>
                      <c:pt idx="13">
                        <c:v>161500000</c:v>
                      </c:pt>
                      <c:pt idx="14">
                        <c:v>160800000</c:v>
                      </c:pt>
                      <c:pt idx="15">
                        <c:v>160800000</c:v>
                      </c:pt>
                      <c:pt idx="16">
                        <c:v>160800000</c:v>
                      </c:pt>
                      <c:pt idx="17">
                        <c:v>160800000</c:v>
                      </c:pt>
                      <c:pt idx="18">
                        <c:v>163000000</c:v>
                      </c:pt>
                      <c:pt idx="19">
                        <c:v>164100000</c:v>
                      </c:pt>
                      <c:pt idx="20">
                        <c:v>168500000</c:v>
                      </c:pt>
                      <c:pt idx="21">
                        <c:v>167300000</c:v>
                      </c:pt>
                      <c:pt idx="22">
                        <c:v>170200000</c:v>
                      </c:pt>
                      <c:pt idx="23">
                        <c:v>172300000</c:v>
                      </c:pt>
                      <c:pt idx="24">
                        <c:v>172300000</c:v>
                      </c:pt>
                      <c:pt idx="25">
                        <c:v>175000000</c:v>
                      </c:pt>
                      <c:pt idx="26">
                        <c:v>175300000</c:v>
                      </c:pt>
                      <c:pt idx="27">
                        <c:v>181700000</c:v>
                      </c:pt>
                      <c:pt idx="28">
                        <c:v>186600000</c:v>
                      </c:pt>
                      <c:pt idx="29">
                        <c:v>178000000</c:v>
                      </c:pt>
                      <c:pt idx="30">
                        <c:v>169000000</c:v>
                      </c:pt>
                      <c:pt idx="31">
                        <c:v>169000000</c:v>
                      </c:pt>
                      <c:pt idx="32">
                        <c:v>163000000</c:v>
                      </c:pt>
                      <c:pt idx="33">
                        <c:v>173500000</c:v>
                      </c:pt>
                      <c:pt idx="34">
                        <c:v>177200000</c:v>
                      </c:pt>
                      <c:pt idx="35">
                        <c:v>174200000</c:v>
                      </c:pt>
                      <c:pt idx="36">
                        <c:v>173500000</c:v>
                      </c:pt>
                      <c:pt idx="37">
                        <c:v>176300000</c:v>
                      </c:pt>
                      <c:pt idx="38">
                        <c:v>176300000</c:v>
                      </c:pt>
                      <c:pt idx="39">
                        <c:v>177400000</c:v>
                      </c:pt>
                      <c:pt idx="40">
                        <c:v>178000000</c:v>
                      </c:pt>
                      <c:pt idx="41">
                        <c:v>178000000</c:v>
                      </c:pt>
                      <c:pt idx="42">
                        <c:v>178000000</c:v>
                      </c:pt>
                      <c:pt idx="43">
                        <c:v>176000000</c:v>
                      </c:pt>
                      <c:pt idx="44">
                        <c:v>178000000</c:v>
                      </c:pt>
                      <c:pt idx="45">
                        <c:v>178000000</c:v>
                      </c:pt>
                      <c:pt idx="46">
                        <c:v>178000000</c:v>
                      </c:pt>
                      <c:pt idx="47">
                        <c:v>178000000</c:v>
                      </c:pt>
                      <c:pt idx="48">
                        <c:v>178000000</c:v>
                      </c:pt>
                      <c:pt idx="49">
                        <c:v>178000000</c:v>
                      </c:pt>
                      <c:pt idx="50">
                        <c:v>178000000</c:v>
                      </c:pt>
                      <c:pt idx="51">
                        <c:v>178000000</c:v>
                      </c:pt>
                      <c:pt idx="52">
                        <c:v>178000000</c:v>
                      </c:pt>
                      <c:pt idx="53">
                        <c:v>181600000</c:v>
                      </c:pt>
                      <c:pt idx="54">
                        <c:v>181600000</c:v>
                      </c:pt>
                      <c:pt idx="55">
                        <c:v>182300000</c:v>
                      </c:pt>
                      <c:pt idx="56">
                        <c:v>181000000</c:v>
                      </c:pt>
                      <c:pt idx="57">
                        <c:v>181000000</c:v>
                      </c:pt>
                      <c:pt idx="58">
                        <c:v>184000000</c:v>
                      </c:pt>
                      <c:pt idx="59">
                        <c:v>184000000</c:v>
                      </c:pt>
                      <c:pt idx="60">
                        <c:v>187900000</c:v>
                      </c:pt>
                      <c:pt idx="61">
                        <c:v>185200000</c:v>
                      </c:pt>
                      <c:pt idx="62">
                        <c:v>181200000</c:v>
                      </c:pt>
                      <c:pt idx="63">
                        <c:v>181700000</c:v>
                      </c:pt>
                      <c:pt idx="64">
                        <c:v>180800000</c:v>
                      </c:pt>
                      <c:pt idx="65">
                        <c:v>182000000</c:v>
                      </c:pt>
                      <c:pt idx="66">
                        <c:v>182000000</c:v>
                      </c:pt>
                      <c:pt idx="67">
                        <c:v>181100000</c:v>
                      </c:pt>
                      <c:pt idx="68">
                        <c:v>183100000</c:v>
                      </c:pt>
                      <c:pt idx="69">
                        <c:v>184200000</c:v>
                      </c:pt>
                      <c:pt idx="70">
                        <c:v>183300000</c:v>
                      </c:pt>
                      <c:pt idx="71">
                        <c:v>181800000</c:v>
                      </c:pt>
                      <c:pt idx="72">
                        <c:v>179600000</c:v>
                      </c:pt>
                      <c:pt idx="73">
                        <c:v>179600000</c:v>
                      </c:pt>
                      <c:pt idx="74">
                        <c:v>180100000</c:v>
                      </c:pt>
                      <c:pt idx="75">
                        <c:v>180000000</c:v>
                      </c:pt>
                      <c:pt idx="76">
                        <c:v>180000000</c:v>
                      </c:pt>
                      <c:pt idx="77">
                        <c:v>172500000</c:v>
                      </c:pt>
                      <c:pt idx="78">
                        <c:v>173100000</c:v>
                      </c:pt>
                      <c:pt idx="79">
                        <c:v>168000000</c:v>
                      </c:pt>
                      <c:pt idx="80">
                        <c:v>168000000</c:v>
                      </c:pt>
                      <c:pt idx="81">
                        <c:v>163000000</c:v>
                      </c:pt>
                      <c:pt idx="82">
                        <c:v>167200000</c:v>
                      </c:pt>
                      <c:pt idx="83">
                        <c:v>170500000</c:v>
                      </c:pt>
                      <c:pt idx="84">
                        <c:v>168500000</c:v>
                      </c:pt>
                      <c:pt idx="85">
                        <c:v>168600000</c:v>
                      </c:pt>
                      <c:pt idx="86">
                        <c:v>169800000</c:v>
                      </c:pt>
                      <c:pt idx="87">
                        <c:v>169800000</c:v>
                      </c:pt>
                      <c:pt idx="88">
                        <c:v>170800000</c:v>
                      </c:pt>
                      <c:pt idx="89">
                        <c:v>171900000</c:v>
                      </c:pt>
                      <c:pt idx="90">
                        <c:v>173700000</c:v>
                      </c:pt>
                      <c:pt idx="91">
                        <c:v>170000000</c:v>
                      </c:pt>
                      <c:pt idx="92">
                        <c:v>171000000</c:v>
                      </c:pt>
                      <c:pt idx="93">
                        <c:v>171500000</c:v>
                      </c:pt>
                      <c:pt idx="94">
                        <c:v>171500000</c:v>
                      </c:pt>
                      <c:pt idx="95">
                        <c:v>170100000</c:v>
                      </c:pt>
                      <c:pt idx="96">
                        <c:v>169500000</c:v>
                      </c:pt>
                      <c:pt idx="97">
                        <c:v>171000000</c:v>
                      </c:pt>
                      <c:pt idx="98">
                        <c:v>168500000</c:v>
                      </c:pt>
                      <c:pt idx="99">
                        <c:v>169700000</c:v>
                      </c:pt>
                      <c:pt idx="100">
                        <c:v>169400000</c:v>
                      </c:pt>
                      <c:pt idx="101">
                        <c:v>169400000</c:v>
                      </c:pt>
                      <c:pt idx="102">
                        <c:v>168500000</c:v>
                      </c:pt>
                      <c:pt idx="103">
                        <c:v>170500000</c:v>
                      </c:pt>
                      <c:pt idx="104">
                        <c:v>170000000</c:v>
                      </c:pt>
                      <c:pt idx="105">
                        <c:v>167700000</c:v>
                      </c:pt>
                      <c:pt idx="106">
                        <c:v>167500000</c:v>
                      </c:pt>
                      <c:pt idx="107">
                        <c:v>168500000</c:v>
                      </c:pt>
                      <c:pt idx="108">
                        <c:v>168500000</c:v>
                      </c:pt>
                      <c:pt idx="109">
                        <c:v>168300000</c:v>
                      </c:pt>
                      <c:pt idx="110">
                        <c:v>168100000</c:v>
                      </c:pt>
                      <c:pt idx="111">
                        <c:v>167500000</c:v>
                      </c:pt>
                      <c:pt idx="112">
                        <c:v>166700000</c:v>
                      </c:pt>
                      <c:pt idx="113">
                        <c:v>165500000</c:v>
                      </c:pt>
                      <c:pt idx="114">
                        <c:v>166300000</c:v>
                      </c:pt>
                      <c:pt idx="115">
                        <c:v>166300000</c:v>
                      </c:pt>
                      <c:pt idx="116">
                        <c:v>166300000</c:v>
                      </c:pt>
                      <c:pt idx="117">
                        <c:v>166300000</c:v>
                      </c:pt>
                      <c:pt idx="118">
                        <c:v>166300000</c:v>
                      </c:pt>
                      <c:pt idx="119">
                        <c:v>163000000</c:v>
                      </c:pt>
                      <c:pt idx="120">
                        <c:v>163000000</c:v>
                      </c:pt>
                      <c:pt idx="121">
                        <c:v>163000000</c:v>
                      </c:pt>
                      <c:pt idx="122">
                        <c:v>163000000</c:v>
                      </c:pt>
                      <c:pt idx="123">
                        <c:v>163300000</c:v>
                      </c:pt>
                      <c:pt idx="124">
                        <c:v>162000000</c:v>
                      </c:pt>
                      <c:pt idx="125">
                        <c:v>163000000</c:v>
                      </c:pt>
                      <c:pt idx="126">
                        <c:v>164500000</c:v>
                      </c:pt>
                      <c:pt idx="127">
                        <c:v>164500000</c:v>
                      </c:pt>
                      <c:pt idx="128">
                        <c:v>164500000</c:v>
                      </c:pt>
                      <c:pt idx="129">
                        <c:v>164500000</c:v>
                      </c:pt>
                      <c:pt idx="130">
                        <c:v>162200000</c:v>
                      </c:pt>
                      <c:pt idx="131">
                        <c:v>162500000</c:v>
                      </c:pt>
                      <c:pt idx="132">
                        <c:v>162000000</c:v>
                      </c:pt>
                      <c:pt idx="133">
                        <c:v>162000000</c:v>
                      </c:pt>
                      <c:pt idx="134">
                        <c:v>161000000</c:v>
                      </c:pt>
                      <c:pt idx="135">
                        <c:v>160500000</c:v>
                      </c:pt>
                      <c:pt idx="136">
                        <c:v>160500000</c:v>
                      </c:pt>
                      <c:pt idx="137">
                        <c:v>161300000</c:v>
                      </c:pt>
                      <c:pt idx="138">
                        <c:v>161000000</c:v>
                      </c:pt>
                      <c:pt idx="139">
                        <c:v>159000000</c:v>
                      </c:pt>
                      <c:pt idx="140">
                        <c:v>159400000</c:v>
                      </c:pt>
                      <c:pt idx="141">
                        <c:v>159000000</c:v>
                      </c:pt>
                      <c:pt idx="142">
                        <c:v>158500000</c:v>
                      </c:pt>
                      <c:pt idx="143">
                        <c:v>158500000</c:v>
                      </c:pt>
                      <c:pt idx="144">
                        <c:v>159000000</c:v>
                      </c:pt>
                      <c:pt idx="145">
                        <c:v>158500000</c:v>
                      </c:pt>
                      <c:pt idx="146">
                        <c:v>157700000</c:v>
                      </c:pt>
                      <c:pt idx="147">
                        <c:v>154500000</c:v>
                      </c:pt>
                      <c:pt idx="148">
                        <c:v>155500000</c:v>
                      </c:pt>
                      <c:pt idx="149">
                        <c:v>156000000</c:v>
                      </c:pt>
                      <c:pt idx="150">
                        <c:v>156000000</c:v>
                      </c:pt>
                      <c:pt idx="151">
                        <c:v>155500000</c:v>
                      </c:pt>
                      <c:pt idx="152">
                        <c:v>154500000</c:v>
                      </c:pt>
                      <c:pt idx="153">
                        <c:v>154000000</c:v>
                      </c:pt>
                      <c:pt idx="154">
                        <c:v>153000000</c:v>
                      </c:pt>
                      <c:pt idx="155">
                        <c:v>149200000</c:v>
                      </c:pt>
                      <c:pt idx="156">
                        <c:v>146200000</c:v>
                      </c:pt>
                      <c:pt idx="157">
                        <c:v>146200000</c:v>
                      </c:pt>
                      <c:pt idx="158">
                        <c:v>138800000</c:v>
                      </c:pt>
                      <c:pt idx="159">
                        <c:v>138800000</c:v>
                      </c:pt>
                      <c:pt idx="160">
                        <c:v>133300000</c:v>
                      </c:pt>
                      <c:pt idx="161">
                        <c:v>133400000</c:v>
                      </c:pt>
                      <c:pt idx="162">
                        <c:v>142400000</c:v>
                      </c:pt>
                      <c:pt idx="163">
                        <c:v>144000000</c:v>
                      </c:pt>
                      <c:pt idx="164">
                        <c:v>144000000</c:v>
                      </c:pt>
                      <c:pt idx="165">
                        <c:v>148000000</c:v>
                      </c:pt>
                      <c:pt idx="166">
                        <c:v>149500000</c:v>
                      </c:pt>
                      <c:pt idx="167">
                        <c:v>148800000</c:v>
                      </c:pt>
                      <c:pt idx="168">
                        <c:v>148800000</c:v>
                      </c:pt>
                      <c:pt idx="169">
                        <c:v>143700000</c:v>
                      </c:pt>
                      <c:pt idx="170">
                        <c:v>144200000</c:v>
                      </c:pt>
                      <c:pt idx="171">
                        <c:v>144200000</c:v>
                      </c:pt>
                      <c:pt idx="172">
                        <c:v>145600000</c:v>
                      </c:pt>
                      <c:pt idx="173">
                        <c:v>144000000</c:v>
                      </c:pt>
                      <c:pt idx="174">
                        <c:v>144000000</c:v>
                      </c:pt>
                      <c:pt idx="175">
                        <c:v>143200000</c:v>
                      </c:pt>
                      <c:pt idx="176">
                        <c:v>144000000</c:v>
                      </c:pt>
                      <c:pt idx="177">
                        <c:v>145500000</c:v>
                      </c:pt>
                      <c:pt idx="178">
                        <c:v>145500000</c:v>
                      </c:pt>
                      <c:pt idx="179">
                        <c:v>145000000</c:v>
                      </c:pt>
                      <c:pt idx="180">
                        <c:v>144000000</c:v>
                      </c:pt>
                      <c:pt idx="181">
                        <c:v>143400000</c:v>
                      </c:pt>
                      <c:pt idx="182">
                        <c:v>145400000</c:v>
                      </c:pt>
                      <c:pt idx="183">
                        <c:v>148400000</c:v>
                      </c:pt>
                      <c:pt idx="184">
                        <c:v>148400000</c:v>
                      </c:pt>
                      <c:pt idx="185">
                        <c:v>148400000</c:v>
                      </c:pt>
                      <c:pt idx="186">
                        <c:v>148000000</c:v>
                      </c:pt>
                      <c:pt idx="187">
                        <c:v>147000000</c:v>
                      </c:pt>
                      <c:pt idx="188">
                        <c:v>145500000</c:v>
                      </c:pt>
                      <c:pt idx="189">
                        <c:v>146000000</c:v>
                      </c:pt>
                      <c:pt idx="190">
                        <c:v>146900000</c:v>
                      </c:pt>
                      <c:pt idx="191">
                        <c:v>146900000</c:v>
                      </c:pt>
                      <c:pt idx="192">
                        <c:v>146900000</c:v>
                      </c:pt>
                      <c:pt idx="193">
                        <c:v>145400000</c:v>
                      </c:pt>
                      <c:pt idx="194">
                        <c:v>144500000</c:v>
                      </c:pt>
                      <c:pt idx="195">
                        <c:v>145500000</c:v>
                      </c:pt>
                      <c:pt idx="196">
                        <c:v>145200000</c:v>
                      </c:pt>
                      <c:pt idx="197">
                        <c:v>143600000</c:v>
                      </c:pt>
                      <c:pt idx="198">
                        <c:v>144500000</c:v>
                      </c:pt>
                      <c:pt idx="199">
                        <c:v>144500000</c:v>
                      </c:pt>
                      <c:pt idx="200">
                        <c:v>143000000</c:v>
                      </c:pt>
                      <c:pt idx="201">
                        <c:v>143400000</c:v>
                      </c:pt>
                      <c:pt idx="202">
                        <c:v>142000000</c:v>
                      </c:pt>
                      <c:pt idx="203">
                        <c:v>135000000</c:v>
                      </c:pt>
                      <c:pt idx="204">
                        <c:v>135500000</c:v>
                      </c:pt>
                      <c:pt idx="205">
                        <c:v>137500000</c:v>
                      </c:pt>
                      <c:pt idx="206">
                        <c:v>137500000</c:v>
                      </c:pt>
                      <c:pt idx="207">
                        <c:v>139000000</c:v>
                      </c:pt>
                      <c:pt idx="208">
                        <c:v>137500000</c:v>
                      </c:pt>
                      <c:pt idx="209">
                        <c:v>137500000</c:v>
                      </c:pt>
                      <c:pt idx="210">
                        <c:v>137700000</c:v>
                      </c:pt>
                      <c:pt idx="211">
                        <c:v>137900000</c:v>
                      </c:pt>
                      <c:pt idx="212">
                        <c:v>137000000</c:v>
                      </c:pt>
                      <c:pt idx="213">
                        <c:v>137000000</c:v>
                      </c:pt>
                      <c:pt idx="214">
                        <c:v>137500000</c:v>
                      </c:pt>
                      <c:pt idx="215">
                        <c:v>137500000</c:v>
                      </c:pt>
                      <c:pt idx="216">
                        <c:v>138800000</c:v>
                      </c:pt>
                      <c:pt idx="217">
                        <c:v>139700000</c:v>
                      </c:pt>
                      <c:pt idx="218">
                        <c:v>139200000</c:v>
                      </c:pt>
                      <c:pt idx="219">
                        <c:v>141000000</c:v>
                      </c:pt>
                      <c:pt idx="220">
                        <c:v>141000000</c:v>
                      </c:pt>
                      <c:pt idx="221">
                        <c:v>141100000</c:v>
                      </c:pt>
                      <c:pt idx="222">
                        <c:v>140500000</c:v>
                      </c:pt>
                      <c:pt idx="223">
                        <c:v>141300000</c:v>
                      </c:pt>
                      <c:pt idx="224">
                        <c:v>141300000</c:v>
                      </c:pt>
                      <c:pt idx="225">
                        <c:v>140300000</c:v>
                      </c:pt>
                      <c:pt idx="226">
                        <c:v>141000000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704-4E83-A392-44315367E88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  <c:pt idx="0">
                        <c:v> SJC_Mieng_Ban_VND_Luong 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Sheet1!$C$2:$C$228</c15:sqref>
                        </c15:formulaRef>
                      </c:ext>
                    </c:extLst>
                    <c:strCache>
                      <c:ptCount val="227"/>
                      <c:pt idx="0">
                        <c:v>Tuần  1</c:v>
                      </c:pt>
                      <c:pt idx="1">
                        <c:v>Tuần  1</c:v>
                      </c:pt>
                      <c:pt idx="2">
                        <c:v>Tuần  1</c:v>
                      </c:pt>
                      <c:pt idx="3">
                        <c:v>Tuần  2</c:v>
                      </c:pt>
                      <c:pt idx="4">
                        <c:v>Tuần  2</c:v>
                      </c:pt>
                      <c:pt idx="5">
                        <c:v>Tuần  2</c:v>
                      </c:pt>
                      <c:pt idx="6">
                        <c:v>Tuần  2</c:v>
                      </c:pt>
                      <c:pt idx="7">
                        <c:v>Tuần  2</c:v>
                      </c:pt>
                      <c:pt idx="8">
                        <c:v>Tuần  2</c:v>
                      </c:pt>
                      <c:pt idx="9">
                        <c:v>Tuần  2</c:v>
                      </c:pt>
                      <c:pt idx="10">
                        <c:v>Tuần  3</c:v>
                      </c:pt>
                      <c:pt idx="11">
                        <c:v>Tuần  3</c:v>
                      </c:pt>
                      <c:pt idx="12">
                        <c:v>Tuần  3</c:v>
                      </c:pt>
                      <c:pt idx="13">
                        <c:v>Tuần  3</c:v>
                      </c:pt>
                      <c:pt idx="14">
                        <c:v>Tuần  3</c:v>
                      </c:pt>
                      <c:pt idx="15">
                        <c:v>Tuần  3</c:v>
                      </c:pt>
                      <c:pt idx="16">
                        <c:v>Tuần  3</c:v>
                      </c:pt>
                      <c:pt idx="17">
                        <c:v>Tuần  4</c:v>
                      </c:pt>
                      <c:pt idx="18">
                        <c:v>Tuần  4</c:v>
                      </c:pt>
                      <c:pt idx="19">
                        <c:v>Tuần  4</c:v>
                      </c:pt>
                      <c:pt idx="20">
                        <c:v>Tuần  4</c:v>
                      </c:pt>
                      <c:pt idx="21">
                        <c:v>Tuần  4</c:v>
                      </c:pt>
                      <c:pt idx="22">
                        <c:v>Tuần  4</c:v>
                      </c:pt>
                      <c:pt idx="23">
                        <c:v>Tuần  4</c:v>
                      </c:pt>
                      <c:pt idx="24">
                        <c:v>Tuần  5</c:v>
                      </c:pt>
                      <c:pt idx="25">
                        <c:v>Tuần  5</c:v>
                      </c:pt>
                      <c:pt idx="26">
                        <c:v>Tuần  5</c:v>
                      </c:pt>
                      <c:pt idx="27">
                        <c:v>Tuần  5</c:v>
                      </c:pt>
                      <c:pt idx="28">
                        <c:v>Tuần  5</c:v>
                      </c:pt>
                      <c:pt idx="29">
                        <c:v>Tuần  5</c:v>
                      </c:pt>
                      <c:pt idx="30">
                        <c:v>Tuần  5</c:v>
                      </c:pt>
                      <c:pt idx="31">
                        <c:v>Tuần  6</c:v>
                      </c:pt>
                      <c:pt idx="32">
                        <c:v>Tuần  6</c:v>
                      </c:pt>
                      <c:pt idx="33">
                        <c:v>Tuần  6</c:v>
                      </c:pt>
                      <c:pt idx="34">
                        <c:v>Tuần  6</c:v>
                      </c:pt>
                      <c:pt idx="35">
                        <c:v>Tuần  6</c:v>
                      </c:pt>
                      <c:pt idx="36">
                        <c:v>Tuần  6</c:v>
                      </c:pt>
                      <c:pt idx="37">
                        <c:v>Tuần  6</c:v>
                      </c:pt>
                      <c:pt idx="38">
                        <c:v>Tuần  7</c:v>
                      </c:pt>
                      <c:pt idx="39">
                        <c:v>Tuần  7</c:v>
                      </c:pt>
                      <c:pt idx="40">
                        <c:v>Tuần  7</c:v>
                      </c:pt>
                      <c:pt idx="41">
                        <c:v>Tuần  7</c:v>
                      </c:pt>
                      <c:pt idx="42">
                        <c:v>Tuần  7</c:v>
                      </c:pt>
                      <c:pt idx="43">
                        <c:v>Tuần  7</c:v>
                      </c:pt>
                      <c:pt idx="44">
                        <c:v>Tuần  7</c:v>
                      </c:pt>
                      <c:pt idx="45">
                        <c:v>Tuần  8</c:v>
                      </c:pt>
                      <c:pt idx="46">
                        <c:v>Tuần  8</c:v>
                      </c:pt>
                      <c:pt idx="47">
                        <c:v>Tuần  8</c:v>
                      </c:pt>
                      <c:pt idx="48">
                        <c:v>Tuần  8</c:v>
                      </c:pt>
                      <c:pt idx="49">
                        <c:v>Tuần  8</c:v>
                      </c:pt>
                      <c:pt idx="50">
                        <c:v>Tuần  8</c:v>
                      </c:pt>
                      <c:pt idx="51">
                        <c:v>Tuần  8</c:v>
                      </c:pt>
                      <c:pt idx="52">
                        <c:v>Tuần  9</c:v>
                      </c:pt>
                      <c:pt idx="53">
                        <c:v>Tuần  9</c:v>
                      </c:pt>
                      <c:pt idx="54">
                        <c:v>Tuần  9</c:v>
                      </c:pt>
                      <c:pt idx="55">
                        <c:v>Tuần  9</c:v>
                      </c:pt>
                      <c:pt idx="56">
                        <c:v>Tuần  9</c:v>
                      </c:pt>
                      <c:pt idx="57">
                        <c:v>Tuần  9</c:v>
                      </c:pt>
                      <c:pt idx="58">
                        <c:v>Tuần  9</c:v>
                      </c:pt>
                      <c:pt idx="59">
                        <c:v>Tuần  10</c:v>
                      </c:pt>
                      <c:pt idx="60">
                        <c:v>Tuần  10</c:v>
                      </c:pt>
                      <c:pt idx="61">
                        <c:v>Tuần  10</c:v>
                      </c:pt>
                      <c:pt idx="62">
                        <c:v>Tuần  10</c:v>
                      </c:pt>
                      <c:pt idx="63">
                        <c:v>Tuần  10</c:v>
                      </c:pt>
                      <c:pt idx="64">
                        <c:v>Tuần  10</c:v>
                      </c:pt>
                      <c:pt idx="65">
                        <c:v>Tuần  10</c:v>
                      </c:pt>
                      <c:pt idx="66">
                        <c:v>Tuần  11</c:v>
                      </c:pt>
                      <c:pt idx="67">
                        <c:v>Tuần  11</c:v>
                      </c:pt>
                      <c:pt idx="68">
                        <c:v>Tuần  11</c:v>
                      </c:pt>
                      <c:pt idx="69">
                        <c:v>Tuần  11</c:v>
                      </c:pt>
                      <c:pt idx="70">
                        <c:v>Tuần  11</c:v>
                      </c:pt>
                      <c:pt idx="71">
                        <c:v>Tuần  11</c:v>
                      </c:pt>
                      <c:pt idx="72">
                        <c:v>Tuần  11</c:v>
                      </c:pt>
                      <c:pt idx="73">
                        <c:v>Tuần  12</c:v>
                      </c:pt>
                      <c:pt idx="74">
                        <c:v>Tuần  12</c:v>
                      </c:pt>
                      <c:pt idx="75">
                        <c:v>Tuần  12</c:v>
                      </c:pt>
                      <c:pt idx="76">
                        <c:v>Tuần  12</c:v>
                      </c:pt>
                      <c:pt idx="77">
                        <c:v>Tuần  12</c:v>
                      </c:pt>
                      <c:pt idx="78">
                        <c:v>Tuần  12</c:v>
                      </c:pt>
                      <c:pt idx="79">
                        <c:v>Tuần  12</c:v>
                      </c:pt>
                      <c:pt idx="80">
                        <c:v>Tuần  13</c:v>
                      </c:pt>
                      <c:pt idx="81">
                        <c:v>Tuần  13</c:v>
                      </c:pt>
                      <c:pt idx="82">
                        <c:v>Tuần  13</c:v>
                      </c:pt>
                      <c:pt idx="83">
                        <c:v>Tuần  13</c:v>
                      </c:pt>
                      <c:pt idx="84">
                        <c:v>Tuần  13</c:v>
                      </c:pt>
                      <c:pt idx="85">
                        <c:v>Tuần  13</c:v>
                      </c:pt>
                      <c:pt idx="86">
                        <c:v>Tuần  13</c:v>
                      </c:pt>
                      <c:pt idx="87">
                        <c:v>Tuần  14</c:v>
                      </c:pt>
                      <c:pt idx="88">
                        <c:v>Tuần  14</c:v>
                      </c:pt>
                      <c:pt idx="89">
                        <c:v>Tuần  14</c:v>
                      </c:pt>
                      <c:pt idx="90">
                        <c:v>Tuần  14</c:v>
                      </c:pt>
                      <c:pt idx="91">
                        <c:v>Tuần  14</c:v>
                      </c:pt>
                      <c:pt idx="92">
                        <c:v>Tuần  14</c:v>
                      </c:pt>
                      <c:pt idx="93">
                        <c:v>Tuần  14</c:v>
                      </c:pt>
                      <c:pt idx="94">
                        <c:v>Tuần  15</c:v>
                      </c:pt>
                      <c:pt idx="95">
                        <c:v>Tuần  15</c:v>
                      </c:pt>
                      <c:pt idx="96">
                        <c:v>Tuần  15</c:v>
                      </c:pt>
                      <c:pt idx="97">
                        <c:v>Tuần  15</c:v>
                      </c:pt>
                      <c:pt idx="98">
                        <c:v>Tuần  15</c:v>
                      </c:pt>
                      <c:pt idx="99">
                        <c:v>Tuần  15</c:v>
                      </c:pt>
                      <c:pt idx="100">
                        <c:v>Tuần  15</c:v>
                      </c:pt>
                      <c:pt idx="101">
                        <c:v>Tuần  16</c:v>
                      </c:pt>
                      <c:pt idx="102">
                        <c:v>Tuần  16</c:v>
                      </c:pt>
                      <c:pt idx="103">
                        <c:v>Tuần  16</c:v>
                      </c:pt>
                      <c:pt idx="104">
                        <c:v>Tuần  16</c:v>
                      </c:pt>
                      <c:pt idx="105">
                        <c:v>Tuần  16</c:v>
                      </c:pt>
                      <c:pt idx="106">
                        <c:v>Tuần  16</c:v>
                      </c:pt>
                      <c:pt idx="107">
                        <c:v>Tuần  16</c:v>
                      </c:pt>
                      <c:pt idx="108">
                        <c:v>Tuần  17</c:v>
                      </c:pt>
                      <c:pt idx="109">
                        <c:v>Tuần  17</c:v>
                      </c:pt>
                      <c:pt idx="110">
                        <c:v>Tuần  17</c:v>
                      </c:pt>
                      <c:pt idx="111">
                        <c:v>Tuần  17</c:v>
                      </c:pt>
                      <c:pt idx="112">
                        <c:v>Tuần  17</c:v>
                      </c:pt>
                      <c:pt idx="113">
                        <c:v>Tuần  17</c:v>
                      </c:pt>
                      <c:pt idx="114">
                        <c:v>Tuần  17</c:v>
                      </c:pt>
                      <c:pt idx="115">
                        <c:v>Tuần  18</c:v>
                      </c:pt>
                      <c:pt idx="116">
                        <c:v>Tuần  18</c:v>
                      </c:pt>
                      <c:pt idx="117">
                        <c:v>Tuần  18</c:v>
                      </c:pt>
                      <c:pt idx="118">
                        <c:v>Tuần  18</c:v>
                      </c:pt>
                      <c:pt idx="119">
                        <c:v>Tuần  18</c:v>
                      </c:pt>
                      <c:pt idx="120">
                        <c:v>Tuần  18</c:v>
                      </c:pt>
                      <c:pt idx="121">
                        <c:v>Tuần  18</c:v>
                      </c:pt>
                      <c:pt idx="122">
                        <c:v>Tuần  19</c:v>
                      </c:pt>
                      <c:pt idx="123">
                        <c:v>Tuần  19</c:v>
                      </c:pt>
                      <c:pt idx="124">
                        <c:v>Tuần  19</c:v>
                      </c:pt>
                      <c:pt idx="125">
                        <c:v>Tuần  19</c:v>
                      </c:pt>
                      <c:pt idx="126">
                        <c:v>Tuần  19</c:v>
                      </c:pt>
                      <c:pt idx="127">
                        <c:v>Tuần  19</c:v>
                      </c:pt>
                      <c:pt idx="128">
                        <c:v>Tuần  19</c:v>
                      </c:pt>
                      <c:pt idx="129">
                        <c:v>Tuần  20</c:v>
                      </c:pt>
                      <c:pt idx="130">
                        <c:v>Tuần  20</c:v>
                      </c:pt>
                      <c:pt idx="131">
                        <c:v>Tuần  20</c:v>
                      </c:pt>
                      <c:pt idx="132">
                        <c:v>Tuần  20</c:v>
                      </c:pt>
                      <c:pt idx="133">
                        <c:v>Tuần  20</c:v>
                      </c:pt>
                      <c:pt idx="134">
                        <c:v>Tuần  20</c:v>
                      </c:pt>
                      <c:pt idx="135">
                        <c:v>Tuần  20</c:v>
                      </c:pt>
                      <c:pt idx="136">
                        <c:v>Tuần  21</c:v>
                      </c:pt>
                      <c:pt idx="137">
                        <c:v>Tuần  21</c:v>
                      </c:pt>
                      <c:pt idx="138">
                        <c:v>Tuần  21</c:v>
                      </c:pt>
                      <c:pt idx="139">
                        <c:v>Tuần  21</c:v>
                      </c:pt>
                      <c:pt idx="140">
                        <c:v>Tuần  21</c:v>
                      </c:pt>
                      <c:pt idx="141">
                        <c:v>Tuần  21</c:v>
                      </c:pt>
                      <c:pt idx="142">
                        <c:v>Tuần  21</c:v>
                      </c:pt>
                      <c:pt idx="143">
                        <c:v>Tuần  22</c:v>
                      </c:pt>
                      <c:pt idx="144">
                        <c:v>Tuần  22</c:v>
                      </c:pt>
                      <c:pt idx="145">
                        <c:v>Tuần  22</c:v>
                      </c:pt>
                      <c:pt idx="146">
                        <c:v>Tuần  22</c:v>
                      </c:pt>
                      <c:pt idx="147">
                        <c:v>Tuần  22</c:v>
                      </c:pt>
                      <c:pt idx="148">
                        <c:v>Tuần  22</c:v>
                      </c:pt>
                      <c:pt idx="149">
                        <c:v>Tuần  22</c:v>
                      </c:pt>
                      <c:pt idx="150">
                        <c:v>Tuần  23</c:v>
                      </c:pt>
                      <c:pt idx="151">
                        <c:v>Tuần  23</c:v>
                      </c:pt>
                      <c:pt idx="152">
                        <c:v>Tuần  23</c:v>
                      </c:pt>
                      <c:pt idx="153">
                        <c:v>Tuần  23</c:v>
                      </c:pt>
                      <c:pt idx="154">
                        <c:v>Tuần  23</c:v>
                      </c:pt>
                      <c:pt idx="155">
                        <c:v>Tuần  23</c:v>
                      </c:pt>
                      <c:pt idx="156">
                        <c:v>Tuần  23</c:v>
                      </c:pt>
                      <c:pt idx="157">
                        <c:v>Tuần  24</c:v>
                      </c:pt>
                      <c:pt idx="158">
                        <c:v>Tuần  24</c:v>
                      </c:pt>
                      <c:pt idx="159">
                        <c:v>Tuần  24</c:v>
                      </c:pt>
                      <c:pt idx="160">
                        <c:v>Tuần  24</c:v>
                      </c:pt>
                      <c:pt idx="161">
                        <c:v>Tuần  24</c:v>
                      </c:pt>
                      <c:pt idx="162">
                        <c:v>Tuần  24</c:v>
                      </c:pt>
                      <c:pt idx="163">
                        <c:v>Tuần  24</c:v>
                      </c:pt>
                      <c:pt idx="164">
                        <c:v>Tuần  25</c:v>
                      </c:pt>
                      <c:pt idx="165">
                        <c:v>Tuần  25</c:v>
                      </c:pt>
                      <c:pt idx="166">
                        <c:v>Tuần  25</c:v>
                      </c:pt>
                      <c:pt idx="167">
                        <c:v>Tuần  25</c:v>
                      </c:pt>
                      <c:pt idx="168">
                        <c:v>Tuần  25</c:v>
                      </c:pt>
                      <c:pt idx="169">
                        <c:v>Tuần  25</c:v>
                      </c:pt>
                      <c:pt idx="170">
                        <c:v>Tuần  25</c:v>
                      </c:pt>
                      <c:pt idx="171">
                        <c:v>Tuần  26</c:v>
                      </c:pt>
                      <c:pt idx="172">
                        <c:v>Tuần  26</c:v>
                      </c:pt>
                      <c:pt idx="173">
                        <c:v>Tuần  26</c:v>
                      </c:pt>
                      <c:pt idx="174">
                        <c:v>Tuần  26</c:v>
                      </c:pt>
                      <c:pt idx="175">
                        <c:v>Tuần  26</c:v>
                      </c:pt>
                      <c:pt idx="176">
                        <c:v>Tuần  26</c:v>
                      </c:pt>
                      <c:pt idx="177">
                        <c:v>Tuần  26</c:v>
                      </c:pt>
                      <c:pt idx="178">
                        <c:v>Tuần  27</c:v>
                      </c:pt>
                      <c:pt idx="179">
                        <c:v>Tuần  27</c:v>
                      </c:pt>
                      <c:pt idx="180">
                        <c:v>Tuần  27</c:v>
                      </c:pt>
                      <c:pt idx="181">
                        <c:v>Tuần  27</c:v>
                      </c:pt>
                      <c:pt idx="182">
                        <c:v>Tuần  27</c:v>
                      </c:pt>
                      <c:pt idx="183">
                        <c:v>Tuần  27</c:v>
                      </c:pt>
                      <c:pt idx="184">
                        <c:v>Tuần  27</c:v>
                      </c:pt>
                      <c:pt idx="185">
                        <c:v>Tuần  28</c:v>
                      </c:pt>
                      <c:pt idx="186">
                        <c:v>Tuần  28</c:v>
                      </c:pt>
                      <c:pt idx="187">
                        <c:v>Tuần  28</c:v>
                      </c:pt>
                      <c:pt idx="188">
                        <c:v>Tuần  28</c:v>
                      </c:pt>
                      <c:pt idx="189">
                        <c:v>Tuần  28</c:v>
                      </c:pt>
                      <c:pt idx="190">
                        <c:v>Tuần  28</c:v>
                      </c:pt>
                      <c:pt idx="191">
                        <c:v>Tuần  28</c:v>
                      </c:pt>
                      <c:pt idx="192">
                        <c:v>Tuần  29</c:v>
                      </c:pt>
                      <c:pt idx="193">
                        <c:v>Tuần  29</c:v>
                      </c:pt>
                      <c:pt idx="194">
                        <c:v>Tuần  29</c:v>
                      </c:pt>
                      <c:pt idx="195">
                        <c:v>Tuần  29</c:v>
                      </c:pt>
                      <c:pt idx="196">
                        <c:v>Tuần  29</c:v>
                      </c:pt>
                      <c:pt idx="197">
                        <c:v>Tuần  29</c:v>
                      </c:pt>
                      <c:pt idx="198">
                        <c:v>Tuần  29</c:v>
                      </c:pt>
                      <c:pt idx="199">
                        <c:v>Tuần  30</c:v>
                      </c:pt>
                      <c:pt idx="200">
                        <c:v>Tuần  30</c:v>
                      </c:pt>
                      <c:pt idx="201">
                        <c:v>Tuần  30</c:v>
                      </c:pt>
                      <c:pt idx="202">
                        <c:v>Tuần  30</c:v>
                      </c:pt>
                      <c:pt idx="203">
                        <c:v>Tuần  30</c:v>
                      </c:pt>
                      <c:pt idx="204">
                        <c:v>Tuần  30</c:v>
                      </c:pt>
                      <c:pt idx="205">
                        <c:v>Tuần  30</c:v>
                      </c:pt>
                      <c:pt idx="206">
                        <c:v>Tuần  31</c:v>
                      </c:pt>
                      <c:pt idx="207">
                        <c:v>Tuần  31</c:v>
                      </c:pt>
                      <c:pt idx="208">
                        <c:v>Tuần  31</c:v>
                      </c:pt>
                      <c:pt idx="209">
                        <c:v>Tuần  31</c:v>
                      </c:pt>
                      <c:pt idx="210">
                        <c:v>Tuần  31</c:v>
                      </c:pt>
                      <c:pt idx="211">
                        <c:v>Tuần  31</c:v>
                      </c:pt>
                      <c:pt idx="212">
                        <c:v>Tuần  31</c:v>
                      </c:pt>
                      <c:pt idx="213">
                        <c:v>Tuần  32</c:v>
                      </c:pt>
                      <c:pt idx="214">
                        <c:v>Tuần  32</c:v>
                      </c:pt>
                      <c:pt idx="215">
                        <c:v>Tuần  32</c:v>
                      </c:pt>
                      <c:pt idx="216">
                        <c:v>Tuần  32</c:v>
                      </c:pt>
                      <c:pt idx="217">
                        <c:v>Tuần  32</c:v>
                      </c:pt>
                      <c:pt idx="218">
                        <c:v>Tuần  32</c:v>
                      </c:pt>
                      <c:pt idx="219">
                        <c:v>Tuần  32</c:v>
                      </c:pt>
                      <c:pt idx="220">
                        <c:v>Tuần  33</c:v>
                      </c:pt>
                      <c:pt idx="221">
                        <c:v>Tuần  33</c:v>
                      </c:pt>
                      <c:pt idx="222">
                        <c:v>Tuần  33</c:v>
                      </c:pt>
                      <c:pt idx="223">
                        <c:v>Tuần  33</c:v>
                      </c:pt>
                      <c:pt idx="224">
                        <c:v>Tuần  33</c:v>
                      </c:pt>
                      <c:pt idx="225">
                        <c:v>Tuần  33</c:v>
                      </c:pt>
                      <c:pt idx="226">
                        <c:v>Tuần  33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Sheet1!$O$2:$O$228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7"/>
                      <c:pt idx="0">
                        <c:v>152800000</c:v>
                      </c:pt>
                      <c:pt idx="1">
                        <c:v>152800000</c:v>
                      </c:pt>
                      <c:pt idx="2">
                        <c:v>152800000</c:v>
                      </c:pt>
                      <c:pt idx="3">
                        <c:v>152800000</c:v>
                      </c:pt>
                      <c:pt idx="4">
                        <c:v>157100000</c:v>
                      </c:pt>
                      <c:pt idx="5">
                        <c:v>158000000</c:v>
                      </c:pt>
                      <c:pt idx="6">
                        <c:v>158100000</c:v>
                      </c:pt>
                      <c:pt idx="7">
                        <c:v>157200000</c:v>
                      </c:pt>
                      <c:pt idx="8">
                        <c:v>158300000</c:v>
                      </c:pt>
                      <c:pt idx="9">
                        <c:v>159800000</c:v>
                      </c:pt>
                      <c:pt idx="10">
                        <c:v>159800000</c:v>
                      </c:pt>
                      <c:pt idx="11">
                        <c:v>162000000</c:v>
                      </c:pt>
                      <c:pt idx="12">
                        <c:v>162000000</c:v>
                      </c:pt>
                      <c:pt idx="13">
                        <c:v>163500000</c:v>
                      </c:pt>
                      <c:pt idx="14">
                        <c:v>162800000</c:v>
                      </c:pt>
                      <c:pt idx="15">
                        <c:v>162800000</c:v>
                      </c:pt>
                      <c:pt idx="16">
                        <c:v>162800000</c:v>
                      </c:pt>
                      <c:pt idx="17">
                        <c:v>162800000</c:v>
                      </c:pt>
                      <c:pt idx="18">
                        <c:v>165000000</c:v>
                      </c:pt>
                      <c:pt idx="19">
                        <c:v>166100000</c:v>
                      </c:pt>
                      <c:pt idx="20">
                        <c:v>170500000</c:v>
                      </c:pt>
                      <c:pt idx="21">
                        <c:v>169300000</c:v>
                      </c:pt>
                      <c:pt idx="22">
                        <c:v>172200000</c:v>
                      </c:pt>
                      <c:pt idx="23">
                        <c:v>174300000</c:v>
                      </c:pt>
                      <c:pt idx="24">
                        <c:v>174300000</c:v>
                      </c:pt>
                      <c:pt idx="25">
                        <c:v>177000000</c:v>
                      </c:pt>
                      <c:pt idx="26">
                        <c:v>177300000</c:v>
                      </c:pt>
                      <c:pt idx="27">
                        <c:v>184200000</c:v>
                      </c:pt>
                      <c:pt idx="28">
                        <c:v>189600000</c:v>
                      </c:pt>
                      <c:pt idx="29">
                        <c:v>181000000</c:v>
                      </c:pt>
                      <c:pt idx="30">
                        <c:v>172000000</c:v>
                      </c:pt>
                      <c:pt idx="31">
                        <c:v>172000000</c:v>
                      </c:pt>
                      <c:pt idx="32">
                        <c:v>166000000</c:v>
                      </c:pt>
                      <c:pt idx="33">
                        <c:v>176500000</c:v>
                      </c:pt>
                      <c:pt idx="34">
                        <c:v>180200000</c:v>
                      </c:pt>
                      <c:pt idx="35">
                        <c:v>177200000</c:v>
                      </c:pt>
                      <c:pt idx="36">
                        <c:v>176500000</c:v>
                      </c:pt>
                      <c:pt idx="37">
                        <c:v>179300000</c:v>
                      </c:pt>
                      <c:pt idx="38">
                        <c:v>179300000</c:v>
                      </c:pt>
                      <c:pt idx="39">
                        <c:v>180400000</c:v>
                      </c:pt>
                      <c:pt idx="40">
                        <c:v>181000000</c:v>
                      </c:pt>
                      <c:pt idx="41">
                        <c:v>181000000</c:v>
                      </c:pt>
                      <c:pt idx="42">
                        <c:v>181000000</c:v>
                      </c:pt>
                      <c:pt idx="43">
                        <c:v>179000000</c:v>
                      </c:pt>
                      <c:pt idx="44">
                        <c:v>181000000</c:v>
                      </c:pt>
                      <c:pt idx="45">
                        <c:v>181000000</c:v>
                      </c:pt>
                      <c:pt idx="46">
                        <c:v>181000000</c:v>
                      </c:pt>
                      <c:pt idx="47">
                        <c:v>181000000</c:v>
                      </c:pt>
                      <c:pt idx="48">
                        <c:v>181000000</c:v>
                      </c:pt>
                      <c:pt idx="49">
                        <c:v>181000000</c:v>
                      </c:pt>
                      <c:pt idx="50">
                        <c:v>181000000</c:v>
                      </c:pt>
                      <c:pt idx="51">
                        <c:v>181000000</c:v>
                      </c:pt>
                      <c:pt idx="52">
                        <c:v>181000000</c:v>
                      </c:pt>
                      <c:pt idx="53">
                        <c:v>184600000</c:v>
                      </c:pt>
                      <c:pt idx="54">
                        <c:v>184600000</c:v>
                      </c:pt>
                      <c:pt idx="55">
                        <c:v>185300000</c:v>
                      </c:pt>
                      <c:pt idx="56">
                        <c:v>184000000</c:v>
                      </c:pt>
                      <c:pt idx="57">
                        <c:v>184000000</c:v>
                      </c:pt>
                      <c:pt idx="58">
                        <c:v>187000000</c:v>
                      </c:pt>
                      <c:pt idx="59">
                        <c:v>187000000</c:v>
                      </c:pt>
                      <c:pt idx="60">
                        <c:v>190900000</c:v>
                      </c:pt>
                      <c:pt idx="61">
                        <c:v>188200000</c:v>
                      </c:pt>
                      <c:pt idx="62">
                        <c:v>184200000</c:v>
                      </c:pt>
                      <c:pt idx="63">
                        <c:v>184700000</c:v>
                      </c:pt>
                      <c:pt idx="64">
                        <c:v>183800000</c:v>
                      </c:pt>
                      <c:pt idx="65">
                        <c:v>185000000</c:v>
                      </c:pt>
                      <c:pt idx="66">
                        <c:v>185000000</c:v>
                      </c:pt>
                      <c:pt idx="67">
                        <c:v>184100000</c:v>
                      </c:pt>
                      <c:pt idx="68">
                        <c:v>186100000</c:v>
                      </c:pt>
                      <c:pt idx="69">
                        <c:v>187200000</c:v>
                      </c:pt>
                      <c:pt idx="70">
                        <c:v>186300000</c:v>
                      </c:pt>
                      <c:pt idx="71">
                        <c:v>184800000</c:v>
                      </c:pt>
                      <c:pt idx="72">
                        <c:v>182600000</c:v>
                      </c:pt>
                      <c:pt idx="73">
                        <c:v>182600000</c:v>
                      </c:pt>
                      <c:pt idx="74">
                        <c:v>183100000</c:v>
                      </c:pt>
                      <c:pt idx="75">
                        <c:v>183000000</c:v>
                      </c:pt>
                      <c:pt idx="76">
                        <c:v>183000000</c:v>
                      </c:pt>
                      <c:pt idx="77">
                        <c:v>175500000</c:v>
                      </c:pt>
                      <c:pt idx="78">
                        <c:v>176100000</c:v>
                      </c:pt>
                      <c:pt idx="79">
                        <c:v>171000000</c:v>
                      </c:pt>
                      <c:pt idx="80">
                        <c:v>171000000</c:v>
                      </c:pt>
                      <c:pt idx="81">
                        <c:v>166000000</c:v>
                      </c:pt>
                      <c:pt idx="82">
                        <c:v>170200000</c:v>
                      </c:pt>
                      <c:pt idx="83">
                        <c:v>173500000</c:v>
                      </c:pt>
                      <c:pt idx="84">
                        <c:v>171500000</c:v>
                      </c:pt>
                      <c:pt idx="85">
                        <c:v>171600000</c:v>
                      </c:pt>
                      <c:pt idx="86">
                        <c:v>172800000</c:v>
                      </c:pt>
                      <c:pt idx="87">
                        <c:v>172800000</c:v>
                      </c:pt>
                      <c:pt idx="88">
                        <c:v>173800000</c:v>
                      </c:pt>
                      <c:pt idx="89">
                        <c:v>174900000</c:v>
                      </c:pt>
                      <c:pt idx="90">
                        <c:v>176700000</c:v>
                      </c:pt>
                      <c:pt idx="91">
                        <c:v>173500000</c:v>
                      </c:pt>
                      <c:pt idx="92">
                        <c:v>174500000</c:v>
                      </c:pt>
                      <c:pt idx="93">
                        <c:v>174500000</c:v>
                      </c:pt>
                      <c:pt idx="94">
                        <c:v>174500000</c:v>
                      </c:pt>
                      <c:pt idx="95">
                        <c:v>173100000</c:v>
                      </c:pt>
                      <c:pt idx="96">
                        <c:v>172500000</c:v>
                      </c:pt>
                      <c:pt idx="97">
                        <c:v>175000000</c:v>
                      </c:pt>
                      <c:pt idx="98">
                        <c:v>171500000</c:v>
                      </c:pt>
                      <c:pt idx="99">
                        <c:v>172700000</c:v>
                      </c:pt>
                      <c:pt idx="100">
                        <c:v>172400000</c:v>
                      </c:pt>
                      <c:pt idx="101">
                        <c:v>172400000</c:v>
                      </c:pt>
                      <c:pt idx="102">
                        <c:v>171500000</c:v>
                      </c:pt>
                      <c:pt idx="103">
                        <c:v>173000000</c:v>
                      </c:pt>
                      <c:pt idx="104">
                        <c:v>173500000</c:v>
                      </c:pt>
                      <c:pt idx="105">
                        <c:v>171200000</c:v>
                      </c:pt>
                      <c:pt idx="106">
                        <c:v>171000000</c:v>
                      </c:pt>
                      <c:pt idx="107">
                        <c:v>172000000</c:v>
                      </c:pt>
                      <c:pt idx="108">
                        <c:v>172000000</c:v>
                      </c:pt>
                      <c:pt idx="109">
                        <c:v>171300000</c:v>
                      </c:pt>
                      <c:pt idx="110">
                        <c:v>170600000</c:v>
                      </c:pt>
                      <c:pt idx="111">
                        <c:v>170000000</c:v>
                      </c:pt>
                      <c:pt idx="112">
                        <c:v>169200000</c:v>
                      </c:pt>
                      <c:pt idx="113">
                        <c:v>168000000</c:v>
                      </c:pt>
                      <c:pt idx="114">
                        <c:v>168800000</c:v>
                      </c:pt>
                      <c:pt idx="115">
                        <c:v>168800000</c:v>
                      </c:pt>
                      <c:pt idx="116">
                        <c:v>168800000</c:v>
                      </c:pt>
                      <c:pt idx="117">
                        <c:v>168800000</c:v>
                      </c:pt>
                      <c:pt idx="118">
                        <c:v>168800000</c:v>
                      </c:pt>
                      <c:pt idx="119">
                        <c:v>166000000</c:v>
                      </c:pt>
                      <c:pt idx="120">
                        <c:v>166000000</c:v>
                      </c:pt>
                      <c:pt idx="121">
                        <c:v>166000000</c:v>
                      </c:pt>
                      <c:pt idx="122">
                        <c:v>166000000</c:v>
                      </c:pt>
                      <c:pt idx="123">
                        <c:v>166300000</c:v>
                      </c:pt>
                      <c:pt idx="124">
                        <c:v>165000000</c:v>
                      </c:pt>
                      <c:pt idx="125">
                        <c:v>166000000</c:v>
                      </c:pt>
                      <c:pt idx="126">
                        <c:v>167500000</c:v>
                      </c:pt>
                      <c:pt idx="127">
                        <c:v>167500000</c:v>
                      </c:pt>
                      <c:pt idx="128">
                        <c:v>167500000</c:v>
                      </c:pt>
                      <c:pt idx="129">
                        <c:v>167500000</c:v>
                      </c:pt>
                      <c:pt idx="130">
                        <c:v>165200000</c:v>
                      </c:pt>
                      <c:pt idx="131">
                        <c:v>165500000</c:v>
                      </c:pt>
                      <c:pt idx="132">
                        <c:v>165000000</c:v>
                      </c:pt>
                      <c:pt idx="133">
                        <c:v>165000000</c:v>
                      </c:pt>
                      <c:pt idx="134">
                        <c:v>164000000</c:v>
                      </c:pt>
                      <c:pt idx="135">
                        <c:v>163500000</c:v>
                      </c:pt>
                      <c:pt idx="136">
                        <c:v>163500000</c:v>
                      </c:pt>
                      <c:pt idx="137">
                        <c:v>163800000</c:v>
                      </c:pt>
                      <c:pt idx="138">
                        <c:v>163500000</c:v>
                      </c:pt>
                      <c:pt idx="139">
                        <c:v>162000000</c:v>
                      </c:pt>
                      <c:pt idx="140">
                        <c:v>162400000</c:v>
                      </c:pt>
                      <c:pt idx="141">
                        <c:v>162000000</c:v>
                      </c:pt>
                      <c:pt idx="142">
                        <c:v>161500000</c:v>
                      </c:pt>
                      <c:pt idx="143">
                        <c:v>161500000</c:v>
                      </c:pt>
                      <c:pt idx="144">
                        <c:v>162000000</c:v>
                      </c:pt>
                      <c:pt idx="145">
                        <c:v>161500000</c:v>
                      </c:pt>
                      <c:pt idx="146">
                        <c:v>160700000</c:v>
                      </c:pt>
                      <c:pt idx="147">
                        <c:v>157500000</c:v>
                      </c:pt>
                      <c:pt idx="148">
                        <c:v>158500000</c:v>
                      </c:pt>
                      <c:pt idx="149">
                        <c:v>159000000</c:v>
                      </c:pt>
                      <c:pt idx="150">
                        <c:v>159000000</c:v>
                      </c:pt>
                      <c:pt idx="151">
                        <c:v>158500000</c:v>
                      </c:pt>
                      <c:pt idx="152">
                        <c:v>157500000</c:v>
                      </c:pt>
                      <c:pt idx="153">
                        <c:v>157000000</c:v>
                      </c:pt>
                      <c:pt idx="154">
                        <c:v>156000000</c:v>
                      </c:pt>
                      <c:pt idx="155">
                        <c:v>153200000</c:v>
                      </c:pt>
                      <c:pt idx="156">
                        <c:v>150200000</c:v>
                      </c:pt>
                      <c:pt idx="157">
                        <c:v>150200000</c:v>
                      </c:pt>
                      <c:pt idx="158">
                        <c:v>143800000</c:v>
                      </c:pt>
                      <c:pt idx="159">
                        <c:v>143800000</c:v>
                      </c:pt>
                      <c:pt idx="160">
                        <c:v>138300000</c:v>
                      </c:pt>
                      <c:pt idx="161">
                        <c:v>138400000</c:v>
                      </c:pt>
                      <c:pt idx="162">
                        <c:v>145400000</c:v>
                      </c:pt>
                      <c:pt idx="163">
                        <c:v>147000000</c:v>
                      </c:pt>
                      <c:pt idx="164">
                        <c:v>147000000</c:v>
                      </c:pt>
                      <c:pt idx="165">
                        <c:v>150500000</c:v>
                      </c:pt>
                      <c:pt idx="166">
                        <c:v>151500000</c:v>
                      </c:pt>
                      <c:pt idx="167">
                        <c:v>151300000</c:v>
                      </c:pt>
                      <c:pt idx="168">
                        <c:v>151300000</c:v>
                      </c:pt>
                      <c:pt idx="169">
                        <c:v>146700000</c:v>
                      </c:pt>
                      <c:pt idx="170">
                        <c:v>147200000</c:v>
                      </c:pt>
                      <c:pt idx="171">
                        <c:v>147200000</c:v>
                      </c:pt>
                      <c:pt idx="172">
                        <c:v>148600000</c:v>
                      </c:pt>
                      <c:pt idx="173">
                        <c:v>147000000</c:v>
                      </c:pt>
                      <c:pt idx="174">
                        <c:v>147000000</c:v>
                      </c:pt>
                      <c:pt idx="175">
                        <c:v>146200000</c:v>
                      </c:pt>
                      <c:pt idx="176">
                        <c:v>147000000</c:v>
                      </c:pt>
                      <c:pt idx="177">
                        <c:v>148500000</c:v>
                      </c:pt>
                      <c:pt idx="178">
                        <c:v>148500000</c:v>
                      </c:pt>
                      <c:pt idx="179">
                        <c:v>148000000</c:v>
                      </c:pt>
                      <c:pt idx="180">
                        <c:v>147000000</c:v>
                      </c:pt>
                      <c:pt idx="181">
                        <c:v>146400000</c:v>
                      </c:pt>
                      <c:pt idx="182">
                        <c:v>148400000</c:v>
                      </c:pt>
                      <c:pt idx="183">
                        <c:v>151400000</c:v>
                      </c:pt>
                      <c:pt idx="184">
                        <c:v>151400000</c:v>
                      </c:pt>
                      <c:pt idx="185">
                        <c:v>151400000</c:v>
                      </c:pt>
                      <c:pt idx="186">
                        <c:v>151000000</c:v>
                      </c:pt>
                      <c:pt idx="187">
                        <c:v>150000000</c:v>
                      </c:pt>
                      <c:pt idx="188">
                        <c:v>148500000</c:v>
                      </c:pt>
                      <c:pt idx="189">
                        <c:v>149000000</c:v>
                      </c:pt>
                      <c:pt idx="190">
                        <c:v>149900000</c:v>
                      </c:pt>
                      <c:pt idx="191">
                        <c:v>149900000</c:v>
                      </c:pt>
                      <c:pt idx="192">
                        <c:v>149900000</c:v>
                      </c:pt>
                      <c:pt idx="193">
                        <c:v>148400000</c:v>
                      </c:pt>
                      <c:pt idx="194">
                        <c:v>147500000</c:v>
                      </c:pt>
                      <c:pt idx="195">
                        <c:v>148500000</c:v>
                      </c:pt>
                      <c:pt idx="196">
                        <c:v>148200000</c:v>
                      </c:pt>
                      <c:pt idx="197">
                        <c:v>146600000</c:v>
                      </c:pt>
                      <c:pt idx="198">
                        <c:v>147500000</c:v>
                      </c:pt>
                      <c:pt idx="199">
                        <c:v>147500000</c:v>
                      </c:pt>
                      <c:pt idx="200">
                        <c:v>146000000</c:v>
                      </c:pt>
                      <c:pt idx="201">
                        <c:v>146400000</c:v>
                      </c:pt>
                      <c:pt idx="202">
                        <c:v>146000000</c:v>
                      </c:pt>
                      <c:pt idx="203">
                        <c:v>140000000</c:v>
                      </c:pt>
                      <c:pt idx="204">
                        <c:v>140500000</c:v>
                      </c:pt>
                      <c:pt idx="205">
                        <c:v>141500000</c:v>
                      </c:pt>
                      <c:pt idx="206">
                        <c:v>141500000</c:v>
                      </c:pt>
                      <c:pt idx="207">
                        <c:v>143000000</c:v>
                      </c:pt>
                      <c:pt idx="208">
                        <c:v>141500000</c:v>
                      </c:pt>
                      <c:pt idx="209">
                        <c:v>141500000</c:v>
                      </c:pt>
                      <c:pt idx="210">
                        <c:v>141700000</c:v>
                      </c:pt>
                      <c:pt idx="211">
                        <c:v>141900000</c:v>
                      </c:pt>
                      <c:pt idx="212">
                        <c:v>141000000</c:v>
                      </c:pt>
                      <c:pt idx="213">
                        <c:v>141000000</c:v>
                      </c:pt>
                      <c:pt idx="214">
                        <c:v>141000000</c:v>
                      </c:pt>
                      <c:pt idx="215">
                        <c:v>140500000</c:v>
                      </c:pt>
                      <c:pt idx="216">
                        <c:v>141800000</c:v>
                      </c:pt>
                      <c:pt idx="217">
                        <c:v>142700000</c:v>
                      </c:pt>
                      <c:pt idx="218">
                        <c:v>142200000</c:v>
                      </c:pt>
                      <c:pt idx="219">
                        <c:v>144000000</c:v>
                      </c:pt>
                      <c:pt idx="220">
                        <c:v>144000000</c:v>
                      </c:pt>
                      <c:pt idx="221">
                        <c:v>144100000</c:v>
                      </c:pt>
                      <c:pt idx="222">
                        <c:v>143500000</c:v>
                      </c:pt>
                      <c:pt idx="223">
                        <c:v>144300000</c:v>
                      </c:pt>
                      <c:pt idx="224">
                        <c:v>144300000</c:v>
                      </c:pt>
                      <c:pt idx="225">
                        <c:v>143300000</c:v>
                      </c:pt>
                      <c:pt idx="226">
                        <c:v>144000000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704-4E83-A392-44315367E88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Sheet1!$P$1</c15:sqref>
                        </c15:formulaRef>
                      </c:ext>
                    </c:extLst>
                    <c:strCache>
                      <c:ptCount val="1"/>
                      <c:pt idx="0">
                        <c:v>Cap_Nhat_Luc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Sheet1!$C$2:$C$228</c15:sqref>
                        </c15:formulaRef>
                      </c:ext>
                    </c:extLst>
                    <c:strCache>
                      <c:ptCount val="227"/>
                      <c:pt idx="0">
                        <c:v>Tuần  1</c:v>
                      </c:pt>
                      <c:pt idx="1">
                        <c:v>Tuần  1</c:v>
                      </c:pt>
                      <c:pt idx="2">
                        <c:v>Tuần  1</c:v>
                      </c:pt>
                      <c:pt idx="3">
                        <c:v>Tuần  2</c:v>
                      </c:pt>
                      <c:pt idx="4">
                        <c:v>Tuần  2</c:v>
                      </c:pt>
                      <c:pt idx="5">
                        <c:v>Tuần  2</c:v>
                      </c:pt>
                      <c:pt idx="6">
                        <c:v>Tuần  2</c:v>
                      </c:pt>
                      <c:pt idx="7">
                        <c:v>Tuần  2</c:v>
                      </c:pt>
                      <c:pt idx="8">
                        <c:v>Tuần  2</c:v>
                      </c:pt>
                      <c:pt idx="9">
                        <c:v>Tuần  2</c:v>
                      </c:pt>
                      <c:pt idx="10">
                        <c:v>Tuần  3</c:v>
                      </c:pt>
                      <c:pt idx="11">
                        <c:v>Tuần  3</c:v>
                      </c:pt>
                      <c:pt idx="12">
                        <c:v>Tuần  3</c:v>
                      </c:pt>
                      <c:pt idx="13">
                        <c:v>Tuần  3</c:v>
                      </c:pt>
                      <c:pt idx="14">
                        <c:v>Tuần  3</c:v>
                      </c:pt>
                      <c:pt idx="15">
                        <c:v>Tuần  3</c:v>
                      </c:pt>
                      <c:pt idx="16">
                        <c:v>Tuần  3</c:v>
                      </c:pt>
                      <c:pt idx="17">
                        <c:v>Tuần  4</c:v>
                      </c:pt>
                      <c:pt idx="18">
                        <c:v>Tuần  4</c:v>
                      </c:pt>
                      <c:pt idx="19">
                        <c:v>Tuần  4</c:v>
                      </c:pt>
                      <c:pt idx="20">
                        <c:v>Tuần  4</c:v>
                      </c:pt>
                      <c:pt idx="21">
                        <c:v>Tuần  4</c:v>
                      </c:pt>
                      <c:pt idx="22">
                        <c:v>Tuần  4</c:v>
                      </c:pt>
                      <c:pt idx="23">
                        <c:v>Tuần  4</c:v>
                      </c:pt>
                      <c:pt idx="24">
                        <c:v>Tuần  5</c:v>
                      </c:pt>
                      <c:pt idx="25">
                        <c:v>Tuần  5</c:v>
                      </c:pt>
                      <c:pt idx="26">
                        <c:v>Tuần  5</c:v>
                      </c:pt>
                      <c:pt idx="27">
                        <c:v>Tuần  5</c:v>
                      </c:pt>
                      <c:pt idx="28">
                        <c:v>Tuần  5</c:v>
                      </c:pt>
                      <c:pt idx="29">
                        <c:v>Tuần  5</c:v>
                      </c:pt>
                      <c:pt idx="30">
                        <c:v>Tuần  5</c:v>
                      </c:pt>
                      <c:pt idx="31">
                        <c:v>Tuần  6</c:v>
                      </c:pt>
                      <c:pt idx="32">
                        <c:v>Tuần  6</c:v>
                      </c:pt>
                      <c:pt idx="33">
                        <c:v>Tuần  6</c:v>
                      </c:pt>
                      <c:pt idx="34">
                        <c:v>Tuần  6</c:v>
                      </c:pt>
                      <c:pt idx="35">
                        <c:v>Tuần  6</c:v>
                      </c:pt>
                      <c:pt idx="36">
                        <c:v>Tuần  6</c:v>
                      </c:pt>
                      <c:pt idx="37">
                        <c:v>Tuần  6</c:v>
                      </c:pt>
                      <c:pt idx="38">
                        <c:v>Tuần  7</c:v>
                      </c:pt>
                      <c:pt idx="39">
                        <c:v>Tuần  7</c:v>
                      </c:pt>
                      <c:pt idx="40">
                        <c:v>Tuần  7</c:v>
                      </c:pt>
                      <c:pt idx="41">
                        <c:v>Tuần  7</c:v>
                      </c:pt>
                      <c:pt idx="42">
                        <c:v>Tuần  7</c:v>
                      </c:pt>
                      <c:pt idx="43">
                        <c:v>Tuần  7</c:v>
                      </c:pt>
                      <c:pt idx="44">
                        <c:v>Tuần  7</c:v>
                      </c:pt>
                      <c:pt idx="45">
                        <c:v>Tuần  8</c:v>
                      </c:pt>
                      <c:pt idx="46">
                        <c:v>Tuần  8</c:v>
                      </c:pt>
                      <c:pt idx="47">
                        <c:v>Tuần  8</c:v>
                      </c:pt>
                      <c:pt idx="48">
                        <c:v>Tuần  8</c:v>
                      </c:pt>
                      <c:pt idx="49">
                        <c:v>Tuần  8</c:v>
                      </c:pt>
                      <c:pt idx="50">
                        <c:v>Tuần  8</c:v>
                      </c:pt>
                      <c:pt idx="51">
                        <c:v>Tuần  8</c:v>
                      </c:pt>
                      <c:pt idx="52">
                        <c:v>Tuần  9</c:v>
                      </c:pt>
                      <c:pt idx="53">
                        <c:v>Tuần  9</c:v>
                      </c:pt>
                      <c:pt idx="54">
                        <c:v>Tuần  9</c:v>
                      </c:pt>
                      <c:pt idx="55">
                        <c:v>Tuần  9</c:v>
                      </c:pt>
                      <c:pt idx="56">
                        <c:v>Tuần  9</c:v>
                      </c:pt>
                      <c:pt idx="57">
                        <c:v>Tuần  9</c:v>
                      </c:pt>
                      <c:pt idx="58">
                        <c:v>Tuần  9</c:v>
                      </c:pt>
                      <c:pt idx="59">
                        <c:v>Tuần  10</c:v>
                      </c:pt>
                      <c:pt idx="60">
                        <c:v>Tuần  10</c:v>
                      </c:pt>
                      <c:pt idx="61">
                        <c:v>Tuần  10</c:v>
                      </c:pt>
                      <c:pt idx="62">
                        <c:v>Tuần  10</c:v>
                      </c:pt>
                      <c:pt idx="63">
                        <c:v>Tuần  10</c:v>
                      </c:pt>
                      <c:pt idx="64">
                        <c:v>Tuần  10</c:v>
                      </c:pt>
                      <c:pt idx="65">
                        <c:v>Tuần  10</c:v>
                      </c:pt>
                      <c:pt idx="66">
                        <c:v>Tuần  11</c:v>
                      </c:pt>
                      <c:pt idx="67">
                        <c:v>Tuần  11</c:v>
                      </c:pt>
                      <c:pt idx="68">
                        <c:v>Tuần  11</c:v>
                      </c:pt>
                      <c:pt idx="69">
                        <c:v>Tuần  11</c:v>
                      </c:pt>
                      <c:pt idx="70">
                        <c:v>Tuần  11</c:v>
                      </c:pt>
                      <c:pt idx="71">
                        <c:v>Tuần  11</c:v>
                      </c:pt>
                      <c:pt idx="72">
                        <c:v>Tuần  11</c:v>
                      </c:pt>
                      <c:pt idx="73">
                        <c:v>Tuần  12</c:v>
                      </c:pt>
                      <c:pt idx="74">
                        <c:v>Tuần  12</c:v>
                      </c:pt>
                      <c:pt idx="75">
                        <c:v>Tuần  12</c:v>
                      </c:pt>
                      <c:pt idx="76">
                        <c:v>Tuần  12</c:v>
                      </c:pt>
                      <c:pt idx="77">
                        <c:v>Tuần  12</c:v>
                      </c:pt>
                      <c:pt idx="78">
                        <c:v>Tuần  12</c:v>
                      </c:pt>
                      <c:pt idx="79">
                        <c:v>Tuần  12</c:v>
                      </c:pt>
                      <c:pt idx="80">
                        <c:v>Tuần  13</c:v>
                      </c:pt>
                      <c:pt idx="81">
                        <c:v>Tuần  13</c:v>
                      </c:pt>
                      <c:pt idx="82">
                        <c:v>Tuần  13</c:v>
                      </c:pt>
                      <c:pt idx="83">
                        <c:v>Tuần  13</c:v>
                      </c:pt>
                      <c:pt idx="84">
                        <c:v>Tuần  13</c:v>
                      </c:pt>
                      <c:pt idx="85">
                        <c:v>Tuần  13</c:v>
                      </c:pt>
                      <c:pt idx="86">
                        <c:v>Tuần  13</c:v>
                      </c:pt>
                      <c:pt idx="87">
                        <c:v>Tuần  14</c:v>
                      </c:pt>
                      <c:pt idx="88">
                        <c:v>Tuần  14</c:v>
                      </c:pt>
                      <c:pt idx="89">
                        <c:v>Tuần  14</c:v>
                      </c:pt>
                      <c:pt idx="90">
                        <c:v>Tuần  14</c:v>
                      </c:pt>
                      <c:pt idx="91">
                        <c:v>Tuần  14</c:v>
                      </c:pt>
                      <c:pt idx="92">
                        <c:v>Tuần  14</c:v>
                      </c:pt>
                      <c:pt idx="93">
                        <c:v>Tuần  14</c:v>
                      </c:pt>
                      <c:pt idx="94">
                        <c:v>Tuần  15</c:v>
                      </c:pt>
                      <c:pt idx="95">
                        <c:v>Tuần  15</c:v>
                      </c:pt>
                      <c:pt idx="96">
                        <c:v>Tuần  15</c:v>
                      </c:pt>
                      <c:pt idx="97">
                        <c:v>Tuần  15</c:v>
                      </c:pt>
                      <c:pt idx="98">
                        <c:v>Tuần  15</c:v>
                      </c:pt>
                      <c:pt idx="99">
                        <c:v>Tuần  15</c:v>
                      </c:pt>
                      <c:pt idx="100">
                        <c:v>Tuần  15</c:v>
                      </c:pt>
                      <c:pt idx="101">
                        <c:v>Tuần  16</c:v>
                      </c:pt>
                      <c:pt idx="102">
                        <c:v>Tuần  16</c:v>
                      </c:pt>
                      <c:pt idx="103">
                        <c:v>Tuần  16</c:v>
                      </c:pt>
                      <c:pt idx="104">
                        <c:v>Tuần  16</c:v>
                      </c:pt>
                      <c:pt idx="105">
                        <c:v>Tuần  16</c:v>
                      </c:pt>
                      <c:pt idx="106">
                        <c:v>Tuần  16</c:v>
                      </c:pt>
                      <c:pt idx="107">
                        <c:v>Tuần  16</c:v>
                      </c:pt>
                      <c:pt idx="108">
                        <c:v>Tuần  17</c:v>
                      </c:pt>
                      <c:pt idx="109">
                        <c:v>Tuần  17</c:v>
                      </c:pt>
                      <c:pt idx="110">
                        <c:v>Tuần  17</c:v>
                      </c:pt>
                      <c:pt idx="111">
                        <c:v>Tuần  17</c:v>
                      </c:pt>
                      <c:pt idx="112">
                        <c:v>Tuần  17</c:v>
                      </c:pt>
                      <c:pt idx="113">
                        <c:v>Tuần  17</c:v>
                      </c:pt>
                      <c:pt idx="114">
                        <c:v>Tuần  17</c:v>
                      </c:pt>
                      <c:pt idx="115">
                        <c:v>Tuần  18</c:v>
                      </c:pt>
                      <c:pt idx="116">
                        <c:v>Tuần  18</c:v>
                      </c:pt>
                      <c:pt idx="117">
                        <c:v>Tuần  18</c:v>
                      </c:pt>
                      <c:pt idx="118">
                        <c:v>Tuần  18</c:v>
                      </c:pt>
                      <c:pt idx="119">
                        <c:v>Tuần  18</c:v>
                      </c:pt>
                      <c:pt idx="120">
                        <c:v>Tuần  18</c:v>
                      </c:pt>
                      <c:pt idx="121">
                        <c:v>Tuần  18</c:v>
                      </c:pt>
                      <c:pt idx="122">
                        <c:v>Tuần  19</c:v>
                      </c:pt>
                      <c:pt idx="123">
                        <c:v>Tuần  19</c:v>
                      </c:pt>
                      <c:pt idx="124">
                        <c:v>Tuần  19</c:v>
                      </c:pt>
                      <c:pt idx="125">
                        <c:v>Tuần  19</c:v>
                      </c:pt>
                      <c:pt idx="126">
                        <c:v>Tuần  19</c:v>
                      </c:pt>
                      <c:pt idx="127">
                        <c:v>Tuần  19</c:v>
                      </c:pt>
                      <c:pt idx="128">
                        <c:v>Tuần  19</c:v>
                      </c:pt>
                      <c:pt idx="129">
                        <c:v>Tuần  20</c:v>
                      </c:pt>
                      <c:pt idx="130">
                        <c:v>Tuần  20</c:v>
                      </c:pt>
                      <c:pt idx="131">
                        <c:v>Tuần  20</c:v>
                      </c:pt>
                      <c:pt idx="132">
                        <c:v>Tuần  20</c:v>
                      </c:pt>
                      <c:pt idx="133">
                        <c:v>Tuần  20</c:v>
                      </c:pt>
                      <c:pt idx="134">
                        <c:v>Tuần  20</c:v>
                      </c:pt>
                      <c:pt idx="135">
                        <c:v>Tuần  20</c:v>
                      </c:pt>
                      <c:pt idx="136">
                        <c:v>Tuần  21</c:v>
                      </c:pt>
                      <c:pt idx="137">
                        <c:v>Tuần  21</c:v>
                      </c:pt>
                      <c:pt idx="138">
                        <c:v>Tuần  21</c:v>
                      </c:pt>
                      <c:pt idx="139">
                        <c:v>Tuần  21</c:v>
                      </c:pt>
                      <c:pt idx="140">
                        <c:v>Tuần  21</c:v>
                      </c:pt>
                      <c:pt idx="141">
                        <c:v>Tuần  21</c:v>
                      </c:pt>
                      <c:pt idx="142">
                        <c:v>Tuần  21</c:v>
                      </c:pt>
                      <c:pt idx="143">
                        <c:v>Tuần  22</c:v>
                      </c:pt>
                      <c:pt idx="144">
                        <c:v>Tuần  22</c:v>
                      </c:pt>
                      <c:pt idx="145">
                        <c:v>Tuần  22</c:v>
                      </c:pt>
                      <c:pt idx="146">
                        <c:v>Tuần  22</c:v>
                      </c:pt>
                      <c:pt idx="147">
                        <c:v>Tuần  22</c:v>
                      </c:pt>
                      <c:pt idx="148">
                        <c:v>Tuần  22</c:v>
                      </c:pt>
                      <c:pt idx="149">
                        <c:v>Tuần  22</c:v>
                      </c:pt>
                      <c:pt idx="150">
                        <c:v>Tuần  23</c:v>
                      </c:pt>
                      <c:pt idx="151">
                        <c:v>Tuần  23</c:v>
                      </c:pt>
                      <c:pt idx="152">
                        <c:v>Tuần  23</c:v>
                      </c:pt>
                      <c:pt idx="153">
                        <c:v>Tuần  23</c:v>
                      </c:pt>
                      <c:pt idx="154">
                        <c:v>Tuần  23</c:v>
                      </c:pt>
                      <c:pt idx="155">
                        <c:v>Tuần  23</c:v>
                      </c:pt>
                      <c:pt idx="156">
                        <c:v>Tuần  23</c:v>
                      </c:pt>
                      <c:pt idx="157">
                        <c:v>Tuần  24</c:v>
                      </c:pt>
                      <c:pt idx="158">
                        <c:v>Tuần  24</c:v>
                      </c:pt>
                      <c:pt idx="159">
                        <c:v>Tuần  24</c:v>
                      </c:pt>
                      <c:pt idx="160">
                        <c:v>Tuần  24</c:v>
                      </c:pt>
                      <c:pt idx="161">
                        <c:v>Tuần  24</c:v>
                      </c:pt>
                      <c:pt idx="162">
                        <c:v>Tuần  24</c:v>
                      </c:pt>
                      <c:pt idx="163">
                        <c:v>Tuần  24</c:v>
                      </c:pt>
                      <c:pt idx="164">
                        <c:v>Tuần  25</c:v>
                      </c:pt>
                      <c:pt idx="165">
                        <c:v>Tuần  25</c:v>
                      </c:pt>
                      <c:pt idx="166">
                        <c:v>Tuần  25</c:v>
                      </c:pt>
                      <c:pt idx="167">
                        <c:v>Tuần  25</c:v>
                      </c:pt>
                      <c:pt idx="168">
                        <c:v>Tuần  25</c:v>
                      </c:pt>
                      <c:pt idx="169">
                        <c:v>Tuần  25</c:v>
                      </c:pt>
                      <c:pt idx="170">
                        <c:v>Tuần  25</c:v>
                      </c:pt>
                      <c:pt idx="171">
                        <c:v>Tuần  26</c:v>
                      </c:pt>
                      <c:pt idx="172">
                        <c:v>Tuần  26</c:v>
                      </c:pt>
                      <c:pt idx="173">
                        <c:v>Tuần  26</c:v>
                      </c:pt>
                      <c:pt idx="174">
                        <c:v>Tuần  26</c:v>
                      </c:pt>
                      <c:pt idx="175">
                        <c:v>Tuần  26</c:v>
                      </c:pt>
                      <c:pt idx="176">
                        <c:v>Tuần  26</c:v>
                      </c:pt>
                      <c:pt idx="177">
                        <c:v>Tuần  26</c:v>
                      </c:pt>
                      <c:pt idx="178">
                        <c:v>Tuần  27</c:v>
                      </c:pt>
                      <c:pt idx="179">
                        <c:v>Tuần  27</c:v>
                      </c:pt>
                      <c:pt idx="180">
                        <c:v>Tuần  27</c:v>
                      </c:pt>
                      <c:pt idx="181">
                        <c:v>Tuần  27</c:v>
                      </c:pt>
                      <c:pt idx="182">
                        <c:v>Tuần  27</c:v>
                      </c:pt>
                      <c:pt idx="183">
                        <c:v>Tuần  27</c:v>
                      </c:pt>
                      <c:pt idx="184">
                        <c:v>Tuần  27</c:v>
                      </c:pt>
                      <c:pt idx="185">
                        <c:v>Tuần  28</c:v>
                      </c:pt>
                      <c:pt idx="186">
                        <c:v>Tuần  28</c:v>
                      </c:pt>
                      <c:pt idx="187">
                        <c:v>Tuần  28</c:v>
                      </c:pt>
                      <c:pt idx="188">
                        <c:v>Tuần  28</c:v>
                      </c:pt>
                      <c:pt idx="189">
                        <c:v>Tuần  28</c:v>
                      </c:pt>
                      <c:pt idx="190">
                        <c:v>Tuần  28</c:v>
                      </c:pt>
                      <c:pt idx="191">
                        <c:v>Tuần  28</c:v>
                      </c:pt>
                      <c:pt idx="192">
                        <c:v>Tuần  29</c:v>
                      </c:pt>
                      <c:pt idx="193">
                        <c:v>Tuần  29</c:v>
                      </c:pt>
                      <c:pt idx="194">
                        <c:v>Tuần  29</c:v>
                      </c:pt>
                      <c:pt idx="195">
                        <c:v>Tuần  29</c:v>
                      </c:pt>
                      <c:pt idx="196">
                        <c:v>Tuần  29</c:v>
                      </c:pt>
                      <c:pt idx="197">
                        <c:v>Tuần  29</c:v>
                      </c:pt>
                      <c:pt idx="198">
                        <c:v>Tuần  29</c:v>
                      </c:pt>
                      <c:pt idx="199">
                        <c:v>Tuần  30</c:v>
                      </c:pt>
                      <c:pt idx="200">
                        <c:v>Tuần  30</c:v>
                      </c:pt>
                      <c:pt idx="201">
                        <c:v>Tuần  30</c:v>
                      </c:pt>
                      <c:pt idx="202">
                        <c:v>Tuần  30</c:v>
                      </c:pt>
                      <c:pt idx="203">
                        <c:v>Tuần  30</c:v>
                      </c:pt>
                      <c:pt idx="204">
                        <c:v>Tuần  30</c:v>
                      </c:pt>
                      <c:pt idx="205">
                        <c:v>Tuần  30</c:v>
                      </c:pt>
                      <c:pt idx="206">
                        <c:v>Tuần  31</c:v>
                      </c:pt>
                      <c:pt idx="207">
                        <c:v>Tuần  31</c:v>
                      </c:pt>
                      <c:pt idx="208">
                        <c:v>Tuần  31</c:v>
                      </c:pt>
                      <c:pt idx="209">
                        <c:v>Tuần  31</c:v>
                      </c:pt>
                      <c:pt idx="210">
                        <c:v>Tuần  31</c:v>
                      </c:pt>
                      <c:pt idx="211">
                        <c:v>Tuần  31</c:v>
                      </c:pt>
                      <c:pt idx="212">
                        <c:v>Tuần  31</c:v>
                      </c:pt>
                      <c:pt idx="213">
                        <c:v>Tuần  32</c:v>
                      </c:pt>
                      <c:pt idx="214">
                        <c:v>Tuần  32</c:v>
                      </c:pt>
                      <c:pt idx="215">
                        <c:v>Tuần  32</c:v>
                      </c:pt>
                      <c:pt idx="216">
                        <c:v>Tuần  32</c:v>
                      </c:pt>
                      <c:pt idx="217">
                        <c:v>Tuần  32</c:v>
                      </c:pt>
                      <c:pt idx="218">
                        <c:v>Tuần  32</c:v>
                      </c:pt>
                      <c:pt idx="219">
                        <c:v>Tuần  32</c:v>
                      </c:pt>
                      <c:pt idx="220">
                        <c:v>Tuần  33</c:v>
                      </c:pt>
                      <c:pt idx="221">
                        <c:v>Tuần  33</c:v>
                      </c:pt>
                      <c:pt idx="222">
                        <c:v>Tuần  33</c:v>
                      </c:pt>
                      <c:pt idx="223">
                        <c:v>Tuần  33</c:v>
                      </c:pt>
                      <c:pt idx="224">
                        <c:v>Tuần  33</c:v>
                      </c:pt>
                      <c:pt idx="225">
                        <c:v>Tuần  33</c:v>
                      </c:pt>
                      <c:pt idx="226">
                        <c:v>Tuần  33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Sheet1!$P$2:$P$228</c15:sqref>
                        </c15:formulaRef>
                      </c:ext>
                    </c:extLst>
                    <c:numCache>
                      <c:formatCode>h:mm</c:formatCode>
                      <c:ptCount val="227"/>
                      <c:pt idx="0">
                        <c:v>0.35416666666666669</c:v>
                      </c:pt>
                      <c:pt idx="1">
                        <c:v>0.97916666666666663</c:v>
                      </c:pt>
                      <c:pt idx="2">
                        <c:v>0.35416666666666669</c:v>
                      </c:pt>
                      <c:pt idx="3">
                        <c:v>0</c:v>
                      </c:pt>
                      <c:pt idx="4">
                        <c:v>0.97916666666666663</c:v>
                      </c:pt>
                      <c:pt idx="5">
                        <c:v>0.97916666666666663</c:v>
                      </c:pt>
                      <c:pt idx="6">
                        <c:v>0.97916666666666663</c:v>
                      </c:pt>
                      <c:pt idx="7">
                        <c:v>0.97916666666666663</c:v>
                      </c:pt>
                      <c:pt idx="8">
                        <c:v>0.97916666666666663</c:v>
                      </c:pt>
                      <c:pt idx="9">
                        <c:v>0.60416666666666663</c:v>
                      </c:pt>
                      <c:pt idx="10">
                        <c:v>0</c:v>
                      </c:pt>
                      <c:pt idx="11">
                        <c:v>0.95833333333333337</c:v>
                      </c:pt>
                      <c:pt idx="12">
                        <c:v>0.97916666666666663</c:v>
                      </c:pt>
                      <c:pt idx="13">
                        <c:v>0.97916666666666663</c:v>
                      </c:pt>
                      <c:pt idx="14">
                        <c:v>0.97916666666666663</c:v>
                      </c:pt>
                      <c:pt idx="15">
                        <c:v>0.97916666666666663</c:v>
                      </c:pt>
                      <c:pt idx="16">
                        <c:v>0.22916666666666666</c:v>
                      </c:pt>
                      <c:pt idx="17">
                        <c:v>0</c:v>
                      </c:pt>
                      <c:pt idx="18">
                        <c:v>0.97916666666666663</c:v>
                      </c:pt>
                      <c:pt idx="19">
                        <c:v>0.97916666666666663</c:v>
                      </c:pt>
                      <c:pt idx="20">
                        <c:v>0.97916666666666663</c:v>
                      </c:pt>
                      <c:pt idx="21">
                        <c:v>0.97916666666666663</c:v>
                      </c:pt>
                      <c:pt idx="22">
                        <c:v>0.97916666666666663</c:v>
                      </c:pt>
                      <c:pt idx="23">
                        <c:v>0.39583333333333331</c:v>
                      </c:pt>
                      <c:pt idx="24">
                        <c:v>0</c:v>
                      </c:pt>
                      <c:pt idx="25">
                        <c:v>0.97916666666666663</c:v>
                      </c:pt>
                      <c:pt idx="26">
                        <c:v>0.97916666666666663</c:v>
                      </c:pt>
                      <c:pt idx="27">
                        <c:v>0.97916666666666663</c:v>
                      </c:pt>
                      <c:pt idx="28">
                        <c:v>0.97916666666666663</c:v>
                      </c:pt>
                      <c:pt idx="29">
                        <c:v>0.97916666666666663</c:v>
                      </c:pt>
                      <c:pt idx="30">
                        <c:v>0.39583333333333331</c:v>
                      </c:pt>
                      <c:pt idx="31">
                        <c:v>0.375</c:v>
                      </c:pt>
                      <c:pt idx="32">
                        <c:v>0.97916666666666663</c:v>
                      </c:pt>
                      <c:pt idx="33">
                        <c:v>0.97916666666666663</c:v>
                      </c:pt>
                      <c:pt idx="34">
                        <c:v>0.97916666666666663</c:v>
                      </c:pt>
                      <c:pt idx="35">
                        <c:v>0.97916666666666663</c:v>
                      </c:pt>
                      <c:pt idx="36">
                        <c:v>0.97916666666666663</c:v>
                      </c:pt>
                      <c:pt idx="37">
                        <c:v>0.39583333333333331</c:v>
                      </c:pt>
                      <c:pt idx="38">
                        <c:v>0</c:v>
                      </c:pt>
                      <c:pt idx="39">
                        <c:v>0.97916666666666663</c:v>
                      </c:pt>
                      <c:pt idx="40">
                        <c:v>0.97916666666666663</c:v>
                      </c:pt>
                      <c:pt idx="41">
                        <c:v>0.97916666666666663</c:v>
                      </c:pt>
                      <c:pt idx="42">
                        <c:v>0.97916666666666663</c:v>
                      </c:pt>
                      <c:pt idx="43">
                        <c:v>0.97916666666666663</c:v>
                      </c:pt>
                      <c:pt idx="44">
                        <c:v>0.39583333333333331</c:v>
                      </c:pt>
                      <c:pt idx="45">
                        <c:v>0</c:v>
                      </c:pt>
                      <c:pt idx="46">
                        <c:v>0.97916666666666663</c:v>
                      </c:pt>
                      <c:pt idx="47">
                        <c:v>0.97916666666666663</c:v>
                      </c:pt>
                      <c:pt idx="48">
                        <c:v>0.97916666666666663</c:v>
                      </c:pt>
                      <c:pt idx="49">
                        <c:v>0.97916666666666663</c:v>
                      </c:pt>
                      <c:pt idx="50">
                        <c:v>0.97916666666666663</c:v>
                      </c:pt>
                      <c:pt idx="51">
                        <c:v>0.22916666666666666</c:v>
                      </c:pt>
                      <c:pt idx="52">
                        <c:v>0.41666666666666669</c:v>
                      </c:pt>
                      <c:pt idx="53">
                        <c:v>0.97916666666666663</c:v>
                      </c:pt>
                      <c:pt idx="54">
                        <c:v>0.97916666666666663</c:v>
                      </c:pt>
                      <c:pt idx="55">
                        <c:v>0.97916666666666663</c:v>
                      </c:pt>
                      <c:pt idx="56">
                        <c:v>0.97916666666666663</c:v>
                      </c:pt>
                      <c:pt idx="57">
                        <c:v>0.97916666666666663</c:v>
                      </c:pt>
                      <c:pt idx="58">
                        <c:v>0.39583333333333331</c:v>
                      </c:pt>
                      <c:pt idx="59">
                        <c:v>0.41666666666666669</c:v>
                      </c:pt>
                      <c:pt idx="60">
                        <c:v>0.97916666666666663</c:v>
                      </c:pt>
                      <c:pt idx="61">
                        <c:v>0.97916666666666663</c:v>
                      </c:pt>
                      <c:pt idx="62">
                        <c:v>0.97916666666666663</c:v>
                      </c:pt>
                      <c:pt idx="63">
                        <c:v>0.97916666666666663</c:v>
                      </c:pt>
                      <c:pt idx="64">
                        <c:v>0.97916666666666663</c:v>
                      </c:pt>
                      <c:pt idx="65">
                        <c:v>0.39583333333333331</c:v>
                      </c:pt>
                      <c:pt idx="66">
                        <c:v>0</c:v>
                      </c:pt>
                      <c:pt idx="67">
                        <c:v>0.97916666666666663</c:v>
                      </c:pt>
                      <c:pt idx="68">
                        <c:v>0.97916666666666663</c:v>
                      </c:pt>
                      <c:pt idx="69">
                        <c:v>0.97916666666666663</c:v>
                      </c:pt>
                      <c:pt idx="70">
                        <c:v>0.97916666666666663</c:v>
                      </c:pt>
                      <c:pt idx="71">
                        <c:v>0.97916666666666663</c:v>
                      </c:pt>
                      <c:pt idx="72">
                        <c:v>0.5</c:v>
                      </c:pt>
                      <c:pt idx="73">
                        <c:v>0</c:v>
                      </c:pt>
                      <c:pt idx="74">
                        <c:v>0.97916666666666663</c:v>
                      </c:pt>
                      <c:pt idx="75">
                        <c:v>0.97916666666666663</c:v>
                      </c:pt>
                      <c:pt idx="76">
                        <c:v>0.97916666666666663</c:v>
                      </c:pt>
                      <c:pt idx="77">
                        <c:v>0.97916666666666663</c:v>
                      </c:pt>
                      <c:pt idx="78">
                        <c:v>0.97916666666666663</c:v>
                      </c:pt>
                      <c:pt idx="79">
                        <c:v>0.39583333333333331</c:v>
                      </c:pt>
                      <c:pt idx="80">
                        <c:v>0.52083333333333337</c:v>
                      </c:pt>
                      <c:pt idx="81">
                        <c:v>0.97916666666666663</c:v>
                      </c:pt>
                      <c:pt idx="82">
                        <c:v>0.97916666666666663</c:v>
                      </c:pt>
                      <c:pt idx="83">
                        <c:v>0.97916666666666663</c:v>
                      </c:pt>
                      <c:pt idx="84">
                        <c:v>0.97916666666666663</c:v>
                      </c:pt>
                      <c:pt idx="85">
                        <c:v>0.97916666666666663</c:v>
                      </c:pt>
                      <c:pt idx="86">
                        <c:v>0.39583333333333331</c:v>
                      </c:pt>
                      <c:pt idx="87">
                        <c:v>0</c:v>
                      </c:pt>
                      <c:pt idx="88">
                        <c:v>0.97916666666666663</c:v>
                      </c:pt>
                      <c:pt idx="89">
                        <c:v>0.97916666666666663</c:v>
                      </c:pt>
                      <c:pt idx="90">
                        <c:v>0.95833333333333337</c:v>
                      </c:pt>
                      <c:pt idx="91">
                        <c:v>0.97916666666666663</c:v>
                      </c:pt>
                      <c:pt idx="92">
                        <c:v>0.39583333333333331</c:v>
                      </c:pt>
                      <c:pt idx="93">
                        <c:v>0.35416666666666669</c:v>
                      </c:pt>
                      <c:pt idx="94">
                        <c:v>0</c:v>
                      </c:pt>
                      <c:pt idx="95">
                        <c:v>0.97916666666666663</c:v>
                      </c:pt>
                      <c:pt idx="96">
                        <c:v>0.97916666666666663</c:v>
                      </c:pt>
                      <c:pt idx="97">
                        <c:v>0.97916666666666663</c:v>
                      </c:pt>
                      <c:pt idx="98">
                        <c:v>0.97916666666666663</c:v>
                      </c:pt>
                      <c:pt idx="99">
                        <c:v>0.97916666666666663</c:v>
                      </c:pt>
                      <c:pt idx="100">
                        <c:v>0.39583333333333331</c:v>
                      </c:pt>
                      <c:pt idx="101">
                        <c:v>0.64583333333333337</c:v>
                      </c:pt>
                      <c:pt idx="102">
                        <c:v>0.97916666666666663</c:v>
                      </c:pt>
                      <c:pt idx="103">
                        <c:v>0.97916666666666663</c:v>
                      </c:pt>
                      <c:pt idx="104">
                        <c:v>0.97916666666666663</c:v>
                      </c:pt>
                      <c:pt idx="105">
                        <c:v>0.97916666666666663</c:v>
                      </c:pt>
                      <c:pt idx="106">
                        <c:v>0.97916666666666663</c:v>
                      </c:pt>
                      <c:pt idx="107">
                        <c:v>0.39583333333333331</c:v>
                      </c:pt>
                      <c:pt idx="108">
                        <c:v>0</c:v>
                      </c:pt>
                      <c:pt idx="109">
                        <c:v>0.97916666666666663</c:v>
                      </c:pt>
                      <c:pt idx="110">
                        <c:v>0.97916666666666663</c:v>
                      </c:pt>
                      <c:pt idx="111">
                        <c:v>0.97916666666666663</c:v>
                      </c:pt>
                      <c:pt idx="112">
                        <c:v>0.97916666666666663</c:v>
                      </c:pt>
                      <c:pt idx="113">
                        <c:v>0.97916666666666663</c:v>
                      </c:pt>
                      <c:pt idx="114">
                        <c:v>0.39583333333333331</c:v>
                      </c:pt>
                      <c:pt idx="115">
                        <c:v>0</c:v>
                      </c:pt>
                      <c:pt idx="116">
                        <c:v>0.97916666666666663</c:v>
                      </c:pt>
                      <c:pt idx="117">
                        <c:v>0.97916666666666663</c:v>
                      </c:pt>
                      <c:pt idx="118">
                        <c:v>0.97916666666666663</c:v>
                      </c:pt>
                      <c:pt idx="119">
                        <c:v>0.97916666666666663</c:v>
                      </c:pt>
                      <c:pt idx="120">
                        <c:v>0.97916666666666663</c:v>
                      </c:pt>
                      <c:pt idx="121">
                        <c:v>0.1875</c:v>
                      </c:pt>
                      <c:pt idx="122">
                        <c:v>0</c:v>
                      </c:pt>
                      <c:pt idx="123">
                        <c:v>0.97916666666666663</c:v>
                      </c:pt>
                      <c:pt idx="124">
                        <c:v>0.97916666666666663</c:v>
                      </c:pt>
                      <c:pt idx="125">
                        <c:v>0.97916666666666663</c:v>
                      </c:pt>
                      <c:pt idx="126">
                        <c:v>0.97916666666666663</c:v>
                      </c:pt>
                      <c:pt idx="127">
                        <c:v>0.97916666666666663</c:v>
                      </c:pt>
                      <c:pt idx="128">
                        <c:v>0.1875</c:v>
                      </c:pt>
                      <c:pt idx="129">
                        <c:v>0</c:v>
                      </c:pt>
                      <c:pt idx="130">
                        <c:v>0.97916666666666663</c:v>
                      </c:pt>
                      <c:pt idx="131">
                        <c:v>0.97916666666666663</c:v>
                      </c:pt>
                      <c:pt idx="132">
                        <c:v>0.97916666666666663</c:v>
                      </c:pt>
                      <c:pt idx="133">
                        <c:v>0.97916666666666663</c:v>
                      </c:pt>
                      <c:pt idx="134">
                        <c:v>0.97916666666666663</c:v>
                      </c:pt>
                      <c:pt idx="135">
                        <c:v>0.47916666666666669</c:v>
                      </c:pt>
                      <c:pt idx="136">
                        <c:v>0</c:v>
                      </c:pt>
                      <c:pt idx="137">
                        <c:v>0.97916666666666663</c:v>
                      </c:pt>
                      <c:pt idx="138">
                        <c:v>0.97916666666666663</c:v>
                      </c:pt>
                      <c:pt idx="139">
                        <c:v>0.97916666666666663</c:v>
                      </c:pt>
                      <c:pt idx="140">
                        <c:v>0.97916666666666663</c:v>
                      </c:pt>
                      <c:pt idx="141">
                        <c:v>0.97916666666666663</c:v>
                      </c:pt>
                      <c:pt idx="142">
                        <c:v>0.39583333333333331</c:v>
                      </c:pt>
                      <c:pt idx="143">
                        <c:v>0</c:v>
                      </c:pt>
                      <c:pt idx="144">
                        <c:v>0.97916666666666663</c:v>
                      </c:pt>
                      <c:pt idx="145">
                        <c:v>0.97916666666666663</c:v>
                      </c:pt>
                      <c:pt idx="146">
                        <c:v>0.97916666666666663</c:v>
                      </c:pt>
                      <c:pt idx="147">
                        <c:v>0.97916666666666663</c:v>
                      </c:pt>
                      <c:pt idx="148">
                        <c:v>0.97916666666666663</c:v>
                      </c:pt>
                      <c:pt idx="149">
                        <c:v>0.39583333333333331</c:v>
                      </c:pt>
                      <c:pt idx="150">
                        <c:v>0</c:v>
                      </c:pt>
                      <c:pt idx="151">
                        <c:v>0.97916666666666663</c:v>
                      </c:pt>
                      <c:pt idx="152">
                        <c:v>0.97916666666666663</c:v>
                      </c:pt>
                      <c:pt idx="153">
                        <c:v>0.97916666666666663</c:v>
                      </c:pt>
                      <c:pt idx="154">
                        <c:v>0.97916666666666663</c:v>
                      </c:pt>
                      <c:pt idx="155">
                        <c:v>0.97916666666666663</c:v>
                      </c:pt>
                      <c:pt idx="156">
                        <c:v>0.39583333333333331</c:v>
                      </c:pt>
                      <c:pt idx="157">
                        <c:v>0</c:v>
                      </c:pt>
                      <c:pt idx="158">
                        <c:v>0.97916666666666663</c:v>
                      </c:pt>
                      <c:pt idx="159">
                        <c:v>0.97916666666666663</c:v>
                      </c:pt>
                      <c:pt idx="160">
                        <c:v>0.97916666666666663</c:v>
                      </c:pt>
                      <c:pt idx="161">
                        <c:v>0.97916666666666663</c:v>
                      </c:pt>
                      <c:pt idx="162">
                        <c:v>0.97916666666666663</c:v>
                      </c:pt>
                      <c:pt idx="163">
                        <c:v>0.45833333333333331</c:v>
                      </c:pt>
                      <c:pt idx="164">
                        <c:v>0</c:v>
                      </c:pt>
                      <c:pt idx="165">
                        <c:v>0.97916666666666663</c:v>
                      </c:pt>
                      <c:pt idx="166">
                        <c:v>0.97916666666666663</c:v>
                      </c:pt>
                      <c:pt idx="167">
                        <c:v>0.97916666666666663</c:v>
                      </c:pt>
                      <c:pt idx="168">
                        <c:v>0.97916666666666663</c:v>
                      </c:pt>
                      <c:pt idx="169">
                        <c:v>0.97916666666666663</c:v>
                      </c:pt>
                      <c:pt idx="170">
                        <c:v>0.39583333333333331</c:v>
                      </c:pt>
                      <c:pt idx="171">
                        <c:v>0</c:v>
                      </c:pt>
                      <c:pt idx="172">
                        <c:v>0.97916666666666663</c:v>
                      </c:pt>
                      <c:pt idx="173">
                        <c:v>0.97916666666666663</c:v>
                      </c:pt>
                      <c:pt idx="174">
                        <c:v>0.97916666666666663</c:v>
                      </c:pt>
                      <c:pt idx="175">
                        <c:v>0.97916666666666663</c:v>
                      </c:pt>
                      <c:pt idx="176">
                        <c:v>0.97916666666666663</c:v>
                      </c:pt>
                      <c:pt idx="177">
                        <c:v>0.41666666666666669</c:v>
                      </c:pt>
                      <c:pt idx="178">
                        <c:v>0.3125</c:v>
                      </c:pt>
                      <c:pt idx="179">
                        <c:v>0.97916666666666663</c:v>
                      </c:pt>
                      <c:pt idx="180">
                        <c:v>0.97916666666666663</c:v>
                      </c:pt>
                      <c:pt idx="181">
                        <c:v>0.97916666666666663</c:v>
                      </c:pt>
                      <c:pt idx="182">
                        <c:v>0.97916666666666663</c:v>
                      </c:pt>
                      <c:pt idx="183">
                        <c:v>0.97916666666666663</c:v>
                      </c:pt>
                      <c:pt idx="184">
                        <c:v>2.0833333333333332E-2</c:v>
                      </c:pt>
                      <c:pt idx="185">
                        <c:v>0</c:v>
                      </c:pt>
                      <c:pt idx="186">
                        <c:v>0.97916666666666663</c:v>
                      </c:pt>
                      <c:pt idx="187">
                        <c:v>0.97916666666666663</c:v>
                      </c:pt>
                      <c:pt idx="188">
                        <c:v>0.97916666666666663</c:v>
                      </c:pt>
                      <c:pt idx="189">
                        <c:v>0.97916666666666663</c:v>
                      </c:pt>
                      <c:pt idx="190">
                        <c:v>0.9375</c:v>
                      </c:pt>
                      <c:pt idx="191">
                        <c:v>0.375</c:v>
                      </c:pt>
                      <c:pt idx="192">
                        <c:v>0</c:v>
                      </c:pt>
                      <c:pt idx="193">
                        <c:v>0.91666666666666663</c:v>
                      </c:pt>
                      <c:pt idx="194">
                        <c:v>0.97916666666666663</c:v>
                      </c:pt>
                      <c:pt idx="195">
                        <c:v>0.97916666666666663</c:v>
                      </c:pt>
                      <c:pt idx="196">
                        <c:v>0.97916666666666663</c:v>
                      </c:pt>
                      <c:pt idx="197">
                        <c:v>0.97916666666666663</c:v>
                      </c:pt>
                      <c:pt idx="198">
                        <c:v>0.39583333333333331</c:v>
                      </c:pt>
                      <c:pt idx="199">
                        <c:v>0.97916666666666663</c:v>
                      </c:pt>
                      <c:pt idx="200">
                        <c:v>0.97916666666666663</c:v>
                      </c:pt>
                      <c:pt idx="201">
                        <c:v>0.97916666666666663</c:v>
                      </c:pt>
                      <c:pt idx="202">
                        <c:v>0.97916666666666663</c:v>
                      </c:pt>
                      <c:pt idx="203">
                        <c:v>0.97916666666666663</c:v>
                      </c:pt>
                      <c:pt idx="204">
                        <c:v>0.97916666666666663</c:v>
                      </c:pt>
                      <c:pt idx="205">
                        <c:v>0.39583333333333331</c:v>
                      </c:pt>
                      <c:pt idx="206">
                        <c:v>0</c:v>
                      </c:pt>
                      <c:pt idx="207">
                        <c:v>0.97916666666666663</c:v>
                      </c:pt>
                      <c:pt idx="208">
                        <c:v>0.97916666666666663</c:v>
                      </c:pt>
                      <c:pt idx="209">
                        <c:v>0.97916666666666663</c:v>
                      </c:pt>
                      <c:pt idx="210">
                        <c:v>0.97916666666666663</c:v>
                      </c:pt>
                      <c:pt idx="211">
                        <c:v>0.97916666666666663</c:v>
                      </c:pt>
                      <c:pt idx="212">
                        <c:v>0.39583333333333331</c:v>
                      </c:pt>
                      <c:pt idx="213">
                        <c:v>0</c:v>
                      </c:pt>
                      <c:pt idx="214">
                        <c:v>0.97916666666666663</c:v>
                      </c:pt>
                      <c:pt idx="215">
                        <c:v>0.97916666666666663</c:v>
                      </c:pt>
                      <c:pt idx="216">
                        <c:v>0.97916666666666663</c:v>
                      </c:pt>
                      <c:pt idx="217">
                        <c:v>0.97916666666666663</c:v>
                      </c:pt>
                      <c:pt idx="218">
                        <c:v>0.97916666666666663</c:v>
                      </c:pt>
                      <c:pt idx="219">
                        <c:v>0.58333333333333337</c:v>
                      </c:pt>
                      <c:pt idx="220">
                        <c:v>0</c:v>
                      </c:pt>
                      <c:pt idx="221">
                        <c:v>0.97916666666666663</c:v>
                      </c:pt>
                      <c:pt idx="222">
                        <c:v>0.97916666666666663</c:v>
                      </c:pt>
                      <c:pt idx="223">
                        <c:v>0.97916666666666663</c:v>
                      </c:pt>
                      <c:pt idx="224">
                        <c:v>0.97916666666666663</c:v>
                      </c:pt>
                      <c:pt idx="225">
                        <c:v>0.97916666666666663</c:v>
                      </c:pt>
                      <c:pt idx="226">
                        <c:v>0.39583333333333331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704-4E83-A392-44315367E881}"/>
                  </c:ext>
                </c:extLst>
              </c15:ser>
            </c15:filteredLineSeries>
          </c:ext>
        </c:extLst>
      </c:lineChart>
      <c:catAx>
        <c:axId val="155840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51248"/>
        <c:crosses val="autoZero"/>
        <c:auto val="1"/>
        <c:lblAlgn val="ctr"/>
        <c:lblOffset val="100"/>
        <c:noMultiLvlLbl val="0"/>
      </c:catAx>
      <c:valAx>
        <c:axId val="13058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00368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softEdge rad="10160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213360</xdr:colOff>
      <xdr:row>35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D23FA-D389-4C1B-8D1F-943E0FDD8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39DA-0D35-40BF-B79F-8BD9903006D0}">
  <dimension ref="A1:P234"/>
  <sheetViews>
    <sheetView topLeftCell="D213" zoomScaleNormal="100" workbookViewId="0">
      <selection activeCell="I240" sqref="I240"/>
    </sheetView>
  </sheetViews>
  <sheetFormatPr defaultRowHeight="13.8" x14ac:dyDescent="0.25"/>
  <cols>
    <col min="1" max="1" width="10.109375" bestFit="1" customWidth="1"/>
    <col min="2" max="2" width="9.44140625" customWidth="1"/>
    <col min="3" max="3" width="9.109375" customWidth="1"/>
    <col min="4" max="4" width="9.44140625" bestFit="1" customWidth="1"/>
    <col min="5" max="5" width="22.109375" customWidth="1"/>
    <col min="6" max="6" width="22.77734375" style="6" bestFit="1" customWidth="1"/>
    <col min="7" max="7" width="22.21875" style="6" bestFit="1" customWidth="1"/>
    <col min="8" max="8" width="17.33203125" style="6" bestFit="1" customWidth="1"/>
    <col min="9" max="9" width="14.6640625" bestFit="1" customWidth="1"/>
    <col min="10" max="10" width="25.6640625" hidden="1" customWidth="1"/>
    <col min="11" max="11" width="20.109375" hidden="1" customWidth="1"/>
    <col min="12" max="12" width="19.5546875" hidden="1" customWidth="1"/>
    <col min="13" max="13" width="22.77734375" bestFit="1" customWidth="1"/>
    <col min="14" max="14" width="29.88671875" bestFit="1" customWidth="1"/>
    <col min="15" max="15" width="29.21875" bestFit="1" customWidth="1"/>
    <col min="16" max="16" width="14.21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  <row r="2" spans="1:16" x14ac:dyDescent="0.25">
      <c r="A2" s="4">
        <v>46023</v>
      </c>
      <c r="B2" s="4">
        <v>46023</v>
      </c>
      <c r="C2" s="1" t="str">
        <f>+"Tuần  "&amp;WEEKNUM(B2)</f>
        <v>Tuần  1</v>
      </c>
      <c r="D2" s="1" t="s">
        <v>16</v>
      </c>
      <c r="E2" s="1" t="s">
        <v>159</v>
      </c>
      <c r="F2" s="2">
        <v>145900000</v>
      </c>
      <c r="G2" s="2">
        <v>148900000</v>
      </c>
      <c r="H2" s="2">
        <f>+(M2*26000)/0.829426</f>
        <v>135406413.59205043</v>
      </c>
      <c r="I2" s="2">
        <f>+G2-H2</f>
        <v>13493586.407949567</v>
      </c>
      <c r="J2" s="3">
        <v>3000000</v>
      </c>
      <c r="K2" s="3">
        <v>14590000</v>
      </c>
      <c r="L2" s="3">
        <v>14890000</v>
      </c>
      <c r="M2" s="3">
        <v>4319.6000000000004</v>
      </c>
      <c r="N2" s="3">
        <v>150800000</v>
      </c>
      <c r="O2" s="3">
        <v>152800000</v>
      </c>
      <c r="P2" s="5">
        <v>0.35416666666666669</v>
      </c>
    </row>
    <row r="3" spans="1:16" x14ac:dyDescent="0.25">
      <c r="A3" s="4">
        <v>46054</v>
      </c>
      <c r="B3" s="4">
        <v>46024</v>
      </c>
      <c r="C3" s="1" t="str">
        <f>+"Tuần  "&amp;WEEKNUM(B3)</f>
        <v>Tuần  1</v>
      </c>
      <c r="D3" s="1" t="s">
        <v>17</v>
      </c>
      <c r="E3" s="1" t="s">
        <v>159</v>
      </c>
      <c r="F3" s="2">
        <v>145900000</v>
      </c>
      <c r="G3" s="2">
        <v>148900000</v>
      </c>
      <c r="H3" s="2">
        <f>+(M3*26000)/0.829426</f>
        <v>135494185.13526219</v>
      </c>
      <c r="I3" s="2">
        <f>+G3-H3</f>
        <v>13405814.864737809</v>
      </c>
      <c r="J3" s="3">
        <v>3000000</v>
      </c>
      <c r="K3" s="3">
        <v>14590000</v>
      </c>
      <c r="L3" s="3">
        <v>14890000</v>
      </c>
      <c r="M3" s="3">
        <v>4322.3999999999996</v>
      </c>
      <c r="N3" s="3">
        <v>150800000</v>
      </c>
      <c r="O3" s="3">
        <v>152800000</v>
      </c>
      <c r="P3" s="5">
        <v>0.97916666666666663</v>
      </c>
    </row>
    <row r="4" spans="1:16" x14ac:dyDescent="0.25">
      <c r="A4" s="4">
        <v>46082</v>
      </c>
      <c r="B4" s="4">
        <v>46025</v>
      </c>
      <c r="C4" s="1" t="str">
        <f>+"Tuần  "&amp;WEEKNUM(B4)</f>
        <v>Tuần  1</v>
      </c>
      <c r="D4" s="1" t="s">
        <v>18</v>
      </c>
      <c r="E4" s="1" t="s">
        <v>159</v>
      </c>
      <c r="F4" s="2">
        <v>145900000</v>
      </c>
      <c r="G4" s="2">
        <v>148900000</v>
      </c>
      <c r="H4" s="2">
        <f>+(M4*26000)/0.829426</f>
        <v>135804520.2344754</v>
      </c>
      <c r="I4" s="2">
        <f>+G4-H4</f>
        <v>13095479.765524596</v>
      </c>
      <c r="J4" s="3">
        <v>3000000</v>
      </c>
      <c r="K4" s="3">
        <v>14590000</v>
      </c>
      <c r="L4" s="3">
        <v>14890000</v>
      </c>
      <c r="M4" s="3">
        <v>4332.3</v>
      </c>
      <c r="N4" s="3">
        <v>150800000</v>
      </c>
      <c r="O4" s="3">
        <v>152800000</v>
      </c>
      <c r="P4" s="5">
        <v>0.35416666666666669</v>
      </c>
    </row>
    <row r="5" spans="1:16" x14ac:dyDescent="0.25">
      <c r="A5" s="4">
        <v>46113</v>
      </c>
      <c r="B5" s="4">
        <v>46026</v>
      </c>
      <c r="C5" s="1" t="str">
        <f>+"Tuần  "&amp;WEEKNUM(B5)</f>
        <v>Tuần  2</v>
      </c>
      <c r="D5" s="1" t="s">
        <v>19</v>
      </c>
      <c r="E5" s="1" t="s">
        <v>159</v>
      </c>
      <c r="F5" s="2">
        <v>145900000</v>
      </c>
      <c r="G5" s="2">
        <v>148900000</v>
      </c>
      <c r="H5" s="2">
        <f>+(M5*26000)/0.829426</f>
        <v>135804520.2344754</v>
      </c>
      <c r="I5" s="2">
        <f>+G5-H5</f>
        <v>13095479.765524596</v>
      </c>
      <c r="J5" s="3">
        <v>3000000</v>
      </c>
      <c r="K5" s="3">
        <v>14590000</v>
      </c>
      <c r="L5" s="3">
        <v>14890000</v>
      </c>
      <c r="M5" s="3">
        <v>4332.3</v>
      </c>
      <c r="N5" s="3">
        <v>150800000</v>
      </c>
      <c r="O5" s="3">
        <v>152800000</v>
      </c>
      <c r="P5" s="5">
        <v>0</v>
      </c>
    </row>
    <row r="6" spans="1:16" x14ac:dyDescent="0.25">
      <c r="A6" s="4">
        <v>46143</v>
      </c>
      <c r="B6" s="4">
        <v>46027</v>
      </c>
      <c r="C6" s="1" t="str">
        <f>+"Tuần  "&amp;WEEKNUM(B6)</f>
        <v>Tuần  2</v>
      </c>
      <c r="D6" s="1" t="s">
        <v>20</v>
      </c>
      <c r="E6" s="1" t="s">
        <v>159</v>
      </c>
      <c r="F6" s="2">
        <v>149900000</v>
      </c>
      <c r="G6" s="2">
        <v>152900000</v>
      </c>
      <c r="H6" s="2">
        <f>+(M6*26000)/0.829426</f>
        <v>139280900.28525752</v>
      </c>
      <c r="I6" s="2">
        <f>+G6-H6</f>
        <v>13619099.714742482</v>
      </c>
      <c r="J6" s="3">
        <v>3000000</v>
      </c>
      <c r="K6" s="3">
        <v>14990000</v>
      </c>
      <c r="L6" s="3">
        <v>15290000</v>
      </c>
      <c r="M6" s="3">
        <v>4443.2</v>
      </c>
      <c r="N6" s="3">
        <v>155100000</v>
      </c>
      <c r="O6" s="3">
        <v>157100000</v>
      </c>
      <c r="P6" s="5">
        <v>0.97916666666666663</v>
      </c>
    </row>
    <row r="7" spans="1:16" x14ac:dyDescent="0.25">
      <c r="A7" s="4">
        <v>46174</v>
      </c>
      <c r="B7" s="4">
        <v>46028</v>
      </c>
      <c r="C7" s="1" t="str">
        <f>+"Tuần  "&amp;WEEKNUM(B7)</f>
        <v>Tuần  2</v>
      </c>
      <c r="D7" s="1" t="s">
        <v>21</v>
      </c>
      <c r="E7" s="1" t="s">
        <v>159</v>
      </c>
      <c r="F7" s="2">
        <v>151000000</v>
      </c>
      <c r="G7" s="2">
        <v>154000000</v>
      </c>
      <c r="H7" s="2">
        <f>+(M7*26000)/0.829426</f>
        <v>140575530.54763174</v>
      </c>
      <c r="I7" s="2">
        <f>+G7-H7</f>
        <v>13424469.452368259</v>
      </c>
      <c r="J7" s="3">
        <v>3000000</v>
      </c>
      <c r="K7" s="3">
        <v>15100000</v>
      </c>
      <c r="L7" s="3">
        <v>15400000</v>
      </c>
      <c r="M7" s="3">
        <v>4484.5</v>
      </c>
      <c r="N7" s="3">
        <v>156000000</v>
      </c>
      <c r="O7" s="3">
        <v>158000000</v>
      </c>
      <c r="P7" s="5">
        <v>0.97916666666666663</v>
      </c>
    </row>
    <row r="8" spans="1:16" x14ac:dyDescent="0.25">
      <c r="A8" s="4">
        <v>46204</v>
      </c>
      <c r="B8" s="4">
        <v>46029</v>
      </c>
      <c r="C8" s="1" t="str">
        <f>+"Tuần  "&amp;WEEKNUM(B8)</f>
        <v>Tuần  2</v>
      </c>
      <c r="D8" s="1" t="s">
        <v>22</v>
      </c>
      <c r="E8" s="1" t="s">
        <v>159</v>
      </c>
      <c r="F8" s="2">
        <v>152100000</v>
      </c>
      <c r="G8" s="2">
        <v>154600000</v>
      </c>
      <c r="H8" s="2">
        <f>+(M8*26000)/0.829426</f>
        <v>139738566.18914768</v>
      </c>
      <c r="I8" s="2">
        <f>+G8-H8</f>
        <v>14861433.810852319</v>
      </c>
      <c r="J8" s="3">
        <v>2500000</v>
      </c>
      <c r="K8" s="3">
        <v>15210000</v>
      </c>
      <c r="L8" s="3">
        <v>15460000</v>
      </c>
      <c r="M8" s="3">
        <v>4457.8</v>
      </c>
      <c r="N8" s="3">
        <v>156100000</v>
      </c>
      <c r="O8" s="3">
        <v>158100000</v>
      </c>
      <c r="P8" s="5">
        <v>0.97916666666666663</v>
      </c>
    </row>
    <row r="9" spans="1:16" x14ac:dyDescent="0.25">
      <c r="A9" s="4">
        <v>46235</v>
      </c>
      <c r="B9" s="4">
        <v>46030</v>
      </c>
      <c r="C9" s="1" t="str">
        <f>+"Tuần  "&amp;WEEKNUM(B9)</f>
        <v>Tuần  2</v>
      </c>
      <c r="D9" s="1" t="s">
        <v>16</v>
      </c>
      <c r="E9" s="1" t="s">
        <v>159</v>
      </c>
      <c r="F9" s="2">
        <v>151900000</v>
      </c>
      <c r="G9" s="2">
        <v>154400000</v>
      </c>
      <c r="H9" s="2">
        <f>+(M9*26000)/0.829426</f>
        <v>139688411.02159807</v>
      </c>
      <c r="I9" s="2">
        <f>+G9-H9</f>
        <v>14711588.978401929</v>
      </c>
      <c r="J9" s="3">
        <v>2500000</v>
      </c>
      <c r="K9" s="3">
        <v>15190000</v>
      </c>
      <c r="L9" s="3">
        <v>15440000</v>
      </c>
      <c r="M9" s="3">
        <v>4456.2</v>
      </c>
      <c r="N9" s="3">
        <v>155200000</v>
      </c>
      <c r="O9" s="3">
        <v>157200000</v>
      </c>
      <c r="P9" s="5">
        <v>0.97916666666666663</v>
      </c>
    </row>
    <row r="10" spans="1:16" x14ac:dyDescent="0.25">
      <c r="A10" s="4">
        <v>46266</v>
      </c>
      <c r="B10" s="4">
        <v>46031</v>
      </c>
      <c r="C10" s="1" t="str">
        <f>+"Tuần  "&amp;WEEKNUM(B10)</f>
        <v>Tuần  2</v>
      </c>
      <c r="D10" s="1" t="s">
        <v>17</v>
      </c>
      <c r="E10" s="1" t="s">
        <v>159</v>
      </c>
      <c r="F10" s="2">
        <v>152800000</v>
      </c>
      <c r="G10" s="2">
        <v>155300000</v>
      </c>
      <c r="H10" s="2">
        <f>+(M10*26000)/0.829426</f>
        <v>141218143.63186106</v>
      </c>
      <c r="I10" s="2">
        <f>+G10-H10</f>
        <v>14081856.368138939</v>
      </c>
      <c r="J10" s="3">
        <v>2500000</v>
      </c>
      <c r="K10" s="3">
        <v>15280000</v>
      </c>
      <c r="L10" s="3">
        <v>15530000</v>
      </c>
      <c r="M10" s="3">
        <v>4505</v>
      </c>
      <c r="N10" s="3">
        <v>156300000</v>
      </c>
      <c r="O10" s="3">
        <v>158300000</v>
      </c>
      <c r="P10" s="5">
        <v>0.97916666666666663</v>
      </c>
    </row>
    <row r="11" spans="1:16" x14ac:dyDescent="0.25">
      <c r="A11" s="4">
        <v>46296</v>
      </c>
      <c r="B11" s="4">
        <v>46032</v>
      </c>
      <c r="C11" s="1" t="str">
        <f>+"Tuần  "&amp;WEEKNUM(B11)</f>
        <v>Tuần  2</v>
      </c>
      <c r="D11" s="1" t="s">
        <v>18</v>
      </c>
      <c r="E11" s="1" t="s">
        <v>159</v>
      </c>
      <c r="F11" s="2">
        <v>154300000</v>
      </c>
      <c r="G11" s="2">
        <v>156800000</v>
      </c>
      <c r="H11" s="2">
        <f>+(M11*26000)/0.829426</f>
        <v>141399956.1142284</v>
      </c>
      <c r="I11" s="2">
        <f>+G11-H11</f>
        <v>15400043.885771602</v>
      </c>
      <c r="J11" s="3">
        <v>2500000</v>
      </c>
      <c r="K11" s="3">
        <v>15430000</v>
      </c>
      <c r="L11" s="3">
        <v>15680000</v>
      </c>
      <c r="M11" s="3">
        <v>4510.8</v>
      </c>
      <c r="N11" s="3">
        <v>157800000</v>
      </c>
      <c r="O11" s="3">
        <v>159800000</v>
      </c>
      <c r="P11" s="5">
        <v>0.60416666666666663</v>
      </c>
    </row>
    <row r="12" spans="1:16" x14ac:dyDescent="0.25">
      <c r="A12" s="4">
        <v>46327</v>
      </c>
      <c r="B12" s="4">
        <v>46033</v>
      </c>
      <c r="C12" s="1" t="str">
        <f>+"Tuần  "&amp;WEEKNUM(B12)</f>
        <v>Tuần  3</v>
      </c>
      <c r="D12" s="1" t="s">
        <v>19</v>
      </c>
      <c r="E12" s="1" t="s">
        <v>159</v>
      </c>
      <c r="F12" s="2">
        <v>154300000</v>
      </c>
      <c r="G12" s="2">
        <v>156800000</v>
      </c>
      <c r="H12" s="2">
        <f>+(M12*26000)/0.829426</f>
        <v>141399956.1142284</v>
      </c>
      <c r="I12" s="2">
        <f>+G12-H12</f>
        <v>15400043.885771602</v>
      </c>
      <c r="J12" s="3">
        <v>2500000</v>
      </c>
      <c r="K12" s="3">
        <v>15430000</v>
      </c>
      <c r="L12" s="3">
        <v>15680000</v>
      </c>
      <c r="M12" s="3">
        <v>4510.8</v>
      </c>
      <c r="N12" s="3">
        <v>157800000</v>
      </c>
      <c r="O12" s="3">
        <v>159800000</v>
      </c>
      <c r="P12" s="5">
        <v>0</v>
      </c>
    </row>
    <row r="13" spans="1:16" x14ac:dyDescent="0.25">
      <c r="A13" s="4">
        <v>46357</v>
      </c>
      <c r="B13" s="4">
        <v>46034</v>
      </c>
      <c r="C13" s="1" t="str">
        <f>+"Tuần  "&amp;WEEKNUM(B13)</f>
        <v>Tuần  3</v>
      </c>
      <c r="D13" s="1" t="s">
        <v>20</v>
      </c>
      <c r="E13" s="1" t="s">
        <v>159</v>
      </c>
      <c r="F13" s="2">
        <v>156500000</v>
      </c>
      <c r="G13" s="2">
        <v>159000000</v>
      </c>
      <c r="H13" s="2">
        <f>+(M13*26000)/0.829426</f>
        <v>144907683.14472902</v>
      </c>
      <c r="I13" s="2">
        <f>+G13-H13</f>
        <v>14092316.855270982</v>
      </c>
      <c r="J13" s="3">
        <v>2500000</v>
      </c>
      <c r="K13" s="3">
        <v>15650000</v>
      </c>
      <c r="L13" s="3">
        <v>15900000</v>
      </c>
      <c r="M13" s="3">
        <v>4622.7</v>
      </c>
      <c r="N13" s="3">
        <v>160000000</v>
      </c>
      <c r="O13" s="3">
        <v>162000000</v>
      </c>
      <c r="P13" s="5">
        <v>0.95833333333333337</v>
      </c>
    </row>
    <row r="14" spans="1:16" x14ac:dyDescent="0.25">
      <c r="A14" s="1" t="s">
        <v>23</v>
      </c>
      <c r="B14" s="4">
        <v>46035</v>
      </c>
      <c r="C14" s="1" t="str">
        <f>+"Tuần  "&amp;WEEKNUM(B14)</f>
        <v>Tuần  3</v>
      </c>
      <c r="D14" s="1" t="s">
        <v>21</v>
      </c>
      <c r="E14" s="1" t="s">
        <v>159</v>
      </c>
      <c r="F14" s="2">
        <v>156500000</v>
      </c>
      <c r="G14" s="2">
        <v>159000000</v>
      </c>
      <c r="H14" s="2">
        <f>+(M14*26000)/0.829426</f>
        <v>144092661.67204791</v>
      </c>
      <c r="I14" s="2">
        <f>+G14-H14</f>
        <v>14907338.327952087</v>
      </c>
      <c r="J14" s="3">
        <v>2500000</v>
      </c>
      <c r="K14" s="3">
        <v>15650000</v>
      </c>
      <c r="L14" s="3">
        <v>15900000</v>
      </c>
      <c r="M14" s="3">
        <v>4596.7</v>
      </c>
      <c r="N14" s="3">
        <v>160000000</v>
      </c>
      <c r="O14" s="3">
        <v>162000000</v>
      </c>
      <c r="P14" s="5">
        <v>0.97916666666666663</v>
      </c>
    </row>
    <row r="15" spans="1:16" x14ac:dyDescent="0.25">
      <c r="A15" s="1" t="s">
        <v>24</v>
      </c>
      <c r="B15" s="4">
        <v>46036</v>
      </c>
      <c r="C15" s="1" t="str">
        <f>+"Tuần  "&amp;WEEKNUM(B15)</f>
        <v>Tuần  3</v>
      </c>
      <c r="D15" s="1" t="s">
        <v>22</v>
      </c>
      <c r="E15" s="1" t="s">
        <v>159</v>
      </c>
      <c r="F15" s="2">
        <v>157900000</v>
      </c>
      <c r="G15" s="2">
        <v>160400000</v>
      </c>
      <c r="H15" s="2">
        <f>+(M15*26000)/0.829426</f>
        <v>144892009.65486977</v>
      </c>
      <c r="I15" s="2">
        <f>+G15-H15</f>
        <v>15507990.345130235</v>
      </c>
      <c r="J15" s="3">
        <v>2500000</v>
      </c>
      <c r="K15" s="3">
        <v>15790000</v>
      </c>
      <c r="L15" s="3">
        <v>16040000</v>
      </c>
      <c r="M15" s="3">
        <v>4622.2</v>
      </c>
      <c r="N15" s="3">
        <v>161500000</v>
      </c>
      <c r="O15" s="3">
        <v>163500000</v>
      </c>
      <c r="P15" s="5">
        <v>0.97916666666666663</v>
      </c>
    </row>
    <row r="16" spans="1:16" x14ac:dyDescent="0.25">
      <c r="A16" s="1" t="s">
        <v>25</v>
      </c>
      <c r="B16" s="4">
        <v>46037</v>
      </c>
      <c r="C16" s="1" t="str">
        <f>+"Tuần  "&amp;WEEKNUM(B16)</f>
        <v>Tuần  3</v>
      </c>
      <c r="D16" s="1" t="s">
        <v>16</v>
      </c>
      <c r="E16" s="1" t="s">
        <v>159</v>
      </c>
      <c r="F16" s="2">
        <v>157200000</v>
      </c>
      <c r="G16" s="2">
        <v>159700000</v>
      </c>
      <c r="H16" s="2">
        <f>+(M16*26000)/0.829426</f>
        <v>144678850.19278392</v>
      </c>
      <c r="I16" s="2">
        <f>+G16-H16</f>
        <v>15021149.807216078</v>
      </c>
      <c r="J16" s="3">
        <v>2500000</v>
      </c>
      <c r="K16" s="3">
        <v>15720000</v>
      </c>
      <c r="L16" s="3">
        <v>15970000</v>
      </c>
      <c r="M16" s="3">
        <v>4615.3999999999996</v>
      </c>
      <c r="N16" s="3">
        <v>160800000</v>
      </c>
      <c r="O16" s="3">
        <v>162800000</v>
      </c>
      <c r="P16" s="5">
        <v>0.97916666666666663</v>
      </c>
    </row>
    <row r="17" spans="1:16" x14ac:dyDescent="0.25">
      <c r="A17" s="1" t="s">
        <v>26</v>
      </c>
      <c r="B17" s="4">
        <v>46038</v>
      </c>
      <c r="C17" s="1" t="str">
        <f>+"Tuần  "&amp;WEEKNUM(B17)</f>
        <v>Tuần  3</v>
      </c>
      <c r="D17" s="1" t="s">
        <v>17</v>
      </c>
      <c r="E17" s="1" t="s">
        <v>159</v>
      </c>
      <c r="F17" s="2">
        <v>157200000</v>
      </c>
      <c r="G17" s="2">
        <v>159700000</v>
      </c>
      <c r="H17" s="2">
        <f>+(M17*26000)/0.829426</f>
        <v>144017428.9207235</v>
      </c>
      <c r="I17" s="2">
        <f>+G17-H17</f>
        <v>15682571.079276502</v>
      </c>
      <c r="J17" s="3">
        <v>2500000</v>
      </c>
      <c r="K17" s="3">
        <v>15720000</v>
      </c>
      <c r="L17" s="3">
        <v>15970000</v>
      </c>
      <c r="M17" s="3">
        <v>4594.3</v>
      </c>
      <c r="N17" s="3">
        <v>160800000</v>
      </c>
      <c r="O17" s="3">
        <v>162800000</v>
      </c>
      <c r="P17" s="5">
        <v>0.97916666666666663</v>
      </c>
    </row>
    <row r="18" spans="1:16" x14ac:dyDescent="0.25">
      <c r="A18" s="1" t="s">
        <v>27</v>
      </c>
      <c r="B18" s="4">
        <v>46039</v>
      </c>
      <c r="C18" s="1" t="str">
        <f>+"Tuần  "&amp;WEEKNUM(B18)</f>
        <v>Tuần  3</v>
      </c>
      <c r="D18" s="1" t="s">
        <v>18</v>
      </c>
      <c r="E18" s="1" t="s">
        <v>159</v>
      </c>
      <c r="F18" s="2">
        <v>157200000</v>
      </c>
      <c r="G18" s="2">
        <v>159700000</v>
      </c>
      <c r="H18" s="2">
        <f>+(M18*26000)/0.829426</f>
        <v>144133412.74568194</v>
      </c>
      <c r="I18" s="2">
        <f>+G18-H18</f>
        <v>15566587.254318058</v>
      </c>
      <c r="J18" s="3">
        <v>2500000</v>
      </c>
      <c r="K18" s="3">
        <v>15720000</v>
      </c>
      <c r="L18" s="3">
        <v>15970000</v>
      </c>
      <c r="M18" s="3">
        <v>4598</v>
      </c>
      <c r="N18" s="3">
        <v>160800000</v>
      </c>
      <c r="O18" s="3">
        <v>162800000</v>
      </c>
      <c r="P18" s="5">
        <v>0.22916666666666666</v>
      </c>
    </row>
    <row r="19" spans="1:16" x14ac:dyDescent="0.25">
      <c r="A19" s="1" t="s">
        <v>28</v>
      </c>
      <c r="B19" s="4">
        <v>46040</v>
      </c>
      <c r="C19" s="1" t="str">
        <f>+"Tuần  "&amp;WEEKNUM(B19)</f>
        <v>Tuần  4</v>
      </c>
      <c r="D19" s="1" t="s">
        <v>19</v>
      </c>
      <c r="E19" s="1" t="s">
        <v>159</v>
      </c>
      <c r="F19" s="2">
        <v>157200000</v>
      </c>
      <c r="G19" s="2">
        <v>159700000</v>
      </c>
      <c r="H19" s="2">
        <f>+(M19*26000)/0.829426</f>
        <v>144133412.74568194</v>
      </c>
      <c r="I19" s="2">
        <f>+G19-H19</f>
        <v>15566587.254318058</v>
      </c>
      <c r="J19" s="3">
        <v>2500000</v>
      </c>
      <c r="K19" s="3">
        <v>15720000</v>
      </c>
      <c r="L19" s="3">
        <v>15970000</v>
      </c>
      <c r="M19" s="3">
        <v>4598</v>
      </c>
      <c r="N19" s="3">
        <v>160800000</v>
      </c>
      <c r="O19" s="3">
        <v>162800000</v>
      </c>
      <c r="P19" s="5">
        <v>0</v>
      </c>
    </row>
    <row r="20" spans="1:16" x14ac:dyDescent="0.25">
      <c r="A20" s="1" t="s">
        <v>29</v>
      </c>
      <c r="B20" s="4">
        <v>46041</v>
      </c>
      <c r="C20" s="1" t="str">
        <f>+"Tuần  "&amp;WEEKNUM(B20)</f>
        <v>Tuần  4</v>
      </c>
      <c r="D20" s="1" t="s">
        <v>20</v>
      </c>
      <c r="E20" s="1" t="s">
        <v>159</v>
      </c>
      <c r="F20" s="2">
        <v>159700000</v>
      </c>
      <c r="G20" s="2">
        <v>162200000</v>
      </c>
      <c r="H20" s="2">
        <f>+(M20*26000)/0.829426</f>
        <v>146481301.52659789</v>
      </c>
      <c r="I20" s="2">
        <f>+G20-H20</f>
        <v>15718698.473402113</v>
      </c>
      <c r="J20" s="3">
        <v>2500000</v>
      </c>
      <c r="K20" s="3">
        <v>15970000</v>
      </c>
      <c r="L20" s="3">
        <v>16220000</v>
      </c>
      <c r="M20" s="3">
        <v>4672.8999999999996</v>
      </c>
      <c r="N20" s="3">
        <v>163000000</v>
      </c>
      <c r="O20" s="3">
        <v>165000000</v>
      </c>
      <c r="P20" s="5">
        <v>0.97916666666666663</v>
      </c>
    </row>
    <row r="21" spans="1:16" x14ac:dyDescent="0.25">
      <c r="A21" s="1" t="s">
        <v>30</v>
      </c>
      <c r="B21" s="4">
        <v>46042</v>
      </c>
      <c r="C21" s="1" t="str">
        <f>+"Tuần  "&amp;WEEKNUM(B21)</f>
        <v>Tuần  4</v>
      </c>
      <c r="D21" s="1" t="s">
        <v>21</v>
      </c>
      <c r="E21" s="1" t="s">
        <v>159</v>
      </c>
      <c r="F21" s="2">
        <v>161000000</v>
      </c>
      <c r="G21" s="2">
        <v>163500000</v>
      </c>
      <c r="H21" s="2">
        <f>+(M21*26000)/0.829426</f>
        <v>148688128.89878061</v>
      </c>
      <c r="I21" s="2">
        <f>+G21-H21</f>
        <v>14811871.101219386</v>
      </c>
      <c r="J21" s="3">
        <v>2500000</v>
      </c>
      <c r="K21" s="3">
        <v>16100000</v>
      </c>
      <c r="L21" s="3">
        <v>16350000</v>
      </c>
      <c r="M21" s="3">
        <v>4743.3</v>
      </c>
      <c r="N21" s="3">
        <v>164100000</v>
      </c>
      <c r="O21" s="3">
        <v>166100000</v>
      </c>
      <c r="P21" s="5">
        <v>0.97916666666666663</v>
      </c>
    </row>
    <row r="22" spans="1:16" x14ac:dyDescent="0.25">
      <c r="A22" s="1" t="s">
        <v>31</v>
      </c>
      <c r="B22" s="4">
        <v>46043</v>
      </c>
      <c r="C22" s="1" t="str">
        <f>+"Tuần  "&amp;WEEKNUM(B22)</f>
        <v>Tuần  4</v>
      </c>
      <c r="D22" s="1" t="s">
        <v>22</v>
      </c>
      <c r="E22" s="1" t="s">
        <v>159</v>
      </c>
      <c r="F22" s="2">
        <v>165900000</v>
      </c>
      <c r="G22" s="2">
        <v>168400000</v>
      </c>
      <c r="H22" s="2">
        <f>+(M22*26000)/0.829426</f>
        <v>151694304.25378516</v>
      </c>
      <c r="I22" s="2">
        <f>+G22-H22</f>
        <v>16705695.746214837</v>
      </c>
      <c r="J22" s="3">
        <v>2500000</v>
      </c>
      <c r="K22" s="3">
        <v>16590000</v>
      </c>
      <c r="L22" s="3">
        <v>16840000</v>
      </c>
      <c r="M22" s="3">
        <v>4839.2</v>
      </c>
      <c r="N22" s="3">
        <v>168500000</v>
      </c>
      <c r="O22" s="3">
        <v>170500000</v>
      </c>
      <c r="P22" s="5">
        <v>0.97916666666666663</v>
      </c>
    </row>
    <row r="23" spans="1:16" x14ac:dyDescent="0.25">
      <c r="A23" s="1" t="s">
        <v>32</v>
      </c>
      <c r="B23" s="4">
        <v>46044</v>
      </c>
      <c r="C23" s="1" t="str">
        <f>+"Tuần  "&amp;WEEKNUM(B23)</f>
        <v>Tuần  4</v>
      </c>
      <c r="D23" s="1" t="s">
        <v>16</v>
      </c>
      <c r="E23" s="1" t="s">
        <v>159</v>
      </c>
      <c r="F23" s="2">
        <v>165200000</v>
      </c>
      <c r="G23" s="2">
        <v>167700000</v>
      </c>
      <c r="H23" s="2">
        <f>+(M23*26000)/0.829426</f>
        <v>152948183.44252533</v>
      </c>
      <c r="I23" s="2">
        <f>+G23-H23</f>
        <v>14751816.557474673</v>
      </c>
      <c r="J23" s="3">
        <v>2500000</v>
      </c>
      <c r="K23" s="3">
        <v>16520000</v>
      </c>
      <c r="L23" s="3">
        <v>16770000</v>
      </c>
      <c r="M23" s="3">
        <v>4879.2</v>
      </c>
      <c r="N23" s="3">
        <v>167300000</v>
      </c>
      <c r="O23" s="3">
        <v>169300000</v>
      </c>
      <c r="P23" s="5">
        <v>0.97916666666666663</v>
      </c>
    </row>
    <row r="24" spans="1:16" x14ac:dyDescent="0.25">
      <c r="A24" s="1" t="s">
        <v>33</v>
      </c>
      <c r="B24" s="4">
        <v>46045</v>
      </c>
      <c r="C24" s="1" t="str">
        <f>+"Tuần  "&amp;WEEKNUM(B24)</f>
        <v>Tuần  4</v>
      </c>
      <c r="D24" s="1" t="s">
        <v>17</v>
      </c>
      <c r="E24" s="1" t="s">
        <v>159</v>
      </c>
      <c r="F24" s="2">
        <v>168300000</v>
      </c>
      <c r="G24" s="2">
        <v>170800000</v>
      </c>
      <c r="H24" s="2">
        <f>+(M24*26000)/0.829426</f>
        <v>156321118.46023637</v>
      </c>
      <c r="I24" s="2">
        <f>+G24-H24</f>
        <v>14478881.539763629</v>
      </c>
      <c r="J24" s="3">
        <v>2500000</v>
      </c>
      <c r="K24" s="3">
        <v>16830000</v>
      </c>
      <c r="L24" s="3">
        <v>17080000</v>
      </c>
      <c r="M24" s="3">
        <v>4986.8</v>
      </c>
      <c r="N24" s="3">
        <v>170200000</v>
      </c>
      <c r="O24" s="3">
        <v>172200000</v>
      </c>
      <c r="P24" s="5">
        <v>0.97916666666666663</v>
      </c>
    </row>
    <row r="25" spans="1:16" x14ac:dyDescent="0.25">
      <c r="A25" s="1" t="s">
        <v>34</v>
      </c>
      <c r="B25" s="4">
        <v>46046</v>
      </c>
      <c r="C25" s="1" t="str">
        <f>+"Tuần  "&amp;WEEKNUM(B25)</f>
        <v>Tuần  4</v>
      </c>
      <c r="D25" s="1" t="s">
        <v>18</v>
      </c>
      <c r="E25" s="1" t="s">
        <v>159</v>
      </c>
      <c r="F25" s="2">
        <v>170500000</v>
      </c>
      <c r="G25" s="2">
        <v>173000000</v>
      </c>
      <c r="H25" s="2">
        <f>+(M25*26000)/0.829426</f>
        <v>156267828.59471491</v>
      </c>
      <c r="I25" s="2">
        <f>+G25-H25</f>
        <v>16732171.40528509</v>
      </c>
      <c r="J25" s="3">
        <v>2500000</v>
      </c>
      <c r="K25" s="3">
        <v>17050000</v>
      </c>
      <c r="L25" s="3">
        <v>17300000</v>
      </c>
      <c r="M25" s="3">
        <v>4985.1000000000004</v>
      </c>
      <c r="N25" s="3">
        <v>172300000</v>
      </c>
      <c r="O25" s="3">
        <v>174300000</v>
      </c>
      <c r="P25" s="5">
        <v>0.39583333333333331</v>
      </c>
    </row>
    <row r="26" spans="1:16" x14ac:dyDescent="0.25">
      <c r="A26" s="1" t="s">
        <v>35</v>
      </c>
      <c r="B26" s="4">
        <v>46047</v>
      </c>
      <c r="C26" s="1" t="str">
        <f>+"Tuần  "&amp;WEEKNUM(B26)</f>
        <v>Tuần  5</v>
      </c>
      <c r="D26" s="1" t="s">
        <v>19</v>
      </c>
      <c r="E26" s="1" t="s">
        <v>159</v>
      </c>
      <c r="F26" s="2">
        <v>170500000</v>
      </c>
      <c r="G26" s="2">
        <v>173000000</v>
      </c>
      <c r="H26" s="2">
        <f>+(M26*26000)/0.829426</f>
        <v>156267828.59471491</v>
      </c>
      <c r="I26" s="2">
        <f>+G26-H26</f>
        <v>16732171.40528509</v>
      </c>
      <c r="J26" s="3">
        <v>2500000</v>
      </c>
      <c r="K26" s="3">
        <v>17050000</v>
      </c>
      <c r="L26" s="3">
        <v>17300000</v>
      </c>
      <c r="M26" s="3">
        <v>4985.1000000000004</v>
      </c>
      <c r="N26" s="3">
        <v>172300000</v>
      </c>
      <c r="O26" s="3">
        <v>174300000</v>
      </c>
      <c r="P26" s="5">
        <v>0</v>
      </c>
    </row>
    <row r="27" spans="1:16" x14ac:dyDescent="0.25">
      <c r="A27" s="1" t="s">
        <v>36</v>
      </c>
      <c r="B27" s="4">
        <v>46048</v>
      </c>
      <c r="C27" s="1" t="str">
        <f>+"Tuần  "&amp;WEEKNUM(B27)</f>
        <v>Tuần  5</v>
      </c>
      <c r="D27" s="1" t="s">
        <v>20</v>
      </c>
      <c r="E27" s="1" t="s">
        <v>159</v>
      </c>
      <c r="F27" s="2">
        <v>173500000</v>
      </c>
      <c r="G27" s="2">
        <v>176000000</v>
      </c>
      <c r="H27" s="2">
        <f>+(M27*26000)/0.829426</f>
        <v>159352371.39901569</v>
      </c>
      <c r="I27" s="2">
        <f>+G27-H27</f>
        <v>16647628.600984305</v>
      </c>
      <c r="J27" s="3">
        <v>2500000</v>
      </c>
      <c r="K27" s="3">
        <v>17350000</v>
      </c>
      <c r="L27" s="3">
        <v>17600000</v>
      </c>
      <c r="M27" s="3">
        <v>5083.5</v>
      </c>
      <c r="N27" s="3">
        <v>175000000</v>
      </c>
      <c r="O27" s="3">
        <v>177000000</v>
      </c>
      <c r="P27" s="5">
        <v>0.97916666666666663</v>
      </c>
    </row>
    <row r="28" spans="1:16" x14ac:dyDescent="0.25">
      <c r="A28" s="1" t="s">
        <v>37</v>
      </c>
      <c r="B28" s="4">
        <v>46049</v>
      </c>
      <c r="C28" s="1" t="str">
        <f>+"Tuần  "&amp;WEEKNUM(B28)</f>
        <v>Tuần  5</v>
      </c>
      <c r="D28" s="1" t="s">
        <v>21</v>
      </c>
      <c r="E28" s="1" t="s">
        <v>159</v>
      </c>
      <c r="F28" s="2">
        <v>174100000</v>
      </c>
      <c r="G28" s="2">
        <v>176600000</v>
      </c>
      <c r="H28" s="2">
        <f>+(M28*26000)/0.829426</f>
        <v>159759882.13535625</v>
      </c>
      <c r="I28" s="2">
        <f>+G28-H28</f>
        <v>16840117.864643753</v>
      </c>
      <c r="J28" s="3">
        <v>2500000</v>
      </c>
      <c r="K28" s="3">
        <v>17410000</v>
      </c>
      <c r="L28" s="3">
        <v>17660000</v>
      </c>
      <c r="M28" s="3">
        <v>5096.5</v>
      </c>
      <c r="N28" s="3">
        <v>175300000</v>
      </c>
      <c r="O28" s="3">
        <v>177300000</v>
      </c>
      <c r="P28" s="5">
        <v>0.97916666666666663</v>
      </c>
    </row>
    <row r="29" spans="1:16" x14ac:dyDescent="0.25">
      <c r="A29" s="1" t="s">
        <v>38</v>
      </c>
      <c r="B29" s="4">
        <v>46050</v>
      </c>
      <c r="C29" s="1" t="str">
        <f>+"Tuần  "&amp;WEEKNUM(B29)</f>
        <v>Tuần  5</v>
      </c>
      <c r="D29" s="1" t="s">
        <v>22</v>
      </c>
      <c r="E29" s="1" t="s">
        <v>159</v>
      </c>
      <c r="F29" s="2">
        <v>180700000</v>
      </c>
      <c r="G29" s="2">
        <v>183700000</v>
      </c>
      <c r="H29" s="2">
        <f>+(M29*26000)/0.829426</f>
        <v>165762828.75144979</v>
      </c>
      <c r="I29" s="2">
        <f>+G29-H29</f>
        <v>17937171.248550206</v>
      </c>
      <c r="J29" s="3">
        <v>3000000</v>
      </c>
      <c r="K29" s="3">
        <v>18070000</v>
      </c>
      <c r="L29" s="3">
        <v>18370000</v>
      </c>
      <c r="M29" s="3">
        <v>5288</v>
      </c>
      <c r="N29" s="3">
        <v>181700000</v>
      </c>
      <c r="O29" s="3">
        <v>184200000</v>
      </c>
      <c r="P29" s="5">
        <v>0.97916666666666663</v>
      </c>
    </row>
    <row r="30" spans="1:16" x14ac:dyDescent="0.25">
      <c r="A30" s="1" t="s">
        <v>39</v>
      </c>
      <c r="B30" s="4">
        <v>46051</v>
      </c>
      <c r="C30" s="1" t="str">
        <f>+"Tuần  "&amp;WEEKNUM(B30)</f>
        <v>Tuần  5</v>
      </c>
      <c r="D30" s="1" t="s">
        <v>16</v>
      </c>
      <c r="E30" s="1" t="s">
        <v>159</v>
      </c>
      <c r="F30" s="2">
        <v>186300000</v>
      </c>
      <c r="G30" s="2">
        <v>189300000</v>
      </c>
      <c r="H30" s="2">
        <f>+(M30*26000)/0.829426</f>
        <v>165853734.99263346</v>
      </c>
      <c r="I30" s="2">
        <f>+G30-H30</f>
        <v>23446265.007366538</v>
      </c>
      <c r="J30" s="3">
        <v>3000000</v>
      </c>
      <c r="K30" s="3">
        <v>18630000</v>
      </c>
      <c r="L30" s="3">
        <v>18930000</v>
      </c>
      <c r="M30" s="3">
        <v>5290.9</v>
      </c>
      <c r="N30" s="3">
        <v>186600000</v>
      </c>
      <c r="O30" s="3">
        <v>189600000</v>
      </c>
      <c r="P30" s="5">
        <v>0.97916666666666663</v>
      </c>
    </row>
    <row r="31" spans="1:16" x14ac:dyDescent="0.25">
      <c r="A31" s="1" t="s">
        <v>40</v>
      </c>
      <c r="B31" s="4">
        <v>46052</v>
      </c>
      <c r="C31" s="1" t="str">
        <f>+"Tuần  "&amp;WEEKNUM(B31)</f>
        <v>Tuần  5</v>
      </c>
      <c r="D31" s="1" t="s">
        <v>17</v>
      </c>
      <c r="E31" s="1" t="s">
        <v>159</v>
      </c>
      <c r="F31" s="2">
        <v>177000000</v>
      </c>
      <c r="G31" s="2">
        <v>180000000</v>
      </c>
      <c r="H31" s="2">
        <f>+(M31*26000)/0.829426</f>
        <v>156794457.85398576</v>
      </c>
      <c r="I31" s="2">
        <f>+G31-H31</f>
        <v>23205542.146014243</v>
      </c>
      <c r="J31" s="3">
        <v>3000000</v>
      </c>
      <c r="K31" s="3">
        <v>17700000</v>
      </c>
      <c r="L31" s="3">
        <v>18000000</v>
      </c>
      <c r="M31" s="3">
        <v>5001.8999999999996</v>
      </c>
      <c r="N31" s="3">
        <v>178000000</v>
      </c>
      <c r="O31" s="3">
        <v>181000000</v>
      </c>
      <c r="P31" s="5">
        <v>0.97916666666666663</v>
      </c>
    </row>
    <row r="32" spans="1:16" x14ac:dyDescent="0.25">
      <c r="A32" s="1" t="s">
        <v>41</v>
      </c>
      <c r="B32" s="4">
        <v>46053</v>
      </c>
      <c r="C32" s="1" t="str">
        <f>+"Tuần  "&amp;WEEKNUM(B32)</f>
        <v>Tuần  5</v>
      </c>
      <c r="D32" s="1" t="s">
        <v>18</v>
      </c>
      <c r="E32" s="1" t="s">
        <v>159</v>
      </c>
      <c r="F32" s="2">
        <v>168000000</v>
      </c>
      <c r="G32" s="2">
        <v>171000000</v>
      </c>
      <c r="H32" s="2">
        <f>+(M32*26000)/0.829426</f>
        <v>153330616.59509104</v>
      </c>
      <c r="I32" s="2">
        <f>+G32-H32</f>
        <v>17669383.404908955</v>
      </c>
      <c r="J32" s="3">
        <v>3000000</v>
      </c>
      <c r="K32" s="3">
        <v>16800000</v>
      </c>
      <c r="L32" s="3">
        <v>17100000</v>
      </c>
      <c r="M32" s="3">
        <v>4891.3999999999996</v>
      </c>
      <c r="N32" s="3">
        <v>169000000</v>
      </c>
      <c r="O32" s="3">
        <v>172000000</v>
      </c>
      <c r="P32" s="5">
        <v>0.39583333333333331</v>
      </c>
    </row>
    <row r="33" spans="1:16" x14ac:dyDescent="0.25">
      <c r="A33" s="4">
        <v>46024</v>
      </c>
      <c r="B33" s="4">
        <v>46054</v>
      </c>
      <c r="C33" s="1" t="str">
        <f>+"Tuần  "&amp;WEEKNUM(B33)</f>
        <v>Tuần  6</v>
      </c>
      <c r="D33" s="1" t="s">
        <v>19</v>
      </c>
      <c r="E33" s="1" t="s">
        <v>159</v>
      </c>
      <c r="F33" s="2">
        <v>168000000</v>
      </c>
      <c r="G33" s="2">
        <v>171000000</v>
      </c>
      <c r="H33" s="2">
        <f>+(M33*26000)/0.829426</f>
        <v>153330616.59509104</v>
      </c>
      <c r="I33" s="2">
        <f>+G33-H33</f>
        <v>17669383.404908955</v>
      </c>
      <c r="J33" s="3">
        <v>3000000</v>
      </c>
      <c r="K33" s="3">
        <v>16800000</v>
      </c>
      <c r="L33" s="3">
        <v>17100000</v>
      </c>
      <c r="M33" s="3">
        <v>4891.3999999999996</v>
      </c>
      <c r="N33" s="3">
        <v>169000000</v>
      </c>
      <c r="O33" s="3">
        <v>172000000</v>
      </c>
      <c r="P33" s="5">
        <v>0.375</v>
      </c>
    </row>
    <row r="34" spans="1:16" x14ac:dyDescent="0.25">
      <c r="A34" s="4">
        <v>46055</v>
      </c>
      <c r="B34" s="4">
        <v>46055</v>
      </c>
      <c r="C34" s="1" t="str">
        <f>+"Tuần  "&amp;WEEKNUM(B34)</f>
        <v>Tuần  6</v>
      </c>
      <c r="D34" s="1" t="s">
        <v>20</v>
      </c>
      <c r="E34" s="1" t="s">
        <v>159</v>
      </c>
      <c r="F34" s="2">
        <v>162500000</v>
      </c>
      <c r="G34" s="2">
        <v>165500000</v>
      </c>
      <c r="H34" s="2">
        <f>+(M34*26000)/0.829426</f>
        <v>146308893.13814613</v>
      </c>
      <c r="I34" s="2">
        <f>+G34-H34</f>
        <v>19191106.861853868</v>
      </c>
      <c r="J34" s="3">
        <v>3000000</v>
      </c>
      <c r="K34" s="3">
        <v>16250000</v>
      </c>
      <c r="L34" s="3">
        <v>16550000</v>
      </c>
      <c r="M34" s="3">
        <v>4667.3999999999996</v>
      </c>
      <c r="N34" s="3">
        <v>163000000</v>
      </c>
      <c r="O34" s="3">
        <v>166000000</v>
      </c>
      <c r="P34" s="5">
        <v>0.97916666666666663</v>
      </c>
    </row>
    <row r="35" spans="1:16" x14ac:dyDescent="0.25">
      <c r="A35" s="4">
        <v>46083</v>
      </c>
      <c r="B35" s="4">
        <v>46056</v>
      </c>
      <c r="C35" s="1" t="str">
        <f>+"Tuần  "&amp;WEEKNUM(B35)</f>
        <v>Tuần  6</v>
      </c>
      <c r="D35" s="1" t="s">
        <v>21</v>
      </c>
      <c r="E35" s="1" t="s">
        <v>159</v>
      </c>
      <c r="F35" s="2">
        <v>171500000</v>
      </c>
      <c r="G35" s="2">
        <v>174500000</v>
      </c>
      <c r="H35" s="2">
        <f>+(M35*26000)/0.829426</f>
        <v>156089150.81031939</v>
      </c>
      <c r="I35" s="2">
        <f>+G35-H35</f>
        <v>18410849.189680606</v>
      </c>
      <c r="J35" s="3">
        <v>3000000</v>
      </c>
      <c r="K35" s="3">
        <v>17150000</v>
      </c>
      <c r="L35" s="3">
        <v>17450000</v>
      </c>
      <c r="M35" s="3">
        <v>4979.3999999999996</v>
      </c>
      <c r="N35" s="3">
        <v>173500000</v>
      </c>
      <c r="O35" s="3">
        <v>176500000</v>
      </c>
      <c r="P35" s="5">
        <v>0.97916666666666663</v>
      </c>
    </row>
    <row r="36" spans="1:16" x14ac:dyDescent="0.25">
      <c r="A36" s="4">
        <v>46114</v>
      </c>
      <c r="B36" s="4">
        <v>46057</v>
      </c>
      <c r="C36" s="1" t="str">
        <f>+"Tuần  "&amp;WEEKNUM(B36)</f>
        <v>Tuần  6</v>
      </c>
      <c r="D36" s="1" t="s">
        <v>22</v>
      </c>
      <c r="E36" s="1" t="s">
        <v>159</v>
      </c>
      <c r="F36" s="2">
        <v>176700000</v>
      </c>
      <c r="G36" s="2">
        <v>179700000</v>
      </c>
      <c r="H36" s="2">
        <f>+(M36*26000)/0.829426</f>
        <v>154308642.36230841</v>
      </c>
      <c r="I36" s="2">
        <f>+G36-H36</f>
        <v>25391357.637691587</v>
      </c>
      <c r="J36" s="3">
        <v>3000000</v>
      </c>
      <c r="K36" s="3">
        <v>17670000</v>
      </c>
      <c r="L36" s="3">
        <v>17970000</v>
      </c>
      <c r="M36" s="3">
        <v>4922.6000000000004</v>
      </c>
      <c r="N36" s="3">
        <v>177200000</v>
      </c>
      <c r="O36" s="3">
        <v>180200000</v>
      </c>
      <c r="P36" s="5">
        <v>0.97916666666666663</v>
      </c>
    </row>
    <row r="37" spans="1:16" x14ac:dyDescent="0.25">
      <c r="A37" s="4">
        <v>46144</v>
      </c>
      <c r="B37" s="4">
        <v>46058</v>
      </c>
      <c r="C37" s="1" t="str">
        <f>+"Tuần  "&amp;WEEKNUM(B37)</f>
        <v>Tuần  6</v>
      </c>
      <c r="D37" s="1" t="s">
        <v>16</v>
      </c>
      <c r="E37" s="1" t="s">
        <v>159</v>
      </c>
      <c r="F37" s="2">
        <v>171500000</v>
      </c>
      <c r="G37" s="2">
        <v>174500000</v>
      </c>
      <c r="H37" s="2">
        <f>+(M37*26000)/0.829426</f>
        <v>152211529.41914046</v>
      </c>
      <c r="I37" s="2">
        <f>+G37-H37</f>
        <v>22288470.580859542</v>
      </c>
      <c r="J37" s="3">
        <v>3000000</v>
      </c>
      <c r="K37" s="3">
        <v>17150000</v>
      </c>
      <c r="L37" s="3">
        <v>17450000</v>
      </c>
      <c r="M37" s="3">
        <v>4855.7</v>
      </c>
      <c r="N37" s="3">
        <v>174200000</v>
      </c>
      <c r="O37" s="3">
        <v>177200000</v>
      </c>
      <c r="P37" s="5">
        <v>0.97916666666666663</v>
      </c>
    </row>
    <row r="38" spans="1:16" x14ac:dyDescent="0.25">
      <c r="A38" s="4">
        <v>46175</v>
      </c>
      <c r="B38" s="4">
        <v>46059</v>
      </c>
      <c r="C38" s="1" t="str">
        <f>+"Tuần  "&amp;WEEKNUM(B38)</f>
        <v>Tuần  6</v>
      </c>
      <c r="D38" s="1" t="s">
        <v>17</v>
      </c>
      <c r="E38" s="1" t="s">
        <v>159</v>
      </c>
      <c r="F38" s="2">
        <v>173000000</v>
      </c>
      <c r="G38" s="2">
        <v>176000000</v>
      </c>
      <c r="H38" s="2">
        <f>+(M38*26000)/0.829426</f>
        <v>154835271.62157923</v>
      </c>
      <c r="I38" s="2">
        <f>+G38-H38</f>
        <v>21164728.37842077</v>
      </c>
      <c r="J38" s="3">
        <v>3000000</v>
      </c>
      <c r="K38" s="3">
        <v>17300000</v>
      </c>
      <c r="L38" s="3">
        <v>17600000</v>
      </c>
      <c r="M38" s="3">
        <v>4939.3999999999996</v>
      </c>
      <c r="N38" s="3">
        <v>173500000</v>
      </c>
      <c r="O38" s="3">
        <v>176500000</v>
      </c>
      <c r="P38" s="5">
        <v>0.97916666666666663</v>
      </c>
    </row>
    <row r="39" spans="1:16" x14ac:dyDescent="0.25">
      <c r="A39" s="4">
        <v>46205</v>
      </c>
      <c r="B39" s="4">
        <v>46060</v>
      </c>
      <c r="C39" s="1" t="str">
        <f>+"Tuần  "&amp;WEEKNUM(B39)</f>
        <v>Tuần  6</v>
      </c>
      <c r="D39" s="1" t="s">
        <v>18</v>
      </c>
      <c r="E39" s="1" t="s">
        <v>159</v>
      </c>
      <c r="F39" s="2">
        <v>175800000</v>
      </c>
      <c r="G39" s="2">
        <v>178800000</v>
      </c>
      <c r="H39" s="2">
        <f>+(M39*26000)/0.829426</f>
        <v>155731795.24152848</v>
      </c>
      <c r="I39" s="2">
        <f>+G39-H39</f>
        <v>23068204.758471519</v>
      </c>
      <c r="J39" s="3">
        <v>3000000</v>
      </c>
      <c r="K39" s="3">
        <v>17580000</v>
      </c>
      <c r="L39" s="3">
        <v>17880000</v>
      </c>
      <c r="M39" s="3">
        <v>4968</v>
      </c>
      <c r="N39" s="3">
        <v>176300000</v>
      </c>
      <c r="O39" s="3">
        <v>179300000</v>
      </c>
      <c r="P39" s="5">
        <v>0.39583333333333331</v>
      </c>
    </row>
    <row r="40" spans="1:16" x14ac:dyDescent="0.25">
      <c r="A40" s="4">
        <v>46236</v>
      </c>
      <c r="B40" s="4">
        <v>46061</v>
      </c>
      <c r="C40" s="1" t="str">
        <f>+"Tuần  "&amp;WEEKNUM(B40)</f>
        <v>Tuần  7</v>
      </c>
      <c r="D40" s="1" t="s">
        <v>19</v>
      </c>
      <c r="E40" s="1" t="s">
        <v>159</v>
      </c>
      <c r="F40" s="2">
        <v>175800000</v>
      </c>
      <c r="G40" s="2">
        <v>178800000</v>
      </c>
      <c r="H40" s="2">
        <f>+(M40*26000)/0.829426</f>
        <v>155731795.24152848</v>
      </c>
      <c r="I40" s="2">
        <f>+G40-H40</f>
        <v>23068204.758471519</v>
      </c>
      <c r="J40" s="3">
        <v>3000000</v>
      </c>
      <c r="K40" s="3">
        <v>17580000</v>
      </c>
      <c r="L40" s="3">
        <v>17880000</v>
      </c>
      <c r="M40" s="3">
        <v>4968</v>
      </c>
      <c r="N40" s="3">
        <v>176300000</v>
      </c>
      <c r="O40" s="3">
        <v>179300000</v>
      </c>
      <c r="P40" s="5">
        <v>0</v>
      </c>
    </row>
    <row r="41" spans="1:16" x14ac:dyDescent="0.25">
      <c r="A41" s="4">
        <v>46267</v>
      </c>
      <c r="B41" s="4">
        <v>46062</v>
      </c>
      <c r="C41" s="1" t="str">
        <f>+"Tuần  "&amp;WEEKNUM(B41)</f>
        <v>Tuần  7</v>
      </c>
      <c r="D41" s="1" t="s">
        <v>20</v>
      </c>
      <c r="E41" s="1" t="s">
        <v>159</v>
      </c>
      <c r="F41" s="2">
        <v>176900000</v>
      </c>
      <c r="G41" s="2">
        <v>179900000</v>
      </c>
      <c r="H41" s="2">
        <f>+(M41*26000)/0.829426</f>
        <v>159085922.07140842</v>
      </c>
      <c r="I41" s="2">
        <f>+G41-H41</f>
        <v>20814077.928591579</v>
      </c>
      <c r="J41" s="3">
        <v>3000000</v>
      </c>
      <c r="K41" s="3">
        <v>17690000</v>
      </c>
      <c r="L41" s="3">
        <v>17990000</v>
      </c>
      <c r="M41" s="3">
        <v>5075</v>
      </c>
      <c r="N41" s="3">
        <v>177400000</v>
      </c>
      <c r="O41" s="3">
        <v>180400000</v>
      </c>
      <c r="P41" s="5">
        <v>0.97916666666666663</v>
      </c>
    </row>
    <row r="42" spans="1:16" x14ac:dyDescent="0.25">
      <c r="A42" s="4">
        <v>46297</v>
      </c>
      <c r="B42" s="4">
        <v>46063</v>
      </c>
      <c r="C42" s="1" t="str">
        <f>+"Tuần  "&amp;WEEKNUM(B42)</f>
        <v>Tuần  7</v>
      </c>
      <c r="D42" s="1" t="s">
        <v>21</v>
      </c>
      <c r="E42" s="1" t="s">
        <v>159</v>
      </c>
      <c r="F42" s="2">
        <v>177500000</v>
      </c>
      <c r="G42" s="2">
        <v>180500000</v>
      </c>
      <c r="H42" s="2">
        <f>+(M42*26000)/0.829426</f>
        <v>157302278.92542556</v>
      </c>
      <c r="I42" s="2">
        <f>+G42-H42</f>
        <v>23197721.074574441</v>
      </c>
      <c r="J42" s="3">
        <v>3000000</v>
      </c>
      <c r="K42" s="3">
        <v>17750000</v>
      </c>
      <c r="L42" s="3">
        <v>18050000</v>
      </c>
      <c r="M42" s="3">
        <v>5018.1000000000004</v>
      </c>
      <c r="N42" s="3">
        <v>178000000</v>
      </c>
      <c r="O42" s="3">
        <v>181000000</v>
      </c>
      <c r="P42" s="5">
        <v>0.97916666666666663</v>
      </c>
    </row>
    <row r="43" spans="1:16" x14ac:dyDescent="0.25">
      <c r="A43" s="4">
        <v>46328</v>
      </c>
      <c r="B43" s="4">
        <v>46064</v>
      </c>
      <c r="C43" s="1" t="str">
        <f>+"Tuần  "&amp;WEEKNUM(B43)</f>
        <v>Tuần  7</v>
      </c>
      <c r="D43" s="1" t="s">
        <v>22</v>
      </c>
      <c r="E43" s="1" t="s">
        <v>159</v>
      </c>
      <c r="F43" s="2">
        <v>177500000</v>
      </c>
      <c r="G43" s="2">
        <v>180500000</v>
      </c>
      <c r="H43" s="2">
        <f>+(M43*26000)/0.829426</f>
        <v>158656468.44926491</v>
      </c>
      <c r="I43" s="2">
        <f>+G43-H43</f>
        <v>21843531.550735086</v>
      </c>
      <c r="J43" s="3">
        <v>3000000</v>
      </c>
      <c r="K43" s="3">
        <v>17750000</v>
      </c>
      <c r="L43" s="3">
        <v>18050000</v>
      </c>
      <c r="M43" s="3">
        <v>5061.3</v>
      </c>
      <c r="N43" s="3">
        <v>178000000</v>
      </c>
      <c r="O43" s="3">
        <v>181000000</v>
      </c>
      <c r="P43" s="5">
        <v>0.97916666666666663</v>
      </c>
    </row>
    <row r="44" spans="1:16" x14ac:dyDescent="0.25">
      <c r="A44" s="4">
        <v>46358</v>
      </c>
      <c r="B44" s="4">
        <v>46065</v>
      </c>
      <c r="C44" s="1" t="str">
        <f>+"Tuần  "&amp;WEEKNUM(B44)</f>
        <v>Tuần  7</v>
      </c>
      <c r="D44" s="1" t="s">
        <v>16</v>
      </c>
      <c r="E44" s="1" t="s">
        <v>159</v>
      </c>
      <c r="F44" s="2">
        <v>177500000</v>
      </c>
      <c r="G44" s="2">
        <v>180500000</v>
      </c>
      <c r="H44" s="2">
        <f>+(M44*26000)/0.829426</f>
        <v>153129995.92489263</v>
      </c>
      <c r="I44" s="2">
        <f>+G44-H44</f>
        <v>27370004.075107366</v>
      </c>
      <c r="J44" s="3">
        <v>3000000</v>
      </c>
      <c r="K44" s="3">
        <v>17750000</v>
      </c>
      <c r="L44" s="3">
        <v>18050000</v>
      </c>
      <c r="M44" s="3">
        <v>4885</v>
      </c>
      <c r="N44" s="3">
        <v>178000000</v>
      </c>
      <c r="O44" s="3">
        <v>181000000</v>
      </c>
      <c r="P44" s="5">
        <v>0.97916666666666663</v>
      </c>
    </row>
    <row r="45" spans="1:16" x14ac:dyDescent="0.25">
      <c r="A45" s="1" t="s">
        <v>42</v>
      </c>
      <c r="B45" s="4">
        <v>46066</v>
      </c>
      <c r="C45" s="1" t="str">
        <f>+"Tuần  "&amp;WEEKNUM(B45)</f>
        <v>Tuần  7</v>
      </c>
      <c r="D45" s="1" t="s">
        <v>17</v>
      </c>
      <c r="E45" s="1" t="s">
        <v>159</v>
      </c>
      <c r="F45" s="2">
        <v>175500000</v>
      </c>
      <c r="G45" s="2">
        <v>178500000</v>
      </c>
      <c r="H45" s="2">
        <f>+(M45*26000)/0.829426</f>
        <v>157509168.99156767</v>
      </c>
      <c r="I45" s="2">
        <f>+G45-H45</f>
        <v>20990831.008432329</v>
      </c>
      <c r="J45" s="3">
        <v>3000000</v>
      </c>
      <c r="K45" s="3">
        <v>17550000</v>
      </c>
      <c r="L45" s="3">
        <v>17850000</v>
      </c>
      <c r="M45" s="3">
        <v>5024.7</v>
      </c>
      <c r="N45" s="3">
        <v>176000000</v>
      </c>
      <c r="O45" s="3">
        <v>179000000</v>
      </c>
      <c r="P45" s="5">
        <v>0.97916666666666663</v>
      </c>
    </row>
    <row r="46" spans="1:16" x14ac:dyDescent="0.25">
      <c r="A46" s="1" t="s">
        <v>43</v>
      </c>
      <c r="B46" s="4">
        <v>46067</v>
      </c>
      <c r="C46" s="1" t="str">
        <f>+"Tuần  "&amp;WEEKNUM(B46)</f>
        <v>Tuần  7</v>
      </c>
      <c r="D46" s="1" t="s">
        <v>18</v>
      </c>
      <c r="E46" s="1" t="s">
        <v>159</v>
      </c>
      <c r="F46" s="2">
        <v>177500000</v>
      </c>
      <c r="G46" s="2">
        <v>180500000</v>
      </c>
      <c r="H46" s="2">
        <f>+(M46*26000)/0.829426</f>
        <v>158089088.11635998</v>
      </c>
      <c r="I46" s="2">
        <f>+G46-H46</f>
        <v>22410911.883640021</v>
      </c>
      <c r="J46" s="3">
        <v>3000000</v>
      </c>
      <c r="K46" s="3">
        <v>17750000</v>
      </c>
      <c r="L46" s="3">
        <v>18050000</v>
      </c>
      <c r="M46" s="3">
        <v>5043.2</v>
      </c>
      <c r="N46" s="3">
        <v>178000000</v>
      </c>
      <c r="O46" s="3">
        <v>181000000</v>
      </c>
      <c r="P46" s="5">
        <v>0.39583333333333331</v>
      </c>
    </row>
    <row r="47" spans="1:16" x14ac:dyDescent="0.25">
      <c r="A47" s="1" t="s">
        <v>44</v>
      </c>
      <c r="B47" s="4">
        <v>46068</v>
      </c>
      <c r="C47" s="1" t="str">
        <f>+"Tuần  "&amp;WEEKNUM(B47)</f>
        <v>Tuần  8</v>
      </c>
      <c r="D47" s="1" t="s">
        <v>19</v>
      </c>
      <c r="E47" s="1" t="s">
        <v>159</v>
      </c>
      <c r="F47" s="2">
        <v>177500000</v>
      </c>
      <c r="G47" s="2">
        <v>180500000</v>
      </c>
      <c r="H47" s="2">
        <f>+(M47*26000)/0.829426</f>
        <v>158089088.11635998</v>
      </c>
      <c r="I47" s="2">
        <f>+G47-H47</f>
        <v>22410911.883640021</v>
      </c>
      <c r="J47" s="3">
        <v>3000000</v>
      </c>
      <c r="K47" s="3">
        <v>17750000</v>
      </c>
      <c r="L47" s="3">
        <v>18050000</v>
      </c>
      <c r="M47" s="3">
        <v>5043.2</v>
      </c>
      <c r="N47" s="3">
        <v>178000000</v>
      </c>
      <c r="O47" s="3">
        <v>181000000</v>
      </c>
      <c r="P47" s="5">
        <v>0</v>
      </c>
    </row>
    <row r="48" spans="1:16" x14ac:dyDescent="0.25">
      <c r="A48" s="1" t="s">
        <v>45</v>
      </c>
      <c r="B48" s="4">
        <v>46069</v>
      </c>
      <c r="C48" s="1" t="str">
        <f>+"Tuần  "&amp;WEEKNUM(B48)</f>
        <v>Tuần  8</v>
      </c>
      <c r="D48" s="1" t="s">
        <v>20</v>
      </c>
      <c r="E48" s="1" t="s">
        <v>159</v>
      </c>
      <c r="F48" s="2">
        <v>177500000</v>
      </c>
      <c r="G48" s="2">
        <v>180500000</v>
      </c>
      <c r="H48" s="2">
        <f>+(M48*26000)/0.829426</f>
        <v>156339926.64806744</v>
      </c>
      <c r="I48" s="2">
        <f>+G48-H48</f>
        <v>24160073.351932555</v>
      </c>
      <c r="J48" s="3">
        <v>3000000</v>
      </c>
      <c r="K48" s="3">
        <v>17750000</v>
      </c>
      <c r="L48" s="3">
        <v>18050000</v>
      </c>
      <c r="M48" s="3">
        <v>4987.3999999999996</v>
      </c>
      <c r="N48" s="3">
        <v>178000000</v>
      </c>
      <c r="O48" s="3">
        <v>181000000</v>
      </c>
      <c r="P48" s="5">
        <v>0.97916666666666663</v>
      </c>
    </row>
    <row r="49" spans="1:16" x14ac:dyDescent="0.25">
      <c r="A49" s="1" t="s">
        <v>46</v>
      </c>
      <c r="B49" s="4">
        <v>46070</v>
      </c>
      <c r="C49" s="1" t="str">
        <f>+"Tuần  "&amp;WEEKNUM(B49)</f>
        <v>Tuần  8</v>
      </c>
      <c r="D49" s="1" t="s">
        <v>21</v>
      </c>
      <c r="E49" s="1" t="s">
        <v>159</v>
      </c>
      <c r="F49" s="2">
        <v>177500000</v>
      </c>
      <c r="G49" s="2">
        <v>180500000</v>
      </c>
      <c r="H49" s="2">
        <f>+(M49*26000)/0.829426</f>
        <v>153189555.18635777</v>
      </c>
      <c r="I49" s="2">
        <f>+G49-H49</f>
        <v>27310444.813642234</v>
      </c>
      <c r="J49" s="3">
        <v>3000000</v>
      </c>
      <c r="K49" s="3">
        <v>17750000</v>
      </c>
      <c r="L49" s="3">
        <v>18050000</v>
      </c>
      <c r="M49" s="3">
        <v>4886.8999999999996</v>
      </c>
      <c r="N49" s="3">
        <v>178000000</v>
      </c>
      <c r="O49" s="3">
        <v>181000000</v>
      </c>
      <c r="P49" s="5">
        <v>0.97916666666666663</v>
      </c>
    </row>
    <row r="50" spans="1:16" x14ac:dyDescent="0.25">
      <c r="A50" s="1" t="s">
        <v>47</v>
      </c>
      <c r="B50" s="4">
        <v>46071</v>
      </c>
      <c r="C50" s="1" t="str">
        <f>+"Tuần  "&amp;WEEKNUM(B50)</f>
        <v>Tuần  8</v>
      </c>
      <c r="D50" s="1" t="s">
        <v>22</v>
      </c>
      <c r="E50" s="1" t="s">
        <v>159</v>
      </c>
      <c r="F50" s="2">
        <v>177500000</v>
      </c>
      <c r="G50" s="2">
        <v>180500000</v>
      </c>
      <c r="H50" s="2">
        <f>+(M50*26000)/0.829426</f>
        <v>156600106.57973105</v>
      </c>
      <c r="I50" s="2">
        <f>+G50-H50</f>
        <v>23899893.420268953</v>
      </c>
      <c r="J50" s="3">
        <v>3000000</v>
      </c>
      <c r="K50" s="3">
        <v>17750000</v>
      </c>
      <c r="L50" s="3">
        <v>18050000</v>
      </c>
      <c r="M50" s="3">
        <v>4995.7</v>
      </c>
      <c r="N50" s="3">
        <v>178000000</v>
      </c>
      <c r="O50" s="3">
        <v>181000000</v>
      </c>
      <c r="P50" s="5">
        <v>0.97916666666666663</v>
      </c>
    </row>
    <row r="51" spans="1:16" x14ac:dyDescent="0.25">
      <c r="A51" s="1" t="s">
        <v>48</v>
      </c>
      <c r="B51" s="4">
        <v>46072</v>
      </c>
      <c r="C51" s="1" t="str">
        <f>+"Tuần  "&amp;WEEKNUM(B51)</f>
        <v>Tuần  8</v>
      </c>
      <c r="D51" s="1" t="s">
        <v>16</v>
      </c>
      <c r="E51" s="1" t="s">
        <v>159</v>
      </c>
      <c r="F51" s="2">
        <v>177500000</v>
      </c>
      <c r="G51" s="2">
        <v>180500000</v>
      </c>
      <c r="H51" s="2">
        <f>+(M51*26000)/0.829426</f>
        <v>156712955.70671767</v>
      </c>
      <c r="I51" s="2">
        <f>+G51-H51</f>
        <v>23787044.29328233</v>
      </c>
      <c r="J51" s="3">
        <v>3000000</v>
      </c>
      <c r="K51" s="3">
        <v>17750000</v>
      </c>
      <c r="L51" s="3">
        <v>18050000</v>
      </c>
      <c r="M51" s="3">
        <v>4999.3</v>
      </c>
      <c r="N51" s="3">
        <v>178000000</v>
      </c>
      <c r="O51" s="3">
        <v>181000000</v>
      </c>
      <c r="P51" s="5">
        <v>0.97916666666666663</v>
      </c>
    </row>
    <row r="52" spans="1:16" x14ac:dyDescent="0.25">
      <c r="A52" s="1" t="s">
        <v>49</v>
      </c>
      <c r="B52" s="4">
        <v>46073</v>
      </c>
      <c r="C52" s="1" t="str">
        <f>+"Tuần  "&amp;WEEKNUM(B52)</f>
        <v>Tuần  8</v>
      </c>
      <c r="D52" s="1" t="s">
        <v>17</v>
      </c>
      <c r="E52" s="1" t="s">
        <v>159</v>
      </c>
      <c r="F52" s="2">
        <v>177500000</v>
      </c>
      <c r="G52" s="2">
        <v>180500000</v>
      </c>
      <c r="H52" s="2">
        <f>+(M52*26000)/0.829426</f>
        <v>158399423.21557319</v>
      </c>
      <c r="I52" s="2">
        <f>+G52-H52</f>
        <v>22100576.784426808</v>
      </c>
      <c r="J52" s="3">
        <v>3000000</v>
      </c>
      <c r="K52" s="3">
        <v>17750000</v>
      </c>
      <c r="L52" s="3">
        <v>18050000</v>
      </c>
      <c r="M52" s="3">
        <v>5053.1000000000004</v>
      </c>
      <c r="N52" s="3">
        <v>178000000</v>
      </c>
      <c r="O52" s="3">
        <v>181000000</v>
      </c>
      <c r="P52" s="5">
        <v>0.97916666666666663</v>
      </c>
    </row>
    <row r="53" spans="1:16" x14ac:dyDescent="0.25">
      <c r="A53" s="1" t="s">
        <v>50</v>
      </c>
      <c r="B53" s="4">
        <v>46074</v>
      </c>
      <c r="C53" s="1" t="str">
        <f>+"Tuần  "&amp;WEEKNUM(B53)</f>
        <v>Tuần  8</v>
      </c>
      <c r="D53" s="1" t="s">
        <v>18</v>
      </c>
      <c r="E53" s="1" t="s">
        <v>159</v>
      </c>
      <c r="F53" s="2">
        <v>177500000</v>
      </c>
      <c r="G53" s="2">
        <v>180500000</v>
      </c>
      <c r="H53" s="2">
        <f>+(M53*26000)/0.829426</f>
        <v>160117237.70414719</v>
      </c>
      <c r="I53" s="2">
        <f>+G53-H53</f>
        <v>20382762.29585281</v>
      </c>
      <c r="J53" s="3">
        <v>3000000</v>
      </c>
      <c r="K53" s="3">
        <v>17750000</v>
      </c>
      <c r="L53" s="3">
        <v>18050000</v>
      </c>
      <c r="M53" s="3">
        <v>5107.8999999999996</v>
      </c>
      <c r="N53" s="3">
        <v>178000000</v>
      </c>
      <c r="O53" s="3">
        <v>181000000</v>
      </c>
      <c r="P53" s="5">
        <v>0.22916666666666666</v>
      </c>
    </row>
    <row r="54" spans="1:16" x14ac:dyDescent="0.25">
      <c r="A54" s="1" t="s">
        <v>51</v>
      </c>
      <c r="B54" s="4">
        <v>46075</v>
      </c>
      <c r="C54" s="1" t="str">
        <f>+"Tuần  "&amp;WEEKNUM(B54)</f>
        <v>Tuần  9</v>
      </c>
      <c r="D54" s="1" t="s">
        <v>19</v>
      </c>
      <c r="E54" s="1" t="s">
        <v>159</v>
      </c>
      <c r="F54" s="2">
        <v>177500000</v>
      </c>
      <c r="G54" s="2">
        <v>180500000</v>
      </c>
      <c r="H54" s="2">
        <f>+(M54*26000)/0.829426</f>
        <v>160117237.70414719</v>
      </c>
      <c r="I54" s="2">
        <f>+G54-H54</f>
        <v>20382762.29585281</v>
      </c>
      <c r="J54" s="3">
        <v>3000000</v>
      </c>
      <c r="K54" s="3">
        <v>17750000</v>
      </c>
      <c r="L54" s="3">
        <v>18050000</v>
      </c>
      <c r="M54" s="3">
        <v>5107.8999999999996</v>
      </c>
      <c r="N54" s="3">
        <v>178000000</v>
      </c>
      <c r="O54" s="3">
        <v>181000000</v>
      </c>
      <c r="P54" s="5">
        <v>0.41666666666666669</v>
      </c>
    </row>
    <row r="55" spans="1:16" x14ac:dyDescent="0.25">
      <c r="A55" s="1" t="s">
        <v>52</v>
      </c>
      <c r="B55" s="4">
        <v>46076</v>
      </c>
      <c r="C55" s="1" t="str">
        <f>+"Tuần  "&amp;WEEKNUM(B55)</f>
        <v>Tuần  9</v>
      </c>
      <c r="D55" s="1" t="s">
        <v>20</v>
      </c>
      <c r="E55" s="1" t="s">
        <v>159</v>
      </c>
      <c r="F55" s="2">
        <v>181100000</v>
      </c>
      <c r="G55" s="2">
        <v>184100000</v>
      </c>
      <c r="H55" s="2">
        <f>+(M55*26000)/0.829426</f>
        <v>163549731.9833234</v>
      </c>
      <c r="I55" s="2">
        <f>+G55-H55</f>
        <v>20550268.016676605</v>
      </c>
      <c r="J55" s="3">
        <v>3000000</v>
      </c>
      <c r="K55" s="3">
        <v>18110000</v>
      </c>
      <c r="L55" s="3">
        <v>18410000</v>
      </c>
      <c r="M55" s="3">
        <v>5217.3999999999996</v>
      </c>
      <c r="N55" s="3">
        <v>181600000</v>
      </c>
      <c r="O55" s="3">
        <v>184600000</v>
      </c>
      <c r="P55" s="5">
        <v>0.97916666666666663</v>
      </c>
    </row>
    <row r="56" spans="1:16" x14ac:dyDescent="0.25">
      <c r="A56" s="1" t="s">
        <v>53</v>
      </c>
      <c r="B56" s="4">
        <v>46077</v>
      </c>
      <c r="C56" s="1" t="str">
        <f>+"Tuần  "&amp;WEEKNUM(B56)</f>
        <v>Tuần  9</v>
      </c>
      <c r="D56" s="1" t="s">
        <v>21</v>
      </c>
      <c r="E56" s="1" t="s">
        <v>159</v>
      </c>
      <c r="F56" s="2">
        <v>181100000</v>
      </c>
      <c r="G56" s="2">
        <v>184100000</v>
      </c>
      <c r="H56" s="2">
        <f>+(M56*26000)/0.829426</f>
        <v>161264537.16184446</v>
      </c>
      <c r="I56" s="2">
        <f>+G56-H56</f>
        <v>22835462.838155538</v>
      </c>
      <c r="J56" s="3">
        <v>3000000</v>
      </c>
      <c r="K56" s="3">
        <v>18110000</v>
      </c>
      <c r="L56" s="3">
        <v>18410000</v>
      </c>
      <c r="M56" s="3">
        <v>5144.5</v>
      </c>
      <c r="N56" s="3">
        <v>181600000</v>
      </c>
      <c r="O56" s="3">
        <v>184600000</v>
      </c>
      <c r="P56" s="5">
        <v>0.97916666666666663</v>
      </c>
    </row>
    <row r="57" spans="1:16" x14ac:dyDescent="0.25">
      <c r="A57" s="1" t="s">
        <v>54</v>
      </c>
      <c r="B57" s="4">
        <v>46078</v>
      </c>
      <c r="C57" s="1" t="str">
        <f>+"Tuần  "&amp;WEEKNUM(B57)</f>
        <v>Tuần  9</v>
      </c>
      <c r="D57" s="1" t="s">
        <v>22</v>
      </c>
      <c r="E57" s="1" t="s">
        <v>159</v>
      </c>
      <c r="F57" s="2">
        <v>181800000</v>
      </c>
      <c r="G57" s="2">
        <v>184800000</v>
      </c>
      <c r="H57" s="2">
        <f>+(M57*26000)/0.829426</f>
        <v>163114008.96523619</v>
      </c>
      <c r="I57" s="2">
        <f>+G57-H57</f>
        <v>21685991.034763813</v>
      </c>
      <c r="J57" s="3">
        <v>3000000</v>
      </c>
      <c r="K57" s="3">
        <v>18180000</v>
      </c>
      <c r="L57" s="3">
        <v>18480000</v>
      </c>
      <c r="M57" s="3">
        <v>5203.5</v>
      </c>
      <c r="N57" s="3">
        <v>182300000</v>
      </c>
      <c r="O57" s="3">
        <v>185300000</v>
      </c>
      <c r="P57" s="5">
        <v>0.97916666666666663</v>
      </c>
    </row>
    <row r="58" spans="1:16" x14ac:dyDescent="0.25">
      <c r="A58" s="1" t="s">
        <v>55</v>
      </c>
      <c r="B58" s="4">
        <v>46079</v>
      </c>
      <c r="C58" s="1" t="str">
        <f>+"Tuần  "&amp;WEEKNUM(B58)</f>
        <v>Tuần  9</v>
      </c>
      <c r="D58" s="1" t="s">
        <v>16</v>
      </c>
      <c r="E58" s="1" t="s">
        <v>159</v>
      </c>
      <c r="F58" s="2">
        <v>181000000</v>
      </c>
      <c r="G58" s="2">
        <v>184000000</v>
      </c>
      <c r="H58" s="2">
        <f>+(M58*26000)/0.829426</f>
        <v>162414971.31751356</v>
      </c>
      <c r="I58" s="2">
        <f>+G58-H58</f>
        <v>21585028.682486445</v>
      </c>
      <c r="J58" s="3">
        <v>3000000</v>
      </c>
      <c r="K58" s="3">
        <v>18100000</v>
      </c>
      <c r="L58" s="3">
        <v>18400000</v>
      </c>
      <c r="M58" s="3">
        <v>5181.2</v>
      </c>
      <c r="N58" s="3">
        <v>181000000</v>
      </c>
      <c r="O58" s="3">
        <v>184000000</v>
      </c>
      <c r="P58" s="5">
        <v>0.97916666666666663</v>
      </c>
    </row>
    <row r="59" spans="1:16" x14ac:dyDescent="0.25">
      <c r="A59" s="1" t="s">
        <v>56</v>
      </c>
      <c r="B59" s="4">
        <v>46080</v>
      </c>
      <c r="C59" s="1" t="str">
        <f>+"Tuần  "&amp;WEEKNUM(B59)</f>
        <v>Tuần  9</v>
      </c>
      <c r="D59" s="1" t="s">
        <v>17</v>
      </c>
      <c r="E59" s="1" t="s">
        <v>159</v>
      </c>
      <c r="F59" s="2">
        <v>180800000</v>
      </c>
      <c r="G59" s="2">
        <v>183800000</v>
      </c>
      <c r="H59" s="2">
        <f>+(M59*26000)/0.829426</f>
        <v>164117112.31622833</v>
      </c>
      <c r="I59" s="2">
        <f>+G59-H59</f>
        <v>19682887.68377167</v>
      </c>
      <c r="J59" s="3">
        <v>3000000</v>
      </c>
      <c r="K59" s="3">
        <v>18080000</v>
      </c>
      <c r="L59" s="3">
        <v>18380000</v>
      </c>
      <c r="M59" s="3">
        <v>5235.5</v>
      </c>
      <c r="N59" s="3">
        <v>181000000</v>
      </c>
      <c r="O59" s="3">
        <v>184000000</v>
      </c>
      <c r="P59" s="5">
        <v>0.97916666666666663</v>
      </c>
    </row>
    <row r="60" spans="1:16" x14ac:dyDescent="0.25">
      <c r="A60" s="1" t="s">
        <v>57</v>
      </c>
      <c r="B60" s="4">
        <v>46081</v>
      </c>
      <c r="C60" s="1" t="str">
        <f>+"Tuần  "&amp;WEEKNUM(B60)</f>
        <v>Tuần  9</v>
      </c>
      <c r="D60" s="1" t="s">
        <v>18</v>
      </c>
      <c r="E60" s="1" t="s">
        <v>159</v>
      </c>
      <c r="F60" s="2">
        <v>183800000</v>
      </c>
      <c r="G60" s="2">
        <v>186800000</v>
      </c>
      <c r="H60" s="2">
        <f>+(M60*26000)/0.829426</f>
        <v>165518322.30964547</v>
      </c>
      <c r="I60" s="2">
        <f>+G60-H60</f>
        <v>21281677.690354526</v>
      </c>
      <c r="J60" s="3">
        <v>3000000</v>
      </c>
      <c r="K60" s="3">
        <v>18380000</v>
      </c>
      <c r="L60" s="3">
        <v>18680000</v>
      </c>
      <c r="M60" s="3">
        <v>5280.2</v>
      </c>
      <c r="N60" s="3">
        <v>184000000</v>
      </c>
      <c r="O60" s="3">
        <v>187000000</v>
      </c>
      <c r="P60" s="5">
        <v>0.39583333333333331</v>
      </c>
    </row>
    <row r="61" spans="1:16" x14ac:dyDescent="0.25">
      <c r="A61" s="4">
        <v>46025</v>
      </c>
      <c r="B61" s="4">
        <v>46082</v>
      </c>
      <c r="C61" s="1" t="str">
        <f>+"Tuần  "&amp;WEEKNUM(B61)</f>
        <v>Tuần  10</v>
      </c>
      <c r="D61" s="1" t="s">
        <v>19</v>
      </c>
      <c r="E61" s="1" t="s">
        <v>159</v>
      </c>
      <c r="F61" s="2">
        <v>183800000</v>
      </c>
      <c r="G61" s="2">
        <v>186800000</v>
      </c>
      <c r="H61" s="2">
        <f>+(M61*26000)/0.829426</f>
        <v>165518322.30964547</v>
      </c>
      <c r="I61" s="2">
        <f>+G61-H61</f>
        <v>21281677.690354526</v>
      </c>
      <c r="J61" s="3">
        <v>3000000</v>
      </c>
      <c r="K61" s="3">
        <v>18380000</v>
      </c>
      <c r="L61" s="3">
        <v>18680000</v>
      </c>
      <c r="M61" s="3">
        <v>5280.2</v>
      </c>
      <c r="N61" s="3">
        <v>184000000</v>
      </c>
      <c r="O61" s="3">
        <v>187000000</v>
      </c>
      <c r="P61" s="5">
        <v>0.41666666666666669</v>
      </c>
    </row>
    <row r="62" spans="1:16" x14ac:dyDescent="0.25">
      <c r="A62" s="4">
        <v>46056</v>
      </c>
      <c r="B62" s="4">
        <v>46083</v>
      </c>
      <c r="C62" s="1" t="str">
        <f>+"Tuần  "&amp;WEEKNUM(B62)</f>
        <v>Tuần  10</v>
      </c>
      <c r="D62" s="1" t="s">
        <v>20</v>
      </c>
      <c r="E62" s="1" t="s">
        <v>159</v>
      </c>
      <c r="F62" s="2">
        <v>186400000</v>
      </c>
      <c r="G62" s="2">
        <v>189400000</v>
      </c>
      <c r="H62" s="2">
        <f>+(M62*26000)/0.829426</f>
        <v>166421115.3255384</v>
      </c>
      <c r="I62" s="2">
        <f>+G62-H62</f>
        <v>22978884.674461603</v>
      </c>
      <c r="J62" s="3">
        <v>3000000</v>
      </c>
      <c r="K62" s="3">
        <v>18640000</v>
      </c>
      <c r="L62" s="3">
        <v>18940000</v>
      </c>
      <c r="M62" s="3">
        <v>5309</v>
      </c>
      <c r="N62" s="3">
        <v>187900000</v>
      </c>
      <c r="O62" s="3">
        <v>190900000</v>
      </c>
      <c r="P62" s="5">
        <v>0.97916666666666663</v>
      </c>
    </row>
    <row r="63" spans="1:16" x14ac:dyDescent="0.25">
      <c r="A63" s="4">
        <v>46084</v>
      </c>
      <c r="B63" s="4">
        <v>46084</v>
      </c>
      <c r="C63" s="1" t="str">
        <f>+"Tuần  "&amp;WEEKNUM(B63)</f>
        <v>Tuần  10</v>
      </c>
      <c r="D63" s="1" t="s">
        <v>21</v>
      </c>
      <c r="E63" s="1" t="s">
        <v>159</v>
      </c>
      <c r="F63" s="2">
        <v>184900000</v>
      </c>
      <c r="G63" s="2">
        <v>187900000</v>
      </c>
      <c r="H63" s="2">
        <f>+(M63*26000)/0.829426</f>
        <v>160430707.50133222</v>
      </c>
      <c r="I63" s="2">
        <f>+G63-H63</f>
        <v>27469292.498667777</v>
      </c>
      <c r="J63" s="3">
        <v>3000000</v>
      </c>
      <c r="K63" s="3">
        <v>18490000</v>
      </c>
      <c r="L63" s="3">
        <v>18790000</v>
      </c>
      <c r="M63" s="3">
        <v>5117.8999999999996</v>
      </c>
      <c r="N63" s="3">
        <v>185200000</v>
      </c>
      <c r="O63" s="3">
        <v>188200000</v>
      </c>
      <c r="P63" s="5">
        <v>0.97916666666666663</v>
      </c>
    </row>
    <row r="64" spans="1:16" x14ac:dyDescent="0.25">
      <c r="A64" s="4">
        <v>46115</v>
      </c>
      <c r="B64" s="4">
        <v>46085</v>
      </c>
      <c r="C64" s="1" t="str">
        <f>+"Tuần  "&amp;WEEKNUM(B64)</f>
        <v>Tuần  10</v>
      </c>
      <c r="D64" s="1" t="s">
        <v>22</v>
      </c>
      <c r="E64" s="1" t="s">
        <v>159</v>
      </c>
      <c r="F64" s="2">
        <v>180900000</v>
      </c>
      <c r="G64" s="2">
        <v>183900000</v>
      </c>
      <c r="H64" s="2">
        <f>+(M64*26000)/0.829426</f>
        <v>161474561.92595842</v>
      </c>
      <c r="I64" s="2">
        <f>+G64-H64</f>
        <v>22425438.074041575</v>
      </c>
      <c r="J64" s="3">
        <v>3000000</v>
      </c>
      <c r="K64" s="3">
        <v>18090000</v>
      </c>
      <c r="L64" s="3">
        <v>18390000</v>
      </c>
      <c r="M64" s="3">
        <v>5151.2</v>
      </c>
      <c r="N64" s="3">
        <v>181200000</v>
      </c>
      <c r="O64" s="3">
        <v>184200000</v>
      </c>
      <c r="P64" s="5">
        <v>0.97916666666666663</v>
      </c>
    </row>
    <row r="65" spans="1:16" x14ac:dyDescent="0.25">
      <c r="A65" s="4">
        <v>46145</v>
      </c>
      <c r="B65" s="4">
        <v>46086</v>
      </c>
      <c r="C65" s="1" t="str">
        <f>+"Tuần  "&amp;WEEKNUM(B65)</f>
        <v>Tuần  10</v>
      </c>
      <c r="D65" s="1" t="s">
        <v>16</v>
      </c>
      <c r="E65" s="1" t="s">
        <v>159</v>
      </c>
      <c r="F65" s="2">
        <v>181400000</v>
      </c>
      <c r="G65" s="2">
        <v>184400000</v>
      </c>
      <c r="H65" s="2">
        <f>+(M65*26000)/0.829426</f>
        <v>158957399.45456254</v>
      </c>
      <c r="I65" s="2">
        <f>+G65-H65</f>
        <v>25442600.545437455</v>
      </c>
      <c r="J65" s="3">
        <v>3000000</v>
      </c>
      <c r="K65" s="3">
        <v>18140000</v>
      </c>
      <c r="L65" s="3">
        <v>18440000</v>
      </c>
      <c r="M65" s="3">
        <v>5070.8999999999996</v>
      </c>
      <c r="N65" s="3">
        <v>181700000</v>
      </c>
      <c r="O65" s="3">
        <v>184700000</v>
      </c>
      <c r="P65" s="5">
        <v>0.97916666666666663</v>
      </c>
    </row>
    <row r="66" spans="1:16" x14ac:dyDescent="0.25">
      <c r="A66" s="4">
        <v>46176</v>
      </c>
      <c r="B66" s="4">
        <v>46087</v>
      </c>
      <c r="C66" s="1" t="str">
        <f>+"Tuần  "&amp;WEEKNUM(B66)</f>
        <v>Tuần  10</v>
      </c>
      <c r="D66" s="1" t="s">
        <v>17</v>
      </c>
      <c r="E66" s="1" t="s">
        <v>159</v>
      </c>
      <c r="F66" s="2">
        <v>180500000</v>
      </c>
      <c r="G66" s="2">
        <v>183500000</v>
      </c>
      <c r="H66" s="2">
        <f>+(M66*26000)/0.829426</f>
        <v>161220651.39023858</v>
      </c>
      <c r="I66" s="2">
        <f>+G66-H66</f>
        <v>22279348.609761417</v>
      </c>
      <c r="J66" s="3">
        <v>3000000</v>
      </c>
      <c r="K66" s="3">
        <v>18050000</v>
      </c>
      <c r="L66" s="3">
        <v>18350000</v>
      </c>
      <c r="M66" s="3">
        <v>5143.1000000000004</v>
      </c>
      <c r="N66" s="3">
        <v>180800000</v>
      </c>
      <c r="O66" s="3">
        <v>183800000</v>
      </c>
      <c r="P66" s="5">
        <v>0.97916666666666663</v>
      </c>
    </row>
    <row r="67" spans="1:16" x14ac:dyDescent="0.25">
      <c r="A67" s="4">
        <v>46206</v>
      </c>
      <c r="B67" s="4">
        <v>46088</v>
      </c>
      <c r="C67" s="1" t="str">
        <f>+"Tuần  "&amp;WEEKNUM(B67)</f>
        <v>Tuần  10</v>
      </c>
      <c r="D67" s="1" t="s">
        <v>18</v>
      </c>
      <c r="E67" s="1" t="s">
        <v>159</v>
      </c>
      <c r="F67" s="2">
        <v>181700000</v>
      </c>
      <c r="G67" s="2">
        <v>184700000</v>
      </c>
      <c r="H67" s="2">
        <f>+(M67*26000)/0.829426</f>
        <v>162189273.06354034</v>
      </c>
      <c r="I67" s="2">
        <f>+G67-H67</f>
        <v>22510726.936459661</v>
      </c>
      <c r="J67" s="3">
        <v>3000000</v>
      </c>
      <c r="K67" s="3">
        <v>18170000</v>
      </c>
      <c r="L67" s="3">
        <v>18470000</v>
      </c>
      <c r="M67" s="3">
        <v>5174</v>
      </c>
      <c r="N67" s="3">
        <v>182000000</v>
      </c>
      <c r="O67" s="3">
        <v>185000000</v>
      </c>
      <c r="P67" s="5">
        <v>0.39583333333333331</v>
      </c>
    </row>
    <row r="68" spans="1:16" x14ac:dyDescent="0.25">
      <c r="A68" s="4">
        <v>46237</v>
      </c>
      <c r="B68" s="4">
        <v>46089</v>
      </c>
      <c r="C68" s="1" t="str">
        <f>+"Tuần  "&amp;WEEKNUM(B68)</f>
        <v>Tuần  11</v>
      </c>
      <c r="D68" s="1" t="s">
        <v>19</v>
      </c>
      <c r="E68" s="1" t="s">
        <v>159</v>
      </c>
      <c r="F68" s="2">
        <v>181700000</v>
      </c>
      <c r="G68" s="2">
        <v>184700000</v>
      </c>
      <c r="H68" s="2">
        <f>+(M68*26000)/0.829426</f>
        <v>162189273.06354034</v>
      </c>
      <c r="I68" s="2">
        <f>+G68-H68</f>
        <v>22510726.936459661</v>
      </c>
      <c r="J68" s="3">
        <v>3000000</v>
      </c>
      <c r="K68" s="3">
        <v>18170000</v>
      </c>
      <c r="L68" s="3">
        <v>18470000</v>
      </c>
      <c r="M68" s="3">
        <v>5174</v>
      </c>
      <c r="N68" s="3">
        <v>182000000</v>
      </c>
      <c r="O68" s="3">
        <v>185000000</v>
      </c>
      <c r="P68" s="5">
        <v>0</v>
      </c>
    </row>
    <row r="69" spans="1:16" x14ac:dyDescent="0.25">
      <c r="A69" s="4">
        <v>46268</v>
      </c>
      <c r="B69" s="4">
        <v>46090</v>
      </c>
      <c r="C69" s="1" t="str">
        <f>+"Tuần  "&amp;WEEKNUM(B69)</f>
        <v>Tuần  11</v>
      </c>
      <c r="D69" s="1" t="s">
        <v>20</v>
      </c>
      <c r="E69" s="1" t="s">
        <v>159</v>
      </c>
      <c r="F69" s="2">
        <v>180800000</v>
      </c>
      <c r="G69" s="2">
        <v>183800000</v>
      </c>
      <c r="H69" s="2">
        <f>+(M69*26000)/0.829426</f>
        <v>160035735.5568791</v>
      </c>
      <c r="I69" s="2">
        <f>+G69-H69</f>
        <v>23764264.443120897</v>
      </c>
      <c r="J69" s="3">
        <v>3000000</v>
      </c>
      <c r="K69" s="3">
        <v>18080000</v>
      </c>
      <c r="L69" s="3">
        <v>18380000</v>
      </c>
      <c r="M69" s="3">
        <v>5105.3</v>
      </c>
      <c r="N69" s="3">
        <v>181100000</v>
      </c>
      <c r="O69" s="3">
        <v>184100000</v>
      </c>
      <c r="P69" s="5">
        <v>0.97916666666666663</v>
      </c>
    </row>
    <row r="70" spans="1:16" x14ac:dyDescent="0.25">
      <c r="A70" s="4">
        <v>46298</v>
      </c>
      <c r="B70" s="4">
        <v>46091</v>
      </c>
      <c r="C70" s="1" t="str">
        <f>+"Tuần  "&amp;WEEKNUM(B70)</f>
        <v>Tuần  11</v>
      </c>
      <c r="D70" s="1" t="s">
        <v>21</v>
      </c>
      <c r="E70" s="1" t="s">
        <v>159</v>
      </c>
      <c r="F70" s="2">
        <v>182800000</v>
      </c>
      <c r="G70" s="2">
        <v>185800000</v>
      </c>
      <c r="H70" s="2">
        <f>+(M70*26000)/0.829426</f>
        <v>164076361.24259427</v>
      </c>
      <c r="I70" s="2">
        <f>+G70-H70</f>
        <v>21723638.757405728</v>
      </c>
      <c r="J70" s="3">
        <v>3000000</v>
      </c>
      <c r="K70" s="3">
        <v>18280000</v>
      </c>
      <c r="L70" s="3">
        <v>18580000</v>
      </c>
      <c r="M70" s="3">
        <v>5234.2</v>
      </c>
      <c r="N70" s="3">
        <v>183100000</v>
      </c>
      <c r="O70" s="3">
        <v>186100000</v>
      </c>
      <c r="P70" s="5">
        <v>0.97916666666666663</v>
      </c>
    </row>
    <row r="71" spans="1:16" x14ac:dyDescent="0.25">
      <c r="A71" s="4">
        <v>46329</v>
      </c>
      <c r="B71" s="4">
        <v>46092</v>
      </c>
      <c r="C71" s="1" t="str">
        <f>+"Tuần  "&amp;WEEKNUM(B71)</f>
        <v>Tuần  11</v>
      </c>
      <c r="D71" s="1" t="s">
        <v>22</v>
      </c>
      <c r="E71" s="1" t="s">
        <v>159</v>
      </c>
      <c r="F71" s="2">
        <v>183900000</v>
      </c>
      <c r="G71" s="2">
        <v>186900000</v>
      </c>
      <c r="H71" s="2">
        <f>+(M71*26000)/0.829426</f>
        <v>162032538.16494781</v>
      </c>
      <c r="I71" s="2">
        <f>+G71-H71</f>
        <v>24867461.835052192</v>
      </c>
      <c r="J71" s="3">
        <v>3000000</v>
      </c>
      <c r="K71" s="3">
        <v>18390000</v>
      </c>
      <c r="L71" s="3">
        <v>18690000</v>
      </c>
      <c r="M71" s="3">
        <v>5169</v>
      </c>
      <c r="N71" s="3">
        <v>184200000</v>
      </c>
      <c r="O71" s="3">
        <v>187200000</v>
      </c>
      <c r="P71" s="5">
        <v>0.97916666666666663</v>
      </c>
    </row>
    <row r="72" spans="1:16" x14ac:dyDescent="0.25">
      <c r="A72" s="4">
        <v>46359</v>
      </c>
      <c r="B72" s="4">
        <v>46093</v>
      </c>
      <c r="C72" s="1" t="str">
        <f>+"Tuần  "&amp;WEEKNUM(B72)</f>
        <v>Tuần  11</v>
      </c>
      <c r="D72" s="1" t="s">
        <v>16</v>
      </c>
      <c r="E72" s="1" t="s">
        <v>159</v>
      </c>
      <c r="F72" s="2">
        <v>183000000</v>
      </c>
      <c r="G72" s="2">
        <v>186000000</v>
      </c>
      <c r="H72" s="2">
        <f>+(M72*26000)/0.829426</f>
        <v>160969875.55249053</v>
      </c>
      <c r="I72" s="2">
        <f>+G72-H72</f>
        <v>25030124.447509468</v>
      </c>
      <c r="J72" s="3">
        <v>3000000</v>
      </c>
      <c r="K72" s="3">
        <v>18300000</v>
      </c>
      <c r="L72" s="3">
        <v>18600000</v>
      </c>
      <c r="M72" s="3">
        <v>5135.1000000000004</v>
      </c>
      <c r="N72" s="3">
        <v>183300000</v>
      </c>
      <c r="O72" s="3">
        <v>186300000</v>
      </c>
      <c r="P72" s="5">
        <v>0.97916666666666663</v>
      </c>
    </row>
    <row r="73" spans="1:16" x14ac:dyDescent="0.25">
      <c r="A73" s="1" t="s">
        <v>58</v>
      </c>
      <c r="B73" s="4">
        <v>46094</v>
      </c>
      <c r="C73" s="1" t="str">
        <f>+"Tuần  "&amp;WEEKNUM(B73)</f>
        <v>Tuần  11</v>
      </c>
      <c r="D73" s="1" t="s">
        <v>17</v>
      </c>
      <c r="E73" s="1" t="s">
        <v>159</v>
      </c>
      <c r="F73" s="2">
        <v>181500000</v>
      </c>
      <c r="G73" s="2">
        <v>184500000</v>
      </c>
      <c r="H73" s="2">
        <f>+(M73*26000)/0.829426</f>
        <v>157935487.91573933</v>
      </c>
      <c r="I73" s="2">
        <f>+G73-H73</f>
        <v>26564512.084260672</v>
      </c>
      <c r="J73" s="3">
        <v>3000000</v>
      </c>
      <c r="K73" s="3">
        <v>18150000</v>
      </c>
      <c r="L73" s="3">
        <v>18450000</v>
      </c>
      <c r="M73" s="3">
        <v>5038.3</v>
      </c>
      <c r="N73" s="3">
        <v>181800000</v>
      </c>
      <c r="O73" s="3">
        <v>184800000</v>
      </c>
      <c r="P73" s="5">
        <v>0.97916666666666663</v>
      </c>
    </row>
    <row r="74" spans="1:16" x14ac:dyDescent="0.25">
      <c r="A74" s="1" t="s">
        <v>59</v>
      </c>
      <c r="B74" s="4">
        <v>46095</v>
      </c>
      <c r="C74" s="1" t="str">
        <f>+"Tuần  "&amp;WEEKNUM(B74)</f>
        <v>Tuần  11</v>
      </c>
      <c r="D74" s="1" t="s">
        <v>18</v>
      </c>
      <c r="E74" s="1" t="s">
        <v>159</v>
      </c>
      <c r="F74" s="2">
        <v>179300000</v>
      </c>
      <c r="G74" s="2">
        <v>182300000</v>
      </c>
      <c r="H74" s="2">
        <f>+(M74*26000)/0.829426</f>
        <v>157352434.09297514</v>
      </c>
      <c r="I74" s="2">
        <f>+G74-H74</f>
        <v>24947565.90702486</v>
      </c>
      <c r="J74" s="3">
        <v>3000000</v>
      </c>
      <c r="K74" s="3">
        <v>17930000</v>
      </c>
      <c r="L74" s="3">
        <v>18230000</v>
      </c>
      <c r="M74" s="3">
        <v>5019.7</v>
      </c>
      <c r="N74" s="3">
        <v>179600000</v>
      </c>
      <c r="O74" s="3">
        <v>182600000</v>
      </c>
      <c r="P74" s="5">
        <v>0.5</v>
      </c>
    </row>
    <row r="75" spans="1:16" x14ac:dyDescent="0.25">
      <c r="A75" s="1" t="s">
        <v>60</v>
      </c>
      <c r="B75" s="4">
        <v>46096</v>
      </c>
      <c r="C75" s="1" t="str">
        <f>+"Tuần  "&amp;WEEKNUM(B75)</f>
        <v>Tuần  12</v>
      </c>
      <c r="D75" s="1" t="s">
        <v>19</v>
      </c>
      <c r="E75" s="1" t="s">
        <v>159</v>
      </c>
      <c r="F75" s="2">
        <v>179300000</v>
      </c>
      <c r="G75" s="2">
        <v>182300000</v>
      </c>
      <c r="H75" s="2">
        <f>+(M75*26000)/0.829426</f>
        <v>157352434.09297514</v>
      </c>
      <c r="I75" s="2">
        <f>+G75-H75</f>
        <v>24947565.90702486</v>
      </c>
      <c r="J75" s="3">
        <v>3000000</v>
      </c>
      <c r="K75" s="3">
        <v>17930000</v>
      </c>
      <c r="L75" s="3">
        <v>18230000</v>
      </c>
      <c r="M75" s="3">
        <v>5019.7</v>
      </c>
      <c r="N75" s="3">
        <v>179600000</v>
      </c>
      <c r="O75" s="3">
        <v>182600000</v>
      </c>
      <c r="P75" s="5">
        <v>0</v>
      </c>
    </row>
    <row r="76" spans="1:16" x14ac:dyDescent="0.25">
      <c r="A76" s="1" t="s">
        <v>61</v>
      </c>
      <c r="B76" s="4">
        <v>46097</v>
      </c>
      <c r="C76" s="1" t="str">
        <f>+"Tuần  "&amp;WEEKNUM(B76)</f>
        <v>Tuần  12</v>
      </c>
      <c r="D76" s="1" t="s">
        <v>20</v>
      </c>
      <c r="E76" s="1" t="s">
        <v>159</v>
      </c>
      <c r="F76" s="2">
        <v>179800000</v>
      </c>
      <c r="G76" s="2">
        <v>182800000</v>
      </c>
      <c r="H76" s="2">
        <f>+(M76*26000)/0.829426</f>
        <v>156139305.97786903</v>
      </c>
      <c r="I76" s="2">
        <f>+G76-H76</f>
        <v>26660694.022130966</v>
      </c>
      <c r="J76" s="3">
        <v>3000000</v>
      </c>
      <c r="K76" s="3">
        <v>17980000</v>
      </c>
      <c r="L76" s="3">
        <v>18280000</v>
      </c>
      <c r="M76" s="3">
        <v>4981</v>
      </c>
      <c r="N76" s="3">
        <v>180100000</v>
      </c>
      <c r="O76" s="3">
        <v>183100000</v>
      </c>
      <c r="P76" s="5">
        <v>0.97916666666666663</v>
      </c>
    </row>
    <row r="77" spans="1:16" x14ac:dyDescent="0.25">
      <c r="A77" s="1" t="s">
        <v>62</v>
      </c>
      <c r="B77" s="4">
        <v>46098</v>
      </c>
      <c r="C77" s="1" t="str">
        <f>+"Tuần  "&amp;WEEKNUM(B77)</f>
        <v>Tuần  12</v>
      </c>
      <c r="D77" s="1" t="s">
        <v>21</v>
      </c>
      <c r="E77" s="1" t="s">
        <v>159</v>
      </c>
      <c r="F77" s="2">
        <v>179700000</v>
      </c>
      <c r="G77" s="2">
        <v>182700000</v>
      </c>
      <c r="H77" s="2">
        <f>+(M77*26000)/0.829426</f>
        <v>156847747.71950725</v>
      </c>
      <c r="I77" s="2">
        <f>+G77-H77</f>
        <v>25852252.280492753</v>
      </c>
      <c r="J77" s="3">
        <v>3000000</v>
      </c>
      <c r="K77" s="3">
        <v>17970000</v>
      </c>
      <c r="L77" s="3">
        <v>18270000</v>
      </c>
      <c r="M77" s="3">
        <v>5003.6000000000004</v>
      </c>
      <c r="N77" s="3">
        <v>180000000</v>
      </c>
      <c r="O77" s="3">
        <v>183000000</v>
      </c>
      <c r="P77" s="5">
        <v>0.97916666666666663</v>
      </c>
    </row>
    <row r="78" spans="1:16" x14ac:dyDescent="0.25">
      <c r="A78" s="1" t="s">
        <v>63</v>
      </c>
      <c r="B78" s="4">
        <v>46099</v>
      </c>
      <c r="C78" s="1" t="str">
        <f>+"Tuần  "&amp;WEEKNUM(B78)</f>
        <v>Tuần  12</v>
      </c>
      <c r="D78" s="1" t="s">
        <v>22</v>
      </c>
      <c r="E78" s="1" t="s">
        <v>159</v>
      </c>
      <c r="F78" s="2">
        <v>179700000</v>
      </c>
      <c r="G78" s="2">
        <v>182700000</v>
      </c>
      <c r="H78" s="2">
        <f>+(M78*26000)/0.829426</f>
        <v>153023416.19384974</v>
      </c>
      <c r="I78" s="2">
        <f>+G78-H78</f>
        <v>29676583.806150258</v>
      </c>
      <c r="J78" s="3">
        <v>3000000</v>
      </c>
      <c r="K78" s="3">
        <v>17970000</v>
      </c>
      <c r="L78" s="3">
        <v>18270000</v>
      </c>
      <c r="M78" s="3">
        <v>4881.6000000000004</v>
      </c>
      <c r="N78" s="3">
        <v>180000000</v>
      </c>
      <c r="O78" s="3">
        <v>183000000</v>
      </c>
      <c r="P78" s="5">
        <v>0.97916666666666663</v>
      </c>
    </row>
    <row r="79" spans="1:16" x14ac:dyDescent="0.25">
      <c r="A79" s="1" t="s">
        <v>64</v>
      </c>
      <c r="B79" s="4">
        <v>46100</v>
      </c>
      <c r="C79" s="1" t="str">
        <f>+"Tuần  "&amp;WEEKNUM(B79)</f>
        <v>Tuần  12</v>
      </c>
      <c r="D79" s="1" t="s">
        <v>16</v>
      </c>
      <c r="E79" s="1" t="s">
        <v>159</v>
      </c>
      <c r="F79" s="2">
        <v>172200000</v>
      </c>
      <c r="G79" s="2">
        <v>175200000</v>
      </c>
      <c r="H79" s="2">
        <f>+(M79*26000)/0.829426</f>
        <v>144268204.75847152</v>
      </c>
      <c r="I79" s="2">
        <f>+G79-H79</f>
        <v>30931795.241528481</v>
      </c>
      <c r="J79" s="3">
        <v>3000000</v>
      </c>
      <c r="K79" s="3">
        <v>17220000</v>
      </c>
      <c r="L79" s="3">
        <v>17520000</v>
      </c>
      <c r="M79" s="3">
        <v>4602.3</v>
      </c>
      <c r="N79" s="3">
        <v>172500000</v>
      </c>
      <c r="O79" s="3">
        <v>175500000</v>
      </c>
      <c r="P79" s="5">
        <v>0.97916666666666663</v>
      </c>
    </row>
    <row r="80" spans="1:16" x14ac:dyDescent="0.25">
      <c r="A80" s="1" t="s">
        <v>65</v>
      </c>
      <c r="B80" s="4">
        <v>46101</v>
      </c>
      <c r="C80" s="1" t="str">
        <f>+"Tuần  "&amp;WEEKNUM(B80)</f>
        <v>Tuần  12</v>
      </c>
      <c r="D80" s="1" t="s">
        <v>17</v>
      </c>
      <c r="E80" s="1" t="s">
        <v>159</v>
      </c>
      <c r="F80" s="2">
        <v>172800000</v>
      </c>
      <c r="G80" s="2">
        <v>175800000</v>
      </c>
      <c r="H80" s="2">
        <f>+(M80*26000)/0.829426</f>
        <v>143838751.13632804</v>
      </c>
      <c r="I80" s="2">
        <f>+G80-H80</f>
        <v>31961248.863671958</v>
      </c>
      <c r="J80" s="3">
        <v>3000000</v>
      </c>
      <c r="K80" s="3">
        <v>17280000</v>
      </c>
      <c r="L80" s="3">
        <v>17580000</v>
      </c>
      <c r="M80" s="3">
        <v>4588.6000000000004</v>
      </c>
      <c r="N80" s="3">
        <v>173100000</v>
      </c>
      <c r="O80" s="3">
        <v>176100000</v>
      </c>
      <c r="P80" s="5">
        <v>0.97916666666666663</v>
      </c>
    </row>
    <row r="81" spans="1:16" x14ac:dyDescent="0.25">
      <c r="A81" s="1" t="s">
        <v>66</v>
      </c>
      <c r="B81" s="4">
        <v>46102</v>
      </c>
      <c r="C81" s="1" t="str">
        <f>+"Tuần  "&amp;WEEKNUM(B81)</f>
        <v>Tuần  12</v>
      </c>
      <c r="D81" s="1" t="s">
        <v>18</v>
      </c>
      <c r="E81" s="1" t="s">
        <v>159</v>
      </c>
      <c r="F81" s="2">
        <v>167700000</v>
      </c>
      <c r="G81" s="2">
        <v>170700000</v>
      </c>
      <c r="H81" s="2">
        <f>+(M81*26000)/0.829426</f>
        <v>140816902.29146421</v>
      </c>
      <c r="I81" s="2">
        <f>+G81-H81</f>
        <v>29883097.70853579</v>
      </c>
      <c r="J81" s="3">
        <v>3000000</v>
      </c>
      <c r="K81" s="3">
        <v>16770000</v>
      </c>
      <c r="L81" s="3">
        <v>17070000</v>
      </c>
      <c r="M81" s="3">
        <v>4492.2</v>
      </c>
      <c r="N81" s="3">
        <v>168000000</v>
      </c>
      <c r="O81" s="3">
        <v>171000000</v>
      </c>
      <c r="P81" s="5">
        <v>0.39583333333333331</v>
      </c>
    </row>
    <row r="82" spans="1:16" x14ac:dyDescent="0.25">
      <c r="A82" s="1" t="s">
        <v>67</v>
      </c>
      <c r="B82" s="4">
        <v>46103</v>
      </c>
      <c r="C82" s="1" t="str">
        <f>+"Tuần  "&amp;WEEKNUM(B82)</f>
        <v>Tuần  13</v>
      </c>
      <c r="D82" s="1" t="s">
        <v>19</v>
      </c>
      <c r="E82" s="1" t="s">
        <v>159</v>
      </c>
      <c r="F82" s="2">
        <v>167700000</v>
      </c>
      <c r="G82" s="2">
        <v>170700000</v>
      </c>
      <c r="H82" s="2">
        <f>+(M82*26000)/0.829426</f>
        <v>140816902.29146421</v>
      </c>
      <c r="I82" s="2">
        <f>+G82-H82</f>
        <v>29883097.70853579</v>
      </c>
      <c r="J82" s="3">
        <v>3000000</v>
      </c>
      <c r="K82" s="3">
        <v>16770000</v>
      </c>
      <c r="L82" s="3">
        <v>17070000</v>
      </c>
      <c r="M82" s="3">
        <v>4492.2</v>
      </c>
      <c r="N82" s="3">
        <v>168000000</v>
      </c>
      <c r="O82" s="3">
        <v>171000000</v>
      </c>
      <c r="P82" s="5">
        <v>0.52083333333333337</v>
      </c>
    </row>
    <row r="83" spans="1:16" x14ac:dyDescent="0.25">
      <c r="A83" s="1" t="s">
        <v>68</v>
      </c>
      <c r="B83" s="4">
        <v>46104</v>
      </c>
      <c r="C83" s="1" t="str">
        <f>+"Tuần  "&amp;WEEKNUM(B83)</f>
        <v>Tuần  13</v>
      </c>
      <c r="D83" s="1" t="s">
        <v>20</v>
      </c>
      <c r="E83" s="1" t="s">
        <v>159</v>
      </c>
      <c r="F83" s="2">
        <v>162800000</v>
      </c>
      <c r="G83" s="2">
        <v>165800000</v>
      </c>
      <c r="H83" s="2">
        <f>+(M83*26000)/0.829426</f>
        <v>136744929.62603053</v>
      </c>
      <c r="I83" s="2">
        <f>+G83-H83</f>
        <v>29055070.373969465</v>
      </c>
      <c r="J83" s="3">
        <v>3000000</v>
      </c>
      <c r="K83" s="3">
        <v>16280000</v>
      </c>
      <c r="L83" s="3">
        <v>16580000</v>
      </c>
      <c r="M83" s="3">
        <v>4362.3</v>
      </c>
      <c r="N83" s="3">
        <v>163000000</v>
      </c>
      <c r="O83" s="3">
        <v>166000000</v>
      </c>
      <c r="P83" s="5">
        <v>0.97916666666666663</v>
      </c>
    </row>
    <row r="84" spans="1:16" x14ac:dyDescent="0.25">
      <c r="A84" s="1" t="s">
        <v>69</v>
      </c>
      <c r="B84" s="4">
        <v>46105</v>
      </c>
      <c r="C84" s="1" t="str">
        <f>+"Tuần  "&amp;WEEKNUM(B84)</f>
        <v>Tuần  13</v>
      </c>
      <c r="D84" s="1" t="s">
        <v>21</v>
      </c>
      <c r="E84" s="1" t="s">
        <v>159</v>
      </c>
      <c r="F84" s="2">
        <v>167000000</v>
      </c>
      <c r="G84" s="2">
        <v>170000000</v>
      </c>
      <c r="H84" s="2">
        <f>+(M84*26000)/0.829426</f>
        <v>138675903.57669038</v>
      </c>
      <c r="I84" s="2">
        <f>+G84-H84</f>
        <v>31324096.423309624</v>
      </c>
      <c r="J84" s="3">
        <v>3000000</v>
      </c>
      <c r="K84" s="3">
        <v>16700000</v>
      </c>
      <c r="L84" s="3">
        <v>17000000</v>
      </c>
      <c r="M84" s="3">
        <v>4423.8999999999996</v>
      </c>
      <c r="N84" s="3">
        <v>167200000</v>
      </c>
      <c r="O84" s="3">
        <v>170200000</v>
      </c>
      <c r="P84" s="5">
        <v>0.97916666666666663</v>
      </c>
    </row>
    <row r="85" spans="1:16" x14ac:dyDescent="0.25">
      <c r="A85" s="1" t="s">
        <v>70</v>
      </c>
      <c r="B85" s="4">
        <v>46106</v>
      </c>
      <c r="C85" s="1" t="str">
        <f>+"Tuần  "&amp;WEEKNUM(B85)</f>
        <v>Tuần  13</v>
      </c>
      <c r="D85" s="1" t="s">
        <v>22</v>
      </c>
      <c r="E85" s="1" t="s">
        <v>159</v>
      </c>
      <c r="F85" s="2">
        <v>170300000</v>
      </c>
      <c r="G85" s="2">
        <v>173300000</v>
      </c>
      <c r="H85" s="2">
        <f>+(M85*26000)/0.829426</f>
        <v>142885802.95288548</v>
      </c>
      <c r="I85" s="2">
        <f>+G85-H85</f>
        <v>30414197.047114521</v>
      </c>
      <c r="J85" s="3">
        <v>3000000</v>
      </c>
      <c r="K85" s="3">
        <v>17030000</v>
      </c>
      <c r="L85" s="3">
        <v>17330000</v>
      </c>
      <c r="M85" s="3">
        <v>4558.2</v>
      </c>
      <c r="N85" s="3">
        <v>170500000</v>
      </c>
      <c r="O85" s="3">
        <v>173500000</v>
      </c>
      <c r="P85" s="5">
        <v>0.97916666666666663</v>
      </c>
    </row>
    <row r="86" spans="1:16" x14ac:dyDescent="0.25">
      <c r="A86" s="1" t="s">
        <v>71</v>
      </c>
      <c r="B86" s="4">
        <v>46107</v>
      </c>
      <c r="C86" s="1" t="str">
        <f>+"Tuần  "&amp;WEEKNUM(B86)</f>
        <v>Tuần  13</v>
      </c>
      <c r="D86" s="1" t="s">
        <v>16</v>
      </c>
      <c r="E86" s="1" t="s">
        <v>159</v>
      </c>
      <c r="F86" s="2">
        <v>168300000</v>
      </c>
      <c r="G86" s="2">
        <v>171300000</v>
      </c>
      <c r="H86" s="2">
        <f>+(M86*26000)/0.829426</f>
        <v>137769975.86282563</v>
      </c>
      <c r="I86" s="2">
        <f>+G86-H86</f>
        <v>33530024.137174368</v>
      </c>
      <c r="J86" s="3">
        <v>3000000</v>
      </c>
      <c r="K86" s="3">
        <v>16830000</v>
      </c>
      <c r="L86" s="3">
        <v>17130000</v>
      </c>
      <c r="M86" s="3">
        <v>4395</v>
      </c>
      <c r="N86" s="3">
        <v>168500000</v>
      </c>
      <c r="O86" s="3">
        <v>171500000</v>
      </c>
      <c r="P86" s="5">
        <v>0.97916666666666663</v>
      </c>
    </row>
    <row r="87" spans="1:16" x14ac:dyDescent="0.25">
      <c r="A87" s="1" t="s">
        <v>72</v>
      </c>
      <c r="B87" s="4">
        <v>46108</v>
      </c>
      <c r="C87" s="1" t="str">
        <f>+"Tuần  "&amp;WEEKNUM(B87)</f>
        <v>Tuần  13</v>
      </c>
      <c r="D87" s="1" t="s">
        <v>17</v>
      </c>
      <c r="E87" s="1" t="s">
        <v>159</v>
      </c>
      <c r="F87" s="2">
        <v>168400000</v>
      </c>
      <c r="G87" s="2">
        <v>171400000</v>
      </c>
      <c r="H87" s="2">
        <f>+(M87*26000)/0.829426</f>
        <v>141995548.72887996</v>
      </c>
      <c r="I87" s="2">
        <f>+G87-H87</f>
        <v>29404451.271120042</v>
      </c>
      <c r="J87" s="3">
        <v>3000000</v>
      </c>
      <c r="K87" s="3">
        <v>16840000</v>
      </c>
      <c r="L87" s="3">
        <v>17140000</v>
      </c>
      <c r="M87" s="3">
        <v>4529.8</v>
      </c>
      <c r="N87" s="3">
        <v>168600000</v>
      </c>
      <c r="O87" s="3">
        <v>171600000</v>
      </c>
      <c r="P87" s="5">
        <v>0.97916666666666663</v>
      </c>
    </row>
    <row r="88" spans="1:16" x14ac:dyDescent="0.25">
      <c r="A88" s="1" t="s">
        <v>73</v>
      </c>
      <c r="B88" s="4">
        <v>46109</v>
      </c>
      <c r="C88" s="1" t="str">
        <f>+"Tuần  "&amp;WEEKNUM(B88)</f>
        <v>Tuần  13</v>
      </c>
      <c r="D88" s="1" t="s">
        <v>18</v>
      </c>
      <c r="E88" s="1" t="s">
        <v>159</v>
      </c>
      <c r="F88" s="2">
        <v>169600000</v>
      </c>
      <c r="G88" s="2">
        <v>172600000</v>
      </c>
      <c r="H88" s="2">
        <f>+(M88*26000)/0.829426</f>
        <v>140904673.83467603</v>
      </c>
      <c r="I88" s="2">
        <f>+G88-H88</f>
        <v>31695326.165323973</v>
      </c>
      <c r="J88" s="3">
        <v>3000000</v>
      </c>
      <c r="K88" s="3">
        <v>16960000</v>
      </c>
      <c r="L88" s="3">
        <v>17260000</v>
      </c>
      <c r="M88" s="3">
        <v>4495</v>
      </c>
      <c r="N88" s="3">
        <v>169800000</v>
      </c>
      <c r="O88" s="3">
        <v>172800000</v>
      </c>
      <c r="P88" s="5">
        <v>0.39583333333333331</v>
      </c>
    </row>
    <row r="89" spans="1:16" x14ac:dyDescent="0.25">
      <c r="A89" s="1" t="s">
        <v>74</v>
      </c>
      <c r="B89" s="4">
        <v>46110</v>
      </c>
      <c r="C89" s="1" t="str">
        <f>+"Tuần  "&amp;WEEKNUM(B89)</f>
        <v>Tuần  14</v>
      </c>
      <c r="D89" s="1" t="s">
        <v>19</v>
      </c>
      <c r="E89" s="1" t="s">
        <v>159</v>
      </c>
      <c r="F89" s="2">
        <v>169600000</v>
      </c>
      <c r="G89" s="2">
        <v>172600000</v>
      </c>
      <c r="H89" s="2">
        <f>+(M89*26000)/0.829426</f>
        <v>140904673.83467603</v>
      </c>
      <c r="I89" s="2">
        <f>+G89-H89</f>
        <v>31695326.165323973</v>
      </c>
      <c r="J89" s="3">
        <v>3000000</v>
      </c>
      <c r="K89" s="3">
        <v>16960000</v>
      </c>
      <c r="L89" s="3">
        <v>17260000</v>
      </c>
      <c r="M89" s="3">
        <v>4495</v>
      </c>
      <c r="N89" s="3">
        <v>169800000</v>
      </c>
      <c r="O89" s="3">
        <v>172800000</v>
      </c>
      <c r="P89" s="5">
        <v>0</v>
      </c>
    </row>
    <row r="90" spans="1:16" x14ac:dyDescent="0.25">
      <c r="A90" s="1" t="s">
        <v>75</v>
      </c>
      <c r="B90" s="4">
        <v>46111</v>
      </c>
      <c r="C90" s="1" t="str">
        <f>+"Tuần  "&amp;WEEKNUM(B90)</f>
        <v>Tuần  14</v>
      </c>
      <c r="D90" s="1" t="s">
        <v>20</v>
      </c>
      <c r="E90" s="1" t="s">
        <v>159</v>
      </c>
      <c r="F90" s="2">
        <v>170600000</v>
      </c>
      <c r="G90" s="2">
        <v>173600000</v>
      </c>
      <c r="H90" s="2">
        <f>+(M90*26000)/0.829426</f>
        <v>142312153.22403684</v>
      </c>
      <c r="I90" s="2">
        <f>+G90-H90</f>
        <v>31287846.775963157</v>
      </c>
      <c r="J90" s="3">
        <v>3000000</v>
      </c>
      <c r="K90" s="3">
        <v>17060000</v>
      </c>
      <c r="L90" s="3">
        <v>17360000</v>
      </c>
      <c r="M90" s="3">
        <v>4539.8999999999996</v>
      </c>
      <c r="N90" s="3">
        <v>170800000</v>
      </c>
      <c r="O90" s="3">
        <v>173800000</v>
      </c>
      <c r="P90" s="5">
        <v>0.97916666666666663</v>
      </c>
    </row>
    <row r="91" spans="1:16" x14ac:dyDescent="0.25">
      <c r="A91" s="1" t="s">
        <v>76</v>
      </c>
      <c r="B91" s="4">
        <v>46112</v>
      </c>
      <c r="C91" s="1" t="str">
        <f>+"Tuần  "&amp;WEEKNUM(B91)</f>
        <v>Tuần  14</v>
      </c>
      <c r="D91" s="1" t="s">
        <v>21</v>
      </c>
      <c r="E91" s="1" t="s">
        <v>159</v>
      </c>
      <c r="F91" s="2">
        <v>171700000</v>
      </c>
      <c r="G91" s="2">
        <v>174700000</v>
      </c>
      <c r="H91" s="2">
        <f>+(M91*26000)/0.829426</f>
        <v>144797968.71571425</v>
      </c>
      <c r="I91" s="2">
        <f>+G91-H91</f>
        <v>29902031.284285754</v>
      </c>
      <c r="J91" s="3">
        <v>3000000</v>
      </c>
      <c r="K91" s="3">
        <v>17170000</v>
      </c>
      <c r="L91" s="3">
        <v>17470000</v>
      </c>
      <c r="M91" s="3">
        <v>4619.2</v>
      </c>
      <c r="N91" s="3">
        <v>171900000</v>
      </c>
      <c r="O91" s="3">
        <v>174900000</v>
      </c>
      <c r="P91" s="5">
        <v>0.97916666666666663</v>
      </c>
    </row>
    <row r="92" spans="1:16" x14ac:dyDescent="0.25">
      <c r="A92" s="4">
        <v>46026</v>
      </c>
      <c r="B92" s="4">
        <v>46113</v>
      </c>
      <c r="C92" s="1" t="str">
        <f>+"Tuần  "&amp;WEEKNUM(B92)</f>
        <v>Tuần  14</v>
      </c>
      <c r="D92" s="1" t="s">
        <v>22</v>
      </c>
      <c r="E92" s="1" t="s">
        <v>159</v>
      </c>
      <c r="F92" s="2">
        <v>173500000</v>
      </c>
      <c r="G92" s="2">
        <v>176500000</v>
      </c>
      <c r="H92" s="2">
        <f>+(M92*26000)/0.829426</f>
        <v>150061126.6104511</v>
      </c>
      <c r="I92" s="2">
        <f>+G92-H92</f>
        <v>26438873.389548898</v>
      </c>
      <c r="J92" s="3">
        <v>3000000</v>
      </c>
      <c r="K92" s="3">
        <v>17350000</v>
      </c>
      <c r="L92" s="3">
        <v>17650000</v>
      </c>
      <c r="M92" s="3">
        <v>4787.1000000000004</v>
      </c>
      <c r="N92" s="3">
        <v>173700000</v>
      </c>
      <c r="O92" s="3">
        <v>176700000</v>
      </c>
      <c r="P92" s="5">
        <v>0.95833333333333337</v>
      </c>
    </row>
    <row r="93" spans="1:16" x14ac:dyDescent="0.25">
      <c r="A93" s="4">
        <v>46057</v>
      </c>
      <c r="B93" s="4">
        <v>46114</v>
      </c>
      <c r="C93" s="1" t="str">
        <f>+"Tuần  "&amp;WEEKNUM(B93)</f>
        <v>Tuần  14</v>
      </c>
      <c r="D93" s="1" t="s">
        <v>16</v>
      </c>
      <c r="E93" s="1" t="s">
        <v>159</v>
      </c>
      <c r="F93" s="2">
        <v>169800000</v>
      </c>
      <c r="G93" s="2">
        <v>173300000</v>
      </c>
      <c r="H93" s="2">
        <f>+(M93*26000)/0.829426</f>
        <v>145967211.05921444</v>
      </c>
      <c r="I93" s="2">
        <f>+G93-H93</f>
        <v>27332788.940785557</v>
      </c>
      <c r="J93" s="3">
        <v>3500000</v>
      </c>
      <c r="K93" s="3">
        <v>16980000</v>
      </c>
      <c r="L93" s="3">
        <v>17330000</v>
      </c>
      <c r="M93" s="3">
        <v>4656.5</v>
      </c>
      <c r="N93" s="3">
        <v>170000000</v>
      </c>
      <c r="O93" s="3">
        <v>173500000</v>
      </c>
      <c r="P93" s="5">
        <v>0.97916666666666663</v>
      </c>
    </row>
    <row r="94" spans="1:16" x14ac:dyDescent="0.25">
      <c r="A94" s="4">
        <v>46085</v>
      </c>
      <c r="B94" s="4">
        <v>46115</v>
      </c>
      <c r="C94" s="1" t="str">
        <f>+"Tuần  "&amp;WEEKNUM(B94)</f>
        <v>Tuần  14</v>
      </c>
      <c r="D94" s="1" t="s">
        <v>17</v>
      </c>
      <c r="E94" s="1" t="s">
        <v>159</v>
      </c>
      <c r="F94" s="2">
        <v>170800000</v>
      </c>
      <c r="G94" s="2">
        <v>174300000</v>
      </c>
      <c r="H94" s="2">
        <f>+(M94*26000)/0.829426</f>
        <v>146641171.12316227</v>
      </c>
      <c r="I94" s="2">
        <f>+G94-H94</f>
        <v>27658828.87683773</v>
      </c>
      <c r="J94" s="3">
        <v>3500000</v>
      </c>
      <c r="K94" s="3">
        <v>17080000</v>
      </c>
      <c r="L94" s="3">
        <v>17430000</v>
      </c>
      <c r="M94" s="3">
        <v>4678</v>
      </c>
      <c r="N94" s="3">
        <v>171000000</v>
      </c>
      <c r="O94" s="3">
        <v>174500000</v>
      </c>
      <c r="P94" s="5">
        <v>0.39583333333333331</v>
      </c>
    </row>
    <row r="95" spans="1:16" x14ac:dyDescent="0.25">
      <c r="A95" s="4">
        <v>46116</v>
      </c>
      <c r="B95" s="4">
        <v>46116</v>
      </c>
      <c r="C95" s="1" t="str">
        <f>+"Tuần  "&amp;WEEKNUM(B95)</f>
        <v>Tuần  14</v>
      </c>
      <c r="D95" s="1" t="s">
        <v>18</v>
      </c>
      <c r="E95" s="1" t="s">
        <v>159</v>
      </c>
      <c r="F95" s="2">
        <v>171300000</v>
      </c>
      <c r="G95" s="2">
        <v>174300000</v>
      </c>
      <c r="H95" s="2">
        <f>+(M95*26000)/0.829426</f>
        <v>146641171.12316227</v>
      </c>
      <c r="I95" s="2">
        <f>+G95-H95</f>
        <v>27658828.87683773</v>
      </c>
      <c r="J95" s="3">
        <v>3000000</v>
      </c>
      <c r="K95" s="3">
        <v>17130000</v>
      </c>
      <c r="L95" s="3">
        <v>17430000</v>
      </c>
      <c r="M95" s="3">
        <v>4678</v>
      </c>
      <c r="N95" s="3">
        <v>171500000</v>
      </c>
      <c r="O95" s="3">
        <v>174500000</v>
      </c>
      <c r="P95" s="5">
        <v>0.35416666666666669</v>
      </c>
    </row>
    <row r="96" spans="1:16" x14ac:dyDescent="0.25">
      <c r="A96" s="4">
        <v>46146</v>
      </c>
      <c r="B96" s="4">
        <v>46117</v>
      </c>
      <c r="C96" s="1" t="str">
        <f>+"Tuần  "&amp;WEEKNUM(B96)</f>
        <v>Tuần  15</v>
      </c>
      <c r="D96" s="1" t="s">
        <v>19</v>
      </c>
      <c r="E96" s="1" t="s">
        <v>159</v>
      </c>
      <c r="F96" s="2">
        <v>171300000</v>
      </c>
      <c r="G96" s="2">
        <v>174300000</v>
      </c>
      <c r="H96" s="2">
        <f>+(M96*26000)/0.829426</f>
        <v>146641171.12316227</v>
      </c>
      <c r="I96" s="2">
        <f>+G96-H96</f>
        <v>27658828.87683773</v>
      </c>
      <c r="J96" s="3">
        <v>3000000</v>
      </c>
      <c r="K96" s="3">
        <v>17130000</v>
      </c>
      <c r="L96" s="3">
        <v>17430000</v>
      </c>
      <c r="M96" s="3">
        <v>4678</v>
      </c>
      <c r="N96" s="3">
        <v>171500000</v>
      </c>
      <c r="O96" s="3">
        <v>174500000</v>
      </c>
      <c r="P96" s="5">
        <v>0</v>
      </c>
    </row>
    <row r="97" spans="1:16" x14ac:dyDescent="0.25">
      <c r="A97" s="4">
        <v>46177</v>
      </c>
      <c r="B97" s="4">
        <v>46118</v>
      </c>
      <c r="C97" s="1" t="str">
        <f>+"Tuần  "&amp;WEEKNUM(B97)</f>
        <v>Tuần  15</v>
      </c>
      <c r="D97" s="1" t="s">
        <v>20</v>
      </c>
      <c r="E97" s="1" t="s">
        <v>159</v>
      </c>
      <c r="F97" s="2">
        <v>169600000</v>
      </c>
      <c r="G97" s="2">
        <v>172600000</v>
      </c>
      <c r="H97" s="2">
        <f>+(M97*26000)/0.829426</f>
        <v>146368452.39961129</v>
      </c>
      <c r="I97" s="2">
        <f>+G97-H97</f>
        <v>26231547.600388706</v>
      </c>
      <c r="J97" s="3">
        <v>3000000</v>
      </c>
      <c r="K97" s="3">
        <v>16960000</v>
      </c>
      <c r="L97" s="3">
        <v>17260000</v>
      </c>
      <c r="M97" s="3">
        <v>4669.3</v>
      </c>
      <c r="N97" s="3">
        <v>170100000</v>
      </c>
      <c r="O97" s="3">
        <v>173100000</v>
      </c>
      <c r="P97" s="5">
        <v>0.97916666666666663</v>
      </c>
    </row>
    <row r="98" spans="1:16" x14ac:dyDescent="0.25">
      <c r="A98" s="4">
        <v>46207</v>
      </c>
      <c r="B98" s="4">
        <v>46119</v>
      </c>
      <c r="C98" s="1" t="str">
        <f>+"Tuần  "&amp;WEEKNUM(B98)</f>
        <v>Tuần  15</v>
      </c>
      <c r="D98" s="1" t="s">
        <v>21</v>
      </c>
      <c r="E98" s="1" t="s">
        <v>159</v>
      </c>
      <c r="F98" s="2">
        <v>169000000</v>
      </c>
      <c r="G98" s="2">
        <v>172000000</v>
      </c>
      <c r="H98" s="2">
        <f>+(M98*26000)/0.829426</f>
        <v>146145888.84360993</v>
      </c>
      <c r="I98" s="2">
        <f>+G98-H98</f>
        <v>25854111.156390071</v>
      </c>
      <c r="J98" s="3">
        <v>3000000</v>
      </c>
      <c r="K98" s="3">
        <v>16900000</v>
      </c>
      <c r="L98" s="3">
        <v>17200000</v>
      </c>
      <c r="M98" s="3">
        <v>4662.2</v>
      </c>
      <c r="N98" s="3">
        <v>169500000</v>
      </c>
      <c r="O98" s="3">
        <v>172500000</v>
      </c>
      <c r="P98" s="5">
        <v>0.97916666666666663</v>
      </c>
    </row>
    <row r="99" spans="1:16" x14ac:dyDescent="0.25">
      <c r="A99" s="4">
        <v>46238</v>
      </c>
      <c r="B99" s="4">
        <v>46120</v>
      </c>
      <c r="C99" s="1" t="str">
        <f>+"Tuần  "&amp;WEEKNUM(B99)</f>
        <v>Tuần  15</v>
      </c>
      <c r="D99" s="1" t="s">
        <v>22</v>
      </c>
      <c r="E99" s="1" t="s">
        <v>159</v>
      </c>
      <c r="F99" s="2">
        <v>170500000</v>
      </c>
      <c r="G99" s="2">
        <v>174500000</v>
      </c>
      <c r="H99" s="2">
        <f>+(M99*26000)/0.829426</f>
        <v>148923231.24666938</v>
      </c>
      <c r="I99" s="2">
        <f>+G99-H99</f>
        <v>25576768.753330618</v>
      </c>
      <c r="J99" s="3">
        <v>4000000</v>
      </c>
      <c r="K99" s="3">
        <v>17050000</v>
      </c>
      <c r="L99" s="3">
        <v>17450000</v>
      </c>
      <c r="M99" s="3">
        <v>4750.8</v>
      </c>
      <c r="N99" s="3">
        <v>171000000</v>
      </c>
      <c r="O99" s="3">
        <v>175000000</v>
      </c>
      <c r="P99" s="5">
        <v>0.97916666666666663</v>
      </c>
    </row>
    <row r="100" spans="1:16" x14ac:dyDescent="0.25">
      <c r="A100" s="4">
        <v>46269</v>
      </c>
      <c r="B100" s="4">
        <v>46121</v>
      </c>
      <c r="C100" s="1" t="str">
        <f>+"Tuần  "&amp;WEEKNUM(B100)</f>
        <v>Tuần  15</v>
      </c>
      <c r="D100" s="1" t="s">
        <v>16</v>
      </c>
      <c r="E100" s="1" t="s">
        <v>159</v>
      </c>
      <c r="F100" s="2">
        <v>168000000</v>
      </c>
      <c r="G100" s="2">
        <v>171000000</v>
      </c>
      <c r="H100" s="2">
        <f>+(M100*26000)/0.829426</f>
        <v>150286824.86442432</v>
      </c>
      <c r="I100" s="2">
        <f>+G100-H100</f>
        <v>20713175.135575682</v>
      </c>
      <c r="J100" s="3">
        <v>3000000</v>
      </c>
      <c r="K100" s="3">
        <v>16800000</v>
      </c>
      <c r="L100" s="3">
        <v>17100000</v>
      </c>
      <c r="M100" s="3">
        <v>4794.3</v>
      </c>
      <c r="N100" s="3">
        <v>168500000</v>
      </c>
      <c r="O100" s="3">
        <v>171500000</v>
      </c>
      <c r="P100" s="5">
        <v>0.97916666666666663</v>
      </c>
    </row>
    <row r="101" spans="1:16" x14ac:dyDescent="0.25">
      <c r="A101" s="4">
        <v>46299</v>
      </c>
      <c r="B101" s="4">
        <v>46122</v>
      </c>
      <c r="C101" s="1" t="str">
        <f>+"Tuần  "&amp;WEEKNUM(B101)</f>
        <v>Tuần  15</v>
      </c>
      <c r="D101" s="1" t="s">
        <v>17</v>
      </c>
      <c r="E101" s="1" t="s">
        <v>159</v>
      </c>
      <c r="F101" s="2">
        <v>169400000</v>
      </c>
      <c r="G101" s="2">
        <v>172400000</v>
      </c>
      <c r="H101" s="2">
        <f>+(M101*26000)/0.829426</f>
        <v>149286856.21140403</v>
      </c>
      <c r="I101" s="2">
        <f>+G101-H101</f>
        <v>23113143.788595974</v>
      </c>
      <c r="J101" s="3">
        <v>3000000</v>
      </c>
      <c r="K101" s="3">
        <v>16940000</v>
      </c>
      <c r="L101" s="3">
        <v>17240000</v>
      </c>
      <c r="M101" s="3">
        <v>4762.3999999999996</v>
      </c>
      <c r="N101" s="3">
        <v>169700000</v>
      </c>
      <c r="O101" s="3">
        <v>172700000</v>
      </c>
      <c r="P101" s="5">
        <v>0.97916666666666663</v>
      </c>
    </row>
    <row r="102" spans="1:16" x14ac:dyDescent="0.25">
      <c r="A102" s="4">
        <v>46330</v>
      </c>
      <c r="B102" s="4">
        <v>46123</v>
      </c>
      <c r="C102" s="1" t="str">
        <f>+"Tuần  "&amp;WEEKNUM(B102)</f>
        <v>Tuần  15</v>
      </c>
      <c r="D102" s="1" t="s">
        <v>18</v>
      </c>
      <c r="E102" s="1" t="s">
        <v>159</v>
      </c>
      <c r="F102" s="2">
        <v>169100000</v>
      </c>
      <c r="G102" s="2">
        <v>172100000</v>
      </c>
      <c r="H102" s="2">
        <f>+(M102*26000)/0.829426</f>
        <v>148873076.07911977</v>
      </c>
      <c r="I102" s="2">
        <f>+G102-H102</f>
        <v>23226923.920880228</v>
      </c>
      <c r="J102" s="3">
        <v>3000000</v>
      </c>
      <c r="K102" s="3">
        <v>16910000</v>
      </c>
      <c r="L102" s="3">
        <v>17210000</v>
      </c>
      <c r="M102" s="3">
        <v>4749.2</v>
      </c>
      <c r="N102" s="3">
        <v>169400000</v>
      </c>
      <c r="O102" s="3">
        <v>172400000</v>
      </c>
      <c r="P102" s="5">
        <v>0.39583333333333331</v>
      </c>
    </row>
    <row r="103" spans="1:16" x14ac:dyDescent="0.25">
      <c r="A103" s="4">
        <v>46360</v>
      </c>
      <c r="B103" s="4">
        <v>46124</v>
      </c>
      <c r="C103" s="1" t="str">
        <f>+"Tuần  "&amp;WEEKNUM(B103)</f>
        <v>Tuần  16</v>
      </c>
      <c r="D103" s="1" t="s">
        <v>19</v>
      </c>
      <c r="E103" s="1" t="s">
        <v>159</v>
      </c>
      <c r="F103" s="2">
        <v>169100000</v>
      </c>
      <c r="G103" s="2">
        <v>172100000</v>
      </c>
      <c r="H103" s="2">
        <f>+(M103*26000)/0.829426</f>
        <v>148873076.07911977</v>
      </c>
      <c r="I103" s="2">
        <f>+G103-H103</f>
        <v>23226923.920880228</v>
      </c>
      <c r="J103" s="3">
        <v>3000000</v>
      </c>
      <c r="K103" s="3">
        <v>16910000</v>
      </c>
      <c r="L103" s="3">
        <v>17210000</v>
      </c>
      <c r="M103" s="3">
        <v>4749.2</v>
      </c>
      <c r="N103" s="3">
        <v>169400000</v>
      </c>
      <c r="O103" s="3">
        <v>172400000</v>
      </c>
      <c r="P103" s="5">
        <v>0.64583333333333337</v>
      </c>
    </row>
    <row r="104" spans="1:16" x14ac:dyDescent="0.25">
      <c r="A104" s="1" t="s">
        <v>77</v>
      </c>
      <c r="B104" s="4">
        <v>46125</v>
      </c>
      <c r="C104" s="1" t="str">
        <f>+"Tuần  "&amp;WEEKNUM(B104)</f>
        <v>Tuần  16</v>
      </c>
      <c r="D104" s="1" t="s">
        <v>20</v>
      </c>
      <c r="E104" s="1" t="s">
        <v>159</v>
      </c>
      <c r="F104" s="2">
        <v>168200000</v>
      </c>
      <c r="G104" s="2">
        <v>171200000</v>
      </c>
      <c r="H104" s="2">
        <f>+(M104*26000)/0.829426</f>
        <v>148324503.93404594</v>
      </c>
      <c r="I104" s="2">
        <f>+G104-H104</f>
        <v>22875496.065954059</v>
      </c>
      <c r="J104" s="3">
        <v>3000000</v>
      </c>
      <c r="K104" s="3">
        <v>16820000</v>
      </c>
      <c r="L104" s="3">
        <v>17120000</v>
      </c>
      <c r="M104" s="3">
        <v>4731.7</v>
      </c>
      <c r="N104" s="3">
        <v>168500000</v>
      </c>
      <c r="O104" s="3">
        <v>171500000</v>
      </c>
      <c r="P104" s="5">
        <v>0.97916666666666663</v>
      </c>
    </row>
    <row r="105" spans="1:16" x14ac:dyDescent="0.25">
      <c r="A105" s="1" t="s">
        <v>78</v>
      </c>
      <c r="B105" s="4">
        <v>46126</v>
      </c>
      <c r="C105" s="1" t="str">
        <f>+"Tuần  "&amp;WEEKNUM(B105)</f>
        <v>Tuần  16</v>
      </c>
      <c r="D105" s="1" t="s">
        <v>21</v>
      </c>
      <c r="E105" s="1" t="s">
        <v>159</v>
      </c>
      <c r="F105" s="2">
        <v>170200000</v>
      </c>
      <c r="G105" s="2">
        <v>172700000</v>
      </c>
      <c r="H105" s="2">
        <f>+(M105*26000)/0.829426</f>
        <v>151098711.63913357</v>
      </c>
      <c r="I105" s="2">
        <f>+G105-H105</f>
        <v>21601288.360866427</v>
      </c>
      <c r="J105" s="3">
        <v>2500000</v>
      </c>
      <c r="K105" s="3">
        <v>17020000</v>
      </c>
      <c r="L105" s="3">
        <v>17270000</v>
      </c>
      <c r="M105" s="3">
        <v>4820.2</v>
      </c>
      <c r="N105" s="3">
        <v>170500000</v>
      </c>
      <c r="O105" s="3">
        <v>173000000</v>
      </c>
      <c r="P105" s="5">
        <v>0.97916666666666663</v>
      </c>
    </row>
    <row r="106" spans="1:16" x14ac:dyDescent="0.25">
      <c r="A106" s="1" t="s">
        <v>79</v>
      </c>
      <c r="B106" s="4">
        <v>46127</v>
      </c>
      <c r="C106" s="1" t="str">
        <f>+"Tuần  "&amp;WEEKNUM(B106)</f>
        <v>Tuần  16</v>
      </c>
      <c r="D106" s="1" t="s">
        <v>22</v>
      </c>
      <c r="E106" s="1" t="s">
        <v>159</v>
      </c>
      <c r="F106" s="2">
        <v>169700000</v>
      </c>
      <c r="G106" s="2">
        <v>173200000</v>
      </c>
      <c r="H106" s="2">
        <f>+(M106*26000)/0.829426</f>
        <v>150782107.14397669</v>
      </c>
      <c r="I106" s="2">
        <f>+G106-H106</f>
        <v>22417892.856023312</v>
      </c>
      <c r="J106" s="3">
        <v>3500000</v>
      </c>
      <c r="K106" s="3">
        <v>16970000</v>
      </c>
      <c r="L106" s="3">
        <v>17320000</v>
      </c>
      <c r="M106" s="3">
        <v>4810.1000000000004</v>
      </c>
      <c r="N106" s="3">
        <v>170000000</v>
      </c>
      <c r="O106" s="3">
        <v>173500000</v>
      </c>
      <c r="P106" s="5">
        <v>0.97916666666666663</v>
      </c>
    </row>
    <row r="107" spans="1:16" x14ac:dyDescent="0.25">
      <c r="A107" s="1" t="s">
        <v>80</v>
      </c>
      <c r="B107" s="4">
        <v>46128</v>
      </c>
      <c r="C107" s="1" t="str">
        <f>+"Tuần  "&amp;WEEKNUM(B107)</f>
        <v>Tuần  16</v>
      </c>
      <c r="D107" s="1" t="s">
        <v>16</v>
      </c>
      <c r="E107" s="1" t="s">
        <v>159</v>
      </c>
      <c r="F107" s="2">
        <v>167200000</v>
      </c>
      <c r="G107" s="2">
        <v>170700000</v>
      </c>
      <c r="H107" s="2">
        <f>+(M107*26000)/0.829426</f>
        <v>150499984.32651016</v>
      </c>
      <c r="I107" s="2">
        <f>+G107-H107</f>
        <v>20200015.673489839</v>
      </c>
      <c r="J107" s="3">
        <v>3500000</v>
      </c>
      <c r="K107" s="3">
        <v>16720000</v>
      </c>
      <c r="L107" s="3">
        <v>17070000</v>
      </c>
      <c r="M107" s="3">
        <v>4801.1000000000004</v>
      </c>
      <c r="N107" s="3">
        <v>167700000</v>
      </c>
      <c r="O107" s="3">
        <v>171200000</v>
      </c>
      <c r="P107" s="5">
        <v>0.97916666666666663</v>
      </c>
    </row>
    <row r="108" spans="1:16" x14ac:dyDescent="0.25">
      <c r="A108" s="1" t="s">
        <v>81</v>
      </c>
      <c r="B108" s="4">
        <v>46129</v>
      </c>
      <c r="C108" s="1" t="str">
        <f>+"Tuần  "&amp;WEEKNUM(B108)</f>
        <v>Tuần  16</v>
      </c>
      <c r="D108" s="1" t="s">
        <v>17</v>
      </c>
      <c r="E108" s="1" t="s">
        <v>159</v>
      </c>
      <c r="F108" s="2">
        <v>167000000</v>
      </c>
      <c r="G108" s="2">
        <v>170500000</v>
      </c>
      <c r="H108" s="2">
        <f>+(M108*26000)/0.829426</f>
        <v>152681734.11491802</v>
      </c>
      <c r="I108" s="2">
        <f>+G108-H108</f>
        <v>17818265.885081977</v>
      </c>
      <c r="J108" s="3">
        <v>3500000</v>
      </c>
      <c r="K108" s="3">
        <v>16700000</v>
      </c>
      <c r="L108" s="3">
        <v>17050000</v>
      </c>
      <c r="M108" s="3">
        <v>4870.7</v>
      </c>
      <c r="N108" s="3">
        <v>167500000</v>
      </c>
      <c r="O108" s="3">
        <v>171000000</v>
      </c>
      <c r="P108" s="5">
        <v>0.97916666666666663</v>
      </c>
    </row>
    <row r="109" spans="1:16" x14ac:dyDescent="0.25">
      <c r="A109" s="1" t="s">
        <v>82</v>
      </c>
      <c r="B109" s="4">
        <v>46130</v>
      </c>
      <c r="C109" s="1" t="str">
        <f>+"Tuần  "&amp;WEEKNUM(B109)</f>
        <v>Tuần  16</v>
      </c>
      <c r="D109" s="1" t="s">
        <v>18</v>
      </c>
      <c r="E109" s="1" t="s">
        <v>159</v>
      </c>
      <c r="F109" s="2">
        <v>168000000</v>
      </c>
      <c r="G109" s="2">
        <v>171500000</v>
      </c>
      <c r="H109" s="2">
        <f>+(M109*26000)/0.829426</f>
        <v>151449797.81198078</v>
      </c>
      <c r="I109" s="2">
        <f>+G109-H109</f>
        <v>20050202.188019216</v>
      </c>
      <c r="J109" s="3">
        <v>3500000</v>
      </c>
      <c r="K109" s="3">
        <v>16800000</v>
      </c>
      <c r="L109" s="3">
        <v>17150000</v>
      </c>
      <c r="M109" s="3">
        <v>4831.3999999999996</v>
      </c>
      <c r="N109" s="3">
        <v>168500000</v>
      </c>
      <c r="O109" s="3">
        <v>172000000</v>
      </c>
      <c r="P109" s="5">
        <v>0.39583333333333331</v>
      </c>
    </row>
    <row r="110" spans="1:16" x14ac:dyDescent="0.25">
      <c r="A110" s="1" t="s">
        <v>83</v>
      </c>
      <c r="B110" s="4">
        <v>46131</v>
      </c>
      <c r="C110" s="1" t="str">
        <f>+"Tuần  "&amp;WEEKNUM(B110)</f>
        <v>Tuần  17</v>
      </c>
      <c r="D110" s="1" t="s">
        <v>19</v>
      </c>
      <c r="E110" s="1" t="s">
        <v>159</v>
      </c>
      <c r="F110" s="2">
        <v>168000000</v>
      </c>
      <c r="G110" s="2">
        <v>171500000</v>
      </c>
      <c r="H110" s="2">
        <f>+(M110*26000)/0.829426</f>
        <v>151449797.81198078</v>
      </c>
      <c r="I110" s="2">
        <f>+G110-H110</f>
        <v>20050202.188019216</v>
      </c>
      <c r="J110" s="3">
        <v>3500000</v>
      </c>
      <c r="K110" s="3">
        <v>16800000</v>
      </c>
      <c r="L110" s="3">
        <v>17150000</v>
      </c>
      <c r="M110" s="3">
        <v>4831.3999999999996</v>
      </c>
      <c r="N110" s="3">
        <v>168500000</v>
      </c>
      <c r="O110" s="3">
        <v>172000000</v>
      </c>
      <c r="P110" s="5">
        <v>0</v>
      </c>
    </row>
    <row r="111" spans="1:16" x14ac:dyDescent="0.25">
      <c r="A111" s="1" t="s">
        <v>84</v>
      </c>
      <c r="B111" s="4">
        <v>46132</v>
      </c>
      <c r="C111" s="1" t="str">
        <f>+"Tuần  "&amp;WEEKNUM(B111)</f>
        <v>Tuần  17</v>
      </c>
      <c r="D111" s="1" t="s">
        <v>20</v>
      </c>
      <c r="E111" s="1" t="s">
        <v>159</v>
      </c>
      <c r="F111" s="2">
        <v>167800000</v>
      </c>
      <c r="G111" s="2">
        <v>170800000</v>
      </c>
      <c r="H111" s="2">
        <f>+(M111*26000)/0.829426</f>
        <v>150518792.51434124</v>
      </c>
      <c r="I111" s="2">
        <f>+G111-H111</f>
        <v>20281207.485658765</v>
      </c>
      <c r="J111" s="3">
        <v>3000000</v>
      </c>
      <c r="K111" s="3">
        <v>16780000</v>
      </c>
      <c r="L111" s="3">
        <v>17080000</v>
      </c>
      <c r="M111" s="3">
        <v>4801.7</v>
      </c>
      <c r="N111" s="3">
        <v>168300000</v>
      </c>
      <c r="O111" s="3">
        <v>171300000</v>
      </c>
      <c r="P111" s="5">
        <v>0.97916666666666663</v>
      </c>
    </row>
    <row r="112" spans="1:16" x14ac:dyDescent="0.25">
      <c r="A112" s="1" t="s">
        <v>85</v>
      </c>
      <c r="B112" s="4">
        <v>46133</v>
      </c>
      <c r="C112" s="1" t="str">
        <f>+"Tuần  "&amp;WEEKNUM(B112)</f>
        <v>Tuần  17</v>
      </c>
      <c r="D112" s="1" t="s">
        <v>21</v>
      </c>
      <c r="E112" s="1" t="s">
        <v>159</v>
      </c>
      <c r="F112" s="2">
        <v>167900000</v>
      </c>
      <c r="G112" s="2">
        <v>170400000</v>
      </c>
      <c r="H112" s="2">
        <f>+(M112*26000)/0.829426</f>
        <v>148170903.73342529</v>
      </c>
      <c r="I112" s="2">
        <f>+G112-H112</f>
        <v>22229096.266574711</v>
      </c>
      <c r="J112" s="3">
        <v>2500000</v>
      </c>
      <c r="K112" s="3">
        <v>16790000</v>
      </c>
      <c r="L112" s="3">
        <v>17040000</v>
      </c>
      <c r="M112" s="3">
        <v>4726.8</v>
      </c>
      <c r="N112" s="3">
        <v>168100000</v>
      </c>
      <c r="O112" s="3">
        <v>170600000</v>
      </c>
      <c r="P112" s="5">
        <v>0.97916666666666663</v>
      </c>
    </row>
    <row r="113" spans="1:16" x14ac:dyDescent="0.25">
      <c r="A113" s="1" t="s">
        <v>86</v>
      </c>
      <c r="B113" s="4">
        <v>46134</v>
      </c>
      <c r="C113" s="1" t="str">
        <f>+"Tuần  "&amp;WEEKNUM(B113)</f>
        <v>Tuần  17</v>
      </c>
      <c r="D113" s="1" t="s">
        <v>22</v>
      </c>
      <c r="E113" s="1" t="s">
        <v>159</v>
      </c>
      <c r="F113" s="2">
        <v>167300000</v>
      </c>
      <c r="G113" s="2">
        <v>169800000</v>
      </c>
      <c r="H113" s="2">
        <f>+(M113*26000)/0.829426</f>
        <v>148233597.6928623</v>
      </c>
      <c r="I113" s="2">
        <f>+G113-H113</f>
        <v>21566402.307137698</v>
      </c>
      <c r="J113" s="3">
        <v>2500000</v>
      </c>
      <c r="K113" s="3">
        <v>16730000</v>
      </c>
      <c r="L113" s="3">
        <v>16980000</v>
      </c>
      <c r="M113" s="3">
        <v>4728.8</v>
      </c>
      <c r="N113" s="3">
        <v>167500000</v>
      </c>
      <c r="O113" s="3">
        <v>170000000</v>
      </c>
      <c r="P113" s="5">
        <v>0.97916666666666663</v>
      </c>
    </row>
    <row r="114" spans="1:16" x14ac:dyDescent="0.25">
      <c r="A114" s="1" t="s">
        <v>87</v>
      </c>
      <c r="B114" s="4">
        <v>46135</v>
      </c>
      <c r="C114" s="1" t="str">
        <f>+"Tuần  "&amp;WEEKNUM(B114)</f>
        <v>Tuần  17</v>
      </c>
      <c r="D114" s="1" t="s">
        <v>16</v>
      </c>
      <c r="E114" s="1" t="s">
        <v>159</v>
      </c>
      <c r="F114" s="2">
        <v>166500000</v>
      </c>
      <c r="G114" s="2">
        <v>169000000</v>
      </c>
      <c r="H114" s="2">
        <f>+(M114*26000)/0.829426</f>
        <v>148105075.07601643</v>
      </c>
      <c r="I114" s="2">
        <f>+G114-H114</f>
        <v>20894924.923983574</v>
      </c>
      <c r="J114" s="3">
        <v>2500000</v>
      </c>
      <c r="K114" s="3">
        <v>16650000</v>
      </c>
      <c r="L114" s="3">
        <v>16900000</v>
      </c>
      <c r="M114" s="3">
        <v>4724.7</v>
      </c>
      <c r="N114" s="3">
        <v>166700000</v>
      </c>
      <c r="O114" s="3">
        <v>169200000</v>
      </c>
      <c r="P114" s="5">
        <v>0.97916666666666663</v>
      </c>
    </row>
    <row r="115" spans="1:16" x14ac:dyDescent="0.25">
      <c r="A115" s="1" t="s">
        <v>88</v>
      </c>
      <c r="B115" s="4">
        <v>46136</v>
      </c>
      <c r="C115" s="1" t="str">
        <f>+"Tuần  "&amp;WEEKNUM(B115)</f>
        <v>Tuần  17</v>
      </c>
      <c r="D115" s="1" t="s">
        <v>17</v>
      </c>
      <c r="E115" s="1" t="s">
        <v>159</v>
      </c>
      <c r="F115" s="2">
        <v>165000000</v>
      </c>
      <c r="G115" s="2">
        <v>167500000</v>
      </c>
      <c r="H115" s="2">
        <f>+(M115*26000)/0.829426</f>
        <v>148123883.26384753</v>
      </c>
      <c r="I115" s="2">
        <f>+G115-H115</f>
        <v>19376116.73615247</v>
      </c>
      <c r="J115" s="3">
        <v>2500000</v>
      </c>
      <c r="K115" s="3">
        <v>16500000</v>
      </c>
      <c r="L115" s="3">
        <v>16750000</v>
      </c>
      <c r="M115" s="3">
        <v>4725.3</v>
      </c>
      <c r="N115" s="3">
        <v>165500000</v>
      </c>
      <c r="O115" s="3">
        <v>168000000</v>
      </c>
      <c r="P115" s="5">
        <v>0.97916666666666663</v>
      </c>
    </row>
    <row r="116" spans="1:16" x14ac:dyDescent="0.25">
      <c r="A116" s="1" t="s">
        <v>89</v>
      </c>
      <c r="B116" s="4">
        <v>46137</v>
      </c>
      <c r="C116" s="1" t="str">
        <f>+"Tuần  "&amp;WEEKNUM(B116)</f>
        <v>Tuần  17</v>
      </c>
      <c r="D116" s="1" t="s">
        <v>18</v>
      </c>
      <c r="E116" s="1" t="s">
        <v>159</v>
      </c>
      <c r="F116" s="2">
        <v>165800000</v>
      </c>
      <c r="G116" s="2">
        <v>168300000</v>
      </c>
      <c r="H116" s="2">
        <f>+(M116*26000)/0.829426</f>
        <v>147669352.05792922</v>
      </c>
      <c r="I116" s="2">
        <f>+G116-H116</f>
        <v>20630647.942070782</v>
      </c>
      <c r="J116" s="3">
        <v>2500000</v>
      </c>
      <c r="K116" s="3">
        <v>16580000</v>
      </c>
      <c r="L116" s="3">
        <v>16830000</v>
      </c>
      <c r="M116" s="3">
        <v>4710.8</v>
      </c>
      <c r="N116" s="3">
        <v>166300000</v>
      </c>
      <c r="O116" s="3">
        <v>168800000</v>
      </c>
      <c r="P116" s="5">
        <v>0.39583333333333331</v>
      </c>
    </row>
    <row r="117" spans="1:16" x14ac:dyDescent="0.25">
      <c r="A117" s="1" t="s">
        <v>90</v>
      </c>
      <c r="B117" s="4">
        <v>46138</v>
      </c>
      <c r="C117" s="1" t="str">
        <f>+"Tuần  "&amp;WEEKNUM(B117)</f>
        <v>Tuần  18</v>
      </c>
      <c r="D117" s="1" t="s">
        <v>19</v>
      </c>
      <c r="E117" s="1" t="s">
        <v>159</v>
      </c>
      <c r="F117" s="2">
        <v>165800000</v>
      </c>
      <c r="G117" s="2">
        <v>168300000</v>
      </c>
      <c r="H117" s="2">
        <f>+(M117*26000)/0.829426</f>
        <v>147669352.05792922</v>
      </c>
      <c r="I117" s="2">
        <f>+G117-H117</f>
        <v>20630647.942070782</v>
      </c>
      <c r="J117" s="3">
        <v>2500000</v>
      </c>
      <c r="K117" s="3">
        <v>16580000</v>
      </c>
      <c r="L117" s="3">
        <v>16830000</v>
      </c>
      <c r="M117" s="3">
        <v>4710.8</v>
      </c>
      <c r="N117" s="3">
        <v>166300000</v>
      </c>
      <c r="O117" s="3">
        <v>168800000</v>
      </c>
      <c r="P117" s="5">
        <v>0</v>
      </c>
    </row>
    <row r="118" spans="1:16" x14ac:dyDescent="0.25">
      <c r="A118" s="1" t="s">
        <v>91</v>
      </c>
      <c r="B118" s="4">
        <v>46139</v>
      </c>
      <c r="C118" s="1" t="str">
        <f>+"Tuần  "&amp;WEEKNUM(B118)</f>
        <v>Tuần  18</v>
      </c>
      <c r="D118" s="1" t="s">
        <v>20</v>
      </c>
      <c r="E118" s="1" t="s">
        <v>159</v>
      </c>
      <c r="F118" s="2">
        <v>165800000</v>
      </c>
      <c r="G118" s="2">
        <v>168300000</v>
      </c>
      <c r="H118" s="2">
        <f>+(M118*26000)/0.829426</f>
        <v>146597285.35155639</v>
      </c>
      <c r="I118" s="2">
        <f>+G118-H118</f>
        <v>21702714.648443609</v>
      </c>
      <c r="J118" s="3">
        <v>2500000</v>
      </c>
      <c r="K118" s="3">
        <v>16580000</v>
      </c>
      <c r="L118" s="3">
        <v>16830000</v>
      </c>
      <c r="M118" s="3">
        <v>4676.6000000000004</v>
      </c>
      <c r="N118" s="3">
        <v>166300000</v>
      </c>
      <c r="O118" s="3">
        <v>168800000</v>
      </c>
      <c r="P118" s="5">
        <v>0.97916666666666663</v>
      </c>
    </row>
    <row r="119" spans="1:16" x14ac:dyDescent="0.25">
      <c r="A119" s="1" t="s">
        <v>92</v>
      </c>
      <c r="B119" s="4">
        <v>46140</v>
      </c>
      <c r="C119" s="1" t="str">
        <f>+"Tuần  "&amp;WEEKNUM(B119)</f>
        <v>Tuần  18</v>
      </c>
      <c r="D119" s="1" t="s">
        <v>21</v>
      </c>
      <c r="E119" s="1" t="s">
        <v>159</v>
      </c>
      <c r="F119" s="2">
        <v>165800000</v>
      </c>
      <c r="G119" s="2">
        <v>168300000</v>
      </c>
      <c r="H119" s="2">
        <f>+(M119*26000)/0.829426</f>
        <v>143747844.89514434</v>
      </c>
      <c r="I119" s="2">
        <f>+G119-H119</f>
        <v>24552155.104855657</v>
      </c>
      <c r="J119" s="3">
        <v>2500000</v>
      </c>
      <c r="K119" s="3">
        <v>16580000</v>
      </c>
      <c r="L119" s="3">
        <v>16830000</v>
      </c>
      <c r="M119" s="3">
        <v>4585.7</v>
      </c>
      <c r="N119" s="3">
        <v>166300000</v>
      </c>
      <c r="O119" s="3">
        <v>168800000</v>
      </c>
      <c r="P119" s="5">
        <v>0.97916666666666663</v>
      </c>
    </row>
    <row r="120" spans="1:16" x14ac:dyDescent="0.25">
      <c r="A120" s="1" t="s">
        <v>93</v>
      </c>
      <c r="B120" s="4">
        <v>46141</v>
      </c>
      <c r="C120" s="1" t="str">
        <f>+"Tuần  "&amp;WEEKNUM(B120)</f>
        <v>Tuần  18</v>
      </c>
      <c r="D120" s="1" t="s">
        <v>22</v>
      </c>
      <c r="E120" s="1" t="s">
        <v>159</v>
      </c>
      <c r="F120" s="2">
        <v>165800000</v>
      </c>
      <c r="G120" s="2">
        <v>168300000</v>
      </c>
      <c r="H120" s="2">
        <f>+(M120*26000)/0.829426</f>
        <v>143089558.32105577</v>
      </c>
      <c r="I120" s="2">
        <f>+G120-H120</f>
        <v>25210441.67894423</v>
      </c>
      <c r="J120" s="3">
        <v>2500000</v>
      </c>
      <c r="K120" s="3">
        <v>16580000</v>
      </c>
      <c r="L120" s="3">
        <v>16830000</v>
      </c>
      <c r="M120" s="3">
        <v>4564.7</v>
      </c>
      <c r="N120" s="3">
        <v>166300000</v>
      </c>
      <c r="O120" s="3">
        <v>168800000</v>
      </c>
      <c r="P120" s="5">
        <v>0.97916666666666663</v>
      </c>
    </row>
    <row r="121" spans="1:16" x14ac:dyDescent="0.25">
      <c r="A121" s="1" t="s">
        <v>94</v>
      </c>
      <c r="B121" s="4">
        <v>46142</v>
      </c>
      <c r="C121" s="1" t="str">
        <f>+"Tuần  "&amp;WEEKNUM(B121)</f>
        <v>Tuần  18</v>
      </c>
      <c r="D121" s="1" t="s">
        <v>16</v>
      </c>
      <c r="E121" s="1" t="s">
        <v>159</v>
      </c>
      <c r="F121" s="2">
        <v>162500000</v>
      </c>
      <c r="G121" s="2">
        <v>165500000</v>
      </c>
      <c r="H121" s="2">
        <f>+(M121*26000)/0.829426</f>
        <v>144506441.80433214</v>
      </c>
      <c r="I121" s="2">
        <f>+G121-H121</f>
        <v>20993558.195667863</v>
      </c>
      <c r="J121" s="3">
        <v>3000000</v>
      </c>
      <c r="K121" s="3">
        <v>16250000</v>
      </c>
      <c r="L121" s="3">
        <v>16550000</v>
      </c>
      <c r="M121" s="3">
        <v>4609.8999999999996</v>
      </c>
      <c r="N121" s="3">
        <v>163000000</v>
      </c>
      <c r="O121" s="3">
        <v>166000000</v>
      </c>
      <c r="P121" s="5">
        <v>0.97916666666666663</v>
      </c>
    </row>
    <row r="122" spans="1:16" x14ac:dyDescent="0.25">
      <c r="A122" s="4">
        <v>46027</v>
      </c>
      <c r="B122" s="4">
        <v>46143</v>
      </c>
      <c r="C122" s="1" t="str">
        <f>+"Tuần  "&amp;WEEKNUM(B122)</f>
        <v>Tuần  18</v>
      </c>
      <c r="D122" s="1" t="s">
        <v>17</v>
      </c>
      <c r="E122" s="1" t="s">
        <v>159</v>
      </c>
      <c r="F122" s="2">
        <v>162500000</v>
      </c>
      <c r="G122" s="2">
        <v>165500000</v>
      </c>
      <c r="H122" s="2">
        <f>+(M122*26000)/0.829426</f>
        <v>145497006.36343688</v>
      </c>
      <c r="I122" s="2">
        <f>+G122-H122</f>
        <v>20002993.636563122</v>
      </c>
      <c r="J122" s="3">
        <v>3000000</v>
      </c>
      <c r="K122" s="3">
        <v>16250000</v>
      </c>
      <c r="L122" s="3">
        <v>16550000</v>
      </c>
      <c r="M122" s="3">
        <v>4641.5</v>
      </c>
      <c r="N122" s="3">
        <v>163000000</v>
      </c>
      <c r="O122" s="3">
        <v>166000000</v>
      </c>
      <c r="P122" s="5">
        <v>0.97916666666666663</v>
      </c>
    </row>
    <row r="123" spans="1:16" x14ac:dyDescent="0.25">
      <c r="A123" s="4">
        <v>46058</v>
      </c>
      <c r="B123" s="4">
        <v>46144</v>
      </c>
      <c r="C123" s="1" t="str">
        <f>+"Tuần  "&amp;WEEKNUM(B123)</f>
        <v>Tuần  18</v>
      </c>
      <c r="D123" s="1" t="s">
        <v>18</v>
      </c>
      <c r="E123" s="1" t="s">
        <v>159</v>
      </c>
      <c r="F123" s="2">
        <v>162500000</v>
      </c>
      <c r="G123" s="2">
        <v>165500000</v>
      </c>
      <c r="H123" s="2">
        <f>+(M123*26000)/0.829426</f>
        <v>144678850.19278392</v>
      </c>
      <c r="I123" s="2">
        <f>+G123-H123</f>
        <v>20821149.807216078</v>
      </c>
      <c r="J123" s="3">
        <v>3000000</v>
      </c>
      <c r="K123" s="3">
        <v>16250000</v>
      </c>
      <c r="L123" s="3">
        <v>16550000</v>
      </c>
      <c r="M123" s="3">
        <v>4615.3999999999996</v>
      </c>
      <c r="N123" s="3">
        <v>163000000</v>
      </c>
      <c r="O123" s="3">
        <v>166000000</v>
      </c>
      <c r="P123" s="5">
        <v>0.1875</v>
      </c>
    </row>
    <row r="124" spans="1:16" x14ac:dyDescent="0.25">
      <c r="A124" s="4">
        <v>46086</v>
      </c>
      <c r="B124" s="4">
        <v>46145</v>
      </c>
      <c r="C124" s="1" t="str">
        <f>+"Tuần  "&amp;WEEKNUM(B124)</f>
        <v>Tuần  19</v>
      </c>
      <c r="D124" s="1" t="s">
        <v>19</v>
      </c>
      <c r="E124" s="1" t="s">
        <v>159</v>
      </c>
      <c r="F124" s="2">
        <v>162500000</v>
      </c>
      <c r="G124" s="2">
        <v>165500000</v>
      </c>
      <c r="H124" s="2">
        <f>+(M124*26000)/0.829426</f>
        <v>144678850.19278392</v>
      </c>
      <c r="I124" s="2">
        <f>+G124-H124</f>
        <v>20821149.807216078</v>
      </c>
      <c r="J124" s="3">
        <v>3000000</v>
      </c>
      <c r="K124" s="3">
        <v>16250000</v>
      </c>
      <c r="L124" s="3">
        <v>16550000</v>
      </c>
      <c r="M124" s="3">
        <v>4615.3999999999996</v>
      </c>
      <c r="N124" s="3">
        <v>163000000</v>
      </c>
      <c r="O124" s="3">
        <v>166000000</v>
      </c>
      <c r="P124" s="5">
        <v>0</v>
      </c>
    </row>
    <row r="125" spans="1:16" x14ac:dyDescent="0.25">
      <c r="A125" s="4">
        <v>46117</v>
      </c>
      <c r="B125" s="4">
        <v>46146</v>
      </c>
      <c r="C125" s="1" t="str">
        <f>+"Tuần  "&amp;WEEKNUM(B125)</f>
        <v>Tuần  19</v>
      </c>
      <c r="D125" s="1" t="s">
        <v>20</v>
      </c>
      <c r="E125" s="1" t="s">
        <v>159</v>
      </c>
      <c r="F125" s="2">
        <v>162800000</v>
      </c>
      <c r="G125" s="2">
        <v>165800000</v>
      </c>
      <c r="H125" s="2">
        <f>+(M125*26000)/0.829426</f>
        <v>141541017.52296168</v>
      </c>
      <c r="I125" s="2">
        <f>+G125-H125</f>
        <v>24258982.477038324</v>
      </c>
      <c r="J125" s="3">
        <v>3000000</v>
      </c>
      <c r="K125" s="3">
        <v>16280000</v>
      </c>
      <c r="L125" s="3">
        <v>16580000</v>
      </c>
      <c r="M125" s="3">
        <v>4515.3</v>
      </c>
      <c r="N125" s="3">
        <v>163300000</v>
      </c>
      <c r="O125" s="3">
        <v>166300000</v>
      </c>
      <c r="P125" s="5">
        <v>0.97916666666666663</v>
      </c>
    </row>
    <row r="126" spans="1:16" x14ac:dyDescent="0.25">
      <c r="A126" s="4">
        <v>46147</v>
      </c>
      <c r="B126" s="4">
        <v>46147</v>
      </c>
      <c r="C126" s="1" t="str">
        <f>+"Tuần  "&amp;WEEKNUM(B126)</f>
        <v>Tuần  19</v>
      </c>
      <c r="D126" s="1" t="s">
        <v>21</v>
      </c>
      <c r="E126" s="1" t="s">
        <v>159</v>
      </c>
      <c r="F126" s="2">
        <v>161500000</v>
      </c>
      <c r="G126" s="2">
        <v>164500000</v>
      </c>
      <c r="H126" s="2">
        <f>+(M126*26000)/0.829426</f>
        <v>142948496.91232249</v>
      </c>
      <c r="I126" s="2">
        <f>+G126-H126</f>
        <v>21551503.087677509</v>
      </c>
      <c r="J126" s="3">
        <v>3000000</v>
      </c>
      <c r="K126" s="3">
        <v>16150000</v>
      </c>
      <c r="L126" s="3">
        <v>16450000</v>
      </c>
      <c r="M126" s="3">
        <v>4560.2</v>
      </c>
      <c r="N126" s="3">
        <v>162000000</v>
      </c>
      <c r="O126" s="3">
        <v>165000000</v>
      </c>
      <c r="P126" s="5">
        <v>0.97916666666666663</v>
      </c>
    </row>
    <row r="127" spans="1:16" x14ac:dyDescent="0.25">
      <c r="A127" s="4">
        <v>46178</v>
      </c>
      <c r="B127" s="4">
        <v>46148</v>
      </c>
      <c r="C127" s="1" t="str">
        <f>+"Tuần  "&amp;WEEKNUM(B127)</f>
        <v>Tuần  19</v>
      </c>
      <c r="D127" s="1" t="s">
        <v>22</v>
      </c>
      <c r="E127" s="1" t="s">
        <v>159</v>
      </c>
      <c r="F127" s="2">
        <v>162500000</v>
      </c>
      <c r="G127" s="2">
        <v>165500000</v>
      </c>
      <c r="H127" s="2">
        <f>+(M127*26000)/0.829426</f>
        <v>146982853.20209396</v>
      </c>
      <c r="I127" s="2">
        <f>+G127-H127</f>
        <v>18517146.797906041</v>
      </c>
      <c r="J127" s="3">
        <v>3000000</v>
      </c>
      <c r="K127" s="3">
        <v>16250000</v>
      </c>
      <c r="L127" s="3">
        <v>16550000</v>
      </c>
      <c r="M127" s="3">
        <v>4688.8999999999996</v>
      </c>
      <c r="N127" s="3">
        <v>163000000</v>
      </c>
      <c r="O127" s="3">
        <v>166000000</v>
      </c>
      <c r="P127" s="5">
        <v>0.97916666666666663</v>
      </c>
    </row>
    <row r="128" spans="1:16" x14ac:dyDescent="0.25">
      <c r="A128" s="4">
        <v>46208</v>
      </c>
      <c r="B128" s="4">
        <v>46149</v>
      </c>
      <c r="C128" s="1" t="str">
        <f>+"Tuần  "&amp;WEEKNUM(B128)</f>
        <v>Tuần  19</v>
      </c>
      <c r="D128" s="1" t="s">
        <v>16</v>
      </c>
      <c r="E128" s="1" t="s">
        <v>159</v>
      </c>
      <c r="F128" s="2">
        <v>164000000</v>
      </c>
      <c r="G128" s="2">
        <v>167000000</v>
      </c>
      <c r="H128" s="2">
        <f>+(M128*26000)/0.829426</f>
        <v>148083132.19021347</v>
      </c>
      <c r="I128" s="2">
        <f>+G128-H128</f>
        <v>18916867.809786528</v>
      </c>
      <c r="J128" s="3">
        <v>3000000</v>
      </c>
      <c r="K128" s="3">
        <v>16400000</v>
      </c>
      <c r="L128" s="3">
        <v>16700000</v>
      </c>
      <c r="M128" s="3">
        <v>4724</v>
      </c>
      <c r="N128" s="3">
        <v>164500000</v>
      </c>
      <c r="O128" s="3">
        <v>167500000</v>
      </c>
      <c r="P128" s="5">
        <v>0.97916666666666663</v>
      </c>
    </row>
    <row r="129" spans="1:16" x14ac:dyDescent="0.25">
      <c r="A129" s="4">
        <v>46239</v>
      </c>
      <c r="B129" s="4">
        <v>46150</v>
      </c>
      <c r="C129" s="1" t="str">
        <f>+"Tuần  "&amp;WEEKNUM(B129)</f>
        <v>Tuần  19</v>
      </c>
      <c r="D129" s="1" t="s">
        <v>17</v>
      </c>
      <c r="E129" s="1" t="s">
        <v>159</v>
      </c>
      <c r="F129" s="2">
        <v>164000000</v>
      </c>
      <c r="G129" s="2">
        <v>167000000</v>
      </c>
      <c r="H129" s="2">
        <f>+(M129*26000)/0.829426</f>
        <v>147860568.63421208</v>
      </c>
      <c r="I129" s="2">
        <f>+G129-H129</f>
        <v>19139431.365787923</v>
      </c>
      <c r="J129" s="3">
        <v>3000000</v>
      </c>
      <c r="K129" s="3">
        <v>16400000</v>
      </c>
      <c r="L129" s="3">
        <v>16700000</v>
      </c>
      <c r="M129" s="3">
        <v>4716.8999999999996</v>
      </c>
      <c r="N129" s="3">
        <v>164500000</v>
      </c>
      <c r="O129" s="3">
        <v>167500000</v>
      </c>
      <c r="P129" s="5">
        <v>0.97916666666666663</v>
      </c>
    </row>
    <row r="130" spans="1:16" x14ac:dyDescent="0.25">
      <c r="A130" s="4">
        <v>46270</v>
      </c>
      <c r="B130" s="4">
        <v>46151</v>
      </c>
      <c r="C130" s="1" t="str">
        <f>+"Tuần  "&amp;WEEKNUM(B130)</f>
        <v>Tuần  19</v>
      </c>
      <c r="D130" s="1" t="s">
        <v>18</v>
      </c>
      <c r="E130" s="1" t="s">
        <v>159</v>
      </c>
      <c r="F130" s="2">
        <v>164000000</v>
      </c>
      <c r="G130" s="2">
        <v>167000000</v>
      </c>
      <c r="H130" s="2">
        <f>+(M130*26000)/0.829426</f>
        <v>147822952.2585499</v>
      </c>
      <c r="I130" s="2">
        <f>+G130-H130</f>
        <v>19177047.741450101</v>
      </c>
      <c r="J130" s="3">
        <v>3000000</v>
      </c>
      <c r="K130" s="3">
        <v>16400000</v>
      </c>
      <c r="L130" s="3">
        <v>16700000</v>
      </c>
      <c r="M130" s="3">
        <v>4715.7</v>
      </c>
      <c r="N130" s="3">
        <v>164500000</v>
      </c>
      <c r="O130" s="3">
        <v>167500000</v>
      </c>
      <c r="P130" s="5">
        <v>0.1875</v>
      </c>
    </row>
    <row r="131" spans="1:16" x14ac:dyDescent="0.25">
      <c r="A131" s="4">
        <v>46300</v>
      </c>
      <c r="B131" s="4">
        <v>46152</v>
      </c>
      <c r="C131" s="1" t="str">
        <f>+"Tuần  "&amp;WEEKNUM(B131)</f>
        <v>Tuần  20</v>
      </c>
      <c r="D131" s="1" t="s">
        <v>19</v>
      </c>
      <c r="E131" s="1" t="s">
        <v>159</v>
      </c>
      <c r="F131" s="2">
        <v>164000000</v>
      </c>
      <c r="G131" s="2">
        <v>167000000</v>
      </c>
      <c r="H131" s="2">
        <f>+(M131*26000)/0.829426</f>
        <v>147822952.2585499</v>
      </c>
      <c r="I131" s="2">
        <f>+G131-H131</f>
        <v>19177047.741450101</v>
      </c>
      <c r="J131" s="3">
        <v>3000000</v>
      </c>
      <c r="K131" s="3">
        <v>16400000</v>
      </c>
      <c r="L131" s="3">
        <v>16700000</v>
      </c>
      <c r="M131" s="3">
        <v>4715.7</v>
      </c>
      <c r="N131" s="3">
        <v>164500000</v>
      </c>
      <c r="O131" s="3">
        <v>167500000</v>
      </c>
      <c r="P131" s="5">
        <v>0</v>
      </c>
    </row>
    <row r="132" spans="1:16" x14ac:dyDescent="0.25">
      <c r="A132" s="4">
        <v>46331</v>
      </c>
      <c r="B132" s="4">
        <v>46153</v>
      </c>
      <c r="C132" s="1" t="str">
        <f>+"Tuần  "&amp;WEEKNUM(B132)</f>
        <v>Tuần  20</v>
      </c>
      <c r="D132" s="1" t="s">
        <v>20</v>
      </c>
      <c r="E132" s="1" t="s">
        <v>159</v>
      </c>
      <c r="F132" s="2">
        <v>161700000</v>
      </c>
      <c r="G132" s="2">
        <v>164700000</v>
      </c>
      <c r="H132" s="2">
        <f>+(M132*26000)/0.829426</f>
        <v>148142691.4516786</v>
      </c>
      <c r="I132" s="2">
        <f>+G132-H132</f>
        <v>16557308.548321396</v>
      </c>
      <c r="J132" s="3">
        <v>3000000</v>
      </c>
      <c r="K132" s="3">
        <v>16170000</v>
      </c>
      <c r="L132" s="3">
        <v>16470000</v>
      </c>
      <c r="M132" s="3">
        <v>4725.8999999999996</v>
      </c>
      <c r="N132" s="3">
        <v>162200000</v>
      </c>
      <c r="O132" s="3">
        <v>165200000</v>
      </c>
      <c r="P132" s="5">
        <v>0.97916666666666663</v>
      </c>
    </row>
    <row r="133" spans="1:16" x14ac:dyDescent="0.25">
      <c r="A133" s="4">
        <v>46361</v>
      </c>
      <c r="B133" s="4">
        <v>46154</v>
      </c>
      <c r="C133" s="1" t="str">
        <f>+"Tuần  "&amp;WEEKNUM(B133)</f>
        <v>Tuần  20</v>
      </c>
      <c r="D133" s="1" t="s">
        <v>21</v>
      </c>
      <c r="E133" s="1" t="s">
        <v>159</v>
      </c>
      <c r="F133" s="2">
        <v>162300000</v>
      </c>
      <c r="G133" s="2">
        <v>165300000</v>
      </c>
      <c r="H133" s="2">
        <f>+(M133*26000)/0.829426</f>
        <v>146409203.47324538</v>
      </c>
      <c r="I133" s="2">
        <f>+G133-H133</f>
        <v>18890796.526754618</v>
      </c>
      <c r="J133" s="3">
        <v>3000000</v>
      </c>
      <c r="K133" s="3">
        <v>16230000</v>
      </c>
      <c r="L133" s="3">
        <v>16530000</v>
      </c>
      <c r="M133" s="3">
        <v>4670.6000000000004</v>
      </c>
      <c r="N133" s="3">
        <v>162500000</v>
      </c>
      <c r="O133" s="3">
        <v>165500000</v>
      </c>
      <c r="P133" s="5">
        <v>0.97916666666666663</v>
      </c>
    </row>
    <row r="134" spans="1:16" x14ac:dyDescent="0.25">
      <c r="A134" s="1" t="s">
        <v>95</v>
      </c>
      <c r="B134" s="4">
        <v>46155</v>
      </c>
      <c r="C134" s="1" t="str">
        <f>+"Tuần  "&amp;WEEKNUM(B134)</f>
        <v>Tuần  20</v>
      </c>
      <c r="D134" s="1" t="s">
        <v>22</v>
      </c>
      <c r="E134" s="1" t="s">
        <v>159</v>
      </c>
      <c r="F134" s="2">
        <v>161800000</v>
      </c>
      <c r="G134" s="2">
        <v>164800000</v>
      </c>
      <c r="H134" s="2">
        <f>+(M134*26000)/0.829426</f>
        <v>147669352.05792922</v>
      </c>
      <c r="I134" s="2">
        <f>+G134-H134</f>
        <v>17130647.942070782</v>
      </c>
      <c r="J134" s="3">
        <v>3000000</v>
      </c>
      <c r="K134" s="3">
        <v>16180000</v>
      </c>
      <c r="L134" s="3">
        <v>16480000</v>
      </c>
      <c r="M134" s="3">
        <v>4710.8</v>
      </c>
      <c r="N134" s="3">
        <v>162000000</v>
      </c>
      <c r="O134" s="3">
        <v>165000000</v>
      </c>
      <c r="P134" s="5">
        <v>0.97916666666666663</v>
      </c>
    </row>
    <row r="135" spans="1:16" x14ac:dyDescent="0.25">
      <c r="A135" s="1" t="s">
        <v>96</v>
      </c>
      <c r="B135" s="4">
        <v>46156</v>
      </c>
      <c r="C135" s="1" t="str">
        <f>+"Tuần  "&amp;WEEKNUM(B135)</f>
        <v>Tuần  20</v>
      </c>
      <c r="D135" s="1" t="s">
        <v>16</v>
      </c>
      <c r="E135" s="1" t="s">
        <v>159</v>
      </c>
      <c r="F135" s="2">
        <v>161800000</v>
      </c>
      <c r="G135" s="2">
        <v>164800000</v>
      </c>
      <c r="H135" s="2">
        <f>+(M135*26000)/0.829426</f>
        <v>146631767.02924675</v>
      </c>
      <c r="I135" s="2">
        <f>+G135-H135</f>
        <v>18168232.970753253</v>
      </c>
      <c r="J135" s="3">
        <v>3000000</v>
      </c>
      <c r="K135" s="3">
        <v>16180000</v>
      </c>
      <c r="L135" s="3">
        <v>16480000</v>
      </c>
      <c r="M135" s="3">
        <v>4677.7</v>
      </c>
      <c r="N135" s="3">
        <v>162000000</v>
      </c>
      <c r="O135" s="3">
        <v>165000000</v>
      </c>
      <c r="P135" s="5">
        <v>0.97916666666666663</v>
      </c>
    </row>
    <row r="136" spans="1:16" x14ac:dyDescent="0.25">
      <c r="A136" s="1" t="s">
        <v>97</v>
      </c>
      <c r="B136" s="4">
        <v>46157</v>
      </c>
      <c r="C136" s="1" t="str">
        <f>+"Tuần  "&amp;WEEKNUM(B136)</f>
        <v>Tuần  20</v>
      </c>
      <c r="D136" s="1" t="s">
        <v>17</v>
      </c>
      <c r="E136" s="1" t="s">
        <v>159</v>
      </c>
      <c r="F136" s="2">
        <v>160800000</v>
      </c>
      <c r="G136" s="2">
        <v>163800000</v>
      </c>
      <c r="H136" s="2">
        <f>+(M136*26000)/0.829426</f>
        <v>142343500.20375535</v>
      </c>
      <c r="I136" s="2">
        <f>+G136-H136</f>
        <v>21456499.796244651</v>
      </c>
      <c r="J136" s="3">
        <v>3000000</v>
      </c>
      <c r="K136" s="3">
        <v>16080000</v>
      </c>
      <c r="L136" s="3">
        <v>16380000</v>
      </c>
      <c r="M136" s="3">
        <v>4540.8999999999996</v>
      </c>
      <c r="N136" s="3">
        <v>161000000</v>
      </c>
      <c r="O136" s="3">
        <v>164000000</v>
      </c>
      <c r="P136" s="5">
        <v>0.97916666666666663</v>
      </c>
    </row>
    <row r="137" spans="1:16" x14ac:dyDescent="0.25">
      <c r="A137" s="1" t="s">
        <v>98</v>
      </c>
      <c r="B137" s="4">
        <v>46158</v>
      </c>
      <c r="C137" s="1" t="str">
        <f>+"Tuần  "&amp;WEEKNUM(B137)</f>
        <v>Tuần  20</v>
      </c>
      <c r="D137" s="1" t="s">
        <v>18</v>
      </c>
      <c r="E137" s="1" t="s">
        <v>159</v>
      </c>
      <c r="F137" s="2">
        <v>160300000</v>
      </c>
      <c r="G137" s="2">
        <v>163300000</v>
      </c>
      <c r="H137" s="2">
        <f>+(M137*26000)/0.829426</f>
        <v>142352904.29767093</v>
      </c>
      <c r="I137" s="2">
        <f>+G137-H137</f>
        <v>20947095.702329069</v>
      </c>
      <c r="J137" s="3">
        <v>3000000</v>
      </c>
      <c r="K137" s="3">
        <v>16030000</v>
      </c>
      <c r="L137" s="3">
        <v>16330000</v>
      </c>
      <c r="M137" s="3">
        <v>4541.2</v>
      </c>
      <c r="N137" s="3">
        <v>160500000</v>
      </c>
      <c r="O137" s="3">
        <v>163500000</v>
      </c>
      <c r="P137" s="5">
        <v>0.47916666666666669</v>
      </c>
    </row>
    <row r="138" spans="1:16" x14ac:dyDescent="0.25">
      <c r="A138" s="1" t="s">
        <v>99</v>
      </c>
      <c r="B138" s="4">
        <v>46159</v>
      </c>
      <c r="C138" s="1" t="str">
        <f>+"Tuần  "&amp;WEEKNUM(B138)</f>
        <v>Tuần  21</v>
      </c>
      <c r="D138" s="1" t="s">
        <v>19</v>
      </c>
      <c r="E138" s="1" t="s">
        <v>159</v>
      </c>
      <c r="F138" s="2">
        <v>160300000</v>
      </c>
      <c r="G138" s="2">
        <v>163300000</v>
      </c>
      <c r="H138" s="2">
        <f>+(M138*26000)/0.829426</f>
        <v>142352904.29767093</v>
      </c>
      <c r="I138" s="2">
        <f>+G138-H138</f>
        <v>20947095.702329069</v>
      </c>
      <c r="J138" s="3">
        <v>3000000</v>
      </c>
      <c r="K138" s="3">
        <v>16030000</v>
      </c>
      <c r="L138" s="3">
        <v>16330000</v>
      </c>
      <c r="M138" s="3">
        <v>4541.2</v>
      </c>
      <c r="N138" s="3">
        <v>160500000</v>
      </c>
      <c r="O138" s="3">
        <v>163500000</v>
      </c>
      <c r="P138" s="5">
        <v>0</v>
      </c>
    </row>
    <row r="139" spans="1:16" x14ac:dyDescent="0.25">
      <c r="A139" s="1" t="s">
        <v>100</v>
      </c>
      <c r="B139" s="4">
        <v>46160</v>
      </c>
      <c r="C139" s="1" t="str">
        <f>+"Tuần  "&amp;WEEKNUM(B139)</f>
        <v>Tuần  21</v>
      </c>
      <c r="D139" s="1" t="s">
        <v>20</v>
      </c>
      <c r="E139" s="1" t="s">
        <v>159</v>
      </c>
      <c r="F139" s="2">
        <v>160300000</v>
      </c>
      <c r="G139" s="2">
        <v>163300000</v>
      </c>
      <c r="H139" s="2">
        <f>+(M139*26000)/0.829426</f>
        <v>142352904.29767093</v>
      </c>
      <c r="I139" s="2">
        <f>+G139-H139</f>
        <v>20947095.702329069</v>
      </c>
      <c r="J139" s="3">
        <v>3000000</v>
      </c>
      <c r="K139" s="3">
        <v>16030000</v>
      </c>
      <c r="L139" s="3">
        <v>16330000</v>
      </c>
      <c r="M139" s="3">
        <v>4541.2</v>
      </c>
      <c r="N139" s="3">
        <v>161300000</v>
      </c>
      <c r="O139" s="3">
        <v>163800000</v>
      </c>
      <c r="P139" s="5">
        <v>0.97916666666666663</v>
      </c>
    </row>
    <row r="140" spans="1:16" x14ac:dyDescent="0.25">
      <c r="A140" s="1" t="s">
        <v>101</v>
      </c>
      <c r="B140" s="4">
        <v>46161</v>
      </c>
      <c r="C140" s="1" t="str">
        <f>+"Tuần  "&amp;WEEKNUM(B140)</f>
        <v>Tuần  21</v>
      </c>
      <c r="D140" s="1" t="s">
        <v>21</v>
      </c>
      <c r="E140" s="1" t="s">
        <v>159</v>
      </c>
      <c r="F140" s="2">
        <v>160300000</v>
      </c>
      <c r="G140" s="2">
        <v>163300000</v>
      </c>
      <c r="H140" s="2">
        <f>+(M140*26000)/0.829426</f>
        <v>141359205.04059434</v>
      </c>
      <c r="I140" s="2">
        <f>+G140-H140</f>
        <v>21940794.959405661</v>
      </c>
      <c r="J140" s="3">
        <v>3000000</v>
      </c>
      <c r="K140" s="3">
        <v>16030000</v>
      </c>
      <c r="L140" s="3">
        <v>16330000</v>
      </c>
      <c r="M140" s="3">
        <v>4509.5</v>
      </c>
      <c r="N140" s="3">
        <v>161000000</v>
      </c>
      <c r="O140" s="3">
        <v>163500000</v>
      </c>
      <c r="P140" s="5">
        <v>0.97916666666666663</v>
      </c>
    </row>
    <row r="141" spans="1:16" x14ac:dyDescent="0.25">
      <c r="A141" s="1" t="s">
        <v>102</v>
      </c>
      <c r="B141" s="4">
        <v>46162</v>
      </c>
      <c r="C141" s="1" t="str">
        <f>+"Tuần  "&amp;WEEKNUM(B141)</f>
        <v>Tuần  21</v>
      </c>
      <c r="D141" s="1" t="s">
        <v>22</v>
      </c>
      <c r="E141" s="1" t="s">
        <v>159</v>
      </c>
      <c r="F141" s="2">
        <v>158000000</v>
      </c>
      <c r="G141" s="2">
        <v>161000000</v>
      </c>
      <c r="H141" s="2">
        <f>+(M141*26000)/0.829426</f>
        <v>141951662.95727405</v>
      </c>
      <c r="I141" s="2">
        <f>+G141-H141</f>
        <v>19048337.04272595</v>
      </c>
      <c r="J141" s="3">
        <v>3000000</v>
      </c>
      <c r="K141" s="3">
        <v>15800000</v>
      </c>
      <c r="L141" s="3">
        <v>16100000</v>
      </c>
      <c r="M141" s="3">
        <v>4528.3999999999996</v>
      </c>
      <c r="N141" s="3">
        <v>159000000</v>
      </c>
      <c r="O141" s="3">
        <v>162000000</v>
      </c>
      <c r="P141" s="5">
        <v>0.97916666666666663</v>
      </c>
    </row>
    <row r="142" spans="1:16" x14ac:dyDescent="0.25">
      <c r="A142" s="1" t="s">
        <v>103</v>
      </c>
      <c r="B142" s="4">
        <v>46163</v>
      </c>
      <c r="C142" s="1" t="str">
        <f>+"Tuần  "&amp;WEEKNUM(B142)</f>
        <v>Tuần  21</v>
      </c>
      <c r="D142" s="1" t="s">
        <v>16</v>
      </c>
      <c r="E142" s="1" t="s">
        <v>159</v>
      </c>
      <c r="F142" s="2">
        <v>158900000</v>
      </c>
      <c r="G142" s="2">
        <v>161900000</v>
      </c>
      <c r="H142" s="2">
        <f>+(M142*26000)/0.829426</f>
        <v>141638193.16008902</v>
      </c>
      <c r="I142" s="2">
        <f>+G142-H142</f>
        <v>20261806.839910984</v>
      </c>
      <c r="J142" s="3">
        <v>3000000</v>
      </c>
      <c r="K142" s="3">
        <v>15890000</v>
      </c>
      <c r="L142" s="3">
        <v>16190000</v>
      </c>
      <c r="M142" s="3">
        <v>4518.3999999999996</v>
      </c>
      <c r="N142" s="3">
        <v>159400000</v>
      </c>
      <c r="O142" s="3">
        <v>162400000</v>
      </c>
      <c r="P142" s="5">
        <v>0.97916666666666663</v>
      </c>
    </row>
    <row r="143" spans="1:16" x14ac:dyDescent="0.25">
      <c r="A143" s="1" t="s">
        <v>104</v>
      </c>
      <c r="B143" s="4">
        <v>46164</v>
      </c>
      <c r="C143" s="1" t="str">
        <f>+"Tuần  "&amp;WEEKNUM(B143)</f>
        <v>Tuần  21</v>
      </c>
      <c r="D143" s="1" t="s">
        <v>17</v>
      </c>
      <c r="E143" s="1" t="s">
        <v>159</v>
      </c>
      <c r="F143" s="2">
        <v>158500000</v>
      </c>
      <c r="G143" s="2">
        <v>161500000</v>
      </c>
      <c r="H143" s="2">
        <f>+(M143*26000)/0.829426</f>
        <v>141813736.24651265</v>
      </c>
      <c r="I143" s="2">
        <f>+G143-H143</f>
        <v>19686263.753487349</v>
      </c>
      <c r="J143" s="3">
        <v>3000000</v>
      </c>
      <c r="K143" s="3">
        <v>15850000</v>
      </c>
      <c r="L143" s="3">
        <v>16150000</v>
      </c>
      <c r="M143" s="3">
        <v>4524</v>
      </c>
      <c r="N143" s="3">
        <v>159000000</v>
      </c>
      <c r="O143" s="3">
        <v>162000000</v>
      </c>
      <c r="P143" s="5">
        <v>0.97916666666666663</v>
      </c>
    </row>
    <row r="144" spans="1:16" x14ac:dyDescent="0.25">
      <c r="A144" s="1" t="s">
        <v>105</v>
      </c>
      <c r="B144" s="4">
        <v>46165</v>
      </c>
      <c r="C144" s="1" t="str">
        <f>+"Tuần  "&amp;WEEKNUM(B144)</f>
        <v>Tuần  21</v>
      </c>
      <c r="D144" s="1" t="s">
        <v>18</v>
      </c>
      <c r="E144" s="1" t="s">
        <v>159</v>
      </c>
      <c r="F144" s="2">
        <v>158000000</v>
      </c>
      <c r="G144" s="2">
        <v>161000000</v>
      </c>
      <c r="H144" s="2">
        <f>+(M144*26000)/0.829426</f>
        <v>141390552.02031285</v>
      </c>
      <c r="I144" s="2">
        <f>+G144-H144</f>
        <v>19609447.979687154</v>
      </c>
      <c r="J144" s="3">
        <v>3000000</v>
      </c>
      <c r="K144" s="3">
        <v>15800000</v>
      </c>
      <c r="L144" s="3">
        <v>16100000</v>
      </c>
      <c r="M144" s="3">
        <v>4510.5</v>
      </c>
      <c r="N144" s="3">
        <v>158500000</v>
      </c>
      <c r="O144" s="3">
        <v>161500000</v>
      </c>
      <c r="P144" s="5">
        <v>0.39583333333333331</v>
      </c>
    </row>
    <row r="145" spans="1:16" x14ac:dyDescent="0.25">
      <c r="A145" s="1" t="s">
        <v>106</v>
      </c>
      <c r="B145" s="4">
        <v>46166</v>
      </c>
      <c r="C145" s="1" t="str">
        <f>+"Tuần  "&amp;WEEKNUM(B145)</f>
        <v>Tuần  22</v>
      </c>
      <c r="D145" s="1" t="s">
        <v>19</v>
      </c>
      <c r="E145" s="1" t="s">
        <v>159</v>
      </c>
      <c r="F145" s="2">
        <v>158000000</v>
      </c>
      <c r="G145" s="2">
        <v>161000000</v>
      </c>
      <c r="H145" s="2">
        <f>+(M145*26000)/0.829426</f>
        <v>141390552.02031285</v>
      </c>
      <c r="I145" s="2">
        <f>+G145-H145</f>
        <v>19609447.979687154</v>
      </c>
      <c r="J145" s="3">
        <v>3000000</v>
      </c>
      <c r="K145" s="3">
        <v>15800000</v>
      </c>
      <c r="L145" s="3">
        <v>16100000</v>
      </c>
      <c r="M145" s="3">
        <v>4510.5</v>
      </c>
      <c r="N145" s="3">
        <v>158500000</v>
      </c>
      <c r="O145" s="3">
        <v>161500000</v>
      </c>
      <c r="P145" s="5">
        <v>0</v>
      </c>
    </row>
    <row r="146" spans="1:16" x14ac:dyDescent="0.25">
      <c r="A146" s="1" t="s">
        <v>107</v>
      </c>
      <c r="B146" s="4">
        <v>46167</v>
      </c>
      <c r="C146" s="1" t="str">
        <f>+"Tuần  "&amp;WEEKNUM(B146)</f>
        <v>Tuần  22</v>
      </c>
      <c r="D146" s="1" t="s">
        <v>20</v>
      </c>
      <c r="E146" s="1" t="s">
        <v>159</v>
      </c>
      <c r="F146" s="2">
        <v>158500000</v>
      </c>
      <c r="G146" s="2">
        <v>161500000</v>
      </c>
      <c r="H146" s="2">
        <f>+(M146*26000)/0.829426</f>
        <v>143283909.59531048</v>
      </c>
      <c r="I146" s="2">
        <f>+G146-H146</f>
        <v>18216090.404689521</v>
      </c>
      <c r="J146" s="3">
        <v>3000000</v>
      </c>
      <c r="K146" s="3">
        <v>15850000</v>
      </c>
      <c r="L146" s="3">
        <v>16150000</v>
      </c>
      <c r="M146" s="3">
        <v>4570.8999999999996</v>
      </c>
      <c r="N146" s="3">
        <v>159000000</v>
      </c>
      <c r="O146" s="3">
        <v>162000000</v>
      </c>
      <c r="P146" s="5">
        <v>0.97916666666666663</v>
      </c>
    </row>
    <row r="147" spans="1:16" x14ac:dyDescent="0.25">
      <c r="A147" s="1" t="s">
        <v>108</v>
      </c>
      <c r="B147" s="4">
        <v>46168</v>
      </c>
      <c r="C147" s="1" t="str">
        <f>+"Tuần  "&amp;WEEKNUM(B147)</f>
        <v>Tuần  22</v>
      </c>
      <c r="D147" s="1" t="s">
        <v>21</v>
      </c>
      <c r="E147" s="1" t="s">
        <v>159</v>
      </c>
      <c r="F147" s="2">
        <v>158000000</v>
      </c>
      <c r="G147" s="2">
        <v>161000000</v>
      </c>
      <c r="H147" s="2">
        <f>+(M147*26000)/0.829426</f>
        <v>141343531.55073509</v>
      </c>
      <c r="I147" s="2">
        <f>+G147-H147</f>
        <v>19656468.449264914</v>
      </c>
      <c r="J147" s="3">
        <v>3000000</v>
      </c>
      <c r="K147" s="3">
        <v>15800000</v>
      </c>
      <c r="L147" s="3">
        <v>16100000</v>
      </c>
      <c r="M147" s="3">
        <v>4509</v>
      </c>
      <c r="N147" s="3">
        <v>158500000</v>
      </c>
      <c r="O147" s="3">
        <v>161500000</v>
      </c>
      <c r="P147" s="5">
        <v>0.97916666666666663</v>
      </c>
    </row>
    <row r="148" spans="1:16" x14ac:dyDescent="0.25">
      <c r="A148" s="1" t="s">
        <v>109</v>
      </c>
      <c r="B148" s="4">
        <v>46169</v>
      </c>
      <c r="C148" s="1" t="str">
        <f>+"Tuần  "&amp;WEEKNUM(B148)</f>
        <v>Tuần  22</v>
      </c>
      <c r="D148" s="1" t="s">
        <v>22</v>
      </c>
      <c r="E148" s="1" t="s">
        <v>159</v>
      </c>
      <c r="F148" s="2">
        <v>157200000</v>
      </c>
      <c r="G148" s="2">
        <v>160200000</v>
      </c>
      <c r="H148" s="2">
        <f>+(M148*26000)/0.829426</f>
        <v>139403153.50615969</v>
      </c>
      <c r="I148" s="2">
        <f>+G148-H148</f>
        <v>20796846.493840307</v>
      </c>
      <c r="J148" s="3">
        <v>3000000</v>
      </c>
      <c r="K148" s="3">
        <v>15720000</v>
      </c>
      <c r="L148" s="3">
        <v>16020000</v>
      </c>
      <c r="M148" s="3">
        <v>4447.1000000000004</v>
      </c>
      <c r="N148" s="3">
        <v>157700000</v>
      </c>
      <c r="O148" s="3">
        <v>160700000</v>
      </c>
      <c r="P148" s="5">
        <v>0.97916666666666663</v>
      </c>
    </row>
    <row r="149" spans="1:16" x14ac:dyDescent="0.25">
      <c r="A149" s="1" t="s">
        <v>110</v>
      </c>
      <c r="B149" s="4">
        <v>46170</v>
      </c>
      <c r="C149" s="1" t="str">
        <f>+"Tuần  "&amp;WEEKNUM(B149)</f>
        <v>Tuần  22</v>
      </c>
      <c r="D149" s="1" t="s">
        <v>16</v>
      </c>
      <c r="E149" s="1" t="s">
        <v>159</v>
      </c>
      <c r="F149" s="2">
        <v>154300000</v>
      </c>
      <c r="G149" s="2">
        <v>157300000</v>
      </c>
      <c r="H149" s="2">
        <f>+(M149*26000)/0.829426</f>
        <v>141108429.20284632</v>
      </c>
      <c r="I149" s="2">
        <f>+G149-H149</f>
        <v>16191570.797153682</v>
      </c>
      <c r="J149" s="3">
        <v>3000000</v>
      </c>
      <c r="K149" s="3">
        <v>15430000</v>
      </c>
      <c r="L149" s="3">
        <v>15730000</v>
      </c>
      <c r="M149" s="3">
        <v>4501.5</v>
      </c>
      <c r="N149" s="3">
        <v>154500000</v>
      </c>
      <c r="O149" s="3">
        <v>157500000</v>
      </c>
      <c r="P149" s="5">
        <v>0.97916666666666663</v>
      </c>
    </row>
    <row r="150" spans="1:16" x14ac:dyDescent="0.25">
      <c r="A150" s="1" t="s">
        <v>111</v>
      </c>
      <c r="B150" s="4">
        <v>46171</v>
      </c>
      <c r="C150" s="1" t="str">
        <f>+"Tuần  "&amp;WEEKNUM(B150)</f>
        <v>Tuần  22</v>
      </c>
      <c r="D150" s="1" t="s">
        <v>17</v>
      </c>
      <c r="E150" s="1" t="s">
        <v>159</v>
      </c>
      <c r="F150" s="2">
        <v>155300000</v>
      </c>
      <c r="G150" s="2">
        <v>158300000</v>
      </c>
      <c r="H150" s="2">
        <f>+(M150*26000)/0.829426</f>
        <v>143036268.45553431</v>
      </c>
      <c r="I150" s="2">
        <f>+G150-H150</f>
        <v>15263731.544465691</v>
      </c>
      <c r="J150" s="3">
        <v>3000000</v>
      </c>
      <c r="K150" s="3">
        <v>15530000</v>
      </c>
      <c r="L150" s="3">
        <v>15830000</v>
      </c>
      <c r="M150" s="3">
        <v>4563</v>
      </c>
      <c r="N150" s="3">
        <v>155500000</v>
      </c>
      <c r="O150" s="3">
        <v>158500000</v>
      </c>
      <c r="P150" s="5">
        <v>0.97916666666666663</v>
      </c>
    </row>
    <row r="151" spans="1:16" x14ac:dyDescent="0.25">
      <c r="A151" s="1" t="s">
        <v>112</v>
      </c>
      <c r="B151" s="4">
        <v>46172</v>
      </c>
      <c r="C151" s="1" t="str">
        <f>+"Tuần  "&amp;WEEKNUM(B151)</f>
        <v>Tuần  22</v>
      </c>
      <c r="D151" s="1" t="s">
        <v>18</v>
      </c>
      <c r="E151" s="1" t="s">
        <v>159</v>
      </c>
      <c r="F151" s="2">
        <v>155800000</v>
      </c>
      <c r="G151" s="2">
        <v>158800000</v>
      </c>
      <c r="H151" s="2">
        <f>+(M151*26000)/0.829426</f>
        <v>142324692.01592427</v>
      </c>
      <c r="I151" s="2">
        <f>+G151-H151</f>
        <v>16475307.984075725</v>
      </c>
      <c r="J151" s="3">
        <v>3000000</v>
      </c>
      <c r="K151" s="3">
        <v>15580000</v>
      </c>
      <c r="L151" s="3">
        <v>15880000</v>
      </c>
      <c r="M151" s="3">
        <v>4540.3</v>
      </c>
      <c r="N151" s="3">
        <v>156000000</v>
      </c>
      <c r="O151" s="3">
        <v>159000000</v>
      </c>
      <c r="P151" s="5">
        <v>0.39583333333333331</v>
      </c>
    </row>
    <row r="152" spans="1:16" x14ac:dyDescent="0.25">
      <c r="A152" s="1" t="s">
        <v>113</v>
      </c>
      <c r="B152" s="4">
        <v>46173</v>
      </c>
      <c r="C152" s="1" t="str">
        <f>+"Tuần  "&amp;WEEKNUM(B152)</f>
        <v>Tuần  23</v>
      </c>
      <c r="D152" s="1" t="s">
        <v>19</v>
      </c>
      <c r="E152" s="1" t="s">
        <v>159</v>
      </c>
      <c r="F152" s="2">
        <v>155800000</v>
      </c>
      <c r="G152" s="2">
        <v>158800000</v>
      </c>
      <c r="H152" s="2">
        <f>+(M152*26000)/0.829426</f>
        <v>142324692.01592427</v>
      </c>
      <c r="I152" s="2">
        <f>+G152-H152</f>
        <v>16475307.984075725</v>
      </c>
      <c r="J152" s="3">
        <v>3000000</v>
      </c>
      <c r="K152" s="3">
        <v>15580000</v>
      </c>
      <c r="L152" s="3">
        <v>15880000</v>
      </c>
      <c r="M152" s="3">
        <v>4540.3</v>
      </c>
      <c r="N152" s="3">
        <v>156000000</v>
      </c>
      <c r="O152" s="3">
        <v>159000000</v>
      </c>
      <c r="P152" s="5">
        <v>0</v>
      </c>
    </row>
    <row r="153" spans="1:16" x14ac:dyDescent="0.25">
      <c r="A153" s="4">
        <v>46028</v>
      </c>
      <c r="B153" s="4">
        <v>46174</v>
      </c>
      <c r="C153" s="1" t="str">
        <f>+"Tuần  "&amp;WEEKNUM(B153)</f>
        <v>Tuần  23</v>
      </c>
      <c r="D153" s="1" t="s">
        <v>20</v>
      </c>
      <c r="E153" s="1" t="s">
        <v>159</v>
      </c>
      <c r="F153" s="2">
        <v>155300000</v>
      </c>
      <c r="G153" s="2">
        <v>158300000</v>
      </c>
      <c r="H153" s="2">
        <f>+(M153*26000)/0.829426</f>
        <v>140064574.77822012</v>
      </c>
      <c r="I153" s="2">
        <f>+G153-H153</f>
        <v>18235425.221779883</v>
      </c>
      <c r="J153" s="3">
        <v>3000000</v>
      </c>
      <c r="K153" s="3">
        <v>15530000</v>
      </c>
      <c r="L153" s="3">
        <v>15830000</v>
      </c>
      <c r="M153" s="3">
        <v>4468.2</v>
      </c>
      <c r="N153" s="3">
        <v>155500000</v>
      </c>
      <c r="O153" s="3">
        <v>158500000</v>
      </c>
      <c r="P153" s="5">
        <v>0.97916666666666663</v>
      </c>
    </row>
    <row r="154" spans="1:16" x14ac:dyDescent="0.25">
      <c r="A154" s="4">
        <v>46059</v>
      </c>
      <c r="B154" s="4">
        <v>46175</v>
      </c>
      <c r="C154" s="1" t="str">
        <f>+"Tuần  "&amp;WEEKNUM(B154)</f>
        <v>Tuần  23</v>
      </c>
      <c r="D154" s="1" t="s">
        <v>21</v>
      </c>
      <c r="E154" s="1" t="s">
        <v>159</v>
      </c>
      <c r="F154" s="2">
        <v>154300000</v>
      </c>
      <c r="G154" s="2">
        <v>157300000</v>
      </c>
      <c r="H154" s="2">
        <f>+(M154*26000)/0.829426</f>
        <v>140832575.78132346</v>
      </c>
      <c r="I154" s="2">
        <f>+G154-H154</f>
        <v>16467424.218676537</v>
      </c>
      <c r="J154" s="3">
        <v>3000000</v>
      </c>
      <c r="K154" s="3">
        <v>15430000</v>
      </c>
      <c r="L154" s="3">
        <v>15730000</v>
      </c>
      <c r="M154" s="3">
        <v>4492.7</v>
      </c>
      <c r="N154" s="3">
        <v>154500000</v>
      </c>
      <c r="O154" s="3">
        <v>157500000</v>
      </c>
      <c r="P154" s="5">
        <v>0.97916666666666663</v>
      </c>
    </row>
    <row r="155" spans="1:16" x14ac:dyDescent="0.25">
      <c r="A155" s="4">
        <v>46087</v>
      </c>
      <c r="B155" s="4">
        <v>46176</v>
      </c>
      <c r="C155" s="1" t="str">
        <f>+"Tuần  "&amp;WEEKNUM(B155)</f>
        <v>Tuần  23</v>
      </c>
      <c r="D155" s="1" t="s">
        <v>22</v>
      </c>
      <c r="E155" s="1" t="s">
        <v>159</v>
      </c>
      <c r="F155" s="2">
        <v>153800000</v>
      </c>
      <c r="G155" s="2">
        <v>156800000</v>
      </c>
      <c r="H155" s="2">
        <f>+(M155*26000)/0.829426</f>
        <v>139114761.29274943</v>
      </c>
      <c r="I155" s="2">
        <f>+G155-H155</f>
        <v>17685238.707250565</v>
      </c>
      <c r="J155" s="3">
        <v>3000000</v>
      </c>
      <c r="K155" s="3">
        <v>15380000</v>
      </c>
      <c r="L155" s="3">
        <v>15680000</v>
      </c>
      <c r="M155" s="3">
        <v>4437.8999999999996</v>
      </c>
      <c r="N155" s="3">
        <v>154000000</v>
      </c>
      <c r="O155" s="3">
        <v>157000000</v>
      </c>
      <c r="P155" s="5">
        <v>0.97916666666666663</v>
      </c>
    </row>
    <row r="156" spans="1:16" x14ac:dyDescent="0.25">
      <c r="A156" s="4">
        <v>46118</v>
      </c>
      <c r="B156" s="4">
        <v>46177</v>
      </c>
      <c r="C156" s="1" t="str">
        <f>+"Tuần  "&amp;WEEKNUM(B156)</f>
        <v>Tuần  23</v>
      </c>
      <c r="D156" s="1" t="s">
        <v>16</v>
      </c>
      <c r="E156" s="1" t="s">
        <v>159</v>
      </c>
      <c r="F156" s="2">
        <v>152800000</v>
      </c>
      <c r="G156" s="2">
        <v>155800000</v>
      </c>
      <c r="H156" s="2">
        <f>+(M156*26000)/0.829426</f>
        <v>140600608.13140655</v>
      </c>
      <c r="I156" s="2">
        <f>+G156-H156</f>
        <v>15199391.868593454</v>
      </c>
      <c r="J156" s="3">
        <v>3000000</v>
      </c>
      <c r="K156" s="3">
        <v>15280000</v>
      </c>
      <c r="L156" s="3">
        <v>15580000</v>
      </c>
      <c r="M156" s="3">
        <v>4485.3</v>
      </c>
      <c r="N156" s="3">
        <v>153000000</v>
      </c>
      <c r="O156" s="3">
        <v>156000000</v>
      </c>
      <c r="P156" s="5">
        <v>0.97916666666666663</v>
      </c>
    </row>
    <row r="157" spans="1:16" x14ac:dyDescent="0.25">
      <c r="A157" s="4">
        <v>46148</v>
      </c>
      <c r="B157" s="4">
        <v>46178</v>
      </c>
      <c r="C157" s="1" t="str">
        <f>+"Tuần  "&amp;WEEKNUM(B157)</f>
        <v>Tuần  23</v>
      </c>
      <c r="D157" s="1" t="s">
        <v>17</v>
      </c>
      <c r="E157" s="1" t="s">
        <v>159</v>
      </c>
      <c r="F157" s="2">
        <v>149000000</v>
      </c>
      <c r="G157" s="2">
        <v>153000000</v>
      </c>
      <c r="H157" s="2">
        <f>+(M157*26000)/0.829426</f>
        <v>135810789.63041911</v>
      </c>
      <c r="I157" s="2">
        <f>+G157-H157</f>
        <v>17189210.369580895</v>
      </c>
      <c r="J157" s="3">
        <v>4000000</v>
      </c>
      <c r="K157" s="3">
        <v>14900000</v>
      </c>
      <c r="L157" s="3">
        <v>15300000</v>
      </c>
      <c r="M157" s="3">
        <v>4332.5</v>
      </c>
      <c r="N157" s="3">
        <v>149200000</v>
      </c>
      <c r="O157" s="3">
        <v>153200000</v>
      </c>
      <c r="P157" s="5">
        <v>0.97916666666666663</v>
      </c>
    </row>
    <row r="158" spans="1:16" x14ac:dyDescent="0.25">
      <c r="A158" s="4">
        <v>46179</v>
      </c>
      <c r="B158" s="4">
        <v>46179</v>
      </c>
      <c r="C158" s="1" t="str">
        <f>+"Tuần  "&amp;WEEKNUM(B158)</f>
        <v>Tuần  23</v>
      </c>
      <c r="D158" s="1" t="s">
        <v>18</v>
      </c>
      <c r="E158" s="1" t="s">
        <v>159</v>
      </c>
      <c r="F158" s="2">
        <v>146000000</v>
      </c>
      <c r="G158" s="2">
        <v>150000000</v>
      </c>
      <c r="H158" s="2">
        <f>+(M158*26000)/0.829426</f>
        <v>135732422.18112284</v>
      </c>
      <c r="I158" s="2">
        <f>+G158-H158</f>
        <v>14267577.818877161</v>
      </c>
      <c r="J158" s="3">
        <v>4000000</v>
      </c>
      <c r="K158" s="3">
        <v>14600000</v>
      </c>
      <c r="L158" s="3">
        <v>15000000</v>
      </c>
      <c r="M158" s="3">
        <v>4330</v>
      </c>
      <c r="N158" s="3">
        <v>146200000</v>
      </c>
      <c r="O158" s="3">
        <v>150200000</v>
      </c>
      <c r="P158" s="5">
        <v>0.39583333333333331</v>
      </c>
    </row>
    <row r="159" spans="1:16" x14ac:dyDescent="0.25">
      <c r="A159" s="4">
        <v>46209</v>
      </c>
      <c r="B159" s="4">
        <v>46180</v>
      </c>
      <c r="C159" s="1" t="str">
        <f>+"Tuần  "&amp;WEEKNUM(B159)</f>
        <v>Tuần  24</v>
      </c>
      <c r="D159" s="1" t="s">
        <v>19</v>
      </c>
      <c r="E159" s="1" t="s">
        <v>159</v>
      </c>
      <c r="F159" s="2">
        <v>146000000</v>
      </c>
      <c r="G159" s="2">
        <v>150000000</v>
      </c>
      <c r="H159" s="2">
        <f>+(M159*26000)/0.829426</f>
        <v>135732422.18112284</v>
      </c>
      <c r="I159" s="2">
        <f>+G159-H159</f>
        <v>14267577.818877161</v>
      </c>
      <c r="J159" s="3">
        <v>4000000</v>
      </c>
      <c r="K159" s="3">
        <v>14600000</v>
      </c>
      <c r="L159" s="3">
        <v>15000000</v>
      </c>
      <c r="M159" s="3">
        <v>4330</v>
      </c>
      <c r="N159" s="3">
        <v>146200000</v>
      </c>
      <c r="O159" s="3">
        <v>150200000</v>
      </c>
      <c r="P159" s="5">
        <v>0</v>
      </c>
    </row>
    <row r="160" spans="1:16" x14ac:dyDescent="0.25">
      <c r="A160" s="4">
        <v>46240</v>
      </c>
      <c r="B160" s="4">
        <v>46181</v>
      </c>
      <c r="C160" s="1" t="str">
        <f>+"Tuần  "&amp;WEEKNUM(B160)</f>
        <v>Tuần  24</v>
      </c>
      <c r="D160" s="1" t="s">
        <v>20</v>
      </c>
      <c r="E160" s="1" t="s">
        <v>159</v>
      </c>
      <c r="F160" s="2">
        <v>138600000</v>
      </c>
      <c r="G160" s="2">
        <v>143600000</v>
      </c>
      <c r="H160" s="2">
        <f>+(M160*26000)/0.829426</f>
        <v>136161875.80326635</v>
      </c>
      <c r="I160" s="2">
        <f>+G160-H160</f>
        <v>7438124.1967336535</v>
      </c>
      <c r="J160" s="3">
        <v>5000000</v>
      </c>
      <c r="K160" s="3">
        <v>13860000</v>
      </c>
      <c r="L160" s="3">
        <v>14360000</v>
      </c>
      <c r="M160" s="3">
        <v>4343.7</v>
      </c>
      <c r="N160" s="3">
        <v>138800000</v>
      </c>
      <c r="O160" s="3">
        <v>143800000</v>
      </c>
      <c r="P160" s="5">
        <v>0.97916666666666663</v>
      </c>
    </row>
    <row r="161" spans="1:16" x14ac:dyDescent="0.25">
      <c r="A161" s="4">
        <v>46271</v>
      </c>
      <c r="B161" s="4">
        <v>46182</v>
      </c>
      <c r="C161" s="1" t="str">
        <f>+"Tuần  "&amp;WEEKNUM(B161)</f>
        <v>Tuần  24</v>
      </c>
      <c r="D161" s="1" t="s">
        <v>21</v>
      </c>
      <c r="E161" s="1" t="s">
        <v>159</v>
      </c>
      <c r="F161" s="2">
        <v>138600000</v>
      </c>
      <c r="G161" s="2">
        <v>143600000</v>
      </c>
      <c r="H161" s="2">
        <f>+(M161*26000)/0.829426</f>
        <v>133669790.91564527</v>
      </c>
      <c r="I161" s="2">
        <f>+G161-H161</f>
        <v>9930209.0843547285</v>
      </c>
      <c r="J161" s="3">
        <v>5000000</v>
      </c>
      <c r="K161" s="3">
        <v>13860000</v>
      </c>
      <c r="L161" s="3">
        <v>14360000</v>
      </c>
      <c r="M161" s="3">
        <v>4264.2</v>
      </c>
      <c r="N161" s="3">
        <v>138800000</v>
      </c>
      <c r="O161" s="3">
        <v>143800000</v>
      </c>
      <c r="P161" s="5">
        <v>0.97916666666666663</v>
      </c>
    </row>
    <row r="162" spans="1:16" x14ac:dyDescent="0.25">
      <c r="A162" s="4">
        <v>46301</v>
      </c>
      <c r="B162" s="4">
        <v>46183</v>
      </c>
      <c r="C162" s="1" t="str">
        <f>+"Tuần  "&amp;WEEKNUM(B162)</f>
        <v>Tuần  24</v>
      </c>
      <c r="D162" s="1" t="s">
        <v>22</v>
      </c>
      <c r="E162" s="1" t="s">
        <v>159</v>
      </c>
      <c r="F162" s="2">
        <v>133200000</v>
      </c>
      <c r="G162" s="2">
        <v>138200000</v>
      </c>
      <c r="H162" s="2">
        <f>+(M162*26000)/0.829426</f>
        <v>129547663.08266199</v>
      </c>
      <c r="I162" s="2">
        <f>+G162-H162</f>
        <v>8652336.9173380136</v>
      </c>
      <c r="J162" s="3">
        <v>5000000</v>
      </c>
      <c r="K162" s="3">
        <v>13320000</v>
      </c>
      <c r="L162" s="3">
        <v>13820000</v>
      </c>
      <c r="M162" s="3">
        <v>4132.7</v>
      </c>
      <c r="N162" s="3">
        <v>133300000</v>
      </c>
      <c r="O162" s="3">
        <v>138300000</v>
      </c>
      <c r="P162" s="5">
        <v>0.97916666666666663</v>
      </c>
    </row>
    <row r="163" spans="1:16" x14ac:dyDescent="0.25">
      <c r="A163" s="4">
        <v>46332</v>
      </c>
      <c r="B163" s="4">
        <v>46184</v>
      </c>
      <c r="C163" s="1" t="str">
        <f>+"Tuần  "&amp;WEEKNUM(B163)</f>
        <v>Tuần  24</v>
      </c>
      <c r="D163" s="1" t="s">
        <v>16</v>
      </c>
      <c r="E163" s="1" t="s">
        <v>159</v>
      </c>
      <c r="F163" s="2">
        <v>133300000</v>
      </c>
      <c r="G163" s="2">
        <v>138300000</v>
      </c>
      <c r="H163" s="2">
        <f>+(M163*26000)/0.829426</f>
        <v>128039873.35820194</v>
      </c>
      <c r="I163" s="2">
        <f>+G163-H163</f>
        <v>10260126.641798064</v>
      </c>
      <c r="J163" s="3">
        <v>5000000</v>
      </c>
      <c r="K163" s="3">
        <v>13330000</v>
      </c>
      <c r="L163" s="3">
        <v>13830000</v>
      </c>
      <c r="M163" s="3">
        <v>4084.6</v>
      </c>
      <c r="N163" s="3">
        <v>133400000</v>
      </c>
      <c r="O163" s="3">
        <v>138400000</v>
      </c>
      <c r="P163" s="5">
        <v>0.97916666666666663</v>
      </c>
    </row>
    <row r="164" spans="1:16" x14ac:dyDescent="0.25">
      <c r="A164" s="4">
        <v>46362</v>
      </c>
      <c r="B164" s="4">
        <v>46185</v>
      </c>
      <c r="C164" s="1" t="str">
        <f>+"Tuần  "&amp;WEEKNUM(B164)</f>
        <v>Tuần  24</v>
      </c>
      <c r="D164" s="1" t="s">
        <v>17</v>
      </c>
      <c r="E164" s="1" t="s">
        <v>159</v>
      </c>
      <c r="F164" s="2">
        <v>142300000</v>
      </c>
      <c r="G164" s="2">
        <v>145300000</v>
      </c>
      <c r="H164" s="2">
        <f>+(M164*26000)/0.829426</f>
        <v>132237233.94250964</v>
      </c>
      <c r="I164" s="2">
        <f>+G164-H164</f>
        <v>13062766.057490364</v>
      </c>
      <c r="J164" s="3">
        <v>3000000</v>
      </c>
      <c r="K164" s="3">
        <v>14230000</v>
      </c>
      <c r="L164" s="3">
        <v>14530000</v>
      </c>
      <c r="M164" s="3">
        <v>4218.5</v>
      </c>
      <c r="N164" s="3">
        <v>142400000</v>
      </c>
      <c r="O164" s="3">
        <v>145400000</v>
      </c>
      <c r="P164" s="5">
        <v>0.97916666666666663</v>
      </c>
    </row>
    <row r="165" spans="1:16" x14ac:dyDescent="0.25">
      <c r="A165" s="1" t="s">
        <v>114</v>
      </c>
      <c r="B165" s="4">
        <v>46186</v>
      </c>
      <c r="C165" s="1" t="str">
        <f>+"Tuần  "&amp;WEEKNUM(B165)</f>
        <v>Tuần  24</v>
      </c>
      <c r="D165" s="1" t="s">
        <v>18</v>
      </c>
      <c r="E165" s="1" t="s">
        <v>159</v>
      </c>
      <c r="F165" s="2">
        <v>143900000</v>
      </c>
      <c r="G165" s="2">
        <v>146900000</v>
      </c>
      <c r="H165" s="2">
        <f>+(M165*26000)/0.829426</f>
        <v>132293658.50600295</v>
      </c>
      <c r="I165" s="2">
        <f>+G165-H165</f>
        <v>14606341.493997052</v>
      </c>
      <c r="J165" s="3">
        <v>3000000</v>
      </c>
      <c r="K165" s="3">
        <v>14390000</v>
      </c>
      <c r="L165" s="3">
        <v>14690000</v>
      </c>
      <c r="M165" s="3">
        <v>4220.3</v>
      </c>
      <c r="N165" s="3">
        <v>144000000</v>
      </c>
      <c r="O165" s="3">
        <v>147000000</v>
      </c>
      <c r="P165" s="5">
        <v>0.45833333333333331</v>
      </c>
    </row>
    <row r="166" spans="1:16" x14ac:dyDescent="0.25">
      <c r="A166" s="1" t="s">
        <v>115</v>
      </c>
      <c r="B166" s="4">
        <v>46187</v>
      </c>
      <c r="C166" s="1" t="str">
        <f>+"Tuần  "&amp;WEEKNUM(B166)</f>
        <v>Tuần  25</v>
      </c>
      <c r="D166" s="1" t="s">
        <v>19</v>
      </c>
      <c r="E166" s="1" t="s">
        <v>159</v>
      </c>
      <c r="F166" s="2">
        <v>143900000</v>
      </c>
      <c r="G166" s="2">
        <v>146900000</v>
      </c>
      <c r="H166" s="2">
        <f>+(M166*26000)/0.829426</f>
        <v>132293658.50600295</v>
      </c>
      <c r="I166" s="2">
        <f>+G166-H166</f>
        <v>14606341.493997052</v>
      </c>
      <c r="J166" s="3">
        <v>3000000</v>
      </c>
      <c r="K166" s="3">
        <v>14390000</v>
      </c>
      <c r="L166" s="3">
        <v>14690000</v>
      </c>
      <c r="M166" s="3">
        <v>4220.3</v>
      </c>
      <c r="N166" s="3">
        <v>144000000</v>
      </c>
      <c r="O166" s="3">
        <v>147000000</v>
      </c>
      <c r="P166" s="5">
        <v>0</v>
      </c>
    </row>
    <row r="167" spans="1:16" x14ac:dyDescent="0.25">
      <c r="A167" s="1" t="s">
        <v>116</v>
      </c>
      <c r="B167" s="4">
        <v>46188</v>
      </c>
      <c r="C167" s="1" t="str">
        <f>+"Tuần  "&amp;WEEKNUM(B167)</f>
        <v>Tuần  25</v>
      </c>
      <c r="D167" s="1" t="s">
        <v>20</v>
      </c>
      <c r="E167" s="1" t="s">
        <v>159</v>
      </c>
      <c r="F167" s="2">
        <v>147900000</v>
      </c>
      <c r="G167" s="2">
        <v>150400000</v>
      </c>
      <c r="H167" s="2">
        <f>+(M167*26000)/0.829426</f>
        <v>136121124.72963229</v>
      </c>
      <c r="I167" s="2">
        <f>+G167-H167</f>
        <v>14278875.270367712</v>
      </c>
      <c r="J167" s="3">
        <v>2500000</v>
      </c>
      <c r="K167" s="3">
        <v>14790000</v>
      </c>
      <c r="L167" s="3">
        <v>15040000</v>
      </c>
      <c r="M167" s="3">
        <v>4342.3999999999996</v>
      </c>
      <c r="N167" s="3">
        <v>148000000</v>
      </c>
      <c r="O167" s="3">
        <v>150500000</v>
      </c>
      <c r="P167" s="5">
        <v>0.97916666666666663</v>
      </c>
    </row>
    <row r="168" spans="1:16" x14ac:dyDescent="0.25">
      <c r="A168" s="1" t="s">
        <v>117</v>
      </c>
      <c r="B168" s="4">
        <v>46189</v>
      </c>
      <c r="C168" s="1" t="str">
        <f>+"Tuần  "&amp;WEEKNUM(B168)</f>
        <v>Tuần  25</v>
      </c>
      <c r="D168" s="1" t="s">
        <v>21</v>
      </c>
      <c r="E168" s="1" t="s">
        <v>159</v>
      </c>
      <c r="F168" s="2">
        <v>149400000</v>
      </c>
      <c r="G168" s="2">
        <v>151400000</v>
      </c>
      <c r="H168" s="2">
        <f>+(M168*26000)/0.829426</f>
        <v>136237108.55459079</v>
      </c>
      <c r="I168" s="2">
        <f>+G168-H168</f>
        <v>15162891.445409209</v>
      </c>
      <c r="J168" s="3">
        <v>2000000</v>
      </c>
      <c r="K168" s="3">
        <v>14940000</v>
      </c>
      <c r="L168" s="3">
        <v>15140000</v>
      </c>
      <c r="M168" s="3">
        <v>4346.1000000000004</v>
      </c>
      <c r="N168" s="3">
        <v>149500000</v>
      </c>
      <c r="O168" s="3">
        <v>151500000</v>
      </c>
      <c r="P168" s="5">
        <v>0.97916666666666663</v>
      </c>
    </row>
    <row r="169" spans="1:16" x14ac:dyDescent="0.25">
      <c r="A169" s="1" t="s">
        <v>118</v>
      </c>
      <c r="B169" s="4">
        <v>46190</v>
      </c>
      <c r="C169" s="1" t="str">
        <f>+"Tuần  "&amp;WEEKNUM(B169)</f>
        <v>Tuần  25</v>
      </c>
      <c r="D169" s="1" t="s">
        <v>22</v>
      </c>
      <c r="E169" s="1" t="s">
        <v>159</v>
      </c>
      <c r="F169" s="2">
        <v>148700000</v>
      </c>
      <c r="G169" s="2">
        <v>151200000</v>
      </c>
      <c r="H169" s="2">
        <f>+(M169*26000)/0.829426</f>
        <v>136876586.94084826</v>
      </c>
      <c r="I169" s="2">
        <f>+G169-H169</f>
        <v>14323413.059151739</v>
      </c>
      <c r="J169" s="3">
        <v>2500000</v>
      </c>
      <c r="K169" s="3">
        <v>14870000</v>
      </c>
      <c r="L169" s="3">
        <v>15120000</v>
      </c>
      <c r="M169" s="3">
        <v>4366.5</v>
      </c>
      <c r="N169" s="3">
        <v>148800000</v>
      </c>
      <c r="O169" s="3">
        <v>151300000</v>
      </c>
      <c r="P169" s="5">
        <v>0.97916666666666663</v>
      </c>
    </row>
    <row r="170" spans="1:16" x14ac:dyDescent="0.25">
      <c r="A170" s="1" t="s">
        <v>119</v>
      </c>
      <c r="B170" s="4">
        <v>46191</v>
      </c>
      <c r="C170" s="1" t="str">
        <f>+"Tuần  "&amp;WEEKNUM(B170)</f>
        <v>Tuần  25</v>
      </c>
      <c r="D170" s="1" t="s">
        <v>16</v>
      </c>
      <c r="E170" s="1" t="s">
        <v>159</v>
      </c>
      <c r="F170" s="2">
        <v>148700000</v>
      </c>
      <c r="G170" s="2">
        <v>151200000</v>
      </c>
      <c r="H170" s="2">
        <f>+(M170*26000)/0.829426</f>
        <v>132475470.98837028</v>
      </c>
      <c r="I170" s="2">
        <f>+G170-H170</f>
        <v>18724529.011629716</v>
      </c>
      <c r="J170" s="3">
        <v>2500000</v>
      </c>
      <c r="K170" s="3">
        <v>14870000</v>
      </c>
      <c r="L170" s="3">
        <v>15120000</v>
      </c>
      <c r="M170" s="3">
        <v>4226.1000000000004</v>
      </c>
      <c r="N170" s="3">
        <v>148800000</v>
      </c>
      <c r="O170" s="3">
        <v>151300000</v>
      </c>
      <c r="P170" s="5">
        <v>0.97916666666666663</v>
      </c>
    </row>
    <row r="171" spans="1:16" x14ac:dyDescent="0.25">
      <c r="A171" s="1" t="s">
        <v>120</v>
      </c>
      <c r="B171" s="4">
        <v>46192</v>
      </c>
      <c r="C171" s="1" t="str">
        <f>+"Tuần  "&amp;WEEKNUM(B171)</f>
        <v>Tuần  25</v>
      </c>
      <c r="D171" s="1" t="s">
        <v>17</v>
      </c>
      <c r="E171" s="1" t="s">
        <v>159</v>
      </c>
      <c r="F171" s="2">
        <v>143600000</v>
      </c>
      <c r="G171" s="2">
        <v>146600000</v>
      </c>
      <c r="H171" s="2">
        <f>+(M171*26000)/0.829426</f>
        <v>130083696.4358484</v>
      </c>
      <c r="I171" s="2">
        <f>+G171-H171</f>
        <v>16516303.5641516</v>
      </c>
      <c r="J171" s="3">
        <v>3000000</v>
      </c>
      <c r="K171" s="3">
        <v>14360000</v>
      </c>
      <c r="L171" s="3">
        <v>14660000</v>
      </c>
      <c r="M171" s="3">
        <v>4149.8</v>
      </c>
      <c r="N171" s="3">
        <v>143700000</v>
      </c>
      <c r="O171" s="3">
        <v>146700000</v>
      </c>
      <c r="P171" s="5">
        <v>0.97916666666666663</v>
      </c>
    </row>
    <row r="172" spans="1:16" x14ac:dyDescent="0.25">
      <c r="A172" s="1" t="s">
        <v>121</v>
      </c>
      <c r="B172" s="4">
        <v>46193</v>
      </c>
      <c r="C172" s="1" t="str">
        <f>+"Tuần  "&amp;WEEKNUM(B172)</f>
        <v>Tuần  25</v>
      </c>
      <c r="D172" s="1" t="s">
        <v>18</v>
      </c>
      <c r="E172" s="1" t="s">
        <v>159</v>
      </c>
      <c r="F172" s="2">
        <v>144100000</v>
      </c>
      <c r="G172" s="2">
        <v>147100000</v>
      </c>
      <c r="H172" s="2">
        <f>+(M172*26000)/0.829426</f>
        <v>130299990.59590608</v>
      </c>
      <c r="I172" s="2">
        <f>+G172-H172</f>
        <v>16800009.404093921</v>
      </c>
      <c r="J172" s="3">
        <v>3000000</v>
      </c>
      <c r="K172" s="3">
        <v>14410000</v>
      </c>
      <c r="L172" s="3">
        <v>14710000</v>
      </c>
      <c r="M172" s="3">
        <v>4156.7</v>
      </c>
      <c r="N172" s="3">
        <v>144200000</v>
      </c>
      <c r="O172" s="3">
        <v>147200000</v>
      </c>
      <c r="P172" s="5">
        <v>0.39583333333333331</v>
      </c>
    </row>
    <row r="173" spans="1:16" x14ac:dyDescent="0.25">
      <c r="A173" s="1" t="s">
        <v>122</v>
      </c>
      <c r="B173" s="4">
        <v>46194</v>
      </c>
      <c r="C173" s="1" t="str">
        <f>+"Tuần  "&amp;WEEKNUM(B173)</f>
        <v>Tuần  26</v>
      </c>
      <c r="D173" s="1" t="s">
        <v>19</v>
      </c>
      <c r="E173" s="1" t="s">
        <v>159</v>
      </c>
      <c r="F173" s="2">
        <v>144100000</v>
      </c>
      <c r="G173" s="2">
        <v>147100000</v>
      </c>
      <c r="H173" s="2">
        <f>+(M173*26000)/0.829426</f>
        <v>130299990.59590608</v>
      </c>
      <c r="I173" s="2">
        <f>+G173-H173</f>
        <v>16800009.404093921</v>
      </c>
      <c r="J173" s="3">
        <v>3000000</v>
      </c>
      <c r="K173" s="3">
        <v>14410000</v>
      </c>
      <c r="L173" s="3">
        <v>14710000</v>
      </c>
      <c r="M173" s="3">
        <v>4156.7</v>
      </c>
      <c r="N173" s="3">
        <v>144200000</v>
      </c>
      <c r="O173" s="3">
        <v>147200000</v>
      </c>
      <c r="P173" s="5">
        <v>0</v>
      </c>
    </row>
    <row r="174" spans="1:16" x14ac:dyDescent="0.25">
      <c r="A174" s="1" t="s">
        <v>123</v>
      </c>
      <c r="B174" s="4">
        <v>46195</v>
      </c>
      <c r="C174" s="1" t="str">
        <f>+"Tuần  "&amp;WEEKNUM(B174)</f>
        <v>Tuần  26</v>
      </c>
      <c r="D174" s="1" t="s">
        <v>20</v>
      </c>
      <c r="E174" s="1" t="s">
        <v>159</v>
      </c>
      <c r="F174" s="2">
        <v>145500000</v>
      </c>
      <c r="G174" s="2">
        <v>148500000</v>
      </c>
      <c r="H174" s="2">
        <f>+(M174*26000)/0.829426</f>
        <v>131124416.16250275</v>
      </c>
      <c r="I174" s="2">
        <f>+G174-H174</f>
        <v>17375583.837497249</v>
      </c>
      <c r="J174" s="3">
        <v>3000000</v>
      </c>
      <c r="K174" s="3">
        <v>14550000</v>
      </c>
      <c r="L174" s="3">
        <v>14850000</v>
      </c>
      <c r="M174" s="3">
        <v>4183</v>
      </c>
      <c r="N174" s="3">
        <v>145600000</v>
      </c>
      <c r="O174" s="3">
        <v>148600000</v>
      </c>
      <c r="P174" s="5">
        <v>0.97916666666666663</v>
      </c>
    </row>
    <row r="175" spans="1:16" x14ac:dyDescent="0.25">
      <c r="A175" s="1" t="s">
        <v>124</v>
      </c>
      <c r="B175" s="4">
        <v>46196</v>
      </c>
      <c r="C175" s="1" t="str">
        <f>+"Tuần  "&amp;WEEKNUM(B175)</f>
        <v>Tuần  26</v>
      </c>
      <c r="D175" s="1" t="s">
        <v>21</v>
      </c>
      <c r="E175" s="1" t="s">
        <v>159</v>
      </c>
      <c r="F175" s="2">
        <v>143900000</v>
      </c>
      <c r="G175" s="2">
        <v>146900000</v>
      </c>
      <c r="H175" s="2">
        <f>+(M175*26000)/0.829426</f>
        <v>129698128.5853108</v>
      </c>
      <c r="I175" s="2">
        <f>+G175-H175</f>
        <v>17201871.414689198</v>
      </c>
      <c r="J175" s="3">
        <v>3000000</v>
      </c>
      <c r="K175" s="3">
        <v>14390000</v>
      </c>
      <c r="L175" s="3">
        <v>14690000</v>
      </c>
      <c r="M175" s="3">
        <v>4137.5</v>
      </c>
      <c r="N175" s="3">
        <v>144000000</v>
      </c>
      <c r="O175" s="3">
        <v>147000000</v>
      </c>
      <c r="P175" s="5">
        <v>0.97916666666666663</v>
      </c>
    </row>
    <row r="176" spans="1:16" x14ac:dyDescent="0.25">
      <c r="A176" s="1" t="s">
        <v>125</v>
      </c>
      <c r="B176" s="4">
        <v>46197</v>
      </c>
      <c r="C176" s="1" t="str">
        <f>+"Tuần  "&amp;WEEKNUM(B176)</f>
        <v>Tuần  26</v>
      </c>
      <c r="D176" s="1" t="s">
        <v>22</v>
      </c>
      <c r="E176" s="1" t="s">
        <v>159</v>
      </c>
      <c r="F176" s="2">
        <v>143900000</v>
      </c>
      <c r="G176" s="2">
        <v>146900000</v>
      </c>
      <c r="H176" s="2">
        <f>+(M176*26000)/0.829426</f>
        <v>125845584.77790666</v>
      </c>
      <c r="I176" s="2">
        <f>+G176-H176</f>
        <v>21054415.222093344</v>
      </c>
      <c r="J176" s="3">
        <v>3000000</v>
      </c>
      <c r="K176" s="3">
        <v>14390000</v>
      </c>
      <c r="L176" s="3">
        <v>14690000</v>
      </c>
      <c r="M176" s="3">
        <v>4014.6</v>
      </c>
      <c r="N176" s="3">
        <v>144000000</v>
      </c>
      <c r="O176" s="3">
        <v>147000000</v>
      </c>
      <c r="P176" s="5">
        <v>0.97916666666666663</v>
      </c>
    </row>
    <row r="177" spans="1:16" x14ac:dyDescent="0.25">
      <c r="A177" s="1" t="s">
        <v>126</v>
      </c>
      <c r="B177" s="4">
        <v>46198</v>
      </c>
      <c r="C177" s="1" t="str">
        <f>+"Tuần  "&amp;WEEKNUM(B177)</f>
        <v>Tuần  26</v>
      </c>
      <c r="D177" s="1" t="s">
        <v>16</v>
      </c>
      <c r="E177" s="1" t="s">
        <v>159</v>
      </c>
      <c r="F177" s="2">
        <v>143100000</v>
      </c>
      <c r="G177" s="2">
        <v>146100000</v>
      </c>
      <c r="H177" s="2">
        <f>+(M177*26000)/0.829426</f>
        <v>126738973.69988401</v>
      </c>
      <c r="I177" s="2">
        <f>+G177-H177</f>
        <v>19361026.300115988</v>
      </c>
      <c r="J177" s="3">
        <v>3000000</v>
      </c>
      <c r="K177" s="3">
        <v>14310000</v>
      </c>
      <c r="L177" s="3">
        <v>14610000</v>
      </c>
      <c r="M177" s="3">
        <v>4043.1</v>
      </c>
      <c r="N177" s="3">
        <v>143200000</v>
      </c>
      <c r="O177" s="3">
        <v>146200000</v>
      </c>
      <c r="P177" s="5">
        <v>0.97916666666666663</v>
      </c>
    </row>
    <row r="178" spans="1:16" x14ac:dyDescent="0.25">
      <c r="A178" s="1" t="s">
        <v>127</v>
      </c>
      <c r="B178" s="4">
        <v>46199</v>
      </c>
      <c r="C178" s="1" t="str">
        <f>+"Tuần  "&amp;WEEKNUM(B178)</f>
        <v>Tuần  26</v>
      </c>
      <c r="D178" s="1" t="s">
        <v>17</v>
      </c>
      <c r="E178" s="1" t="s">
        <v>159</v>
      </c>
      <c r="F178" s="2">
        <v>143900000</v>
      </c>
      <c r="G178" s="2">
        <v>146900000</v>
      </c>
      <c r="H178" s="2">
        <f>+(M178*26000)/0.829426</f>
        <v>128177800.06896335</v>
      </c>
      <c r="I178" s="2">
        <f>+G178-H178</f>
        <v>18722199.931036651</v>
      </c>
      <c r="J178" s="3">
        <v>3000000</v>
      </c>
      <c r="K178" s="3">
        <v>14390000</v>
      </c>
      <c r="L178" s="3">
        <v>14690000</v>
      </c>
      <c r="M178" s="3">
        <v>4089</v>
      </c>
      <c r="N178" s="3">
        <v>144000000</v>
      </c>
      <c r="O178" s="3">
        <v>147000000</v>
      </c>
      <c r="P178" s="5">
        <v>0.97916666666666663</v>
      </c>
    </row>
    <row r="179" spans="1:16" x14ac:dyDescent="0.25">
      <c r="A179" s="1" t="s">
        <v>128</v>
      </c>
      <c r="B179" s="4">
        <v>46200</v>
      </c>
      <c r="C179" s="1" t="str">
        <f>+"Tuần  "&amp;WEEKNUM(B179)</f>
        <v>Tuần  26</v>
      </c>
      <c r="D179" s="1" t="s">
        <v>18</v>
      </c>
      <c r="E179" s="1" t="s">
        <v>159</v>
      </c>
      <c r="F179" s="2">
        <v>145400000</v>
      </c>
      <c r="G179" s="2">
        <v>148400000</v>
      </c>
      <c r="H179" s="2">
        <f>+(M179*26000)/0.829426</f>
        <v>128227955.23651296</v>
      </c>
      <c r="I179" s="2">
        <f>+G179-H179</f>
        <v>20172044.763487041</v>
      </c>
      <c r="J179" s="3">
        <v>3000000</v>
      </c>
      <c r="K179" s="3">
        <v>14540000</v>
      </c>
      <c r="L179" s="3">
        <v>14840000</v>
      </c>
      <c r="M179" s="3">
        <v>4090.6</v>
      </c>
      <c r="N179" s="3">
        <v>145500000</v>
      </c>
      <c r="O179" s="3">
        <v>148500000</v>
      </c>
      <c r="P179" s="5">
        <v>0.41666666666666669</v>
      </c>
    </row>
    <row r="180" spans="1:16" x14ac:dyDescent="0.25">
      <c r="A180" s="1" t="s">
        <v>129</v>
      </c>
      <c r="B180" s="4">
        <v>46201</v>
      </c>
      <c r="C180" s="1" t="str">
        <f>+"Tuần  "&amp;WEEKNUM(B180)</f>
        <v>Tuần  27</v>
      </c>
      <c r="D180" s="1" t="s">
        <v>19</v>
      </c>
      <c r="E180" s="1" t="s">
        <v>159</v>
      </c>
      <c r="F180" s="2">
        <v>145400000</v>
      </c>
      <c r="G180" s="2">
        <v>148400000</v>
      </c>
      <c r="H180" s="2">
        <f>+(M180*26000)/0.829426</f>
        <v>128227955.23651296</v>
      </c>
      <c r="I180" s="2">
        <f>+G180-H180</f>
        <v>20172044.763487041</v>
      </c>
      <c r="J180" s="3">
        <v>3000000</v>
      </c>
      <c r="K180" s="3">
        <v>14540000</v>
      </c>
      <c r="L180" s="3">
        <v>14840000</v>
      </c>
      <c r="M180" s="3">
        <v>4090.6</v>
      </c>
      <c r="N180" s="3">
        <v>145500000</v>
      </c>
      <c r="O180" s="3">
        <v>148500000</v>
      </c>
      <c r="P180" s="5">
        <v>0.3125</v>
      </c>
    </row>
    <row r="181" spans="1:16" x14ac:dyDescent="0.25">
      <c r="A181" s="1" t="s">
        <v>130</v>
      </c>
      <c r="B181" s="4">
        <v>46202</v>
      </c>
      <c r="C181" s="1" t="str">
        <f>+"Tuần  "&amp;WEEKNUM(B181)</f>
        <v>Tuần  27</v>
      </c>
      <c r="D181" s="1" t="s">
        <v>20</v>
      </c>
      <c r="E181" s="1" t="s">
        <v>159</v>
      </c>
      <c r="F181" s="2">
        <v>144900000</v>
      </c>
      <c r="G181" s="2">
        <v>147900000</v>
      </c>
      <c r="H181" s="2">
        <f>+(M181*26000)/0.829426</f>
        <v>126165323.97103539</v>
      </c>
      <c r="I181" s="2">
        <f>+G181-H181</f>
        <v>21734676.028964609</v>
      </c>
      <c r="J181" s="3">
        <v>3000000</v>
      </c>
      <c r="K181" s="3">
        <v>14490000</v>
      </c>
      <c r="L181" s="3">
        <v>14790000</v>
      </c>
      <c r="M181" s="3">
        <v>4024.8</v>
      </c>
      <c r="N181" s="3">
        <v>145000000</v>
      </c>
      <c r="O181" s="3">
        <v>148000000</v>
      </c>
      <c r="P181" s="5">
        <v>0.97916666666666663</v>
      </c>
    </row>
    <row r="182" spans="1:16" x14ac:dyDescent="0.25">
      <c r="A182" s="1" t="s">
        <v>131</v>
      </c>
      <c r="B182" s="4">
        <v>46203</v>
      </c>
      <c r="C182" s="1" t="str">
        <f>+"Tuần  "&amp;WEEKNUM(B182)</f>
        <v>Tuần  27</v>
      </c>
      <c r="D182" s="1" t="s">
        <v>21</v>
      </c>
      <c r="E182" s="1" t="s">
        <v>159</v>
      </c>
      <c r="F182" s="2">
        <v>143900000</v>
      </c>
      <c r="G182" s="2">
        <v>146900000</v>
      </c>
      <c r="H182" s="2">
        <f>+(M182*26000)/0.829426</f>
        <v>126322058.86962791</v>
      </c>
      <c r="I182" s="2">
        <f>+G182-H182</f>
        <v>20577941.130372092</v>
      </c>
      <c r="J182" s="3">
        <v>3000000</v>
      </c>
      <c r="K182" s="3">
        <v>14390000</v>
      </c>
      <c r="L182" s="3">
        <v>14690000</v>
      </c>
      <c r="M182" s="3">
        <v>4029.8</v>
      </c>
      <c r="N182" s="3">
        <v>144000000</v>
      </c>
      <c r="O182" s="3">
        <v>147000000</v>
      </c>
      <c r="P182" s="5">
        <v>0.97916666666666663</v>
      </c>
    </row>
    <row r="183" spans="1:16" x14ac:dyDescent="0.25">
      <c r="A183" s="4">
        <v>46029</v>
      </c>
      <c r="B183" s="4">
        <v>46204</v>
      </c>
      <c r="C183" s="1" t="str">
        <f>+"Tuần  "&amp;WEEKNUM(B183)</f>
        <v>Tuần  27</v>
      </c>
      <c r="D183" s="1" t="s">
        <v>22</v>
      </c>
      <c r="E183" s="1" t="s">
        <v>159</v>
      </c>
      <c r="F183" s="2">
        <v>143300000</v>
      </c>
      <c r="G183" s="2">
        <v>146300000</v>
      </c>
      <c r="H183" s="2">
        <f>+(M183*26000)/0.829426</f>
        <v>128049277.45211749</v>
      </c>
      <c r="I183" s="2">
        <f>+G183-H183</f>
        <v>18250722.547882512</v>
      </c>
      <c r="J183" s="3">
        <v>3000000</v>
      </c>
      <c r="K183" s="3">
        <v>14330000</v>
      </c>
      <c r="L183" s="3">
        <v>14630000</v>
      </c>
      <c r="M183" s="3">
        <v>4084.9</v>
      </c>
      <c r="N183" s="3">
        <v>143400000</v>
      </c>
      <c r="O183" s="3">
        <v>146400000</v>
      </c>
      <c r="P183" s="5">
        <v>0.97916666666666663</v>
      </c>
    </row>
    <row r="184" spans="1:16" x14ac:dyDescent="0.25">
      <c r="A184" s="4">
        <v>46060</v>
      </c>
      <c r="B184" s="4">
        <v>46205</v>
      </c>
      <c r="C184" s="1" t="str">
        <f>+"Tuần  "&amp;WEEKNUM(B184)</f>
        <v>Tuần  27</v>
      </c>
      <c r="D184" s="1" t="s">
        <v>16</v>
      </c>
      <c r="E184" s="1" t="s">
        <v>159</v>
      </c>
      <c r="F184" s="2">
        <v>145300000</v>
      </c>
      <c r="G184" s="2">
        <v>148300000</v>
      </c>
      <c r="H184" s="2">
        <f>+(M184*26000)/0.829426</f>
        <v>129130748.25240587</v>
      </c>
      <c r="I184" s="2">
        <f>+G184-H184</f>
        <v>19169251.747594133</v>
      </c>
      <c r="J184" s="3">
        <v>3000000</v>
      </c>
      <c r="K184" s="3">
        <v>14530000</v>
      </c>
      <c r="L184" s="3">
        <v>14830000</v>
      </c>
      <c r="M184" s="3">
        <v>4119.3999999999996</v>
      </c>
      <c r="N184" s="3">
        <v>145400000</v>
      </c>
      <c r="O184" s="3">
        <v>148400000</v>
      </c>
      <c r="P184" s="5">
        <v>0.97916666666666663</v>
      </c>
    </row>
    <row r="185" spans="1:16" x14ac:dyDescent="0.25">
      <c r="A185" s="4">
        <v>46088</v>
      </c>
      <c r="B185" s="4">
        <v>46206</v>
      </c>
      <c r="C185" s="1" t="str">
        <f>+"Tuần  "&amp;WEEKNUM(B185)</f>
        <v>Tuần  27</v>
      </c>
      <c r="D185" s="1" t="s">
        <v>17</v>
      </c>
      <c r="E185" s="1" t="s">
        <v>159</v>
      </c>
      <c r="F185" s="2">
        <v>148300000</v>
      </c>
      <c r="G185" s="2">
        <v>151300000</v>
      </c>
      <c r="H185" s="2">
        <f>+(M185*26000)/0.829426</f>
        <v>130625999.18497854</v>
      </c>
      <c r="I185" s="2">
        <f>+G185-H185</f>
        <v>20674000.815021455</v>
      </c>
      <c r="J185" s="3">
        <v>3000000</v>
      </c>
      <c r="K185" s="3">
        <v>14830000</v>
      </c>
      <c r="L185" s="3">
        <v>15130000</v>
      </c>
      <c r="M185" s="3">
        <v>4167.1000000000004</v>
      </c>
      <c r="N185" s="3">
        <v>148400000</v>
      </c>
      <c r="O185" s="3">
        <v>151400000</v>
      </c>
      <c r="P185" s="5">
        <v>0.97916666666666663</v>
      </c>
    </row>
    <row r="186" spans="1:16" x14ac:dyDescent="0.25">
      <c r="A186" s="4">
        <v>46119</v>
      </c>
      <c r="B186" s="4">
        <v>46207</v>
      </c>
      <c r="C186" s="1" t="str">
        <f>+"Tuần  "&amp;WEEKNUM(B186)</f>
        <v>Tuần  27</v>
      </c>
      <c r="D186" s="1" t="s">
        <v>18</v>
      </c>
      <c r="E186" s="1" t="s">
        <v>159</v>
      </c>
      <c r="F186" s="2">
        <v>148300000</v>
      </c>
      <c r="G186" s="2">
        <v>151300000</v>
      </c>
      <c r="H186" s="2">
        <f>+(M186*26000)/0.829426</f>
        <v>130908122.00244509</v>
      </c>
      <c r="I186" s="2">
        <f>+G186-H186</f>
        <v>20391877.997554913</v>
      </c>
      <c r="J186" s="3">
        <v>3000000</v>
      </c>
      <c r="K186" s="3">
        <v>14830000</v>
      </c>
      <c r="L186" s="3">
        <v>15130000</v>
      </c>
      <c r="M186" s="3">
        <v>4176.1000000000004</v>
      </c>
      <c r="N186" s="3">
        <v>148400000</v>
      </c>
      <c r="O186" s="3">
        <v>151400000</v>
      </c>
      <c r="P186" s="5">
        <v>2.0833333333333332E-2</v>
      </c>
    </row>
    <row r="187" spans="1:16" x14ac:dyDescent="0.25">
      <c r="A187" s="4">
        <v>46149</v>
      </c>
      <c r="B187" s="4">
        <v>46208</v>
      </c>
      <c r="C187" s="1" t="str">
        <f>+"Tuần  "&amp;WEEKNUM(B187)</f>
        <v>Tuần  28</v>
      </c>
      <c r="D187" s="1" t="s">
        <v>19</v>
      </c>
      <c r="E187" s="1" t="s">
        <v>159</v>
      </c>
      <c r="F187" s="2">
        <v>148300000</v>
      </c>
      <c r="G187" s="2">
        <v>151300000</v>
      </c>
      <c r="H187" s="2">
        <f>+(M187*26000)/0.829426</f>
        <v>130908122.00244509</v>
      </c>
      <c r="I187" s="2">
        <f>+G187-H187</f>
        <v>20391877.997554913</v>
      </c>
      <c r="J187" s="3">
        <v>3000000</v>
      </c>
      <c r="K187" s="3">
        <v>14830000</v>
      </c>
      <c r="L187" s="3">
        <v>15130000</v>
      </c>
      <c r="M187" s="3">
        <v>4176.1000000000004</v>
      </c>
      <c r="N187" s="3">
        <v>148400000</v>
      </c>
      <c r="O187" s="3">
        <v>151400000</v>
      </c>
      <c r="P187" s="5">
        <v>0</v>
      </c>
    </row>
    <row r="188" spans="1:16" x14ac:dyDescent="0.25">
      <c r="A188" s="4">
        <v>46180</v>
      </c>
      <c r="B188" s="4">
        <v>46209</v>
      </c>
      <c r="C188" s="1" t="str">
        <f>+"Tuần  "&amp;WEEKNUM(B188)</f>
        <v>Tuần  28</v>
      </c>
      <c r="D188" s="1" t="s">
        <v>20</v>
      </c>
      <c r="E188" s="1" t="s">
        <v>159</v>
      </c>
      <c r="F188" s="2">
        <v>147900000</v>
      </c>
      <c r="G188" s="2">
        <v>150900000</v>
      </c>
      <c r="H188" s="2">
        <f>+(M188*26000)/0.829426</f>
        <v>129961443.21494623</v>
      </c>
      <c r="I188" s="2">
        <f>+G188-H188</f>
        <v>20938556.785053775</v>
      </c>
      <c r="J188" s="3">
        <v>3000000</v>
      </c>
      <c r="K188" s="3">
        <v>14790000</v>
      </c>
      <c r="L188" s="3">
        <v>15090000</v>
      </c>
      <c r="M188" s="3">
        <v>4145.8999999999996</v>
      </c>
      <c r="N188" s="3">
        <v>148000000</v>
      </c>
      <c r="O188" s="3">
        <v>151000000</v>
      </c>
      <c r="P188" s="5">
        <v>0.97916666666666663</v>
      </c>
    </row>
    <row r="189" spans="1:16" x14ac:dyDescent="0.25">
      <c r="A189" s="4">
        <v>46210</v>
      </c>
      <c r="B189" s="4">
        <v>46210</v>
      </c>
      <c r="C189" s="1" t="str">
        <f>+"Tuần  "&amp;WEEKNUM(B189)</f>
        <v>Tuần  28</v>
      </c>
      <c r="D189" s="1" t="s">
        <v>21</v>
      </c>
      <c r="E189" s="1" t="s">
        <v>159</v>
      </c>
      <c r="F189" s="2">
        <v>146700000</v>
      </c>
      <c r="G189" s="2">
        <v>149700000</v>
      </c>
      <c r="H189" s="2">
        <f>+(M189*26000)/0.829426</f>
        <v>130017867.77843955</v>
      </c>
      <c r="I189" s="2">
        <f>+G189-H189</f>
        <v>19682132.221560448</v>
      </c>
      <c r="J189" s="3">
        <v>3000000</v>
      </c>
      <c r="K189" s="3">
        <v>14670000</v>
      </c>
      <c r="L189" s="3">
        <v>14970000</v>
      </c>
      <c r="M189" s="3">
        <v>4147.7</v>
      </c>
      <c r="N189" s="3">
        <v>147000000</v>
      </c>
      <c r="O189" s="3">
        <v>150000000</v>
      </c>
      <c r="P189" s="5">
        <v>0.97916666666666663</v>
      </c>
    </row>
    <row r="190" spans="1:16" x14ac:dyDescent="0.25">
      <c r="A190" s="4">
        <v>46241</v>
      </c>
      <c r="B190" s="4">
        <v>46211</v>
      </c>
      <c r="C190" s="1" t="str">
        <f>+"Tuần  "&amp;WEEKNUM(B190)</f>
        <v>Tuần  28</v>
      </c>
      <c r="D190" s="1" t="s">
        <v>22</v>
      </c>
      <c r="E190" s="1" t="s">
        <v>159</v>
      </c>
      <c r="F190" s="2">
        <v>145200000</v>
      </c>
      <c r="G190" s="2">
        <v>148200000</v>
      </c>
      <c r="H190" s="2">
        <f>+(M190*26000)/0.829426</f>
        <v>126795398.26337732</v>
      </c>
      <c r="I190" s="2">
        <f>+G190-H190</f>
        <v>21404601.736622676</v>
      </c>
      <c r="J190" s="3">
        <v>3000000</v>
      </c>
      <c r="K190" s="3">
        <v>14520000</v>
      </c>
      <c r="L190" s="3">
        <v>14820000</v>
      </c>
      <c r="M190" s="3">
        <v>4044.9</v>
      </c>
      <c r="N190" s="3">
        <v>145500000</v>
      </c>
      <c r="O190" s="3">
        <v>148500000</v>
      </c>
      <c r="P190" s="5">
        <v>0.97916666666666663</v>
      </c>
    </row>
    <row r="191" spans="1:16" x14ac:dyDescent="0.25">
      <c r="A191" s="4">
        <v>46272</v>
      </c>
      <c r="B191" s="4">
        <v>46212</v>
      </c>
      <c r="C191" s="1" t="str">
        <f>+"Tuần  "&amp;WEEKNUM(B191)</f>
        <v>Tuần  28</v>
      </c>
      <c r="D191" s="1" t="s">
        <v>16</v>
      </c>
      <c r="E191" s="1" t="s">
        <v>159</v>
      </c>
      <c r="F191" s="2">
        <v>145700000</v>
      </c>
      <c r="G191" s="2">
        <v>148700000</v>
      </c>
      <c r="H191" s="2">
        <f>+(M191*26000)/0.829426</f>
        <v>129494373.21714053</v>
      </c>
      <c r="I191" s="2">
        <f>+G191-H191</f>
        <v>19205626.782859474</v>
      </c>
      <c r="J191" s="3">
        <v>3000000</v>
      </c>
      <c r="K191" s="3">
        <v>14570000</v>
      </c>
      <c r="L191" s="3">
        <v>14870000</v>
      </c>
      <c r="M191" s="3">
        <v>4131</v>
      </c>
      <c r="N191" s="3">
        <v>146000000</v>
      </c>
      <c r="O191" s="3">
        <v>149000000</v>
      </c>
      <c r="P191" s="5">
        <v>0.97916666666666663</v>
      </c>
    </row>
    <row r="192" spans="1:16" x14ac:dyDescent="0.25">
      <c r="A192" s="4">
        <v>46302</v>
      </c>
      <c r="B192" s="4">
        <v>46213</v>
      </c>
      <c r="C192" s="1" t="str">
        <f>+"Tuần  "&amp;WEEKNUM(B192)</f>
        <v>Tuần  28</v>
      </c>
      <c r="D192" s="1" t="s">
        <v>17</v>
      </c>
      <c r="E192" s="1" t="s">
        <v>159</v>
      </c>
      <c r="F192" s="2">
        <v>146400000</v>
      </c>
      <c r="G192" s="2">
        <v>149400000</v>
      </c>
      <c r="H192" s="2">
        <f>+(M192*26000)/0.829426</f>
        <v>128591580.20124762</v>
      </c>
      <c r="I192" s="2">
        <f>+G192-H192</f>
        <v>20808419.798752382</v>
      </c>
      <c r="J192" s="3">
        <v>3000000</v>
      </c>
      <c r="K192" s="3">
        <v>14640000</v>
      </c>
      <c r="L192" s="3">
        <v>14940000</v>
      </c>
      <c r="M192" s="3">
        <v>4102.2</v>
      </c>
      <c r="N192" s="3">
        <v>146900000</v>
      </c>
      <c r="O192" s="3">
        <v>149900000</v>
      </c>
      <c r="P192" s="5">
        <v>0.9375</v>
      </c>
    </row>
    <row r="193" spans="1:16" x14ac:dyDescent="0.25">
      <c r="A193" s="4">
        <v>46333</v>
      </c>
      <c r="B193" s="4">
        <v>46214</v>
      </c>
      <c r="C193" s="1" t="str">
        <f>+"Tuần  "&amp;WEEKNUM(B193)</f>
        <v>Tuần  28</v>
      </c>
      <c r="D193" s="1" t="s">
        <v>18</v>
      </c>
      <c r="E193" s="1" t="s">
        <v>159</v>
      </c>
      <c r="F193" s="2">
        <v>146400000</v>
      </c>
      <c r="G193" s="2">
        <v>149400000</v>
      </c>
      <c r="H193" s="2">
        <f>+(M193*26000)/0.829426</f>
        <v>129193442.21184286</v>
      </c>
      <c r="I193" s="2">
        <f>+G193-H193</f>
        <v>20206557.788157135</v>
      </c>
      <c r="J193" s="3">
        <v>3000000</v>
      </c>
      <c r="K193" s="3">
        <v>14640000</v>
      </c>
      <c r="L193" s="3">
        <v>14940000</v>
      </c>
      <c r="M193" s="3">
        <v>4121.3999999999996</v>
      </c>
      <c r="N193" s="3">
        <v>146900000</v>
      </c>
      <c r="O193" s="3">
        <v>149900000</v>
      </c>
      <c r="P193" s="5">
        <v>0.375</v>
      </c>
    </row>
    <row r="194" spans="1:16" x14ac:dyDescent="0.25">
      <c r="A194" s="4">
        <v>46363</v>
      </c>
      <c r="B194" s="4">
        <v>46215</v>
      </c>
      <c r="C194" s="1" t="str">
        <f>+"Tuần  "&amp;WEEKNUM(B194)</f>
        <v>Tuần  29</v>
      </c>
      <c r="D194" s="1" t="s">
        <v>19</v>
      </c>
      <c r="E194" s="1" t="s">
        <v>159</v>
      </c>
      <c r="F194" s="2">
        <v>146400000</v>
      </c>
      <c r="G194" s="2">
        <v>149400000</v>
      </c>
      <c r="H194" s="2">
        <f>+(M194*26000)/0.829426</f>
        <v>129193442.21184286</v>
      </c>
      <c r="I194" s="2">
        <f>+G194-H194</f>
        <v>20206557.788157135</v>
      </c>
      <c r="J194" s="3">
        <v>3000000</v>
      </c>
      <c r="K194" s="3">
        <v>14640000</v>
      </c>
      <c r="L194" s="3">
        <v>14940000</v>
      </c>
      <c r="M194" s="3">
        <v>4121.3999999999996</v>
      </c>
      <c r="N194" s="3">
        <v>146900000</v>
      </c>
      <c r="O194" s="3">
        <v>149900000</v>
      </c>
      <c r="P194" s="5">
        <v>0</v>
      </c>
    </row>
    <row r="195" spans="1:16" x14ac:dyDescent="0.25">
      <c r="A195" s="1" t="s">
        <v>132</v>
      </c>
      <c r="B195" s="4">
        <v>46216</v>
      </c>
      <c r="C195" s="1" t="str">
        <f>+"Tuần  "&amp;WEEKNUM(B195)</f>
        <v>Tuần  29</v>
      </c>
      <c r="D195" s="1" t="s">
        <v>20</v>
      </c>
      <c r="E195" s="1" t="s">
        <v>159</v>
      </c>
      <c r="F195" s="2">
        <v>144400000</v>
      </c>
      <c r="G195" s="2">
        <v>147900000</v>
      </c>
      <c r="H195" s="2">
        <f>+(M195*26000)/0.829426</f>
        <v>125807968.40224445</v>
      </c>
      <c r="I195" s="2">
        <f>+G195-H195</f>
        <v>22092031.597755551</v>
      </c>
      <c r="J195" s="3">
        <v>3500000</v>
      </c>
      <c r="K195" s="3">
        <v>14440000</v>
      </c>
      <c r="L195" s="3">
        <v>14790000</v>
      </c>
      <c r="M195" s="3">
        <v>4013.4</v>
      </c>
      <c r="N195" s="3">
        <v>145400000</v>
      </c>
      <c r="O195" s="3">
        <v>148400000</v>
      </c>
      <c r="P195" s="5">
        <v>0.91666666666666663</v>
      </c>
    </row>
    <row r="196" spans="1:16" x14ac:dyDescent="0.25">
      <c r="A196" s="1" t="s">
        <v>133</v>
      </c>
      <c r="B196" s="4">
        <v>46217</v>
      </c>
      <c r="C196" s="1" t="str">
        <f>+"Tuần  "&amp;WEEKNUM(B196)</f>
        <v>Tuần  29</v>
      </c>
      <c r="D196" s="1" t="s">
        <v>21</v>
      </c>
      <c r="E196" s="1" t="s">
        <v>159</v>
      </c>
      <c r="F196" s="2">
        <v>143500000</v>
      </c>
      <c r="G196" s="2">
        <v>147000000</v>
      </c>
      <c r="H196" s="2">
        <f>+(M196*26000)/0.829426</f>
        <v>127315758.1267045</v>
      </c>
      <c r="I196" s="2">
        <f>+G196-H196</f>
        <v>19684241.873295501</v>
      </c>
      <c r="J196" s="3">
        <v>3500000</v>
      </c>
      <c r="K196" s="3">
        <v>14350000</v>
      </c>
      <c r="L196" s="3">
        <v>14700000</v>
      </c>
      <c r="M196" s="3">
        <v>4061.5</v>
      </c>
      <c r="N196" s="3">
        <v>144500000</v>
      </c>
      <c r="O196" s="3">
        <v>147500000</v>
      </c>
      <c r="P196" s="5">
        <v>0.97916666666666663</v>
      </c>
    </row>
    <row r="197" spans="1:16" x14ac:dyDescent="0.25">
      <c r="A197" s="1" t="s">
        <v>134</v>
      </c>
      <c r="B197" s="4">
        <v>46218</v>
      </c>
      <c r="C197" s="1" t="str">
        <f>+"Tuần  "&amp;WEEKNUM(B197)</f>
        <v>Tuần  29</v>
      </c>
      <c r="D197" s="1" t="s">
        <v>22</v>
      </c>
      <c r="E197" s="1" t="s">
        <v>159</v>
      </c>
      <c r="F197" s="2">
        <v>144500000</v>
      </c>
      <c r="G197" s="2">
        <v>148000000</v>
      </c>
      <c r="H197" s="2">
        <f>+(M197*26000)/0.829426</f>
        <v>126494467.25807968</v>
      </c>
      <c r="I197" s="2">
        <f>+G197-H197</f>
        <v>21505532.741920322</v>
      </c>
      <c r="J197" s="3">
        <v>3500000</v>
      </c>
      <c r="K197" s="3">
        <v>14450000</v>
      </c>
      <c r="L197" s="3">
        <v>14800000</v>
      </c>
      <c r="M197" s="3">
        <v>4035.3</v>
      </c>
      <c r="N197" s="3">
        <v>145500000</v>
      </c>
      <c r="O197" s="3">
        <v>148500000</v>
      </c>
      <c r="P197" s="5">
        <v>0.97916666666666663</v>
      </c>
    </row>
    <row r="198" spans="1:16" x14ac:dyDescent="0.25">
      <c r="A198" s="1" t="s">
        <v>135</v>
      </c>
      <c r="B198" s="4">
        <v>46219</v>
      </c>
      <c r="C198" s="1" t="str">
        <f>+"Tuần  "&amp;WEEKNUM(B198)</f>
        <v>Tuần  29</v>
      </c>
      <c r="D198" s="1" t="s">
        <v>16</v>
      </c>
      <c r="E198" s="1" t="s">
        <v>159</v>
      </c>
      <c r="F198" s="2">
        <v>143700000</v>
      </c>
      <c r="G198" s="2">
        <v>147200000</v>
      </c>
      <c r="H198" s="2">
        <f>+(M198*26000)/0.829426</f>
        <v>124967869.34578854</v>
      </c>
      <c r="I198" s="2">
        <f>+G198-H198</f>
        <v>22232130.654211462</v>
      </c>
      <c r="J198" s="3">
        <v>3500000</v>
      </c>
      <c r="K198" s="3">
        <v>14370000</v>
      </c>
      <c r="L198" s="3">
        <v>14720000</v>
      </c>
      <c r="M198" s="3">
        <v>3986.6</v>
      </c>
      <c r="N198" s="3">
        <v>145200000</v>
      </c>
      <c r="O198" s="3">
        <v>148200000</v>
      </c>
      <c r="P198" s="5">
        <v>0.97916666666666663</v>
      </c>
    </row>
    <row r="199" spans="1:16" x14ac:dyDescent="0.25">
      <c r="A199" s="1" t="s">
        <v>136</v>
      </c>
      <c r="B199" s="4">
        <v>46220</v>
      </c>
      <c r="C199" s="1" t="str">
        <f>+"Tuần  "&amp;WEEKNUM(B199)</f>
        <v>Tuần  29</v>
      </c>
      <c r="D199" s="1" t="s">
        <v>17</v>
      </c>
      <c r="E199" s="1" t="s">
        <v>159</v>
      </c>
      <c r="F199" s="2">
        <v>142100000</v>
      </c>
      <c r="G199" s="2">
        <v>145600000</v>
      </c>
      <c r="H199" s="2">
        <f>+(M199*26000)/0.829426</f>
        <v>126046205.44810508</v>
      </c>
      <c r="I199" s="2">
        <f>+G199-H199</f>
        <v>19553794.551894918</v>
      </c>
      <c r="J199" s="3">
        <v>3500000</v>
      </c>
      <c r="K199" s="3">
        <v>14210000</v>
      </c>
      <c r="L199" s="3">
        <v>14560000</v>
      </c>
      <c r="M199" s="3">
        <v>4021</v>
      </c>
      <c r="N199" s="3">
        <v>143600000</v>
      </c>
      <c r="O199" s="3">
        <v>146600000</v>
      </c>
      <c r="P199" s="5">
        <v>0.97916666666666663</v>
      </c>
    </row>
    <row r="200" spans="1:16" x14ac:dyDescent="0.25">
      <c r="A200" s="1" t="s">
        <v>137</v>
      </c>
      <c r="B200" s="4">
        <v>46221</v>
      </c>
      <c r="C200" s="1" t="str">
        <f>+"Tuần  "&amp;WEEKNUM(B200)</f>
        <v>Tuần  29</v>
      </c>
      <c r="D200" s="1" t="s">
        <v>18</v>
      </c>
      <c r="E200" s="1" t="s">
        <v>159</v>
      </c>
      <c r="F200" s="2">
        <v>143000000</v>
      </c>
      <c r="G200" s="2">
        <v>146500000</v>
      </c>
      <c r="H200" s="2">
        <f>+(M200*26000)/0.829426</f>
        <v>125992915.58258362</v>
      </c>
      <c r="I200" s="2">
        <f>+G200-H200</f>
        <v>20507084.417416379</v>
      </c>
      <c r="J200" s="3">
        <v>3500000</v>
      </c>
      <c r="K200" s="3">
        <v>14300000</v>
      </c>
      <c r="L200" s="3">
        <v>14650000</v>
      </c>
      <c r="M200" s="3">
        <v>4019.3</v>
      </c>
      <c r="N200" s="3">
        <v>144500000</v>
      </c>
      <c r="O200" s="3">
        <v>147500000</v>
      </c>
      <c r="P200" s="5">
        <v>0.39583333333333331</v>
      </c>
    </row>
    <row r="201" spans="1:16" x14ac:dyDescent="0.25">
      <c r="A201" s="1" t="s">
        <v>138</v>
      </c>
      <c r="B201" s="4">
        <v>46222</v>
      </c>
      <c r="C201" s="1" t="str">
        <f>+"Tuần  "&amp;WEEKNUM(B201)</f>
        <v>Tuần  30</v>
      </c>
      <c r="D201" s="1" t="s">
        <v>19</v>
      </c>
      <c r="E201" s="1" t="s">
        <v>159</v>
      </c>
      <c r="F201" s="2">
        <v>143000000</v>
      </c>
      <c r="G201" s="2">
        <v>146500000</v>
      </c>
      <c r="H201" s="2">
        <f>+(M201*26000)/0.829426</f>
        <v>125992915.58258362</v>
      </c>
      <c r="I201" s="2">
        <f>+G201-H201</f>
        <v>20507084.417416379</v>
      </c>
      <c r="J201" s="3">
        <v>3500000</v>
      </c>
      <c r="K201" s="3">
        <v>14300000</v>
      </c>
      <c r="L201" s="3">
        <v>14650000</v>
      </c>
      <c r="M201" s="3">
        <v>4019.3</v>
      </c>
      <c r="N201" s="3">
        <v>144500000</v>
      </c>
      <c r="O201" s="3">
        <v>147500000</v>
      </c>
      <c r="P201" s="5">
        <v>0.97916666666666663</v>
      </c>
    </row>
    <row r="202" spans="1:16" x14ac:dyDescent="0.25">
      <c r="A202" s="1" t="s">
        <v>139</v>
      </c>
      <c r="B202" s="4">
        <v>46223</v>
      </c>
      <c r="C202" s="1" t="str">
        <f>+"Tuần  "&amp;WEEKNUM(B202)</f>
        <v>Tuần  30</v>
      </c>
      <c r="D202" s="1" t="s">
        <v>20</v>
      </c>
      <c r="E202" s="1" t="s">
        <v>159</v>
      </c>
      <c r="F202" s="2">
        <v>141500000</v>
      </c>
      <c r="G202" s="2">
        <v>145000000</v>
      </c>
      <c r="H202" s="2">
        <f>+(M202*26000)/0.829426</f>
        <v>125811103.1002163</v>
      </c>
      <c r="I202" s="2">
        <f>+G202-H202</f>
        <v>19188896.899783701</v>
      </c>
      <c r="J202" s="3">
        <v>3500000</v>
      </c>
      <c r="K202" s="3">
        <v>14150000</v>
      </c>
      <c r="L202" s="3">
        <v>14500000</v>
      </c>
      <c r="M202" s="3">
        <v>4013.5</v>
      </c>
      <c r="N202" s="3">
        <v>143000000</v>
      </c>
      <c r="O202" s="3">
        <v>146000000</v>
      </c>
      <c r="P202" s="5">
        <v>0.97916666666666663</v>
      </c>
    </row>
    <row r="203" spans="1:16" x14ac:dyDescent="0.25">
      <c r="A203" s="1" t="s">
        <v>140</v>
      </c>
      <c r="B203" s="4">
        <v>46224</v>
      </c>
      <c r="C203" s="1" t="str">
        <f>+"Tuần  "&amp;WEEKNUM(B203)</f>
        <v>Tuần  30</v>
      </c>
      <c r="D203" s="1" t="s">
        <v>21</v>
      </c>
      <c r="E203" s="1" t="s">
        <v>159</v>
      </c>
      <c r="F203" s="2">
        <v>141900000</v>
      </c>
      <c r="G203" s="2">
        <v>145400000</v>
      </c>
      <c r="H203" s="2">
        <f>+(M203*26000)/0.829426</f>
        <v>127792232.21842575</v>
      </c>
      <c r="I203" s="2">
        <f>+G203-H203</f>
        <v>17607767.781574249</v>
      </c>
      <c r="J203" s="3">
        <v>3500000</v>
      </c>
      <c r="K203" s="3">
        <v>14190000</v>
      </c>
      <c r="L203" s="3">
        <v>14540000</v>
      </c>
      <c r="M203" s="3">
        <v>4076.7</v>
      </c>
      <c r="N203" s="3">
        <v>143400000</v>
      </c>
      <c r="O203" s="3">
        <v>146400000</v>
      </c>
      <c r="P203" s="5">
        <v>0.97916666666666663</v>
      </c>
    </row>
    <row r="204" spans="1:16" x14ac:dyDescent="0.25">
      <c r="A204" s="1" t="s">
        <v>141</v>
      </c>
      <c r="B204" s="4">
        <v>46225</v>
      </c>
      <c r="C204" s="1" t="str">
        <f>+"Tuần  "&amp;WEEKNUM(B204)</f>
        <v>Tuần  30</v>
      </c>
      <c r="D204" s="1" t="s">
        <v>22</v>
      </c>
      <c r="E204" s="1" t="s">
        <v>159</v>
      </c>
      <c r="F204" s="2">
        <v>141000000</v>
      </c>
      <c r="G204" s="2">
        <v>145000000</v>
      </c>
      <c r="H204" s="2">
        <f>+(M204*26000)/0.829426</f>
        <v>130083696.4358484</v>
      </c>
      <c r="I204" s="2">
        <f>+G204-H204</f>
        <v>14916303.5641516</v>
      </c>
      <c r="J204" s="3">
        <v>4000000</v>
      </c>
      <c r="K204" s="3">
        <v>14100000</v>
      </c>
      <c r="L204" s="3">
        <v>14500000</v>
      </c>
      <c r="M204" s="3">
        <v>4149.8</v>
      </c>
      <c r="N204" s="3">
        <v>142000000</v>
      </c>
      <c r="O204" s="3">
        <v>146000000</v>
      </c>
      <c r="P204" s="5">
        <v>0.97916666666666663</v>
      </c>
    </row>
    <row r="205" spans="1:16" x14ac:dyDescent="0.25">
      <c r="A205" s="1" t="s">
        <v>142</v>
      </c>
      <c r="B205" s="4">
        <v>46226</v>
      </c>
      <c r="C205" s="1" t="str">
        <f>+"Tuần  "&amp;WEEKNUM(B205)</f>
        <v>Tuần  30</v>
      </c>
      <c r="D205" s="1" t="s">
        <v>16</v>
      </c>
      <c r="E205" s="1" t="s">
        <v>159</v>
      </c>
      <c r="F205" s="2">
        <v>134000000</v>
      </c>
      <c r="G205" s="2">
        <v>139000000</v>
      </c>
      <c r="H205" s="2">
        <f>+(M205*26000)/0.829426</f>
        <v>126996018.93357575</v>
      </c>
      <c r="I205" s="2">
        <f>+G205-H205</f>
        <v>12003981.066424251</v>
      </c>
      <c r="J205" s="3">
        <v>5000000</v>
      </c>
      <c r="K205" s="3">
        <v>13400000</v>
      </c>
      <c r="L205" s="3">
        <v>13900000</v>
      </c>
      <c r="M205" s="3">
        <v>4051.3</v>
      </c>
      <c r="N205" s="3">
        <v>135000000</v>
      </c>
      <c r="O205" s="3">
        <v>140000000</v>
      </c>
      <c r="P205" s="5">
        <v>0.97916666666666663</v>
      </c>
    </row>
    <row r="206" spans="1:16" x14ac:dyDescent="0.25">
      <c r="A206" s="1" t="s">
        <v>143</v>
      </c>
      <c r="B206" s="4">
        <v>46227</v>
      </c>
      <c r="C206" s="1" t="str">
        <f>+"Tuần  "&amp;WEEKNUM(B206)</f>
        <v>Tuần  30</v>
      </c>
      <c r="D206" s="1" t="s">
        <v>17</v>
      </c>
      <c r="E206" s="1" t="s">
        <v>159</v>
      </c>
      <c r="F206" s="2">
        <v>135000000</v>
      </c>
      <c r="G206" s="2">
        <v>140000000</v>
      </c>
      <c r="H206" s="2">
        <f>+(M206*26000)/0.829426</f>
        <v>127826713.89611611</v>
      </c>
      <c r="I206" s="2">
        <f>+G206-H206</f>
        <v>12173286.103883892</v>
      </c>
      <c r="J206" s="3">
        <v>5000000</v>
      </c>
      <c r="K206" s="3">
        <v>13500000</v>
      </c>
      <c r="L206" s="3">
        <v>14000000</v>
      </c>
      <c r="M206" s="3">
        <v>4077.8</v>
      </c>
      <c r="N206" s="3">
        <v>135500000</v>
      </c>
      <c r="O206" s="3">
        <v>140500000</v>
      </c>
      <c r="P206" s="5">
        <v>0.97916666666666663</v>
      </c>
    </row>
    <row r="207" spans="1:16" x14ac:dyDescent="0.25">
      <c r="A207" s="1" t="s">
        <v>144</v>
      </c>
      <c r="B207" s="4">
        <v>46228</v>
      </c>
      <c r="C207" s="1" t="str">
        <f>+"Tuần  "&amp;WEEKNUM(B207)</f>
        <v>Tuần  30</v>
      </c>
      <c r="D207" s="1" t="s">
        <v>18</v>
      </c>
      <c r="E207" s="1" t="s">
        <v>159</v>
      </c>
      <c r="F207" s="2">
        <v>137000000</v>
      </c>
      <c r="G207" s="2">
        <v>141000000</v>
      </c>
      <c r="H207" s="2">
        <f>+(M207*26000)/0.829426</f>
        <v>127071251.68490016</v>
      </c>
      <c r="I207" s="2">
        <f>+G207-H207</f>
        <v>13928748.315099835</v>
      </c>
      <c r="J207" s="3">
        <v>4000000</v>
      </c>
      <c r="K207" s="3">
        <v>13700000</v>
      </c>
      <c r="L207" s="3">
        <v>14100000</v>
      </c>
      <c r="M207" s="3">
        <v>4053.7</v>
      </c>
      <c r="N207" s="3">
        <v>137500000</v>
      </c>
      <c r="O207" s="3">
        <v>141500000</v>
      </c>
      <c r="P207" s="5">
        <v>0.39583333333333331</v>
      </c>
    </row>
    <row r="208" spans="1:16" x14ac:dyDescent="0.25">
      <c r="A208" s="1" t="s">
        <v>145</v>
      </c>
      <c r="B208" s="4">
        <v>46229</v>
      </c>
      <c r="C208" s="1" t="str">
        <f>+"Tuần  "&amp;WEEKNUM(B208)</f>
        <v>Tuần  31</v>
      </c>
      <c r="D208" s="1" t="s">
        <v>19</v>
      </c>
      <c r="E208" s="1" t="s">
        <v>159</v>
      </c>
      <c r="F208" s="2">
        <v>137000000</v>
      </c>
      <c r="G208" s="2">
        <v>141000000</v>
      </c>
      <c r="H208" s="2">
        <f>+(M208*26000)/0.829426</f>
        <v>127071251.68490016</v>
      </c>
      <c r="I208" s="2">
        <f>+G208-H208</f>
        <v>13928748.315099835</v>
      </c>
      <c r="J208" s="3">
        <v>4000000</v>
      </c>
      <c r="K208" s="3">
        <v>13700000</v>
      </c>
      <c r="L208" s="3">
        <v>14100000</v>
      </c>
      <c r="M208" s="3">
        <v>4053.7</v>
      </c>
      <c r="N208" s="3">
        <v>137500000</v>
      </c>
      <c r="O208" s="3">
        <v>141500000</v>
      </c>
      <c r="P208" s="5">
        <v>0</v>
      </c>
    </row>
    <row r="209" spans="1:16" x14ac:dyDescent="0.25">
      <c r="A209" s="1" t="s">
        <v>146</v>
      </c>
      <c r="B209" s="4">
        <v>46230</v>
      </c>
      <c r="C209" s="1" t="str">
        <f>+"Tuần  "&amp;WEEKNUM(B209)</f>
        <v>Tuần  31</v>
      </c>
      <c r="D209" s="1" t="s">
        <v>20</v>
      </c>
      <c r="E209" s="1" t="s">
        <v>159</v>
      </c>
      <c r="F209" s="2">
        <v>138500000</v>
      </c>
      <c r="G209" s="2">
        <v>142500000</v>
      </c>
      <c r="H209" s="2">
        <f>+(M209*26000)/0.829426</f>
        <v>128115106.10952635</v>
      </c>
      <c r="I209" s="2">
        <f>+G209-H209</f>
        <v>14384893.890473649</v>
      </c>
      <c r="J209" s="3">
        <v>4000000</v>
      </c>
      <c r="K209" s="3">
        <v>13850000</v>
      </c>
      <c r="L209" s="3">
        <v>14250000</v>
      </c>
      <c r="M209" s="3">
        <v>4087</v>
      </c>
      <c r="N209" s="3">
        <v>139000000</v>
      </c>
      <c r="O209" s="3">
        <v>143000000</v>
      </c>
      <c r="P209" s="5">
        <v>0.97916666666666663</v>
      </c>
    </row>
    <row r="210" spans="1:16" x14ac:dyDescent="0.25">
      <c r="A210" s="1" t="s">
        <v>147</v>
      </c>
      <c r="B210" s="4">
        <v>46231</v>
      </c>
      <c r="C210" s="1" t="str">
        <f>+"Tuần  "&amp;WEEKNUM(B210)</f>
        <v>Tuần  31</v>
      </c>
      <c r="D210" s="1" t="s">
        <v>21</v>
      </c>
      <c r="E210" s="1" t="s">
        <v>159</v>
      </c>
      <c r="F210" s="2">
        <v>137000000</v>
      </c>
      <c r="G210" s="2">
        <v>141000000</v>
      </c>
      <c r="H210" s="2">
        <f>+(M210*26000)/0.829426</f>
        <v>126767185.98163067</v>
      </c>
      <c r="I210" s="2">
        <f>+G210-H210</f>
        <v>14232814.018369332</v>
      </c>
      <c r="J210" s="3">
        <v>4000000</v>
      </c>
      <c r="K210" s="3">
        <v>13700000</v>
      </c>
      <c r="L210" s="3">
        <v>14100000</v>
      </c>
      <c r="M210" s="3">
        <v>4044</v>
      </c>
      <c r="N210" s="3">
        <v>137500000</v>
      </c>
      <c r="O210" s="3">
        <v>141500000</v>
      </c>
      <c r="P210" s="5">
        <v>0.97916666666666663</v>
      </c>
    </row>
    <row r="211" spans="1:16" x14ac:dyDescent="0.25">
      <c r="A211" s="1" t="s">
        <v>148</v>
      </c>
      <c r="B211" s="4">
        <v>46232</v>
      </c>
      <c r="C211" s="1" t="str">
        <f>+"Tuần  "&amp;WEEKNUM(B211)</f>
        <v>Tuần  31</v>
      </c>
      <c r="D211" s="1" t="s">
        <v>22</v>
      </c>
      <c r="E211" s="1" t="s">
        <v>159</v>
      </c>
      <c r="F211" s="2">
        <v>137000000</v>
      </c>
      <c r="G211" s="2">
        <v>141000000</v>
      </c>
      <c r="H211" s="2">
        <f>+(M211*26000)/0.829426</f>
        <v>125930221.62314661</v>
      </c>
      <c r="I211" s="2">
        <f>+G211-H211</f>
        <v>15069778.376853392</v>
      </c>
      <c r="J211" s="3">
        <v>4000000</v>
      </c>
      <c r="K211" s="3">
        <v>13700000</v>
      </c>
      <c r="L211" s="3">
        <v>14100000</v>
      </c>
      <c r="M211" s="3">
        <v>4017.3</v>
      </c>
      <c r="N211" s="3">
        <v>137500000</v>
      </c>
      <c r="O211" s="3">
        <v>141500000</v>
      </c>
      <c r="P211" s="5">
        <v>0.97916666666666663</v>
      </c>
    </row>
    <row r="212" spans="1:16" x14ac:dyDescent="0.25">
      <c r="A212" s="1" t="s">
        <v>149</v>
      </c>
      <c r="B212" s="4">
        <v>46233</v>
      </c>
      <c r="C212" s="1" t="str">
        <f>+"Tuần  "&amp;WEEKNUM(B212)</f>
        <v>Tuần  31</v>
      </c>
      <c r="D212" s="1" t="s">
        <v>16</v>
      </c>
      <c r="E212" s="1" t="s">
        <v>159</v>
      </c>
      <c r="F212" s="2">
        <v>137200000</v>
      </c>
      <c r="G212" s="2">
        <v>141200000</v>
      </c>
      <c r="H212" s="2">
        <f>+(M212*26000)/0.829426</f>
        <v>129080593.08485627</v>
      </c>
      <c r="I212" s="2">
        <f>+G212-H212</f>
        <v>12119406.915143728</v>
      </c>
      <c r="J212" s="3">
        <v>4000000</v>
      </c>
      <c r="K212" s="3">
        <v>13720000</v>
      </c>
      <c r="L212" s="3">
        <v>14120000</v>
      </c>
      <c r="M212" s="3">
        <v>4117.8</v>
      </c>
      <c r="N212" s="3">
        <v>137700000</v>
      </c>
      <c r="O212" s="3">
        <v>141700000</v>
      </c>
      <c r="P212" s="5">
        <v>0.97916666666666663</v>
      </c>
    </row>
    <row r="213" spans="1:16" x14ac:dyDescent="0.25">
      <c r="A213" s="1" t="s">
        <v>150</v>
      </c>
      <c r="B213" s="4">
        <v>46234</v>
      </c>
      <c r="C213" s="1" t="str">
        <f>+"Tuần  "&amp;WEEKNUM(B213)</f>
        <v>Tuần  31</v>
      </c>
      <c r="D213" s="1" t="s">
        <v>17</v>
      </c>
      <c r="E213" s="1" t="s">
        <v>159</v>
      </c>
      <c r="F213" s="2">
        <v>137400000</v>
      </c>
      <c r="G213" s="2">
        <v>141400000</v>
      </c>
      <c r="H213" s="2">
        <f>+(M213*26000)/0.829426</f>
        <v>126892573.90050469</v>
      </c>
      <c r="I213" s="2">
        <f>+G213-H213</f>
        <v>14507426.099495307</v>
      </c>
      <c r="J213" s="3">
        <v>4000000</v>
      </c>
      <c r="K213" s="3">
        <v>13740000</v>
      </c>
      <c r="L213" s="3">
        <v>14140000</v>
      </c>
      <c r="M213" s="3">
        <v>4048</v>
      </c>
      <c r="N213" s="3">
        <v>137900000</v>
      </c>
      <c r="O213" s="3">
        <v>141900000</v>
      </c>
      <c r="P213" s="5">
        <v>0.97916666666666663</v>
      </c>
    </row>
    <row r="214" spans="1:16" x14ac:dyDescent="0.25">
      <c r="A214" s="4">
        <v>46030</v>
      </c>
      <c r="B214" s="4">
        <v>46235</v>
      </c>
      <c r="C214" s="1" t="str">
        <f>+"Tuần  "&amp;WEEKNUM(B214)</f>
        <v>Tuần  31</v>
      </c>
      <c r="D214" s="1" t="s">
        <v>18</v>
      </c>
      <c r="E214" s="1" t="s">
        <v>159</v>
      </c>
      <c r="F214" s="2">
        <v>136500000</v>
      </c>
      <c r="G214" s="2">
        <v>140500000</v>
      </c>
      <c r="H214" s="2">
        <f>+(M214*26000)/0.829426</f>
        <v>126757781.88771512</v>
      </c>
      <c r="I214" s="2">
        <f>+G214-H214</f>
        <v>13742218.112284884</v>
      </c>
      <c r="J214" s="3">
        <v>4000000</v>
      </c>
      <c r="K214" s="3">
        <v>13650000</v>
      </c>
      <c r="L214" s="3">
        <v>14050000</v>
      </c>
      <c r="M214" s="3">
        <v>4043.7</v>
      </c>
      <c r="N214" s="3">
        <v>137000000</v>
      </c>
      <c r="O214" s="3">
        <v>141000000</v>
      </c>
      <c r="P214" s="5">
        <v>0.39583333333333331</v>
      </c>
    </row>
    <row r="215" spans="1:16" x14ac:dyDescent="0.25">
      <c r="A215" s="4">
        <v>46061</v>
      </c>
      <c r="B215" s="4">
        <v>46236</v>
      </c>
      <c r="C215" s="1" t="str">
        <f>+"Tuần  "&amp;WEEKNUM(B215)</f>
        <v>Tuần  32</v>
      </c>
      <c r="D215" s="1" t="s">
        <v>19</v>
      </c>
      <c r="E215" s="1" t="s">
        <v>159</v>
      </c>
      <c r="F215" s="2">
        <v>136500000</v>
      </c>
      <c r="G215" s="2">
        <v>140500000</v>
      </c>
      <c r="H215" s="2">
        <f>+(M215*26000)/0.829426</f>
        <v>126757781.88771512</v>
      </c>
      <c r="I215" s="2">
        <f>+G215-H215</f>
        <v>13742218.112284884</v>
      </c>
      <c r="J215" s="3">
        <v>4000000</v>
      </c>
      <c r="K215" s="3">
        <v>13650000</v>
      </c>
      <c r="L215" s="3">
        <v>14050000</v>
      </c>
      <c r="M215" s="3">
        <v>4043.7</v>
      </c>
      <c r="N215" s="3">
        <v>137000000</v>
      </c>
      <c r="O215" s="3">
        <v>141000000</v>
      </c>
      <c r="P215" s="5">
        <v>0</v>
      </c>
    </row>
    <row r="216" spans="1:16" x14ac:dyDescent="0.25">
      <c r="A216" s="4">
        <v>46089</v>
      </c>
      <c r="B216" s="4">
        <v>46237</v>
      </c>
      <c r="C216" s="1" t="str">
        <f>+"Tuần  "&amp;WEEKNUM(B216)</f>
        <v>Tuần  32</v>
      </c>
      <c r="D216" s="1" t="s">
        <v>20</v>
      </c>
      <c r="E216" s="1" t="s">
        <v>159</v>
      </c>
      <c r="F216" s="2">
        <v>136500000</v>
      </c>
      <c r="G216" s="2">
        <v>140500000</v>
      </c>
      <c r="H216" s="2">
        <f>+(M216*26000)/0.829426</f>
        <v>126585373.49926335</v>
      </c>
      <c r="I216" s="2">
        <f>+G216-H216</f>
        <v>13914626.500736654</v>
      </c>
      <c r="J216" s="3">
        <v>4000000</v>
      </c>
      <c r="K216" s="3">
        <v>13650000</v>
      </c>
      <c r="L216" s="3">
        <v>14050000</v>
      </c>
      <c r="M216" s="3">
        <v>4038.2</v>
      </c>
      <c r="N216" s="3">
        <v>137500000</v>
      </c>
      <c r="O216" s="3">
        <v>141000000</v>
      </c>
      <c r="P216" s="5">
        <v>0.97916666666666663</v>
      </c>
    </row>
    <row r="217" spans="1:16" x14ac:dyDescent="0.25">
      <c r="A217" s="4">
        <v>46120</v>
      </c>
      <c r="B217" s="4">
        <v>46238</v>
      </c>
      <c r="C217" s="1" t="str">
        <f>+"Tuần  "&amp;WEEKNUM(B217)</f>
        <v>Tuần  32</v>
      </c>
      <c r="D217" s="1" t="s">
        <v>21</v>
      </c>
      <c r="E217" s="1" t="s">
        <v>159</v>
      </c>
      <c r="F217" s="2">
        <v>136500000</v>
      </c>
      <c r="G217" s="2">
        <v>140000000</v>
      </c>
      <c r="H217" s="2">
        <f>+(M217*26000)/0.829426</f>
        <v>128227955.23651296</v>
      </c>
      <c r="I217" s="2">
        <f>+G217-H217</f>
        <v>11772044.763487041</v>
      </c>
      <c r="J217" s="3">
        <v>3500000</v>
      </c>
      <c r="K217" s="3">
        <v>13650000</v>
      </c>
      <c r="L217" s="3">
        <v>14000000</v>
      </c>
      <c r="M217" s="3">
        <v>4090.6</v>
      </c>
      <c r="N217" s="3">
        <v>137500000</v>
      </c>
      <c r="O217" s="3">
        <v>140500000</v>
      </c>
      <c r="P217" s="5">
        <v>0.97916666666666663</v>
      </c>
    </row>
    <row r="218" spans="1:16" x14ac:dyDescent="0.25">
      <c r="A218" s="4">
        <v>46150</v>
      </c>
      <c r="B218" s="4">
        <v>46239</v>
      </c>
      <c r="C218" s="1" t="str">
        <f>+"Tuần  "&amp;WEEKNUM(B218)</f>
        <v>Tuần  32</v>
      </c>
      <c r="D218" s="1" t="s">
        <v>22</v>
      </c>
      <c r="E218" s="1" t="s">
        <v>159</v>
      </c>
      <c r="F218" s="2">
        <v>138300000</v>
      </c>
      <c r="G218" s="2">
        <v>141300000</v>
      </c>
      <c r="H218" s="2">
        <f>+(M218*26000)/0.829426</f>
        <v>132977022.66386636</v>
      </c>
      <c r="I218" s="2">
        <f>+G218-H218</f>
        <v>8322977.336133644</v>
      </c>
      <c r="J218" s="3">
        <v>3000000</v>
      </c>
      <c r="K218" s="3">
        <v>13830000</v>
      </c>
      <c r="L218" s="3">
        <v>14130000</v>
      </c>
      <c r="M218" s="3">
        <v>4242.1000000000004</v>
      </c>
      <c r="N218" s="3">
        <v>138800000</v>
      </c>
      <c r="O218" s="3">
        <v>141800000</v>
      </c>
      <c r="P218" s="5">
        <v>0.97916666666666663</v>
      </c>
    </row>
    <row r="219" spans="1:16" x14ac:dyDescent="0.25">
      <c r="A219" s="4">
        <v>46181</v>
      </c>
      <c r="B219" s="4">
        <v>46240</v>
      </c>
      <c r="C219" s="1" t="str">
        <f>+"Tuần  "&amp;WEEKNUM(B219)</f>
        <v>Tuần  32</v>
      </c>
      <c r="D219" s="1" t="s">
        <v>16</v>
      </c>
      <c r="E219" s="1" t="s">
        <v>159</v>
      </c>
      <c r="F219" s="2">
        <v>139200000</v>
      </c>
      <c r="G219" s="2">
        <v>142200000</v>
      </c>
      <c r="H219" s="2">
        <f>+(M219*26000)/0.829426</f>
        <v>132550703.73969468</v>
      </c>
      <c r="I219" s="2">
        <f>+G219-H219</f>
        <v>9649296.2603053153</v>
      </c>
      <c r="J219" s="3">
        <v>3000000</v>
      </c>
      <c r="K219" s="3">
        <v>13920000</v>
      </c>
      <c r="L219" s="3">
        <v>14220000</v>
      </c>
      <c r="M219" s="3">
        <v>4228.5</v>
      </c>
      <c r="N219" s="3">
        <v>139700000</v>
      </c>
      <c r="O219" s="3">
        <v>142700000</v>
      </c>
      <c r="P219" s="5">
        <v>0.97916666666666663</v>
      </c>
    </row>
    <row r="220" spans="1:16" x14ac:dyDescent="0.25">
      <c r="A220" s="4">
        <v>46211</v>
      </c>
      <c r="B220" s="4">
        <v>46241</v>
      </c>
      <c r="C220" s="1" t="str">
        <f>+"Tuần  "&amp;WEEKNUM(B220)</f>
        <v>Tuần  32</v>
      </c>
      <c r="D220" s="1" t="s">
        <v>17</v>
      </c>
      <c r="E220" s="1" t="s">
        <v>159</v>
      </c>
      <c r="F220" s="2">
        <v>138700000</v>
      </c>
      <c r="G220" s="2">
        <v>141700000</v>
      </c>
      <c r="H220" s="2">
        <f>+(M220*26000)/0.829426</f>
        <v>135973793.92495534</v>
      </c>
      <c r="I220" s="2">
        <f>+G220-H220</f>
        <v>5726206.0750446618</v>
      </c>
      <c r="J220" s="3">
        <v>3000000</v>
      </c>
      <c r="K220" s="3">
        <v>13870000</v>
      </c>
      <c r="L220" s="3">
        <v>14170000</v>
      </c>
      <c r="M220" s="3">
        <v>4337.7</v>
      </c>
      <c r="N220" s="3">
        <v>139200000</v>
      </c>
      <c r="O220" s="3">
        <v>142200000</v>
      </c>
      <c r="P220" s="5">
        <v>0.97916666666666663</v>
      </c>
    </row>
    <row r="221" spans="1:16" x14ac:dyDescent="0.25">
      <c r="A221" s="4">
        <v>46242</v>
      </c>
      <c r="B221" s="4">
        <v>46242</v>
      </c>
      <c r="C221" s="1" t="str">
        <f>+"Tuần  "&amp;WEEKNUM(B221)</f>
        <v>Tuần  32</v>
      </c>
      <c r="D221" s="1" t="s">
        <v>18</v>
      </c>
      <c r="E221" s="1" t="s">
        <v>159</v>
      </c>
      <c r="F221" s="2">
        <v>140500000</v>
      </c>
      <c r="G221" s="2">
        <v>143500000</v>
      </c>
      <c r="H221" s="2">
        <f>+(M221*26000)/0.829426</f>
        <v>136149337.01137894</v>
      </c>
      <c r="I221" s="2">
        <f>+G221-H221</f>
        <v>7350662.9886210561</v>
      </c>
      <c r="J221" s="3">
        <v>3000000</v>
      </c>
      <c r="K221" s="3">
        <v>14050000</v>
      </c>
      <c r="L221" s="3">
        <v>14350000</v>
      </c>
      <c r="M221" s="3">
        <v>4343.3</v>
      </c>
      <c r="N221" s="3">
        <v>141000000</v>
      </c>
      <c r="O221" s="3">
        <v>144000000</v>
      </c>
      <c r="P221" s="5">
        <v>0.58333333333333337</v>
      </c>
    </row>
    <row r="222" spans="1:16" x14ac:dyDescent="0.25">
      <c r="A222" s="4">
        <v>46273</v>
      </c>
      <c r="B222" s="4">
        <v>46243</v>
      </c>
      <c r="C222" s="1" t="str">
        <f>+"Tuần  "&amp;WEEKNUM(B222)</f>
        <v>Tuần  33</v>
      </c>
      <c r="D222" s="1" t="s">
        <v>19</v>
      </c>
      <c r="E222" s="1" t="s">
        <v>159</v>
      </c>
      <c r="F222" s="2">
        <v>140500000</v>
      </c>
      <c r="G222" s="2">
        <v>143500000</v>
      </c>
      <c r="H222" s="2">
        <f>+(M222*26000)/0.829426</f>
        <v>136149337.01137894</v>
      </c>
      <c r="I222" s="2">
        <f>+G222-H222</f>
        <v>7350662.9886210561</v>
      </c>
      <c r="J222" s="3">
        <v>3000000</v>
      </c>
      <c r="K222" s="3">
        <v>14050000</v>
      </c>
      <c r="L222" s="3">
        <v>14350000</v>
      </c>
      <c r="M222" s="3">
        <v>4343.3</v>
      </c>
      <c r="N222" s="3">
        <v>141000000</v>
      </c>
      <c r="O222" s="3">
        <v>144000000</v>
      </c>
      <c r="P222" s="5">
        <v>0</v>
      </c>
    </row>
    <row r="223" spans="1:16" x14ac:dyDescent="0.25">
      <c r="A223" s="4">
        <v>46303</v>
      </c>
      <c r="B223" s="4">
        <v>46244</v>
      </c>
      <c r="C223" s="1" t="str">
        <f>+"Tuần  "&amp;WEEKNUM(B223)</f>
        <v>Tuần  33</v>
      </c>
      <c r="D223" s="1" t="s">
        <v>20</v>
      </c>
      <c r="E223" s="1" t="s">
        <v>159</v>
      </c>
      <c r="F223" s="2">
        <v>140600000</v>
      </c>
      <c r="G223" s="2">
        <v>143600000</v>
      </c>
      <c r="H223" s="2">
        <f>+(M223*26000)/0.829426</f>
        <v>136807623.58546755</v>
      </c>
      <c r="I223" s="2">
        <f>+G223-H223</f>
        <v>6792376.4145324528</v>
      </c>
      <c r="J223" s="3">
        <v>3000000</v>
      </c>
      <c r="K223" s="3">
        <v>14060000</v>
      </c>
      <c r="L223" s="3">
        <v>14360000</v>
      </c>
      <c r="M223" s="3">
        <v>4364.3</v>
      </c>
      <c r="N223" s="3">
        <v>141100000</v>
      </c>
      <c r="O223" s="3">
        <v>144100000</v>
      </c>
      <c r="P223" s="5">
        <v>0.97916666666666663</v>
      </c>
    </row>
    <row r="224" spans="1:16" x14ac:dyDescent="0.25">
      <c r="A224" s="4">
        <v>46334</v>
      </c>
      <c r="B224" s="4">
        <v>46245</v>
      </c>
      <c r="C224" s="1" t="str">
        <f>+"Tuần  "&amp;WEEKNUM(B224)</f>
        <v>Tuần  33</v>
      </c>
      <c r="D224" s="1" t="s">
        <v>21</v>
      </c>
      <c r="E224" s="1" t="s">
        <v>159</v>
      </c>
      <c r="F224" s="2">
        <v>140000000</v>
      </c>
      <c r="G224" s="2">
        <v>143000000</v>
      </c>
      <c r="H224" s="2">
        <f>+(M224*26000)/0.829426</f>
        <v>137422024.38795021</v>
      </c>
      <c r="I224" s="2">
        <f>+G224-H224</f>
        <v>5577975.6120497882</v>
      </c>
      <c r="J224" s="3">
        <v>3000000</v>
      </c>
      <c r="K224" s="3">
        <v>14000000</v>
      </c>
      <c r="L224" s="3">
        <v>14300000</v>
      </c>
      <c r="M224" s="3">
        <v>4383.8999999999996</v>
      </c>
      <c r="N224" s="3">
        <v>140500000</v>
      </c>
      <c r="O224" s="3">
        <v>143500000</v>
      </c>
      <c r="P224" s="5">
        <v>0.97916666666666663</v>
      </c>
    </row>
    <row r="225" spans="1:16" x14ac:dyDescent="0.25">
      <c r="A225" s="4">
        <v>46364</v>
      </c>
      <c r="B225" s="4">
        <v>46246</v>
      </c>
      <c r="C225" s="1" t="str">
        <f>+"Tuần  "&amp;WEEKNUM(B225)</f>
        <v>Tuần  33</v>
      </c>
      <c r="D225" s="1" t="s">
        <v>22</v>
      </c>
      <c r="E225" s="1" t="s">
        <v>159</v>
      </c>
      <c r="F225" s="2">
        <v>140800000</v>
      </c>
      <c r="G225" s="2">
        <v>143800000</v>
      </c>
      <c r="H225" s="2">
        <f>+(M225*26000)/0.829426</f>
        <v>138697846.46249336</v>
      </c>
      <c r="I225" s="2">
        <f>+G225-H225</f>
        <v>5102153.53750664</v>
      </c>
      <c r="J225" s="3">
        <v>3000000</v>
      </c>
      <c r="K225" s="3">
        <v>14080000</v>
      </c>
      <c r="L225" s="3">
        <v>14380000</v>
      </c>
      <c r="M225" s="3">
        <v>4424.6000000000004</v>
      </c>
      <c r="N225" s="3">
        <v>141300000</v>
      </c>
      <c r="O225" s="3">
        <v>144300000</v>
      </c>
      <c r="P225" s="5">
        <v>0.97916666666666663</v>
      </c>
    </row>
    <row r="226" spans="1:16" x14ac:dyDescent="0.25">
      <c r="A226" s="1" t="s">
        <v>151</v>
      </c>
      <c r="B226" s="4">
        <v>46247</v>
      </c>
      <c r="C226" s="1" t="str">
        <f>+"Tuần  "&amp;WEEKNUM(B226)</f>
        <v>Tuần  33</v>
      </c>
      <c r="D226" s="1" t="s">
        <v>16</v>
      </c>
      <c r="E226" s="1" t="s">
        <v>159</v>
      </c>
      <c r="F226" s="2">
        <v>140800000</v>
      </c>
      <c r="G226" s="2">
        <v>143800000</v>
      </c>
      <c r="H226" s="2">
        <f>+(M226*26000)/0.829426</f>
        <v>136607002.91526911</v>
      </c>
      <c r="I226" s="2">
        <f>+G226-H226</f>
        <v>7192997.0847308934</v>
      </c>
      <c r="J226" s="3">
        <v>3000000</v>
      </c>
      <c r="K226" s="3">
        <v>14080000</v>
      </c>
      <c r="L226" s="3">
        <v>14380000</v>
      </c>
      <c r="M226" s="3">
        <v>4357.8999999999996</v>
      </c>
      <c r="N226" s="3">
        <v>141300000</v>
      </c>
      <c r="O226" s="3">
        <v>144300000</v>
      </c>
      <c r="P226" s="5">
        <v>0.97916666666666663</v>
      </c>
    </row>
    <row r="227" spans="1:16" x14ac:dyDescent="0.25">
      <c r="A227" s="1" t="s">
        <v>152</v>
      </c>
      <c r="B227" s="4">
        <v>46248</v>
      </c>
      <c r="C227" s="1" t="str">
        <f>+"Tuần  "&amp;WEEKNUM(B227)</f>
        <v>Tuần  33</v>
      </c>
      <c r="D227" s="1" t="s">
        <v>17</v>
      </c>
      <c r="E227" s="1" t="s">
        <v>159</v>
      </c>
      <c r="F227" s="2">
        <v>139800000</v>
      </c>
      <c r="G227" s="2">
        <v>142800000</v>
      </c>
      <c r="H227" s="2">
        <f>+(M227*26000)/0.829426</f>
        <v>137569355.19262722</v>
      </c>
      <c r="I227" s="7">
        <f>+G227-H227</f>
        <v>5230644.8073727787</v>
      </c>
      <c r="J227" s="3">
        <v>3000000</v>
      </c>
      <c r="K227" s="3">
        <v>13980000</v>
      </c>
      <c r="L227" s="3">
        <v>14280000</v>
      </c>
      <c r="M227" s="3">
        <v>4388.6000000000004</v>
      </c>
      <c r="N227" s="3">
        <v>140300000</v>
      </c>
      <c r="O227" s="3">
        <v>143300000</v>
      </c>
      <c r="P227" s="5">
        <v>0.97916666666666663</v>
      </c>
    </row>
    <row r="228" spans="1:16" x14ac:dyDescent="0.25">
      <c r="A228" s="1" t="s">
        <v>153</v>
      </c>
      <c r="B228" s="4">
        <v>46249</v>
      </c>
      <c r="C228" s="1" t="str">
        <f>+"Tuần  "&amp;WEEKNUM(B228)</f>
        <v>Tuần  33</v>
      </c>
      <c r="D228" s="1" t="s">
        <v>18</v>
      </c>
      <c r="E228" s="1" t="s">
        <v>159</v>
      </c>
      <c r="F228" s="2">
        <v>140500000</v>
      </c>
      <c r="G228" s="2">
        <v>143500000</v>
      </c>
      <c r="H228" s="2">
        <f>+(M228*26000)/0.829426</f>
        <v>137224538.41572365</v>
      </c>
      <c r="I228" s="7">
        <f>+G228-H228</f>
        <v>6275461.5842763484</v>
      </c>
      <c r="J228" s="3">
        <v>3000000</v>
      </c>
      <c r="K228" s="3">
        <v>14050000</v>
      </c>
      <c r="L228" s="3">
        <v>14350000</v>
      </c>
      <c r="M228" s="3">
        <v>4377.6000000000004</v>
      </c>
      <c r="N228" s="3">
        <v>141000000</v>
      </c>
      <c r="O228" s="3">
        <v>144000000</v>
      </c>
      <c r="P228" s="5">
        <v>0.39583333333333331</v>
      </c>
    </row>
    <row r="229" spans="1:16" x14ac:dyDescent="0.25">
      <c r="A229" s="1" t="s">
        <v>154</v>
      </c>
      <c r="B229" s="4">
        <v>46250</v>
      </c>
      <c r="C229" s="1" t="str">
        <f>+"Tuần  "&amp;WEEKNUM(B229)</f>
        <v>Tuần  34</v>
      </c>
      <c r="D229" s="1" t="s">
        <v>19</v>
      </c>
      <c r="E229" s="1" t="s">
        <v>159</v>
      </c>
      <c r="F229" s="2">
        <v>140500000</v>
      </c>
      <c r="G229" s="2">
        <v>143500000</v>
      </c>
      <c r="H229" s="2">
        <f>+(M229*26000)/0.829426</f>
        <v>137224538.41572365</v>
      </c>
      <c r="I229" s="7">
        <f>+G229-H229</f>
        <v>6275461.5842763484</v>
      </c>
      <c r="J229" s="3">
        <v>3000000</v>
      </c>
      <c r="K229" s="3">
        <v>14050000</v>
      </c>
      <c r="L229" s="3">
        <v>14350000</v>
      </c>
      <c r="M229" s="3">
        <v>4377.6000000000004</v>
      </c>
      <c r="N229" s="3">
        <v>141000000</v>
      </c>
      <c r="O229" s="3">
        <v>144000000</v>
      </c>
      <c r="P229" s="5">
        <v>0</v>
      </c>
    </row>
    <row r="230" spans="1:16" x14ac:dyDescent="0.25">
      <c r="A230" s="1" t="s">
        <v>155</v>
      </c>
      <c r="B230" s="4">
        <v>46251</v>
      </c>
      <c r="C230" s="1" t="str">
        <f>+"Tuần  "&amp;WEEKNUM(B230)</f>
        <v>Tuần  34</v>
      </c>
      <c r="D230" s="1" t="s">
        <v>20</v>
      </c>
      <c r="E230" s="1" t="s">
        <v>159</v>
      </c>
      <c r="F230" s="2">
        <v>140700000</v>
      </c>
      <c r="G230" s="2">
        <v>143700000</v>
      </c>
      <c r="H230" s="2">
        <f>+(M230*26000)/0.829426</f>
        <v>138697846.46249336</v>
      </c>
      <c r="I230" s="7">
        <f>+G230-H230</f>
        <v>5002153.53750664</v>
      </c>
      <c r="J230" s="3">
        <v>3000000</v>
      </c>
      <c r="K230" s="3">
        <v>14070000</v>
      </c>
      <c r="L230" s="3">
        <v>14370000</v>
      </c>
      <c r="M230" s="3">
        <v>4424.6000000000004</v>
      </c>
      <c r="N230" s="3">
        <v>141200000</v>
      </c>
      <c r="O230" s="3">
        <v>144200000</v>
      </c>
      <c r="P230" s="5">
        <v>0.97916666666666663</v>
      </c>
    </row>
    <row r="231" spans="1:16" x14ac:dyDescent="0.25">
      <c r="A231" s="1" t="s">
        <v>156</v>
      </c>
      <c r="B231" s="4">
        <v>46252</v>
      </c>
      <c r="C231" s="1" t="str">
        <f>+"Tuần  "&amp;WEEKNUM(B231)</f>
        <v>Tuần  34</v>
      </c>
      <c r="D231" s="1" t="s">
        <v>21</v>
      </c>
      <c r="E231" s="1" t="s">
        <v>159</v>
      </c>
      <c r="F231" s="2">
        <v>140800000</v>
      </c>
      <c r="G231" s="2">
        <v>143800000</v>
      </c>
      <c r="H231" s="2">
        <f>+(M231*26000)/0.829426</f>
        <v>136851509.35707346</v>
      </c>
      <c r="I231" s="7">
        <f>+G231-H231</f>
        <v>6948490.642926544</v>
      </c>
      <c r="J231" s="3">
        <v>3000000</v>
      </c>
      <c r="K231" s="3">
        <v>14080000</v>
      </c>
      <c r="L231" s="3">
        <v>14380000</v>
      </c>
      <c r="M231" s="3">
        <v>4365.7</v>
      </c>
      <c r="N231" s="3">
        <v>141300000</v>
      </c>
      <c r="O231" s="3">
        <v>144300000</v>
      </c>
      <c r="P231" s="5">
        <v>0.97916666666666663</v>
      </c>
    </row>
    <row r="232" spans="1:16" x14ac:dyDescent="0.25">
      <c r="A232" s="1" t="s">
        <v>157</v>
      </c>
      <c r="B232" s="4">
        <v>46253</v>
      </c>
      <c r="C232" s="1" t="str">
        <f>+"Tuần  "&amp;WEEKNUM(B232)</f>
        <v>Tuần  34</v>
      </c>
      <c r="D232" s="1" t="s">
        <v>22</v>
      </c>
      <c r="E232" s="1" t="s">
        <v>159</v>
      </c>
      <c r="F232" s="2">
        <v>139200000</v>
      </c>
      <c r="G232" s="2">
        <v>142200000</v>
      </c>
      <c r="H232" s="2">
        <f>+(M232*26000)/0.829426</f>
        <v>140863922.76104197</v>
      </c>
      <c r="I232" s="7">
        <f>+G232-H232</f>
        <v>1336077.2389580309</v>
      </c>
      <c r="J232" s="3">
        <v>3000000</v>
      </c>
      <c r="K232" s="3">
        <v>13920000</v>
      </c>
      <c r="L232" s="3">
        <v>14220000</v>
      </c>
      <c r="M232" s="3">
        <v>4493.7</v>
      </c>
      <c r="N232" s="3">
        <v>139700000</v>
      </c>
      <c r="O232" s="3">
        <v>142700000</v>
      </c>
      <c r="P232" s="5">
        <v>0.97916666666666663</v>
      </c>
    </row>
    <row r="233" spans="1:16" x14ac:dyDescent="0.25">
      <c r="A233" s="1" t="s">
        <v>158</v>
      </c>
      <c r="B233" s="4">
        <v>46254</v>
      </c>
      <c r="C233" s="1" t="str">
        <f>+"Tuần  "&amp;WEEKNUM(B233)</f>
        <v>Tuần  34</v>
      </c>
      <c r="D233" s="1" t="s">
        <v>16</v>
      </c>
      <c r="E233" s="1" t="s">
        <v>159</v>
      </c>
      <c r="F233" s="2">
        <v>142500000</v>
      </c>
      <c r="G233" s="2">
        <v>145500000</v>
      </c>
      <c r="H233" s="2">
        <f>+(M233*26000)/0.829426</f>
        <v>142124071.34572583</v>
      </c>
      <c r="I233" s="7">
        <f>+G233-H233</f>
        <v>3375928.6542741656</v>
      </c>
      <c r="J233" s="3">
        <v>3000000</v>
      </c>
      <c r="K233" s="3">
        <v>14250000</v>
      </c>
      <c r="L233" s="3">
        <v>14550000</v>
      </c>
      <c r="M233" s="3">
        <v>4533.8999999999996</v>
      </c>
      <c r="N233" s="3">
        <v>143000000</v>
      </c>
      <c r="O233" s="3">
        <v>146000000</v>
      </c>
      <c r="P233" s="5">
        <v>0.9375</v>
      </c>
    </row>
    <row r="234" spans="1:16" x14ac:dyDescent="0.25">
      <c r="M234" s="8"/>
    </row>
  </sheetData>
  <autoFilter ref="A1:P233" xr:uid="{158F39DA-0D35-40BF-B79F-8BD9903006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7934-7AD7-43B3-8E20-2AC82C61246C}">
  <dimension ref="A1"/>
  <sheetViews>
    <sheetView tabSelected="1" workbookViewId="0">
      <selection activeCell="M46" sqref="M46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Luân</dc:creator>
  <cp:lastModifiedBy>Nguyễn Đức Luân</cp:lastModifiedBy>
  <dcterms:created xsi:type="dcterms:W3CDTF">2026-08-16T13:17:47Z</dcterms:created>
  <dcterms:modified xsi:type="dcterms:W3CDTF">2026-08-20T17:20:48Z</dcterms:modified>
</cp:coreProperties>
</file>