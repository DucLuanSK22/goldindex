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903ddabe620dd66f/Documents/Investment/Gold/"/>
    </mc:Choice>
  </mc:AlternateContent>
  <xr:revisionPtr revIDLastSave="0" documentId="8_{BCB25DD7-A194-451D-99B8-B5AA129F5641}" xr6:coauthVersionLast="47" xr6:coauthVersionMax="47" xr10:uidLastSave="{00000000-0000-0000-0000-000000000000}"/>
  <bookViews>
    <workbookView xWindow="-108" yWindow="-108" windowWidth="23256" windowHeight="14616" activeTab="2" xr2:uid="{667958CE-3C7A-4C14-8557-0398C7342AAB}"/>
  </bookViews>
  <sheets>
    <sheet name="Theo DÃµi Theo Tuáº§n" sheetId="1" r:id="rId1"/>
    <sheet name="PhÃ¢n TÃ­ch Theo ThÃ¡ng" sheetId="2" r:id="rId2"/>
    <sheet name="Dá»¯ Liá»‡u ThÃ´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674" i="2" l="1"/>
  <c r="I2674" i="2" s="1"/>
  <c r="C2674" i="2"/>
  <c r="I2673" i="2"/>
  <c r="H2673" i="2"/>
  <c r="C2673" i="2"/>
  <c r="I2672" i="2"/>
  <c r="H2672" i="2"/>
  <c r="C2672" i="2"/>
  <c r="H2671" i="2"/>
  <c r="I2671" i="2" s="1"/>
  <c r="C2671" i="2"/>
  <c r="H2670" i="2"/>
  <c r="I2670" i="2" s="1"/>
  <c r="C2670" i="2"/>
  <c r="H2669" i="2"/>
  <c r="I2669" i="2" s="1"/>
  <c r="C2669" i="2"/>
  <c r="I2668" i="2"/>
  <c r="H2668" i="2"/>
  <c r="C2668" i="2"/>
  <c r="H2667" i="2"/>
  <c r="I2667" i="2" s="1"/>
  <c r="C2667" i="2"/>
  <c r="I2666" i="2"/>
  <c r="H2666" i="2"/>
  <c r="C2666" i="2"/>
  <c r="H2665" i="2"/>
  <c r="I2665" i="2" s="1"/>
  <c r="C2665" i="2"/>
  <c r="H2664" i="2"/>
  <c r="I2664" i="2" s="1"/>
  <c r="C2664" i="2"/>
  <c r="I2663" i="2"/>
  <c r="H2663" i="2"/>
  <c r="C2663" i="2"/>
  <c r="H2662" i="2"/>
  <c r="I2662" i="2" s="1"/>
  <c r="C2662" i="2"/>
  <c r="H2661" i="2"/>
  <c r="I2661" i="2" s="1"/>
  <c r="C2661" i="2"/>
  <c r="H2660" i="2"/>
  <c r="I2660" i="2" s="1"/>
  <c r="C2660" i="2"/>
  <c r="H2659" i="2"/>
  <c r="I2659" i="2" s="1"/>
  <c r="C2659" i="2"/>
  <c r="H2658" i="2"/>
  <c r="I2658" i="2" s="1"/>
  <c r="C2658" i="2"/>
  <c r="H2657" i="2"/>
  <c r="I2657" i="2" s="1"/>
  <c r="C2657" i="2"/>
  <c r="H2656" i="2"/>
  <c r="I2656" i="2" s="1"/>
  <c r="C2656" i="2"/>
  <c r="I2655" i="2"/>
  <c r="H2655" i="2"/>
  <c r="C2655" i="2"/>
  <c r="I2654" i="2"/>
  <c r="H2654" i="2"/>
  <c r="C2654" i="2"/>
  <c r="I2653" i="2"/>
  <c r="H2653" i="2"/>
  <c r="C2653" i="2"/>
  <c r="I2652" i="2"/>
  <c r="H2652" i="2"/>
  <c r="C2652" i="2"/>
  <c r="H2651" i="2"/>
  <c r="I2651" i="2" s="1"/>
  <c r="C2651" i="2"/>
  <c r="H2650" i="2"/>
  <c r="I2650" i="2" s="1"/>
  <c r="C2650" i="2"/>
  <c r="H2649" i="2"/>
  <c r="I2649" i="2" s="1"/>
  <c r="C2649" i="2"/>
  <c r="H2648" i="2"/>
  <c r="I2648" i="2" s="1"/>
  <c r="C2648" i="2"/>
  <c r="H2647" i="2"/>
  <c r="I2647" i="2" s="1"/>
  <c r="C2647" i="2"/>
  <c r="I2646" i="2"/>
  <c r="H2646" i="2"/>
  <c r="C2646" i="2"/>
  <c r="H2645" i="2"/>
  <c r="I2645" i="2" s="1"/>
  <c r="C2645" i="2"/>
  <c r="H2644" i="2"/>
  <c r="I2644" i="2" s="1"/>
  <c r="C2644" i="2"/>
  <c r="H2643" i="2"/>
  <c r="I2643" i="2" s="1"/>
  <c r="C2643" i="2"/>
  <c r="H2642" i="2"/>
  <c r="I2642" i="2" s="1"/>
  <c r="C2642" i="2"/>
  <c r="H2641" i="2"/>
  <c r="I2641" i="2" s="1"/>
  <c r="C2641" i="2"/>
  <c r="H2640" i="2"/>
  <c r="I2640" i="2" s="1"/>
  <c r="C2640" i="2"/>
  <c r="I2639" i="2"/>
  <c r="H2639" i="2"/>
  <c r="C2639" i="2"/>
  <c r="H2638" i="2"/>
  <c r="I2638" i="2" s="1"/>
  <c r="C2638" i="2"/>
  <c r="H2637" i="2"/>
  <c r="I2637" i="2" s="1"/>
  <c r="C2637" i="2"/>
  <c r="H2636" i="2"/>
  <c r="I2636" i="2" s="1"/>
  <c r="C2636" i="2"/>
  <c r="I2635" i="2"/>
  <c r="H2635" i="2"/>
  <c r="C2635" i="2"/>
  <c r="H2634" i="2"/>
  <c r="I2634" i="2" s="1"/>
  <c r="C2634" i="2"/>
  <c r="H2633" i="2"/>
  <c r="I2633" i="2" s="1"/>
  <c r="C2633" i="2"/>
  <c r="H2632" i="2"/>
  <c r="I2632" i="2" s="1"/>
  <c r="C2632" i="2"/>
  <c r="H2631" i="2"/>
  <c r="I2631" i="2" s="1"/>
  <c r="C2631" i="2"/>
  <c r="H2630" i="2"/>
  <c r="I2630" i="2" s="1"/>
  <c r="C2630" i="2"/>
  <c r="H2629" i="2"/>
  <c r="I2629" i="2" s="1"/>
  <c r="C2629" i="2"/>
  <c r="H2628" i="2"/>
  <c r="I2628" i="2" s="1"/>
  <c r="C2628" i="2"/>
  <c r="H2627" i="2"/>
  <c r="I2627" i="2" s="1"/>
  <c r="C2627" i="2"/>
  <c r="I2626" i="2"/>
  <c r="H2626" i="2"/>
  <c r="C2626" i="2"/>
  <c r="H2625" i="2"/>
  <c r="I2625" i="2" s="1"/>
  <c r="C2625" i="2"/>
  <c r="H2624" i="2"/>
  <c r="I2624" i="2" s="1"/>
  <c r="C2624" i="2"/>
  <c r="H2623" i="2"/>
  <c r="I2623" i="2" s="1"/>
  <c r="C2623" i="2"/>
  <c r="H2622" i="2"/>
  <c r="I2622" i="2" s="1"/>
  <c r="C2622" i="2"/>
  <c r="H2621" i="2"/>
  <c r="I2621" i="2" s="1"/>
  <c r="C2621" i="2"/>
  <c r="H2620" i="2"/>
  <c r="I2620" i="2" s="1"/>
  <c r="C2620" i="2"/>
  <c r="H2619" i="2"/>
  <c r="I2619" i="2" s="1"/>
  <c r="C2619" i="2"/>
  <c r="H2618" i="2"/>
  <c r="I2618" i="2" s="1"/>
  <c r="C2618" i="2"/>
  <c r="H2617" i="2"/>
  <c r="I2617" i="2" s="1"/>
  <c r="C2617" i="2"/>
  <c r="H2616" i="2"/>
  <c r="I2616" i="2" s="1"/>
  <c r="C2616" i="2"/>
  <c r="H2615" i="2"/>
  <c r="I2615" i="2" s="1"/>
  <c r="C2615" i="2"/>
  <c r="I2614" i="2"/>
  <c r="H2614" i="2"/>
  <c r="C2614" i="2"/>
  <c r="H2613" i="2"/>
  <c r="I2613" i="2" s="1"/>
  <c r="C2613" i="2"/>
  <c r="H2612" i="2"/>
  <c r="I2612" i="2" s="1"/>
  <c r="C2612" i="2"/>
  <c r="H2611" i="2"/>
  <c r="I2611" i="2" s="1"/>
  <c r="C2611" i="2"/>
  <c r="H2610" i="2"/>
  <c r="I2610" i="2" s="1"/>
  <c r="C2610" i="2"/>
  <c r="H2609" i="2"/>
  <c r="I2609" i="2" s="1"/>
  <c r="C2609" i="2"/>
  <c r="H2608" i="2"/>
  <c r="I2608" i="2" s="1"/>
  <c r="C2608" i="2"/>
  <c r="H2607" i="2"/>
  <c r="I2607" i="2" s="1"/>
  <c r="C2607" i="2"/>
  <c r="H2606" i="2"/>
  <c r="I2606" i="2" s="1"/>
  <c r="C2606" i="2"/>
  <c r="H2605" i="2"/>
  <c r="I2605" i="2" s="1"/>
  <c r="C2605" i="2"/>
  <c r="H2604" i="2"/>
  <c r="I2604" i="2" s="1"/>
  <c r="C2604" i="2"/>
  <c r="H2603" i="2"/>
  <c r="I2603" i="2" s="1"/>
  <c r="C2603" i="2"/>
  <c r="H2602" i="2"/>
  <c r="I2602" i="2" s="1"/>
  <c r="C2602" i="2"/>
  <c r="H2601" i="2"/>
  <c r="I2601" i="2" s="1"/>
  <c r="C2601" i="2"/>
  <c r="H2600" i="2"/>
  <c r="I2600" i="2" s="1"/>
  <c r="C2600" i="2"/>
  <c r="H2599" i="2"/>
  <c r="I2599" i="2" s="1"/>
  <c r="C2599" i="2"/>
  <c r="H2598" i="2"/>
  <c r="I2598" i="2" s="1"/>
  <c r="C2598" i="2"/>
  <c r="H2597" i="2"/>
  <c r="I2597" i="2" s="1"/>
  <c r="C2597" i="2"/>
  <c r="H2596" i="2"/>
  <c r="I2596" i="2" s="1"/>
  <c r="C2596" i="2"/>
  <c r="H2595" i="2"/>
  <c r="I2595" i="2" s="1"/>
  <c r="C2595" i="2"/>
  <c r="H2594" i="2"/>
  <c r="I2594" i="2" s="1"/>
  <c r="C2594" i="2"/>
  <c r="H2593" i="2"/>
  <c r="I2593" i="2" s="1"/>
  <c r="C2593" i="2"/>
  <c r="H2592" i="2"/>
  <c r="I2592" i="2" s="1"/>
  <c r="C2592" i="2"/>
  <c r="H2591" i="2"/>
  <c r="I2591" i="2" s="1"/>
  <c r="C2591" i="2"/>
  <c r="H2590" i="2"/>
  <c r="I2590" i="2" s="1"/>
  <c r="C2590" i="2"/>
  <c r="I2589" i="2"/>
  <c r="H2589" i="2"/>
  <c r="C2589" i="2"/>
  <c r="I2588" i="2"/>
  <c r="H2588" i="2"/>
  <c r="C2588" i="2"/>
  <c r="H2587" i="2"/>
  <c r="I2587" i="2" s="1"/>
  <c r="C2587" i="2"/>
  <c r="H2586" i="2"/>
  <c r="I2586" i="2" s="1"/>
  <c r="C2586" i="2"/>
  <c r="H2585" i="2"/>
  <c r="I2585" i="2" s="1"/>
  <c r="C2585" i="2"/>
  <c r="H2584" i="2"/>
  <c r="I2584" i="2" s="1"/>
  <c r="C2584" i="2"/>
  <c r="H2583" i="2"/>
  <c r="I2583" i="2" s="1"/>
  <c r="C2583" i="2"/>
  <c r="H2582" i="2"/>
  <c r="I2582" i="2" s="1"/>
  <c r="C2582" i="2"/>
  <c r="H2581" i="2"/>
  <c r="I2581" i="2" s="1"/>
  <c r="C2581" i="2"/>
  <c r="I2580" i="2"/>
  <c r="H2580" i="2"/>
  <c r="C2580" i="2"/>
  <c r="H2579" i="2"/>
  <c r="I2579" i="2" s="1"/>
  <c r="C2579" i="2"/>
  <c r="H2578" i="2"/>
  <c r="I2578" i="2" s="1"/>
  <c r="C2578" i="2"/>
  <c r="H2577" i="2"/>
  <c r="I2577" i="2" s="1"/>
  <c r="C2577" i="2"/>
  <c r="H2576" i="2"/>
  <c r="I2576" i="2" s="1"/>
  <c r="C2576" i="2"/>
  <c r="H2575" i="2"/>
  <c r="I2575" i="2" s="1"/>
  <c r="C2575" i="2"/>
  <c r="I2574" i="2"/>
  <c r="H2574" i="2"/>
  <c r="C2574" i="2"/>
  <c r="I2573" i="2"/>
  <c r="H2573" i="2"/>
  <c r="C2573" i="2"/>
  <c r="I2572" i="2"/>
  <c r="H2572" i="2"/>
  <c r="C2572" i="2"/>
  <c r="I2571" i="2"/>
  <c r="H2571" i="2"/>
  <c r="C2571" i="2"/>
  <c r="H2570" i="2"/>
  <c r="I2570" i="2" s="1"/>
  <c r="C2570" i="2"/>
  <c r="H2569" i="2"/>
  <c r="I2569" i="2" s="1"/>
  <c r="C2569" i="2"/>
  <c r="I2568" i="2"/>
  <c r="H2568" i="2"/>
  <c r="C2568" i="2"/>
  <c r="H2567" i="2"/>
  <c r="I2567" i="2" s="1"/>
  <c r="C2567" i="2"/>
  <c r="H2566" i="2"/>
  <c r="I2566" i="2" s="1"/>
  <c r="C2566" i="2"/>
  <c r="H2565" i="2"/>
  <c r="I2565" i="2" s="1"/>
  <c r="C2565" i="2"/>
  <c r="H2564" i="2"/>
  <c r="I2564" i="2" s="1"/>
  <c r="C2564" i="2"/>
  <c r="H2563" i="2"/>
  <c r="I2563" i="2" s="1"/>
  <c r="C2563" i="2"/>
  <c r="H2562" i="2"/>
  <c r="I2562" i="2" s="1"/>
  <c r="C2562" i="2"/>
  <c r="H2561" i="2"/>
  <c r="I2561" i="2" s="1"/>
  <c r="C2561" i="2"/>
  <c r="I2560" i="2"/>
  <c r="H2560" i="2"/>
  <c r="C2560" i="2"/>
  <c r="H2559" i="2"/>
  <c r="I2559" i="2" s="1"/>
  <c r="C2559" i="2"/>
  <c r="I2558" i="2"/>
  <c r="H2558" i="2"/>
  <c r="C2558" i="2"/>
  <c r="H2557" i="2"/>
  <c r="I2557" i="2" s="1"/>
  <c r="C2557" i="2"/>
  <c r="I2556" i="2"/>
  <c r="H2556" i="2"/>
  <c r="C2556" i="2"/>
  <c r="H2555" i="2"/>
  <c r="I2555" i="2" s="1"/>
  <c r="C2555" i="2"/>
  <c r="H2554" i="2"/>
  <c r="I2554" i="2" s="1"/>
  <c r="C2554" i="2"/>
  <c r="I2553" i="2"/>
  <c r="H2553" i="2"/>
  <c r="C2553" i="2"/>
  <c r="H2552" i="2"/>
  <c r="I2552" i="2" s="1"/>
  <c r="C2552" i="2"/>
  <c r="H2551" i="2"/>
  <c r="I2551" i="2" s="1"/>
  <c r="C2551" i="2"/>
  <c r="H2550" i="2"/>
  <c r="I2550" i="2" s="1"/>
  <c r="C2550" i="2"/>
  <c r="H2549" i="2"/>
  <c r="I2549" i="2" s="1"/>
  <c r="C2549" i="2"/>
  <c r="H2548" i="2"/>
  <c r="I2548" i="2" s="1"/>
  <c r="C2548" i="2"/>
  <c r="H2547" i="2"/>
  <c r="I2547" i="2" s="1"/>
  <c r="C2547" i="2"/>
  <c r="I2546" i="2"/>
  <c r="H2546" i="2"/>
  <c r="C2546" i="2"/>
  <c r="H2545" i="2"/>
  <c r="I2545" i="2" s="1"/>
  <c r="C2545" i="2"/>
  <c r="H2544" i="2"/>
  <c r="I2544" i="2" s="1"/>
  <c r="C2544" i="2"/>
  <c r="H2543" i="2"/>
  <c r="I2543" i="2" s="1"/>
  <c r="C2543" i="2"/>
  <c r="I2542" i="2"/>
  <c r="H2542" i="2"/>
  <c r="C2542" i="2"/>
  <c r="H2541" i="2"/>
  <c r="I2541" i="2" s="1"/>
  <c r="C2541" i="2"/>
  <c r="H2540" i="2"/>
  <c r="I2540" i="2" s="1"/>
  <c r="C2540" i="2"/>
  <c r="H2539" i="2"/>
  <c r="I2539" i="2" s="1"/>
  <c r="C2539" i="2"/>
  <c r="H2538" i="2"/>
  <c r="I2538" i="2" s="1"/>
  <c r="C2538" i="2"/>
  <c r="I2537" i="2"/>
  <c r="H2537" i="2"/>
  <c r="C2537" i="2"/>
  <c r="H2536" i="2"/>
  <c r="I2536" i="2" s="1"/>
  <c r="C2536" i="2"/>
  <c r="I2535" i="2"/>
  <c r="H2535" i="2"/>
  <c r="C2535" i="2"/>
  <c r="I2534" i="2"/>
  <c r="H2534" i="2"/>
  <c r="C2534" i="2"/>
  <c r="I2533" i="2"/>
  <c r="H2533" i="2"/>
  <c r="C2533" i="2"/>
  <c r="H2532" i="2"/>
  <c r="I2532" i="2" s="1"/>
  <c r="C2532" i="2"/>
  <c r="I2531" i="2"/>
  <c r="H2531" i="2"/>
  <c r="C2531" i="2"/>
  <c r="H2530" i="2"/>
  <c r="I2530" i="2" s="1"/>
  <c r="C2530" i="2"/>
  <c r="I2529" i="2"/>
  <c r="H2529" i="2"/>
  <c r="C2529" i="2"/>
  <c r="H2528" i="2"/>
  <c r="I2528" i="2" s="1"/>
  <c r="C2528" i="2"/>
  <c r="I2527" i="2"/>
  <c r="H2527" i="2"/>
  <c r="C2527" i="2"/>
  <c r="H2526" i="2"/>
  <c r="I2526" i="2" s="1"/>
  <c r="C2526" i="2"/>
  <c r="I2525" i="2"/>
  <c r="H2525" i="2"/>
  <c r="C2525" i="2"/>
  <c r="H2524" i="2"/>
  <c r="I2524" i="2" s="1"/>
  <c r="C2524" i="2"/>
  <c r="H2523" i="2"/>
  <c r="I2523" i="2" s="1"/>
  <c r="C2523" i="2"/>
  <c r="H2522" i="2"/>
  <c r="I2522" i="2" s="1"/>
  <c r="C2522" i="2"/>
  <c r="H2521" i="2"/>
  <c r="I2521" i="2" s="1"/>
  <c r="C2521" i="2"/>
  <c r="H2520" i="2"/>
  <c r="I2520" i="2" s="1"/>
  <c r="C2520" i="2"/>
  <c r="H2519" i="2"/>
  <c r="I2519" i="2" s="1"/>
  <c r="C2519" i="2"/>
  <c r="H2518" i="2"/>
  <c r="I2518" i="2" s="1"/>
  <c r="C2518" i="2"/>
  <c r="H2517" i="2"/>
  <c r="I2517" i="2" s="1"/>
  <c r="C2517" i="2"/>
  <c r="H2516" i="2"/>
  <c r="I2516" i="2" s="1"/>
  <c r="C2516" i="2"/>
  <c r="I2515" i="2"/>
  <c r="H2515" i="2"/>
  <c r="C2515" i="2"/>
  <c r="H2514" i="2"/>
  <c r="I2514" i="2" s="1"/>
  <c r="C2514" i="2"/>
  <c r="H2513" i="2"/>
  <c r="I2513" i="2" s="1"/>
  <c r="C2513" i="2"/>
  <c r="H2512" i="2"/>
  <c r="I2512" i="2" s="1"/>
  <c r="C2512" i="2"/>
  <c r="H2511" i="2"/>
  <c r="I2511" i="2" s="1"/>
  <c r="C2511" i="2"/>
  <c r="H2510" i="2"/>
  <c r="I2510" i="2" s="1"/>
  <c r="C2510" i="2"/>
  <c r="H2509" i="2"/>
  <c r="I2509" i="2" s="1"/>
  <c r="C2509" i="2"/>
  <c r="I2508" i="2"/>
  <c r="H2508" i="2"/>
  <c r="C2508" i="2"/>
  <c r="H2507" i="2"/>
  <c r="I2507" i="2" s="1"/>
  <c r="C2507" i="2"/>
  <c r="H2506" i="2"/>
  <c r="I2506" i="2" s="1"/>
  <c r="C2506" i="2"/>
  <c r="H2505" i="2"/>
  <c r="I2505" i="2" s="1"/>
  <c r="C2505" i="2"/>
  <c r="H2504" i="2"/>
  <c r="I2504" i="2" s="1"/>
  <c r="C2504" i="2"/>
  <c r="H2503" i="2"/>
  <c r="I2503" i="2" s="1"/>
  <c r="C2503" i="2"/>
  <c r="H2502" i="2"/>
  <c r="I2502" i="2" s="1"/>
  <c r="C2502" i="2"/>
  <c r="H2501" i="2"/>
  <c r="I2501" i="2" s="1"/>
  <c r="C2501" i="2"/>
  <c r="H2500" i="2"/>
  <c r="I2500" i="2" s="1"/>
  <c r="C2500" i="2"/>
  <c r="H2499" i="2"/>
  <c r="I2499" i="2" s="1"/>
  <c r="C2499" i="2"/>
  <c r="H2498" i="2"/>
  <c r="I2498" i="2" s="1"/>
  <c r="C2498" i="2"/>
  <c r="H2497" i="2"/>
  <c r="I2497" i="2" s="1"/>
  <c r="C2497" i="2"/>
  <c r="H2496" i="2"/>
  <c r="I2496" i="2" s="1"/>
  <c r="C2496" i="2"/>
  <c r="H2495" i="2"/>
  <c r="I2495" i="2" s="1"/>
  <c r="C2495" i="2"/>
  <c r="H2494" i="2"/>
  <c r="I2494" i="2" s="1"/>
  <c r="C2494" i="2"/>
  <c r="H2493" i="2"/>
  <c r="I2493" i="2" s="1"/>
  <c r="C2493" i="2"/>
  <c r="H2492" i="2"/>
  <c r="I2492" i="2" s="1"/>
  <c r="C2492" i="2"/>
  <c r="I2491" i="2"/>
  <c r="H2491" i="2"/>
  <c r="C2491" i="2"/>
  <c r="H2490" i="2"/>
  <c r="I2490" i="2" s="1"/>
  <c r="C2490" i="2"/>
  <c r="H2489" i="2"/>
  <c r="I2489" i="2" s="1"/>
  <c r="C2489" i="2"/>
  <c r="I2488" i="2"/>
  <c r="H2488" i="2"/>
  <c r="C2488" i="2"/>
  <c r="H2487" i="2"/>
  <c r="I2487" i="2" s="1"/>
  <c r="C2487" i="2"/>
  <c r="H2486" i="2"/>
  <c r="I2486" i="2" s="1"/>
  <c r="C2486" i="2"/>
  <c r="H2485" i="2"/>
  <c r="I2485" i="2" s="1"/>
  <c r="C2485" i="2"/>
  <c r="H2484" i="2"/>
  <c r="I2484" i="2" s="1"/>
  <c r="C2484" i="2"/>
  <c r="H2483" i="2"/>
  <c r="I2483" i="2" s="1"/>
  <c r="C2483" i="2"/>
  <c r="H2482" i="2"/>
  <c r="I2482" i="2" s="1"/>
  <c r="C2482" i="2"/>
  <c r="H2481" i="2"/>
  <c r="I2481" i="2" s="1"/>
  <c r="C2481" i="2"/>
  <c r="H2480" i="2"/>
  <c r="I2480" i="2" s="1"/>
  <c r="C2480" i="2"/>
  <c r="H2479" i="2"/>
  <c r="I2479" i="2" s="1"/>
  <c r="C2479" i="2"/>
  <c r="H2478" i="2"/>
  <c r="I2478" i="2" s="1"/>
  <c r="C2478" i="2"/>
  <c r="H2477" i="2"/>
  <c r="I2477" i="2" s="1"/>
  <c r="C2477" i="2"/>
  <c r="H2476" i="2"/>
  <c r="I2476" i="2" s="1"/>
  <c r="C2476" i="2"/>
  <c r="H2475" i="2"/>
  <c r="I2475" i="2" s="1"/>
  <c r="C2475" i="2"/>
  <c r="H2474" i="2"/>
  <c r="I2474" i="2" s="1"/>
  <c r="C2474" i="2"/>
  <c r="H2473" i="2"/>
  <c r="I2473" i="2" s="1"/>
  <c r="C2473" i="2"/>
  <c r="H2472" i="2"/>
  <c r="I2472" i="2" s="1"/>
  <c r="C2472" i="2"/>
  <c r="H2471" i="2"/>
  <c r="I2471" i="2" s="1"/>
  <c r="C2471" i="2"/>
  <c r="H2470" i="2"/>
  <c r="I2470" i="2" s="1"/>
  <c r="C2470" i="2"/>
  <c r="H2469" i="2"/>
  <c r="I2469" i="2" s="1"/>
  <c r="C2469" i="2"/>
  <c r="I2468" i="2"/>
  <c r="H2468" i="2"/>
  <c r="C2468" i="2"/>
  <c r="H2467" i="2"/>
  <c r="I2467" i="2" s="1"/>
  <c r="C2467" i="2"/>
  <c r="H2466" i="2"/>
  <c r="I2466" i="2" s="1"/>
  <c r="C2466" i="2"/>
  <c r="H2465" i="2"/>
  <c r="I2465" i="2" s="1"/>
  <c r="C2465" i="2"/>
  <c r="H2464" i="2"/>
  <c r="I2464" i="2" s="1"/>
  <c r="C2464" i="2"/>
  <c r="H2463" i="2"/>
  <c r="I2463" i="2" s="1"/>
  <c r="C2463" i="2"/>
  <c r="I2462" i="2"/>
  <c r="H2462" i="2"/>
  <c r="C2462" i="2"/>
  <c r="H2461" i="2"/>
  <c r="I2461" i="2" s="1"/>
  <c r="C2461" i="2"/>
  <c r="H2460" i="2"/>
  <c r="I2460" i="2" s="1"/>
  <c r="C2460" i="2"/>
  <c r="H2459" i="2"/>
  <c r="I2459" i="2" s="1"/>
  <c r="C2459" i="2"/>
  <c r="H2458" i="2"/>
  <c r="I2458" i="2" s="1"/>
  <c r="C2458" i="2"/>
  <c r="H2457" i="2"/>
  <c r="I2457" i="2" s="1"/>
  <c r="C2457" i="2"/>
  <c r="H2456" i="2"/>
  <c r="I2456" i="2" s="1"/>
  <c r="C2456" i="2"/>
  <c r="H2455" i="2"/>
  <c r="I2455" i="2" s="1"/>
  <c r="C2455" i="2"/>
  <c r="I2454" i="2"/>
  <c r="H2454" i="2"/>
  <c r="C2454" i="2"/>
  <c r="I2453" i="2"/>
  <c r="H2453" i="2"/>
  <c r="C2453" i="2"/>
  <c r="H2452" i="2"/>
  <c r="I2452" i="2" s="1"/>
  <c r="C2452" i="2"/>
  <c r="H2451" i="2"/>
  <c r="I2451" i="2" s="1"/>
  <c r="C2451" i="2"/>
  <c r="H2450" i="2"/>
  <c r="I2450" i="2" s="1"/>
  <c r="C2450" i="2"/>
  <c r="H2449" i="2"/>
  <c r="I2449" i="2" s="1"/>
  <c r="C2449" i="2"/>
  <c r="I2448" i="2"/>
  <c r="H2448" i="2"/>
  <c r="C2448" i="2"/>
  <c r="H2447" i="2"/>
  <c r="I2447" i="2" s="1"/>
  <c r="C2447" i="2"/>
  <c r="H2446" i="2"/>
  <c r="I2446" i="2" s="1"/>
  <c r="C2446" i="2"/>
  <c r="H2445" i="2"/>
  <c r="I2445" i="2" s="1"/>
  <c r="C2445" i="2"/>
  <c r="H2444" i="2"/>
  <c r="I2444" i="2" s="1"/>
  <c r="C2444" i="2"/>
  <c r="H2443" i="2"/>
  <c r="I2443" i="2" s="1"/>
  <c r="C2443" i="2"/>
  <c r="H2442" i="2"/>
  <c r="I2442" i="2" s="1"/>
  <c r="C2442" i="2"/>
  <c r="H2441" i="2"/>
  <c r="I2441" i="2" s="1"/>
  <c r="C2441" i="2"/>
  <c r="H2440" i="2"/>
  <c r="I2440" i="2" s="1"/>
  <c r="C2440" i="2"/>
  <c r="H2439" i="2"/>
  <c r="I2439" i="2" s="1"/>
  <c r="C2439" i="2"/>
  <c r="H2438" i="2"/>
  <c r="I2438" i="2" s="1"/>
  <c r="C2438" i="2"/>
  <c r="H2437" i="2"/>
  <c r="I2437" i="2" s="1"/>
  <c r="C2437" i="2"/>
  <c r="H2436" i="2"/>
  <c r="I2436" i="2" s="1"/>
  <c r="C2436" i="2"/>
  <c r="H2435" i="2"/>
  <c r="I2435" i="2" s="1"/>
  <c r="C2435" i="2"/>
  <c r="I2434" i="2"/>
  <c r="H2434" i="2"/>
  <c r="C2434" i="2"/>
  <c r="I2433" i="2"/>
  <c r="H2433" i="2"/>
  <c r="C2433" i="2"/>
  <c r="H2432" i="2"/>
  <c r="I2432" i="2" s="1"/>
  <c r="C2432" i="2"/>
  <c r="H2431" i="2"/>
  <c r="I2431" i="2" s="1"/>
  <c r="C2431" i="2"/>
  <c r="H2430" i="2"/>
  <c r="I2430" i="2" s="1"/>
  <c r="C2430" i="2"/>
  <c r="H2429" i="2"/>
  <c r="I2429" i="2" s="1"/>
  <c r="C2429" i="2"/>
  <c r="I2428" i="2"/>
  <c r="H2428" i="2"/>
  <c r="C2428" i="2"/>
  <c r="H2427" i="2"/>
  <c r="I2427" i="2" s="1"/>
  <c r="C2427" i="2"/>
  <c r="H2426" i="2"/>
  <c r="I2426" i="2" s="1"/>
  <c r="C2426" i="2"/>
  <c r="H2425" i="2"/>
  <c r="I2425" i="2" s="1"/>
  <c r="C2425" i="2"/>
  <c r="H2424" i="2"/>
  <c r="I2424" i="2" s="1"/>
  <c r="C2424" i="2"/>
  <c r="H2423" i="2"/>
  <c r="I2423" i="2" s="1"/>
  <c r="C2423" i="2"/>
  <c r="H2422" i="2"/>
  <c r="I2422" i="2" s="1"/>
  <c r="C2422" i="2"/>
  <c r="H2421" i="2"/>
  <c r="I2421" i="2" s="1"/>
  <c r="C2421" i="2"/>
  <c r="H2420" i="2"/>
  <c r="I2420" i="2" s="1"/>
  <c r="C2420" i="2"/>
  <c r="I2419" i="2"/>
  <c r="H2419" i="2"/>
  <c r="C2419" i="2"/>
  <c r="I2418" i="2"/>
  <c r="H2418" i="2"/>
  <c r="C2418" i="2"/>
  <c r="H2417" i="2"/>
  <c r="I2417" i="2" s="1"/>
  <c r="C2417" i="2"/>
  <c r="H2416" i="2"/>
  <c r="I2416" i="2" s="1"/>
  <c r="C2416" i="2"/>
  <c r="I2415" i="2"/>
  <c r="H2415" i="2"/>
  <c r="C2415" i="2"/>
  <c r="H2414" i="2"/>
  <c r="I2414" i="2" s="1"/>
  <c r="C2414" i="2"/>
  <c r="H2413" i="2"/>
  <c r="I2413" i="2" s="1"/>
  <c r="C2413" i="2"/>
  <c r="H2412" i="2"/>
  <c r="I2412" i="2" s="1"/>
  <c r="C2412" i="2"/>
  <c r="H2411" i="2"/>
  <c r="I2411" i="2" s="1"/>
  <c r="C2411" i="2"/>
  <c r="H2410" i="2"/>
  <c r="I2410" i="2" s="1"/>
  <c r="C2410" i="2"/>
  <c r="H2409" i="2"/>
  <c r="I2409" i="2" s="1"/>
  <c r="C2409" i="2"/>
  <c r="H2408" i="2"/>
  <c r="I2408" i="2" s="1"/>
  <c r="C2408" i="2"/>
  <c r="H2407" i="2"/>
  <c r="I2407" i="2" s="1"/>
  <c r="C2407" i="2"/>
  <c r="H2406" i="2"/>
  <c r="I2406" i="2" s="1"/>
  <c r="C2406" i="2"/>
  <c r="H2405" i="2"/>
  <c r="I2405" i="2" s="1"/>
  <c r="C2405" i="2"/>
  <c r="H2404" i="2"/>
  <c r="I2404" i="2" s="1"/>
  <c r="C2404" i="2"/>
  <c r="H2403" i="2"/>
  <c r="I2403" i="2" s="1"/>
  <c r="C2403" i="2"/>
  <c r="H2402" i="2"/>
  <c r="I2402" i="2" s="1"/>
  <c r="C2402" i="2"/>
  <c r="H2401" i="2"/>
  <c r="I2401" i="2" s="1"/>
  <c r="C2401" i="2"/>
  <c r="H2400" i="2"/>
  <c r="I2400" i="2" s="1"/>
  <c r="C2400" i="2"/>
  <c r="H2399" i="2"/>
  <c r="I2399" i="2" s="1"/>
  <c r="C2399" i="2"/>
  <c r="H2398" i="2"/>
  <c r="I2398" i="2" s="1"/>
  <c r="C2398" i="2"/>
  <c r="H2397" i="2"/>
  <c r="I2397" i="2" s="1"/>
  <c r="C2397" i="2"/>
  <c r="H2396" i="2"/>
  <c r="I2396" i="2" s="1"/>
  <c r="C2396" i="2"/>
  <c r="H2395" i="2"/>
  <c r="I2395" i="2" s="1"/>
  <c r="C2395" i="2"/>
  <c r="H2394" i="2"/>
  <c r="I2394" i="2" s="1"/>
  <c r="C2394" i="2"/>
  <c r="H2393" i="2"/>
  <c r="I2393" i="2" s="1"/>
  <c r="C2393" i="2"/>
  <c r="H2392" i="2"/>
  <c r="I2392" i="2" s="1"/>
  <c r="C2392" i="2"/>
  <c r="H2391" i="2"/>
  <c r="I2391" i="2" s="1"/>
  <c r="C2391" i="2"/>
  <c r="H2390" i="2"/>
  <c r="I2390" i="2" s="1"/>
  <c r="C2390" i="2"/>
  <c r="I2389" i="2"/>
  <c r="H2389" i="2"/>
  <c r="C2389" i="2"/>
  <c r="H2388" i="2"/>
  <c r="I2388" i="2" s="1"/>
  <c r="C2388" i="2"/>
  <c r="H2387" i="2"/>
  <c r="I2387" i="2" s="1"/>
  <c r="C2387" i="2"/>
  <c r="H2386" i="2"/>
  <c r="I2386" i="2" s="1"/>
  <c r="C2386" i="2"/>
  <c r="H2385" i="2"/>
  <c r="I2385" i="2" s="1"/>
  <c r="C2385" i="2"/>
  <c r="I2384" i="2"/>
  <c r="H2384" i="2"/>
  <c r="C2384" i="2"/>
  <c r="I2383" i="2"/>
  <c r="H2383" i="2"/>
  <c r="C2383" i="2"/>
  <c r="H2382" i="2"/>
  <c r="I2382" i="2" s="1"/>
  <c r="C2382" i="2"/>
  <c r="H2381" i="2"/>
  <c r="I2381" i="2" s="1"/>
  <c r="C2381" i="2"/>
  <c r="H2380" i="2"/>
  <c r="I2380" i="2" s="1"/>
  <c r="C2380" i="2"/>
  <c r="H2379" i="2"/>
  <c r="I2379" i="2" s="1"/>
  <c r="C2379" i="2"/>
  <c r="H2378" i="2"/>
  <c r="I2378" i="2" s="1"/>
  <c r="C2378" i="2"/>
  <c r="H2377" i="2"/>
  <c r="I2377" i="2" s="1"/>
  <c r="C2377" i="2"/>
  <c r="H2376" i="2"/>
  <c r="I2376" i="2" s="1"/>
  <c r="C2376" i="2"/>
  <c r="H2375" i="2"/>
  <c r="I2375" i="2" s="1"/>
  <c r="C2375" i="2"/>
  <c r="H2374" i="2"/>
  <c r="I2374" i="2" s="1"/>
  <c r="C2374" i="2"/>
  <c r="I2373" i="2"/>
  <c r="H2373" i="2"/>
  <c r="C2373" i="2"/>
  <c r="H2372" i="2"/>
  <c r="I2372" i="2" s="1"/>
  <c r="C2372" i="2"/>
  <c r="H2371" i="2"/>
  <c r="I2371" i="2" s="1"/>
  <c r="C2371" i="2"/>
  <c r="H2370" i="2"/>
  <c r="I2370" i="2" s="1"/>
  <c r="C2370" i="2"/>
  <c r="H2369" i="2"/>
  <c r="I2369" i="2" s="1"/>
  <c r="C2369" i="2"/>
  <c r="I2368" i="2"/>
  <c r="H2368" i="2"/>
  <c r="C2368" i="2"/>
  <c r="H2367" i="2"/>
  <c r="I2367" i="2" s="1"/>
  <c r="C2367" i="2"/>
  <c r="I2366" i="2"/>
  <c r="H2366" i="2"/>
  <c r="C2366" i="2"/>
  <c r="H2365" i="2"/>
  <c r="I2365" i="2" s="1"/>
  <c r="C2365" i="2"/>
  <c r="H2364" i="2"/>
  <c r="I2364" i="2" s="1"/>
  <c r="C2364" i="2"/>
  <c r="H2363" i="2"/>
  <c r="I2363" i="2" s="1"/>
  <c r="C2363" i="2"/>
  <c r="H2362" i="2"/>
  <c r="I2362" i="2" s="1"/>
  <c r="C2362" i="2"/>
  <c r="H2361" i="2"/>
  <c r="I2361" i="2" s="1"/>
  <c r="C2361" i="2"/>
  <c r="H2360" i="2"/>
  <c r="I2360" i="2" s="1"/>
  <c r="C2360" i="2"/>
  <c r="H2359" i="2"/>
  <c r="I2359" i="2" s="1"/>
  <c r="C2359" i="2"/>
  <c r="H2358" i="2"/>
  <c r="I2358" i="2" s="1"/>
  <c r="C2358" i="2"/>
  <c r="H2357" i="2"/>
  <c r="I2357" i="2" s="1"/>
  <c r="C2357" i="2"/>
  <c r="H2356" i="2"/>
  <c r="I2356" i="2" s="1"/>
  <c r="C2356" i="2"/>
  <c r="H2355" i="2"/>
  <c r="I2355" i="2" s="1"/>
  <c r="C2355" i="2"/>
  <c r="H2354" i="2"/>
  <c r="I2354" i="2" s="1"/>
  <c r="C2354" i="2"/>
  <c r="H2353" i="2"/>
  <c r="I2353" i="2" s="1"/>
  <c r="C2353" i="2"/>
  <c r="I2352" i="2"/>
  <c r="H2352" i="2"/>
  <c r="C2352" i="2"/>
  <c r="H2351" i="2"/>
  <c r="I2351" i="2" s="1"/>
  <c r="C2351" i="2"/>
  <c r="H2350" i="2"/>
  <c r="I2350" i="2" s="1"/>
  <c r="C2350" i="2"/>
  <c r="H2349" i="2"/>
  <c r="I2349" i="2" s="1"/>
  <c r="C2349" i="2"/>
  <c r="H2348" i="2"/>
  <c r="I2348" i="2" s="1"/>
  <c r="C2348" i="2"/>
  <c r="H2347" i="2"/>
  <c r="I2347" i="2" s="1"/>
  <c r="C2347" i="2"/>
  <c r="H2346" i="2"/>
  <c r="I2346" i="2" s="1"/>
  <c r="C2346" i="2"/>
  <c r="H2345" i="2"/>
  <c r="I2345" i="2" s="1"/>
  <c r="C2345" i="2"/>
  <c r="H2344" i="2"/>
  <c r="I2344" i="2" s="1"/>
  <c r="C2344" i="2"/>
  <c r="H2343" i="2"/>
  <c r="I2343" i="2" s="1"/>
  <c r="C2343" i="2"/>
  <c r="H2342" i="2"/>
  <c r="I2342" i="2" s="1"/>
  <c r="C2342" i="2"/>
  <c r="H2341" i="2"/>
  <c r="I2341" i="2" s="1"/>
  <c r="C2341" i="2"/>
  <c r="H2340" i="2"/>
  <c r="I2340" i="2" s="1"/>
  <c r="C2340" i="2"/>
  <c r="H2339" i="2"/>
  <c r="I2339" i="2" s="1"/>
  <c r="C2339" i="2"/>
  <c r="H2338" i="2"/>
  <c r="I2338" i="2" s="1"/>
  <c r="C2338" i="2"/>
  <c r="H2337" i="2"/>
  <c r="I2337" i="2" s="1"/>
  <c r="C2337" i="2"/>
  <c r="H2336" i="2"/>
  <c r="I2336" i="2" s="1"/>
  <c r="C2336" i="2"/>
  <c r="H2335" i="2"/>
  <c r="I2335" i="2" s="1"/>
  <c r="C2335" i="2"/>
  <c r="H2334" i="2"/>
  <c r="I2334" i="2" s="1"/>
  <c r="C2334" i="2"/>
  <c r="H2333" i="2"/>
  <c r="I2333" i="2" s="1"/>
  <c r="C2333" i="2"/>
  <c r="H2332" i="2"/>
  <c r="I2332" i="2" s="1"/>
  <c r="C2332" i="2"/>
  <c r="H2331" i="2"/>
  <c r="I2331" i="2" s="1"/>
  <c r="C2331" i="2"/>
  <c r="I2330" i="2"/>
  <c r="H2330" i="2"/>
  <c r="C2330" i="2"/>
  <c r="H2329" i="2"/>
  <c r="I2329" i="2" s="1"/>
  <c r="C2329" i="2"/>
  <c r="H2328" i="2"/>
  <c r="I2328" i="2" s="1"/>
  <c r="C2328" i="2"/>
  <c r="H2327" i="2"/>
  <c r="I2327" i="2" s="1"/>
  <c r="C2327" i="2"/>
  <c r="H2326" i="2"/>
  <c r="I2326" i="2" s="1"/>
  <c r="C2326" i="2"/>
  <c r="I2325" i="2"/>
  <c r="H2325" i="2"/>
  <c r="C2325" i="2"/>
  <c r="I2324" i="2"/>
  <c r="H2324" i="2"/>
  <c r="C2324" i="2"/>
  <c r="H2323" i="2"/>
  <c r="I2323" i="2" s="1"/>
  <c r="C2323" i="2"/>
  <c r="H2322" i="2"/>
  <c r="I2322" i="2" s="1"/>
  <c r="C2322" i="2"/>
  <c r="I2321" i="2"/>
  <c r="H2321" i="2"/>
  <c r="C2321" i="2"/>
  <c r="H2320" i="2"/>
  <c r="I2320" i="2" s="1"/>
  <c r="C2320" i="2"/>
  <c r="H2319" i="2"/>
  <c r="I2319" i="2" s="1"/>
  <c r="C2319" i="2"/>
  <c r="H2318" i="2"/>
  <c r="I2318" i="2" s="1"/>
  <c r="C2318" i="2"/>
  <c r="I2317" i="2"/>
  <c r="H2317" i="2"/>
  <c r="C2317" i="2"/>
  <c r="H2316" i="2"/>
  <c r="I2316" i="2" s="1"/>
  <c r="C2316" i="2"/>
  <c r="H2315" i="2"/>
  <c r="I2315" i="2" s="1"/>
  <c r="C2315" i="2"/>
  <c r="H2314" i="2"/>
  <c r="I2314" i="2" s="1"/>
  <c r="C2314" i="2"/>
  <c r="H2313" i="2"/>
  <c r="I2313" i="2" s="1"/>
  <c r="C2313" i="2"/>
  <c r="I2312" i="2"/>
  <c r="H2312" i="2"/>
  <c r="C2312" i="2"/>
  <c r="H2311" i="2"/>
  <c r="I2311" i="2" s="1"/>
  <c r="C2311" i="2"/>
  <c r="H2310" i="2"/>
  <c r="I2310" i="2" s="1"/>
  <c r="C2310" i="2"/>
  <c r="H2309" i="2"/>
  <c r="I2309" i="2" s="1"/>
  <c r="C2309" i="2"/>
  <c r="H2308" i="2"/>
  <c r="I2308" i="2" s="1"/>
  <c r="C2308" i="2"/>
  <c r="I2307" i="2"/>
  <c r="H2307" i="2"/>
  <c r="C2307" i="2"/>
  <c r="H2306" i="2"/>
  <c r="I2306" i="2" s="1"/>
  <c r="C2306" i="2"/>
  <c r="H2305" i="2"/>
  <c r="I2305" i="2" s="1"/>
  <c r="C2305" i="2"/>
  <c r="H2304" i="2"/>
  <c r="I2304" i="2" s="1"/>
  <c r="C2304" i="2"/>
  <c r="H2303" i="2"/>
  <c r="I2303" i="2" s="1"/>
  <c r="C2303" i="2"/>
  <c r="H2302" i="2"/>
  <c r="I2302" i="2" s="1"/>
  <c r="C2302" i="2"/>
  <c r="I2301" i="2"/>
  <c r="H2301" i="2"/>
  <c r="C2301" i="2"/>
  <c r="I2300" i="2"/>
  <c r="H2300" i="2"/>
  <c r="C2300" i="2"/>
  <c r="H2299" i="2"/>
  <c r="I2299" i="2" s="1"/>
  <c r="C2299" i="2"/>
  <c r="H2298" i="2"/>
  <c r="I2298" i="2" s="1"/>
  <c r="C2298" i="2"/>
  <c r="I2297" i="2"/>
  <c r="H2297" i="2"/>
  <c r="C2297" i="2"/>
  <c r="H2296" i="2"/>
  <c r="I2296" i="2" s="1"/>
  <c r="C2296" i="2"/>
  <c r="H2295" i="2"/>
  <c r="I2295" i="2" s="1"/>
  <c r="C2295" i="2"/>
  <c r="I2294" i="2"/>
  <c r="H2294" i="2"/>
  <c r="C2294" i="2"/>
  <c r="I2293" i="2"/>
  <c r="H2293" i="2"/>
  <c r="C2293" i="2"/>
  <c r="H2292" i="2"/>
  <c r="I2292" i="2" s="1"/>
  <c r="C2292" i="2"/>
  <c r="H2291" i="2"/>
  <c r="I2291" i="2" s="1"/>
  <c r="C2291" i="2"/>
  <c r="I2290" i="2"/>
  <c r="H2290" i="2"/>
  <c r="C2290" i="2"/>
  <c r="I2289" i="2"/>
  <c r="H2289" i="2"/>
  <c r="C2289" i="2"/>
  <c r="H2288" i="2"/>
  <c r="I2288" i="2" s="1"/>
  <c r="C2288" i="2"/>
  <c r="H2287" i="2"/>
  <c r="I2287" i="2" s="1"/>
  <c r="C2287" i="2"/>
  <c r="H2286" i="2"/>
  <c r="I2286" i="2" s="1"/>
  <c r="C2286" i="2"/>
  <c r="H2285" i="2"/>
  <c r="I2285" i="2" s="1"/>
  <c r="C2285" i="2"/>
  <c r="H2284" i="2"/>
  <c r="I2284" i="2" s="1"/>
  <c r="C2284" i="2"/>
  <c r="H2283" i="2"/>
  <c r="I2283" i="2" s="1"/>
  <c r="C2283" i="2"/>
  <c r="H2282" i="2"/>
  <c r="I2282" i="2" s="1"/>
  <c r="C2282" i="2"/>
  <c r="H2281" i="2"/>
  <c r="I2281" i="2" s="1"/>
  <c r="C2281" i="2"/>
  <c r="H2280" i="2"/>
  <c r="I2280" i="2" s="1"/>
  <c r="C2280" i="2"/>
  <c r="H2279" i="2"/>
  <c r="I2279" i="2" s="1"/>
  <c r="C2279" i="2"/>
  <c r="H2278" i="2"/>
  <c r="I2278" i="2" s="1"/>
  <c r="C2278" i="2"/>
  <c r="H2277" i="2"/>
  <c r="I2277" i="2" s="1"/>
  <c r="C2277" i="2"/>
  <c r="H2276" i="2"/>
  <c r="I2276" i="2" s="1"/>
  <c r="C2276" i="2"/>
  <c r="H2275" i="2"/>
  <c r="I2275" i="2" s="1"/>
  <c r="C2275" i="2"/>
  <c r="H2274" i="2"/>
  <c r="I2274" i="2" s="1"/>
  <c r="C2274" i="2"/>
  <c r="H2273" i="2"/>
  <c r="I2273" i="2" s="1"/>
  <c r="C2273" i="2"/>
  <c r="I2272" i="2"/>
  <c r="H2272" i="2"/>
  <c r="C2272" i="2"/>
  <c r="H2271" i="2"/>
  <c r="I2271" i="2" s="1"/>
  <c r="C2271" i="2"/>
  <c r="H2270" i="2"/>
  <c r="I2270" i="2" s="1"/>
  <c r="C2270" i="2"/>
  <c r="I2269" i="2"/>
  <c r="H2269" i="2"/>
  <c r="C2269" i="2"/>
  <c r="H2268" i="2"/>
  <c r="I2268" i="2" s="1"/>
  <c r="C2268" i="2"/>
  <c r="I2267" i="2"/>
  <c r="H2267" i="2"/>
  <c r="C2267" i="2"/>
  <c r="H2266" i="2"/>
  <c r="I2266" i="2" s="1"/>
  <c r="C2266" i="2"/>
  <c r="H2265" i="2"/>
  <c r="I2265" i="2" s="1"/>
  <c r="C2265" i="2"/>
  <c r="I2264" i="2"/>
  <c r="H2264" i="2"/>
  <c r="C2264" i="2"/>
  <c r="I2263" i="2"/>
  <c r="H2263" i="2"/>
  <c r="C2263" i="2"/>
  <c r="I2262" i="2"/>
  <c r="H2262" i="2"/>
  <c r="C2262" i="2"/>
  <c r="H2261" i="2"/>
  <c r="I2261" i="2" s="1"/>
  <c r="C2261" i="2"/>
  <c r="H2260" i="2"/>
  <c r="I2260" i="2" s="1"/>
  <c r="C2260" i="2"/>
  <c r="H2259" i="2"/>
  <c r="I2259" i="2" s="1"/>
  <c r="C2259" i="2"/>
  <c r="H2258" i="2"/>
  <c r="I2258" i="2" s="1"/>
  <c r="C2258" i="2"/>
  <c r="H2257" i="2"/>
  <c r="I2257" i="2" s="1"/>
  <c r="C2257" i="2"/>
  <c r="I2256" i="2"/>
  <c r="H2256" i="2"/>
  <c r="C2256" i="2"/>
  <c r="H2255" i="2"/>
  <c r="I2255" i="2" s="1"/>
  <c r="C2255" i="2"/>
  <c r="H2254" i="2"/>
  <c r="I2254" i="2" s="1"/>
  <c r="C2254" i="2"/>
  <c r="H2253" i="2"/>
  <c r="I2253" i="2" s="1"/>
  <c r="C2253" i="2"/>
  <c r="H2252" i="2"/>
  <c r="I2252" i="2" s="1"/>
  <c r="C2252" i="2"/>
  <c r="H2251" i="2"/>
  <c r="I2251" i="2" s="1"/>
  <c r="C2251" i="2"/>
  <c r="I2250" i="2"/>
  <c r="H2250" i="2"/>
  <c r="C2250" i="2"/>
  <c r="I2249" i="2"/>
  <c r="H2249" i="2"/>
  <c r="C2249" i="2"/>
  <c r="H2248" i="2"/>
  <c r="I2248" i="2" s="1"/>
  <c r="C2248" i="2"/>
  <c r="H2247" i="2"/>
  <c r="I2247" i="2" s="1"/>
  <c r="C2247" i="2"/>
  <c r="H2246" i="2"/>
  <c r="I2246" i="2" s="1"/>
  <c r="C2246" i="2"/>
  <c r="I2245" i="2"/>
  <c r="H2245" i="2"/>
  <c r="C2245" i="2"/>
  <c r="H2244" i="2"/>
  <c r="I2244" i="2" s="1"/>
  <c r="C2244" i="2"/>
  <c r="I2243" i="2"/>
  <c r="H2243" i="2"/>
  <c r="C2243" i="2"/>
  <c r="H2242" i="2"/>
  <c r="I2242" i="2" s="1"/>
  <c r="C2242" i="2"/>
  <c r="H2241" i="2"/>
  <c r="I2241" i="2" s="1"/>
  <c r="C2241" i="2"/>
  <c r="H2240" i="2"/>
  <c r="I2240" i="2" s="1"/>
  <c r="C2240" i="2"/>
  <c r="I2239" i="2"/>
  <c r="H2239" i="2"/>
  <c r="C2239" i="2"/>
  <c r="H2238" i="2"/>
  <c r="I2238" i="2" s="1"/>
  <c r="C2238" i="2"/>
  <c r="H2237" i="2"/>
  <c r="I2237" i="2" s="1"/>
  <c r="C2237" i="2"/>
  <c r="H2236" i="2"/>
  <c r="I2236" i="2" s="1"/>
  <c r="C2236" i="2"/>
  <c r="H2235" i="2"/>
  <c r="I2235" i="2" s="1"/>
  <c r="C2235" i="2"/>
  <c r="H2234" i="2"/>
  <c r="I2234" i="2" s="1"/>
  <c r="C2234" i="2"/>
  <c r="H2233" i="2"/>
  <c r="I2233" i="2" s="1"/>
  <c r="C2233" i="2"/>
  <c r="H2232" i="2"/>
  <c r="I2232" i="2" s="1"/>
  <c r="C2232" i="2"/>
  <c r="H2231" i="2"/>
  <c r="I2231" i="2" s="1"/>
  <c r="C2231" i="2"/>
  <c r="H2230" i="2"/>
  <c r="I2230" i="2" s="1"/>
  <c r="C2230" i="2"/>
  <c r="I2229" i="2"/>
  <c r="H2229" i="2"/>
  <c r="C2229" i="2"/>
  <c r="I2228" i="2"/>
  <c r="H2228" i="2"/>
  <c r="C2228" i="2"/>
  <c r="H2227" i="2"/>
  <c r="I2227" i="2" s="1"/>
  <c r="C2227" i="2"/>
  <c r="H2226" i="2"/>
  <c r="I2226" i="2" s="1"/>
  <c r="C2226" i="2"/>
  <c r="H2225" i="2"/>
  <c r="I2225" i="2" s="1"/>
  <c r="C2225" i="2"/>
  <c r="I2224" i="2"/>
  <c r="H2224" i="2"/>
  <c r="C2224" i="2"/>
  <c r="H2223" i="2"/>
  <c r="I2223" i="2" s="1"/>
  <c r="C2223" i="2"/>
  <c r="H2222" i="2"/>
  <c r="I2222" i="2" s="1"/>
  <c r="C2222" i="2"/>
  <c r="H2221" i="2"/>
  <c r="I2221" i="2" s="1"/>
  <c r="C2221" i="2"/>
  <c r="I2220" i="2"/>
  <c r="H2220" i="2"/>
  <c r="C2220" i="2"/>
  <c r="H2219" i="2"/>
  <c r="I2219" i="2" s="1"/>
  <c r="C2219" i="2"/>
  <c r="H2218" i="2"/>
  <c r="I2218" i="2" s="1"/>
  <c r="C2218" i="2"/>
  <c r="H2217" i="2"/>
  <c r="I2217" i="2" s="1"/>
  <c r="C2217" i="2"/>
  <c r="H2216" i="2"/>
  <c r="I2216" i="2" s="1"/>
  <c r="C2216" i="2"/>
  <c r="H2215" i="2"/>
  <c r="I2215" i="2" s="1"/>
  <c r="C2215" i="2"/>
  <c r="H2214" i="2"/>
  <c r="I2214" i="2" s="1"/>
  <c r="C2214" i="2"/>
  <c r="H2213" i="2"/>
  <c r="I2213" i="2" s="1"/>
  <c r="C2213" i="2"/>
  <c r="H2212" i="2"/>
  <c r="I2212" i="2" s="1"/>
  <c r="C2212" i="2"/>
  <c r="I2211" i="2"/>
  <c r="H2211" i="2"/>
  <c r="C2211" i="2"/>
  <c r="H2210" i="2"/>
  <c r="I2210" i="2" s="1"/>
  <c r="C2210" i="2"/>
  <c r="H2209" i="2"/>
  <c r="I2209" i="2" s="1"/>
  <c r="C2209" i="2"/>
  <c r="H2208" i="2"/>
  <c r="I2208" i="2" s="1"/>
  <c r="C2208" i="2"/>
  <c r="H2207" i="2"/>
  <c r="I2207" i="2" s="1"/>
  <c r="C2207" i="2"/>
  <c r="H2206" i="2"/>
  <c r="I2206" i="2" s="1"/>
  <c r="C2206" i="2"/>
  <c r="H2205" i="2"/>
  <c r="I2205" i="2" s="1"/>
  <c r="C2205" i="2"/>
  <c r="H2204" i="2"/>
  <c r="I2204" i="2" s="1"/>
  <c r="C2204" i="2"/>
  <c r="H2203" i="2"/>
  <c r="I2203" i="2" s="1"/>
  <c r="C2203" i="2"/>
  <c r="H2202" i="2"/>
  <c r="I2202" i="2" s="1"/>
  <c r="C2202" i="2"/>
  <c r="H2201" i="2"/>
  <c r="I2201" i="2" s="1"/>
  <c r="C2201" i="2"/>
  <c r="H2200" i="2"/>
  <c r="I2200" i="2" s="1"/>
  <c r="C2200" i="2"/>
  <c r="I2199" i="2"/>
  <c r="H2199" i="2"/>
  <c r="C2199" i="2"/>
  <c r="I2198" i="2"/>
  <c r="H2198" i="2"/>
  <c r="C2198" i="2"/>
  <c r="H2197" i="2"/>
  <c r="I2197" i="2" s="1"/>
  <c r="C2197" i="2"/>
  <c r="H2196" i="2"/>
  <c r="I2196" i="2" s="1"/>
  <c r="C2196" i="2"/>
  <c r="I2195" i="2"/>
  <c r="H2195" i="2"/>
  <c r="C2195" i="2"/>
  <c r="H2194" i="2"/>
  <c r="I2194" i="2" s="1"/>
  <c r="C2194" i="2"/>
  <c r="I2193" i="2"/>
  <c r="H2193" i="2"/>
  <c r="C2193" i="2"/>
  <c r="H2192" i="2"/>
  <c r="I2192" i="2" s="1"/>
  <c r="C2192" i="2"/>
  <c r="H2191" i="2"/>
  <c r="I2191" i="2" s="1"/>
  <c r="C2191" i="2"/>
  <c r="H2190" i="2"/>
  <c r="I2190" i="2" s="1"/>
  <c r="C2190" i="2"/>
  <c r="H2189" i="2"/>
  <c r="I2189" i="2" s="1"/>
  <c r="C2189" i="2"/>
  <c r="H2188" i="2"/>
  <c r="I2188" i="2" s="1"/>
  <c r="C2188" i="2"/>
  <c r="H2187" i="2"/>
  <c r="I2187" i="2" s="1"/>
  <c r="C2187" i="2"/>
  <c r="I2186" i="2"/>
  <c r="H2186" i="2"/>
  <c r="C2186" i="2"/>
  <c r="H2185" i="2"/>
  <c r="I2185" i="2" s="1"/>
  <c r="C2185" i="2"/>
  <c r="I2184" i="2"/>
  <c r="H2184" i="2"/>
  <c r="C2184" i="2"/>
  <c r="H2183" i="2"/>
  <c r="I2183" i="2" s="1"/>
  <c r="C2183" i="2"/>
  <c r="H2182" i="2"/>
  <c r="I2182" i="2" s="1"/>
  <c r="C2182" i="2"/>
  <c r="H2181" i="2"/>
  <c r="I2181" i="2" s="1"/>
  <c r="C2181" i="2"/>
  <c r="H2180" i="2"/>
  <c r="I2180" i="2" s="1"/>
  <c r="C2180" i="2"/>
  <c r="H2179" i="2"/>
  <c r="I2179" i="2" s="1"/>
  <c r="C2179" i="2"/>
  <c r="H2178" i="2"/>
  <c r="I2178" i="2" s="1"/>
  <c r="C2178" i="2"/>
  <c r="H2177" i="2"/>
  <c r="I2177" i="2" s="1"/>
  <c r="C2177" i="2"/>
  <c r="H2176" i="2"/>
  <c r="I2176" i="2" s="1"/>
  <c r="C2176" i="2"/>
  <c r="H2175" i="2"/>
  <c r="I2175" i="2" s="1"/>
  <c r="C2175" i="2"/>
  <c r="H2174" i="2"/>
  <c r="I2174" i="2" s="1"/>
  <c r="C2174" i="2"/>
  <c r="H2173" i="2"/>
  <c r="I2173" i="2" s="1"/>
  <c r="C2173" i="2"/>
  <c r="H2172" i="2"/>
  <c r="I2172" i="2" s="1"/>
  <c r="C2172" i="2"/>
  <c r="I2171" i="2"/>
  <c r="H2171" i="2"/>
  <c r="C2171" i="2"/>
  <c r="I2170" i="2"/>
  <c r="H2170" i="2"/>
  <c r="C2170" i="2"/>
  <c r="H2169" i="2"/>
  <c r="I2169" i="2" s="1"/>
  <c r="C2169" i="2"/>
  <c r="H2168" i="2"/>
  <c r="I2168" i="2" s="1"/>
  <c r="C2168" i="2"/>
  <c r="H2167" i="2"/>
  <c r="I2167" i="2" s="1"/>
  <c r="C2167" i="2"/>
  <c r="I2166" i="2"/>
  <c r="H2166" i="2"/>
  <c r="C2166" i="2"/>
  <c r="H2165" i="2"/>
  <c r="I2165" i="2" s="1"/>
  <c r="C2165" i="2"/>
  <c r="H2164" i="2"/>
  <c r="I2164" i="2" s="1"/>
  <c r="C2164" i="2"/>
  <c r="I2163" i="2"/>
  <c r="H2163" i="2"/>
  <c r="C2163" i="2"/>
  <c r="H2162" i="2"/>
  <c r="I2162" i="2" s="1"/>
  <c r="C2162" i="2"/>
  <c r="H2161" i="2"/>
  <c r="I2161" i="2" s="1"/>
  <c r="C2161" i="2"/>
  <c r="H2160" i="2"/>
  <c r="I2160" i="2" s="1"/>
  <c r="C2160" i="2"/>
  <c r="H2159" i="2"/>
  <c r="I2159" i="2" s="1"/>
  <c r="C2159" i="2"/>
  <c r="H2158" i="2"/>
  <c r="I2158" i="2" s="1"/>
  <c r="C2158" i="2"/>
  <c r="H2157" i="2"/>
  <c r="I2157" i="2" s="1"/>
  <c r="C2157" i="2"/>
  <c r="H2156" i="2"/>
  <c r="I2156" i="2" s="1"/>
  <c r="C2156" i="2"/>
  <c r="H2155" i="2"/>
  <c r="I2155" i="2" s="1"/>
  <c r="C2155" i="2"/>
  <c r="H2154" i="2"/>
  <c r="I2154" i="2" s="1"/>
  <c r="C2154" i="2"/>
  <c r="I2153" i="2"/>
  <c r="H2153" i="2"/>
  <c r="C2153" i="2"/>
  <c r="I2152" i="2"/>
  <c r="H2152" i="2"/>
  <c r="C2152" i="2"/>
  <c r="H2151" i="2"/>
  <c r="I2151" i="2" s="1"/>
  <c r="C2151" i="2"/>
  <c r="H2150" i="2"/>
  <c r="I2150" i="2" s="1"/>
  <c r="C2150" i="2"/>
  <c r="H2149" i="2"/>
  <c r="I2149" i="2" s="1"/>
  <c r="C2149" i="2"/>
  <c r="H2148" i="2"/>
  <c r="I2148" i="2" s="1"/>
  <c r="C2148" i="2"/>
  <c r="H2147" i="2"/>
  <c r="I2147" i="2" s="1"/>
  <c r="C2147" i="2"/>
  <c r="H2146" i="2"/>
  <c r="I2146" i="2" s="1"/>
  <c r="C2146" i="2"/>
  <c r="H2145" i="2"/>
  <c r="I2145" i="2" s="1"/>
  <c r="C2145" i="2"/>
  <c r="H2144" i="2"/>
  <c r="I2144" i="2" s="1"/>
  <c r="C2144" i="2"/>
  <c r="H2143" i="2"/>
  <c r="I2143" i="2" s="1"/>
  <c r="C2143" i="2"/>
  <c r="H2142" i="2"/>
  <c r="I2142" i="2" s="1"/>
  <c r="C2142" i="2"/>
  <c r="H2141" i="2"/>
  <c r="I2141" i="2" s="1"/>
  <c r="C2141" i="2"/>
  <c r="I2140" i="2"/>
  <c r="H2140" i="2"/>
  <c r="C2140" i="2"/>
  <c r="H2139" i="2"/>
  <c r="I2139" i="2" s="1"/>
  <c r="C2139" i="2"/>
  <c r="H2138" i="2"/>
  <c r="I2138" i="2" s="1"/>
  <c r="C2138" i="2"/>
  <c r="H2137" i="2"/>
  <c r="I2137" i="2" s="1"/>
  <c r="C2137" i="2"/>
  <c r="H2136" i="2"/>
  <c r="I2136" i="2" s="1"/>
  <c r="C2136" i="2"/>
  <c r="H2135" i="2"/>
  <c r="I2135" i="2" s="1"/>
  <c r="C2135" i="2"/>
  <c r="H2134" i="2"/>
  <c r="I2134" i="2" s="1"/>
  <c r="C2134" i="2"/>
  <c r="H2133" i="2"/>
  <c r="I2133" i="2" s="1"/>
  <c r="C2133" i="2"/>
  <c r="H2132" i="2"/>
  <c r="I2132" i="2" s="1"/>
  <c r="C2132" i="2"/>
  <c r="I2131" i="2"/>
  <c r="H2131" i="2"/>
  <c r="C2131" i="2"/>
  <c r="H2130" i="2"/>
  <c r="I2130" i="2" s="1"/>
  <c r="C2130" i="2"/>
  <c r="H2129" i="2"/>
  <c r="I2129" i="2" s="1"/>
  <c r="C2129" i="2"/>
  <c r="H2128" i="2"/>
  <c r="I2128" i="2" s="1"/>
  <c r="C2128" i="2"/>
  <c r="H2127" i="2"/>
  <c r="I2127" i="2" s="1"/>
  <c r="C2127" i="2"/>
  <c r="I2126" i="2"/>
  <c r="H2126" i="2"/>
  <c r="C2126" i="2"/>
  <c r="H2125" i="2"/>
  <c r="I2125" i="2" s="1"/>
  <c r="C2125" i="2"/>
  <c r="H2124" i="2"/>
  <c r="I2124" i="2" s="1"/>
  <c r="C2124" i="2"/>
  <c r="H2123" i="2"/>
  <c r="I2123" i="2" s="1"/>
  <c r="C2123" i="2"/>
  <c r="H2122" i="2"/>
  <c r="I2122" i="2" s="1"/>
  <c r="C2122" i="2"/>
  <c r="H2121" i="2"/>
  <c r="I2121" i="2" s="1"/>
  <c r="C2121" i="2"/>
  <c r="H2120" i="2"/>
  <c r="I2120" i="2" s="1"/>
  <c r="C2120" i="2"/>
  <c r="H2119" i="2"/>
  <c r="I2119" i="2" s="1"/>
  <c r="C2119" i="2"/>
  <c r="H2118" i="2"/>
  <c r="I2118" i="2" s="1"/>
  <c r="C2118" i="2"/>
  <c r="H2117" i="2"/>
  <c r="I2117" i="2" s="1"/>
  <c r="C2117" i="2"/>
  <c r="H2116" i="2"/>
  <c r="I2116" i="2" s="1"/>
  <c r="C2116" i="2"/>
  <c r="H2115" i="2"/>
  <c r="I2115" i="2" s="1"/>
  <c r="C2115" i="2"/>
  <c r="H2114" i="2"/>
  <c r="I2114" i="2" s="1"/>
  <c r="C2114" i="2"/>
  <c r="I2113" i="2"/>
  <c r="H2113" i="2"/>
  <c r="C2113" i="2"/>
  <c r="H2112" i="2"/>
  <c r="I2112" i="2" s="1"/>
  <c r="C2112" i="2"/>
  <c r="H2111" i="2"/>
  <c r="I2111" i="2" s="1"/>
  <c r="C2111" i="2"/>
  <c r="H2110" i="2"/>
  <c r="I2110" i="2" s="1"/>
  <c r="C2110" i="2"/>
  <c r="H2109" i="2"/>
  <c r="I2109" i="2" s="1"/>
  <c r="C2109" i="2"/>
  <c r="H2108" i="2"/>
  <c r="I2108" i="2" s="1"/>
  <c r="C2108" i="2"/>
  <c r="H2107" i="2"/>
  <c r="I2107" i="2" s="1"/>
  <c r="C2107" i="2"/>
  <c r="H2106" i="2"/>
  <c r="I2106" i="2" s="1"/>
  <c r="C2106" i="2"/>
  <c r="H2105" i="2"/>
  <c r="I2105" i="2" s="1"/>
  <c r="C2105" i="2"/>
  <c r="I2104" i="2"/>
  <c r="H2104" i="2"/>
  <c r="C2104" i="2"/>
  <c r="I2103" i="2"/>
  <c r="H2103" i="2"/>
  <c r="C2103" i="2"/>
  <c r="H2102" i="2"/>
  <c r="I2102" i="2" s="1"/>
  <c r="C2102" i="2"/>
  <c r="H2101" i="2"/>
  <c r="I2101" i="2" s="1"/>
  <c r="C2101" i="2"/>
  <c r="H2100" i="2"/>
  <c r="I2100" i="2" s="1"/>
  <c r="C2100" i="2"/>
  <c r="H2099" i="2"/>
  <c r="I2099" i="2" s="1"/>
  <c r="C2099" i="2"/>
  <c r="H2098" i="2"/>
  <c r="I2098" i="2" s="1"/>
  <c r="C2098" i="2"/>
  <c r="H2097" i="2"/>
  <c r="I2097" i="2" s="1"/>
  <c r="C2097" i="2"/>
  <c r="H2096" i="2"/>
  <c r="I2096" i="2" s="1"/>
  <c r="C2096" i="2"/>
  <c r="H2095" i="2"/>
  <c r="I2095" i="2" s="1"/>
  <c r="C2095" i="2"/>
  <c r="H2094" i="2"/>
  <c r="I2094" i="2" s="1"/>
  <c r="C2094" i="2"/>
  <c r="H2093" i="2"/>
  <c r="I2093" i="2" s="1"/>
  <c r="C2093" i="2"/>
  <c r="H2092" i="2"/>
  <c r="I2092" i="2" s="1"/>
  <c r="C2092" i="2"/>
  <c r="H2091" i="2"/>
  <c r="I2091" i="2" s="1"/>
  <c r="C2091" i="2"/>
  <c r="I2090" i="2"/>
  <c r="H2090" i="2"/>
  <c r="C2090" i="2"/>
  <c r="H2089" i="2"/>
  <c r="I2089" i="2" s="1"/>
  <c r="C2089" i="2"/>
  <c r="H2088" i="2"/>
  <c r="I2088" i="2" s="1"/>
  <c r="C2088" i="2"/>
  <c r="I2087" i="2"/>
  <c r="H2087" i="2"/>
  <c r="C2087" i="2"/>
  <c r="H2086" i="2"/>
  <c r="I2086" i="2" s="1"/>
  <c r="C2086" i="2"/>
  <c r="H2085" i="2"/>
  <c r="I2085" i="2" s="1"/>
  <c r="C2085" i="2"/>
  <c r="H2084" i="2"/>
  <c r="I2084" i="2" s="1"/>
  <c r="C2084" i="2"/>
  <c r="H2083" i="2"/>
  <c r="I2083" i="2" s="1"/>
  <c r="C2083" i="2"/>
  <c r="I2082" i="2"/>
  <c r="H2082" i="2"/>
  <c r="C2082" i="2"/>
  <c r="H2081" i="2"/>
  <c r="I2081" i="2" s="1"/>
  <c r="C2081" i="2"/>
  <c r="I2080" i="2"/>
  <c r="H2080" i="2"/>
  <c r="C2080" i="2"/>
  <c r="H2079" i="2"/>
  <c r="I2079" i="2" s="1"/>
  <c r="C2079" i="2"/>
  <c r="H2078" i="2"/>
  <c r="I2078" i="2" s="1"/>
  <c r="C2078" i="2"/>
  <c r="I2077" i="2"/>
  <c r="H2077" i="2"/>
  <c r="C2077" i="2"/>
  <c r="H2076" i="2"/>
  <c r="I2076" i="2" s="1"/>
  <c r="C2076" i="2"/>
  <c r="H2075" i="2"/>
  <c r="I2075" i="2" s="1"/>
  <c r="C2075" i="2"/>
  <c r="H2074" i="2"/>
  <c r="I2074" i="2" s="1"/>
  <c r="C2074" i="2"/>
  <c r="H2073" i="2"/>
  <c r="I2073" i="2" s="1"/>
  <c r="C2073" i="2"/>
  <c r="H2072" i="2"/>
  <c r="I2072" i="2" s="1"/>
  <c r="C2072" i="2"/>
  <c r="H2071" i="2"/>
  <c r="I2071" i="2" s="1"/>
  <c r="C2071" i="2"/>
  <c r="H2070" i="2"/>
  <c r="I2070" i="2" s="1"/>
  <c r="C2070" i="2"/>
  <c r="H2069" i="2"/>
  <c r="I2069" i="2" s="1"/>
  <c r="C2069" i="2"/>
  <c r="H2068" i="2"/>
  <c r="I2068" i="2" s="1"/>
  <c r="C2068" i="2"/>
  <c r="H2067" i="2"/>
  <c r="I2067" i="2" s="1"/>
  <c r="C2067" i="2"/>
  <c r="H2066" i="2"/>
  <c r="I2066" i="2" s="1"/>
  <c r="C2066" i="2"/>
  <c r="H2065" i="2"/>
  <c r="I2065" i="2" s="1"/>
  <c r="C2065" i="2"/>
  <c r="I2064" i="2"/>
  <c r="H2064" i="2"/>
  <c r="C2064" i="2"/>
  <c r="H2063" i="2"/>
  <c r="I2063" i="2" s="1"/>
  <c r="C2063" i="2"/>
  <c r="H2062" i="2"/>
  <c r="I2062" i="2" s="1"/>
  <c r="C2062" i="2"/>
  <c r="I2061" i="2"/>
  <c r="H2061" i="2"/>
  <c r="C2061" i="2"/>
  <c r="H2060" i="2"/>
  <c r="I2060" i="2" s="1"/>
  <c r="C2060" i="2"/>
  <c r="I2059" i="2"/>
  <c r="H2059" i="2"/>
  <c r="C2059" i="2"/>
  <c r="H2058" i="2"/>
  <c r="I2058" i="2" s="1"/>
  <c r="C2058" i="2"/>
  <c r="I2057" i="2"/>
  <c r="H2057" i="2"/>
  <c r="C2057" i="2"/>
  <c r="H2056" i="2"/>
  <c r="I2056" i="2" s="1"/>
  <c r="C2056" i="2"/>
  <c r="H2055" i="2"/>
  <c r="I2055" i="2" s="1"/>
  <c r="C2055" i="2"/>
  <c r="I2054" i="2"/>
  <c r="H2054" i="2"/>
  <c r="C2054" i="2"/>
  <c r="I2053" i="2"/>
  <c r="H2053" i="2"/>
  <c r="C2053" i="2"/>
  <c r="H2052" i="2"/>
  <c r="I2052" i="2" s="1"/>
  <c r="C2052" i="2"/>
  <c r="H2051" i="2"/>
  <c r="I2051" i="2" s="1"/>
  <c r="C2051" i="2"/>
  <c r="H2050" i="2"/>
  <c r="I2050" i="2" s="1"/>
  <c r="C2050" i="2"/>
  <c r="H2049" i="2"/>
  <c r="I2049" i="2" s="1"/>
  <c r="C2049" i="2"/>
  <c r="H2048" i="2"/>
  <c r="I2048" i="2" s="1"/>
  <c r="C2048" i="2"/>
  <c r="H2047" i="2"/>
  <c r="I2047" i="2" s="1"/>
  <c r="C2047" i="2"/>
  <c r="H2046" i="2"/>
  <c r="I2046" i="2" s="1"/>
  <c r="C2046" i="2"/>
  <c r="H2045" i="2"/>
  <c r="I2045" i="2" s="1"/>
  <c r="C2045" i="2"/>
  <c r="H2044" i="2"/>
  <c r="I2044" i="2" s="1"/>
  <c r="C2044" i="2"/>
  <c r="H2043" i="2"/>
  <c r="I2043" i="2" s="1"/>
  <c r="C2043" i="2"/>
  <c r="H2042" i="2"/>
  <c r="I2042" i="2" s="1"/>
  <c r="C2042" i="2"/>
  <c r="H2041" i="2"/>
  <c r="I2041" i="2" s="1"/>
  <c r="C2041" i="2"/>
  <c r="I2040" i="2"/>
  <c r="H2040" i="2"/>
  <c r="C2040" i="2"/>
  <c r="H2039" i="2"/>
  <c r="I2039" i="2" s="1"/>
  <c r="C2039" i="2"/>
  <c r="H2038" i="2"/>
  <c r="I2038" i="2" s="1"/>
  <c r="C2038" i="2"/>
  <c r="H2037" i="2"/>
  <c r="I2037" i="2" s="1"/>
  <c r="C2037" i="2"/>
  <c r="H2036" i="2"/>
  <c r="I2036" i="2" s="1"/>
  <c r="C2036" i="2"/>
  <c r="H2035" i="2"/>
  <c r="I2035" i="2" s="1"/>
  <c r="C2035" i="2"/>
  <c r="H2034" i="2"/>
  <c r="I2034" i="2" s="1"/>
  <c r="C2034" i="2"/>
  <c r="H2033" i="2"/>
  <c r="I2033" i="2" s="1"/>
  <c r="C2033" i="2"/>
  <c r="H2032" i="2"/>
  <c r="I2032" i="2" s="1"/>
  <c r="C2032" i="2"/>
  <c r="H2031" i="2"/>
  <c r="I2031" i="2" s="1"/>
  <c r="C2031" i="2"/>
  <c r="H2030" i="2"/>
  <c r="I2030" i="2" s="1"/>
  <c r="C2030" i="2"/>
  <c r="H2029" i="2"/>
  <c r="I2029" i="2" s="1"/>
  <c r="C2029" i="2"/>
  <c r="H2028" i="2"/>
  <c r="I2028" i="2" s="1"/>
  <c r="C2028" i="2"/>
  <c r="H2027" i="2"/>
  <c r="I2027" i="2" s="1"/>
  <c r="C2027" i="2"/>
  <c r="I2026" i="2"/>
  <c r="H2026" i="2"/>
  <c r="C2026" i="2"/>
  <c r="H2025" i="2"/>
  <c r="I2025" i="2" s="1"/>
  <c r="C2025" i="2"/>
  <c r="H2024" i="2"/>
  <c r="I2024" i="2" s="1"/>
  <c r="C2024" i="2"/>
  <c r="H2023" i="2"/>
  <c r="I2023" i="2" s="1"/>
  <c r="C2023" i="2"/>
  <c r="H2022" i="2"/>
  <c r="I2022" i="2" s="1"/>
  <c r="C2022" i="2"/>
  <c r="I2021" i="2"/>
  <c r="H2021" i="2"/>
  <c r="C2021" i="2"/>
  <c r="H2020" i="2"/>
  <c r="I2020" i="2" s="1"/>
  <c r="C2020" i="2"/>
  <c r="I2019" i="2"/>
  <c r="H2019" i="2"/>
  <c r="C2019" i="2"/>
  <c r="I2018" i="2"/>
  <c r="H2018" i="2"/>
  <c r="C2018" i="2"/>
  <c r="H2017" i="2"/>
  <c r="I2017" i="2" s="1"/>
  <c r="C2017" i="2"/>
  <c r="H2016" i="2"/>
  <c r="I2016" i="2" s="1"/>
  <c r="C2016" i="2"/>
  <c r="H2015" i="2"/>
  <c r="I2015" i="2" s="1"/>
  <c r="C2015" i="2"/>
  <c r="H2014" i="2"/>
  <c r="I2014" i="2" s="1"/>
  <c r="C2014" i="2"/>
  <c r="I2013" i="2"/>
  <c r="H2013" i="2"/>
  <c r="C2013" i="2"/>
  <c r="H2012" i="2"/>
  <c r="I2012" i="2" s="1"/>
  <c r="C2012" i="2"/>
  <c r="I2011" i="2"/>
  <c r="H2011" i="2"/>
  <c r="C2011" i="2"/>
  <c r="H2010" i="2"/>
  <c r="I2010" i="2" s="1"/>
  <c r="C2010" i="2"/>
  <c r="I2009" i="2"/>
  <c r="H2009" i="2"/>
  <c r="C2009" i="2"/>
  <c r="H2008" i="2"/>
  <c r="I2008" i="2" s="1"/>
  <c r="C2008" i="2"/>
  <c r="H2007" i="2"/>
  <c r="I2007" i="2" s="1"/>
  <c r="C2007" i="2"/>
  <c r="I2006" i="2"/>
  <c r="H2006" i="2"/>
  <c r="C2006" i="2"/>
  <c r="H2005" i="2"/>
  <c r="I2005" i="2" s="1"/>
  <c r="C2005" i="2"/>
  <c r="H2004" i="2"/>
  <c r="I2004" i="2" s="1"/>
  <c r="C2004" i="2"/>
  <c r="H2003" i="2"/>
  <c r="I2003" i="2" s="1"/>
  <c r="C2003" i="2"/>
  <c r="H2002" i="2"/>
  <c r="I2002" i="2" s="1"/>
  <c r="C2002" i="2"/>
  <c r="H2001" i="2"/>
  <c r="I2001" i="2" s="1"/>
  <c r="C2001" i="2"/>
  <c r="H2000" i="2"/>
  <c r="I2000" i="2" s="1"/>
  <c r="C2000" i="2"/>
  <c r="H1999" i="2"/>
  <c r="I1999" i="2" s="1"/>
  <c r="C1999" i="2"/>
  <c r="I1998" i="2"/>
  <c r="H1998" i="2"/>
  <c r="C1998" i="2"/>
  <c r="H1997" i="2"/>
  <c r="I1997" i="2" s="1"/>
  <c r="C1997" i="2"/>
  <c r="H1996" i="2"/>
  <c r="I1996" i="2" s="1"/>
  <c r="C1996" i="2"/>
  <c r="I1995" i="2"/>
  <c r="H1995" i="2"/>
  <c r="C1995" i="2"/>
  <c r="H1994" i="2"/>
  <c r="I1994" i="2" s="1"/>
  <c r="C1994" i="2"/>
  <c r="H1993" i="2"/>
  <c r="I1993" i="2" s="1"/>
  <c r="C1993" i="2"/>
  <c r="I1992" i="2"/>
  <c r="H1992" i="2"/>
  <c r="C1992" i="2"/>
  <c r="H1991" i="2"/>
  <c r="I1991" i="2" s="1"/>
  <c r="C1991" i="2"/>
  <c r="H1990" i="2"/>
  <c r="I1990" i="2" s="1"/>
  <c r="C1990" i="2"/>
  <c r="H1989" i="2"/>
  <c r="I1989" i="2" s="1"/>
  <c r="C1989" i="2"/>
  <c r="H1988" i="2"/>
  <c r="I1988" i="2" s="1"/>
  <c r="C1988" i="2"/>
  <c r="H1987" i="2"/>
  <c r="I1987" i="2" s="1"/>
  <c r="C1987" i="2"/>
  <c r="I1986" i="2"/>
  <c r="H1986" i="2"/>
  <c r="C1986" i="2"/>
  <c r="H1985" i="2"/>
  <c r="I1985" i="2" s="1"/>
  <c r="C1985" i="2"/>
  <c r="H1984" i="2"/>
  <c r="I1984" i="2" s="1"/>
  <c r="C1984" i="2"/>
  <c r="H1983" i="2"/>
  <c r="I1983" i="2" s="1"/>
  <c r="C1983" i="2"/>
  <c r="H1982" i="2"/>
  <c r="I1982" i="2" s="1"/>
  <c r="C1982" i="2"/>
  <c r="H1981" i="2"/>
  <c r="I1981" i="2" s="1"/>
  <c r="C1981" i="2"/>
  <c r="H1980" i="2"/>
  <c r="I1980" i="2" s="1"/>
  <c r="C1980" i="2"/>
  <c r="H1979" i="2"/>
  <c r="I1979" i="2" s="1"/>
  <c r="C1979" i="2"/>
  <c r="H1978" i="2"/>
  <c r="I1978" i="2" s="1"/>
  <c r="C1978" i="2"/>
  <c r="H1977" i="2"/>
  <c r="I1977" i="2" s="1"/>
  <c r="C1977" i="2"/>
  <c r="H1976" i="2"/>
  <c r="I1976" i="2" s="1"/>
  <c r="C1976" i="2"/>
  <c r="H1975" i="2"/>
  <c r="I1975" i="2" s="1"/>
  <c r="C1975" i="2"/>
  <c r="I1974" i="2"/>
  <c r="H1974" i="2"/>
  <c r="C1974" i="2"/>
  <c r="I1973" i="2"/>
  <c r="H1973" i="2"/>
  <c r="C1973" i="2"/>
  <c r="I1972" i="2"/>
  <c r="H1972" i="2"/>
  <c r="C1972" i="2"/>
  <c r="H1971" i="2"/>
  <c r="I1971" i="2" s="1"/>
  <c r="C1971" i="2"/>
  <c r="I1970" i="2"/>
  <c r="H1970" i="2"/>
  <c r="C1970" i="2"/>
  <c r="H1969" i="2"/>
  <c r="I1969" i="2" s="1"/>
  <c r="C1969" i="2"/>
  <c r="H1968" i="2"/>
  <c r="I1968" i="2" s="1"/>
  <c r="C1968" i="2"/>
  <c r="H1967" i="2"/>
  <c r="I1967" i="2" s="1"/>
  <c r="C1967" i="2"/>
  <c r="H1966" i="2"/>
  <c r="I1966" i="2" s="1"/>
  <c r="C1966" i="2"/>
  <c r="I1965" i="2"/>
  <c r="H1965" i="2"/>
  <c r="C1965" i="2"/>
  <c r="I1964" i="2"/>
  <c r="H1964" i="2"/>
  <c r="C1964" i="2"/>
  <c r="I1963" i="2"/>
  <c r="H1963" i="2"/>
  <c r="C1963" i="2"/>
  <c r="I1962" i="2"/>
  <c r="H1962" i="2"/>
  <c r="C1962" i="2"/>
  <c r="I1961" i="2"/>
  <c r="H1961" i="2"/>
  <c r="C1961" i="2"/>
  <c r="H1960" i="2"/>
  <c r="I1960" i="2" s="1"/>
  <c r="C1960" i="2"/>
  <c r="I1959" i="2"/>
  <c r="H1959" i="2"/>
  <c r="C1959" i="2"/>
  <c r="H1958" i="2"/>
  <c r="I1958" i="2" s="1"/>
  <c r="C1958" i="2"/>
  <c r="H1957" i="2"/>
  <c r="I1957" i="2" s="1"/>
  <c r="C1957" i="2"/>
  <c r="H1956" i="2"/>
  <c r="I1956" i="2" s="1"/>
  <c r="C1956" i="2"/>
  <c r="H1955" i="2"/>
  <c r="I1955" i="2" s="1"/>
  <c r="C1955" i="2"/>
  <c r="H1954" i="2"/>
  <c r="I1954" i="2" s="1"/>
  <c r="C1954" i="2"/>
  <c r="H1953" i="2"/>
  <c r="I1953" i="2" s="1"/>
  <c r="C1953" i="2"/>
  <c r="H1952" i="2"/>
  <c r="I1952" i="2" s="1"/>
  <c r="C1952" i="2"/>
  <c r="I1951" i="2"/>
  <c r="H1951" i="2"/>
  <c r="C1951" i="2"/>
  <c r="H1950" i="2"/>
  <c r="I1950" i="2" s="1"/>
  <c r="C1950" i="2"/>
  <c r="H1949" i="2"/>
  <c r="I1949" i="2" s="1"/>
  <c r="C1949" i="2"/>
  <c r="I1948" i="2"/>
  <c r="H1948" i="2"/>
  <c r="C1948" i="2"/>
  <c r="I1947" i="2"/>
  <c r="H1947" i="2"/>
  <c r="C1947" i="2"/>
  <c r="H1946" i="2"/>
  <c r="I1946" i="2" s="1"/>
  <c r="C1946" i="2"/>
  <c r="I1945" i="2"/>
  <c r="H1945" i="2"/>
  <c r="C1945" i="2"/>
  <c r="H1944" i="2"/>
  <c r="I1944" i="2" s="1"/>
  <c r="C1944" i="2"/>
  <c r="H1943" i="2"/>
  <c r="I1943" i="2" s="1"/>
  <c r="C1943" i="2"/>
  <c r="H1942" i="2"/>
  <c r="I1942" i="2" s="1"/>
  <c r="C1942" i="2"/>
  <c r="I1941" i="2"/>
  <c r="H1941" i="2"/>
  <c r="C1941" i="2"/>
  <c r="H1940" i="2"/>
  <c r="I1940" i="2" s="1"/>
  <c r="C1940" i="2"/>
  <c r="H1939" i="2"/>
  <c r="I1939" i="2" s="1"/>
  <c r="C1939" i="2"/>
  <c r="H1938" i="2"/>
  <c r="I1938" i="2" s="1"/>
  <c r="C1938" i="2"/>
  <c r="I1937" i="2"/>
  <c r="H1937" i="2"/>
  <c r="C1937" i="2"/>
  <c r="I1936" i="2"/>
  <c r="H1936" i="2"/>
  <c r="C1936" i="2"/>
  <c r="H1935" i="2"/>
  <c r="I1935" i="2" s="1"/>
  <c r="C1935" i="2"/>
  <c r="I1934" i="2"/>
  <c r="H1934" i="2"/>
  <c r="C1934" i="2"/>
  <c r="H1933" i="2"/>
  <c r="I1933" i="2" s="1"/>
  <c r="C1933" i="2"/>
  <c r="H1932" i="2"/>
  <c r="I1932" i="2" s="1"/>
  <c r="C1932" i="2"/>
  <c r="I1931" i="2"/>
  <c r="H1931" i="2"/>
  <c r="C1931" i="2"/>
  <c r="H1930" i="2"/>
  <c r="I1930" i="2" s="1"/>
  <c r="C1930" i="2"/>
  <c r="H1929" i="2"/>
  <c r="I1929" i="2" s="1"/>
  <c r="C1929" i="2"/>
  <c r="H1928" i="2"/>
  <c r="I1928" i="2" s="1"/>
  <c r="C1928" i="2"/>
  <c r="H1927" i="2"/>
  <c r="I1927" i="2" s="1"/>
  <c r="C1927" i="2"/>
  <c r="H1926" i="2"/>
  <c r="I1926" i="2" s="1"/>
  <c r="C1926" i="2"/>
  <c r="I1925" i="2"/>
  <c r="H1925" i="2"/>
  <c r="C1925" i="2"/>
  <c r="H1924" i="2"/>
  <c r="I1924" i="2" s="1"/>
  <c r="C1924" i="2"/>
  <c r="I1923" i="2"/>
  <c r="H1923" i="2"/>
  <c r="C1923" i="2"/>
  <c r="H1922" i="2"/>
  <c r="I1922" i="2" s="1"/>
  <c r="C1922" i="2"/>
  <c r="H1921" i="2"/>
  <c r="I1921" i="2" s="1"/>
  <c r="C1921" i="2"/>
  <c r="H1920" i="2"/>
  <c r="I1920" i="2" s="1"/>
  <c r="C1920" i="2"/>
  <c r="H1919" i="2"/>
  <c r="I1919" i="2" s="1"/>
  <c r="C1919" i="2"/>
  <c r="H1918" i="2"/>
  <c r="I1918" i="2" s="1"/>
  <c r="C1918" i="2"/>
  <c r="H1917" i="2"/>
  <c r="I1917" i="2" s="1"/>
  <c r="C1917" i="2"/>
  <c r="I1916" i="2"/>
  <c r="H1916" i="2"/>
  <c r="C1916" i="2"/>
  <c r="H1915" i="2"/>
  <c r="I1915" i="2" s="1"/>
  <c r="C1915" i="2"/>
  <c r="I1914" i="2"/>
  <c r="H1914" i="2"/>
  <c r="C1914" i="2"/>
  <c r="H1913" i="2"/>
  <c r="I1913" i="2" s="1"/>
  <c r="C1913" i="2"/>
  <c r="H1912" i="2"/>
  <c r="I1912" i="2" s="1"/>
  <c r="C1912" i="2"/>
  <c r="H1911" i="2"/>
  <c r="I1911" i="2" s="1"/>
  <c r="C1911" i="2"/>
  <c r="I1910" i="2"/>
  <c r="H1910" i="2"/>
  <c r="C1910" i="2"/>
  <c r="H1909" i="2"/>
  <c r="I1909" i="2" s="1"/>
  <c r="C1909" i="2"/>
  <c r="H1908" i="2"/>
  <c r="I1908" i="2" s="1"/>
  <c r="C1908" i="2"/>
  <c r="H1907" i="2"/>
  <c r="I1907" i="2" s="1"/>
  <c r="C1907" i="2"/>
  <c r="H1906" i="2"/>
  <c r="I1906" i="2" s="1"/>
  <c r="C1906" i="2"/>
  <c r="I1905" i="2"/>
  <c r="H1905" i="2"/>
  <c r="C1905" i="2"/>
  <c r="H1904" i="2"/>
  <c r="I1904" i="2" s="1"/>
  <c r="C1904" i="2"/>
  <c r="H1903" i="2"/>
  <c r="I1903" i="2" s="1"/>
  <c r="C1903" i="2"/>
  <c r="H1902" i="2"/>
  <c r="I1902" i="2" s="1"/>
  <c r="C1902" i="2"/>
  <c r="I1901" i="2"/>
  <c r="H1901" i="2"/>
  <c r="C1901" i="2"/>
  <c r="H1900" i="2"/>
  <c r="I1900" i="2" s="1"/>
  <c r="C1900" i="2"/>
  <c r="H1899" i="2"/>
  <c r="I1899" i="2" s="1"/>
  <c r="C1899" i="2"/>
  <c r="H1898" i="2"/>
  <c r="I1898" i="2" s="1"/>
  <c r="C1898" i="2"/>
  <c r="H1897" i="2"/>
  <c r="I1897" i="2" s="1"/>
  <c r="C1897" i="2"/>
  <c r="H1896" i="2"/>
  <c r="I1896" i="2" s="1"/>
  <c r="C1896" i="2"/>
  <c r="H1895" i="2"/>
  <c r="I1895" i="2" s="1"/>
  <c r="C1895" i="2"/>
  <c r="H1894" i="2"/>
  <c r="I1894" i="2" s="1"/>
  <c r="C1894" i="2"/>
  <c r="H1893" i="2"/>
  <c r="I1893" i="2" s="1"/>
  <c r="C1893" i="2"/>
  <c r="H1892" i="2"/>
  <c r="I1892" i="2" s="1"/>
  <c r="C1892" i="2"/>
  <c r="I1891" i="2"/>
  <c r="H1891" i="2"/>
  <c r="C1891" i="2"/>
  <c r="I1890" i="2"/>
  <c r="H1890" i="2"/>
  <c r="C1890" i="2"/>
  <c r="H1889" i="2"/>
  <c r="I1889" i="2" s="1"/>
  <c r="C1889" i="2"/>
  <c r="I1888" i="2"/>
  <c r="H1888" i="2"/>
  <c r="C1888" i="2"/>
  <c r="H1887" i="2"/>
  <c r="I1887" i="2" s="1"/>
  <c r="C1887" i="2"/>
  <c r="I1886" i="2"/>
  <c r="H1886" i="2"/>
  <c r="C1886" i="2"/>
  <c r="H1885" i="2"/>
  <c r="I1885" i="2" s="1"/>
  <c r="C1885" i="2"/>
  <c r="I1884" i="2"/>
  <c r="H1884" i="2"/>
  <c r="C1884" i="2"/>
  <c r="I1883" i="2"/>
  <c r="H1883" i="2"/>
  <c r="C1883" i="2"/>
  <c r="H1882" i="2"/>
  <c r="I1882" i="2" s="1"/>
  <c r="C1882" i="2"/>
  <c r="H1881" i="2"/>
  <c r="I1881" i="2" s="1"/>
  <c r="C1881" i="2"/>
  <c r="H1880" i="2"/>
  <c r="I1880" i="2" s="1"/>
  <c r="C1880" i="2"/>
  <c r="H1879" i="2"/>
  <c r="I1879" i="2" s="1"/>
  <c r="C1879" i="2"/>
  <c r="H1878" i="2"/>
  <c r="I1878" i="2" s="1"/>
  <c r="C1878" i="2"/>
  <c r="H1877" i="2"/>
  <c r="I1877" i="2" s="1"/>
  <c r="C1877" i="2"/>
  <c r="H1876" i="2"/>
  <c r="I1876" i="2" s="1"/>
  <c r="C1876" i="2"/>
  <c r="H1875" i="2"/>
  <c r="I1875" i="2" s="1"/>
  <c r="C1875" i="2"/>
  <c r="H1874" i="2"/>
  <c r="I1874" i="2" s="1"/>
  <c r="C1874" i="2"/>
  <c r="I1873" i="2"/>
  <c r="H1873" i="2"/>
  <c r="C1873" i="2"/>
  <c r="H1872" i="2"/>
  <c r="I1872" i="2" s="1"/>
  <c r="C1872" i="2"/>
  <c r="I1871" i="2"/>
  <c r="H1871" i="2"/>
  <c r="C1871" i="2"/>
  <c r="H1870" i="2"/>
  <c r="I1870" i="2" s="1"/>
  <c r="C1870" i="2"/>
  <c r="I1869" i="2"/>
  <c r="H1869" i="2"/>
  <c r="C1869" i="2"/>
  <c r="H1868" i="2"/>
  <c r="I1868" i="2" s="1"/>
  <c r="C1868" i="2"/>
  <c r="H1867" i="2"/>
  <c r="I1867" i="2" s="1"/>
  <c r="C1867" i="2"/>
  <c r="H1866" i="2"/>
  <c r="I1866" i="2" s="1"/>
  <c r="C1866" i="2"/>
  <c r="H1865" i="2"/>
  <c r="I1865" i="2" s="1"/>
  <c r="C1865" i="2"/>
  <c r="I1864" i="2"/>
  <c r="H1864" i="2"/>
  <c r="C1864" i="2"/>
  <c r="H1863" i="2"/>
  <c r="I1863" i="2" s="1"/>
  <c r="C1863" i="2"/>
  <c r="I1862" i="2"/>
  <c r="H1862" i="2"/>
  <c r="C1862" i="2"/>
  <c r="H1861" i="2"/>
  <c r="I1861" i="2" s="1"/>
  <c r="C1861" i="2"/>
  <c r="H1860" i="2"/>
  <c r="I1860" i="2" s="1"/>
  <c r="C1860" i="2"/>
  <c r="H1859" i="2"/>
  <c r="I1859" i="2" s="1"/>
  <c r="C1859" i="2"/>
  <c r="H1858" i="2"/>
  <c r="I1858" i="2" s="1"/>
  <c r="C1858" i="2"/>
  <c r="I1857" i="2"/>
  <c r="H1857" i="2"/>
  <c r="C1857" i="2"/>
  <c r="H1856" i="2"/>
  <c r="I1856" i="2" s="1"/>
  <c r="C1856" i="2"/>
  <c r="H1855" i="2"/>
  <c r="I1855" i="2" s="1"/>
  <c r="C1855" i="2"/>
  <c r="H1854" i="2"/>
  <c r="I1854" i="2" s="1"/>
  <c r="C1854" i="2"/>
  <c r="H1853" i="2"/>
  <c r="I1853" i="2" s="1"/>
  <c r="C1853" i="2"/>
  <c r="H1852" i="2"/>
  <c r="I1852" i="2" s="1"/>
  <c r="C1852" i="2"/>
  <c r="H1851" i="2"/>
  <c r="I1851" i="2" s="1"/>
  <c r="C1851" i="2"/>
  <c r="H1850" i="2"/>
  <c r="I1850" i="2" s="1"/>
  <c r="C1850" i="2"/>
  <c r="H1849" i="2"/>
  <c r="I1849" i="2" s="1"/>
  <c r="C1849" i="2"/>
  <c r="I1848" i="2"/>
  <c r="H1848" i="2"/>
  <c r="C1848" i="2"/>
  <c r="H1847" i="2"/>
  <c r="I1847" i="2" s="1"/>
  <c r="C1847" i="2"/>
  <c r="I1846" i="2"/>
  <c r="H1846" i="2"/>
  <c r="C1846" i="2"/>
  <c r="I1845" i="2"/>
  <c r="H1845" i="2"/>
  <c r="C1845" i="2"/>
  <c r="H1844" i="2"/>
  <c r="I1844" i="2" s="1"/>
  <c r="C1844" i="2"/>
  <c r="I1843" i="2"/>
  <c r="H1843" i="2"/>
  <c r="C1843" i="2"/>
  <c r="H1842" i="2"/>
  <c r="I1842" i="2" s="1"/>
  <c r="C1842" i="2"/>
  <c r="H1841" i="2"/>
  <c r="I1841" i="2" s="1"/>
  <c r="C1841" i="2"/>
  <c r="I1840" i="2"/>
  <c r="H1840" i="2"/>
  <c r="C1840" i="2"/>
  <c r="H1839" i="2"/>
  <c r="I1839" i="2" s="1"/>
  <c r="C1839" i="2"/>
  <c r="H1838" i="2"/>
  <c r="I1838" i="2" s="1"/>
  <c r="C1838" i="2"/>
  <c r="H1837" i="2"/>
  <c r="I1837" i="2" s="1"/>
  <c r="C1837" i="2"/>
  <c r="H1836" i="2"/>
  <c r="I1836" i="2" s="1"/>
  <c r="C1836" i="2"/>
  <c r="H1835" i="2"/>
  <c r="I1835" i="2" s="1"/>
  <c r="C1835" i="2"/>
  <c r="H1834" i="2"/>
  <c r="I1834" i="2" s="1"/>
  <c r="C1834" i="2"/>
  <c r="I1833" i="2"/>
  <c r="H1833" i="2"/>
  <c r="C1833" i="2"/>
  <c r="I1832" i="2"/>
  <c r="H1832" i="2"/>
  <c r="C1832" i="2"/>
  <c r="H1831" i="2"/>
  <c r="I1831" i="2" s="1"/>
  <c r="C1831" i="2"/>
  <c r="H1830" i="2"/>
  <c r="I1830" i="2" s="1"/>
  <c r="C1830" i="2"/>
  <c r="H1829" i="2"/>
  <c r="I1829" i="2" s="1"/>
  <c r="C1829" i="2"/>
  <c r="I1828" i="2"/>
  <c r="H1828" i="2"/>
  <c r="C1828" i="2"/>
  <c r="H1827" i="2"/>
  <c r="I1827" i="2" s="1"/>
  <c r="C1827" i="2"/>
  <c r="H1826" i="2"/>
  <c r="I1826" i="2" s="1"/>
  <c r="C1826" i="2"/>
  <c r="H1825" i="2"/>
  <c r="I1825" i="2" s="1"/>
  <c r="C1825" i="2"/>
  <c r="I1824" i="2"/>
  <c r="H1824" i="2"/>
  <c r="C1824" i="2"/>
  <c r="H1823" i="2"/>
  <c r="I1823" i="2" s="1"/>
  <c r="C1823" i="2"/>
  <c r="H1822" i="2"/>
  <c r="I1822" i="2" s="1"/>
  <c r="C1822" i="2"/>
  <c r="I1821" i="2"/>
  <c r="H1821" i="2"/>
  <c r="C1821" i="2"/>
  <c r="H1820" i="2"/>
  <c r="I1820" i="2" s="1"/>
  <c r="C1820" i="2"/>
  <c r="H1819" i="2"/>
  <c r="I1819" i="2" s="1"/>
  <c r="C1819" i="2"/>
  <c r="I1818" i="2"/>
  <c r="H1818" i="2"/>
  <c r="C1818" i="2"/>
  <c r="I1817" i="2"/>
  <c r="H1817" i="2"/>
  <c r="C1817" i="2"/>
  <c r="H1816" i="2"/>
  <c r="I1816" i="2" s="1"/>
  <c r="C1816" i="2"/>
  <c r="H1815" i="2"/>
  <c r="I1815" i="2" s="1"/>
  <c r="C1815" i="2"/>
  <c r="H1814" i="2"/>
  <c r="I1814" i="2" s="1"/>
  <c r="C1814" i="2"/>
  <c r="H1813" i="2"/>
  <c r="I1813" i="2" s="1"/>
  <c r="C1813" i="2"/>
  <c r="I1812" i="2"/>
  <c r="H1812" i="2"/>
  <c r="C1812" i="2"/>
  <c r="H1811" i="2"/>
  <c r="I1811" i="2" s="1"/>
  <c r="C1811" i="2"/>
  <c r="H1810" i="2"/>
  <c r="I1810" i="2" s="1"/>
  <c r="C1810" i="2"/>
  <c r="H1809" i="2"/>
  <c r="I1809" i="2" s="1"/>
  <c r="C1809" i="2"/>
  <c r="I1808" i="2"/>
  <c r="H1808" i="2"/>
  <c r="C1808" i="2"/>
  <c r="H1807" i="2"/>
  <c r="I1807" i="2" s="1"/>
  <c r="C1807" i="2"/>
  <c r="I1806" i="2"/>
  <c r="H1806" i="2"/>
  <c r="C1806" i="2"/>
  <c r="H1805" i="2"/>
  <c r="I1805" i="2" s="1"/>
  <c r="C1805" i="2"/>
  <c r="H1804" i="2"/>
  <c r="I1804" i="2" s="1"/>
  <c r="C1804" i="2"/>
  <c r="H1803" i="2"/>
  <c r="I1803" i="2" s="1"/>
  <c r="C1803" i="2"/>
  <c r="I1802" i="2"/>
  <c r="H1802" i="2"/>
  <c r="C1802" i="2"/>
  <c r="H1801" i="2"/>
  <c r="I1801" i="2" s="1"/>
  <c r="C1801" i="2"/>
  <c r="H1800" i="2"/>
  <c r="I1800" i="2" s="1"/>
  <c r="C1800" i="2"/>
  <c r="H1799" i="2"/>
  <c r="I1799" i="2" s="1"/>
  <c r="C1799" i="2"/>
  <c r="I1798" i="2"/>
  <c r="H1798" i="2"/>
  <c r="C1798" i="2"/>
  <c r="H1797" i="2"/>
  <c r="I1797" i="2" s="1"/>
  <c r="C1797" i="2"/>
  <c r="H1796" i="2"/>
  <c r="I1796" i="2" s="1"/>
  <c r="C1796" i="2"/>
  <c r="H1795" i="2"/>
  <c r="I1795" i="2" s="1"/>
  <c r="C1795" i="2"/>
  <c r="I1794" i="2"/>
  <c r="H1794" i="2"/>
  <c r="C1794" i="2"/>
  <c r="H1793" i="2"/>
  <c r="I1793" i="2" s="1"/>
  <c r="C1793" i="2"/>
  <c r="H1792" i="2"/>
  <c r="I1792" i="2" s="1"/>
  <c r="C1792" i="2"/>
  <c r="H1791" i="2"/>
  <c r="I1791" i="2" s="1"/>
  <c r="C1791" i="2"/>
  <c r="H1790" i="2"/>
  <c r="I1790" i="2" s="1"/>
  <c r="C1790" i="2"/>
  <c r="I1789" i="2"/>
  <c r="H1789" i="2"/>
  <c r="C1789" i="2"/>
  <c r="H1788" i="2"/>
  <c r="I1788" i="2" s="1"/>
  <c r="C1788" i="2"/>
  <c r="H1787" i="2"/>
  <c r="I1787" i="2" s="1"/>
  <c r="C1787" i="2"/>
  <c r="I1786" i="2"/>
  <c r="H1786" i="2"/>
  <c r="C1786" i="2"/>
  <c r="H1785" i="2"/>
  <c r="I1785" i="2" s="1"/>
  <c r="C1785" i="2"/>
  <c r="H1784" i="2"/>
  <c r="I1784" i="2" s="1"/>
  <c r="C1784" i="2"/>
  <c r="H1783" i="2"/>
  <c r="I1783" i="2" s="1"/>
  <c r="C1783" i="2"/>
  <c r="H1782" i="2"/>
  <c r="I1782" i="2" s="1"/>
  <c r="C1782" i="2"/>
  <c r="H1781" i="2"/>
  <c r="I1781" i="2" s="1"/>
  <c r="C1781" i="2"/>
  <c r="H1780" i="2"/>
  <c r="I1780" i="2" s="1"/>
  <c r="C1780" i="2"/>
  <c r="H1779" i="2"/>
  <c r="I1779" i="2" s="1"/>
  <c r="C1779" i="2"/>
  <c r="H1778" i="2"/>
  <c r="I1778" i="2" s="1"/>
  <c r="C1778" i="2"/>
  <c r="I1777" i="2"/>
  <c r="H1777" i="2"/>
  <c r="C1777" i="2"/>
  <c r="H1776" i="2"/>
  <c r="I1776" i="2" s="1"/>
  <c r="C1776" i="2"/>
  <c r="I1775" i="2"/>
  <c r="H1775" i="2"/>
  <c r="C1775" i="2"/>
  <c r="H1774" i="2"/>
  <c r="I1774" i="2" s="1"/>
  <c r="C1774" i="2"/>
  <c r="H1773" i="2"/>
  <c r="I1773" i="2" s="1"/>
  <c r="C1773" i="2"/>
  <c r="H1772" i="2"/>
  <c r="I1772" i="2" s="1"/>
  <c r="C1772" i="2"/>
  <c r="I1771" i="2"/>
  <c r="H1771" i="2"/>
  <c r="C1771" i="2"/>
  <c r="I1770" i="2"/>
  <c r="H1770" i="2"/>
  <c r="C1770" i="2"/>
  <c r="I1769" i="2"/>
  <c r="H1769" i="2"/>
  <c r="C1769" i="2"/>
  <c r="H1768" i="2"/>
  <c r="I1768" i="2" s="1"/>
  <c r="C1768" i="2"/>
  <c r="I1767" i="2"/>
  <c r="H1767" i="2"/>
  <c r="C1767" i="2"/>
  <c r="I1766" i="2"/>
  <c r="H1766" i="2"/>
  <c r="C1766" i="2"/>
  <c r="H1765" i="2"/>
  <c r="I1765" i="2" s="1"/>
  <c r="C1765" i="2"/>
  <c r="H1764" i="2"/>
  <c r="I1764" i="2" s="1"/>
  <c r="C1764" i="2"/>
  <c r="H1763" i="2"/>
  <c r="I1763" i="2" s="1"/>
  <c r="C1763" i="2"/>
  <c r="I1762" i="2"/>
  <c r="H1762" i="2"/>
  <c r="C1762" i="2"/>
  <c r="H1761" i="2"/>
  <c r="I1761" i="2" s="1"/>
  <c r="C1761" i="2"/>
  <c r="H1760" i="2"/>
  <c r="I1760" i="2" s="1"/>
  <c r="C1760" i="2"/>
  <c r="H1759" i="2"/>
  <c r="I1759" i="2" s="1"/>
  <c r="C1759" i="2"/>
  <c r="H1758" i="2"/>
  <c r="I1758" i="2" s="1"/>
  <c r="C1758" i="2"/>
  <c r="I1757" i="2"/>
  <c r="H1757" i="2"/>
  <c r="C1757" i="2"/>
  <c r="H1756" i="2"/>
  <c r="I1756" i="2" s="1"/>
  <c r="C1756" i="2"/>
  <c r="H1755" i="2"/>
  <c r="I1755" i="2" s="1"/>
  <c r="C1755" i="2"/>
  <c r="H1754" i="2"/>
  <c r="I1754" i="2" s="1"/>
  <c r="C1754" i="2"/>
  <c r="H1753" i="2"/>
  <c r="I1753" i="2" s="1"/>
  <c r="C1753" i="2"/>
  <c r="I1752" i="2"/>
  <c r="H1752" i="2"/>
  <c r="C1752" i="2"/>
  <c r="H1751" i="2"/>
  <c r="I1751" i="2" s="1"/>
  <c r="C1751" i="2"/>
  <c r="H1750" i="2"/>
  <c r="I1750" i="2" s="1"/>
  <c r="C1750" i="2"/>
  <c r="H1749" i="2"/>
  <c r="I1749" i="2" s="1"/>
  <c r="C1749" i="2"/>
  <c r="H1748" i="2"/>
  <c r="I1748" i="2" s="1"/>
  <c r="C1748" i="2"/>
  <c r="I1747" i="2"/>
  <c r="H1747" i="2"/>
  <c r="C1747" i="2"/>
  <c r="H1746" i="2"/>
  <c r="I1746" i="2" s="1"/>
  <c r="C1746" i="2"/>
  <c r="H1745" i="2"/>
  <c r="I1745" i="2" s="1"/>
  <c r="C1745" i="2"/>
  <c r="H1744" i="2"/>
  <c r="I1744" i="2" s="1"/>
  <c r="C1744" i="2"/>
  <c r="H1743" i="2"/>
  <c r="I1743" i="2" s="1"/>
  <c r="C1743" i="2"/>
  <c r="H1742" i="2"/>
  <c r="I1742" i="2" s="1"/>
  <c r="C1742" i="2"/>
  <c r="H1741" i="2"/>
  <c r="I1741" i="2" s="1"/>
  <c r="C1741" i="2"/>
  <c r="I1740" i="2"/>
  <c r="H1740" i="2"/>
  <c r="C1740" i="2"/>
  <c r="H1739" i="2"/>
  <c r="I1739" i="2" s="1"/>
  <c r="C1739" i="2"/>
  <c r="H1738" i="2"/>
  <c r="I1738" i="2" s="1"/>
  <c r="C1738" i="2"/>
  <c r="H1737" i="2"/>
  <c r="I1737" i="2" s="1"/>
  <c r="C1737" i="2"/>
  <c r="H1736" i="2"/>
  <c r="I1736" i="2" s="1"/>
  <c r="C1736" i="2"/>
  <c r="H1735" i="2"/>
  <c r="I1735" i="2" s="1"/>
  <c r="C1735" i="2"/>
  <c r="I1734" i="2"/>
  <c r="H1734" i="2"/>
  <c r="C1734" i="2"/>
  <c r="H1733" i="2"/>
  <c r="I1733" i="2" s="1"/>
  <c r="C1733" i="2"/>
  <c r="H1732" i="2"/>
  <c r="I1732" i="2" s="1"/>
  <c r="C1732" i="2"/>
  <c r="H1731" i="2"/>
  <c r="I1731" i="2" s="1"/>
  <c r="C1731" i="2"/>
  <c r="H1730" i="2"/>
  <c r="I1730" i="2" s="1"/>
  <c r="C1730" i="2"/>
  <c r="I1729" i="2"/>
  <c r="H1729" i="2"/>
  <c r="C1729" i="2"/>
  <c r="I1728" i="2"/>
  <c r="H1728" i="2"/>
  <c r="C1728" i="2"/>
  <c r="H1727" i="2"/>
  <c r="I1727" i="2" s="1"/>
  <c r="C1727" i="2"/>
  <c r="H1726" i="2"/>
  <c r="I1726" i="2" s="1"/>
  <c r="C1726" i="2"/>
  <c r="I1725" i="2"/>
  <c r="H1725" i="2"/>
  <c r="C1725" i="2"/>
  <c r="H1724" i="2"/>
  <c r="I1724" i="2" s="1"/>
  <c r="C1724" i="2"/>
  <c r="I1723" i="2"/>
  <c r="H1723" i="2"/>
  <c r="C1723" i="2"/>
  <c r="H1722" i="2"/>
  <c r="I1722" i="2" s="1"/>
  <c r="C1722" i="2"/>
  <c r="H1721" i="2"/>
  <c r="I1721" i="2" s="1"/>
  <c r="C1721" i="2"/>
  <c r="H1720" i="2"/>
  <c r="I1720" i="2" s="1"/>
  <c r="C1720" i="2"/>
  <c r="H1719" i="2"/>
  <c r="I1719" i="2" s="1"/>
  <c r="C1719" i="2"/>
  <c r="I1718" i="2"/>
  <c r="H1718" i="2"/>
  <c r="C1718" i="2"/>
  <c r="H1717" i="2"/>
  <c r="I1717" i="2" s="1"/>
  <c r="C1717" i="2"/>
  <c r="H1716" i="2"/>
  <c r="I1716" i="2" s="1"/>
  <c r="C1716" i="2"/>
  <c r="H1715" i="2"/>
  <c r="I1715" i="2" s="1"/>
  <c r="C1715" i="2"/>
  <c r="H1714" i="2"/>
  <c r="I1714" i="2" s="1"/>
  <c r="C1714" i="2"/>
  <c r="H1713" i="2"/>
  <c r="I1713" i="2" s="1"/>
  <c r="C1713" i="2"/>
  <c r="I1712" i="2"/>
  <c r="H1712" i="2"/>
  <c r="C1712" i="2"/>
  <c r="H1711" i="2"/>
  <c r="I1711" i="2" s="1"/>
  <c r="C1711" i="2"/>
  <c r="H1710" i="2"/>
  <c r="I1710" i="2" s="1"/>
  <c r="C1710" i="2"/>
  <c r="I1709" i="2"/>
  <c r="H1709" i="2"/>
  <c r="C1709" i="2"/>
  <c r="H1708" i="2"/>
  <c r="I1708" i="2" s="1"/>
  <c r="C1708" i="2"/>
  <c r="H1707" i="2"/>
  <c r="I1707" i="2" s="1"/>
  <c r="C1707" i="2"/>
  <c r="H1706" i="2"/>
  <c r="I1706" i="2" s="1"/>
  <c r="C1706" i="2"/>
  <c r="H1705" i="2"/>
  <c r="I1705" i="2" s="1"/>
  <c r="C1705" i="2"/>
  <c r="H1704" i="2"/>
  <c r="I1704" i="2" s="1"/>
  <c r="C1704" i="2"/>
  <c r="H1703" i="2"/>
  <c r="I1703" i="2" s="1"/>
  <c r="C1703" i="2"/>
  <c r="H1702" i="2"/>
  <c r="I1702" i="2" s="1"/>
  <c r="C1702" i="2"/>
  <c r="H1701" i="2"/>
  <c r="I1701" i="2" s="1"/>
  <c r="C1701" i="2"/>
  <c r="I1700" i="2"/>
  <c r="H1700" i="2"/>
  <c r="C1700" i="2"/>
  <c r="I1699" i="2"/>
  <c r="H1699" i="2"/>
  <c r="C1699" i="2"/>
  <c r="H1698" i="2"/>
  <c r="I1698" i="2" s="1"/>
  <c r="C1698" i="2"/>
  <c r="H1697" i="2"/>
  <c r="I1697" i="2" s="1"/>
  <c r="C1697" i="2"/>
  <c r="H1696" i="2"/>
  <c r="I1696" i="2" s="1"/>
  <c r="C1696" i="2"/>
  <c r="H1695" i="2"/>
  <c r="I1695" i="2" s="1"/>
  <c r="C1695" i="2"/>
  <c r="H1694" i="2"/>
  <c r="I1694" i="2" s="1"/>
  <c r="C1694" i="2"/>
  <c r="H1693" i="2"/>
  <c r="I1693" i="2" s="1"/>
  <c r="C1693" i="2"/>
  <c r="H1692" i="2"/>
  <c r="I1692" i="2" s="1"/>
  <c r="C1692" i="2"/>
  <c r="H1691" i="2"/>
  <c r="I1691" i="2" s="1"/>
  <c r="C1691" i="2"/>
  <c r="H1690" i="2"/>
  <c r="I1690" i="2" s="1"/>
  <c r="C1690" i="2"/>
  <c r="H1689" i="2"/>
  <c r="I1689" i="2" s="1"/>
  <c r="C1689" i="2"/>
  <c r="H1688" i="2"/>
  <c r="I1688" i="2" s="1"/>
  <c r="C1688" i="2"/>
  <c r="H1687" i="2"/>
  <c r="I1687" i="2" s="1"/>
  <c r="C1687" i="2"/>
  <c r="H1686" i="2"/>
  <c r="I1686" i="2" s="1"/>
  <c r="C1686" i="2"/>
  <c r="I1685" i="2"/>
  <c r="H1685" i="2"/>
  <c r="C1685" i="2"/>
  <c r="H1684" i="2"/>
  <c r="I1684" i="2" s="1"/>
  <c r="C1684" i="2"/>
  <c r="H1683" i="2"/>
  <c r="I1683" i="2" s="1"/>
  <c r="C1683" i="2"/>
  <c r="H1682" i="2"/>
  <c r="I1682" i="2" s="1"/>
  <c r="C1682" i="2"/>
  <c r="H1681" i="2"/>
  <c r="I1681" i="2" s="1"/>
  <c r="C1681" i="2"/>
  <c r="H1680" i="2"/>
  <c r="I1680" i="2" s="1"/>
  <c r="C1680" i="2"/>
  <c r="H1679" i="2"/>
  <c r="I1679" i="2" s="1"/>
  <c r="C1679" i="2"/>
  <c r="I1678" i="2"/>
  <c r="H1678" i="2"/>
  <c r="C1678" i="2"/>
  <c r="H1677" i="2"/>
  <c r="I1677" i="2" s="1"/>
  <c r="C1677" i="2"/>
  <c r="H1676" i="2"/>
  <c r="I1676" i="2" s="1"/>
  <c r="C1676" i="2"/>
  <c r="H1675" i="2"/>
  <c r="I1675" i="2" s="1"/>
  <c r="C1675" i="2"/>
  <c r="H1674" i="2"/>
  <c r="I1674" i="2" s="1"/>
  <c r="C1674" i="2"/>
  <c r="H1673" i="2"/>
  <c r="I1673" i="2" s="1"/>
  <c r="C1673" i="2"/>
  <c r="H1672" i="2"/>
  <c r="I1672" i="2" s="1"/>
  <c r="C1672" i="2"/>
  <c r="H1671" i="2"/>
  <c r="I1671" i="2" s="1"/>
  <c r="C1671" i="2"/>
  <c r="H1670" i="2"/>
  <c r="I1670" i="2" s="1"/>
  <c r="C1670" i="2"/>
  <c r="I1669" i="2"/>
  <c r="H1669" i="2"/>
  <c r="C1669" i="2"/>
  <c r="I1668" i="2"/>
  <c r="H1668" i="2"/>
  <c r="C1668" i="2"/>
  <c r="I1667" i="2"/>
  <c r="H1667" i="2"/>
  <c r="C1667" i="2"/>
  <c r="H1666" i="2"/>
  <c r="I1666" i="2" s="1"/>
  <c r="C1666" i="2"/>
  <c r="I1665" i="2"/>
  <c r="H1665" i="2"/>
  <c r="C1665" i="2"/>
  <c r="H1664" i="2"/>
  <c r="I1664" i="2" s="1"/>
  <c r="C1664" i="2"/>
  <c r="I1663" i="2"/>
  <c r="H1663" i="2"/>
  <c r="C1663" i="2"/>
  <c r="I1662" i="2"/>
  <c r="H1662" i="2"/>
  <c r="C1662" i="2"/>
  <c r="H1661" i="2"/>
  <c r="I1661" i="2" s="1"/>
  <c r="C1661" i="2"/>
  <c r="I1660" i="2"/>
  <c r="H1660" i="2"/>
  <c r="C1660" i="2"/>
  <c r="H1659" i="2"/>
  <c r="I1659" i="2" s="1"/>
  <c r="C1659" i="2"/>
  <c r="H1658" i="2"/>
  <c r="I1658" i="2" s="1"/>
  <c r="C1658" i="2"/>
  <c r="I1657" i="2"/>
  <c r="H1657" i="2"/>
  <c r="C1657" i="2"/>
  <c r="I1656" i="2"/>
  <c r="H1656" i="2"/>
  <c r="C1656" i="2"/>
  <c r="H1655" i="2"/>
  <c r="I1655" i="2" s="1"/>
  <c r="C1655" i="2"/>
  <c r="I1654" i="2"/>
  <c r="H1654" i="2"/>
  <c r="C1654" i="2"/>
  <c r="H1653" i="2"/>
  <c r="I1653" i="2" s="1"/>
  <c r="C1653" i="2"/>
  <c r="H1652" i="2"/>
  <c r="I1652" i="2" s="1"/>
  <c r="C1652" i="2"/>
  <c r="I1651" i="2"/>
  <c r="H1651" i="2"/>
  <c r="C1651" i="2"/>
  <c r="H1650" i="2"/>
  <c r="I1650" i="2" s="1"/>
  <c r="C1650" i="2"/>
  <c r="H1649" i="2"/>
  <c r="I1649" i="2" s="1"/>
  <c r="C1649" i="2"/>
  <c r="H1648" i="2"/>
  <c r="I1648" i="2" s="1"/>
  <c r="C1648" i="2"/>
  <c r="H1647" i="2"/>
  <c r="I1647" i="2" s="1"/>
  <c r="C1647" i="2"/>
  <c r="H1646" i="2"/>
  <c r="I1646" i="2" s="1"/>
  <c r="C1646" i="2"/>
  <c r="H1645" i="2"/>
  <c r="I1645" i="2" s="1"/>
  <c r="C1645" i="2"/>
  <c r="H1644" i="2"/>
  <c r="I1644" i="2" s="1"/>
  <c r="C1644" i="2"/>
  <c r="H1643" i="2"/>
  <c r="I1643" i="2" s="1"/>
  <c r="C1643" i="2"/>
  <c r="H1642" i="2"/>
  <c r="I1642" i="2" s="1"/>
  <c r="C1642" i="2"/>
  <c r="H1641" i="2"/>
  <c r="I1641" i="2" s="1"/>
  <c r="C1641" i="2"/>
  <c r="H1640" i="2"/>
  <c r="I1640" i="2" s="1"/>
  <c r="C1640" i="2"/>
  <c r="H1639" i="2"/>
  <c r="I1639" i="2" s="1"/>
  <c r="C1639" i="2"/>
  <c r="H1638" i="2"/>
  <c r="I1638" i="2" s="1"/>
  <c r="C1638" i="2"/>
  <c r="H1637" i="2"/>
  <c r="I1637" i="2" s="1"/>
  <c r="C1637" i="2"/>
  <c r="H1636" i="2"/>
  <c r="I1636" i="2" s="1"/>
  <c r="C1636" i="2"/>
  <c r="H1635" i="2"/>
  <c r="I1635" i="2" s="1"/>
  <c r="C1635" i="2"/>
  <c r="H1634" i="2"/>
  <c r="I1634" i="2" s="1"/>
  <c r="C1634" i="2"/>
  <c r="H1633" i="2"/>
  <c r="I1633" i="2" s="1"/>
  <c r="C1633" i="2"/>
  <c r="H1632" i="2"/>
  <c r="I1632" i="2" s="1"/>
  <c r="C1632" i="2"/>
  <c r="H1631" i="2"/>
  <c r="I1631" i="2" s="1"/>
  <c r="C1631" i="2"/>
  <c r="H1630" i="2"/>
  <c r="I1630" i="2" s="1"/>
  <c r="C1630" i="2"/>
  <c r="I1629" i="2"/>
  <c r="H1629" i="2"/>
  <c r="C1629" i="2"/>
  <c r="H1628" i="2"/>
  <c r="I1628" i="2" s="1"/>
  <c r="C1628" i="2"/>
  <c r="H1627" i="2"/>
  <c r="I1627" i="2" s="1"/>
  <c r="C1627" i="2"/>
  <c r="I1626" i="2"/>
  <c r="H1626" i="2"/>
  <c r="C1626" i="2"/>
  <c r="H1625" i="2"/>
  <c r="I1625" i="2" s="1"/>
  <c r="C1625" i="2"/>
  <c r="H1624" i="2"/>
  <c r="I1624" i="2" s="1"/>
  <c r="C1624" i="2"/>
  <c r="H1623" i="2"/>
  <c r="I1623" i="2" s="1"/>
  <c r="C1623" i="2"/>
  <c r="H1622" i="2"/>
  <c r="I1622" i="2" s="1"/>
  <c r="C1622" i="2"/>
  <c r="H1621" i="2"/>
  <c r="I1621" i="2" s="1"/>
  <c r="C1621" i="2"/>
  <c r="H1620" i="2"/>
  <c r="I1620" i="2" s="1"/>
  <c r="C1620" i="2"/>
  <c r="H1619" i="2"/>
  <c r="I1619" i="2" s="1"/>
  <c r="C1619" i="2"/>
  <c r="H1618" i="2"/>
  <c r="I1618" i="2" s="1"/>
  <c r="C1618" i="2"/>
  <c r="H1617" i="2"/>
  <c r="I1617" i="2" s="1"/>
  <c r="C1617" i="2"/>
  <c r="H1616" i="2"/>
  <c r="I1616" i="2" s="1"/>
  <c r="C1616" i="2"/>
  <c r="H1615" i="2"/>
  <c r="I1615" i="2" s="1"/>
  <c r="C1615" i="2"/>
  <c r="H1614" i="2"/>
  <c r="I1614" i="2" s="1"/>
  <c r="C1614" i="2"/>
  <c r="H1613" i="2"/>
  <c r="I1613" i="2" s="1"/>
  <c r="C1613" i="2"/>
  <c r="H1612" i="2"/>
  <c r="I1612" i="2" s="1"/>
  <c r="C1612" i="2"/>
  <c r="H1611" i="2"/>
  <c r="I1611" i="2" s="1"/>
  <c r="C1611" i="2"/>
  <c r="H1610" i="2"/>
  <c r="I1610" i="2" s="1"/>
  <c r="C1610" i="2"/>
  <c r="H1609" i="2"/>
  <c r="I1609" i="2" s="1"/>
  <c r="C1609" i="2"/>
  <c r="H1608" i="2"/>
  <c r="I1608" i="2" s="1"/>
  <c r="C1608" i="2"/>
  <c r="H1607" i="2"/>
  <c r="I1607" i="2" s="1"/>
  <c r="C1607" i="2"/>
  <c r="H1606" i="2"/>
  <c r="I1606" i="2" s="1"/>
  <c r="C1606" i="2"/>
  <c r="H1605" i="2"/>
  <c r="I1605" i="2" s="1"/>
  <c r="C1605" i="2"/>
  <c r="H1604" i="2"/>
  <c r="I1604" i="2" s="1"/>
  <c r="C1604" i="2"/>
  <c r="H1603" i="2"/>
  <c r="I1603" i="2" s="1"/>
  <c r="C1603" i="2"/>
  <c r="H1602" i="2"/>
  <c r="I1602" i="2" s="1"/>
  <c r="C1602" i="2"/>
  <c r="H1601" i="2"/>
  <c r="I1601" i="2" s="1"/>
  <c r="C1601" i="2"/>
  <c r="I1600" i="2"/>
  <c r="H1600" i="2"/>
  <c r="C1600" i="2"/>
  <c r="H1599" i="2"/>
  <c r="I1599" i="2" s="1"/>
  <c r="C1599" i="2"/>
  <c r="H1598" i="2"/>
  <c r="I1598" i="2" s="1"/>
  <c r="C1598" i="2"/>
  <c r="H1597" i="2"/>
  <c r="I1597" i="2" s="1"/>
  <c r="C1597" i="2"/>
  <c r="H1596" i="2"/>
  <c r="I1596" i="2" s="1"/>
  <c r="C1596" i="2"/>
  <c r="I1595" i="2"/>
  <c r="H1595" i="2"/>
  <c r="C1595" i="2"/>
  <c r="H1594" i="2"/>
  <c r="I1594" i="2" s="1"/>
  <c r="C1594" i="2"/>
  <c r="H1593" i="2"/>
  <c r="I1593" i="2" s="1"/>
  <c r="C1593" i="2"/>
  <c r="H1592" i="2"/>
  <c r="I1592" i="2" s="1"/>
  <c r="C1592" i="2"/>
  <c r="H1591" i="2"/>
  <c r="I1591" i="2" s="1"/>
  <c r="C1591" i="2"/>
  <c r="H1590" i="2"/>
  <c r="I1590" i="2" s="1"/>
  <c r="C1590" i="2"/>
  <c r="I1589" i="2"/>
  <c r="H1589" i="2"/>
  <c r="C1589" i="2"/>
  <c r="I1588" i="2"/>
  <c r="H1588" i="2"/>
  <c r="C1588" i="2"/>
  <c r="I1587" i="2"/>
  <c r="H1587" i="2"/>
  <c r="C1587" i="2"/>
  <c r="H1586" i="2"/>
  <c r="I1586" i="2" s="1"/>
  <c r="C1586" i="2"/>
  <c r="H1585" i="2"/>
  <c r="I1585" i="2" s="1"/>
  <c r="C1585" i="2"/>
  <c r="H1584" i="2"/>
  <c r="I1584" i="2" s="1"/>
  <c r="C1584" i="2"/>
  <c r="H1583" i="2"/>
  <c r="I1583" i="2" s="1"/>
  <c r="C1583" i="2"/>
  <c r="I1582" i="2"/>
  <c r="H1582" i="2"/>
  <c r="C1582" i="2"/>
  <c r="H1581" i="2"/>
  <c r="I1581" i="2" s="1"/>
  <c r="C1581" i="2"/>
  <c r="H1580" i="2"/>
  <c r="I1580" i="2" s="1"/>
  <c r="C1580" i="2"/>
  <c r="H1579" i="2"/>
  <c r="I1579" i="2" s="1"/>
  <c r="C1579" i="2"/>
  <c r="H1578" i="2"/>
  <c r="I1578" i="2" s="1"/>
  <c r="C1578" i="2"/>
  <c r="I1577" i="2"/>
  <c r="H1577" i="2"/>
  <c r="C1577" i="2"/>
  <c r="I1576" i="2"/>
  <c r="H1576" i="2"/>
  <c r="C1576" i="2"/>
  <c r="H1575" i="2"/>
  <c r="I1575" i="2" s="1"/>
  <c r="C1575" i="2"/>
  <c r="I1574" i="2"/>
  <c r="H1574" i="2"/>
  <c r="C1574" i="2"/>
  <c r="I1573" i="2"/>
  <c r="H1573" i="2"/>
  <c r="C1573" i="2"/>
  <c r="H1572" i="2"/>
  <c r="I1572" i="2" s="1"/>
  <c r="C1572" i="2"/>
  <c r="H1571" i="2"/>
  <c r="I1571" i="2" s="1"/>
  <c r="C1571" i="2"/>
  <c r="H1570" i="2"/>
  <c r="I1570" i="2" s="1"/>
  <c r="C1570" i="2"/>
  <c r="H1569" i="2"/>
  <c r="I1569" i="2" s="1"/>
  <c r="C1569" i="2"/>
  <c r="H1568" i="2"/>
  <c r="I1568" i="2" s="1"/>
  <c r="C1568" i="2"/>
  <c r="H1567" i="2"/>
  <c r="I1567" i="2" s="1"/>
  <c r="C1567" i="2"/>
  <c r="H1566" i="2"/>
  <c r="I1566" i="2" s="1"/>
  <c r="C1566" i="2"/>
  <c r="H1565" i="2"/>
  <c r="I1565" i="2" s="1"/>
  <c r="C1565" i="2"/>
  <c r="H1564" i="2"/>
  <c r="I1564" i="2" s="1"/>
  <c r="C1564" i="2"/>
  <c r="H1563" i="2"/>
  <c r="I1563" i="2" s="1"/>
  <c r="C1563" i="2"/>
  <c r="H1562" i="2"/>
  <c r="I1562" i="2" s="1"/>
  <c r="C1562" i="2"/>
  <c r="H1561" i="2"/>
  <c r="I1561" i="2" s="1"/>
  <c r="C1561" i="2"/>
  <c r="H1560" i="2"/>
  <c r="I1560" i="2" s="1"/>
  <c r="C1560" i="2"/>
  <c r="H1559" i="2"/>
  <c r="I1559" i="2" s="1"/>
  <c r="C1559" i="2"/>
  <c r="H1558" i="2"/>
  <c r="I1558" i="2" s="1"/>
  <c r="C1558" i="2"/>
  <c r="I1557" i="2"/>
  <c r="H1557" i="2"/>
  <c r="C1557" i="2"/>
  <c r="I1556" i="2"/>
  <c r="H1556" i="2"/>
  <c r="C1556" i="2"/>
  <c r="H1555" i="2"/>
  <c r="I1555" i="2" s="1"/>
  <c r="C1555" i="2"/>
  <c r="H1554" i="2"/>
  <c r="I1554" i="2" s="1"/>
  <c r="C1554" i="2"/>
  <c r="H1553" i="2"/>
  <c r="I1553" i="2" s="1"/>
  <c r="C1553" i="2"/>
  <c r="I1552" i="2"/>
  <c r="H1552" i="2"/>
  <c r="C1552" i="2"/>
  <c r="H1551" i="2"/>
  <c r="I1551" i="2" s="1"/>
  <c r="C1551" i="2"/>
  <c r="H1550" i="2"/>
  <c r="I1550" i="2" s="1"/>
  <c r="C1550" i="2"/>
  <c r="I1549" i="2"/>
  <c r="H1549" i="2"/>
  <c r="C1549" i="2"/>
  <c r="H1548" i="2"/>
  <c r="I1548" i="2" s="1"/>
  <c r="C1548" i="2"/>
  <c r="H1547" i="2"/>
  <c r="I1547" i="2" s="1"/>
  <c r="C1547" i="2"/>
  <c r="H1546" i="2"/>
  <c r="I1546" i="2" s="1"/>
  <c r="C1546" i="2"/>
  <c r="H1545" i="2"/>
  <c r="I1545" i="2" s="1"/>
  <c r="C1545" i="2"/>
  <c r="H1544" i="2"/>
  <c r="I1544" i="2" s="1"/>
  <c r="C1544" i="2"/>
  <c r="I1543" i="2"/>
  <c r="H1543" i="2"/>
  <c r="C1543" i="2"/>
  <c r="H1542" i="2"/>
  <c r="I1542" i="2" s="1"/>
  <c r="C1542" i="2"/>
  <c r="I1541" i="2"/>
  <c r="H1541" i="2"/>
  <c r="C1541" i="2"/>
  <c r="H1540" i="2"/>
  <c r="I1540" i="2" s="1"/>
  <c r="C1540" i="2"/>
  <c r="H1539" i="2"/>
  <c r="I1539" i="2" s="1"/>
  <c r="C1539" i="2"/>
  <c r="H1538" i="2"/>
  <c r="I1538" i="2" s="1"/>
  <c r="C1538" i="2"/>
  <c r="H1537" i="2"/>
  <c r="I1537" i="2" s="1"/>
  <c r="C1537" i="2"/>
  <c r="H1536" i="2"/>
  <c r="I1536" i="2" s="1"/>
  <c r="C1536" i="2"/>
  <c r="I1535" i="2"/>
  <c r="H1535" i="2"/>
  <c r="C1535" i="2"/>
  <c r="I1534" i="2"/>
  <c r="H1534" i="2"/>
  <c r="C1534" i="2"/>
  <c r="H1533" i="2"/>
  <c r="I1533" i="2" s="1"/>
  <c r="C1533" i="2"/>
  <c r="H1532" i="2"/>
  <c r="I1532" i="2" s="1"/>
  <c r="C1532" i="2"/>
  <c r="H1531" i="2"/>
  <c r="I1531" i="2" s="1"/>
  <c r="C1531" i="2"/>
  <c r="H1530" i="2"/>
  <c r="I1530" i="2" s="1"/>
  <c r="C1530" i="2"/>
  <c r="H1529" i="2"/>
  <c r="I1529" i="2" s="1"/>
  <c r="C1529" i="2"/>
  <c r="H1528" i="2"/>
  <c r="I1528" i="2" s="1"/>
  <c r="C1528" i="2"/>
  <c r="H1527" i="2"/>
  <c r="I1527" i="2" s="1"/>
  <c r="C1527" i="2"/>
  <c r="H1526" i="2"/>
  <c r="I1526" i="2" s="1"/>
  <c r="C1526" i="2"/>
  <c r="H1525" i="2"/>
  <c r="I1525" i="2" s="1"/>
  <c r="C1525" i="2"/>
  <c r="H1524" i="2"/>
  <c r="I1524" i="2" s="1"/>
  <c r="C1524" i="2"/>
  <c r="H1523" i="2"/>
  <c r="I1523" i="2" s="1"/>
  <c r="C1523" i="2"/>
  <c r="H1522" i="2"/>
  <c r="I1522" i="2" s="1"/>
  <c r="C1522" i="2"/>
  <c r="H1521" i="2"/>
  <c r="I1521" i="2" s="1"/>
  <c r="C1521" i="2"/>
  <c r="H1520" i="2"/>
  <c r="I1520" i="2" s="1"/>
  <c r="C1520" i="2"/>
  <c r="H1519" i="2"/>
  <c r="I1519" i="2" s="1"/>
  <c r="C1519" i="2"/>
  <c r="H1518" i="2"/>
  <c r="I1518" i="2" s="1"/>
  <c r="C1518" i="2"/>
  <c r="I1517" i="2"/>
  <c r="H1517" i="2"/>
  <c r="C1517" i="2"/>
  <c r="H1516" i="2"/>
  <c r="I1516" i="2" s="1"/>
  <c r="C1516" i="2"/>
  <c r="H1515" i="2"/>
  <c r="I1515" i="2" s="1"/>
  <c r="C1515" i="2"/>
  <c r="H1514" i="2"/>
  <c r="I1514" i="2" s="1"/>
  <c r="C1514" i="2"/>
  <c r="H1513" i="2"/>
  <c r="I1513" i="2" s="1"/>
  <c r="C1513" i="2"/>
  <c r="H1512" i="2"/>
  <c r="I1512" i="2" s="1"/>
  <c r="C1512" i="2"/>
  <c r="I1511" i="2"/>
  <c r="H1511" i="2"/>
  <c r="C1511" i="2"/>
  <c r="H1510" i="2"/>
  <c r="I1510" i="2" s="1"/>
  <c r="C1510" i="2"/>
  <c r="H1509" i="2"/>
  <c r="I1509" i="2" s="1"/>
  <c r="C1509" i="2"/>
  <c r="H1508" i="2"/>
  <c r="I1508" i="2" s="1"/>
  <c r="C1508" i="2"/>
  <c r="I1507" i="2"/>
  <c r="H1507" i="2"/>
  <c r="C1507" i="2"/>
  <c r="I1506" i="2"/>
  <c r="H1506" i="2"/>
  <c r="C1506" i="2"/>
  <c r="H1505" i="2"/>
  <c r="I1505" i="2" s="1"/>
  <c r="C1505" i="2"/>
  <c r="H1504" i="2"/>
  <c r="I1504" i="2" s="1"/>
  <c r="C1504" i="2"/>
  <c r="H1503" i="2"/>
  <c r="I1503" i="2" s="1"/>
  <c r="C1503" i="2"/>
  <c r="I1502" i="2"/>
  <c r="H1502" i="2"/>
  <c r="C1502" i="2"/>
  <c r="H1501" i="2"/>
  <c r="I1501" i="2" s="1"/>
  <c r="C1501" i="2"/>
  <c r="I1500" i="2"/>
  <c r="H1500" i="2"/>
  <c r="C1500" i="2"/>
  <c r="H1499" i="2"/>
  <c r="I1499" i="2" s="1"/>
  <c r="C1499" i="2"/>
  <c r="H1498" i="2"/>
  <c r="I1498" i="2" s="1"/>
  <c r="C1498" i="2"/>
  <c r="H1497" i="2"/>
  <c r="I1497" i="2" s="1"/>
  <c r="C1497" i="2"/>
  <c r="H1496" i="2"/>
  <c r="I1496" i="2" s="1"/>
  <c r="C1496" i="2"/>
  <c r="H1495" i="2"/>
  <c r="I1495" i="2" s="1"/>
  <c r="C1495" i="2"/>
  <c r="H1494" i="2"/>
  <c r="I1494" i="2" s="1"/>
  <c r="C1494" i="2"/>
  <c r="H1493" i="2"/>
  <c r="I1493" i="2" s="1"/>
  <c r="C1493" i="2"/>
  <c r="H1492" i="2"/>
  <c r="I1492" i="2" s="1"/>
  <c r="C1492" i="2"/>
  <c r="I1491" i="2"/>
  <c r="H1491" i="2"/>
  <c r="C1491" i="2"/>
  <c r="H1490" i="2"/>
  <c r="I1490" i="2" s="1"/>
  <c r="C1490" i="2"/>
  <c r="H1489" i="2"/>
  <c r="I1489" i="2" s="1"/>
  <c r="C1489" i="2"/>
  <c r="I1488" i="2"/>
  <c r="H1488" i="2"/>
  <c r="C1488" i="2"/>
  <c r="H1487" i="2"/>
  <c r="I1487" i="2" s="1"/>
  <c r="C1487" i="2"/>
  <c r="I1486" i="2"/>
  <c r="H1486" i="2"/>
  <c r="C1486" i="2"/>
  <c r="H1485" i="2"/>
  <c r="I1485" i="2" s="1"/>
  <c r="C1485" i="2"/>
  <c r="H1484" i="2"/>
  <c r="I1484" i="2" s="1"/>
  <c r="C1484" i="2"/>
  <c r="I1483" i="2"/>
  <c r="H1483" i="2"/>
  <c r="C1483" i="2"/>
  <c r="H1482" i="2"/>
  <c r="I1482" i="2" s="1"/>
  <c r="C1482" i="2"/>
  <c r="H1481" i="2"/>
  <c r="I1481" i="2" s="1"/>
  <c r="C1481" i="2"/>
  <c r="H1480" i="2"/>
  <c r="I1480" i="2" s="1"/>
  <c r="C1480" i="2"/>
  <c r="H1479" i="2"/>
  <c r="I1479" i="2" s="1"/>
  <c r="C1479" i="2"/>
  <c r="H1478" i="2"/>
  <c r="I1478" i="2" s="1"/>
  <c r="C1478" i="2"/>
  <c r="H1477" i="2"/>
  <c r="I1477" i="2" s="1"/>
  <c r="C1477" i="2"/>
  <c r="H1476" i="2"/>
  <c r="I1476" i="2" s="1"/>
  <c r="C1476" i="2"/>
  <c r="H1475" i="2"/>
  <c r="I1475" i="2" s="1"/>
  <c r="C1475" i="2"/>
  <c r="H1474" i="2"/>
  <c r="I1474" i="2" s="1"/>
  <c r="C1474" i="2"/>
  <c r="H1473" i="2"/>
  <c r="I1473" i="2" s="1"/>
  <c r="C1473" i="2"/>
  <c r="H1472" i="2"/>
  <c r="I1472" i="2" s="1"/>
  <c r="C1472" i="2"/>
  <c r="H1471" i="2"/>
  <c r="I1471" i="2" s="1"/>
  <c r="C1471" i="2"/>
  <c r="H1470" i="2"/>
  <c r="I1470" i="2" s="1"/>
  <c r="C1470" i="2"/>
  <c r="H1469" i="2"/>
  <c r="I1469" i="2" s="1"/>
  <c r="C1469" i="2"/>
  <c r="H1468" i="2"/>
  <c r="I1468" i="2" s="1"/>
  <c r="C1468" i="2"/>
  <c r="H1467" i="2"/>
  <c r="I1467" i="2" s="1"/>
  <c r="C1467" i="2"/>
  <c r="H1466" i="2"/>
  <c r="I1466" i="2" s="1"/>
  <c r="C1466" i="2"/>
  <c r="H1465" i="2"/>
  <c r="I1465" i="2" s="1"/>
  <c r="C1465" i="2"/>
  <c r="H1464" i="2"/>
  <c r="I1464" i="2" s="1"/>
  <c r="C1464" i="2"/>
  <c r="H1463" i="2"/>
  <c r="I1463" i="2" s="1"/>
  <c r="C1463" i="2"/>
  <c r="H1462" i="2"/>
  <c r="I1462" i="2" s="1"/>
  <c r="C1462" i="2"/>
  <c r="H1461" i="2"/>
  <c r="I1461" i="2" s="1"/>
  <c r="C1461" i="2"/>
  <c r="H1460" i="2"/>
  <c r="I1460" i="2" s="1"/>
  <c r="C1460" i="2"/>
  <c r="H1459" i="2"/>
  <c r="I1459" i="2" s="1"/>
  <c r="C1459" i="2"/>
  <c r="H1458" i="2"/>
  <c r="I1458" i="2" s="1"/>
  <c r="C1458" i="2"/>
  <c r="H1457" i="2"/>
  <c r="I1457" i="2" s="1"/>
  <c r="C1457" i="2"/>
  <c r="H1456" i="2"/>
  <c r="I1456" i="2" s="1"/>
  <c r="C1456" i="2"/>
  <c r="H1455" i="2"/>
  <c r="I1455" i="2" s="1"/>
  <c r="C1455" i="2"/>
  <c r="H1454" i="2"/>
  <c r="I1454" i="2" s="1"/>
  <c r="C1454" i="2"/>
  <c r="H1453" i="2"/>
  <c r="I1453" i="2" s="1"/>
  <c r="C1453" i="2"/>
  <c r="H1452" i="2"/>
  <c r="I1452" i="2" s="1"/>
  <c r="C1452" i="2"/>
  <c r="H1451" i="2"/>
  <c r="I1451" i="2" s="1"/>
  <c r="C1451" i="2"/>
  <c r="H1450" i="2"/>
  <c r="I1450" i="2" s="1"/>
  <c r="C1450" i="2"/>
  <c r="I1449" i="2"/>
  <c r="H1449" i="2"/>
  <c r="C1449" i="2"/>
  <c r="H1448" i="2"/>
  <c r="I1448" i="2" s="1"/>
  <c r="C1448" i="2"/>
  <c r="H1447" i="2"/>
  <c r="I1447" i="2" s="1"/>
  <c r="C1447" i="2"/>
  <c r="I1446" i="2"/>
  <c r="H1446" i="2"/>
  <c r="C1446" i="2"/>
  <c r="H1445" i="2"/>
  <c r="I1445" i="2" s="1"/>
  <c r="C1445" i="2"/>
  <c r="H1444" i="2"/>
  <c r="I1444" i="2" s="1"/>
  <c r="C1444" i="2"/>
  <c r="H1443" i="2"/>
  <c r="I1443" i="2" s="1"/>
  <c r="C1443" i="2"/>
  <c r="H1442" i="2"/>
  <c r="I1442" i="2" s="1"/>
  <c r="C1442" i="2"/>
  <c r="H1441" i="2"/>
  <c r="I1441" i="2" s="1"/>
  <c r="C1441" i="2"/>
  <c r="H1440" i="2"/>
  <c r="I1440" i="2" s="1"/>
  <c r="C1440" i="2"/>
  <c r="I1439" i="2"/>
  <c r="H1439" i="2"/>
  <c r="C1439" i="2"/>
  <c r="H1438" i="2"/>
  <c r="I1438" i="2" s="1"/>
  <c r="C1438" i="2"/>
  <c r="H1437" i="2"/>
  <c r="I1437" i="2" s="1"/>
  <c r="C1437" i="2"/>
  <c r="H1436" i="2"/>
  <c r="I1436" i="2" s="1"/>
  <c r="C1436" i="2"/>
  <c r="H1435" i="2"/>
  <c r="I1435" i="2" s="1"/>
  <c r="C1435" i="2"/>
  <c r="H1434" i="2"/>
  <c r="I1434" i="2" s="1"/>
  <c r="C1434" i="2"/>
  <c r="H1433" i="2"/>
  <c r="I1433" i="2" s="1"/>
  <c r="C1433" i="2"/>
  <c r="H1432" i="2"/>
  <c r="I1432" i="2" s="1"/>
  <c r="C1432" i="2"/>
  <c r="H1431" i="2"/>
  <c r="I1431" i="2" s="1"/>
  <c r="C1431" i="2"/>
  <c r="H1430" i="2"/>
  <c r="I1430" i="2" s="1"/>
  <c r="C1430" i="2"/>
  <c r="H1429" i="2"/>
  <c r="I1429" i="2" s="1"/>
  <c r="C1429" i="2"/>
  <c r="I1428" i="2"/>
  <c r="H1428" i="2"/>
  <c r="C1428" i="2"/>
  <c r="H1427" i="2"/>
  <c r="I1427" i="2" s="1"/>
  <c r="C1427" i="2"/>
  <c r="H1426" i="2"/>
  <c r="I1426" i="2" s="1"/>
  <c r="C1426" i="2"/>
  <c r="H1425" i="2"/>
  <c r="I1425" i="2" s="1"/>
  <c r="C1425" i="2"/>
  <c r="H1424" i="2"/>
  <c r="I1424" i="2" s="1"/>
  <c r="C1424" i="2"/>
  <c r="H1423" i="2"/>
  <c r="I1423" i="2" s="1"/>
  <c r="C1423" i="2"/>
  <c r="I1422" i="2"/>
  <c r="H1422" i="2"/>
  <c r="C1422" i="2"/>
  <c r="H1421" i="2"/>
  <c r="I1421" i="2" s="1"/>
  <c r="C1421" i="2"/>
  <c r="H1420" i="2"/>
  <c r="I1420" i="2" s="1"/>
  <c r="C1420" i="2"/>
  <c r="H1419" i="2"/>
  <c r="I1419" i="2" s="1"/>
  <c r="C1419" i="2"/>
  <c r="H1418" i="2"/>
  <c r="I1418" i="2" s="1"/>
  <c r="C1418" i="2"/>
  <c r="H1417" i="2"/>
  <c r="I1417" i="2" s="1"/>
  <c r="C1417" i="2"/>
  <c r="H1416" i="2"/>
  <c r="I1416" i="2" s="1"/>
  <c r="C1416" i="2"/>
  <c r="H1415" i="2"/>
  <c r="I1415" i="2" s="1"/>
  <c r="C1415" i="2"/>
  <c r="H1414" i="2"/>
  <c r="I1414" i="2" s="1"/>
  <c r="C1414" i="2"/>
  <c r="I1413" i="2"/>
  <c r="H1413" i="2"/>
  <c r="C1413" i="2"/>
  <c r="H1412" i="2"/>
  <c r="I1412" i="2" s="1"/>
  <c r="C1412" i="2"/>
  <c r="H1411" i="2"/>
  <c r="I1411" i="2" s="1"/>
  <c r="C1411" i="2"/>
  <c r="H1410" i="2"/>
  <c r="I1410" i="2" s="1"/>
  <c r="C1410" i="2"/>
  <c r="H1409" i="2"/>
  <c r="I1409" i="2" s="1"/>
  <c r="C1409" i="2"/>
  <c r="H1408" i="2"/>
  <c r="I1408" i="2" s="1"/>
  <c r="C1408" i="2"/>
  <c r="I1407" i="2"/>
  <c r="H1407" i="2"/>
  <c r="C1407" i="2"/>
  <c r="H1406" i="2"/>
  <c r="I1406" i="2" s="1"/>
  <c r="C1406" i="2"/>
  <c r="H1405" i="2"/>
  <c r="I1405" i="2" s="1"/>
  <c r="C1405" i="2"/>
  <c r="I1404" i="2"/>
  <c r="H1404" i="2"/>
  <c r="C1404" i="2"/>
  <c r="H1403" i="2"/>
  <c r="I1403" i="2" s="1"/>
  <c r="C1403" i="2"/>
  <c r="H1402" i="2"/>
  <c r="I1402" i="2" s="1"/>
  <c r="C1402" i="2"/>
  <c r="H1401" i="2"/>
  <c r="I1401" i="2" s="1"/>
  <c r="C1401" i="2"/>
  <c r="H1400" i="2"/>
  <c r="I1400" i="2" s="1"/>
  <c r="C1400" i="2"/>
  <c r="H1399" i="2"/>
  <c r="I1399" i="2" s="1"/>
  <c r="C1399" i="2"/>
  <c r="I1398" i="2"/>
  <c r="H1398" i="2"/>
  <c r="C1398" i="2"/>
  <c r="H1397" i="2"/>
  <c r="I1397" i="2" s="1"/>
  <c r="C1397" i="2"/>
  <c r="H1396" i="2"/>
  <c r="I1396" i="2" s="1"/>
  <c r="C1396" i="2"/>
  <c r="H1395" i="2"/>
  <c r="I1395" i="2" s="1"/>
  <c r="C1395" i="2"/>
  <c r="I1394" i="2"/>
  <c r="H1394" i="2"/>
  <c r="C1394" i="2"/>
  <c r="H1393" i="2"/>
  <c r="I1393" i="2" s="1"/>
  <c r="C1393" i="2"/>
  <c r="H1392" i="2"/>
  <c r="I1392" i="2" s="1"/>
  <c r="C1392" i="2"/>
  <c r="I1391" i="2"/>
  <c r="H1391" i="2"/>
  <c r="C1391" i="2"/>
  <c r="H1390" i="2"/>
  <c r="I1390" i="2" s="1"/>
  <c r="C1390" i="2"/>
  <c r="H1389" i="2"/>
  <c r="I1389" i="2" s="1"/>
  <c r="C1389" i="2"/>
  <c r="H1388" i="2"/>
  <c r="I1388" i="2" s="1"/>
  <c r="C1388" i="2"/>
  <c r="H1387" i="2"/>
  <c r="I1387" i="2" s="1"/>
  <c r="C1387" i="2"/>
  <c r="I1386" i="2"/>
  <c r="H1386" i="2"/>
  <c r="C1386" i="2"/>
  <c r="H1385" i="2"/>
  <c r="I1385" i="2" s="1"/>
  <c r="C1385" i="2"/>
  <c r="H1384" i="2"/>
  <c r="I1384" i="2" s="1"/>
  <c r="C1384" i="2"/>
  <c r="I1383" i="2"/>
  <c r="H1383" i="2"/>
  <c r="C1383" i="2"/>
  <c r="H1382" i="2"/>
  <c r="I1382" i="2" s="1"/>
  <c r="C1382" i="2"/>
  <c r="H1381" i="2"/>
  <c r="I1381" i="2" s="1"/>
  <c r="C1381" i="2"/>
  <c r="I1380" i="2"/>
  <c r="H1380" i="2"/>
  <c r="C1380" i="2"/>
  <c r="H1379" i="2"/>
  <c r="I1379" i="2" s="1"/>
  <c r="C1379" i="2"/>
  <c r="H1378" i="2"/>
  <c r="I1378" i="2" s="1"/>
  <c r="C1378" i="2"/>
  <c r="H1377" i="2"/>
  <c r="I1377" i="2" s="1"/>
  <c r="C1377" i="2"/>
  <c r="I1376" i="2"/>
  <c r="H1376" i="2"/>
  <c r="C1376" i="2"/>
  <c r="I1375" i="2"/>
  <c r="H1375" i="2"/>
  <c r="C1375" i="2"/>
  <c r="H1374" i="2"/>
  <c r="I1374" i="2" s="1"/>
  <c r="C1374" i="2"/>
  <c r="I1373" i="2"/>
  <c r="H1373" i="2"/>
  <c r="C1373" i="2"/>
  <c r="H1372" i="2"/>
  <c r="I1372" i="2" s="1"/>
  <c r="C1372" i="2"/>
  <c r="I1371" i="2"/>
  <c r="H1371" i="2"/>
  <c r="C1371" i="2"/>
  <c r="H1370" i="2"/>
  <c r="I1370" i="2" s="1"/>
  <c r="C1370" i="2"/>
  <c r="H1369" i="2"/>
  <c r="I1369" i="2" s="1"/>
  <c r="C1369" i="2"/>
  <c r="H1368" i="2"/>
  <c r="I1368" i="2" s="1"/>
  <c r="C1368" i="2"/>
  <c r="H1367" i="2"/>
  <c r="I1367" i="2" s="1"/>
  <c r="C1367" i="2"/>
  <c r="H1366" i="2"/>
  <c r="I1366" i="2" s="1"/>
  <c r="C1366" i="2"/>
  <c r="H1365" i="2"/>
  <c r="I1365" i="2" s="1"/>
  <c r="C1365" i="2"/>
  <c r="H1364" i="2"/>
  <c r="I1364" i="2" s="1"/>
  <c r="C1364" i="2"/>
  <c r="H1363" i="2"/>
  <c r="I1363" i="2" s="1"/>
  <c r="C1363" i="2"/>
  <c r="H1362" i="2"/>
  <c r="I1362" i="2" s="1"/>
  <c r="C1362" i="2"/>
  <c r="H1361" i="2"/>
  <c r="I1361" i="2" s="1"/>
  <c r="C1361" i="2"/>
  <c r="H1360" i="2"/>
  <c r="I1360" i="2" s="1"/>
  <c r="C1360" i="2"/>
  <c r="H1359" i="2"/>
  <c r="I1359" i="2" s="1"/>
  <c r="C1359" i="2"/>
  <c r="H1358" i="2"/>
  <c r="I1358" i="2" s="1"/>
  <c r="C1358" i="2"/>
  <c r="H1357" i="2"/>
  <c r="I1357" i="2" s="1"/>
  <c r="C1357" i="2"/>
  <c r="H1356" i="2"/>
  <c r="I1356" i="2" s="1"/>
  <c r="C1356" i="2"/>
  <c r="I1355" i="2"/>
  <c r="H1355" i="2"/>
  <c r="C1355" i="2"/>
  <c r="H1354" i="2"/>
  <c r="I1354" i="2" s="1"/>
  <c r="C1354" i="2"/>
  <c r="H1353" i="2"/>
  <c r="I1353" i="2" s="1"/>
  <c r="C1353" i="2"/>
  <c r="H1352" i="2"/>
  <c r="I1352" i="2" s="1"/>
  <c r="C1352" i="2"/>
  <c r="H1351" i="2"/>
  <c r="I1351" i="2" s="1"/>
  <c r="C1351" i="2"/>
  <c r="I1350" i="2"/>
  <c r="H1350" i="2"/>
  <c r="C1350" i="2"/>
  <c r="H1349" i="2"/>
  <c r="I1349" i="2" s="1"/>
  <c r="C1349" i="2"/>
  <c r="I1348" i="2"/>
  <c r="H1348" i="2"/>
  <c r="C1348" i="2"/>
  <c r="H1347" i="2"/>
  <c r="I1347" i="2" s="1"/>
  <c r="C1347" i="2"/>
  <c r="H1346" i="2"/>
  <c r="I1346" i="2" s="1"/>
  <c r="C1346" i="2"/>
  <c r="H1345" i="2"/>
  <c r="I1345" i="2" s="1"/>
  <c r="C1345" i="2"/>
  <c r="H1344" i="2"/>
  <c r="I1344" i="2" s="1"/>
  <c r="C1344" i="2"/>
  <c r="H1343" i="2"/>
  <c r="I1343" i="2" s="1"/>
  <c r="C1343" i="2"/>
  <c r="H1342" i="2"/>
  <c r="I1342" i="2" s="1"/>
  <c r="C1342" i="2"/>
  <c r="H1341" i="2"/>
  <c r="I1341" i="2" s="1"/>
  <c r="C1341" i="2"/>
  <c r="H1340" i="2"/>
  <c r="I1340" i="2" s="1"/>
  <c r="C1340" i="2"/>
  <c r="I1339" i="2"/>
  <c r="H1339" i="2"/>
  <c r="C1339" i="2"/>
  <c r="H1338" i="2"/>
  <c r="I1338" i="2" s="1"/>
  <c r="C1338" i="2"/>
  <c r="I1337" i="2"/>
  <c r="H1337" i="2"/>
  <c r="C1337" i="2"/>
  <c r="I1336" i="2"/>
  <c r="H1336" i="2"/>
  <c r="C1336" i="2"/>
  <c r="H1335" i="2"/>
  <c r="I1335" i="2" s="1"/>
  <c r="C1335" i="2"/>
  <c r="H1334" i="2"/>
  <c r="I1334" i="2" s="1"/>
  <c r="C1334" i="2"/>
  <c r="H1333" i="2"/>
  <c r="I1333" i="2" s="1"/>
  <c r="C1333" i="2"/>
  <c r="H1332" i="2"/>
  <c r="I1332" i="2" s="1"/>
  <c r="C1332" i="2"/>
  <c r="I1331" i="2"/>
  <c r="H1331" i="2"/>
  <c r="C1331" i="2"/>
  <c r="H1330" i="2"/>
  <c r="I1330" i="2" s="1"/>
  <c r="C1330" i="2"/>
  <c r="H1329" i="2"/>
  <c r="I1329" i="2" s="1"/>
  <c r="C1329" i="2"/>
  <c r="H1328" i="2"/>
  <c r="I1328" i="2" s="1"/>
  <c r="C1328" i="2"/>
  <c r="H1327" i="2"/>
  <c r="I1327" i="2" s="1"/>
  <c r="C1327" i="2"/>
  <c r="H1326" i="2"/>
  <c r="I1326" i="2" s="1"/>
  <c r="C1326" i="2"/>
  <c r="H1325" i="2"/>
  <c r="I1325" i="2" s="1"/>
  <c r="C1325" i="2"/>
  <c r="H1324" i="2"/>
  <c r="I1324" i="2" s="1"/>
  <c r="C1324" i="2"/>
  <c r="H1323" i="2"/>
  <c r="I1323" i="2" s="1"/>
  <c r="C1323" i="2"/>
  <c r="I1322" i="2"/>
  <c r="H1322" i="2"/>
  <c r="C1322" i="2"/>
  <c r="I1321" i="2"/>
  <c r="H1321" i="2"/>
  <c r="C1321" i="2"/>
  <c r="H1320" i="2"/>
  <c r="I1320" i="2" s="1"/>
  <c r="C1320" i="2"/>
  <c r="H1319" i="2"/>
  <c r="I1319" i="2" s="1"/>
  <c r="C1319" i="2"/>
  <c r="H1318" i="2"/>
  <c r="I1318" i="2" s="1"/>
  <c r="C1318" i="2"/>
  <c r="H1317" i="2"/>
  <c r="I1317" i="2" s="1"/>
  <c r="C1317" i="2"/>
  <c r="H1316" i="2"/>
  <c r="I1316" i="2" s="1"/>
  <c r="C1316" i="2"/>
  <c r="H1315" i="2"/>
  <c r="I1315" i="2" s="1"/>
  <c r="C1315" i="2"/>
  <c r="H1314" i="2"/>
  <c r="I1314" i="2" s="1"/>
  <c r="C1314" i="2"/>
  <c r="H1313" i="2"/>
  <c r="I1313" i="2" s="1"/>
  <c r="C1313" i="2"/>
  <c r="I1312" i="2"/>
  <c r="H1312" i="2"/>
  <c r="C1312" i="2"/>
  <c r="H1311" i="2"/>
  <c r="I1311" i="2" s="1"/>
  <c r="C1311" i="2"/>
  <c r="H1310" i="2"/>
  <c r="I1310" i="2" s="1"/>
  <c r="C1310" i="2"/>
  <c r="I1309" i="2"/>
  <c r="H1309" i="2"/>
  <c r="C1309" i="2"/>
  <c r="H1308" i="2"/>
  <c r="I1308" i="2" s="1"/>
  <c r="C1308" i="2"/>
  <c r="H1307" i="2"/>
  <c r="I1307" i="2" s="1"/>
  <c r="C1307" i="2"/>
  <c r="H1306" i="2"/>
  <c r="I1306" i="2" s="1"/>
  <c r="C1306" i="2"/>
  <c r="H1305" i="2"/>
  <c r="I1305" i="2" s="1"/>
  <c r="C1305" i="2"/>
  <c r="H1304" i="2"/>
  <c r="I1304" i="2" s="1"/>
  <c r="C1304" i="2"/>
  <c r="H1303" i="2"/>
  <c r="I1303" i="2" s="1"/>
  <c r="C1303" i="2"/>
  <c r="H1302" i="2"/>
  <c r="I1302" i="2" s="1"/>
  <c r="C1302" i="2"/>
  <c r="H1301" i="2"/>
  <c r="I1301" i="2" s="1"/>
  <c r="C1301" i="2"/>
  <c r="H1300" i="2"/>
  <c r="I1300" i="2" s="1"/>
  <c r="C1300" i="2"/>
  <c r="H1299" i="2"/>
  <c r="I1299" i="2" s="1"/>
  <c r="C1299" i="2"/>
  <c r="H1298" i="2"/>
  <c r="I1298" i="2" s="1"/>
  <c r="C1298" i="2"/>
  <c r="H1297" i="2"/>
  <c r="I1297" i="2" s="1"/>
  <c r="C1297" i="2"/>
  <c r="H1296" i="2"/>
  <c r="I1296" i="2" s="1"/>
  <c r="C1296" i="2"/>
  <c r="H1295" i="2"/>
  <c r="I1295" i="2" s="1"/>
  <c r="C1295" i="2"/>
  <c r="H1294" i="2"/>
  <c r="I1294" i="2" s="1"/>
  <c r="C1294" i="2"/>
  <c r="H1293" i="2"/>
  <c r="I1293" i="2" s="1"/>
  <c r="C1293" i="2"/>
  <c r="H1292" i="2"/>
  <c r="I1292" i="2" s="1"/>
  <c r="C1292" i="2"/>
  <c r="H1291" i="2"/>
  <c r="I1291" i="2" s="1"/>
  <c r="C1291" i="2"/>
  <c r="H1290" i="2"/>
  <c r="I1290" i="2" s="1"/>
  <c r="C1290" i="2"/>
  <c r="H1289" i="2"/>
  <c r="I1289" i="2" s="1"/>
  <c r="C1289" i="2"/>
  <c r="H1288" i="2"/>
  <c r="I1288" i="2" s="1"/>
  <c r="C1288" i="2"/>
  <c r="H1287" i="2"/>
  <c r="I1287" i="2" s="1"/>
  <c r="C1287" i="2"/>
  <c r="H1286" i="2"/>
  <c r="I1286" i="2" s="1"/>
  <c r="C1286" i="2"/>
  <c r="H1285" i="2"/>
  <c r="I1285" i="2" s="1"/>
  <c r="C1285" i="2"/>
  <c r="H1284" i="2"/>
  <c r="I1284" i="2" s="1"/>
  <c r="C1284" i="2"/>
  <c r="H1283" i="2"/>
  <c r="I1283" i="2" s="1"/>
  <c r="C1283" i="2"/>
  <c r="H1282" i="2"/>
  <c r="I1282" i="2" s="1"/>
  <c r="C1282" i="2"/>
  <c r="H1281" i="2"/>
  <c r="I1281" i="2" s="1"/>
  <c r="C1281" i="2"/>
  <c r="H1280" i="2"/>
  <c r="I1280" i="2" s="1"/>
  <c r="C1280" i="2"/>
  <c r="I1279" i="2"/>
  <c r="H1279" i="2"/>
  <c r="C1279" i="2"/>
  <c r="H1278" i="2"/>
  <c r="I1278" i="2" s="1"/>
  <c r="C1278" i="2"/>
  <c r="H1277" i="2"/>
  <c r="I1277" i="2" s="1"/>
  <c r="C1277" i="2"/>
  <c r="H1276" i="2"/>
  <c r="I1276" i="2" s="1"/>
  <c r="C1276" i="2"/>
  <c r="H1275" i="2"/>
  <c r="I1275" i="2" s="1"/>
  <c r="C1275" i="2"/>
  <c r="H1274" i="2"/>
  <c r="I1274" i="2" s="1"/>
  <c r="C1274" i="2"/>
  <c r="H1273" i="2"/>
  <c r="I1273" i="2" s="1"/>
  <c r="C1273" i="2"/>
  <c r="H1272" i="2"/>
  <c r="I1272" i="2" s="1"/>
  <c r="C1272" i="2"/>
  <c r="I1271" i="2"/>
  <c r="H1271" i="2"/>
  <c r="C1271" i="2"/>
  <c r="H1270" i="2"/>
  <c r="I1270" i="2" s="1"/>
  <c r="C1270" i="2"/>
  <c r="H1269" i="2"/>
  <c r="I1269" i="2" s="1"/>
  <c r="C1269" i="2"/>
  <c r="H1268" i="2"/>
  <c r="I1268" i="2" s="1"/>
  <c r="C1268" i="2"/>
  <c r="H1267" i="2"/>
  <c r="I1267" i="2" s="1"/>
  <c r="C1267" i="2"/>
  <c r="H1266" i="2"/>
  <c r="I1266" i="2" s="1"/>
  <c r="C1266" i="2"/>
  <c r="H1265" i="2"/>
  <c r="I1265" i="2" s="1"/>
  <c r="C1265" i="2"/>
  <c r="I1264" i="2"/>
  <c r="H1264" i="2"/>
  <c r="C1264" i="2"/>
  <c r="H1263" i="2"/>
  <c r="I1263" i="2" s="1"/>
  <c r="C1263" i="2"/>
  <c r="H1262" i="2"/>
  <c r="I1262" i="2" s="1"/>
  <c r="C1262" i="2"/>
  <c r="H1261" i="2"/>
  <c r="I1261" i="2" s="1"/>
  <c r="C1261" i="2"/>
  <c r="H1260" i="2"/>
  <c r="I1260" i="2" s="1"/>
  <c r="C1260" i="2"/>
  <c r="H1259" i="2"/>
  <c r="I1259" i="2" s="1"/>
  <c r="C1259" i="2"/>
  <c r="H1258" i="2"/>
  <c r="I1258" i="2" s="1"/>
  <c r="C1258" i="2"/>
  <c r="H1257" i="2"/>
  <c r="I1257" i="2" s="1"/>
  <c r="C1257" i="2"/>
  <c r="H1256" i="2"/>
  <c r="I1256" i="2" s="1"/>
  <c r="C1256" i="2"/>
  <c r="H1255" i="2"/>
  <c r="I1255" i="2" s="1"/>
  <c r="C1255" i="2"/>
  <c r="H1254" i="2"/>
  <c r="I1254" i="2" s="1"/>
  <c r="C1254" i="2"/>
  <c r="H1253" i="2"/>
  <c r="I1253" i="2" s="1"/>
  <c r="C1253" i="2"/>
  <c r="H1252" i="2"/>
  <c r="I1252" i="2" s="1"/>
  <c r="C1252" i="2"/>
  <c r="H1251" i="2"/>
  <c r="I1251" i="2" s="1"/>
  <c r="C1251" i="2"/>
  <c r="H1250" i="2"/>
  <c r="I1250" i="2" s="1"/>
  <c r="C1250" i="2"/>
  <c r="H1249" i="2"/>
  <c r="I1249" i="2" s="1"/>
  <c r="C1249" i="2"/>
  <c r="H1248" i="2"/>
  <c r="I1248" i="2" s="1"/>
  <c r="C1248" i="2"/>
  <c r="H1247" i="2"/>
  <c r="I1247" i="2" s="1"/>
  <c r="C1247" i="2"/>
  <c r="H1246" i="2"/>
  <c r="I1246" i="2" s="1"/>
  <c r="C1246" i="2"/>
  <c r="H1245" i="2"/>
  <c r="I1245" i="2" s="1"/>
  <c r="C1245" i="2"/>
  <c r="H1244" i="2"/>
  <c r="I1244" i="2" s="1"/>
  <c r="C1244" i="2"/>
  <c r="H1243" i="2"/>
  <c r="I1243" i="2" s="1"/>
  <c r="C1243" i="2"/>
  <c r="H1242" i="2"/>
  <c r="I1242" i="2" s="1"/>
  <c r="C1242" i="2"/>
  <c r="H1241" i="2"/>
  <c r="I1241" i="2" s="1"/>
  <c r="C1241" i="2"/>
  <c r="H1240" i="2"/>
  <c r="I1240" i="2" s="1"/>
  <c r="C1240" i="2"/>
  <c r="H1239" i="2"/>
  <c r="I1239" i="2" s="1"/>
  <c r="C1239" i="2"/>
  <c r="H1238" i="2"/>
  <c r="I1238" i="2" s="1"/>
  <c r="C1238" i="2"/>
  <c r="H1237" i="2"/>
  <c r="I1237" i="2" s="1"/>
  <c r="C1237" i="2"/>
  <c r="H1236" i="2"/>
  <c r="I1236" i="2" s="1"/>
  <c r="C1236" i="2"/>
  <c r="H1235" i="2"/>
  <c r="I1235" i="2" s="1"/>
  <c r="C1235" i="2"/>
  <c r="H1234" i="2"/>
  <c r="I1234" i="2" s="1"/>
  <c r="C1234" i="2"/>
  <c r="H1233" i="2"/>
  <c r="I1233" i="2" s="1"/>
  <c r="C1233" i="2"/>
  <c r="H1232" i="2"/>
  <c r="I1232" i="2" s="1"/>
  <c r="C1232" i="2"/>
  <c r="H1231" i="2"/>
  <c r="I1231" i="2" s="1"/>
  <c r="C1231" i="2"/>
  <c r="H1230" i="2"/>
  <c r="I1230" i="2" s="1"/>
  <c r="C1230" i="2"/>
  <c r="H1229" i="2"/>
  <c r="I1229" i="2" s="1"/>
  <c r="C1229" i="2"/>
  <c r="H1228" i="2"/>
  <c r="I1228" i="2" s="1"/>
  <c r="C1228" i="2"/>
  <c r="H1227" i="2"/>
  <c r="I1227" i="2" s="1"/>
  <c r="C1227" i="2"/>
  <c r="H1226" i="2"/>
  <c r="I1226" i="2" s="1"/>
  <c r="C1226" i="2"/>
  <c r="H1225" i="2"/>
  <c r="I1225" i="2" s="1"/>
  <c r="C1225" i="2"/>
  <c r="H1224" i="2"/>
  <c r="I1224" i="2" s="1"/>
  <c r="C1224" i="2"/>
  <c r="H1223" i="2"/>
  <c r="I1223" i="2" s="1"/>
  <c r="C1223" i="2"/>
  <c r="I1222" i="2"/>
  <c r="H1222" i="2"/>
  <c r="C1222" i="2"/>
  <c r="H1221" i="2"/>
  <c r="I1221" i="2" s="1"/>
  <c r="C1221" i="2"/>
  <c r="I1220" i="2"/>
  <c r="H1220" i="2"/>
  <c r="C1220" i="2"/>
  <c r="I1219" i="2"/>
  <c r="H1219" i="2"/>
  <c r="C1219" i="2"/>
  <c r="H1218" i="2"/>
  <c r="I1218" i="2" s="1"/>
  <c r="C1218" i="2"/>
  <c r="I1217" i="2"/>
  <c r="H1217" i="2"/>
  <c r="C1217" i="2"/>
  <c r="H1216" i="2"/>
  <c r="I1216" i="2" s="1"/>
  <c r="C1216" i="2"/>
  <c r="H1215" i="2"/>
  <c r="I1215" i="2" s="1"/>
  <c r="C1215" i="2"/>
  <c r="H1214" i="2"/>
  <c r="I1214" i="2" s="1"/>
  <c r="C1214" i="2"/>
  <c r="H1213" i="2"/>
  <c r="I1213" i="2" s="1"/>
  <c r="C1213" i="2"/>
  <c r="H1212" i="2"/>
  <c r="I1212" i="2" s="1"/>
  <c r="C1212" i="2"/>
  <c r="H1211" i="2"/>
  <c r="I1211" i="2" s="1"/>
  <c r="C1211" i="2"/>
  <c r="H1210" i="2"/>
  <c r="I1210" i="2" s="1"/>
  <c r="C1210" i="2"/>
  <c r="H1209" i="2"/>
  <c r="I1209" i="2" s="1"/>
  <c r="C1209" i="2"/>
  <c r="H1208" i="2"/>
  <c r="I1208" i="2" s="1"/>
  <c r="C1208" i="2"/>
  <c r="H1207" i="2"/>
  <c r="I1207" i="2" s="1"/>
  <c r="C1207" i="2"/>
  <c r="H1206" i="2"/>
  <c r="I1206" i="2" s="1"/>
  <c r="C1206" i="2"/>
  <c r="H1205" i="2"/>
  <c r="I1205" i="2" s="1"/>
  <c r="C1205" i="2"/>
  <c r="H1204" i="2"/>
  <c r="I1204" i="2" s="1"/>
  <c r="C1204" i="2"/>
  <c r="H1203" i="2"/>
  <c r="I1203" i="2" s="1"/>
  <c r="C1203" i="2"/>
  <c r="H1202" i="2"/>
  <c r="I1202" i="2" s="1"/>
  <c r="C1202" i="2"/>
  <c r="H1201" i="2"/>
  <c r="I1201" i="2" s="1"/>
  <c r="C1201" i="2"/>
  <c r="H1200" i="2"/>
  <c r="I1200" i="2" s="1"/>
  <c r="C1200" i="2"/>
  <c r="H1199" i="2"/>
  <c r="I1199" i="2" s="1"/>
  <c r="C1199" i="2"/>
  <c r="H1198" i="2"/>
  <c r="I1198" i="2" s="1"/>
  <c r="C1198" i="2"/>
  <c r="I1197" i="2"/>
  <c r="H1197" i="2"/>
  <c r="C1197" i="2"/>
  <c r="H1196" i="2"/>
  <c r="I1196" i="2" s="1"/>
  <c r="C1196" i="2"/>
  <c r="H1195" i="2"/>
  <c r="I1195" i="2" s="1"/>
  <c r="C1195" i="2"/>
  <c r="H1194" i="2"/>
  <c r="I1194" i="2" s="1"/>
  <c r="C1194" i="2"/>
  <c r="H1193" i="2"/>
  <c r="I1193" i="2" s="1"/>
  <c r="C1193" i="2"/>
  <c r="I1192" i="2"/>
  <c r="H1192" i="2"/>
  <c r="C1192" i="2"/>
  <c r="H1191" i="2"/>
  <c r="I1191" i="2" s="1"/>
  <c r="C1191" i="2"/>
  <c r="I1190" i="2"/>
  <c r="H1190" i="2"/>
  <c r="C1190" i="2"/>
  <c r="H1189" i="2"/>
  <c r="I1189" i="2" s="1"/>
  <c r="C1189" i="2"/>
  <c r="H1188" i="2"/>
  <c r="I1188" i="2" s="1"/>
  <c r="C1188" i="2"/>
  <c r="H1187" i="2"/>
  <c r="I1187" i="2" s="1"/>
  <c r="C1187" i="2"/>
  <c r="H1186" i="2"/>
  <c r="I1186" i="2" s="1"/>
  <c r="C1186" i="2"/>
  <c r="H1185" i="2"/>
  <c r="I1185" i="2" s="1"/>
  <c r="C1185" i="2"/>
  <c r="H1184" i="2"/>
  <c r="I1184" i="2" s="1"/>
  <c r="C1184" i="2"/>
  <c r="H1183" i="2"/>
  <c r="I1183" i="2" s="1"/>
  <c r="C1183" i="2"/>
  <c r="H1182" i="2"/>
  <c r="I1182" i="2" s="1"/>
  <c r="C1182" i="2"/>
  <c r="H1181" i="2"/>
  <c r="I1181" i="2" s="1"/>
  <c r="C1181" i="2"/>
  <c r="H1180" i="2"/>
  <c r="I1180" i="2" s="1"/>
  <c r="C1180" i="2"/>
  <c r="H1179" i="2"/>
  <c r="I1179" i="2" s="1"/>
  <c r="C1179" i="2"/>
  <c r="H1178" i="2"/>
  <c r="I1178" i="2" s="1"/>
  <c r="C1178" i="2"/>
  <c r="I1177" i="2"/>
  <c r="H1177" i="2"/>
  <c r="C1177" i="2"/>
  <c r="H1176" i="2"/>
  <c r="I1176" i="2" s="1"/>
  <c r="C1176" i="2"/>
  <c r="H1175" i="2"/>
  <c r="I1175" i="2" s="1"/>
  <c r="C1175" i="2"/>
  <c r="H1174" i="2"/>
  <c r="I1174" i="2" s="1"/>
  <c r="C1174" i="2"/>
  <c r="H1173" i="2"/>
  <c r="I1173" i="2" s="1"/>
  <c r="C1173" i="2"/>
  <c r="H1172" i="2"/>
  <c r="I1172" i="2" s="1"/>
  <c r="C1172" i="2"/>
  <c r="H1171" i="2"/>
  <c r="I1171" i="2" s="1"/>
  <c r="C1171" i="2"/>
  <c r="H1170" i="2"/>
  <c r="I1170" i="2" s="1"/>
  <c r="C1170" i="2"/>
  <c r="H1169" i="2"/>
  <c r="I1169" i="2" s="1"/>
  <c r="C1169" i="2"/>
  <c r="H1168" i="2"/>
  <c r="I1168" i="2" s="1"/>
  <c r="C1168" i="2"/>
  <c r="H1167" i="2"/>
  <c r="I1167" i="2" s="1"/>
  <c r="C1167" i="2"/>
  <c r="H1166" i="2"/>
  <c r="I1166" i="2" s="1"/>
  <c r="C1166" i="2"/>
  <c r="I1165" i="2"/>
  <c r="H1165" i="2"/>
  <c r="C1165" i="2"/>
  <c r="H1164" i="2"/>
  <c r="I1164" i="2" s="1"/>
  <c r="C1164" i="2"/>
  <c r="H1163" i="2"/>
  <c r="I1163" i="2" s="1"/>
  <c r="C1163" i="2"/>
  <c r="H1162" i="2"/>
  <c r="I1162" i="2" s="1"/>
  <c r="C1162" i="2"/>
  <c r="H1161" i="2"/>
  <c r="I1161" i="2" s="1"/>
  <c r="C1161" i="2"/>
  <c r="H1160" i="2"/>
  <c r="I1160" i="2" s="1"/>
  <c r="C1160" i="2"/>
  <c r="H1159" i="2"/>
  <c r="I1159" i="2" s="1"/>
  <c r="C1159" i="2"/>
  <c r="I1158" i="2"/>
  <c r="H1158" i="2"/>
  <c r="C1158" i="2"/>
  <c r="H1157" i="2"/>
  <c r="I1157" i="2" s="1"/>
  <c r="C1157" i="2"/>
  <c r="H1156" i="2"/>
  <c r="I1156" i="2" s="1"/>
  <c r="C1156" i="2"/>
  <c r="H1155" i="2"/>
  <c r="I1155" i="2" s="1"/>
  <c r="C1155" i="2"/>
  <c r="H1154" i="2"/>
  <c r="I1154" i="2" s="1"/>
  <c r="C1154" i="2"/>
  <c r="H1153" i="2"/>
  <c r="I1153" i="2" s="1"/>
  <c r="C1153" i="2"/>
  <c r="H1152" i="2"/>
  <c r="I1152" i="2" s="1"/>
  <c r="C1152" i="2"/>
  <c r="H1151" i="2"/>
  <c r="I1151" i="2" s="1"/>
  <c r="C1151" i="2"/>
  <c r="H1150" i="2"/>
  <c r="I1150" i="2" s="1"/>
  <c r="C1150" i="2"/>
  <c r="I1149" i="2"/>
  <c r="H1149" i="2"/>
  <c r="C1149" i="2"/>
  <c r="H1148" i="2"/>
  <c r="I1148" i="2" s="1"/>
  <c r="C1148" i="2"/>
  <c r="H1147" i="2"/>
  <c r="I1147" i="2" s="1"/>
  <c r="C1147" i="2"/>
  <c r="H1146" i="2"/>
  <c r="I1146" i="2" s="1"/>
  <c r="C1146" i="2"/>
  <c r="I1145" i="2"/>
  <c r="H1145" i="2"/>
  <c r="C1145" i="2"/>
  <c r="H1144" i="2"/>
  <c r="I1144" i="2" s="1"/>
  <c r="C1144" i="2"/>
  <c r="H1143" i="2"/>
  <c r="I1143" i="2" s="1"/>
  <c r="C1143" i="2"/>
  <c r="H1142" i="2"/>
  <c r="I1142" i="2" s="1"/>
  <c r="C1142" i="2"/>
  <c r="H1141" i="2"/>
  <c r="I1141" i="2" s="1"/>
  <c r="C1141" i="2"/>
  <c r="H1140" i="2"/>
  <c r="I1140" i="2" s="1"/>
  <c r="C1140" i="2"/>
  <c r="I1139" i="2"/>
  <c r="H1139" i="2"/>
  <c r="C1139" i="2"/>
  <c r="H1138" i="2"/>
  <c r="I1138" i="2" s="1"/>
  <c r="C1138" i="2"/>
  <c r="H1137" i="2"/>
  <c r="I1137" i="2" s="1"/>
  <c r="C1137" i="2"/>
  <c r="H1136" i="2"/>
  <c r="I1136" i="2" s="1"/>
  <c r="C1136" i="2"/>
  <c r="H1135" i="2"/>
  <c r="I1135" i="2" s="1"/>
  <c r="C1135" i="2"/>
  <c r="I1134" i="2"/>
  <c r="H1134" i="2"/>
  <c r="C1134" i="2"/>
  <c r="H1133" i="2"/>
  <c r="I1133" i="2" s="1"/>
  <c r="C1133" i="2"/>
  <c r="H1132" i="2"/>
  <c r="I1132" i="2" s="1"/>
  <c r="C1132" i="2"/>
  <c r="H1131" i="2"/>
  <c r="I1131" i="2" s="1"/>
  <c r="C1131" i="2"/>
  <c r="H1130" i="2"/>
  <c r="I1130" i="2" s="1"/>
  <c r="C1130" i="2"/>
  <c r="H1129" i="2"/>
  <c r="I1129" i="2" s="1"/>
  <c r="C1129" i="2"/>
  <c r="H1128" i="2"/>
  <c r="I1128" i="2" s="1"/>
  <c r="C1128" i="2"/>
  <c r="H1127" i="2"/>
  <c r="I1127" i="2" s="1"/>
  <c r="C1127" i="2"/>
  <c r="I1126" i="2"/>
  <c r="H1126" i="2"/>
  <c r="C1126" i="2"/>
  <c r="H1125" i="2"/>
  <c r="I1125" i="2" s="1"/>
  <c r="C1125" i="2"/>
  <c r="I1124" i="2"/>
  <c r="H1124" i="2"/>
  <c r="C1124" i="2"/>
  <c r="H1123" i="2"/>
  <c r="I1123" i="2" s="1"/>
  <c r="C1123" i="2"/>
  <c r="H1122" i="2"/>
  <c r="I1122" i="2" s="1"/>
  <c r="C1122" i="2"/>
  <c r="H1121" i="2"/>
  <c r="I1121" i="2" s="1"/>
  <c r="C1121" i="2"/>
  <c r="H1120" i="2"/>
  <c r="I1120" i="2" s="1"/>
  <c r="C1120" i="2"/>
  <c r="I1119" i="2"/>
  <c r="H1119" i="2"/>
  <c r="C1119" i="2"/>
  <c r="H1118" i="2"/>
  <c r="I1118" i="2" s="1"/>
  <c r="C1118" i="2"/>
  <c r="H1117" i="2"/>
  <c r="I1117" i="2" s="1"/>
  <c r="C1117" i="2"/>
  <c r="H1116" i="2"/>
  <c r="I1116" i="2" s="1"/>
  <c r="C1116" i="2"/>
  <c r="H1115" i="2"/>
  <c r="I1115" i="2" s="1"/>
  <c r="C1115" i="2"/>
  <c r="H1114" i="2"/>
  <c r="I1114" i="2" s="1"/>
  <c r="C1114" i="2"/>
  <c r="H1113" i="2"/>
  <c r="I1113" i="2" s="1"/>
  <c r="C1113" i="2"/>
  <c r="H1112" i="2"/>
  <c r="I1112" i="2" s="1"/>
  <c r="C1112" i="2"/>
  <c r="H1111" i="2"/>
  <c r="I1111" i="2" s="1"/>
  <c r="C1111" i="2"/>
  <c r="I1110" i="2"/>
  <c r="H1110" i="2"/>
  <c r="C1110" i="2"/>
  <c r="I1109" i="2"/>
  <c r="H1109" i="2"/>
  <c r="C1109" i="2"/>
  <c r="H1108" i="2"/>
  <c r="I1108" i="2" s="1"/>
  <c r="C1108" i="2"/>
  <c r="H1107" i="2"/>
  <c r="I1107" i="2" s="1"/>
  <c r="C1107" i="2"/>
  <c r="H1106" i="2"/>
  <c r="I1106" i="2" s="1"/>
  <c r="C1106" i="2"/>
  <c r="H1105" i="2"/>
  <c r="I1105" i="2" s="1"/>
  <c r="C1105" i="2"/>
  <c r="H1104" i="2"/>
  <c r="I1104" i="2" s="1"/>
  <c r="C1104" i="2"/>
  <c r="H1103" i="2"/>
  <c r="I1103" i="2" s="1"/>
  <c r="C1103" i="2"/>
  <c r="H1102" i="2"/>
  <c r="I1102" i="2" s="1"/>
  <c r="C1102" i="2"/>
  <c r="H1101" i="2"/>
  <c r="I1101" i="2" s="1"/>
  <c r="C1101" i="2"/>
  <c r="I1100" i="2"/>
  <c r="H1100" i="2"/>
  <c r="C1100" i="2"/>
  <c r="H1099" i="2"/>
  <c r="I1099" i="2" s="1"/>
  <c r="C1099" i="2"/>
  <c r="I1098" i="2"/>
  <c r="H1098" i="2"/>
  <c r="C1098" i="2"/>
  <c r="H1097" i="2"/>
  <c r="I1097" i="2" s="1"/>
  <c r="C1097" i="2"/>
  <c r="H1096" i="2"/>
  <c r="I1096" i="2" s="1"/>
  <c r="C1096" i="2"/>
  <c r="H1095" i="2"/>
  <c r="I1095" i="2" s="1"/>
  <c r="C1095" i="2"/>
  <c r="H1094" i="2"/>
  <c r="I1094" i="2" s="1"/>
  <c r="C1094" i="2"/>
  <c r="H1093" i="2"/>
  <c r="I1093" i="2" s="1"/>
  <c r="C1093" i="2"/>
  <c r="H1092" i="2"/>
  <c r="I1092" i="2" s="1"/>
  <c r="C1092" i="2"/>
  <c r="H1091" i="2"/>
  <c r="I1091" i="2" s="1"/>
  <c r="C1091" i="2"/>
  <c r="H1090" i="2"/>
  <c r="I1090" i="2" s="1"/>
  <c r="C1090" i="2"/>
  <c r="I1089" i="2"/>
  <c r="H1089" i="2"/>
  <c r="C1089" i="2"/>
  <c r="H1088" i="2"/>
  <c r="I1088" i="2" s="1"/>
  <c r="C1088" i="2"/>
  <c r="H1087" i="2"/>
  <c r="I1087" i="2" s="1"/>
  <c r="C1087" i="2"/>
  <c r="H1086" i="2"/>
  <c r="I1086" i="2" s="1"/>
  <c r="C1086" i="2"/>
  <c r="I1085" i="2"/>
  <c r="H1085" i="2"/>
  <c r="C1085" i="2"/>
  <c r="H1084" i="2"/>
  <c r="I1084" i="2" s="1"/>
  <c r="C1084" i="2"/>
  <c r="H1083" i="2"/>
  <c r="I1083" i="2" s="1"/>
  <c r="C1083" i="2"/>
  <c r="H1082" i="2"/>
  <c r="I1082" i="2" s="1"/>
  <c r="C1082" i="2"/>
  <c r="I1081" i="2"/>
  <c r="H1081" i="2"/>
  <c r="C1081" i="2"/>
  <c r="I1080" i="2"/>
  <c r="H1080" i="2"/>
  <c r="C1080" i="2"/>
  <c r="H1079" i="2"/>
  <c r="I1079" i="2" s="1"/>
  <c r="C1079" i="2"/>
  <c r="H1078" i="2"/>
  <c r="I1078" i="2" s="1"/>
  <c r="C1078" i="2"/>
  <c r="H1077" i="2"/>
  <c r="I1077" i="2" s="1"/>
  <c r="C1077" i="2"/>
  <c r="H1076" i="2"/>
  <c r="I1076" i="2" s="1"/>
  <c r="C1076" i="2"/>
  <c r="H1075" i="2"/>
  <c r="I1075" i="2" s="1"/>
  <c r="C1075" i="2"/>
  <c r="H1074" i="2"/>
  <c r="I1074" i="2" s="1"/>
  <c r="C1074" i="2"/>
  <c r="H1073" i="2"/>
  <c r="I1073" i="2" s="1"/>
  <c r="C1073" i="2"/>
  <c r="H1072" i="2"/>
  <c r="I1072" i="2" s="1"/>
  <c r="C1072" i="2"/>
  <c r="H1071" i="2"/>
  <c r="I1071" i="2" s="1"/>
  <c r="C1071" i="2"/>
  <c r="I1070" i="2"/>
  <c r="H1070" i="2"/>
  <c r="C1070" i="2"/>
  <c r="H1069" i="2"/>
  <c r="I1069" i="2" s="1"/>
  <c r="C1069" i="2"/>
  <c r="H1068" i="2"/>
  <c r="I1068" i="2" s="1"/>
  <c r="C1068" i="2"/>
  <c r="H1067" i="2"/>
  <c r="I1067" i="2" s="1"/>
  <c r="C1067" i="2"/>
  <c r="H1066" i="2"/>
  <c r="I1066" i="2" s="1"/>
  <c r="C1066" i="2"/>
  <c r="H1065" i="2"/>
  <c r="I1065" i="2" s="1"/>
  <c r="C1065" i="2"/>
  <c r="H1064" i="2"/>
  <c r="I1064" i="2" s="1"/>
  <c r="C1064" i="2"/>
  <c r="H1063" i="2"/>
  <c r="I1063" i="2" s="1"/>
  <c r="C1063" i="2"/>
  <c r="H1062" i="2"/>
  <c r="I1062" i="2" s="1"/>
  <c r="C1062" i="2"/>
  <c r="H1061" i="2"/>
  <c r="I1061" i="2" s="1"/>
  <c r="C1061" i="2"/>
  <c r="H1060" i="2"/>
  <c r="I1060" i="2" s="1"/>
  <c r="C1060" i="2"/>
  <c r="H1059" i="2"/>
  <c r="I1059" i="2" s="1"/>
  <c r="C1059" i="2"/>
  <c r="H1058" i="2"/>
  <c r="I1058" i="2" s="1"/>
  <c r="C1058" i="2"/>
  <c r="H1057" i="2"/>
  <c r="I1057" i="2" s="1"/>
  <c r="C1057" i="2"/>
  <c r="I1056" i="2"/>
  <c r="H1056" i="2"/>
  <c r="C1056" i="2"/>
  <c r="H1055" i="2"/>
  <c r="I1055" i="2" s="1"/>
  <c r="C1055" i="2"/>
  <c r="H1054" i="2"/>
  <c r="I1054" i="2" s="1"/>
  <c r="C1054" i="2"/>
  <c r="H1053" i="2"/>
  <c r="I1053" i="2" s="1"/>
  <c r="C1053" i="2"/>
  <c r="H1052" i="2"/>
  <c r="I1052" i="2" s="1"/>
  <c r="C1052" i="2"/>
  <c r="H1051" i="2"/>
  <c r="I1051" i="2" s="1"/>
  <c r="C1051" i="2"/>
  <c r="H1050" i="2"/>
  <c r="I1050" i="2" s="1"/>
  <c r="C1050" i="2"/>
  <c r="H1049" i="2"/>
  <c r="I1049" i="2" s="1"/>
  <c r="C1049" i="2"/>
  <c r="H1048" i="2"/>
  <c r="I1048" i="2" s="1"/>
  <c r="C1048" i="2"/>
  <c r="H1047" i="2"/>
  <c r="I1047" i="2" s="1"/>
  <c r="C1047" i="2"/>
  <c r="H1046" i="2"/>
  <c r="I1046" i="2" s="1"/>
  <c r="C1046" i="2"/>
  <c r="H1045" i="2"/>
  <c r="I1045" i="2" s="1"/>
  <c r="C1045" i="2"/>
  <c r="H1044" i="2"/>
  <c r="I1044" i="2" s="1"/>
  <c r="C1044" i="2"/>
  <c r="I1043" i="2"/>
  <c r="H1043" i="2"/>
  <c r="C1043" i="2"/>
  <c r="H1042" i="2"/>
  <c r="I1042" i="2" s="1"/>
  <c r="C1042" i="2"/>
  <c r="H1041" i="2"/>
  <c r="I1041" i="2" s="1"/>
  <c r="C1041" i="2"/>
  <c r="H1040" i="2"/>
  <c r="I1040" i="2" s="1"/>
  <c r="C1040" i="2"/>
  <c r="H1039" i="2"/>
  <c r="I1039" i="2" s="1"/>
  <c r="C1039" i="2"/>
  <c r="H1038" i="2"/>
  <c r="I1038" i="2" s="1"/>
  <c r="C1038" i="2"/>
  <c r="H1037" i="2"/>
  <c r="I1037" i="2" s="1"/>
  <c r="C1037" i="2"/>
  <c r="H1036" i="2"/>
  <c r="I1036" i="2" s="1"/>
  <c r="C1036" i="2"/>
  <c r="H1035" i="2"/>
  <c r="I1035" i="2" s="1"/>
  <c r="C1035" i="2"/>
  <c r="I1034" i="2"/>
  <c r="H1034" i="2"/>
  <c r="C1034" i="2"/>
  <c r="H1033" i="2"/>
  <c r="I1033" i="2" s="1"/>
  <c r="C1033" i="2"/>
  <c r="H1032" i="2"/>
  <c r="I1032" i="2" s="1"/>
  <c r="C1032" i="2"/>
  <c r="H1031" i="2"/>
  <c r="I1031" i="2" s="1"/>
  <c r="C1031" i="2"/>
  <c r="H1030" i="2"/>
  <c r="I1030" i="2" s="1"/>
  <c r="C1030" i="2"/>
  <c r="H1029" i="2"/>
  <c r="I1029" i="2" s="1"/>
  <c r="C1029" i="2"/>
  <c r="H1028" i="2"/>
  <c r="I1028" i="2" s="1"/>
  <c r="C1028" i="2"/>
  <c r="H1027" i="2"/>
  <c r="I1027" i="2" s="1"/>
  <c r="C1027" i="2"/>
  <c r="I1026" i="2"/>
  <c r="H1026" i="2"/>
  <c r="C1026" i="2"/>
  <c r="H1025" i="2"/>
  <c r="I1025" i="2" s="1"/>
  <c r="C1025" i="2"/>
  <c r="H1024" i="2"/>
  <c r="I1024" i="2" s="1"/>
  <c r="C1024" i="2"/>
  <c r="H1023" i="2"/>
  <c r="I1023" i="2" s="1"/>
  <c r="C1023" i="2"/>
  <c r="H1022" i="2"/>
  <c r="I1022" i="2" s="1"/>
  <c r="C1022" i="2"/>
  <c r="I1021" i="2"/>
  <c r="H1021" i="2"/>
  <c r="C1021" i="2"/>
  <c r="H1020" i="2"/>
  <c r="I1020" i="2" s="1"/>
  <c r="C1020" i="2"/>
  <c r="I1019" i="2"/>
  <c r="H1019" i="2"/>
  <c r="C1019" i="2"/>
  <c r="H1018" i="2"/>
  <c r="I1018" i="2" s="1"/>
  <c r="C1018" i="2"/>
  <c r="I1017" i="2"/>
  <c r="H1017" i="2"/>
  <c r="C1017" i="2"/>
  <c r="I1016" i="2"/>
  <c r="H1016" i="2"/>
  <c r="C1016" i="2"/>
  <c r="H1015" i="2"/>
  <c r="I1015" i="2" s="1"/>
  <c r="C1015" i="2"/>
  <c r="H1014" i="2"/>
  <c r="I1014" i="2" s="1"/>
  <c r="C1014" i="2"/>
  <c r="I1013" i="2"/>
  <c r="H1013" i="2"/>
  <c r="C1013" i="2"/>
  <c r="H1012" i="2"/>
  <c r="I1012" i="2" s="1"/>
  <c r="C1012" i="2"/>
  <c r="I1011" i="2"/>
  <c r="H1011" i="2"/>
  <c r="C1011" i="2"/>
  <c r="H1010" i="2"/>
  <c r="I1010" i="2" s="1"/>
  <c r="C1010" i="2"/>
  <c r="H1009" i="2"/>
  <c r="I1009" i="2" s="1"/>
  <c r="C1009" i="2"/>
  <c r="H1008" i="2"/>
  <c r="I1008" i="2" s="1"/>
  <c r="C1008" i="2"/>
  <c r="H1007" i="2"/>
  <c r="I1007" i="2" s="1"/>
  <c r="C1007" i="2"/>
  <c r="H1006" i="2"/>
  <c r="I1006" i="2" s="1"/>
  <c r="C1006" i="2"/>
  <c r="I1005" i="2"/>
  <c r="H1005" i="2"/>
  <c r="C1005" i="2"/>
  <c r="I1004" i="2"/>
  <c r="H1004" i="2"/>
  <c r="C1004" i="2"/>
  <c r="H1003" i="2"/>
  <c r="I1003" i="2" s="1"/>
  <c r="C1003" i="2"/>
  <c r="H1002" i="2"/>
  <c r="I1002" i="2" s="1"/>
  <c r="C1002" i="2"/>
  <c r="H1001" i="2"/>
  <c r="I1001" i="2" s="1"/>
  <c r="C1001" i="2"/>
  <c r="H1000" i="2"/>
  <c r="I1000" i="2" s="1"/>
  <c r="C1000" i="2"/>
  <c r="H999" i="2"/>
  <c r="I999" i="2" s="1"/>
  <c r="C999" i="2"/>
  <c r="H998" i="2"/>
  <c r="I998" i="2" s="1"/>
  <c r="C998" i="2"/>
  <c r="I997" i="2"/>
  <c r="H997" i="2"/>
  <c r="C997" i="2"/>
  <c r="I996" i="2"/>
  <c r="H996" i="2"/>
  <c r="C996" i="2"/>
  <c r="H995" i="2"/>
  <c r="I995" i="2" s="1"/>
  <c r="C995" i="2"/>
  <c r="H994" i="2"/>
  <c r="I994" i="2" s="1"/>
  <c r="C994" i="2"/>
  <c r="H993" i="2"/>
  <c r="I993" i="2" s="1"/>
  <c r="C993" i="2"/>
  <c r="H992" i="2"/>
  <c r="I992" i="2" s="1"/>
  <c r="C992" i="2"/>
  <c r="H991" i="2"/>
  <c r="I991" i="2" s="1"/>
  <c r="C991" i="2"/>
  <c r="H990" i="2"/>
  <c r="I990" i="2" s="1"/>
  <c r="C990" i="2"/>
  <c r="H989" i="2"/>
  <c r="I989" i="2" s="1"/>
  <c r="C989" i="2"/>
  <c r="H988" i="2"/>
  <c r="I988" i="2" s="1"/>
  <c r="C988" i="2"/>
  <c r="I987" i="2"/>
  <c r="H987" i="2"/>
  <c r="C987" i="2"/>
  <c r="I986" i="2"/>
  <c r="H986" i="2"/>
  <c r="C986" i="2"/>
  <c r="H985" i="2"/>
  <c r="I985" i="2" s="1"/>
  <c r="C985" i="2"/>
  <c r="H984" i="2"/>
  <c r="I984" i="2" s="1"/>
  <c r="C984" i="2"/>
  <c r="H983" i="2"/>
  <c r="I983" i="2" s="1"/>
  <c r="C983" i="2"/>
  <c r="H982" i="2"/>
  <c r="I982" i="2" s="1"/>
  <c r="C982" i="2"/>
  <c r="H981" i="2"/>
  <c r="I981" i="2" s="1"/>
  <c r="C981" i="2"/>
  <c r="H980" i="2"/>
  <c r="I980" i="2" s="1"/>
  <c r="C980" i="2"/>
  <c r="H979" i="2"/>
  <c r="I979" i="2" s="1"/>
  <c r="C979" i="2"/>
  <c r="H978" i="2"/>
  <c r="I978" i="2" s="1"/>
  <c r="C978" i="2"/>
  <c r="H977" i="2"/>
  <c r="I977" i="2" s="1"/>
  <c r="C977" i="2"/>
  <c r="H976" i="2"/>
  <c r="I976" i="2" s="1"/>
  <c r="C976" i="2"/>
  <c r="H975" i="2"/>
  <c r="I975" i="2" s="1"/>
  <c r="C975" i="2"/>
  <c r="H974" i="2"/>
  <c r="I974" i="2" s="1"/>
  <c r="C974" i="2"/>
  <c r="I973" i="2"/>
  <c r="H973" i="2"/>
  <c r="C973" i="2"/>
  <c r="H972" i="2"/>
  <c r="I972" i="2" s="1"/>
  <c r="C972" i="2"/>
  <c r="H971" i="2"/>
  <c r="I971" i="2" s="1"/>
  <c r="C971" i="2"/>
  <c r="I970" i="2"/>
  <c r="H970" i="2"/>
  <c r="C970" i="2"/>
  <c r="H969" i="2"/>
  <c r="I969" i="2" s="1"/>
  <c r="C969" i="2"/>
  <c r="I968" i="2"/>
  <c r="H968" i="2"/>
  <c r="C968" i="2"/>
  <c r="H967" i="2"/>
  <c r="I967" i="2" s="1"/>
  <c r="C967" i="2"/>
  <c r="H966" i="2"/>
  <c r="I966" i="2" s="1"/>
  <c r="C966" i="2"/>
  <c r="I965" i="2"/>
  <c r="H965" i="2"/>
  <c r="C965" i="2"/>
  <c r="I964" i="2"/>
  <c r="H964" i="2"/>
  <c r="C964" i="2"/>
  <c r="H963" i="2"/>
  <c r="I963" i="2" s="1"/>
  <c r="C963" i="2"/>
  <c r="H962" i="2"/>
  <c r="I962" i="2" s="1"/>
  <c r="C962" i="2"/>
  <c r="H961" i="2"/>
  <c r="I961" i="2" s="1"/>
  <c r="C961" i="2"/>
  <c r="H960" i="2"/>
  <c r="I960" i="2" s="1"/>
  <c r="C960" i="2"/>
  <c r="H959" i="2"/>
  <c r="I959" i="2" s="1"/>
  <c r="C959" i="2"/>
  <c r="I958" i="2"/>
  <c r="H958" i="2"/>
  <c r="C958" i="2"/>
  <c r="H957" i="2"/>
  <c r="I957" i="2" s="1"/>
  <c r="C957" i="2"/>
  <c r="I956" i="2"/>
  <c r="H956" i="2"/>
  <c r="C956" i="2"/>
  <c r="I955" i="2"/>
  <c r="H955" i="2"/>
  <c r="C955" i="2"/>
  <c r="H954" i="2"/>
  <c r="I954" i="2" s="1"/>
  <c r="C954" i="2"/>
  <c r="H953" i="2"/>
  <c r="I953" i="2" s="1"/>
  <c r="C953" i="2"/>
  <c r="H952" i="2"/>
  <c r="I952" i="2" s="1"/>
  <c r="C952" i="2"/>
  <c r="H951" i="2"/>
  <c r="I951" i="2" s="1"/>
  <c r="C951" i="2"/>
  <c r="H950" i="2"/>
  <c r="I950" i="2" s="1"/>
  <c r="C950" i="2"/>
  <c r="H949" i="2"/>
  <c r="I949" i="2" s="1"/>
  <c r="C949" i="2"/>
  <c r="I948" i="2"/>
  <c r="H948" i="2"/>
  <c r="C948" i="2"/>
  <c r="I947" i="2"/>
  <c r="H947" i="2"/>
  <c r="C947" i="2"/>
  <c r="H946" i="2"/>
  <c r="I946" i="2" s="1"/>
  <c r="C946" i="2"/>
  <c r="I945" i="2"/>
  <c r="H945" i="2"/>
  <c r="C945" i="2"/>
  <c r="H944" i="2"/>
  <c r="I944" i="2" s="1"/>
  <c r="C944" i="2"/>
  <c r="H943" i="2"/>
  <c r="I943" i="2" s="1"/>
  <c r="C943" i="2"/>
  <c r="H942" i="2"/>
  <c r="I942" i="2" s="1"/>
  <c r="C942" i="2"/>
  <c r="H941" i="2"/>
  <c r="I941" i="2" s="1"/>
  <c r="C941" i="2"/>
  <c r="H940" i="2"/>
  <c r="I940" i="2" s="1"/>
  <c r="C940" i="2"/>
  <c r="H939" i="2"/>
  <c r="I939" i="2" s="1"/>
  <c r="C939" i="2"/>
  <c r="I938" i="2"/>
  <c r="H938" i="2"/>
  <c r="C938" i="2"/>
  <c r="H937" i="2"/>
  <c r="I937" i="2" s="1"/>
  <c r="C937" i="2"/>
  <c r="I936" i="2"/>
  <c r="H936" i="2"/>
  <c r="C936" i="2"/>
  <c r="H935" i="2"/>
  <c r="I935" i="2" s="1"/>
  <c r="C935" i="2"/>
  <c r="H934" i="2"/>
  <c r="I934" i="2" s="1"/>
  <c r="C934" i="2"/>
  <c r="H933" i="2"/>
  <c r="I933" i="2" s="1"/>
  <c r="C933" i="2"/>
  <c r="H932" i="2"/>
  <c r="I932" i="2" s="1"/>
  <c r="C932" i="2"/>
  <c r="H931" i="2"/>
  <c r="I931" i="2" s="1"/>
  <c r="C931" i="2"/>
  <c r="H930" i="2"/>
  <c r="I930" i="2" s="1"/>
  <c r="C930" i="2"/>
  <c r="H929" i="2"/>
  <c r="I929" i="2" s="1"/>
  <c r="C929" i="2"/>
  <c r="H928" i="2"/>
  <c r="I928" i="2" s="1"/>
  <c r="C928" i="2"/>
  <c r="H927" i="2"/>
  <c r="I927" i="2" s="1"/>
  <c r="C927" i="2"/>
  <c r="H926" i="2"/>
  <c r="I926" i="2" s="1"/>
  <c r="C926" i="2"/>
  <c r="H925" i="2"/>
  <c r="I925" i="2" s="1"/>
  <c r="C925" i="2"/>
  <c r="H924" i="2"/>
  <c r="I924" i="2" s="1"/>
  <c r="C924" i="2"/>
  <c r="I923" i="2"/>
  <c r="H923" i="2"/>
  <c r="C923" i="2"/>
  <c r="H922" i="2"/>
  <c r="I922" i="2" s="1"/>
  <c r="C922" i="2"/>
  <c r="H921" i="2"/>
  <c r="I921" i="2" s="1"/>
  <c r="C921" i="2"/>
  <c r="H920" i="2"/>
  <c r="I920" i="2" s="1"/>
  <c r="C920" i="2"/>
  <c r="H919" i="2"/>
  <c r="I919" i="2" s="1"/>
  <c r="C919" i="2"/>
  <c r="H918" i="2"/>
  <c r="I918" i="2" s="1"/>
  <c r="C918" i="2"/>
  <c r="H917" i="2"/>
  <c r="I917" i="2" s="1"/>
  <c r="C917" i="2"/>
  <c r="H916" i="2"/>
  <c r="I916" i="2" s="1"/>
  <c r="C916" i="2"/>
  <c r="H915" i="2"/>
  <c r="I915" i="2" s="1"/>
  <c r="C915" i="2"/>
  <c r="H914" i="2"/>
  <c r="I914" i="2" s="1"/>
  <c r="C914" i="2"/>
  <c r="H913" i="2"/>
  <c r="I913" i="2" s="1"/>
  <c r="C913" i="2"/>
  <c r="H912" i="2"/>
  <c r="I912" i="2" s="1"/>
  <c r="C912" i="2"/>
  <c r="I911" i="2"/>
  <c r="H911" i="2"/>
  <c r="C911" i="2"/>
  <c r="H910" i="2"/>
  <c r="I910" i="2" s="1"/>
  <c r="C910" i="2"/>
  <c r="H909" i="2"/>
  <c r="I909" i="2" s="1"/>
  <c r="C909" i="2"/>
  <c r="H908" i="2"/>
  <c r="I908" i="2" s="1"/>
  <c r="C908" i="2"/>
  <c r="H907" i="2"/>
  <c r="I907" i="2" s="1"/>
  <c r="C907" i="2"/>
  <c r="I906" i="2"/>
  <c r="H906" i="2"/>
  <c r="C906" i="2"/>
  <c r="H905" i="2"/>
  <c r="I905" i="2" s="1"/>
  <c r="C905" i="2"/>
  <c r="H904" i="2"/>
  <c r="I904" i="2" s="1"/>
  <c r="C904" i="2"/>
  <c r="H903" i="2"/>
  <c r="I903" i="2" s="1"/>
  <c r="C903" i="2"/>
  <c r="H902" i="2"/>
  <c r="I902" i="2" s="1"/>
  <c r="C902" i="2"/>
  <c r="H901" i="2"/>
  <c r="I901" i="2" s="1"/>
  <c r="C901" i="2"/>
  <c r="H900" i="2"/>
  <c r="I900" i="2" s="1"/>
  <c r="C900" i="2"/>
  <c r="I899" i="2"/>
  <c r="H899" i="2"/>
  <c r="C899" i="2"/>
  <c r="I898" i="2"/>
  <c r="H898" i="2"/>
  <c r="C898" i="2"/>
  <c r="H897" i="2"/>
  <c r="I897" i="2" s="1"/>
  <c r="C897" i="2"/>
  <c r="H896" i="2"/>
  <c r="I896" i="2" s="1"/>
  <c r="C896" i="2"/>
  <c r="H895" i="2"/>
  <c r="I895" i="2" s="1"/>
  <c r="C895" i="2"/>
  <c r="H894" i="2"/>
  <c r="I894" i="2" s="1"/>
  <c r="C894" i="2"/>
  <c r="H893" i="2"/>
  <c r="I893" i="2" s="1"/>
  <c r="C893" i="2"/>
  <c r="H892" i="2"/>
  <c r="I892" i="2" s="1"/>
  <c r="C892" i="2"/>
  <c r="H891" i="2"/>
  <c r="I891" i="2" s="1"/>
  <c r="C891" i="2"/>
  <c r="H890" i="2"/>
  <c r="I890" i="2" s="1"/>
  <c r="C890" i="2"/>
  <c r="H889" i="2"/>
  <c r="I889" i="2" s="1"/>
  <c r="C889" i="2"/>
  <c r="H888" i="2"/>
  <c r="I888" i="2" s="1"/>
  <c r="C888" i="2"/>
  <c r="H887" i="2"/>
  <c r="I887" i="2" s="1"/>
  <c r="C887" i="2"/>
  <c r="H886" i="2"/>
  <c r="I886" i="2" s="1"/>
  <c r="C886" i="2"/>
  <c r="H885" i="2"/>
  <c r="I885" i="2" s="1"/>
  <c r="C885" i="2"/>
  <c r="I884" i="2"/>
  <c r="H884" i="2"/>
  <c r="C884" i="2"/>
  <c r="H883" i="2"/>
  <c r="I883" i="2" s="1"/>
  <c r="C883" i="2"/>
  <c r="H882" i="2"/>
  <c r="I882" i="2" s="1"/>
  <c r="C882" i="2"/>
  <c r="I881" i="2"/>
  <c r="H881" i="2"/>
  <c r="C881" i="2"/>
  <c r="H880" i="2"/>
  <c r="I880" i="2" s="1"/>
  <c r="C880" i="2"/>
  <c r="H879" i="2"/>
  <c r="I879" i="2" s="1"/>
  <c r="C879" i="2"/>
  <c r="H878" i="2"/>
  <c r="I878" i="2" s="1"/>
  <c r="C878" i="2"/>
  <c r="H877" i="2"/>
  <c r="I877" i="2" s="1"/>
  <c r="C877" i="2"/>
  <c r="H876" i="2"/>
  <c r="I876" i="2" s="1"/>
  <c r="C876" i="2"/>
  <c r="I875" i="2"/>
  <c r="H875" i="2"/>
  <c r="C875" i="2"/>
  <c r="H874" i="2"/>
  <c r="I874" i="2" s="1"/>
  <c r="C874" i="2"/>
  <c r="I873" i="2"/>
  <c r="H873" i="2"/>
  <c r="C873" i="2"/>
  <c r="H872" i="2"/>
  <c r="I872" i="2" s="1"/>
  <c r="C872" i="2"/>
  <c r="H871" i="2"/>
  <c r="I871" i="2" s="1"/>
  <c r="C871" i="2"/>
  <c r="H870" i="2"/>
  <c r="I870" i="2" s="1"/>
  <c r="C870" i="2"/>
  <c r="I869" i="2"/>
  <c r="H869" i="2"/>
  <c r="C869" i="2"/>
  <c r="H868" i="2"/>
  <c r="I868" i="2" s="1"/>
  <c r="C868" i="2"/>
  <c r="H867" i="2"/>
  <c r="I867" i="2" s="1"/>
  <c r="C867" i="2"/>
  <c r="H866" i="2"/>
  <c r="I866" i="2" s="1"/>
  <c r="C866" i="2"/>
  <c r="H865" i="2"/>
  <c r="I865" i="2" s="1"/>
  <c r="C865" i="2"/>
  <c r="I864" i="2"/>
  <c r="H864" i="2"/>
  <c r="C864" i="2"/>
  <c r="H863" i="2"/>
  <c r="I863" i="2" s="1"/>
  <c r="C863" i="2"/>
  <c r="H862" i="2"/>
  <c r="I862" i="2" s="1"/>
  <c r="C862" i="2"/>
  <c r="H861" i="2"/>
  <c r="I861" i="2" s="1"/>
  <c r="C861" i="2"/>
  <c r="H860" i="2"/>
  <c r="I860" i="2" s="1"/>
  <c r="C860" i="2"/>
  <c r="H859" i="2"/>
  <c r="I859" i="2" s="1"/>
  <c r="C859" i="2"/>
  <c r="H858" i="2"/>
  <c r="I858" i="2" s="1"/>
  <c r="C858" i="2"/>
  <c r="H857" i="2"/>
  <c r="I857" i="2" s="1"/>
  <c r="C857" i="2"/>
  <c r="H856" i="2"/>
  <c r="I856" i="2" s="1"/>
  <c r="C856" i="2"/>
  <c r="H855" i="2"/>
  <c r="I855" i="2" s="1"/>
  <c r="C855" i="2"/>
  <c r="H854" i="2"/>
  <c r="I854" i="2" s="1"/>
  <c r="C854" i="2"/>
  <c r="H853" i="2"/>
  <c r="I853" i="2" s="1"/>
  <c r="C853" i="2"/>
  <c r="H852" i="2"/>
  <c r="I852" i="2" s="1"/>
  <c r="C852" i="2"/>
  <c r="H851" i="2"/>
  <c r="I851" i="2" s="1"/>
  <c r="C851" i="2"/>
  <c r="H850" i="2"/>
  <c r="I850" i="2" s="1"/>
  <c r="C850" i="2"/>
  <c r="H849" i="2"/>
  <c r="I849" i="2" s="1"/>
  <c r="C849" i="2"/>
  <c r="H848" i="2"/>
  <c r="I848" i="2" s="1"/>
  <c r="C848" i="2"/>
  <c r="H847" i="2"/>
  <c r="I847" i="2" s="1"/>
  <c r="C847" i="2"/>
  <c r="H846" i="2"/>
  <c r="I846" i="2" s="1"/>
  <c r="C846" i="2"/>
  <c r="H845" i="2"/>
  <c r="I845" i="2" s="1"/>
  <c r="C845" i="2"/>
  <c r="H844" i="2"/>
  <c r="I844" i="2" s="1"/>
  <c r="C844" i="2"/>
  <c r="H843" i="2"/>
  <c r="I843" i="2" s="1"/>
  <c r="C843" i="2"/>
  <c r="H842" i="2"/>
  <c r="I842" i="2" s="1"/>
  <c r="C842" i="2"/>
  <c r="H841" i="2"/>
  <c r="I841" i="2" s="1"/>
  <c r="C841" i="2"/>
  <c r="H840" i="2"/>
  <c r="I840" i="2" s="1"/>
  <c r="C840" i="2"/>
  <c r="H839" i="2"/>
  <c r="I839" i="2" s="1"/>
  <c r="C839" i="2"/>
  <c r="I838" i="2"/>
  <c r="H838" i="2"/>
  <c r="C838" i="2"/>
  <c r="H837" i="2"/>
  <c r="I837" i="2" s="1"/>
  <c r="C837" i="2"/>
  <c r="H836" i="2"/>
  <c r="I836" i="2" s="1"/>
  <c r="C836" i="2"/>
  <c r="I835" i="2"/>
  <c r="H835" i="2"/>
  <c r="C835" i="2"/>
  <c r="H834" i="2"/>
  <c r="I834" i="2" s="1"/>
  <c r="C834" i="2"/>
  <c r="H833" i="2"/>
  <c r="I833" i="2" s="1"/>
  <c r="C833" i="2"/>
  <c r="H832" i="2"/>
  <c r="I832" i="2" s="1"/>
  <c r="C832" i="2"/>
  <c r="H831" i="2"/>
  <c r="I831" i="2" s="1"/>
  <c r="C831" i="2"/>
  <c r="I830" i="2"/>
  <c r="H830" i="2"/>
  <c r="C830" i="2"/>
  <c r="I829" i="2"/>
  <c r="H829" i="2"/>
  <c r="C829" i="2"/>
  <c r="H828" i="2"/>
  <c r="I828" i="2" s="1"/>
  <c r="C828" i="2"/>
  <c r="H827" i="2"/>
  <c r="I827" i="2" s="1"/>
  <c r="C827" i="2"/>
  <c r="H826" i="2"/>
  <c r="I826" i="2" s="1"/>
  <c r="C826" i="2"/>
  <c r="H825" i="2"/>
  <c r="I825" i="2" s="1"/>
  <c r="C825" i="2"/>
  <c r="I824" i="2"/>
  <c r="H824" i="2"/>
  <c r="C824" i="2"/>
  <c r="H823" i="2"/>
  <c r="I823" i="2" s="1"/>
  <c r="C823" i="2"/>
  <c r="H822" i="2"/>
  <c r="I822" i="2" s="1"/>
  <c r="C822" i="2"/>
  <c r="H821" i="2"/>
  <c r="I821" i="2" s="1"/>
  <c r="C821" i="2"/>
  <c r="H820" i="2"/>
  <c r="I820" i="2" s="1"/>
  <c r="C820" i="2"/>
  <c r="H819" i="2"/>
  <c r="I819" i="2" s="1"/>
  <c r="C819" i="2"/>
  <c r="H818" i="2"/>
  <c r="I818" i="2" s="1"/>
  <c r="C818" i="2"/>
  <c r="H817" i="2"/>
  <c r="I817" i="2" s="1"/>
  <c r="C817" i="2"/>
  <c r="H816" i="2"/>
  <c r="I816" i="2" s="1"/>
  <c r="C816" i="2"/>
  <c r="I815" i="2"/>
  <c r="H815" i="2"/>
  <c r="C815" i="2"/>
  <c r="I814" i="2"/>
  <c r="H814" i="2"/>
  <c r="C814" i="2"/>
  <c r="H813" i="2"/>
  <c r="I813" i="2" s="1"/>
  <c r="C813" i="2"/>
  <c r="H812" i="2"/>
  <c r="I812" i="2" s="1"/>
  <c r="C812" i="2"/>
  <c r="H811" i="2"/>
  <c r="I811" i="2" s="1"/>
  <c r="C811" i="2"/>
  <c r="H810" i="2"/>
  <c r="I810" i="2" s="1"/>
  <c r="C810" i="2"/>
  <c r="I809" i="2"/>
  <c r="H809" i="2"/>
  <c r="C809" i="2"/>
  <c r="I808" i="2"/>
  <c r="H808" i="2"/>
  <c r="C808" i="2"/>
  <c r="H807" i="2"/>
  <c r="I807" i="2" s="1"/>
  <c r="C807" i="2"/>
  <c r="I806" i="2"/>
  <c r="H806" i="2"/>
  <c r="C806" i="2"/>
  <c r="H805" i="2"/>
  <c r="I805" i="2" s="1"/>
  <c r="C805" i="2"/>
  <c r="H804" i="2"/>
  <c r="I804" i="2" s="1"/>
  <c r="C804" i="2"/>
  <c r="I803" i="2"/>
  <c r="H803" i="2"/>
  <c r="C803" i="2"/>
  <c r="H802" i="2"/>
  <c r="I802" i="2" s="1"/>
  <c r="C802" i="2"/>
  <c r="H801" i="2"/>
  <c r="I801" i="2" s="1"/>
  <c r="C801" i="2"/>
  <c r="H800" i="2"/>
  <c r="I800" i="2" s="1"/>
  <c r="C800" i="2"/>
  <c r="H799" i="2"/>
  <c r="I799" i="2" s="1"/>
  <c r="C799" i="2"/>
  <c r="H798" i="2"/>
  <c r="I798" i="2" s="1"/>
  <c r="C798" i="2"/>
  <c r="H797" i="2"/>
  <c r="I797" i="2" s="1"/>
  <c r="C797" i="2"/>
  <c r="H796" i="2"/>
  <c r="I796" i="2" s="1"/>
  <c r="C796" i="2"/>
  <c r="H795" i="2"/>
  <c r="I795" i="2" s="1"/>
  <c r="C795" i="2"/>
  <c r="H794" i="2"/>
  <c r="I794" i="2" s="1"/>
  <c r="C794" i="2"/>
  <c r="I793" i="2"/>
  <c r="H793" i="2"/>
  <c r="C793" i="2"/>
  <c r="I792" i="2"/>
  <c r="H792" i="2"/>
  <c r="C792" i="2"/>
  <c r="H791" i="2"/>
  <c r="I791" i="2" s="1"/>
  <c r="C791" i="2"/>
  <c r="H790" i="2"/>
  <c r="I790" i="2" s="1"/>
  <c r="C790" i="2"/>
  <c r="H789" i="2"/>
  <c r="I789" i="2" s="1"/>
  <c r="C789" i="2"/>
  <c r="H788" i="2"/>
  <c r="I788" i="2" s="1"/>
  <c r="C788" i="2"/>
  <c r="H787" i="2"/>
  <c r="I787" i="2" s="1"/>
  <c r="C787" i="2"/>
  <c r="H786" i="2"/>
  <c r="I786" i="2" s="1"/>
  <c r="C786" i="2"/>
  <c r="H785" i="2"/>
  <c r="I785" i="2" s="1"/>
  <c r="C785" i="2"/>
  <c r="H784" i="2"/>
  <c r="I784" i="2" s="1"/>
  <c r="C784" i="2"/>
  <c r="H783" i="2"/>
  <c r="I783" i="2" s="1"/>
  <c r="C783" i="2"/>
  <c r="H782" i="2"/>
  <c r="I782" i="2" s="1"/>
  <c r="C782" i="2"/>
  <c r="H781" i="2"/>
  <c r="I781" i="2" s="1"/>
  <c r="C781" i="2"/>
  <c r="H780" i="2"/>
  <c r="I780" i="2" s="1"/>
  <c r="C780" i="2"/>
  <c r="H779" i="2"/>
  <c r="I779" i="2" s="1"/>
  <c r="C779" i="2"/>
  <c r="H778" i="2"/>
  <c r="I778" i="2" s="1"/>
  <c r="C778" i="2"/>
  <c r="H777" i="2"/>
  <c r="I777" i="2" s="1"/>
  <c r="C777" i="2"/>
  <c r="I776" i="2"/>
  <c r="H776" i="2"/>
  <c r="C776" i="2"/>
  <c r="I775" i="2"/>
  <c r="H775" i="2"/>
  <c r="C775" i="2"/>
  <c r="H774" i="2"/>
  <c r="I774" i="2" s="1"/>
  <c r="C774" i="2"/>
  <c r="H773" i="2"/>
  <c r="I773" i="2" s="1"/>
  <c r="C773" i="2"/>
  <c r="I772" i="2"/>
  <c r="H772" i="2"/>
  <c r="C772" i="2"/>
  <c r="H771" i="2"/>
  <c r="I771" i="2" s="1"/>
  <c r="C771" i="2"/>
  <c r="I770" i="2"/>
  <c r="H770" i="2"/>
  <c r="C770" i="2"/>
  <c r="I769" i="2"/>
  <c r="H769" i="2"/>
  <c r="C769" i="2"/>
  <c r="H768" i="2"/>
  <c r="I768" i="2" s="1"/>
  <c r="C768" i="2"/>
  <c r="H767" i="2"/>
  <c r="I767" i="2" s="1"/>
  <c r="C767" i="2"/>
  <c r="H766" i="2"/>
  <c r="I766" i="2" s="1"/>
  <c r="C766" i="2"/>
  <c r="H765" i="2"/>
  <c r="I765" i="2" s="1"/>
  <c r="C765" i="2"/>
  <c r="H764" i="2"/>
  <c r="I764" i="2" s="1"/>
  <c r="C764" i="2"/>
  <c r="H763" i="2"/>
  <c r="I763" i="2" s="1"/>
  <c r="C763" i="2"/>
  <c r="H762" i="2"/>
  <c r="I762" i="2" s="1"/>
  <c r="C762" i="2"/>
  <c r="I761" i="2"/>
  <c r="H761" i="2"/>
  <c r="C761" i="2"/>
  <c r="H760" i="2"/>
  <c r="I760" i="2" s="1"/>
  <c r="C760" i="2"/>
  <c r="H759" i="2"/>
  <c r="I759" i="2" s="1"/>
  <c r="C759" i="2"/>
  <c r="H758" i="2"/>
  <c r="I758" i="2" s="1"/>
  <c r="C758" i="2"/>
  <c r="H757" i="2"/>
  <c r="I757" i="2" s="1"/>
  <c r="C757" i="2"/>
  <c r="H756" i="2"/>
  <c r="I756" i="2" s="1"/>
  <c r="C756" i="2"/>
  <c r="H755" i="2"/>
  <c r="I755" i="2" s="1"/>
  <c r="C755" i="2"/>
  <c r="H754" i="2"/>
  <c r="I754" i="2" s="1"/>
  <c r="C754" i="2"/>
  <c r="H753" i="2"/>
  <c r="I753" i="2" s="1"/>
  <c r="C753" i="2"/>
  <c r="H752" i="2"/>
  <c r="I752" i="2" s="1"/>
  <c r="C752" i="2"/>
  <c r="H751" i="2"/>
  <c r="I751" i="2" s="1"/>
  <c r="C751" i="2"/>
  <c r="H750" i="2"/>
  <c r="I750" i="2" s="1"/>
  <c r="C750" i="2"/>
  <c r="H749" i="2"/>
  <c r="I749" i="2" s="1"/>
  <c r="C749" i="2"/>
  <c r="H748" i="2"/>
  <c r="I748" i="2" s="1"/>
  <c r="C748" i="2"/>
  <c r="H747" i="2"/>
  <c r="I747" i="2" s="1"/>
  <c r="C747" i="2"/>
  <c r="H746" i="2"/>
  <c r="I746" i="2" s="1"/>
  <c r="C746" i="2"/>
  <c r="H745" i="2"/>
  <c r="I745" i="2" s="1"/>
  <c r="C745" i="2"/>
  <c r="H744" i="2"/>
  <c r="I744" i="2" s="1"/>
  <c r="C744" i="2"/>
  <c r="I743" i="2"/>
  <c r="H743" i="2"/>
  <c r="C743" i="2"/>
  <c r="H742" i="2"/>
  <c r="I742" i="2" s="1"/>
  <c r="C742" i="2"/>
  <c r="H741" i="2"/>
  <c r="I741" i="2" s="1"/>
  <c r="C741" i="2"/>
  <c r="H740" i="2"/>
  <c r="I740" i="2" s="1"/>
  <c r="C740" i="2"/>
  <c r="H739" i="2"/>
  <c r="I739" i="2" s="1"/>
  <c r="C739" i="2"/>
  <c r="H738" i="2"/>
  <c r="I738" i="2" s="1"/>
  <c r="C738" i="2"/>
  <c r="H737" i="2"/>
  <c r="I737" i="2" s="1"/>
  <c r="C737" i="2"/>
  <c r="I736" i="2"/>
  <c r="H736" i="2"/>
  <c r="C736" i="2"/>
  <c r="I735" i="2"/>
  <c r="H735" i="2"/>
  <c r="C735" i="2"/>
  <c r="H734" i="2"/>
  <c r="I734" i="2" s="1"/>
  <c r="C734" i="2"/>
  <c r="I733" i="2"/>
  <c r="H733" i="2"/>
  <c r="C733" i="2"/>
  <c r="I732" i="2"/>
  <c r="H732" i="2"/>
  <c r="C732" i="2"/>
  <c r="H731" i="2"/>
  <c r="I731" i="2" s="1"/>
  <c r="C731" i="2"/>
  <c r="H730" i="2"/>
  <c r="I730" i="2" s="1"/>
  <c r="C730" i="2"/>
  <c r="H729" i="2"/>
  <c r="I729" i="2" s="1"/>
  <c r="C729" i="2"/>
  <c r="I728" i="2"/>
  <c r="H728" i="2"/>
  <c r="C728" i="2"/>
  <c r="I727" i="2"/>
  <c r="H727" i="2"/>
  <c r="C727" i="2"/>
  <c r="I726" i="2"/>
  <c r="H726" i="2"/>
  <c r="C726" i="2"/>
  <c r="H725" i="2"/>
  <c r="I725" i="2" s="1"/>
  <c r="C725" i="2"/>
  <c r="H724" i="2"/>
  <c r="I724" i="2" s="1"/>
  <c r="C724" i="2"/>
  <c r="H723" i="2"/>
  <c r="I723" i="2" s="1"/>
  <c r="C723" i="2"/>
  <c r="H722" i="2"/>
  <c r="I722" i="2" s="1"/>
  <c r="C722" i="2"/>
  <c r="H721" i="2"/>
  <c r="I721" i="2" s="1"/>
  <c r="C721" i="2"/>
  <c r="H720" i="2"/>
  <c r="I720" i="2" s="1"/>
  <c r="C720" i="2"/>
  <c r="H719" i="2"/>
  <c r="I719" i="2" s="1"/>
  <c r="C719" i="2"/>
  <c r="H718" i="2"/>
  <c r="I718" i="2" s="1"/>
  <c r="C718" i="2"/>
  <c r="H717" i="2"/>
  <c r="I717" i="2" s="1"/>
  <c r="C717" i="2"/>
  <c r="H716" i="2"/>
  <c r="I716" i="2" s="1"/>
  <c r="C716" i="2"/>
  <c r="I715" i="2"/>
  <c r="H715" i="2"/>
  <c r="C715" i="2"/>
  <c r="H714" i="2"/>
  <c r="I714" i="2" s="1"/>
  <c r="C714" i="2"/>
  <c r="H713" i="2"/>
  <c r="I713" i="2" s="1"/>
  <c r="C713" i="2"/>
  <c r="I712" i="2"/>
  <c r="H712" i="2"/>
  <c r="C712" i="2"/>
  <c r="H711" i="2"/>
  <c r="I711" i="2" s="1"/>
  <c r="C711" i="2"/>
  <c r="H710" i="2"/>
  <c r="I710" i="2" s="1"/>
  <c r="C710" i="2"/>
  <c r="H709" i="2"/>
  <c r="I709" i="2" s="1"/>
  <c r="C709" i="2"/>
  <c r="H708" i="2"/>
  <c r="I708" i="2" s="1"/>
  <c r="C708" i="2"/>
  <c r="H707" i="2"/>
  <c r="I707" i="2" s="1"/>
  <c r="C707" i="2"/>
  <c r="I706" i="2"/>
  <c r="H706" i="2"/>
  <c r="C706" i="2"/>
  <c r="H705" i="2"/>
  <c r="I705" i="2" s="1"/>
  <c r="C705" i="2"/>
  <c r="I704" i="2"/>
  <c r="H704" i="2"/>
  <c r="C704" i="2"/>
  <c r="H703" i="2"/>
  <c r="I703" i="2" s="1"/>
  <c r="C703" i="2"/>
  <c r="I702" i="2"/>
  <c r="H702" i="2"/>
  <c r="C702" i="2"/>
  <c r="H701" i="2"/>
  <c r="I701" i="2" s="1"/>
  <c r="C701" i="2"/>
  <c r="I700" i="2"/>
  <c r="H700" i="2"/>
  <c r="C700" i="2"/>
  <c r="H699" i="2"/>
  <c r="I699" i="2" s="1"/>
  <c r="C699" i="2"/>
  <c r="H698" i="2"/>
  <c r="I698" i="2" s="1"/>
  <c r="C698" i="2"/>
  <c r="H697" i="2"/>
  <c r="I697" i="2" s="1"/>
  <c r="C697" i="2"/>
  <c r="H696" i="2"/>
  <c r="I696" i="2" s="1"/>
  <c r="C696" i="2"/>
  <c r="H695" i="2"/>
  <c r="I695" i="2" s="1"/>
  <c r="C695" i="2"/>
  <c r="H694" i="2"/>
  <c r="I694" i="2" s="1"/>
  <c r="C694" i="2"/>
  <c r="H693" i="2"/>
  <c r="I693" i="2" s="1"/>
  <c r="C693" i="2"/>
  <c r="H692" i="2"/>
  <c r="I692" i="2" s="1"/>
  <c r="C692" i="2"/>
  <c r="H691" i="2"/>
  <c r="I691" i="2" s="1"/>
  <c r="C691" i="2"/>
  <c r="H690" i="2"/>
  <c r="I690" i="2" s="1"/>
  <c r="C690" i="2"/>
  <c r="H689" i="2"/>
  <c r="I689" i="2" s="1"/>
  <c r="C689" i="2"/>
  <c r="H688" i="2"/>
  <c r="I688" i="2" s="1"/>
  <c r="C688" i="2"/>
  <c r="H687" i="2"/>
  <c r="I687" i="2" s="1"/>
  <c r="C687" i="2"/>
  <c r="H686" i="2"/>
  <c r="I686" i="2" s="1"/>
  <c r="C686" i="2"/>
  <c r="I685" i="2"/>
  <c r="H685" i="2"/>
  <c r="C685" i="2"/>
  <c r="I684" i="2"/>
  <c r="H684" i="2"/>
  <c r="C684" i="2"/>
  <c r="H683" i="2"/>
  <c r="I683" i="2" s="1"/>
  <c r="C683" i="2"/>
  <c r="H682" i="2"/>
  <c r="I682" i="2" s="1"/>
  <c r="C682" i="2"/>
  <c r="H681" i="2"/>
  <c r="I681" i="2" s="1"/>
  <c r="C681" i="2"/>
  <c r="I680" i="2"/>
  <c r="H680" i="2"/>
  <c r="C680" i="2"/>
  <c r="H679" i="2"/>
  <c r="I679" i="2" s="1"/>
  <c r="C679" i="2"/>
  <c r="I678" i="2"/>
  <c r="H678" i="2"/>
  <c r="C678" i="2"/>
  <c r="H677" i="2"/>
  <c r="I677" i="2" s="1"/>
  <c r="C677" i="2"/>
  <c r="H676" i="2"/>
  <c r="I676" i="2" s="1"/>
  <c r="C676" i="2"/>
  <c r="H675" i="2"/>
  <c r="I675" i="2" s="1"/>
  <c r="C675" i="2"/>
  <c r="H674" i="2"/>
  <c r="I674" i="2" s="1"/>
  <c r="C674" i="2"/>
  <c r="H673" i="2"/>
  <c r="I673" i="2" s="1"/>
  <c r="C673" i="2"/>
  <c r="I672" i="2"/>
  <c r="H672" i="2"/>
  <c r="C672" i="2"/>
  <c r="H671" i="2"/>
  <c r="I671" i="2" s="1"/>
  <c r="C671" i="2"/>
  <c r="H670" i="2"/>
  <c r="I670" i="2" s="1"/>
  <c r="C670" i="2"/>
  <c r="H669" i="2"/>
  <c r="I669" i="2" s="1"/>
  <c r="C669" i="2"/>
  <c r="H668" i="2"/>
  <c r="I668" i="2" s="1"/>
  <c r="C668" i="2"/>
  <c r="H667" i="2"/>
  <c r="I667" i="2" s="1"/>
  <c r="C667" i="2"/>
  <c r="H666" i="2"/>
  <c r="I666" i="2" s="1"/>
  <c r="C666" i="2"/>
  <c r="H665" i="2"/>
  <c r="I665" i="2" s="1"/>
  <c r="C665" i="2"/>
  <c r="H664" i="2"/>
  <c r="I664" i="2" s="1"/>
  <c r="C664" i="2"/>
  <c r="H663" i="2"/>
  <c r="I663" i="2" s="1"/>
  <c r="C663" i="2"/>
  <c r="H662" i="2"/>
  <c r="I662" i="2" s="1"/>
  <c r="C662" i="2"/>
  <c r="H661" i="2"/>
  <c r="I661" i="2" s="1"/>
  <c r="C661" i="2"/>
  <c r="H660" i="2"/>
  <c r="I660" i="2" s="1"/>
  <c r="C660" i="2"/>
  <c r="H659" i="2"/>
  <c r="I659" i="2" s="1"/>
  <c r="C659" i="2"/>
  <c r="H658" i="2"/>
  <c r="I658" i="2" s="1"/>
  <c r="C658" i="2"/>
  <c r="H657" i="2"/>
  <c r="I657" i="2" s="1"/>
  <c r="C657" i="2"/>
  <c r="H656" i="2"/>
  <c r="I656" i="2" s="1"/>
  <c r="C656" i="2"/>
  <c r="H655" i="2"/>
  <c r="I655" i="2" s="1"/>
  <c r="C655" i="2"/>
  <c r="H654" i="2"/>
  <c r="I654" i="2" s="1"/>
  <c r="C654" i="2"/>
  <c r="H653" i="2"/>
  <c r="I653" i="2" s="1"/>
  <c r="C653" i="2"/>
  <c r="H652" i="2"/>
  <c r="I652" i="2" s="1"/>
  <c r="C652" i="2"/>
  <c r="H651" i="2"/>
  <c r="I651" i="2" s="1"/>
  <c r="C651" i="2"/>
  <c r="H650" i="2"/>
  <c r="I650" i="2" s="1"/>
  <c r="C650" i="2"/>
  <c r="H649" i="2"/>
  <c r="I649" i="2" s="1"/>
  <c r="C649" i="2"/>
  <c r="H648" i="2"/>
  <c r="I648" i="2" s="1"/>
  <c r="C648" i="2"/>
  <c r="H647" i="2"/>
  <c r="I647" i="2" s="1"/>
  <c r="C647" i="2"/>
  <c r="H646" i="2"/>
  <c r="I646" i="2" s="1"/>
  <c r="C646" i="2"/>
  <c r="H645" i="2"/>
  <c r="I645" i="2" s="1"/>
  <c r="C645" i="2"/>
  <c r="H644" i="2"/>
  <c r="I644" i="2" s="1"/>
  <c r="C644" i="2"/>
  <c r="H643" i="2"/>
  <c r="I643" i="2" s="1"/>
  <c r="C643" i="2"/>
  <c r="H642" i="2"/>
  <c r="I642" i="2" s="1"/>
  <c r="C642" i="2"/>
  <c r="H641" i="2"/>
  <c r="I641" i="2" s="1"/>
  <c r="C641" i="2"/>
  <c r="H640" i="2"/>
  <c r="I640" i="2" s="1"/>
  <c r="C640" i="2"/>
  <c r="H639" i="2"/>
  <c r="I639" i="2" s="1"/>
  <c r="C639" i="2"/>
  <c r="H638" i="2"/>
  <c r="I638" i="2" s="1"/>
  <c r="C638" i="2"/>
  <c r="H637" i="2"/>
  <c r="I637" i="2" s="1"/>
  <c r="C637" i="2"/>
  <c r="H636" i="2"/>
  <c r="I636" i="2" s="1"/>
  <c r="C636" i="2"/>
  <c r="H635" i="2"/>
  <c r="I635" i="2" s="1"/>
  <c r="C635" i="2"/>
  <c r="H634" i="2"/>
  <c r="I634" i="2" s="1"/>
  <c r="C634" i="2"/>
  <c r="I633" i="2"/>
  <c r="H633" i="2"/>
  <c r="C633" i="2"/>
  <c r="H632" i="2"/>
  <c r="I632" i="2" s="1"/>
  <c r="C632" i="2"/>
  <c r="H631" i="2"/>
  <c r="I631" i="2" s="1"/>
  <c r="C631" i="2"/>
  <c r="H630" i="2"/>
  <c r="I630" i="2" s="1"/>
  <c r="C630" i="2"/>
  <c r="H629" i="2"/>
  <c r="I629" i="2" s="1"/>
  <c r="C629" i="2"/>
  <c r="H628" i="2"/>
  <c r="I628" i="2" s="1"/>
  <c r="C628" i="2"/>
  <c r="H627" i="2"/>
  <c r="I627" i="2" s="1"/>
  <c r="C627" i="2"/>
  <c r="H626" i="2"/>
  <c r="I626" i="2" s="1"/>
  <c r="C626" i="2"/>
  <c r="H625" i="2"/>
  <c r="I625" i="2" s="1"/>
  <c r="C625" i="2"/>
  <c r="H624" i="2"/>
  <c r="I624" i="2" s="1"/>
  <c r="C624" i="2"/>
  <c r="H623" i="2"/>
  <c r="I623" i="2" s="1"/>
  <c r="C623" i="2"/>
  <c r="H622" i="2"/>
  <c r="I622" i="2" s="1"/>
  <c r="C622" i="2"/>
  <c r="I621" i="2"/>
  <c r="H621" i="2"/>
  <c r="C621" i="2"/>
  <c r="H620" i="2"/>
  <c r="I620" i="2" s="1"/>
  <c r="C620" i="2"/>
  <c r="H619" i="2"/>
  <c r="I619" i="2" s="1"/>
  <c r="C619" i="2"/>
  <c r="H618" i="2"/>
  <c r="I618" i="2" s="1"/>
  <c r="C618" i="2"/>
  <c r="I617" i="2"/>
  <c r="H617" i="2"/>
  <c r="C617" i="2"/>
  <c r="I616" i="2"/>
  <c r="H616" i="2"/>
  <c r="C616" i="2"/>
  <c r="H615" i="2"/>
  <c r="I615" i="2" s="1"/>
  <c r="C615" i="2"/>
  <c r="H614" i="2"/>
  <c r="I614" i="2" s="1"/>
  <c r="C614" i="2"/>
  <c r="H613" i="2"/>
  <c r="I613" i="2" s="1"/>
  <c r="C613" i="2"/>
  <c r="I612" i="2"/>
  <c r="H612" i="2"/>
  <c r="C612" i="2"/>
  <c r="H611" i="2"/>
  <c r="I611" i="2" s="1"/>
  <c r="C611" i="2"/>
  <c r="H610" i="2"/>
  <c r="I610" i="2" s="1"/>
  <c r="C610" i="2"/>
  <c r="H609" i="2"/>
  <c r="I609" i="2" s="1"/>
  <c r="C609" i="2"/>
  <c r="I608" i="2"/>
  <c r="H608" i="2"/>
  <c r="C608" i="2"/>
  <c r="H607" i="2"/>
  <c r="I607" i="2" s="1"/>
  <c r="C607" i="2"/>
  <c r="H606" i="2"/>
  <c r="I606" i="2" s="1"/>
  <c r="C606" i="2"/>
  <c r="H605" i="2"/>
  <c r="I605" i="2" s="1"/>
  <c r="C605" i="2"/>
  <c r="H604" i="2"/>
  <c r="I604" i="2" s="1"/>
  <c r="C604" i="2"/>
  <c r="I603" i="2"/>
  <c r="H603" i="2"/>
  <c r="C603" i="2"/>
  <c r="H602" i="2"/>
  <c r="I602" i="2" s="1"/>
  <c r="C602" i="2"/>
  <c r="H601" i="2"/>
  <c r="I601" i="2" s="1"/>
  <c r="C601" i="2"/>
  <c r="H600" i="2"/>
  <c r="I600" i="2" s="1"/>
  <c r="C600" i="2"/>
  <c r="I599" i="2"/>
  <c r="H599" i="2"/>
  <c r="C599" i="2"/>
  <c r="I598" i="2"/>
  <c r="H598" i="2"/>
  <c r="C598" i="2"/>
  <c r="H597" i="2"/>
  <c r="I597" i="2" s="1"/>
  <c r="C597" i="2"/>
  <c r="H596" i="2"/>
  <c r="I596" i="2" s="1"/>
  <c r="C596" i="2"/>
  <c r="I595" i="2"/>
  <c r="H595" i="2"/>
  <c r="C595" i="2"/>
  <c r="H594" i="2"/>
  <c r="I594" i="2" s="1"/>
  <c r="C594" i="2"/>
  <c r="I593" i="2"/>
  <c r="H593" i="2"/>
  <c r="C593" i="2"/>
  <c r="I592" i="2"/>
  <c r="H592" i="2"/>
  <c r="C592" i="2"/>
  <c r="H591" i="2"/>
  <c r="I591" i="2" s="1"/>
  <c r="C591" i="2"/>
  <c r="H590" i="2"/>
  <c r="I590" i="2" s="1"/>
  <c r="C590" i="2"/>
  <c r="H589" i="2"/>
  <c r="I589" i="2" s="1"/>
  <c r="C589" i="2"/>
  <c r="H588" i="2"/>
  <c r="I588" i="2" s="1"/>
  <c r="C588" i="2"/>
  <c r="H587" i="2"/>
  <c r="I587" i="2" s="1"/>
  <c r="C587" i="2"/>
  <c r="H586" i="2"/>
  <c r="I586" i="2" s="1"/>
  <c r="C586" i="2"/>
  <c r="I585" i="2"/>
  <c r="H585" i="2"/>
  <c r="C585" i="2"/>
  <c r="H584" i="2"/>
  <c r="I584" i="2" s="1"/>
  <c r="C584" i="2"/>
  <c r="H583" i="2"/>
  <c r="I583" i="2" s="1"/>
  <c r="C583" i="2"/>
  <c r="H582" i="2"/>
  <c r="I582" i="2" s="1"/>
  <c r="C582" i="2"/>
  <c r="H581" i="2"/>
  <c r="I581" i="2" s="1"/>
  <c r="C581" i="2"/>
  <c r="H580" i="2"/>
  <c r="I580" i="2" s="1"/>
  <c r="C580" i="2"/>
  <c r="H579" i="2"/>
  <c r="I579" i="2" s="1"/>
  <c r="C579" i="2"/>
  <c r="H578" i="2"/>
  <c r="I578" i="2" s="1"/>
  <c r="C578" i="2"/>
  <c r="H577" i="2"/>
  <c r="I577" i="2" s="1"/>
  <c r="C577" i="2"/>
  <c r="H576" i="2"/>
  <c r="I576" i="2" s="1"/>
  <c r="C576" i="2"/>
  <c r="H575" i="2"/>
  <c r="I575" i="2" s="1"/>
  <c r="C575" i="2"/>
  <c r="H574" i="2"/>
  <c r="I574" i="2" s="1"/>
  <c r="C574" i="2"/>
  <c r="H573" i="2"/>
  <c r="I573" i="2" s="1"/>
  <c r="C573" i="2"/>
  <c r="H572" i="2"/>
  <c r="I572" i="2" s="1"/>
  <c r="C572" i="2"/>
  <c r="H571" i="2"/>
  <c r="I571" i="2" s="1"/>
  <c r="C571" i="2"/>
  <c r="H570" i="2"/>
  <c r="I570" i="2" s="1"/>
  <c r="C570" i="2"/>
  <c r="H569" i="2"/>
  <c r="I569" i="2" s="1"/>
  <c r="C569" i="2"/>
  <c r="H568" i="2"/>
  <c r="I568" i="2" s="1"/>
  <c r="C568" i="2"/>
  <c r="H567" i="2"/>
  <c r="I567" i="2" s="1"/>
  <c r="C567" i="2"/>
  <c r="H566" i="2"/>
  <c r="I566" i="2" s="1"/>
  <c r="C566" i="2"/>
  <c r="H565" i="2"/>
  <c r="I565" i="2" s="1"/>
  <c r="C565" i="2"/>
  <c r="H564" i="2"/>
  <c r="I564" i="2" s="1"/>
  <c r="C564" i="2"/>
  <c r="H563" i="2"/>
  <c r="I563" i="2" s="1"/>
  <c r="C563" i="2"/>
  <c r="H562" i="2"/>
  <c r="I562" i="2" s="1"/>
  <c r="C562" i="2"/>
  <c r="I561" i="2"/>
  <c r="H561" i="2"/>
  <c r="C561" i="2"/>
  <c r="I560" i="2"/>
  <c r="H560" i="2"/>
  <c r="C560" i="2"/>
  <c r="H559" i="2"/>
  <c r="I559" i="2" s="1"/>
  <c r="C559" i="2"/>
  <c r="H558" i="2"/>
  <c r="I558" i="2" s="1"/>
  <c r="C558" i="2"/>
  <c r="I557" i="2"/>
  <c r="H557" i="2"/>
  <c r="C557" i="2"/>
  <c r="H556" i="2"/>
  <c r="I556" i="2" s="1"/>
  <c r="C556" i="2"/>
  <c r="H555" i="2"/>
  <c r="I555" i="2" s="1"/>
  <c r="C555" i="2"/>
  <c r="I554" i="2"/>
  <c r="H554" i="2"/>
  <c r="C554" i="2"/>
  <c r="H553" i="2"/>
  <c r="I553" i="2" s="1"/>
  <c r="C553" i="2"/>
  <c r="H552" i="2"/>
  <c r="I552" i="2" s="1"/>
  <c r="C552" i="2"/>
  <c r="H551" i="2"/>
  <c r="I551" i="2" s="1"/>
  <c r="C551" i="2"/>
  <c r="H550" i="2"/>
  <c r="I550" i="2" s="1"/>
  <c r="C550" i="2"/>
  <c r="H549" i="2"/>
  <c r="I549" i="2" s="1"/>
  <c r="C549" i="2"/>
  <c r="H548" i="2"/>
  <c r="I548" i="2" s="1"/>
  <c r="C548" i="2"/>
  <c r="H547" i="2"/>
  <c r="I547" i="2" s="1"/>
  <c r="C547" i="2"/>
  <c r="I546" i="2"/>
  <c r="H546" i="2"/>
  <c r="C546" i="2"/>
  <c r="H545" i="2"/>
  <c r="I545" i="2" s="1"/>
  <c r="C545" i="2"/>
  <c r="H544" i="2"/>
  <c r="I544" i="2" s="1"/>
  <c r="C544" i="2"/>
  <c r="H543" i="2"/>
  <c r="I543" i="2" s="1"/>
  <c r="C543" i="2"/>
  <c r="H542" i="2"/>
  <c r="I542" i="2" s="1"/>
  <c r="C542" i="2"/>
  <c r="I541" i="2"/>
  <c r="H541" i="2"/>
  <c r="C541" i="2"/>
  <c r="H540" i="2"/>
  <c r="I540" i="2" s="1"/>
  <c r="C540" i="2"/>
  <c r="H539" i="2"/>
  <c r="I539" i="2" s="1"/>
  <c r="C539" i="2"/>
  <c r="H538" i="2"/>
  <c r="I538" i="2" s="1"/>
  <c r="C538" i="2"/>
  <c r="H537" i="2"/>
  <c r="I537" i="2" s="1"/>
  <c r="C537" i="2"/>
  <c r="H536" i="2"/>
  <c r="I536" i="2" s="1"/>
  <c r="C536" i="2"/>
  <c r="H535" i="2"/>
  <c r="I535" i="2" s="1"/>
  <c r="C535" i="2"/>
  <c r="H534" i="2"/>
  <c r="I534" i="2" s="1"/>
  <c r="C534" i="2"/>
  <c r="H533" i="2"/>
  <c r="I533" i="2" s="1"/>
  <c r="C533" i="2"/>
  <c r="H532" i="2"/>
  <c r="I532" i="2" s="1"/>
  <c r="C532" i="2"/>
  <c r="I531" i="2"/>
  <c r="H531" i="2"/>
  <c r="C531" i="2"/>
  <c r="H530" i="2"/>
  <c r="I530" i="2" s="1"/>
  <c r="C530" i="2"/>
  <c r="H529" i="2"/>
  <c r="I529" i="2" s="1"/>
  <c r="C529" i="2"/>
  <c r="H528" i="2"/>
  <c r="I528" i="2" s="1"/>
  <c r="C528" i="2"/>
  <c r="H527" i="2"/>
  <c r="I527" i="2" s="1"/>
  <c r="C527" i="2"/>
  <c r="H526" i="2"/>
  <c r="I526" i="2" s="1"/>
  <c r="C526" i="2"/>
  <c r="H525" i="2"/>
  <c r="I525" i="2" s="1"/>
  <c r="C525" i="2"/>
  <c r="H524" i="2"/>
  <c r="I524" i="2" s="1"/>
  <c r="C524" i="2"/>
  <c r="H523" i="2"/>
  <c r="I523" i="2" s="1"/>
  <c r="C523" i="2"/>
  <c r="H522" i="2"/>
  <c r="I522" i="2" s="1"/>
  <c r="C522" i="2"/>
  <c r="H521" i="2"/>
  <c r="I521" i="2" s="1"/>
  <c r="C521" i="2"/>
  <c r="I520" i="2"/>
  <c r="H520" i="2"/>
  <c r="C520" i="2"/>
  <c r="H519" i="2"/>
  <c r="I519" i="2" s="1"/>
  <c r="C519" i="2"/>
  <c r="H518" i="2"/>
  <c r="I518" i="2" s="1"/>
  <c r="C518" i="2"/>
  <c r="H517" i="2"/>
  <c r="I517" i="2" s="1"/>
  <c r="C517" i="2"/>
  <c r="I516" i="2"/>
  <c r="H516" i="2"/>
  <c r="C516" i="2"/>
  <c r="H515" i="2"/>
  <c r="I515" i="2" s="1"/>
  <c r="C515" i="2"/>
  <c r="H514" i="2"/>
  <c r="I514" i="2" s="1"/>
  <c r="C514" i="2"/>
  <c r="H513" i="2"/>
  <c r="I513" i="2" s="1"/>
  <c r="C513" i="2"/>
  <c r="H512" i="2"/>
  <c r="I512" i="2" s="1"/>
  <c r="C512" i="2"/>
  <c r="H511" i="2"/>
  <c r="I511" i="2" s="1"/>
  <c r="C511" i="2"/>
  <c r="H510" i="2"/>
  <c r="I510" i="2" s="1"/>
  <c r="C510" i="2"/>
  <c r="H509" i="2"/>
  <c r="I509" i="2" s="1"/>
  <c r="C509" i="2"/>
  <c r="H508" i="2"/>
  <c r="I508" i="2" s="1"/>
  <c r="C508" i="2"/>
  <c r="H507" i="2"/>
  <c r="I507" i="2" s="1"/>
  <c r="C507" i="2"/>
  <c r="H506" i="2"/>
  <c r="I506" i="2" s="1"/>
  <c r="C506" i="2"/>
  <c r="H505" i="2"/>
  <c r="I505" i="2" s="1"/>
  <c r="C505" i="2"/>
  <c r="H504" i="2"/>
  <c r="I504" i="2" s="1"/>
  <c r="C504" i="2"/>
  <c r="H503" i="2"/>
  <c r="I503" i="2" s="1"/>
  <c r="C503" i="2"/>
  <c r="H502" i="2"/>
  <c r="I502" i="2" s="1"/>
  <c r="C502" i="2"/>
  <c r="H501" i="2"/>
  <c r="I501" i="2" s="1"/>
  <c r="C501" i="2"/>
  <c r="I500" i="2"/>
  <c r="H500" i="2"/>
  <c r="C500" i="2"/>
  <c r="I499" i="2"/>
  <c r="H499" i="2"/>
  <c r="C499" i="2"/>
  <c r="H498" i="2"/>
  <c r="I498" i="2" s="1"/>
  <c r="C498" i="2"/>
  <c r="H497" i="2"/>
  <c r="I497" i="2" s="1"/>
  <c r="C497" i="2"/>
  <c r="H496" i="2"/>
  <c r="I496" i="2" s="1"/>
  <c r="C496" i="2"/>
  <c r="H495" i="2"/>
  <c r="I495" i="2" s="1"/>
  <c r="C495" i="2"/>
  <c r="H494" i="2"/>
  <c r="I494" i="2" s="1"/>
  <c r="C494" i="2"/>
  <c r="H493" i="2"/>
  <c r="I493" i="2" s="1"/>
  <c r="C493" i="2"/>
  <c r="H492" i="2"/>
  <c r="I492" i="2" s="1"/>
  <c r="C492" i="2"/>
  <c r="H491" i="2"/>
  <c r="I491" i="2" s="1"/>
  <c r="C491" i="2"/>
  <c r="H490" i="2"/>
  <c r="I490" i="2" s="1"/>
  <c r="C490" i="2"/>
  <c r="H489" i="2"/>
  <c r="I489" i="2" s="1"/>
  <c r="C489" i="2"/>
  <c r="H488" i="2"/>
  <c r="I488" i="2" s="1"/>
  <c r="C488" i="2"/>
  <c r="H487" i="2"/>
  <c r="I487" i="2" s="1"/>
  <c r="C487" i="2"/>
  <c r="H486" i="2"/>
  <c r="I486" i="2" s="1"/>
  <c r="C486" i="2"/>
  <c r="H485" i="2"/>
  <c r="I485" i="2" s="1"/>
  <c r="C485" i="2"/>
  <c r="H484" i="2"/>
  <c r="I484" i="2" s="1"/>
  <c r="C484" i="2"/>
  <c r="H483" i="2"/>
  <c r="I483" i="2" s="1"/>
  <c r="C483" i="2"/>
  <c r="H482" i="2"/>
  <c r="I482" i="2" s="1"/>
  <c r="C482" i="2"/>
  <c r="H481" i="2"/>
  <c r="I481" i="2" s="1"/>
  <c r="C481" i="2"/>
  <c r="H480" i="2"/>
  <c r="I480" i="2" s="1"/>
  <c r="C480" i="2"/>
  <c r="H479" i="2"/>
  <c r="I479" i="2" s="1"/>
  <c r="C479" i="2"/>
  <c r="H478" i="2"/>
  <c r="I478" i="2" s="1"/>
  <c r="C478" i="2"/>
  <c r="H477" i="2"/>
  <c r="I477" i="2" s="1"/>
  <c r="C477" i="2"/>
  <c r="H476" i="2"/>
  <c r="I476" i="2" s="1"/>
  <c r="C476" i="2"/>
  <c r="H475" i="2"/>
  <c r="I475" i="2" s="1"/>
  <c r="C475" i="2"/>
  <c r="H474" i="2"/>
  <c r="I474" i="2" s="1"/>
  <c r="C474" i="2"/>
  <c r="H473" i="2"/>
  <c r="I473" i="2" s="1"/>
  <c r="C473" i="2"/>
  <c r="H472" i="2"/>
  <c r="I472" i="2" s="1"/>
  <c r="C472" i="2"/>
  <c r="H471" i="2"/>
  <c r="I471" i="2" s="1"/>
  <c r="C471" i="2"/>
  <c r="H470" i="2"/>
  <c r="I470" i="2" s="1"/>
  <c r="C470" i="2"/>
  <c r="H469" i="2"/>
  <c r="I469" i="2" s="1"/>
  <c r="C469" i="2"/>
  <c r="I468" i="2"/>
  <c r="H468" i="2"/>
  <c r="C468" i="2"/>
  <c r="I467" i="2"/>
  <c r="H467" i="2"/>
  <c r="C467" i="2"/>
  <c r="H466" i="2"/>
  <c r="I466" i="2" s="1"/>
  <c r="C466" i="2"/>
  <c r="I465" i="2"/>
  <c r="H465" i="2"/>
  <c r="C465" i="2"/>
  <c r="I464" i="2"/>
  <c r="H464" i="2"/>
  <c r="C464" i="2"/>
  <c r="H463" i="2"/>
  <c r="I463" i="2" s="1"/>
  <c r="C463" i="2"/>
  <c r="H462" i="2"/>
  <c r="I462" i="2" s="1"/>
  <c r="C462" i="2"/>
  <c r="H461" i="2"/>
  <c r="I461" i="2" s="1"/>
  <c r="C461" i="2"/>
  <c r="H460" i="2"/>
  <c r="I460" i="2" s="1"/>
  <c r="C460" i="2"/>
  <c r="I459" i="2"/>
  <c r="H459" i="2"/>
  <c r="C459" i="2"/>
  <c r="I458" i="2"/>
  <c r="H458" i="2"/>
  <c r="C458" i="2"/>
  <c r="H457" i="2"/>
  <c r="I457" i="2" s="1"/>
  <c r="C457" i="2"/>
  <c r="H456" i="2"/>
  <c r="I456" i="2" s="1"/>
  <c r="C456" i="2"/>
  <c r="H455" i="2"/>
  <c r="I455" i="2" s="1"/>
  <c r="C455" i="2"/>
  <c r="H454" i="2"/>
  <c r="I454" i="2" s="1"/>
  <c r="C454" i="2"/>
  <c r="H453" i="2"/>
  <c r="I453" i="2" s="1"/>
  <c r="C453" i="2"/>
  <c r="H452" i="2"/>
  <c r="I452" i="2" s="1"/>
  <c r="C452" i="2"/>
  <c r="H451" i="2"/>
  <c r="I451" i="2" s="1"/>
  <c r="C451" i="2"/>
  <c r="H450" i="2"/>
  <c r="I450" i="2" s="1"/>
  <c r="C450" i="2"/>
  <c r="H449" i="2"/>
  <c r="I449" i="2" s="1"/>
  <c r="C449" i="2"/>
  <c r="H448" i="2"/>
  <c r="I448" i="2" s="1"/>
  <c r="C448" i="2"/>
  <c r="H447" i="2"/>
  <c r="I447" i="2" s="1"/>
  <c r="C447" i="2"/>
  <c r="H446" i="2"/>
  <c r="I446" i="2" s="1"/>
  <c r="C446" i="2"/>
  <c r="I445" i="2"/>
  <c r="H445" i="2"/>
  <c r="C445" i="2"/>
  <c r="H444" i="2"/>
  <c r="I444" i="2" s="1"/>
  <c r="C444" i="2"/>
  <c r="H443" i="2"/>
  <c r="I443" i="2" s="1"/>
  <c r="C443" i="2"/>
  <c r="H442" i="2"/>
  <c r="I442" i="2" s="1"/>
  <c r="C442" i="2"/>
  <c r="H441" i="2"/>
  <c r="I441" i="2" s="1"/>
  <c r="C441" i="2"/>
  <c r="H440" i="2"/>
  <c r="I440" i="2" s="1"/>
  <c r="C440" i="2"/>
  <c r="H439" i="2"/>
  <c r="I439" i="2" s="1"/>
  <c r="C439" i="2"/>
  <c r="H438" i="2"/>
  <c r="I438" i="2" s="1"/>
  <c r="C438" i="2"/>
  <c r="H437" i="2"/>
  <c r="I437" i="2" s="1"/>
  <c r="C437" i="2"/>
  <c r="H436" i="2"/>
  <c r="I436" i="2" s="1"/>
  <c r="C436" i="2"/>
  <c r="H435" i="2"/>
  <c r="I435" i="2" s="1"/>
  <c r="C435" i="2"/>
  <c r="H434" i="2"/>
  <c r="I434" i="2" s="1"/>
  <c r="C434" i="2"/>
  <c r="H433" i="2"/>
  <c r="I433" i="2" s="1"/>
  <c r="C433" i="2"/>
  <c r="H432" i="2"/>
  <c r="I432" i="2" s="1"/>
  <c r="C432" i="2"/>
  <c r="H431" i="2"/>
  <c r="I431" i="2" s="1"/>
  <c r="C431" i="2"/>
  <c r="H430" i="2"/>
  <c r="I430" i="2" s="1"/>
  <c r="C430" i="2"/>
  <c r="I429" i="2"/>
  <c r="H429" i="2"/>
  <c r="C429" i="2"/>
  <c r="H428" i="2"/>
  <c r="I428" i="2" s="1"/>
  <c r="C428" i="2"/>
  <c r="H427" i="2"/>
  <c r="I427" i="2" s="1"/>
  <c r="C427" i="2"/>
  <c r="I426" i="2"/>
  <c r="H426" i="2"/>
  <c r="C426" i="2"/>
  <c r="H425" i="2"/>
  <c r="I425" i="2" s="1"/>
  <c r="C425" i="2"/>
  <c r="H424" i="2"/>
  <c r="I424" i="2" s="1"/>
  <c r="C424" i="2"/>
  <c r="H423" i="2"/>
  <c r="I423" i="2" s="1"/>
  <c r="C423" i="2"/>
  <c r="H422" i="2"/>
  <c r="I422" i="2" s="1"/>
  <c r="C422" i="2"/>
  <c r="H421" i="2"/>
  <c r="I421" i="2" s="1"/>
  <c r="C421" i="2"/>
  <c r="H420" i="2"/>
  <c r="I420" i="2" s="1"/>
  <c r="C420" i="2"/>
  <c r="H419" i="2"/>
  <c r="I419" i="2" s="1"/>
  <c r="C419" i="2"/>
  <c r="H418" i="2"/>
  <c r="I418" i="2" s="1"/>
  <c r="C418" i="2"/>
  <c r="I417" i="2"/>
  <c r="H417" i="2"/>
  <c r="C417" i="2"/>
  <c r="H416" i="2"/>
  <c r="I416" i="2" s="1"/>
  <c r="C416" i="2"/>
  <c r="H415" i="2"/>
  <c r="I415" i="2" s="1"/>
  <c r="C415" i="2"/>
  <c r="H414" i="2"/>
  <c r="I414" i="2" s="1"/>
  <c r="C414" i="2"/>
  <c r="H413" i="2"/>
  <c r="I413" i="2" s="1"/>
  <c r="C413" i="2"/>
  <c r="H412" i="2"/>
  <c r="I412" i="2" s="1"/>
  <c r="C412" i="2"/>
  <c r="I411" i="2"/>
  <c r="H411" i="2"/>
  <c r="C411" i="2"/>
  <c r="H410" i="2"/>
  <c r="I410" i="2" s="1"/>
  <c r="C410" i="2"/>
  <c r="H409" i="2"/>
  <c r="I409" i="2" s="1"/>
  <c r="C409" i="2"/>
  <c r="H408" i="2"/>
  <c r="I408" i="2" s="1"/>
  <c r="C408" i="2"/>
  <c r="H407" i="2"/>
  <c r="I407" i="2" s="1"/>
  <c r="C407" i="2"/>
  <c r="H406" i="2"/>
  <c r="I406" i="2" s="1"/>
  <c r="C406" i="2"/>
  <c r="I405" i="2"/>
  <c r="H405" i="2"/>
  <c r="C405" i="2"/>
  <c r="I404" i="2"/>
  <c r="H404" i="2"/>
  <c r="C404" i="2"/>
  <c r="H403" i="2"/>
  <c r="I403" i="2" s="1"/>
  <c r="C403" i="2"/>
  <c r="H402" i="2"/>
  <c r="I402" i="2" s="1"/>
  <c r="C402" i="2"/>
  <c r="H401" i="2"/>
  <c r="I401" i="2" s="1"/>
  <c r="C401" i="2"/>
  <c r="H400" i="2"/>
  <c r="I400" i="2" s="1"/>
  <c r="C400" i="2"/>
  <c r="H399" i="2"/>
  <c r="I399" i="2" s="1"/>
  <c r="C399" i="2"/>
  <c r="H398" i="2"/>
  <c r="I398" i="2" s="1"/>
  <c r="C398" i="2"/>
  <c r="H397" i="2"/>
  <c r="I397" i="2" s="1"/>
  <c r="C397" i="2"/>
  <c r="H396" i="2"/>
  <c r="I396" i="2" s="1"/>
  <c r="C396" i="2"/>
  <c r="H395" i="2"/>
  <c r="I395" i="2" s="1"/>
  <c r="C395" i="2"/>
  <c r="H394" i="2"/>
  <c r="I394" i="2" s="1"/>
  <c r="C394" i="2"/>
  <c r="I393" i="2"/>
  <c r="H393" i="2"/>
  <c r="C393" i="2"/>
  <c r="H392" i="2"/>
  <c r="I392" i="2" s="1"/>
  <c r="C392" i="2"/>
  <c r="H391" i="2"/>
  <c r="I391" i="2" s="1"/>
  <c r="C391" i="2"/>
  <c r="H390" i="2"/>
  <c r="I390" i="2" s="1"/>
  <c r="C390" i="2"/>
  <c r="H389" i="2"/>
  <c r="I389" i="2" s="1"/>
  <c r="C389" i="2"/>
  <c r="H388" i="2"/>
  <c r="I388" i="2" s="1"/>
  <c r="C388" i="2"/>
  <c r="H387" i="2"/>
  <c r="I387" i="2" s="1"/>
  <c r="C387" i="2"/>
  <c r="I386" i="2"/>
  <c r="H386" i="2"/>
  <c r="C386" i="2"/>
  <c r="H385" i="2"/>
  <c r="I385" i="2" s="1"/>
  <c r="C385" i="2"/>
  <c r="I384" i="2"/>
  <c r="H384" i="2"/>
  <c r="C384" i="2"/>
  <c r="H383" i="2"/>
  <c r="I383" i="2" s="1"/>
  <c r="C383" i="2"/>
  <c r="H382" i="2"/>
  <c r="I382" i="2" s="1"/>
  <c r="C382" i="2"/>
  <c r="H381" i="2"/>
  <c r="I381" i="2" s="1"/>
  <c r="C381" i="2"/>
  <c r="H380" i="2"/>
  <c r="I380" i="2" s="1"/>
  <c r="C380" i="2"/>
  <c r="H379" i="2"/>
  <c r="I379" i="2" s="1"/>
  <c r="C379" i="2"/>
  <c r="H378" i="2"/>
  <c r="I378" i="2" s="1"/>
  <c r="C378" i="2"/>
  <c r="H377" i="2"/>
  <c r="I377" i="2" s="1"/>
  <c r="C377" i="2"/>
  <c r="H376" i="2"/>
  <c r="I376" i="2" s="1"/>
  <c r="C376" i="2"/>
  <c r="H375" i="2"/>
  <c r="I375" i="2" s="1"/>
  <c r="C375" i="2"/>
  <c r="I374" i="2"/>
  <c r="H374" i="2"/>
  <c r="C374" i="2"/>
  <c r="H373" i="2"/>
  <c r="I373" i="2" s="1"/>
  <c r="C373" i="2"/>
  <c r="H372" i="2"/>
  <c r="I372" i="2" s="1"/>
  <c r="C372" i="2"/>
  <c r="H371" i="2"/>
  <c r="I371" i="2" s="1"/>
  <c r="C371" i="2"/>
  <c r="H370" i="2"/>
  <c r="I370" i="2" s="1"/>
  <c r="C370" i="2"/>
  <c r="I369" i="2"/>
  <c r="H369" i="2"/>
  <c r="C369" i="2"/>
  <c r="H368" i="2"/>
  <c r="I368" i="2" s="1"/>
  <c r="C368" i="2"/>
  <c r="H367" i="2"/>
  <c r="I367" i="2" s="1"/>
  <c r="C367" i="2"/>
  <c r="I366" i="2"/>
  <c r="H366" i="2"/>
  <c r="C366" i="2"/>
  <c r="I365" i="2"/>
  <c r="H365" i="2"/>
  <c r="C365" i="2"/>
  <c r="I364" i="2"/>
  <c r="H364" i="2"/>
  <c r="C364" i="2"/>
  <c r="H363" i="2"/>
  <c r="I363" i="2" s="1"/>
  <c r="C363" i="2"/>
  <c r="H362" i="2"/>
  <c r="I362" i="2" s="1"/>
  <c r="C362" i="2"/>
  <c r="H361" i="2"/>
  <c r="I361" i="2" s="1"/>
  <c r="C361" i="2"/>
  <c r="H360" i="2"/>
  <c r="I360" i="2" s="1"/>
  <c r="C360" i="2"/>
  <c r="H359" i="2"/>
  <c r="I359" i="2" s="1"/>
  <c r="C359" i="2"/>
  <c r="H358" i="2"/>
  <c r="I358" i="2" s="1"/>
  <c r="C358" i="2"/>
  <c r="H357" i="2"/>
  <c r="I357" i="2" s="1"/>
  <c r="C357" i="2"/>
  <c r="H356" i="2"/>
  <c r="I356" i="2" s="1"/>
  <c r="C356" i="2"/>
  <c r="I355" i="2"/>
  <c r="H355" i="2"/>
  <c r="C355" i="2"/>
  <c r="H354" i="2"/>
  <c r="I354" i="2" s="1"/>
  <c r="C354" i="2"/>
  <c r="H353" i="2"/>
  <c r="I353" i="2" s="1"/>
  <c r="C353" i="2"/>
  <c r="H352" i="2"/>
  <c r="I352" i="2" s="1"/>
  <c r="C352" i="2"/>
  <c r="H351" i="2"/>
  <c r="I351" i="2" s="1"/>
  <c r="C351" i="2"/>
  <c r="H350" i="2"/>
  <c r="I350" i="2" s="1"/>
  <c r="C350" i="2"/>
  <c r="H349" i="2"/>
  <c r="I349" i="2" s="1"/>
  <c r="C349" i="2"/>
  <c r="H348" i="2"/>
  <c r="I348" i="2" s="1"/>
  <c r="C348" i="2"/>
  <c r="H347" i="2"/>
  <c r="I347" i="2" s="1"/>
  <c r="C347" i="2"/>
  <c r="H346" i="2"/>
  <c r="I346" i="2" s="1"/>
  <c r="C346" i="2"/>
  <c r="H345" i="2"/>
  <c r="I345" i="2" s="1"/>
  <c r="C345" i="2"/>
  <c r="H344" i="2"/>
  <c r="I344" i="2" s="1"/>
  <c r="C344" i="2"/>
  <c r="H343" i="2"/>
  <c r="I343" i="2" s="1"/>
  <c r="C343" i="2"/>
  <c r="H342" i="2"/>
  <c r="I342" i="2" s="1"/>
  <c r="C342" i="2"/>
  <c r="H341" i="2"/>
  <c r="I341" i="2" s="1"/>
  <c r="C341" i="2"/>
  <c r="H340" i="2"/>
  <c r="I340" i="2" s="1"/>
  <c r="C340" i="2"/>
  <c r="H339" i="2"/>
  <c r="I339" i="2" s="1"/>
  <c r="C339" i="2"/>
  <c r="H338" i="2"/>
  <c r="I338" i="2" s="1"/>
  <c r="C338" i="2"/>
  <c r="I337" i="2"/>
  <c r="H337" i="2"/>
  <c r="C337" i="2"/>
  <c r="H336" i="2"/>
  <c r="I336" i="2" s="1"/>
  <c r="C336" i="2"/>
  <c r="I335" i="2"/>
  <c r="H335" i="2"/>
  <c r="C335" i="2"/>
  <c r="H334" i="2"/>
  <c r="I334" i="2" s="1"/>
  <c r="C334" i="2"/>
  <c r="I333" i="2"/>
  <c r="H333" i="2"/>
  <c r="C333" i="2"/>
  <c r="H332" i="2"/>
  <c r="I332" i="2" s="1"/>
  <c r="C332" i="2"/>
  <c r="H331" i="2"/>
  <c r="I331" i="2" s="1"/>
  <c r="C331" i="2"/>
  <c r="I330" i="2"/>
  <c r="H330" i="2"/>
  <c r="C330" i="2"/>
  <c r="H329" i="2"/>
  <c r="I329" i="2" s="1"/>
  <c r="C329" i="2"/>
  <c r="H328" i="2"/>
  <c r="I328" i="2" s="1"/>
  <c r="C328" i="2"/>
  <c r="H327" i="2"/>
  <c r="I327" i="2" s="1"/>
  <c r="C327" i="2"/>
  <c r="H326" i="2"/>
  <c r="I326" i="2" s="1"/>
  <c r="C326" i="2"/>
  <c r="H325" i="2"/>
  <c r="I325" i="2" s="1"/>
  <c r="C325" i="2"/>
  <c r="H324" i="2"/>
  <c r="I324" i="2" s="1"/>
  <c r="C324" i="2"/>
  <c r="H323" i="2"/>
  <c r="I323" i="2" s="1"/>
  <c r="C323" i="2"/>
  <c r="I322" i="2"/>
  <c r="H322" i="2"/>
  <c r="C322" i="2"/>
  <c r="I321" i="2"/>
  <c r="H321" i="2"/>
  <c r="C321" i="2"/>
  <c r="H320" i="2"/>
  <c r="I320" i="2" s="1"/>
  <c r="C320" i="2"/>
  <c r="H319" i="2"/>
  <c r="I319" i="2" s="1"/>
  <c r="C319" i="2"/>
  <c r="H318" i="2"/>
  <c r="I318" i="2" s="1"/>
  <c r="C318" i="2"/>
  <c r="I317" i="2"/>
  <c r="H317" i="2"/>
  <c r="C317" i="2"/>
  <c r="H316" i="2"/>
  <c r="I316" i="2" s="1"/>
  <c r="C316" i="2"/>
  <c r="H315" i="2"/>
  <c r="I315" i="2" s="1"/>
  <c r="C315" i="2"/>
  <c r="H314" i="2"/>
  <c r="I314" i="2" s="1"/>
  <c r="C314" i="2"/>
  <c r="H313" i="2"/>
  <c r="I313" i="2" s="1"/>
  <c r="C313" i="2"/>
  <c r="I312" i="2"/>
  <c r="H312" i="2"/>
  <c r="C312" i="2"/>
  <c r="H311" i="2"/>
  <c r="I311" i="2" s="1"/>
  <c r="C311" i="2"/>
  <c r="H310" i="2"/>
  <c r="I310" i="2" s="1"/>
  <c r="C310" i="2"/>
  <c r="H309" i="2"/>
  <c r="I309" i="2" s="1"/>
  <c r="C309" i="2"/>
  <c r="H308" i="2"/>
  <c r="I308" i="2" s="1"/>
  <c r="C308" i="2"/>
  <c r="H307" i="2"/>
  <c r="I307" i="2" s="1"/>
  <c r="C307" i="2"/>
  <c r="I306" i="2"/>
  <c r="H306" i="2"/>
  <c r="C306" i="2"/>
  <c r="I305" i="2"/>
  <c r="H305" i="2"/>
  <c r="C305" i="2"/>
  <c r="H304" i="2"/>
  <c r="I304" i="2" s="1"/>
  <c r="C304" i="2"/>
  <c r="I303" i="2"/>
  <c r="H303" i="2"/>
  <c r="C303" i="2"/>
  <c r="H302" i="2"/>
  <c r="I302" i="2" s="1"/>
  <c r="C302" i="2"/>
  <c r="H301" i="2"/>
  <c r="I301" i="2" s="1"/>
  <c r="C301" i="2"/>
  <c r="H300" i="2"/>
  <c r="I300" i="2" s="1"/>
  <c r="C300" i="2"/>
  <c r="H299" i="2"/>
  <c r="I299" i="2" s="1"/>
  <c r="C299" i="2"/>
  <c r="H298" i="2"/>
  <c r="I298" i="2" s="1"/>
  <c r="C298" i="2"/>
  <c r="H297" i="2"/>
  <c r="I297" i="2" s="1"/>
  <c r="C297" i="2"/>
  <c r="H296" i="2"/>
  <c r="I296" i="2" s="1"/>
  <c r="C296" i="2"/>
  <c r="H295" i="2"/>
  <c r="I295" i="2" s="1"/>
  <c r="C295" i="2"/>
  <c r="H294" i="2"/>
  <c r="I294" i="2" s="1"/>
  <c r="C294" i="2"/>
  <c r="I293" i="2"/>
  <c r="H293" i="2"/>
  <c r="C293" i="2"/>
  <c r="H292" i="2"/>
  <c r="I292" i="2" s="1"/>
  <c r="C292" i="2"/>
  <c r="H291" i="2"/>
  <c r="I291" i="2" s="1"/>
  <c r="C291" i="2"/>
  <c r="H290" i="2"/>
  <c r="I290" i="2" s="1"/>
  <c r="C290" i="2"/>
  <c r="H289" i="2"/>
  <c r="I289" i="2" s="1"/>
  <c r="C289" i="2"/>
  <c r="H288" i="2"/>
  <c r="I288" i="2" s="1"/>
  <c r="C288" i="2"/>
  <c r="H287" i="2"/>
  <c r="I287" i="2" s="1"/>
  <c r="C287" i="2"/>
  <c r="H286" i="2"/>
  <c r="I286" i="2" s="1"/>
  <c r="C286" i="2"/>
  <c r="H285" i="2"/>
  <c r="I285" i="2" s="1"/>
  <c r="C285" i="2"/>
  <c r="H284" i="2"/>
  <c r="I284" i="2" s="1"/>
  <c r="C284" i="2"/>
  <c r="H283" i="2"/>
  <c r="I283" i="2" s="1"/>
  <c r="C283" i="2"/>
  <c r="H282" i="2"/>
  <c r="I282" i="2" s="1"/>
  <c r="C282" i="2"/>
  <c r="H281" i="2"/>
  <c r="I281" i="2" s="1"/>
  <c r="C281" i="2"/>
  <c r="H280" i="2"/>
  <c r="I280" i="2" s="1"/>
  <c r="C280" i="2"/>
  <c r="H279" i="2"/>
  <c r="I279" i="2" s="1"/>
  <c r="C279" i="2"/>
  <c r="H278" i="2"/>
  <c r="I278" i="2" s="1"/>
  <c r="C278" i="2"/>
  <c r="H277" i="2"/>
  <c r="I277" i="2" s="1"/>
  <c r="C277" i="2"/>
  <c r="H276" i="2"/>
  <c r="I276" i="2" s="1"/>
  <c r="C276" i="2"/>
  <c r="H275" i="2"/>
  <c r="I275" i="2" s="1"/>
  <c r="C275" i="2"/>
  <c r="H274" i="2"/>
  <c r="I274" i="2" s="1"/>
  <c r="C274" i="2"/>
  <c r="H273" i="2"/>
  <c r="I273" i="2" s="1"/>
  <c r="C273" i="2"/>
  <c r="H272" i="2"/>
  <c r="I272" i="2" s="1"/>
  <c r="C272" i="2"/>
  <c r="H271" i="2"/>
  <c r="I271" i="2" s="1"/>
  <c r="C271" i="2"/>
  <c r="H270" i="2"/>
  <c r="I270" i="2" s="1"/>
  <c r="C270" i="2"/>
  <c r="H269" i="2"/>
  <c r="I269" i="2" s="1"/>
  <c r="C269" i="2"/>
  <c r="I268" i="2"/>
  <c r="H268" i="2"/>
  <c r="C268" i="2"/>
  <c r="H267" i="2"/>
  <c r="I267" i="2" s="1"/>
  <c r="C267" i="2"/>
  <c r="H266" i="2"/>
  <c r="I266" i="2" s="1"/>
  <c r="C266" i="2"/>
  <c r="H265" i="2"/>
  <c r="I265" i="2" s="1"/>
  <c r="C265" i="2"/>
  <c r="H264" i="2"/>
  <c r="I264" i="2" s="1"/>
  <c r="C264" i="2"/>
  <c r="H263" i="2"/>
  <c r="I263" i="2" s="1"/>
  <c r="C263" i="2"/>
  <c r="H262" i="2"/>
  <c r="I262" i="2" s="1"/>
  <c r="C262" i="2"/>
  <c r="H261" i="2"/>
  <c r="I261" i="2" s="1"/>
  <c r="C261" i="2"/>
  <c r="H260" i="2"/>
  <c r="I260" i="2" s="1"/>
  <c r="C260" i="2"/>
  <c r="I259" i="2"/>
  <c r="H259" i="2"/>
  <c r="C259" i="2"/>
  <c r="H258" i="2"/>
  <c r="I258" i="2" s="1"/>
  <c r="C258" i="2"/>
  <c r="H257" i="2"/>
  <c r="I257" i="2" s="1"/>
  <c r="C257" i="2"/>
  <c r="H256" i="2"/>
  <c r="I256" i="2" s="1"/>
  <c r="C256" i="2"/>
  <c r="H255" i="2"/>
  <c r="I255" i="2" s="1"/>
  <c r="C255" i="2"/>
  <c r="H254" i="2"/>
  <c r="I254" i="2" s="1"/>
  <c r="C254" i="2"/>
  <c r="H253" i="2"/>
  <c r="I253" i="2" s="1"/>
  <c r="C253" i="2"/>
  <c r="H252" i="2"/>
  <c r="I252" i="2" s="1"/>
  <c r="C252" i="2"/>
  <c r="H251" i="2"/>
  <c r="I251" i="2" s="1"/>
  <c r="C251" i="2"/>
  <c r="I250" i="2"/>
  <c r="H250" i="2"/>
  <c r="C250" i="2"/>
  <c r="H249" i="2"/>
  <c r="I249" i="2" s="1"/>
  <c r="C249" i="2"/>
  <c r="H248" i="2"/>
  <c r="I248" i="2" s="1"/>
  <c r="C248" i="2"/>
  <c r="H247" i="2"/>
  <c r="I247" i="2" s="1"/>
  <c r="C247" i="2"/>
  <c r="H246" i="2"/>
  <c r="I246" i="2" s="1"/>
  <c r="C246" i="2"/>
  <c r="H245" i="2"/>
  <c r="I245" i="2" s="1"/>
  <c r="C245" i="2"/>
  <c r="H244" i="2"/>
  <c r="I244" i="2" s="1"/>
  <c r="C244" i="2"/>
  <c r="H243" i="2"/>
  <c r="I243" i="2" s="1"/>
  <c r="C243" i="2"/>
  <c r="H242" i="2"/>
  <c r="I242" i="2" s="1"/>
  <c r="C242" i="2"/>
  <c r="H241" i="2"/>
  <c r="I241" i="2" s="1"/>
  <c r="C241" i="2"/>
  <c r="H240" i="2"/>
  <c r="I240" i="2" s="1"/>
  <c r="C240" i="2"/>
  <c r="H239" i="2"/>
  <c r="I239" i="2" s="1"/>
  <c r="C239" i="2"/>
  <c r="I238" i="2"/>
  <c r="H238" i="2"/>
  <c r="C238" i="2"/>
  <c r="H237" i="2"/>
  <c r="I237" i="2" s="1"/>
  <c r="C237" i="2"/>
  <c r="H236" i="2"/>
  <c r="I236" i="2" s="1"/>
  <c r="C236" i="2"/>
  <c r="H235" i="2"/>
  <c r="I235" i="2" s="1"/>
  <c r="C235" i="2"/>
  <c r="I234" i="2"/>
  <c r="H234" i="2"/>
  <c r="C234" i="2"/>
  <c r="H233" i="2"/>
  <c r="I233" i="2" s="1"/>
  <c r="C233" i="2"/>
  <c r="H232" i="2"/>
  <c r="I232" i="2" s="1"/>
  <c r="C232" i="2"/>
  <c r="H231" i="2"/>
  <c r="I231" i="2" s="1"/>
  <c r="C231" i="2"/>
  <c r="H230" i="2"/>
  <c r="I230" i="2" s="1"/>
  <c r="C230" i="2"/>
  <c r="H229" i="2"/>
  <c r="I229" i="2" s="1"/>
  <c r="C229" i="2"/>
  <c r="H228" i="2"/>
  <c r="I228" i="2" s="1"/>
  <c r="C228" i="2"/>
  <c r="H227" i="2"/>
  <c r="I227" i="2" s="1"/>
  <c r="C227" i="2"/>
  <c r="H226" i="2"/>
  <c r="I226" i="2" s="1"/>
  <c r="C226" i="2"/>
  <c r="H225" i="2"/>
  <c r="I225" i="2" s="1"/>
  <c r="C225" i="2"/>
  <c r="H224" i="2"/>
  <c r="I224" i="2" s="1"/>
  <c r="C224" i="2"/>
  <c r="H223" i="2"/>
  <c r="I223" i="2" s="1"/>
  <c r="C223" i="2"/>
  <c r="I222" i="2"/>
  <c r="H222" i="2"/>
  <c r="C222" i="2"/>
  <c r="H221" i="2"/>
  <c r="I221" i="2" s="1"/>
  <c r="C221" i="2"/>
  <c r="H220" i="2"/>
  <c r="I220" i="2" s="1"/>
  <c r="C220" i="2"/>
  <c r="I219" i="2"/>
  <c r="H219" i="2"/>
  <c r="C219" i="2"/>
  <c r="I218" i="2"/>
  <c r="H218" i="2"/>
  <c r="C218" i="2"/>
  <c r="H217" i="2"/>
  <c r="I217" i="2" s="1"/>
  <c r="C217" i="2"/>
  <c r="H216" i="2"/>
  <c r="I216" i="2" s="1"/>
  <c r="C216" i="2"/>
  <c r="H215" i="2"/>
  <c r="I215" i="2" s="1"/>
  <c r="C215" i="2"/>
  <c r="I214" i="2"/>
  <c r="H214" i="2"/>
  <c r="C214" i="2"/>
  <c r="H213" i="2"/>
  <c r="I213" i="2" s="1"/>
  <c r="C213" i="2"/>
  <c r="H212" i="2"/>
  <c r="I212" i="2" s="1"/>
  <c r="C212" i="2"/>
  <c r="H211" i="2"/>
  <c r="I211" i="2" s="1"/>
  <c r="C211" i="2"/>
  <c r="H210" i="2"/>
  <c r="I210" i="2" s="1"/>
  <c r="C210" i="2"/>
  <c r="I209" i="2"/>
  <c r="H209" i="2"/>
  <c r="C209" i="2"/>
  <c r="I208" i="2"/>
  <c r="H208" i="2"/>
  <c r="C208" i="2"/>
  <c r="H207" i="2"/>
  <c r="I207" i="2" s="1"/>
  <c r="C207" i="2"/>
  <c r="H206" i="2"/>
  <c r="I206" i="2" s="1"/>
  <c r="C206" i="2"/>
  <c r="H205" i="2"/>
  <c r="I205" i="2" s="1"/>
  <c r="C205" i="2"/>
  <c r="I204" i="2"/>
  <c r="H204" i="2"/>
  <c r="C204" i="2"/>
  <c r="H203" i="2"/>
  <c r="I203" i="2" s="1"/>
  <c r="C203" i="2"/>
  <c r="H202" i="2"/>
  <c r="I202" i="2" s="1"/>
  <c r="C202" i="2"/>
  <c r="H201" i="2"/>
  <c r="I201" i="2" s="1"/>
  <c r="C201" i="2"/>
  <c r="I200" i="2"/>
  <c r="H200" i="2"/>
  <c r="C200" i="2"/>
  <c r="H199" i="2"/>
  <c r="I199" i="2" s="1"/>
  <c r="C199" i="2"/>
  <c r="H198" i="2"/>
  <c r="I198" i="2" s="1"/>
  <c r="C198" i="2"/>
  <c r="H197" i="2"/>
  <c r="I197" i="2" s="1"/>
  <c r="C197" i="2"/>
  <c r="H196" i="2"/>
  <c r="I196" i="2" s="1"/>
  <c r="C196" i="2"/>
  <c r="H195" i="2"/>
  <c r="I195" i="2" s="1"/>
  <c r="C195" i="2"/>
  <c r="H194" i="2"/>
  <c r="I194" i="2" s="1"/>
  <c r="C194" i="2"/>
  <c r="H193" i="2"/>
  <c r="I193" i="2" s="1"/>
  <c r="C193" i="2"/>
  <c r="H192" i="2"/>
  <c r="I192" i="2" s="1"/>
  <c r="C192" i="2"/>
  <c r="H191" i="2"/>
  <c r="I191" i="2" s="1"/>
  <c r="C191" i="2"/>
  <c r="H190" i="2"/>
  <c r="I190" i="2" s="1"/>
  <c r="C190" i="2"/>
  <c r="H189" i="2"/>
  <c r="I189" i="2" s="1"/>
  <c r="C189" i="2"/>
  <c r="H188" i="2"/>
  <c r="I188" i="2" s="1"/>
  <c r="C188" i="2"/>
  <c r="H187" i="2"/>
  <c r="I187" i="2" s="1"/>
  <c r="C187" i="2"/>
  <c r="I186" i="2"/>
  <c r="H186" i="2"/>
  <c r="C186" i="2"/>
  <c r="H185" i="2"/>
  <c r="I185" i="2" s="1"/>
  <c r="C185" i="2"/>
  <c r="I184" i="2"/>
  <c r="H184" i="2"/>
  <c r="C184" i="2"/>
  <c r="I183" i="2"/>
  <c r="H183" i="2"/>
  <c r="C183" i="2"/>
  <c r="H182" i="2"/>
  <c r="I182" i="2" s="1"/>
  <c r="C182" i="2"/>
  <c r="H181" i="2"/>
  <c r="I181" i="2" s="1"/>
  <c r="C181" i="2"/>
  <c r="I180" i="2"/>
  <c r="H180" i="2"/>
  <c r="C180" i="2"/>
  <c r="H179" i="2"/>
  <c r="I179" i="2" s="1"/>
  <c r="C179" i="2"/>
  <c r="H178" i="2"/>
  <c r="I178" i="2" s="1"/>
  <c r="C178" i="2"/>
  <c r="H177" i="2"/>
  <c r="I177" i="2" s="1"/>
  <c r="C177" i="2"/>
  <c r="I176" i="2"/>
  <c r="H176" i="2"/>
  <c r="C176" i="2"/>
  <c r="H175" i="2"/>
  <c r="I175" i="2" s="1"/>
  <c r="C175" i="2"/>
  <c r="H174" i="2"/>
  <c r="I174" i="2" s="1"/>
  <c r="C174" i="2"/>
  <c r="H173" i="2"/>
  <c r="I173" i="2" s="1"/>
  <c r="C173" i="2"/>
  <c r="I172" i="2"/>
  <c r="H172" i="2"/>
  <c r="C172" i="2"/>
  <c r="H171" i="2"/>
  <c r="I171" i="2" s="1"/>
  <c r="C171" i="2"/>
  <c r="H170" i="2"/>
  <c r="I170" i="2" s="1"/>
  <c r="C170" i="2"/>
  <c r="I169" i="2"/>
  <c r="H169" i="2"/>
  <c r="C169" i="2"/>
  <c r="H168" i="2"/>
  <c r="I168" i="2" s="1"/>
  <c r="C168" i="2"/>
  <c r="H167" i="2"/>
  <c r="I167" i="2" s="1"/>
  <c r="C167" i="2"/>
  <c r="H166" i="2"/>
  <c r="I166" i="2" s="1"/>
  <c r="C166" i="2"/>
  <c r="H165" i="2"/>
  <c r="I165" i="2" s="1"/>
  <c r="C165" i="2"/>
  <c r="H164" i="2"/>
  <c r="I164" i="2" s="1"/>
  <c r="C164" i="2"/>
  <c r="H163" i="2"/>
  <c r="I163" i="2" s="1"/>
  <c r="C163" i="2"/>
  <c r="H162" i="2"/>
  <c r="I162" i="2" s="1"/>
  <c r="C162" i="2"/>
  <c r="H161" i="2"/>
  <c r="I161" i="2" s="1"/>
  <c r="C161" i="2"/>
  <c r="I160" i="2"/>
  <c r="H160" i="2"/>
  <c r="C160" i="2"/>
  <c r="H159" i="2"/>
  <c r="I159" i="2" s="1"/>
  <c r="C159" i="2"/>
  <c r="I158" i="2"/>
  <c r="H158" i="2"/>
  <c r="C158" i="2"/>
  <c r="H157" i="2"/>
  <c r="I157" i="2" s="1"/>
  <c r="C157" i="2"/>
  <c r="H156" i="2"/>
  <c r="I156" i="2" s="1"/>
  <c r="C156" i="2"/>
  <c r="H155" i="2"/>
  <c r="I155" i="2" s="1"/>
  <c r="C155" i="2"/>
  <c r="H154" i="2"/>
  <c r="I154" i="2" s="1"/>
  <c r="C154" i="2"/>
  <c r="H153" i="2"/>
  <c r="I153" i="2" s="1"/>
  <c r="C153" i="2"/>
  <c r="H152" i="2"/>
  <c r="I152" i="2" s="1"/>
  <c r="C152" i="2"/>
  <c r="H151" i="2"/>
  <c r="I151" i="2" s="1"/>
  <c r="C151" i="2"/>
  <c r="H150" i="2"/>
  <c r="I150" i="2" s="1"/>
  <c r="C150" i="2"/>
  <c r="H149" i="2"/>
  <c r="I149" i="2" s="1"/>
  <c r="C149" i="2"/>
  <c r="H148" i="2"/>
  <c r="I148" i="2" s="1"/>
  <c r="C148" i="2"/>
  <c r="H147" i="2"/>
  <c r="I147" i="2" s="1"/>
  <c r="C147" i="2"/>
  <c r="I146" i="2"/>
  <c r="H146" i="2"/>
  <c r="C146" i="2"/>
  <c r="H145" i="2"/>
  <c r="I145" i="2" s="1"/>
  <c r="C145" i="2"/>
  <c r="H144" i="2"/>
  <c r="I144" i="2" s="1"/>
  <c r="C144" i="2"/>
  <c r="H143" i="2"/>
  <c r="I143" i="2" s="1"/>
  <c r="C143" i="2"/>
  <c r="H142" i="2"/>
  <c r="I142" i="2" s="1"/>
  <c r="C142" i="2"/>
  <c r="I141" i="2"/>
  <c r="H141" i="2"/>
  <c r="C141" i="2"/>
  <c r="H140" i="2"/>
  <c r="I140" i="2" s="1"/>
  <c r="C140" i="2"/>
  <c r="H139" i="2"/>
  <c r="I139" i="2" s="1"/>
  <c r="C139" i="2"/>
  <c r="H138" i="2"/>
  <c r="I138" i="2" s="1"/>
  <c r="C138" i="2"/>
  <c r="I137" i="2"/>
  <c r="H137" i="2"/>
  <c r="C137" i="2"/>
  <c r="H136" i="2"/>
  <c r="I136" i="2" s="1"/>
  <c r="C136" i="2"/>
  <c r="H135" i="2"/>
  <c r="I135" i="2" s="1"/>
  <c r="C135" i="2"/>
  <c r="H134" i="2"/>
  <c r="I134" i="2" s="1"/>
  <c r="C134" i="2"/>
  <c r="I133" i="2"/>
  <c r="H133" i="2"/>
  <c r="C133" i="2"/>
  <c r="H132" i="2"/>
  <c r="I132" i="2" s="1"/>
  <c r="C132" i="2"/>
  <c r="H131" i="2"/>
  <c r="I131" i="2" s="1"/>
  <c r="C131" i="2"/>
  <c r="H130" i="2"/>
  <c r="I130" i="2" s="1"/>
  <c r="C130" i="2"/>
  <c r="H129" i="2"/>
  <c r="I129" i="2" s="1"/>
  <c r="C129" i="2"/>
  <c r="H128" i="2"/>
  <c r="I128" i="2" s="1"/>
  <c r="C128" i="2"/>
  <c r="H127" i="2"/>
  <c r="I127" i="2" s="1"/>
  <c r="C127" i="2"/>
  <c r="H126" i="2"/>
  <c r="I126" i="2" s="1"/>
  <c r="C126" i="2"/>
  <c r="H125" i="2"/>
  <c r="I125" i="2" s="1"/>
  <c r="C125" i="2"/>
  <c r="H124" i="2"/>
  <c r="I124" i="2" s="1"/>
  <c r="C124" i="2"/>
  <c r="H123" i="2"/>
  <c r="I123" i="2" s="1"/>
  <c r="C123" i="2"/>
  <c r="H122" i="2"/>
  <c r="I122" i="2" s="1"/>
  <c r="C122" i="2"/>
  <c r="H121" i="2"/>
  <c r="I121" i="2" s="1"/>
  <c r="C121" i="2"/>
  <c r="H120" i="2"/>
  <c r="I120" i="2" s="1"/>
  <c r="C120" i="2"/>
  <c r="H119" i="2"/>
  <c r="I119" i="2" s="1"/>
  <c r="C119" i="2"/>
  <c r="H118" i="2"/>
  <c r="I118" i="2" s="1"/>
  <c r="C118" i="2"/>
  <c r="H117" i="2"/>
  <c r="I117" i="2" s="1"/>
  <c r="C117" i="2"/>
  <c r="H116" i="2"/>
  <c r="I116" i="2" s="1"/>
  <c r="C116" i="2"/>
  <c r="H115" i="2"/>
  <c r="I115" i="2" s="1"/>
  <c r="C115" i="2"/>
  <c r="H114" i="2"/>
  <c r="I114" i="2" s="1"/>
  <c r="C114" i="2"/>
  <c r="I113" i="2"/>
  <c r="H113" i="2"/>
  <c r="C113" i="2"/>
  <c r="H112" i="2"/>
  <c r="I112" i="2" s="1"/>
  <c r="C112" i="2"/>
  <c r="H111" i="2"/>
  <c r="I111" i="2" s="1"/>
  <c r="C111" i="2"/>
  <c r="H110" i="2"/>
  <c r="I110" i="2" s="1"/>
  <c r="C110" i="2"/>
  <c r="H109" i="2"/>
  <c r="I109" i="2" s="1"/>
  <c r="C109" i="2"/>
  <c r="H108" i="2"/>
  <c r="I108" i="2" s="1"/>
  <c r="C108" i="2"/>
  <c r="H107" i="2"/>
  <c r="I107" i="2" s="1"/>
  <c r="C107" i="2"/>
  <c r="H106" i="2"/>
  <c r="I106" i="2" s="1"/>
  <c r="C106" i="2"/>
  <c r="H105" i="2"/>
  <c r="I105" i="2" s="1"/>
  <c r="C105" i="2"/>
  <c r="H104" i="2"/>
  <c r="I104" i="2" s="1"/>
  <c r="C104" i="2"/>
  <c r="I103" i="2"/>
  <c r="H103" i="2"/>
  <c r="C103" i="2"/>
  <c r="H102" i="2"/>
  <c r="I102" i="2" s="1"/>
  <c r="C102" i="2"/>
  <c r="H101" i="2"/>
  <c r="I101" i="2" s="1"/>
  <c r="C101" i="2"/>
  <c r="H100" i="2"/>
  <c r="I100" i="2" s="1"/>
  <c r="C100" i="2"/>
  <c r="H99" i="2"/>
  <c r="I99" i="2" s="1"/>
  <c r="C99" i="2"/>
  <c r="H98" i="2"/>
  <c r="I98" i="2" s="1"/>
  <c r="C98" i="2"/>
  <c r="H97" i="2"/>
  <c r="I97" i="2" s="1"/>
  <c r="C97" i="2"/>
  <c r="I96" i="2"/>
  <c r="H96" i="2"/>
  <c r="C96" i="2"/>
  <c r="H95" i="2"/>
  <c r="I95" i="2" s="1"/>
  <c r="C95" i="2"/>
  <c r="H94" i="2"/>
  <c r="I94" i="2" s="1"/>
  <c r="C94" i="2"/>
  <c r="H93" i="2"/>
  <c r="I93" i="2" s="1"/>
  <c r="C93" i="2"/>
  <c r="H92" i="2"/>
  <c r="I92" i="2" s="1"/>
  <c r="C92" i="2"/>
  <c r="H91" i="2"/>
  <c r="I91" i="2" s="1"/>
  <c r="C91" i="2"/>
  <c r="H90" i="2"/>
  <c r="I90" i="2" s="1"/>
  <c r="C90" i="2"/>
  <c r="I89" i="2"/>
  <c r="H89" i="2"/>
  <c r="C89" i="2"/>
  <c r="H88" i="2"/>
  <c r="I88" i="2" s="1"/>
  <c r="C88" i="2"/>
  <c r="H87" i="2"/>
  <c r="I87" i="2" s="1"/>
  <c r="C87" i="2"/>
  <c r="H86" i="2"/>
  <c r="I86" i="2" s="1"/>
  <c r="C86" i="2"/>
  <c r="H85" i="2"/>
  <c r="I85" i="2" s="1"/>
  <c r="C85" i="2"/>
  <c r="H84" i="2"/>
  <c r="I84" i="2" s="1"/>
  <c r="C84" i="2"/>
  <c r="H83" i="2"/>
  <c r="I83" i="2" s="1"/>
  <c r="C83" i="2"/>
  <c r="I82" i="2"/>
  <c r="H82" i="2"/>
  <c r="C82" i="2"/>
  <c r="H81" i="2"/>
  <c r="I81" i="2" s="1"/>
  <c r="C81" i="2"/>
  <c r="H80" i="2"/>
  <c r="I80" i="2" s="1"/>
  <c r="C80" i="2"/>
  <c r="H79" i="2"/>
  <c r="I79" i="2" s="1"/>
  <c r="C79" i="2"/>
  <c r="H78" i="2"/>
  <c r="I78" i="2" s="1"/>
  <c r="C78" i="2"/>
  <c r="I77" i="2"/>
  <c r="H77" i="2"/>
  <c r="C77" i="2"/>
  <c r="H76" i="2"/>
  <c r="I76" i="2" s="1"/>
  <c r="C76" i="2"/>
  <c r="H75" i="2"/>
  <c r="I75" i="2" s="1"/>
  <c r="C75" i="2"/>
  <c r="H74" i="2"/>
  <c r="I74" i="2" s="1"/>
  <c r="C74" i="2"/>
  <c r="I73" i="2"/>
  <c r="H73" i="2"/>
  <c r="C73" i="2"/>
  <c r="I72" i="2"/>
  <c r="H72" i="2"/>
  <c r="C72" i="2"/>
  <c r="H71" i="2"/>
  <c r="I71" i="2" s="1"/>
  <c r="C71" i="2"/>
  <c r="H70" i="2"/>
  <c r="I70" i="2" s="1"/>
  <c r="C70" i="2"/>
  <c r="H69" i="2"/>
  <c r="I69" i="2" s="1"/>
  <c r="C69" i="2"/>
  <c r="H68" i="2"/>
  <c r="I68" i="2" s="1"/>
  <c r="C68" i="2"/>
  <c r="H67" i="2"/>
  <c r="I67" i="2" s="1"/>
  <c r="C67" i="2"/>
  <c r="H66" i="2"/>
  <c r="I66" i="2" s="1"/>
  <c r="C66" i="2"/>
  <c r="H65" i="2"/>
  <c r="I65" i="2" s="1"/>
  <c r="C65" i="2"/>
  <c r="H64" i="2"/>
  <c r="I64" i="2" s="1"/>
  <c r="C64" i="2"/>
  <c r="H63" i="2"/>
  <c r="I63" i="2" s="1"/>
  <c r="C63" i="2"/>
  <c r="H62" i="2"/>
  <c r="I62" i="2" s="1"/>
  <c r="C62" i="2"/>
  <c r="H61" i="2"/>
  <c r="I61" i="2" s="1"/>
  <c r="C61" i="2"/>
  <c r="I60" i="2"/>
  <c r="H60" i="2"/>
  <c r="C60" i="2"/>
  <c r="H59" i="2"/>
  <c r="I59" i="2" s="1"/>
  <c r="C59" i="2"/>
  <c r="I58" i="2"/>
  <c r="H58" i="2"/>
  <c r="C58" i="2"/>
  <c r="H57" i="2"/>
  <c r="I57" i="2" s="1"/>
  <c r="C57" i="2"/>
  <c r="H56" i="2"/>
  <c r="I56" i="2" s="1"/>
  <c r="C56" i="2"/>
  <c r="H55" i="2"/>
  <c r="I55" i="2" s="1"/>
  <c r="C55" i="2"/>
  <c r="H54" i="2"/>
  <c r="I54" i="2" s="1"/>
  <c r="C54" i="2"/>
  <c r="H53" i="2"/>
  <c r="I53" i="2" s="1"/>
  <c r="C53" i="2"/>
  <c r="H52" i="2"/>
  <c r="I52" i="2" s="1"/>
  <c r="C52" i="2"/>
  <c r="I51" i="2"/>
  <c r="H51" i="2"/>
  <c r="C51" i="2"/>
  <c r="H50" i="2"/>
  <c r="I50" i="2" s="1"/>
  <c r="C50" i="2"/>
  <c r="H49" i="2"/>
  <c r="I49" i="2" s="1"/>
  <c r="C49" i="2"/>
  <c r="I48" i="2"/>
  <c r="H48" i="2"/>
  <c r="C48" i="2"/>
  <c r="I47" i="2"/>
  <c r="H47" i="2"/>
  <c r="C47" i="2"/>
  <c r="H46" i="2"/>
  <c r="I46" i="2" s="1"/>
  <c r="C46" i="2"/>
  <c r="H45" i="2"/>
  <c r="I45" i="2" s="1"/>
  <c r="C45" i="2"/>
  <c r="H44" i="2"/>
  <c r="I44" i="2" s="1"/>
  <c r="C44" i="2"/>
  <c r="H43" i="2"/>
  <c r="I43" i="2" s="1"/>
  <c r="C43" i="2"/>
  <c r="H42" i="2"/>
  <c r="I42" i="2" s="1"/>
  <c r="C42" i="2"/>
  <c r="I41" i="2"/>
  <c r="H41" i="2"/>
  <c r="C41" i="2"/>
  <c r="H40" i="2"/>
  <c r="I40" i="2" s="1"/>
  <c r="C40" i="2"/>
  <c r="I39" i="2"/>
  <c r="H39" i="2"/>
  <c r="C39" i="2"/>
  <c r="H38" i="2"/>
  <c r="I38" i="2" s="1"/>
  <c r="C38" i="2"/>
  <c r="H37" i="2"/>
  <c r="I37" i="2" s="1"/>
  <c r="C37" i="2"/>
  <c r="I36" i="2"/>
  <c r="H36" i="2"/>
  <c r="C36" i="2"/>
  <c r="H35" i="2"/>
  <c r="I35" i="2" s="1"/>
  <c r="C35" i="2"/>
  <c r="I34" i="2"/>
  <c r="H34" i="2"/>
  <c r="C34" i="2"/>
  <c r="H33" i="2"/>
  <c r="I33" i="2" s="1"/>
  <c r="C33" i="2"/>
  <c r="H32" i="2"/>
  <c r="I32" i="2" s="1"/>
  <c r="C32" i="2"/>
  <c r="H31" i="2"/>
  <c r="I31" i="2" s="1"/>
  <c r="C31" i="2"/>
  <c r="H30" i="2"/>
  <c r="I30" i="2" s="1"/>
  <c r="C30" i="2"/>
  <c r="H29" i="2"/>
  <c r="I29" i="2" s="1"/>
  <c r="C29" i="2"/>
  <c r="H28" i="2"/>
  <c r="I28" i="2" s="1"/>
  <c r="C28" i="2"/>
  <c r="H27" i="2"/>
  <c r="I27" i="2" s="1"/>
  <c r="C27" i="2"/>
  <c r="H26" i="2"/>
  <c r="I26" i="2" s="1"/>
  <c r="C26" i="2"/>
  <c r="H25" i="2"/>
  <c r="I25" i="2" s="1"/>
  <c r="C25" i="2"/>
  <c r="H24" i="2"/>
  <c r="I24" i="2" s="1"/>
  <c r="C24" i="2"/>
  <c r="H23" i="2"/>
  <c r="I23" i="2" s="1"/>
  <c r="C23" i="2"/>
  <c r="I22" i="2"/>
  <c r="H22" i="2"/>
  <c r="C22" i="2"/>
  <c r="H21" i="2"/>
  <c r="I21" i="2" s="1"/>
  <c r="C21" i="2"/>
  <c r="H20" i="2"/>
  <c r="I20" i="2" s="1"/>
  <c r="C20" i="2"/>
  <c r="H19" i="2"/>
  <c r="I19" i="2" s="1"/>
  <c r="C19" i="2"/>
  <c r="H18" i="2"/>
  <c r="I18" i="2" s="1"/>
  <c r="C18" i="2"/>
  <c r="H17" i="2"/>
  <c r="I17" i="2" s="1"/>
  <c r="C17" i="2"/>
  <c r="H16" i="2"/>
  <c r="I16" i="2" s="1"/>
  <c r="C16" i="2"/>
  <c r="H15" i="2"/>
  <c r="I15" i="2" s="1"/>
  <c r="C15" i="2"/>
  <c r="H14" i="2"/>
  <c r="I14" i="2" s="1"/>
  <c r="C14" i="2"/>
  <c r="H13" i="2"/>
  <c r="I13" i="2" s="1"/>
  <c r="C13" i="2"/>
  <c r="I12" i="2"/>
  <c r="H12" i="2"/>
  <c r="C12" i="2"/>
  <c r="H11" i="2"/>
  <c r="I11" i="2" s="1"/>
  <c r="C11" i="2"/>
  <c r="H10" i="2"/>
  <c r="I10" i="2" s="1"/>
  <c r="C10" i="2"/>
  <c r="H9" i="2"/>
  <c r="I9" i="2" s="1"/>
  <c r="C9" i="2"/>
  <c r="H8" i="2"/>
  <c r="I8" i="2" s="1"/>
  <c r="C8" i="2"/>
  <c r="H7" i="2"/>
  <c r="I7" i="2" s="1"/>
  <c r="C7" i="2"/>
  <c r="H6" i="2"/>
  <c r="I6" i="2" s="1"/>
  <c r="C6" i="2"/>
  <c r="H5" i="2"/>
  <c r="I5" i="2" s="1"/>
  <c r="C5" i="2"/>
  <c r="H4" i="2"/>
  <c r="I4" i="2" s="1"/>
  <c r="C4" i="2"/>
  <c r="H3" i="2"/>
  <c r="I3" i="2" s="1"/>
  <c r="C3" i="2"/>
  <c r="I2" i="2"/>
  <c r="H2" i="2"/>
  <c r="C2" i="2"/>
  <c r="H2674" i="1"/>
  <c r="I2674" i="1" s="1"/>
  <c r="C2674" i="1"/>
  <c r="H2673" i="1"/>
  <c r="I2673" i="1" s="1"/>
  <c r="C2673" i="1"/>
  <c r="H2672" i="1"/>
  <c r="I2672" i="1" s="1"/>
  <c r="C2672" i="1"/>
  <c r="H2671" i="1"/>
  <c r="I2671" i="1" s="1"/>
  <c r="C2671" i="1"/>
  <c r="I2670" i="1"/>
  <c r="H2670" i="1"/>
  <c r="C2670" i="1"/>
  <c r="H2669" i="1"/>
  <c r="I2669" i="1" s="1"/>
  <c r="C2669" i="1"/>
  <c r="I2668" i="1"/>
  <c r="H2668" i="1"/>
  <c r="C2668" i="1"/>
  <c r="H2667" i="1"/>
  <c r="I2667" i="1" s="1"/>
  <c r="C2667" i="1"/>
  <c r="H2666" i="1"/>
  <c r="I2666" i="1" s="1"/>
  <c r="C2666" i="1"/>
  <c r="I2665" i="1"/>
  <c r="H2665" i="1"/>
  <c r="C2665" i="1"/>
  <c r="H2664" i="1"/>
  <c r="I2664" i="1" s="1"/>
  <c r="C2664" i="1"/>
  <c r="H2663" i="1"/>
  <c r="I2663" i="1" s="1"/>
  <c r="C2663" i="1"/>
  <c r="H2662" i="1"/>
  <c r="I2662" i="1" s="1"/>
  <c r="C2662" i="1"/>
  <c r="I2661" i="1"/>
  <c r="H2661" i="1"/>
  <c r="C2661" i="1"/>
  <c r="H2660" i="1"/>
  <c r="I2660" i="1" s="1"/>
  <c r="C2660" i="1"/>
  <c r="H2659" i="1"/>
  <c r="I2659" i="1" s="1"/>
  <c r="C2659" i="1"/>
  <c r="H2658" i="1"/>
  <c r="I2658" i="1" s="1"/>
  <c r="C2658" i="1"/>
  <c r="H2657" i="1"/>
  <c r="I2657" i="1" s="1"/>
  <c r="C2657" i="1"/>
  <c r="H2656" i="1"/>
  <c r="I2656" i="1" s="1"/>
  <c r="C2656" i="1"/>
  <c r="H2655" i="1"/>
  <c r="I2655" i="1" s="1"/>
  <c r="C2655" i="1"/>
  <c r="H2654" i="1"/>
  <c r="I2654" i="1" s="1"/>
  <c r="C2654" i="1"/>
  <c r="I2653" i="1"/>
  <c r="H2653" i="1"/>
  <c r="C2653" i="1"/>
  <c r="H2652" i="1"/>
  <c r="I2652" i="1" s="1"/>
  <c r="C2652" i="1"/>
  <c r="H2651" i="1"/>
  <c r="I2651" i="1" s="1"/>
  <c r="C2651" i="1"/>
  <c r="H2650" i="1"/>
  <c r="I2650" i="1" s="1"/>
  <c r="C2650" i="1"/>
  <c r="H2649" i="1"/>
  <c r="I2649" i="1" s="1"/>
  <c r="C2649" i="1"/>
  <c r="I2648" i="1"/>
  <c r="H2648" i="1"/>
  <c r="C2648" i="1"/>
  <c r="H2647" i="1"/>
  <c r="I2647" i="1" s="1"/>
  <c r="C2647" i="1"/>
  <c r="H2646" i="1"/>
  <c r="I2646" i="1" s="1"/>
  <c r="C2646" i="1"/>
  <c r="H2645" i="1"/>
  <c r="I2645" i="1" s="1"/>
  <c r="C2645" i="1"/>
  <c r="H2644" i="1"/>
  <c r="I2644" i="1" s="1"/>
  <c r="C2644" i="1"/>
  <c r="H2643" i="1"/>
  <c r="I2643" i="1" s="1"/>
  <c r="C2643" i="1"/>
  <c r="H2642" i="1"/>
  <c r="I2642" i="1" s="1"/>
  <c r="C2642" i="1"/>
  <c r="H2641" i="1"/>
  <c r="I2641" i="1" s="1"/>
  <c r="C2641" i="1"/>
  <c r="H2640" i="1"/>
  <c r="I2640" i="1" s="1"/>
  <c r="C2640" i="1"/>
  <c r="H2639" i="1"/>
  <c r="I2639" i="1" s="1"/>
  <c r="C2639" i="1"/>
  <c r="H2638" i="1"/>
  <c r="I2638" i="1" s="1"/>
  <c r="C2638" i="1"/>
  <c r="H2637" i="1"/>
  <c r="I2637" i="1" s="1"/>
  <c r="C2637" i="1"/>
  <c r="I2636" i="1"/>
  <c r="H2636" i="1"/>
  <c r="C2636" i="1"/>
  <c r="H2635" i="1"/>
  <c r="I2635" i="1" s="1"/>
  <c r="C2635" i="1"/>
  <c r="H2634" i="1"/>
  <c r="I2634" i="1" s="1"/>
  <c r="C2634" i="1"/>
  <c r="I2633" i="1"/>
  <c r="H2633" i="1"/>
  <c r="C2633" i="1"/>
  <c r="I2632" i="1"/>
  <c r="H2632" i="1"/>
  <c r="C2632" i="1"/>
  <c r="I2631" i="1"/>
  <c r="H2631" i="1"/>
  <c r="C2631" i="1"/>
  <c r="H2630" i="1"/>
  <c r="I2630" i="1" s="1"/>
  <c r="C2630" i="1"/>
  <c r="H2629" i="1"/>
  <c r="I2629" i="1" s="1"/>
  <c r="C2629" i="1"/>
  <c r="I2628" i="1"/>
  <c r="H2628" i="1"/>
  <c r="C2628" i="1"/>
  <c r="I2627" i="1"/>
  <c r="H2627" i="1"/>
  <c r="C2627" i="1"/>
  <c r="I2626" i="1"/>
  <c r="H2626" i="1"/>
  <c r="C2626" i="1"/>
  <c r="H2625" i="1"/>
  <c r="I2625" i="1" s="1"/>
  <c r="C2625" i="1"/>
  <c r="H2624" i="1"/>
  <c r="I2624" i="1" s="1"/>
  <c r="C2624" i="1"/>
  <c r="H2623" i="1"/>
  <c r="I2623" i="1" s="1"/>
  <c r="C2623" i="1"/>
  <c r="H2622" i="1"/>
  <c r="I2622" i="1" s="1"/>
  <c r="C2622" i="1"/>
  <c r="H2621" i="1"/>
  <c r="I2621" i="1" s="1"/>
  <c r="C2621" i="1"/>
  <c r="H2620" i="1"/>
  <c r="I2620" i="1" s="1"/>
  <c r="C2620" i="1"/>
  <c r="I2619" i="1"/>
  <c r="H2619" i="1"/>
  <c r="C2619" i="1"/>
  <c r="I2618" i="1"/>
  <c r="H2618" i="1"/>
  <c r="C2618" i="1"/>
  <c r="H2617" i="1"/>
  <c r="I2617" i="1" s="1"/>
  <c r="C2617" i="1"/>
  <c r="I2616" i="1"/>
  <c r="H2616" i="1"/>
  <c r="C2616" i="1"/>
  <c r="H2615" i="1"/>
  <c r="I2615" i="1" s="1"/>
  <c r="C2615" i="1"/>
  <c r="H2614" i="1"/>
  <c r="I2614" i="1" s="1"/>
  <c r="C2614" i="1"/>
  <c r="H2613" i="1"/>
  <c r="I2613" i="1" s="1"/>
  <c r="C2613" i="1"/>
  <c r="H2612" i="1"/>
  <c r="I2612" i="1" s="1"/>
  <c r="C2612" i="1"/>
  <c r="H2611" i="1"/>
  <c r="I2611" i="1" s="1"/>
  <c r="C2611" i="1"/>
  <c r="H2610" i="1"/>
  <c r="I2610" i="1" s="1"/>
  <c r="C2610" i="1"/>
  <c r="H2609" i="1"/>
  <c r="I2609" i="1" s="1"/>
  <c r="C2609" i="1"/>
  <c r="H2608" i="1"/>
  <c r="I2608" i="1" s="1"/>
  <c r="C2608" i="1"/>
  <c r="H2607" i="1"/>
  <c r="I2607" i="1" s="1"/>
  <c r="C2607" i="1"/>
  <c r="H2606" i="1"/>
  <c r="I2606" i="1" s="1"/>
  <c r="C2606" i="1"/>
  <c r="H2605" i="1"/>
  <c r="I2605" i="1" s="1"/>
  <c r="C2605" i="1"/>
  <c r="H2604" i="1"/>
  <c r="I2604" i="1" s="1"/>
  <c r="C2604" i="1"/>
  <c r="I2603" i="1"/>
  <c r="H2603" i="1"/>
  <c r="C2603" i="1"/>
  <c r="I2602" i="1"/>
  <c r="H2602" i="1"/>
  <c r="C2602" i="1"/>
  <c r="H2601" i="1"/>
  <c r="I2601" i="1" s="1"/>
  <c r="C2601" i="1"/>
  <c r="H2600" i="1"/>
  <c r="I2600" i="1" s="1"/>
  <c r="C2600" i="1"/>
  <c r="H2599" i="1"/>
  <c r="I2599" i="1" s="1"/>
  <c r="C2599" i="1"/>
  <c r="H2598" i="1"/>
  <c r="I2598" i="1" s="1"/>
  <c r="C2598" i="1"/>
  <c r="H2597" i="1"/>
  <c r="I2597" i="1" s="1"/>
  <c r="C2597" i="1"/>
  <c r="H2596" i="1"/>
  <c r="I2596" i="1" s="1"/>
  <c r="C2596" i="1"/>
  <c r="H2595" i="1"/>
  <c r="I2595" i="1" s="1"/>
  <c r="C2595" i="1"/>
  <c r="H2594" i="1"/>
  <c r="I2594" i="1" s="1"/>
  <c r="C2594" i="1"/>
  <c r="H2593" i="1"/>
  <c r="I2593" i="1" s="1"/>
  <c r="C2593" i="1"/>
  <c r="H2592" i="1"/>
  <c r="I2592" i="1" s="1"/>
  <c r="C2592" i="1"/>
  <c r="I2591" i="1"/>
  <c r="H2591" i="1"/>
  <c r="C2591" i="1"/>
  <c r="I2590" i="1"/>
  <c r="H2590" i="1"/>
  <c r="C2590" i="1"/>
  <c r="H2589" i="1"/>
  <c r="I2589" i="1" s="1"/>
  <c r="C2589" i="1"/>
  <c r="H2588" i="1"/>
  <c r="I2588" i="1" s="1"/>
  <c r="C2588" i="1"/>
  <c r="H2587" i="1"/>
  <c r="I2587" i="1" s="1"/>
  <c r="C2587" i="1"/>
  <c r="H2586" i="1"/>
  <c r="I2586" i="1" s="1"/>
  <c r="C2586" i="1"/>
  <c r="I2585" i="1"/>
  <c r="H2585" i="1"/>
  <c r="C2585" i="1"/>
  <c r="H2584" i="1"/>
  <c r="I2584" i="1" s="1"/>
  <c r="C2584" i="1"/>
  <c r="H2583" i="1"/>
  <c r="I2583" i="1" s="1"/>
  <c r="C2583" i="1"/>
  <c r="H2582" i="1"/>
  <c r="I2582" i="1" s="1"/>
  <c r="C2582" i="1"/>
  <c r="I2581" i="1"/>
  <c r="H2581" i="1"/>
  <c r="C2581" i="1"/>
  <c r="I2580" i="1"/>
  <c r="H2580" i="1"/>
  <c r="C2580" i="1"/>
  <c r="H2579" i="1"/>
  <c r="I2579" i="1" s="1"/>
  <c r="C2579" i="1"/>
  <c r="H2578" i="1"/>
  <c r="I2578" i="1" s="1"/>
  <c r="C2578" i="1"/>
  <c r="H2577" i="1"/>
  <c r="I2577" i="1" s="1"/>
  <c r="C2577" i="1"/>
  <c r="H2576" i="1"/>
  <c r="I2576" i="1" s="1"/>
  <c r="C2576" i="1"/>
  <c r="H2575" i="1"/>
  <c r="I2575" i="1" s="1"/>
  <c r="C2575" i="1"/>
  <c r="H2574" i="1"/>
  <c r="I2574" i="1" s="1"/>
  <c r="C2574" i="1"/>
  <c r="H2573" i="1"/>
  <c r="I2573" i="1" s="1"/>
  <c r="C2573" i="1"/>
  <c r="H2572" i="1"/>
  <c r="I2572" i="1" s="1"/>
  <c r="C2572" i="1"/>
  <c r="H2571" i="1"/>
  <c r="I2571" i="1" s="1"/>
  <c r="C2571" i="1"/>
  <c r="H2570" i="1"/>
  <c r="I2570" i="1" s="1"/>
  <c r="C2570" i="1"/>
  <c r="H2569" i="1"/>
  <c r="I2569" i="1" s="1"/>
  <c r="C2569" i="1"/>
  <c r="H2568" i="1"/>
  <c r="I2568" i="1" s="1"/>
  <c r="C2568" i="1"/>
  <c r="H2567" i="1"/>
  <c r="I2567" i="1" s="1"/>
  <c r="C2567" i="1"/>
  <c r="H2566" i="1"/>
  <c r="I2566" i="1" s="1"/>
  <c r="C2566" i="1"/>
  <c r="H2565" i="1"/>
  <c r="I2565" i="1" s="1"/>
  <c r="C2565" i="1"/>
  <c r="H2564" i="1"/>
  <c r="I2564" i="1" s="1"/>
  <c r="C2564" i="1"/>
  <c r="H2563" i="1"/>
  <c r="I2563" i="1" s="1"/>
  <c r="C2563" i="1"/>
  <c r="H2562" i="1"/>
  <c r="I2562" i="1" s="1"/>
  <c r="C2562" i="1"/>
  <c r="H2561" i="1"/>
  <c r="I2561" i="1" s="1"/>
  <c r="C2561" i="1"/>
  <c r="H2560" i="1"/>
  <c r="I2560" i="1" s="1"/>
  <c r="C2560" i="1"/>
  <c r="H2559" i="1"/>
  <c r="I2559" i="1" s="1"/>
  <c r="C2559" i="1"/>
  <c r="H2558" i="1"/>
  <c r="I2558" i="1" s="1"/>
  <c r="C2558" i="1"/>
  <c r="I2557" i="1"/>
  <c r="H2557" i="1"/>
  <c r="C2557" i="1"/>
  <c r="H2556" i="1"/>
  <c r="I2556" i="1" s="1"/>
  <c r="C2556" i="1"/>
  <c r="H2555" i="1"/>
  <c r="I2555" i="1" s="1"/>
  <c r="C2555" i="1"/>
  <c r="H2554" i="1"/>
  <c r="I2554" i="1" s="1"/>
  <c r="C2554" i="1"/>
  <c r="H2553" i="1"/>
  <c r="I2553" i="1" s="1"/>
  <c r="C2553" i="1"/>
  <c r="H2552" i="1"/>
  <c r="I2552" i="1" s="1"/>
  <c r="C2552" i="1"/>
  <c r="H2551" i="1"/>
  <c r="I2551" i="1" s="1"/>
  <c r="C2551" i="1"/>
  <c r="H2550" i="1"/>
  <c r="I2550" i="1" s="1"/>
  <c r="C2550" i="1"/>
  <c r="H2549" i="1"/>
  <c r="I2549" i="1" s="1"/>
  <c r="C2549" i="1"/>
  <c r="H2548" i="1"/>
  <c r="I2548" i="1" s="1"/>
  <c r="C2548" i="1"/>
  <c r="I2547" i="1"/>
  <c r="H2547" i="1"/>
  <c r="C2547" i="1"/>
  <c r="I2546" i="1"/>
  <c r="H2546" i="1"/>
  <c r="C2546" i="1"/>
  <c r="H2545" i="1"/>
  <c r="I2545" i="1" s="1"/>
  <c r="C2545" i="1"/>
  <c r="I2544" i="1"/>
  <c r="H2544" i="1"/>
  <c r="C2544" i="1"/>
  <c r="H2543" i="1"/>
  <c r="I2543" i="1" s="1"/>
  <c r="C2543" i="1"/>
  <c r="I2542" i="1"/>
  <c r="H2542" i="1"/>
  <c r="C2542" i="1"/>
  <c r="I2541" i="1"/>
  <c r="H2541" i="1"/>
  <c r="C2541" i="1"/>
  <c r="H2540" i="1"/>
  <c r="I2540" i="1" s="1"/>
  <c r="C2540" i="1"/>
  <c r="H2539" i="1"/>
  <c r="I2539" i="1" s="1"/>
  <c r="C2539" i="1"/>
  <c r="H2538" i="1"/>
  <c r="I2538" i="1" s="1"/>
  <c r="C2538" i="1"/>
  <c r="I2537" i="1"/>
  <c r="H2537" i="1"/>
  <c r="C2537" i="1"/>
  <c r="H2536" i="1"/>
  <c r="I2536" i="1" s="1"/>
  <c r="C2536" i="1"/>
  <c r="H2535" i="1"/>
  <c r="I2535" i="1" s="1"/>
  <c r="C2535" i="1"/>
  <c r="H2534" i="1"/>
  <c r="I2534" i="1" s="1"/>
  <c r="C2534" i="1"/>
  <c r="H2533" i="1"/>
  <c r="I2533" i="1" s="1"/>
  <c r="C2533" i="1"/>
  <c r="I2532" i="1"/>
  <c r="H2532" i="1"/>
  <c r="C2532" i="1"/>
  <c r="H2531" i="1"/>
  <c r="I2531" i="1" s="1"/>
  <c r="C2531" i="1"/>
  <c r="H2530" i="1"/>
  <c r="I2530" i="1" s="1"/>
  <c r="C2530" i="1"/>
  <c r="H2529" i="1"/>
  <c r="I2529" i="1" s="1"/>
  <c r="C2529" i="1"/>
  <c r="H2528" i="1"/>
  <c r="I2528" i="1" s="1"/>
  <c r="C2528" i="1"/>
  <c r="I2527" i="1"/>
  <c r="H2527" i="1"/>
  <c r="C2527" i="1"/>
  <c r="H2526" i="1"/>
  <c r="I2526" i="1" s="1"/>
  <c r="C2526" i="1"/>
  <c r="H2525" i="1"/>
  <c r="I2525" i="1" s="1"/>
  <c r="C2525" i="1"/>
  <c r="H2524" i="1"/>
  <c r="I2524" i="1" s="1"/>
  <c r="C2524" i="1"/>
  <c r="H2523" i="1"/>
  <c r="I2523" i="1" s="1"/>
  <c r="C2523" i="1"/>
  <c r="H2522" i="1"/>
  <c r="I2522" i="1" s="1"/>
  <c r="C2522" i="1"/>
  <c r="H2521" i="1"/>
  <c r="I2521" i="1" s="1"/>
  <c r="C2521" i="1"/>
  <c r="H2520" i="1"/>
  <c r="I2520" i="1" s="1"/>
  <c r="C2520" i="1"/>
  <c r="H2519" i="1"/>
  <c r="I2519" i="1" s="1"/>
  <c r="C2519" i="1"/>
  <c r="H2518" i="1"/>
  <c r="I2518" i="1" s="1"/>
  <c r="C2518" i="1"/>
  <c r="H2517" i="1"/>
  <c r="I2517" i="1" s="1"/>
  <c r="C2517" i="1"/>
  <c r="H2516" i="1"/>
  <c r="I2516" i="1" s="1"/>
  <c r="C2516" i="1"/>
  <c r="H2515" i="1"/>
  <c r="I2515" i="1" s="1"/>
  <c r="C2515" i="1"/>
  <c r="H2514" i="1"/>
  <c r="I2514" i="1" s="1"/>
  <c r="C2514" i="1"/>
  <c r="H2513" i="1"/>
  <c r="I2513" i="1" s="1"/>
  <c r="C2513" i="1"/>
  <c r="H2512" i="1"/>
  <c r="I2512" i="1" s="1"/>
  <c r="C2512" i="1"/>
  <c r="H2511" i="1"/>
  <c r="I2511" i="1" s="1"/>
  <c r="C2511" i="1"/>
  <c r="H2510" i="1"/>
  <c r="I2510" i="1" s="1"/>
  <c r="C2510" i="1"/>
  <c r="H2509" i="1"/>
  <c r="I2509" i="1" s="1"/>
  <c r="C2509" i="1"/>
  <c r="H2508" i="1"/>
  <c r="I2508" i="1" s="1"/>
  <c r="C2508" i="1"/>
  <c r="H2507" i="1"/>
  <c r="I2507" i="1" s="1"/>
  <c r="C2507" i="1"/>
  <c r="I2506" i="1"/>
  <c r="H2506" i="1"/>
  <c r="C2506" i="1"/>
  <c r="I2505" i="1"/>
  <c r="H2505" i="1"/>
  <c r="C2505" i="1"/>
  <c r="H2504" i="1"/>
  <c r="I2504" i="1" s="1"/>
  <c r="C2504" i="1"/>
  <c r="I2503" i="1"/>
  <c r="H2503" i="1"/>
  <c r="C2503" i="1"/>
  <c r="H2502" i="1"/>
  <c r="I2502" i="1" s="1"/>
  <c r="C2502" i="1"/>
  <c r="H2501" i="1"/>
  <c r="I2501" i="1" s="1"/>
  <c r="C2501" i="1"/>
  <c r="H2500" i="1"/>
  <c r="I2500" i="1" s="1"/>
  <c r="C2500" i="1"/>
  <c r="H2499" i="1"/>
  <c r="I2499" i="1" s="1"/>
  <c r="C2499" i="1"/>
  <c r="I2498" i="1"/>
  <c r="H2498" i="1"/>
  <c r="C2498" i="1"/>
  <c r="H2497" i="1"/>
  <c r="I2497" i="1" s="1"/>
  <c r="C2497" i="1"/>
  <c r="H2496" i="1"/>
  <c r="I2496" i="1" s="1"/>
  <c r="C2496" i="1"/>
  <c r="H2495" i="1"/>
  <c r="I2495" i="1" s="1"/>
  <c r="C2495" i="1"/>
  <c r="H2494" i="1"/>
  <c r="I2494" i="1" s="1"/>
  <c r="C2494" i="1"/>
  <c r="H2493" i="1"/>
  <c r="I2493" i="1" s="1"/>
  <c r="C2493" i="1"/>
  <c r="H2492" i="1"/>
  <c r="I2492" i="1" s="1"/>
  <c r="C2492" i="1"/>
  <c r="H2491" i="1"/>
  <c r="I2491" i="1" s="1"/>
  <c r="C2491" i="1"/>
  <c r="H2490" i="1"/>
  <c r="I2490" i="1" s="1"/>
  <c r="C2490" i="1"/>
  <c r="H2489" i="1"/>
  <c r="I2489" i="1" s="1"/>
  <c r="C2489" i="1"/>
  <c r="H2488" i="1"/>
  <c r="I2488" i="1" s="1"/>
  <c r="C2488" i="1"/>
  <c r="I2487" i="1"/>
  <c r="H2487" i="1"/>
  <c r="C2487" i="1"/>
  <c r="H2486" i="1"/>
  <c r="I2486" i="1" s="1"/>
  <c r="C2486" i="1"/>
  <c r="H2485" i="1"/>
  <c r="I2485" i="1" s="1"/>
  <c r="C2485" i="1"/>
  <c r="I2484" i="1"/>
  <c r="H2484" i="1"/>
  <c r="C2484" i="1"/>
  <c r="H2483" i="1"/>
  <c r="I2483" i="1" s="1"/>
  <c r="C2483" i="1"/>
  <c r="I2482" i="1"/>
  <c r="H2482" i="1"/>
  <c r="C2482" i="1"/>
  <c r="H2481" i="1"/>
  <c r="I2481" i="1" s="1"/>
  <c r="C2481" i="1"/>
  <c r="H2480" i="1"/>
  <c r="I2480" i="1" s="1"/>
  <c r="C2480" i="1"/>
  <c r="H2479" i="1"/>
  <c r="I2479" i="1" s="1"/>
  <c r="C2479" i="1"/>
  <c r="I2478" i="1"/>
  <c r="H2478" i="1"/>
  <c r="C2478" i="1"/>
  <c r="H2477" i="1"/>
  <c r="I2477" i="1" s="1"/>
  <c r="C2477" i="1"/>
  <c r="H2476" i="1"/>
  <c r="I2476" i="1" s="1"/>
  <c r="C2476" i="1"/>
  <c r="H2475" i="1"/>
  <c r="I2475" i="1" s="1"/>
  <c r="C2475" i="1"/>
  <c r="H2474" i="1"/>
  <c r="I2474" i="1" s="1"/>
  <c r="C2474" i="1"/>
  <c r="H2473" i="1"/>
  <c r="I2473" i="1" s="1"/>
  <c r="C2473" i="1"/>
  <c r="H2472" i="1"/>
  <c r="I2472" i="1" s="1"/>
  <c r="C2472" i="1"/>
  <c r="I2471" i="1"/>
  <c r="H2471" i="1"/>
  <c r="C2471" i="1"/>
  <c r="I2470" i="1"/>
  <c r="H2470" i="1"/>
  <c r="C2470" i="1"/>
  <c r="H2469" i="1"/>
  <c r="I2469" i="1" s="1"/>
  <c r="C2469" i="1"/>
  <c r="H2468" i="1"/>
  <c r="I2468" i="1" s="1"/>
  <c r="C2468" i="1"/>
  <c r="H2467" i="1"/>
  <c r="I2467" i="1" s="1"/>
  <c r="C2467" i="1"/>
  <c r="I2466" i="1"/>
  <c r="H2466" i="1"/>
  <c r="C2466" i="1"/>
  <c r="H2465" i="1"/>
  <c r="I2465" i="1" s="1"/>
  <c r="C2465" i="1"/>
  <c r="H2464" i="1"/>
  <c r="I2464" i="1" s="1"/>
  <c r="C2464" i="1"/>
  <c r="I2463" i="1"/>
  <c r="H2463" i="1"/>
  <c r="C2463" i="1"/>
  <c r="I2462" i="1"/>
  <c r="H2462" i="1"/>
  <c r="C2462" i="1"/>
  <c r="H2461" i="1"/>
  <c r="I2461" i="1" s="1"/>
  <c r="C2461" i="1"/>
  <c r="H2460" i="1"/>
  <c r="I2460" i="1" s="1"/>
  <c r="C2460" i="1"/>
  <c r="H2459" i="1"/>
  <c r="I2459" i="1" s="1"/>
  <c r="C2459" i="1"/>
  <c r="H2458" i="1"/>
  <c r="I2458" i="1" s="1"/>
  <c r="C2458" i="1"/>
  <c r="H2457" i="1"/>
  <c r="I2457" i="1" s="1"/>
  <c r="C2457" i="1"/>
  <c r="I2456" i="1"/>
  <c r="H2456" i="1"/>
  <c r="C2456" i="1"/>
  <c r="H2455" i="1"/>
  <c r="I2455" i="1" s="1"/>
  <c r="C2455" i="1"/>
  <c r="H2454" i="1"/>
  <c r="I2454" i="1" s="1"/>
  <c r="C2454" i="1"/>
  <c r="H2453" i="1"/>
  <c r="I2453" i="1" s="1"/>
  <c r="C2453" i="1"/>
  <c r="H2452" i="1"/>
  <c r="I2452" i="1" s="1"/>
  <c r="C2452" i="1"/>
  <c r="H2451" i="1"/>
  <c r="I2451" i="1" s="1"/>
  <c r="C2451" i="1"/>
  <c r="H2450" i="1"/>
  <c r="I2450" i="1" s="1"/>
  <c r="C2450" i="1"/>
  <c r="H2449" i="1"/>
  <c r="I2449" i="1" s="1"/>
  <c r="C2449" i="1"/>
  <c r="H2448" i="1"/>
  <c r="I2448" i="1" s="1"/>
  <c r="C2448" i="1"/>
  <c r="H2447" i="1"/>
  <c r="I2447" i="1" s="1"/>
  <c r="C2447" i="1"/>
  <c r="H2446" i="1"/>
  <c r="I2446" i="1" s="1"/>
  <c r="C2446" i="1"/>
  <c r="H2445" i="1"/>
  <c r="I2445" i="1" s="1"/>
  <c r="C2445" i="1"/>
  <c r="I2444" i="1"/>
  <c r="H2444" i="1"/>
  <c r="C2444" i="1"/>
  <c r="I2443" i="1"/>
  <c r="H2443" i="1"/>
  <c r="C2443" i="1"/>
  <c r="H2442" i="1"/>
  <c r="I2442" i="1" s="1"/>
  <c r="C2442" i="1"/>
  <c r="H2441" i="1"/>
  <c r="I2441" i="1" s="1"/>
  <c r="C2441" i="1"/>
  <c r="H2440" i="1"/>
  <c r="I2440" i="1" s="1"/>
  <c r="C2440" i="1"/>
  <c r="H2439" i="1"/>
  <c r="I2439" i="1" s="1"/>
  <c r="C2439" i="1"/>
  <c r="H2438" i="1"/>
  <c r="I2438" i="1" s="1"/>
  <c r="C2438" i="1"/>
  <c r="H2437" i="1"/>
  <c r="I2437" i="1" s="1"/>
  <c r="C2437" i="1"/>
  <c r="H2436" i="1"/>
  <c r="I2436" i="1" s="1"/>
  <c r="C2436" i="1"/>
  <c r="H2435" i="1"/>
  <c r="I2435" i="1" s="1"/>
  <c r="C2435" i="1"/>
  <c r="I2434" i="1"/>
  <c r="H2434" i="1"/>
  <c r="C2434" i="1"/>
  <c r="H2433" i="1"/>
  <c r="I2433" i="1" s="1"/>
  <c r="C2433" i="1"/>
  <c r="H2432" i="1"/>
  <c r="I2432" i="1" s="1"/>
  <c r="C2432" i="1"/>
  <c r="I2431" i="1"/>
  <c r="H2431" i="1"/>
  <c r="C2431" i="1"/>
  <c r="H2430" i="1"/>
  <c r="I2430" i="1" s="1"/>
  <c r="C2430" i="1"/>
  <c r="H2429" i="1"/>
  <c r="I2429" i="1" s="1"/>
  <c r="C2429" i="1"/>
  <c r="H2428" i="1"/>
  <c r="I2428" i="1" s="1"/>
  <c r="C2428" i="1"/>
  <c r="H2427" i="1"/>
  <c r="I2427" i="1" s="1"/>
  <c r="C2427" i="1"/>
  <c r="I2426" i="1"/>
  <c r="H2426" i="1"/>
  <c r="C2426" i="1"/>
  <c r="I2425" i="1"/>
  <c r="H2425" i="1"/>
  <c r="C2425" i="1"/>
  <c r="H2424" i="1"/>
  <c r="I2424" i="1" s="1"/>
  <c r="C2424" i="1"/>
  <c r="H2423" i="1"/>
  <c r="I2423" i="1" s="1"/>
  <c r="C2423" i="1"/>
  <c r="H2422" i="1"/>
  <c r="I2422" i="1" s="1"/>
  <c r="C2422" i="1"/>
  <c r="H2421" i="1"/>
  <c r="I2421" i="1" s="1"/>
  <c r="C2421" i="1"/>
  <c r="H2420" i="1"/>
  <c r="I2420" i="1" s="1"/>
  <c r="C2420" i="1"/>
  <c r="I2419" i="1"/>
  <c r="H2419" i="1"/>
  <c r="C2419" i="1"/>
  <c r="H2418" i="1"/>
  <c r="I2418" i="1" s="1"/>
  <c r="C2418" i="1"/>
  <c r="I2417" i="1"/>
  <c r="H2417" i="1"/>
  <c r="C2417" i="1"/>
  <c r="H2416" i="1"/>
  <c r="I2416" i="1" s="1"/>
  <c r="C2416" i="1"/>
  <c r="H2415" i="1"/>
  <c r="I2415" i="1" s="1"/>
  <c r="C2415" i="1"/>
  <c r="H2414" i="1"/>
  <c r="I2414" i="1" s="1"/>
  <c r="C2414" i="1"/>
  <c r="H2413" i="1"/>
  <c r="I2413" i="1" s="1"/>
  <c r="C2413" i="1"/>
  <c r="I2412" i="1"/>
  <c r="H2412" i="1"/>
  <c r="C2412" i="1"/>
  <c r="H2411" i="1"/>
  <c r="I2411" i="1" s="1"/>
  <c r="C2411" i="1"/>
  <c r="I2410" i="1"/>
  <c r="H2410" i="1"/>
  <c r="C2410" i="1"/>
  <c r="H2409" i="1"/>
  <c r="I2409" i="1" s="1"/>
  <c r="C2409" i="1"/>
  <c r="H2408" i="1"/>
  <c r="I2408" i="1" s="1"/>
  <c r="C2408" i="1"/>
  <c r="H2407" i="1"/>
  <c r="I2407" i="1" s="1"/>
  <c r="C2407" i="1"/>
  <c r="H2406" i="1"/>
  <c r="I2406" i="1" s="1"/>
  <c r="C2406" i="1"/>
  <c r="H2405" i="1"/>
  <c r="I2405" i="1" s="1"/>
  <c r="C2405" i="1"/>
  <c r="H2404" i="1"/>
  <c r="I2404" i="1" s="1"/>
  <c r="C2404" i="1"/>
  <c r="I2403" i="1"/>
  <c r="H2403" i="1"/>
  <c r="C2403" i="1"/>
  <c r="H2402" i="1"/>
  <c r="I2402" i="1" s="1"/>
  <c r="C2402" i="1"/>
  <c r="H2401" i="1"/>
  <c r="I2401" i="1" s="1"/>
  <c r="C2401" i="1"/>
  <c r="H2400" i="1"/>
  <c r="I2400" i="1" s="1"/>
  <c r="C2400" i="1"/>
  <c r="H2399" i="1"/>
  <c r="I2399" i="1" s="1"/>
  <c r="C2399" i="1"/>
  <c r="H2398" i="1"/>
  <c r="I2398" i="1" s="1"/>
  <c r="C2398" i="1"/>
  <c r="H2397" i="1"/>
  <c r="I2397" i="1" s="1"/>
  <c r="C2397" i="1"/>
  <c r="H2396" i="1"/>
  <c r="I2396" i="1" s="1"/>
  <c r="C2396" i="1"/>
  <c r="H2395" i="1"/>
  <c r="I2395" i="1" s="1"/>
  <c r="C2395" i="1"/>
  <c r="H2394" i="1"/>
  <c r="I2394" i="1" s="1"/>
  <c r="C2394" i="1"/>
  <c r="H2393" i="1"/>
  <c r="I2393" i="1" s="1"/>
  <c r="C2393" i="1"/>
  <c r="H2392" i="1"/>
  <c r="I2392" i="1" s="1"/>
  <c r="C2392" i="1"/>
  <c r="H2391" i="1"/>
  <c r="I2391" i="1" s="1"/>
  <c r="C2391" i="1"/>
  <c r="H2390" i="1"/>
  <c r="I2390" i="1" s="1"/>
  <c r="C2390" i="1"/>
  <c r="H2389" i="1"/>
  <c r="I2389" i="1" s="1"/>
  <c r="C2389" i="1"/>
  <c r="H2388" i="1"/>
  <c r="I2388" i="1" s="1"/>
  <c r="C2388" i="1"/>
  <c r="I2387" i="1"/>
  <c r="H2387" i="1"/>
  <c r="C2387" i="1"/>
  <c r="H2386" i="1"/>
  <c r="I2386" i="1" s="1"/>
  <c r="C2386" i="1"/>
  <c r="I2385" i="1"/>
  <c r="H2385" i="1"/>
  <c r="C2385" i="1"/>
  <c r="H2384" i="1"/>
  <c r="I2384" i="1" s="1"/>
  <c r="C2384" i="1"/>
  <c r="H2383" i="1"/>
  <c r="I2383" i="1" s="1"/>
  <c r="C2383" i="1"/>
  <c r="H2382" i="1"/>
  <c r="I2382" i="1" s="1"/>
  <c r="C2382" i="1"/>
  <c r="H2381" i="1"/>
  <c r="I2381" i="1" s="1"/>
  <c r="C2381" i="1"/>
  <c r="H2380" i="1"/>
  <c r="I2380" i="1" s="1"/>
  <c r="C2380" i="1"/>
  <c r="H2379" i="1"/>
  <c r="I2379" i="1" s="1"/>
  <c r="C2379" i="1"/>
  <c r="H2378" i="1"/>
  <c r="I2378" i="1" s="1"/>
  <c r="C2378" i="1"/>
  <c r="H2377" i="1"/>
  <c r="I2377" i="1" s="1"/>
  <c r="C2377" i="1"/>
  <c r="H2376" i="1"/>
  <c r="I2376" i="1" s="1"/>
  <c r="C2376" i="1"/>
  <c r="I2375" i="1"/>
  <c r="H2375" i="1"/>
  <c r="C2375" i="1"/>
  <c r="H2374" i="1"/>
  <c r="I2374" i="1" s="1"/>
  <c r="C2374" i="1"/>
  <c r="H2373" i="1"/>
  <c r="I2373" i="1" s="1"/>
  <c r="C2373" i="1"/>
  <c r="H2372" i="1"/>
  <c r="I2372" i="1" s="1"/>
  <c r="C2372" i="1"/>
  <c r="I2371" i="1"/>
  <c r="H2371" i="1"/>
  <c r="C2371" i="1"/>
  <c r="H2370" i="1"/>
  <c r="I2370" i="1" s="1"/>
  <c r="C2370" i="1"/>
  <c r="H2369" i="1"/>
  <c r="I2369" i="1" s="1"/>
  <c r="C2369" i="1"/>
  <c r="H2368" i="1"/>
  <c r="I2368" i="1" s="1"/>
  <c r="C2368" i="1"/>
  <c r="H2367" i="1"/>
  <c r="I2367" i="1" s="1"/>
  <c r="C2367" i="1"/>
  <c r="H2366" i="1"/>
  <c r="I2366" i="1" s="1"/>
  <c r="C2366" i="1"/>
  <c r="H2365" i="1"/>
  <c r="I2365" i="1" s="1"/>
  <c r="C2365" i="1"/>
  <c r="H2364" i="1"/>
  <c r="I2364" i="1" s="1"/>
  <c r="C2364" i="1"/>
  <c r="I2363" i="1"/>
  <c r="H2363" i="1"/>
  <c r="C2363" i="1"/>
  <c r="H2362" i="1"/>
  <c r="I2362" i="1" s="1"/>
  <c r="C2362" i="1"/>
  <c r="H2361" i="1"/>
  <c r="I2361" i="1" s="1"/>
  <c r="C2361" i="1"/>
  <c r="H2360" i="1"/>
  <c r="I2360" i="1" s="1"/>
  <c r="C2360" i="1"/>
  <c r="I2359" i="1"/>
  <c r="H2359" i="1"/>
  <c r="C2359" i="1"/>
  <c r="H2358" i="1"/>
  <c r="I2358" i="1" s="1"/>
  <c r="C2358" i="1"/>
  <c r="I2357" i="1"/>
  <c r="H2357" i="1"/>
  <c r="C2357" i="1"/>
  <c r="H2356" i="1"/>
  <c r="I2356" i="1" s="1"/>
  <c r="C2356" i="1"/>
  <c r="H2355" i="1"/>
  <c r="I2355" i="1" s="1"/>
  <c r="C2355" i="1"/>
  <c r="H2354" i="1"/>
  <c r="I2354" i="1" s="1"/>
  <c r="C2354" i="1"/>
  <c r="H2353" i="1"/>
  <c r="I2353" i="1" s="1"/>
  <c r="C2353" i="1"/>
  <c r="H2352" i="1"/>
  <c r="I2352" i="1" s="1"/>
  <c r="C2352" i="1"/>
  <c r="H2351" i="1"/>
  <c r="I2351" i="1" s="1"/>
  <c r="C2351" i="1"/>
  <c r="H2350" i="1"/>
  <c r="I2350" i="1" s="1"/>
  <c r="C2350" i="1"/>
  <c r="H2349" i="1"/>
  <c r="I2349" i="1" s="1"/>
  <c r="C2349" i="1"/>
  <c r="H2348" i="1"/>
  <c r="I2348" i="1" s="1"/>
  <c r="C2348" i="1"/>
  <c r="H2347" i="1"/>
  <c r="I2347" i="1" s="1"/>
  <c r="C2347" i="1"/>
  <c r="H2346" i="1"/>
  <c r="I2346" i="1" s="1"/>
  <c r="C2346" i="1"/>
  <c r="H2345" i="1"/>
  <c r="I2345" i="1" s="1"/>
  <c r="C2345" i="1"/>
  <c r="H2344" i="1"/>
  <c r="I2344" i="1" s="1"/>
  <c r="C2344" i="1"/>
  <c r="H2343" i="1"/>
  <c r="I2343" i="1" s="1"/>
  <c r="C2343" i="1"/>
  <c r="H2342" i="1"/>
  <c r="I2342" i="1" s="1"/>
  <c r="C2342" i="1"/>
  <c r="H2341" i="1"/>
  <c r="I2341" i="1" s="1"/>
  <c r="C2341" i="1"/>
  <c r="H2340" i="1"/>
  <c r="I2340" i="1" s="1"/>
  <c r="C2340" i="1"/>
  <c r="H2339" i="1"/>
  <c r="I2339" i="1" s="1"/>
  <c r="C2339" i="1"/>
  <c r="H2338" i="1"/>
  <c r="I2338" i="1" s="1"/>
  <c r="C2338" i="1"/>
  <c r="H2337" i="1"/>
  <c r="I2337" i="1" s="1"/>
  <c r="C2337" i="1"/>
  <c r="H2336" i="1"/>
  <c r="I2336" i="1" s="1"/>
  <c r="C2336" i="1"/>
  <c r="H2335" i="1"/>
  <c r="I2335" i="1" s="1"/>
  <c r="C2335" i="1"/>
  <c r="H2334" i="1"/>
  <c r="I2334" i="1" s="1"/>
  <c r="C2334" i="1"/>
  <c r="H2333" i="1"/>
  <c r="I2333" i="1" s="1"/>
  <c r="C2333" i="1"/>
  <c r="H2332" i="1"/>
  <c r="I2332" i="1" s="1"/>
  <c r="C2332" i="1"/>
  <c r="H2331" i="1"/>
  <c r="I2331" i="1" s="1"/>
  <c r="C2331" i="1"/>
  <c r="I2330" i="1"/>
  <c r="H2330" i="1"/>
  <c r="C2330" i="1"/>
  <c r="H2329" i="1"/>
  <c r="I2329" i="1" s="1"/>
  <c r="C2329" i="1"/>
  <c r="H2328" i="1"/>
  <c r="I2328" i="1" s="1"/>
  <c r="C2328" i="1"/>
  <c r="H2327" i="1"/>
  <c r="I2327" i="1" s="1"/>
  <c r="C2327" i="1"/>
  <c r="H2326" i="1"/>
  <c r="I2326" i="1" s="1"/>
  <c r="C2326" i="1"/>
  <c r="I2325" i="1"/>
  <c r="H2325" i="1"/>
  <c r="C2325" i="1"/>
  <c r="H2324" i="1"/>
  <c r="I2324" i="1" s="1"/>
  <c r="C2324" i="1"/>
  <c r="H2323" i="1"/>
  <c r="I2323" i="1" s="1"/>
  <c r="C2323" i="1"/>
  <c r="I2322" i="1"/>
  <c r="H2322" i="1"/>
  <c r="C2322" i="1"/>
  <c r="H2321" i="1"/>
  <c r="I2321" i="1" s="1"/>
  <c r="C2321" i="1"/>
  <c r="H2320" i="1"/>
  <c r="I2320" i="1" s="1"/>
  <c r="C2320" i="1"/>
  <c r="H2319" i="1"/>
  <c r="I2319" i="1" s="1"/>
  <c r="C2319" i="1"/>
  <c r="I2318" i="1"/>
  <c r="H2318" i="1"/>
  <c r="C2318" i="1"/>
  <c r="I2317" i="1"/>
  <c r="H2317" i="1"/>
  <c r="C2317" i="1"/>
  <c r="H2316" i="1"/>
  <c r="I2316" i="1" s="1"/>
  <c r="C2316" i="1"/>
  <c r="H2315" i="1"/>
  <c r="I2315" i="1" s="1"/>
  <c r="C2315" i="1"/>
  <c r="H2314" i="1"/>
  <c r="I2314" i="1" s="1"/>
  <c r="C2314" i="1"/>
  <c r="H2313" i="1"/>
  <c r="I2313" i="1" s="1"/>
  <c r="C2313" i="1"/>
  <c r="I2312" i="1"/>
  <c r="H2312" i="1"/>
  <c r="C2312" i="1"/>
  <c r="H2311" i="1"/>
  <c r="I2311" i="1" s="1"/>
  <c r="C2311" i="1"/>
  <c r="H2310" i="1"/>
  <c r="I2310" i="1" s="1"/>
  <c r="C2310" i="1"/>
  <c r="H2309" i="1"/>
  <c r="I2309" i="1" s="1"/>
  <c r="C2309" i="1"/>
  <c r="I2308" i="1"/>
  <c r="H2308" i="1"/>
  <c r="C2308" i="1"/>
  <c r="H2307" i="1"/>
  <c r="I2307" i="1" s="1"/>
  <c r="C2307" i="1"/>
  <c r="H2306" i="1"/>
  <c r="I2306" i="1" s="1"/>
  <c r="C2306" i="1"/>
  <c r="H2305" i="1"/>
  <c r="I2305" i="1" s="1"/>
  <c r="C2305" i="1"/>
  <c r="I2304" i="1"/>
  <c r="H2304" i="1"/>
  <c r="C2304" i="1"/>
  <c r="H2303" i="1"/>
  <c r="I2303" i="1" s="1"/>
  <c r="C2303" i="1"/>
  <c r="H2302" i="1"/>
  <c r="I2302" i="1" s="1"/>
  <c r="C2302" i="1"/>
  <c r="H2301" i="1"/>
  <c r="I2301" i="1" s="1"/>
  <c r="C2301" i="1"/>
  <c r="H2300" i="1"/>
  <c r="I2300" i="1" s="1"/>
  <c r="C2300" i="1"/>
  <c r="I2299" i="1"/>
  <c r="H2299" i="1"/>
  <c r="C2299" i="1"/>
  <c r="H2298" i="1"/>
  <c r="I2298" i="1" s="1"/>
  <c r="C2298" i="1"/>
  <c r="H2297" i="1"/>
  <c r="I2297" i="1" s="1"/>
  <c r="C2297" i="1"/>
  <c r="H2296" i="1"/>
  <c r="I2296" i="1" s="1"/>
  <c r="C2296" i="1"/>
  <c r="H2295" i="1"/>
  <c r="I2295" i="1" s="1"/>
  <c r="C2295" i="1"/>
  <c r="H2294" i="1"/>
  <c r="I2294" i="1" s="1"/>
  <c r="C2294" i="1"/>
  <c r="H2293" i="1"/>
  <c r="I2293" i="1" s="1"/>
  <c r="C2293" i="1"/>
  <c r="H2292" i="1"/>
  <c r="I2292" i="1" s="1"/>
  <c r="C2292" i="1"/>
  <c r="H2291" i="1"/>
  <c r="I2291" i="1" s="1"/>
  <c r="C2291" i="1"/>
  <c r="H2290" i="1"/>
  <c r="I2290" i="1" s="1"/>
  <c r="C2290" i="1"/>
  <c r="H2289" i="1"/>
  <c r="I2289" i="1" s="1"/>
  <c r="C2289" i="1"/>
  <c r="H2288" i="1"/>
  <c r="I2288" i="1" s="1"/>
  <c r="C2288" i="1"/>
  <c r="H2287" i="1"/>
  <c r="I2287" i="1" s="1"/>
  <c r="C2287" i="1"/>
  <c r="I2286" i="1"/>
  <c r="H2286" i="1"/>
  <c r="C2286" i="1"/>
  <c r="H2285" i="1"/>
  <c r="I2285" i="1" s="1"/>
  <c r="C2285" i="1"/>
  <c r="I2284" i="1"/>
  <c r="H2284" i="1"/>
  <c r="C2284" i="1"/>
  <c r="H2283" i="1"/>
  <c r="I2283" i="1" s="1"/>
  <c r="C2283" i="1"/>
  <c r="H2282" i="1"/>
  <c r="I2282" i="1" s="1"/>
  <c r="C2282" i="1"/>
  <c r="I2281" i="1"/>
  <c r="H2281" i="1"/>
  <c r="C2281" i="1"/>
  <c r="H2280" i="1"/>
  <c r="I2280" i="1" s="1"/>
  <c r="C2280" i="1"/>
  <c r="H2279" i="1"/>
  <c r="I2279" i="1" s="1"/>
  <c r="C2279" i="1"/>
  <c r="H2278" i="1"/>
  <c r="I2278" i="1" s="1"/>
  <c r="C2278" i="1"/>
  <c r="H2277" i="1"/>
  <c r="I2277" i="1" s="1"/>
  <c r="C2277" i="1"/>
  <c r="H2276" i="1"/>
  <c r="I2276" i="1" s="1"/>
  <c r="C2276" i="1"/>
  <c r="H2275" i="1"/>
  <c r="I2275" i="1" s="1"/>
  <c r="C2275" i="1"/>
  <c r="H2274" i="1"/>
  <c r="I2274" i="1" s="1"/>
  <c r="C2274" i="1"/>
  <c r="I2273" i="1"/>
  <c r="H2273" i="1"/>
  <c r="C2273" i="1"/>
  <c r="H2272" i="1"/>
  <c r="I2272" i="1" s="1"/>
  <c r="C2272" i="1"/>
  <c r="I2271" i="1"/>
  <c r="H2271" i="1"/>
  <c r="C2271" i="1"/>
  <c r="I2270" i="1"/>
  <c r="H2270" i="1"/>
  <c r="C2270" i="1"/>
  <c r="H2269" i="1"/>
  <c r="I2269" i="1" s="1"/>
  <c r="C2269" i="1"/>
  <c r="H2268" i="1"/>
  <c r="I2268" i="1" s="1"/>
  <c r="C2268" i="1"/>
  <c r="H2267" i="1"/>
  <c r="I2267" i="1" s="1"/>
  <c r="C2267" i="1"/>
  <c r="H2266" i="1"/>
  <c r="I2266" i="1" s="1"/>
  <c r="C2266" i="1"/>
  <c r="H2265" i="1"/>
  <c r="I2265" i="1" s="1"/>
  <c r="C2265" i="1"/>
  <c r="I2264" i="1"/>
  <c r="H2264" i="1"/>
  <c r="C2264" i="1"/>
  <c r="H2263" i="1"/>
  <c r="I2263" i="1" s="1"/>
  <c r="C2263" i="1"/>
  <c r="H2262" i="1"/>
  <c r="I2262" i="1" s="1"/>
  <c r="C2262" i="1"/>
  <c r="H2261" i="1"/>
  <c r="I2261" i="1" s="1"/>
  <c r="C2261" i="1"/>
  <c r="H2260" i="1"/>
  <c r="I2260" i="1" s="1"/>
  <c r="C2260" i="1"/>
  <c r="I2259" i="1"/>
  <c r="H2259" i="1"/>
  <c r="C2259" i="1"/>
  <c r="I2258" i="1"/>
  <c r="H2258" i="1"/>
  <c r="C2258" i="1"/>
  <c r="H2257" i="1"/>
  <c r="I2257" i="1" s="1"/>
  <c r="C2257" i="1"/>
  <c r="H2256" i="1"/>
  <c r="I2256" i="1" s="1"/>
  <c r="C2256" i="1"/>
  <c r="H2255" i="1"/>
  <c r="I2255" i="1" s="1"/>
  <c r="C2255" i="1"/>
  <c r="H2254" i="1"/>
  <c r="I2254" i="1" s="1"/>
  <c r="C2254" i="1"/>
  <c r="H2253" i="1"/>
  <c r="I2253" i="1" s="1"/>
  <c r="C2253" i="1"/>
  <c r="I2252" i="1"/>
  <c r="H2252" i="1"/>
  <c r="C2252" i="1"/>
  <c r="H2251" i="1"/>
  <c r="I2251" i="1" s="1"/>
  <c r="C2251" i="1"/>
  <c r="H2250" i="1"/>
  <c r="I2250" i="1" s="1"/>
  <c r="C2250" i="1"/>
  <c r="H2249" i="1"/>
  <c r="I2249" i="1" s="1"/>
  <c r="C2249" i="1"/>
  <c r="H2248" i="1"/>
  <c r="I2248" i="1" s="1"/>
  <c r="C2248" i="1"/>
  <c r="H2247" i="1"/>
  <c r="I2247" i="1" s="1"/>
  <c r="C2247" i="1"/>
  <c r="H2246" i="1"/>
  <c r="I2246" i="1" s="1"/>
  <c r="C2246" i="1"/>
  <c r="H2245" i="1"/>
  <c r="I2245" i="1" s="1"/>
  <c r="C2245" i="1"/>
  <c r="H2244" i="1"/>
  <c r="I2244" i="1" s="1"/>
  <c r="C2244" i="1"/>
  <c r="H2243" i="1"/>
  <c r="I2243" i="1" s="1"/>
  <c r="C2243" i="1"/>
  <c r="H2242" i="1"/>
  <c r="I2242" i="1" s="1"/>
  <c r="C2242" i="1"/>
  <c r="I2241" i="1"/>
  <c r="H2241" i="1"/>
  <c r="C2241" i="1"/>
  <c r="I2240" i="1"/>
  <c r="H2240" i="1"/>
  <c r="C2240" i="1"/>
  <c r="I2239" i="1"/>
  <c r="H2239" i="1"/>
  <c r="C2239" i="1"/>
  <c r="I2238" i="1"/>
  <c r="H2238" i="1"/>
  <c r="C2238" i="1"/>
  <c r="I2237" i="1"/>
  <c r="H2237" i="1"/>
  <c r="C2237" i="1"/>
  <c r="I2236" i="1"/>
  <c r="H2236" i="1"/>
  <c r="C2236" i="1"/>
  <c r="H2235" i="1"/>
  <c r="I2235" i="1" s="1"/>
  <c r="C2235" i="1"/>
  <c r="H2234" i="1"/>
  <c r="I2234" i="1" s="1"/>
  <c r="C2234" i="1"/>
  <c r="I2233" i="1"/>
  <c r="H2233" i="1"/>
  <c r="C2233" i="1"/>
  <c r="H2232" i="1"/>
  <c r="I2232" i="1" s="1"/>
  <c r="C2232" i="1"/>
  <c r="H2231" i="1"/>
  <c r="I2231" i="1" s="1"/>
  <c r="C2231" i="1"/>
  <c r="H2230" i="1"/>
  <c r="I2230" i="1" s="1"/>
  <c r="C2230" i="1"/>
  <c r="H2229" i="1"/>
  <c r="I2229" i="1" s="1"/>
  <c r="C2229" i="1"/>
  <c r="H2228" i="1"/>
  <c r="I2228" i="1" s="1"/>
  <c r="C2228" i="1"/>
  <c r="H2227" i="1"/>
  <c r="I2227" i="1" s="1"/>
  <c r="C2227" i="1"/>
  <c r="I2226" i="1"/>
  <c r="H2226" i="1"/>
  <c r="C2226" i="1"/>
  <c r="H2225" i="1"/>
  <c r="I2225" i="1" s="1"/>
  <c r="C2225" i="1"/>
  <c r="I2224" i="1"/>
  <c r="H2224" i="1"/>
  <c r="C2224" i="1"/>
  <c r="H2223" i="1"/>
  <c r="I2223" i="1" s="1"/>
  <c r="C2223" i="1"/>
  <c r="H2222" i="1"/>
  <c r="I2222" i="1" s="1"/>
  <c r="C2222" i="1"/>
  <c r="H2221" i="1"/>
  <c r="I2221" i="1" s="1"/>
  <c r="C2221" i="1"/>
  <c r="H2220" i="1"/>
  <c r="I2220" i="1" s="1"/>
  <c r="C2220" i="1"/>
  <c r="H2219" i="1"/>
  <c r="I2219" i="1" s="1"/>
  <c r="C2219" i="1"/>
  <c r="H2218" i="1"/>
  <c r="I2218" i="1" s="1"/>
  <c r="C2218" i="1"/>
  <c r="H2217" i="1"/>
  <c r="I2217" i="1" s="1"/>
  <c r="C2217" i="1"/>
  <c r="I2216" i="1"/>
  <c r="H2216" i="1"/>
  <c r="C2216" i="1"/>
  <c r="H2215" i="1"/>
  <c r="I2215" i="1" s="1"/>
  <c r="C2215" i="1"/>
  <c r="I2214" i="1"/>
  <c r="H2214" i="1"/>
  <c r="C2214" i="1"/>
  <c r="I2213" i="1"/>
  <c r="H2213" i="1"/>
  <c r="C2213" i="1"/>
  <c r="H2212" i="1"/>
  <c r="I2212" i="1" s="1"/>
  <c r="C2212" i="1"/>
  <c r="H2211" i="1"/>
  <c r="I2211" i="1" s="1"/>
  <c r="C2211" i="1"/>
  <c r="I2210" i="1"/>
  <c r="H2210" i="1"/>
  <c r="C2210" i="1"/>
  <c r="I2209" i="1"/>
  <c r="H2209" i="1"/>
  <c r="C2209" i="1"/>
  <c r="H2208" i="1"/>
  <c r="I2208" i="1" s="1"/>
  <c r="C2208" i="1"/>
  <c r="H2207" i="1"/>
  <c r="I2207" i="1" s="1"/>
  <c r="C2207" i="1"/>
  <c r="H2206" i="1"/>
  <c r="I2206" i="1" s="1"/>
  <c r="C2206" i="1"/>
  <c r="I2205" i="1"/>
  <c r="H2205" i="1"/>
  <c r="C2205" i="1"/>
  <c r="I2204" i="1"/>
  <c r="H2204" i="1"/>
  <c r="C2204" i="1"/>
  <c r="H2203" i="1"/>
  <c r="I2203" i="1" s="1"/>
  <c r="C2203" i="1"/>
  <c r="H2202" i="1"/>
  <c r="I2202" i="1" s="1"/>
  <c r="C2202" i="1"/>
  <c r="I2201" i="1"/>
  <c r="H2201" i="1"/>
  <c r="C2201" i="1"/>
  <c r="H2200" i="1"/>
  <c r="I2200" i="1" s="1"/>
  <c r="C2200" i="1"/>
  <c r="H2199" i="1"/>
  <c r="I2199" i="1" s="1"/>
  <c r="C2199" i="1"/>
  <c r="H2198" i="1"/>
  <c r="I2198" i="1" s="1"/>
  <c r="C2198" i="1"/>
  <c r="H2197" i="1"/>
  <c r="I2197" i="1" s="1"/>
  <c r="C2197" i="1"/>
  <c r="H2196" i="1"/>
  <c r="I2196" i="1" s="1"/>
  <c r="C2196" i="1"/>
  <c r="H2195" i="1"/>
  <c r="I2195" i="1" s="1"/>
  <c r="C2195" i="1"/>
  <c r="H2194" i="1"/>
  <c r="I2194" i="1" s="1"/>
  <c r="C2194" i="1"/>
  <c r="I2193" i="1"/>
  <c r="H2193" i="1"/>
  <c r="C2193" i="1"/>
  <c r="H2192" i="1"/>
  <c r="I2192" i="1" s="1"/>
  <c r="C2192" i="1"/>
  <c r="H2191" i="1"/>
  <c r="I2191" i="1" s="1"/>
  <c r="C2191" i="1"/>
  <c r="H2190" i="1"/>
  <c r="I2190" i="1" s="1"/>
  <c r="C2190" i="1"/>
  <c r="H2189" i="1"/>
  <c r="I2189" i="1" s="1"/>
  <c r="C2189" i="1"/>
  <c r="H2188" i="1"/>
  <c r="I2188" i="1" s="1"/>
  <c r="C2188" i="1"/>
  <c r="H2187" i="1"/>
  <c r="I2187" i="1" s="1"/>
  <c r="C2187" i="1"/>
  <c r="H2186" i="1"/>
  <c r="I2186" i="1" s="1"/>
  <c r="C2186" i="1"/>
  <c r="H2185" i="1"/>
  <c r="I2185" i="1" s="1"/>
  <c r="C2185" i="1"/>
  <c r="H2184" i="1"/>
  <c r="I2184" i="1" s="1"/>
  <c r="C2184" i="1"/>
  <c r="H2183" i="1"/>
  <c r="I2183" i="1" s="1"/>
  <c r="C2183" i="1"/>
  <c r="H2182" i="1"/>
  <c r="I2182" i="1" s="1"/>
  <c r="C2182" i="1"/>
  <c r="H2181" i="1"/>
  <c r="I2181" i="1" s="1"/>
  <c r="C2181" i="1"/>
  <c r="H2180" i="1"/>
  <c r="I2180" i="1" s="1"/>
  <c r="C2180" i="1"/>
  <c r="H2179" i="1"/>
  <c r="I2179" i="1" s="1"/>
  <c r="C2179" i="1"/>
  <c r="H2178" i="1"/>
  <c r="I2178" i="1" s="1"/>
  <c r="C2178" i="1"/>
  <c r="I2177" i="1"/>
  <c r="H2177" i="1"/>
  <c r="C2177" i="1"/>
  <c r="H2176" i="1"/>
  <c r="I2176" i="1" s="1"/>
  <c r="C2176" i="1"/>
  <c r="H2175" i="1"/>
  <c r="I2175" i="1" s="1"/>
  <c r="C2175" i="1"/>
  <c r="H2174" i="1"/>
  <c r="I2174" i="1" s="1"/>
  <c r="C2174" i="1"/>
  <c r="H2173" i="1"/>
  <c r="I2173" i="1" s="1"/>
  <c r="C2173" i="1"/>
  <c r="H2172" i="1"/>
  <c r="I2172" i="1" s="1"/>
  <c r="C2172" i="1"/>
  <c r="H2171" i="1"/>
  <c r="I2171" i="1" s="1"/>
  <c r="C2171" i="1"/>
  <c r="H2170" i="1"/>
  <c r="I2170" i="1" s="1"/>
  <c r="C2170" i="1"/>
  <c r="H2169" i="1"/>
  <c r="I2169" i="1" s="1"/>
  <c r="C2169" i="1"/>
  <c r="H2168" i="1"/>
  <c r="I2168" i="1" s="1"/>
  <c r="C2168" i="1"/>
  <c r="H2167" i="1"/>
  <c r="I2167" i="1" s="1"/>
  <c r="C2167" i="1"/>
  <c r="H2166" i="1"/>
  <c r="I2166" i="1" s="1"/>
  <c r="C2166" i="1"/>
  <c r="H2165" i="1"/>
  <c r="I2165" i="1" s="1"/>
  <c r="C2165" i="1"/>
  <c r="H2164" i="1"/>
  <c r="I2164" i="1" s="1"/>
  <c r="C2164" i="1"/>
  <c r="I2163" i="1"/>
  <c r="H2163" i="1"/>
  <c r="C2163" i="1"/>
  <c r="H2162" i="1"/>
  <c r="I2162" i="1" s="1"/>
  <c r="C2162" i="1"/>
  <c r="I2161" i="1"/>
  <c r="H2161" i="1"/>
  <c r="C2161" i="1"/>
  <c r="I2160" i="1"/>
  <c r="H2160" i="1"/>
  <c r="C2160" i="1"/>
  <c r="H2159" i="1"/>
  <c r="I2159" i="1" s="1"/>
  <c r="C2159" i="1"/>
  <c r="H2158" i="1"/>
  <c r="I2158" i="1" s="1"/>
  <c r="C2158" i="1"/>
  <c r="H2157" i="1"/>
  <c r="I2157" i="1" s="1"/>
  <c r="C2157" i="1"/>
  <c r="H2156" i="1"/>
  <c r="I2156" i="1" s="1"/>
  <c r="C2156" i="1"/>
  <c r="I2155" i="1"/>
  <c r="H2155" i="1"/>
  <c r="C2155" i="1"/>
  <c r="H2154" i="1"/>
  <c r="I2154" i="1" s="1"/>
  <c r="C2154" i="1"/>
  <c r="H2153" i="1"/>
  <c r="I2153" i="1" s="1"/>
  <c r="C2153" i="1"/>
  <c r="H2152" i="1"/>
  <c r="I2152" i="1" s="1"/>
  <c r="C2152" i="1"/>
  <c r="H2151" i="1"/>
  <c r="I2151" i="1" s="1"/>
  <c r="C2151" i="1"/>
  <c r="I2150" i="1"/>
  <c r="H2150" i="1"/>
  <c r="C2150" i="1"/>
  <c r="H2149" i="1"/>
  <c r="I2149" i="1" s="1"/>
  <c r="C2149" i="1"/>
  <c r="I2148" i="1"/>
  <c r="H2148" i="1"/>
  <c r="C2148" i="1"/>
  <c r="I2147" i="1"/>
  <c r="H2147" i="1"/>
  <c r="C2147" i="1"/>
  <c r="H2146" i="1"/>
  <c r="I2146" i="1" s="1"/>
  <c r="C2146" i="1"/>
  <c r="H2145" i="1"/>
  <c r="I2145" i="1" s="1"/>
  <c r="C2145" i="1"/>
  <c r="H2144" i="1"/>
  <c r="I2144" i="1" s="1"/>
  <c r="C2144" i="1"/>
  <c r="H2143" i="1"/>
  <c r="I2143" i="1" s="1"/>
  <c r="C2143" i="1"/>
  <c r="I2142" i="1"/>
  <c r="H2142" i="1"/>
  <c r="C2142" i="1"/>
  <c r="H2141" i="1"/>
  <c r="I2141" i="1" s="1"/>
  <c r="C2141" i="1"/>
  <c r="H2140" i="1"/>
  <c r="I2140" i="1" s="1"/>
  <c r="C2140" i="1"/>
  <c r="H2139" i="1"/>
  <c r="I2139" i="1" s="1"/>
  <c r="C2139" i="1"/>
  <c r="H2138" i="1"/>
  <c r="I2138" i="1" s="1"/>
  <c r="C2138" i="1"/>
  <c r="H2137" i="1"/>
  <c r="I2137" i="1" s="1"/>
  <c r="C2137" i="1"/>
  <c r="I2136" i="1"/>
  <c r="H2136" i="1"/>
  <c r="C2136" i="1"/>
  <c r="H2135" i="1"/>
  <c r="I2135" i="1" s="1"/>
  <c r="C2135" i="1"/>
  <c r="I2134" i="1"/>
  <c r="H2134" i="1"/>
  <c r="C2134" i="1"/>
  <c r="H2133" i="1"/>
  <c r="I2133" i="1" s="1"/>
  <c r="C2133" i="1"/>
  <c r="H2132" i="1"/>
  <c r="I2132" i="1" s="1"/>
  <c r="C2132" i="1"/>
  <c r="H2131" i="1"/>
  <c r="I2131" i="1" s="1"/>
  <c r="C2131" i="1"/>
  <c r="I2130" i="1"/>
  <c r="H2130" i="1"/>
  <c r="C2130" i="1"/>
  <c r="H2129" i="1"/>
  <c r="I2129" i="1" s="1"/>
  <c r="C2129" i="1"/>
  <c r="H2128" i="1"/>
  <c r="I2128" i="1" s="1"/>
  <c r="C2128" i="1"/>
  <c r="H2127" i="1"/>
  <c r="I2127" i="1" s="1"/>
  <c r="C2127" i="1"/>
  <c r="H2126" i="1"/>
  <c r="I2126" i="1" s="1"/>
  <c r="C2126" i="1"/>
  <c r="H2125" i="1"/>
  <c r="I2125" i="1" s="1"/>
  <c r="C2125" i="1"/>
  <c r="H2124" i="1"/>
  <c r="I2124" i="1" s="1"/>
  <c r="C2124" i="1"/>
  <c r="I2123" i="1"/>
  <c r="H2123" i="1"/>
  <c r="C2123" i="1"/>
  <c r="I2122" i="1"/>
  <c r="H2122" i="1"/>
  <c r="C2122" i="1"/>
  <c r="I2121" i="1"/>
  <c r="H2121" i="1"/>
  <c r="C2121" i="1"/>
  <c r="H2120" i="1"/>
  <c r="I2120" i="1" s="1"/>
  <c r="C2120" i="1"/>
  <c r="H2119" i="1"/>
  <c r="I2119" i="1" s="1"/>
  <c r="C2119" i="1"/>
  <c r="H2118" i="1"/>
  <c r="I2118" i="1" s="1"/>
  <c r="C2118" i="1"/>
  <c r="H2117" i="1"/>
  <c r="I2117" i="1" s="1"/>
  <c r="C2117" i="1"/>
  <c r="H2116" i="1"/>
  <c r="I2116" i="1" s="1"/>
  <c r="C2116" i="1"/>
  <c r="I2115" i="1"/>
  <c r="H2115" i="1"/>
  <c r="C2115" i="1"/>
  <c r="H2114" i="1"/>
  <c r="I2114" i="1" s="1"/>
  <c r="C2114" i="1"/>
  <c r="H2113" i="1"/>
  <c r="I2113" i="1" s="1"/>
  <c r="C2113" i="1"/>
  <c r="H2112" i="1"/>
  <c r="I2112" i="1" s="1"/>
  <c r="C2112" i="1"/>
  <c r="H2111" i="1"/>
  <c r="I2111" i="1" s="1"/>
  <c r="C2111" i="1"/>
  <c r="H2110" i="1"/>
  <c r="I2110" i="1" s="1"/>
  <c r="C2110" i="1"/>
  <c r="I2109" i="1"/>
  <c r="H2109" i="1"/>
  <c r="C2109" i="1"/>
  <c r="H2108" i="1"/>
  <c r="I2108" i="1" s="1"/>
  <c r="C2108" i="1"/>
  <c r="I2107" i="1"/>
  <c r="H2107" i="1"/>
  <c r="C2107" i="1"/>
  <c r="H2106" i="1"/>
  <c r="I2106" i="1" s="1"/>
  <c r="C2106" i="1"/>
  <c r="H2105" i="1"/>
  <c r="I2105" i="1" s="1"/>
  <c r="C2105" i="1"/>
  <c r="H2104" i="1"/>
  <c r="I2104" i="1" s="1"/>
  <c r="C2104" i="1"/>
  <c r="I2103" i="1"/>
  <c r="H2103" i="1"/>
  <c r="C2103" i="1"/>
  <c r="H2102" i="1"/>
  <c r="I2102" i="1" s="1"/>
  <c r="C2102" i="1"/>
  <c r="H2101" i="1"/>
  <c r="I2101" i="1" s="1"/>
  <c r="C2101" i="1"/>
  <c r="H2100" i="1"/>
  <c r="I2100" i="1" s="1"/>
  <c r="C2100" i="1"/>
  <c r="I2099" i="1"/>
  <c r="H2099" i="1"/>
  <c r="C2099" i="1"/>
  <c r="H2098" i="1"/>
  <c r="I2098" i="1" s="1"/>
  <c r="C2098" i="1"/>
  <c r="H2097" i="1"/>
  <c r="I2097" i="1" s="1"/>
  <c r="C2097" i="1"/>
  <c r="H2096" i="1"/>
  <c r="I2096" i="1" s="1"/>
  <c r="C2096" i="1"/>
  <c r="H2095" i="1"/>
  <c r="I2095" i="1" s="1"/>
  <c r="C2095" i="1"/>
  <c r="H2094" i="1"/>
  <c r="I2094" i="1" s="1"/>
  <c r="C2094" i="1"/>
  <c r="H2093" i="1"/>
  <c r="I2093" i="1" s="1"/>
  <c r="C2093" i="1"/>
  <c r="H2092" i="1"/>
  <c r="I2092" i="1" s="1"/>
  <c r="C2092" i="1"/>
  <c r="H2091" i="1"/>
  <c r="I2091" i="1" s="1"/>
  <c r="C2091" i="1"/>
  <c r="H2090" i="1"/>
  <c r="I2090" i="1" s="1"/>
  <c r="C2090" i="1"/>
  <c r="H2089" i="1"/>
  <c r="I2089" i="1" s="1"/>
  <c r="C2089" i="1"/>
  <c r="H2088" i="1"/>
  <c r="I2088" i="1" s="1"/>
  <c r="C2088" i="1"/>
  <c r="H2087" i="1"/>
  <c r="I2087" i="1" s="1"/>
  <c r="C2087" i="1"/>
  <c r="H2086" i="1"/>
  <c r="I2086" i="1" s="1"/>
  <c r="C2086" i="1"/>
  <c r="H2085" i="1"/>
  <c r="I2085" i="1" s="1"/>
  <c r="C2085" i="1"/>
  <c r="H2084" i="1"/>
  <c r="I2084" i="1" s="1"/>
  <c r="C2084" i="1"/>
  <c r="H2083" i="1"/>
  <c r="I2083" i="1" s="1"/>
  <c r="C2083" i="1"/>
  <c r="I2082" i="1"/>
  <c r="H2082" i="1"/>
  <c r="C2082" i="1"/>
  <c r="I2081" i="1"/>
  <c r="H2081" i="1"/>
  <c r="C2081" i="1"/>
  <c r="H2080" i="1"/>
  <c r="I2080" i="1" s="1"/>
  <c r="C2080" i="1"/>
  <c r="I2079" i="1"/>
  <c r="H2079" i="1"/>
  <c r="C2079" i="1"/>
  <c r="I2078" i="1"/>
  <c r="H2078" i="1"/>
  <c r="C2078" i="1"/>
  <c r="H2077" i="1"/>
  <c r="I2077" i="1" s="1"/>
  <c r="C2077" i="1"/>
  <c r="I2076" i="1"/>
  <c r="H2076" i="1"/>
  <c r="C2076" i="1"/>
  <c r="H2075" i="1"/>
  <c r="I2075" i="1" s="1"/>
  <c r="C2075" i="1"/>
  <c r="H2074" i="1"/>
  <c r="I2074" i="1" s="1"/>
  <c r="C2074" i="1"/>
  <c r="H2073" i="1"/>
  <c r="I2073" i="1" s="1"/>
  <c r="C2073" i="1"/>
  <c r="H2072" i="1"/>
  <c r="I2072" i="1" s="1"/>
  <c r="C2072" i="1"/>
  <c r="H2071" i="1"/>
  <c r="I2071" i="1" s="1"/>
  <c r="C2071" i="1"/>
  <c r="H2070" i="1"/>
  <c r="I2070" i="1" s="1"/>
  <c r="C2070" i="1"/>
  <c r="I2069" i="1"/>
  <c r="H2069" i="1"/>
  <c r="C2069" i="1"/>
  <c r="H2068" i="1"/>
  <c r="I2068" i="1" s="1"/>
  <c r="C2068" i="1"/>
  <c r="H2067" i="1"/>
  <c r="I2067" i="1" s="1"/>
  <c r="C2067" i="1"/>
  <c r="I2066" i="1"/>
  <c r="H2066" i="1"/>
  <c r="C2066" i="1"/>
  <c r="I2065" i="1"/>
  <c r="H2065" i="1"/>
  <c r="C2065" i="1"/>
  <c r="H2064" i="1"/>
  <c r="I2064" i="1" s="1"/>
  <c r="C2064" i="1"/>
  <c r="I2063" i="1"/>
  <c r="H2063" i="1"/>
  <c r="C2063" i="1"/>
  <c r="I2062" i="1"/>
  <c r="H2062" i="1"/>
  <c r="C2062" i="1"/>
  <c r="H2061" i="1"/>
  <c r="I2061" i="1" s="1"/>
  <c r="C2061" i="1"/>
  <c r="H2060" i="1"/>
  <c r="I2060" i="1" s="1"/>
  <c r="C2060" i="1"/>
  <c r="H2059" i="1"/>
  <c r="I2059" i="1" s="1"/>
  <c r="C2059" i="1"/>
  <c r="H2058" i="1"/>
  <c r="I2058" i="1" s="1"/>
  <c r="C2058" i="1"/>
  <c r="H2057" i="1"/>
  <c r="I2057" i="1" s="1"/>
  <c r="C2057" i="1"/>
  <c r="I2056" i="1"/>
  <c r="H2056" i="1"/>
  <c r="C2056" i="1"/>
  <c r="H2055" i="1"/>
  <c r="I2055" i="1" s="1"/>
  <c r="C2055" i="1"/>
  <c r="H2054" i="1"/>
  <c r="I2054" i="1" s="1"/>
  <c r="C2054" i="1"/>
  <c r="H2053" i="1"/>
  <c r="I2053" i="1" s="1"/>
  <c r="C2053" i="1"/>
  <c r="I2052" i="1"/>
  <c r="H2052" i="1"/>
  <c r="C2052" i="1"/>
  <c r="H2051" i="1"/>
  <c r="I2051" i="1" s="1"/>
  <c r="C2051" i="1"/>
  <c r="H2050" i="1"/>
  <c r="I2050" i="1" s="1"/>
  <c r="C2050" i="1"/>
  <c r="I2049" i="1"/>
  <c r="H2049" i="1"/>
  <c r="C2049" i="1"/>
  <c r="H2048" i="1"/>
  <c r="I2048" i="1" s="1"/>
  <c r="C2048" i="1"/>
  <c r="H2047" i="1"/>
  <c r="I2047" i="1" s="1"/>
  <c r="C2047" i="1"/>
  <c r="H2046" i="1"/>
  <c r="I2046" i="1" s="1"/>
  <c r="C2046" i="1"/>
  <c r="H2045" i="1"/>
  <c r="I2045" i="1" s="1"/>
  <c r="C2045" i="1"/>
  <c r="H2044" i="1"/>
  <c r="I2044" i="1" s="1"/>
  <c r="C2044" i="1"/>
  <c r="H2043" i="1"/>
  <c r="I2043" i="1" s="1"/>
  <c r="C2043" i="1"/>
  <c r="H2042" i="1"/>
  <c r="I2042" i="1" s="1"/>
  <c r="C2042" i="1"/>
  <c r="I2041" i="1"/>
  <c r="H2041" i="1"/>
  <c r="C2041" i="1"/>
  <c r="H2040" i="1"/>
  <c r="I2040" i="1" s="1"/>
  <c r="C2040" i="1"/>
  <c r="H2039" i="1"/>
  <c r="I2039" i="1" s="1"/>
  <c r="C2039" i="1"/>
  <c r="H2038" i="1"/>
  <c r="I2038" i="1" s="1"/>
  <c r="C2038" i="1"/>
  <c r="H2037" i="1"/>
  <c r="I2037" i="1" s="1"/>
  <c r="C2037" i="1"/>
  <c r="H2036" i="1"/>
  <c r="I2036" i="1" s="1"/>
  <c r="C2036" i="1"/>
  <c r="I2035" i="1"/>
  <c r="H2035" i="1"/>
  <c r="C2035" i="1"/>
  <c r="H2034" i="1"/>
  <c r="I2034" i="1" s="1"/>
  <c r="C2034" i="1"/>
  <c r="H2033" i="1"/>
  <c r="I2033" i="1" s="1"/>
  <c r="C2033" i="1"/>
  <c r="H2032" i="1"/>
  <c r="I2032" i="1" s="1"/>
  <c r="C2032" i="1"/>
  <c r="H2031" i="1"/>
  <c r="I2031" i="1" s="1"/>
  <c r="C2031" i="1"/>
  <c r="H2030" i="1"/>
  <c r="I2030" i="1" s="1"/>
  <c r="C2030" i="1"/>
  <c r="I2029" i="1"/>
  <c r="H2029" i="1"/>
  <c r="C2029" i="1"/>
  <c r="H2028" i="1"/>
  <c r="I2028" i="1" s="1"/>
  <c r="C2028" i="1"/>
  <c r="H2027" i="1"/>
  <c r="I2027" i="1" s="1"/>
  <c r="C2027" i="1"/>
  <c r="H2026" i="1"/>
  <c r="I2026" i="1" s="1"/>
  <c r="C2026" i="1"/>
  <c r="H2025" i="1"/>
  <c r="I2025" i="1" s="1"/>
  <c r="C2025" i="1"/>
  <c r="H2024" i="1"/>
  <c r="I2024" i="1" s="1"/>
  <c r="C2024" i="1"/>
  <c r="H2023" i="1"/>
  <c r="I2023" i="1" s="1"/>
  <c r="C2023" i="1"/>
  <c r="I2022" i="1"/>
  <c r="H2022" i="1"/>
  <c r="C2022" i="1"/>
  <c r="H2021" i="1"/>
  <c r="I2021" i="1" s="1"/>
  <c r="C2021" i="1"/>
  <c r="I2020" i="1"/>
  <c r="H2020" i="1"/>
  <c r="C2020" i="1"/>
  <c r="H2019" i="1"/>
  <c r="I2019" i="1" s="1"/>
  <c r="C2019" i="1"/>
  <c r="H2018" i="1"/>
  <c r="I2018" i="1" s="1"/>
  <c r="C2018" i="1"/>
  <c r="H2017" i="1"/>
  <c r="I2017" i="1" s="1"/>
  <c r="C2017" i="1"/>
  <c r="H2016" i="1"/>
  <c r="I2016" i="1" s="1"/>
  <c r="C2016" i="1"/>
  <c r="I2015" i="1"/>
  <c r="H2015" i="1"/>
  <c r="C2015" i="1"/>
  <c r="H2014" i="1"/>
  <c r="I2014" i="1" s="1"/>
  <c r="C2014" i="1"/>
  <c r="H2013" i="1"/>
  <c r="I2013" i="1" s="1"/>
  <c r="C2013" i="1"/>
  <c r="H2012" i="1"/>
  <c r="I2012" i="1" s="1"/>
  <c r="C2012" i="1"/>
  <c r="I2011" i="1"/>
  <c r="H2011" i="1"/>
  <c r="C2011" i="1"/>
  <c r="I2010" i="1"/>
  <c r="H2010" i="1"/>
  <c r="C2010" i="1"/>
  <c r="H2009" i="1"/>
  <c r="I2009" i="1" s="1"/>
  <c r="C2009" i="1"/>
  <c r="H2008" i="1"/>
  <c r="I2008" i="1" s="1"/>
  <c r="C2008" i="1"/>
  <c r="I2007" i="1"/>
  <c r="H2007" i="1"/>
  <c r="C2007" i="1"/>
  <c r="H2006" i="1"/>
  <c r="I2006" i="1" s="1"/>
  <c r="C2006" i="1"/>
  <c r="I2005" i="1"/>
  <c r="H2005" i="1"/>
  <c r="C2005" i="1"/>
  <c r="I2004" i="1"/>
  <c r="H2004" i="1"/>
  <c r="C2004" i="1"/>
  <c r="H2003" i="1"/>
  <c r="I2003" i="1" s="1"/>
  <c r="C2003" i="1"/>
  <c r="H2002" i="1"/>
  <c r="I2002" i="1" s="1"/>
  <c r="C2002" i="1"/>
  <c r="H2001" i="1"/>
  <c r="I2001" i="1" s="1"/>
  <c r="C2001" i="1"/>
  <c r="I2000" i="1"/>
  <c r="H2000" i="1"/>
  <c r="C2000" i="1"/>
  <c r="H1999" i="1"/>
  <c r="I1999" i="1" s="1"/>
  <c r="C1999" i="1"/>
  <c r="H1998" i="1"/>
  <c r="I1998" i="1" s="1"/>
  <c r="C1998" i="1"/>
  <c r="H1997" i="1"/>
  <c r="I1997" i="1" s="1"/>
  <c r="C1997" i="1"/>
  <c r="H1996" i="1"/>
  <c r="I1996" i="1" s="1"/>
  <c r="C1996" i="1"/>
  <c r="H1995" i="1"/>
  <c r="I1995" i="1" s="1"/>
  <c r="C1995" i="1"/>
  <c r="H1994" i="1"/>
  <c r="I1994" i="1" s="1"/>
  <c r="C1994" i="1"/>
  <c r="H1993" i="1"/>
  <c r="I1993" i="1" s="1"/>
  <c r="C1993" i="1"/>
  <c r="H1992" i="1"/>
  <c r="I1992" i="1" s="1"/>
  <c r="C1992" i="1"/>
  <c r="H1991" i="1"/>
  <c r="I1991" i="1" s="1"/>
  <c r="C1991" i="1"/>
  <c r="H1990" i="1"/>
  <c r="I1990" i="1" s="1"/>
  <c r="C1990" i="1"/>
  <c r="H1989" i="1"/>
  <c r="I1989" i="1" s="1"/>
  <c r="C1989" i="1"/>
  <c r="I1988" i="1"/>
  <c r="H1988" i="1"/>
  <c r="C1988" i="1"/>
  <c r="H1987" i="1"/>
  <c r="I1987" i="1" s="1"/>
  <c r="C1987" i="1"/>
  <c r="H1986" i="1"/>
  <c r="I1986" i="1" s="1"/>
  <c r="C1986" i="1"/>
  <c r="H1985" i="1"/>
  <c r="I1985" i="1" s="1"/>
  <c r="C1985" i="1"/>
  <c r="I1984" i="1"/>
  <c r="H1984" i="1"/>
  <c r="C1984" i="1"/>
  <c r="H1983" i="1"/>
  <c r="I1983" i="1" s="1"/>
  <c r="C1983" i="1"/>
  <c r="H1982" i="1"/>
  <c r="I1982" i="1" s="1"/>
  <c r="C1982" i="1"/>
  <c r="H1981" i="1"/>
  <c r="I1981" i="1" s="1"/>
  <c r="C1981" i="1"/>
  <c r="H1980" i="1"/>
  <c r="I1980" i="1" s="1"/>
  <c r="C1980" i="1"/>
  <c r="I1979" i="1"/>
  <c r="H1979" i="1"/>
  <c r="C1979" i="1"/>
  <c r="H1978" i="1"/>
  <c r="I1978" i="1" s="1"/>
  <c r="C1978" i="1"/>
  <c r="I1977" i="1"/>
  <c r="H1977" i="1"/>
  <c r="C1977" i="1"/>
  <c r="H1976" i="1"/>
  <c r="I1976" i="1" s="1"/>
  <c r="C1976" i="1"/>
  <c r="H1975" i="1"/>
  <c r="I1975" i="1" s="1"/>
  <c r="C1975" i="1"/>
  <c r="H1974" i="1"/>
  <c r="I1974" i="1" s="1"/>
  <c r="C1974" i="1"/>
  <c r="H1973" i="1"/>
  <c r="I1973" i="1" s="1"/>
  <c r="C1973" i="1"/>
  <c r="H1972" i="1"/>
  <c r="I1972" i="1" s="1"/>
  <c r="C1972" i="1"/>
  <c r="H1971" i="1"/>
  <c r="I1971" i="1" s="1"/>
  <c r="C1971" i="1"/>
  <c r="I1970" i="1"/>
  <c r="H1970" i="1"/>
  <c r="C1970" i="1"/>
  <c r="H1969" i="1"/>
  <c r="I1969" i="1" s="1"/>
  <c r="C1969" i="1"/>
  <c r="I1968" i="1"/>
  <c r="H1968" i="1"/>
  <c r="C1968" i="1"/>
  <c r="H1967" i="1"/>
  <c r="I1967" i="1" s="1"/>
  <c r="C1967" i="1"/>
  <c r="H1966" i="1"/>
  <c r="I1966" i="1" s="1"/>
  <c r="C1966" i="1"/>
  <c r="H1965" i="1"/>
  <c r="I1965" i="1" s="1"/>
  <c r="C1965" i="1"/>
  <c r="I1964" i="1"/>
  <c r="H1964" i="1"/>
  <c r="C1964" i="1"/>
  <c r="I1963" i="1"/>
  <c r="H1963" i="1"/>
  <c r="C1963" i="1"/>
  <c r="H1962" i="1"/>
  <c r="I1962" i="1" s="1"/>
  <c r="C1962" i="1"/>
  <c r="H1961" i="1"/>
  <c r="I1961" i="1" s="1"/>
  <c r="C1961" i="1"/>
  <c r="H1960" i="1"/>
  <c r="I1960" i="1" s="1"/>
  <c r="C1960" i="1"/>
  <c r="H1959" i="1"/>
  <c r="I1959" i="1" s="1"/>
  <c r="C1959" i="1"/>
  <c r="H1958" i="1"/>
  <c r="I1958" i="1" s="1"/>
  <c r="C1958" i="1"/>
  <c r="H1957" i="1"/>
  <c r="I1957" i="1" s="1"/>
  <c r="C1957" i="1"/>
  <c r="H1956" i="1"/>
  <c r="I1956" i="1" s="1"/>
  <c r="C1956" i="1"/>
  <c r="H1955" i="1"/>
  <c r="I1955" i="1" s="1"/>
  <c r="C1955" i="1"/>
  <c r="H1954" i="1"/>
  <c r="I1954" i="1" s="1"/>
  <c r="C1954" i="1"/>
  <c r="H1953" i="1"/>
  <c r="I1953" i="1" s="1"/>
  <c r="C1953" i="1"/>
  <c r="I1952" i="1"/>
  <c r="H1952" i="1"/>
  <c r="C1952" i="1"/>
  <c r="H1951" i="1"/>
  <c r="I1951" i="1" s="1"/>
  <c r="C1951" i="1"/>
  <c r="H1950" i="1"/>
  <c r="I1950" i="1" s="1"/>
  <c r="C1950" i="1"/>
  <c r="I1949" i="1"/>
  <c r="H1949" i="1"/>
  <c r="C1949" i="1"/>
  <c r="H1948" i="1"/>
  <c r="I1948" i="1" s="1"/>
  <c r="C1948" i="1"/>
  <c r="I1947" i="1"/>
  <c r="H1947" i="1"/>
  <c r="C1947" i="1"/>
  <c r="H1946" i="1"/>
  <c r="I1946" i="1" s="1"/>
  <c r="C1946" i="1"/>
  <c r="H1945" i="1"/>
  <c r="I1945" i="1" s="1"/>
  <c r="C1945" i="1"/>
  <c r="H1944" i="1"/>
  <c r="I1944" i="1" s="1"/>
  <c r="C1944" i="1"/>
  <c r="I1943" i="1"/>
  <c r="H1943" i="1"/>
  <c r="C1943" i="1"/>
  <c r="H1942" i="1"/>
  <c r="I1942" i="1" s="1"/>
  <c r="C1942" i="1"/>
  <c r="H1941" i="1"/>
  <c r="I1941" i="1" s="1"/>
  <c r="C1941" i="1"/>
  <c r="H1940" i="1"/>
  <c r="I1940" i="1" s="1"/>
  <c r="C1940" i="1"/>
  <c r="H1939" i="1"/>
  <c r="I1939" i="1" s="1"/>
  <c r="C1939" i="1"/>
  <c r="H1938" i="1"/>
  <c r="I1938" i="1" s="1"/>
  <c r="C1938" i="1"/>
  <c r="H1937" i="1"/>
  <c r="I1937" i="1" s="1"/>
  <c r="C1937" i="1"/>
  <c r="H1936" i="1"/>
  <c r="I1936" i="1" s="1"/>
  <c r="C1936" i="1"/>
  <c r="I1935" i="1"/>
  <c r="H1935" i="1"/>
  <c r="C1935" i="1"/>
  <c r="H1934" i="1"/>
  <c r="I1934" i="1" s="1"/>
  <c r="C1934" i="1"/>
  <c r="H1933" i="1"/>
  <c r="I1933" i="1" s="1"/>
  <c r="C1933" i="1"/>
  <c r="H1932" i="1"/>
  <c r="I1932" i="1" s="1"/>
  <c r="C1932" i="1"/>
  <c r="H1931" i="1"/>
  <c r="I1931" i="1" s="1"/>
  <c r="C1931" i="1"/>
  <c r="H1930" i="1"/>
  <c r="I1930" i="1" s="1"/>
  <c r="C1930" i="1"/>
  <c r="H1929" i="1"/>
  <c r="I1929" i="1" s="1"/>
  <c r="C1929" i="1"/>
  <c r="H1928" i="1"/>
  <c r="I1928" i="1" s="1"/>
  <c r="C1928" i="1"/>
  <c r="I1927" i="1"/>
  <c r="H1927" i="1"/>
  <c r="C1927" i="1"/>
  <c r="H1926" i="1"/>
  <c r="I1926" i="1" s="1"/>
  <c r="C1926" i="1"/>
  <c r="H1925" i="1"/>
  <c r="I1925" i="1" s="1"/>
  <c r="C1925" i="1"/>
  <c r="I1924" i="1"/>
  <c r="H1924" i="1"/>
  <c r="C1924" i="1"/>
  <c r="H1923" i="1"/>
  <c r="I1923" i="1" s="1"/>
  <c r="C1923" i="1"/>
  <c r="H1922" i="1"/>
  <c r="I1922" i="1" s="1"/>
  <c r="C1922" i="1"/>
  <c r="H1921" i="1"/>
  <c r="I1921" i="1" s="1"/>
  <c r="C1921" i="1"/>
  <c r="H1920" i="1"/>
  <c r="I1920" i="1" s="1"/>
  <c r="C1920" i="1"/>
  <c r="H1919" i="1"/>
  <c r="I1919" i="1" s="1"/>
  <c r="C1919" i="1"/>
  <c r="H1918" i="1"/>
  <c r="I1918" i="1" s="1"/>
  <c r="C1918" i="1"/>
  <c r="I1917" i="1"/>
  <c r="H1917" i="1"/>
  <c r="C1917" i="1"/>
  <c r="H1916" i="1"/>
  <c r="I1916" i="1" s="1"/>
  <c r="C1916" i="1"/>
  <c r="H1915" i="1"/>
  <c r="I1915" i="1" s="1"/>
  <c r="C1915" i="1"/>
  <c r="H1914" i="1"/>
  <c r="I1914" i="1" s="1"/>
  <c r="C1914" i="1"/>
  <c r="H1913" i="1"/>
  <c r="I1913" i="1" s="1"/>
  <c r="C1913" i="1"/>
  <c r="H1912" i="1"/>
  <c r="I1912" i="1" s="1"/>
  <c r="C1912" i="1"/>
  <c r="I1911" i="1"/>
  <c r="H1911" i="1"/>
  <c r="C1911" i="1"/>
  <c r="H1910" i="1"/>
  <c r="I1910" i="1" s="1"/>
  <c r="C1910" i="1"/>
  <c r="H1909" i="1"/>
  <c r="I1909" i="1" s="1"/>
  <c r="C1909" i="1"/>
  <c r="H1908" i="1"/>
  <c r="I1908" i="1" s="1"/>
  <c r="C1908" i="1"/>
  <c r="H1907" i="1"/>
  <c r="I1907" i="1" s="1"/>
  <c r="C1907" i="1"/>
  <c r="H1906" i="1"/>
  <c r="I1906" i="1" s="1"/>
  <c r="C1906" i="1"/>
  <c r="H1905" i="1"/>
  <c r="I1905" i="1" s="1"/>
  <c r="C1905" i="1"/>
  <c r="H1904" i="1"/>
  <c r="I1904" i="1" s="1"/>
  <c r="C1904" i="1"/>
  <c r="H1903" i="1"/>
  <c r="I1903" i="1" s="1"/>
  <c r="C1903" i="1"/>
  <c r="H1902" i="1"/>
  <c r="I1902" i="1" s="1"/>
  <c r="C1902" i="1"/>
  <c r="I1901" i="1"/>
  <c r="H1901" i="1"/>
  <c r="C1901" i="1"/>
  <c r="H1900" i="1"/>
  <c r="I1900" i="1" s="1"/>
  <c r="C1900" i="1"/>
  <c r="H1899" i="1"/>
  <c r="I1899" i="1" s="1"/>
  <c r="C1899" i="1"/>
  <c r="H1898" i="1"/>
  <c r="I1898" i="1" s="1"/>
  <c r="C1898" i="1"/>
  <c r="H1897" i="1"/>
  <c r="I1897" i="1" s="1"/>
  <c r="C1897" i="1"/>
  <c r="H1896" i="1"/>
  <c r="I1896" i="1" s="1"/>
  <c r="C1896" i="1"/>
  <c r="H1895" i="1"/>
  <c r="I1895" i="1" s="1"/>
  <c r="C1895" i="1"/>
  <c r="H1894" i="1"/>
  <c r="I1894" i="1" s="1"/>
  <c r="C1894" i="1"/>
  <c r="H1893" i="1"/>
  <c r="I1893" i="1" s="1"/>
  <c r="C1893" i="1"/>
  <c r="H1892" i="1"/>
  <c r="I1892" i="1" s="1"/>
  <c r="C1892" i="1"/>
  <c r="H1891" i="1"/>
  <c r="I1891" i="1" s="1"/>
  <c r="C1891" i="1"/>
  <c r="I1890" i="1"/>
  <c r="H1890" i="1"/>
  <c r="C1890" i="1"/>
  <c r="H1889" i="1"/>
  <c r="I1889" i="1" s="1"/>
  <c r="C1889" i="1"/>
  <c r="H1888" i="1"/>
  <c r="I1888" i="1" s="1"/>
  <c r="C1888" i="1"/>
  <c r="H1887" i="1"/>
  <c r="I1887" i="1" s="1"/>
  <c r="C1887" i="1"/>
  <c r="I1886" i="1"/>
  <c r="H1886" i="1"/>
  <c r="C1886" i="1"/>
  <c r="I1885" i="1"/>
  <c r="H1885" i="1"/>
  <c r="C1885" i="1"/>
  <c r="H1884" i="1"/>
  <c r="I1884" i="1" s="1"/>
  <c r="C1884" i="1"/>
  <c r="I1883" i="1"/>
  <c r="H1883" i="1"/>
  <c r="C1883" i="1"/>
  <c r="H1882" i="1"/>
  <c r="I1882" i="1" s="1"/>
  <c r="C1882" i="1"/>
  <c r="H1881" i="1"/>
  <c r="I1881" i="1" s="1"/>
  <c r="C1881" i="1"/>
  <c r="H1880" i="1"/>
  <c r="I1880" i="1" s="1"/>
  <c r="C1880" i="1"/>
  <c r="H1879" i="1"/>
  <c r="I1879" i="1" s="1"/>
  <c r="C1879" i="1"/>
  <c r="H1878" i="1"/>
  <c r="I1878" i="1" s="1"/>
  <c r="C1878" i="1"/>
  <c r="H1877" i="1"/>
  <c r="I1877" i="1" s="1"/>
  <c r="C1877" i="1"/>
  <c r="H1876" i="1"/>
  <c r="I1876" i="1" s="1"/>
  <c r="C1876" i="1"/>
  <c r="H1875" i="1"/>
  <c r="I1875" i="1" s="1"/>
  <c r="C1875" i="1"/>
  <c r="H1874" i="1"/>
  <c r="I1874" i="1" s="1"/>
  <c r="C1874" i="1"/>
  <c r="H1873" i="1"/>
  <c r="I1873" i="1" s="1"/>
  <c r="C1873" i="1"/>
  <c r="H1872" i="1"/>
  <c r="I1872" i="1" s="1"/>
  <c r="C1872" i="1"/>
  <c r="H1871" i="1"/>
  <c r="I1871" i="1" s="1"/>
  <c r="C1871" i="1"/>
  <c r="H1870" i="1"/>
  <c r="I1870" i="1" s="1"/>
  <c r="C1870" i="1"/>
  <c r="I1869" i="1"/>
  <c r="H1869" i="1"/>
  <c r="C1869" i="1"/>
  <c r="H1868" i="1"/>
  <c r="I1868" i="1" s="1"/>
  <c r="C1868" i="1"/>
  <c r="I1867" i="1"/>
  <c r="H1867" i="1"/>
  <c r="C1867" i="1"/>
  <c r="H1866" i="1"/>
  <c r="I1866" i="1" s="1"/>
  <c r="C1866" i="1"/>
  <c r="H1865" i="1"/>
  <c r="I1865" i="1" s="1"/>
  <c r="C1865" i="1"/>
  <c r="H1864" i="1"/>
  <c r="I1864" i="1" s="1"/>
  <c r="C1864" i="1"/>
  <c r="I1863" i="1"/>
  <c r="H1863" i="1"/>
  <c r="C1863" i="1"/>
  <c r="H1862" i="1"/>
  <c r="I1862" i="1" s="1"/>
  <c r="C1862" i="1"/>
  <c r="H1861" i="1"/>
  <c r="I1861" i="1" s="1"/>
  <c r="C1861" i="1"/>
  <c r="H1860" i="1"/>
  <c r="I1860" i="1" s="1"/>
  <c r="C1860" i="1"/>
  <c r="H1859" i="1"/>
  <c r="I1859" i="1" s="1"/>
  <c r="C1859" i="1"/>
  <c r="H1858" i="1"/>
  <c r="I1858" i="1" s="1"/>
  <c r="C1858" i="1"/>
  <c r="H1857" i="1"/>
  <c r="I1857" i="1" s="1"/>
  <c r="C1857" i="1"/>
  <c r="H1856" i="1"/>
  <c r="I1856" i="1" s="1"/>
  <c r="C1856" i="1"/>
  <c r="H1855" i="1"/>
  <c r="I1855" i="1" s="1"/>
  <c r="C1855" i="1"/>
  <c r="I1854" i="1"/>
  <c r="H1854" i="1"/>
  <c r="C1854" i="1"/>
  <c r="H1853" i="1"/>
  <c r="I1853" i="1" s="1"/>
  <c r="C1853" i="1"/>
  <c r="H1852" i="1"/>
  <c r="I1852" i="1" s="1"/>
  <c r="C1852" i="1"/>
  <c r="H1851" i="1"/>
  <c r="I1851" i="1" s="1"/>
  <c r="C1851" i="1"/>
  <c r="H1850" i="1"/>
  <c r="I1850" i="1" s="1"/>
  <c r="C1850" i="1"/>
  <c r="H1849" i="1"/>
  <c r="I1849" i="1" s="1"/>
  <c r="C1849" i="1"/>
  <c r="H1848" i="1"/>
  <c r="I1848" i="1" s="1"/>
  <c r="C1848" i="1"/>
  <c r="H1847" i="1"/>
  <c r="I1847" i="1" s="1"/>
  <c r="C1847" i="1"/>
  <c r="H1846" i="1"/>
  <c r="I1846" i="1" s="1"/>
  <c r="C1846" i="1"/>
  <c r="H1845" i="1"/>
  <c r="I1845" i="1" s="1"/>
  <c r="C1845" i="1"/>
  <c r="H1844" i="1"/>
  <c r="I1844" i="1" s="1"/>
  <c r="C1844" i="1"/>
  <c r="H1843" i="1"/>
  <c r="I1843" i="1" s="1"/>
  <c r="C1843" i="1"/>
  <c r="I1842" i="1"/>
  <c r="H1842" i="1"/>
  <c r="C1842" i="1"/>
  <c r="H1841" i="1"/>
  <c r="I1841" i="1" s="1"/>
  <c r="C1841" i="1"/>
  <c r="H1840" i="1"/>
  <c r="I1840" i="1" s="1"/>
  <c r="C1840" i="1"/>
  <c r="H1839" i="1"/>
  <c r="I1839" i="1" s="1"/>
  <c r="C1839" i="1"/>
  <c r="H1838" i="1"/>
  <c r="I1838" i="1" s="1"/>
  <c r="C1838" i="1"/>
  <c r="H1837" i="1"/>
  <c r="I1837" i="1" s="1"/>
  <c r="C1837" i="1"/>
  <c r="H1836" i="1"/>
  <c r="I1836" i="1" s="1"/>
  <c r="C1836" i="1"/>
  <c r="H1835" i="1"/>
  <c r="I1835" i="1" s="1"/>
  <c r="C1835" i="1"/>
  <c r="H1834" i="1"/>
  <c r="I1834" i="1" s="1"/>
  <c r="C1834" i="1"/>
  <c r="I1833" i="1"/>
  <c r="H1833" i="1"/>
  <c r="C1833" i="1"/>
  <c r="H1832" i="1"/>
  <c r="I1832" i="1" s="1"/>
  <c r="C1832" i="1"/>
  <c r="H1831" i="1"/>
  <c r="I1831" i="1" s="1"/>
  <c r="C1831" i="1"/>
  <c r="H1830" i="1"/>
  <c r="I1830" i="1" s="1"/>
  <c r="C1830" i="1"/>
  <c r="H1829" i="1"/>
  <c r="I1829" i="1" s="1"/>
  <c r="C1829" i="1"/>
  <c r="H1828" i="1"/>
  <c r="I1828" i="1" s="1"/>
  <c r="C1828" i="1"/>
  <c r="H1827" i="1"/>
  <c r="I1827" i="1" s="1"/>
  <c r="C1827" i="1"/>
  <c r="H1826" i="1"/>
  <c r="I1826" i="1" s="1"/>
  <c r="C1826" i="1"/>
  <c r="I1825" i="1"/>
  <c r="H1825" i="1"/>
  <c r="C1825" i="1"/>
  <c r="H1824" i="1"/>
  <c r="I1824" i="1" s="1"/>
  <c r="C1824" i="1"/>
  <c r="H1823" i="1"/>
  <c r="I1823" i="1" s="1"/>
  <c r="C1823" i="1"/>
  <c r="H1822" i="1"/>
  <c r="I1822" i="1" s="1"/>
  <c r="C1822" i="1"/>
  <c r="I1821" i="1"/>
  <c r="H1821" i="1"/>
  <c r="C1821" i="1"/>
  <c r="H1820" i="1"/>
  <c r="I1820" i="1" s="1"/>
  <c r="C1820" i="1"/>
  <c r="H1819" i="1"/>
  <c r="I1819" i="1" s="1"/>
  <c r="C1819" i="1"/>
  <c r="H1818" i="1"/>
  <c r="I1818" i="1" s="1"/>
  <c r="C1818" i="1"/>
  <c r="I1817" i="1"/>
  <c r="H1817" i="1"/>
  <c r="C1817" i="1"/>
  <c r="I1816" i="1"/>
  <c r="H1816" i="1"/>
  <c r="C1816" i="1"/>
  <c r="H1815" i="1"/>
  <c r="I1815" i="1" s="1"/>
  <c r="C1815" i="1"/>
  <c r="H1814" i="1"/>
  <c r="I1814" i="1" s="1"/>
  <c r="C1814" i="1"/>
  <c r="H1813" i="1"/>
  <c r="I1813" i="1" s="1"/>
  <c r="C1813" i="1"/>
  <c r="H1812" i="1"/>
  <c r="I1812" i="1" s="1"/>
  <c r="C1812" i="1"/>
  <c r="H1811" i="1"/>
  <c r="I1811" i="1" s="1"/>
  <c r="C1811" i="1"/>
  <c r="H1810" i="1"/>
  <c r="I1810" i="1" s="1"/>
  <c r="C1810" i="1"/>
  <c r="H1809" i="1"/>
  <c r="I1809" i="1" s="1"/>
  <c r="C1809" i="1"/>
  <c r="H1808" i="1"/>
  <c r="I1808" i="1" s="1"/>
  <c r="C1808" i="1"/>
  <c r="H1807" i="1"/>
  <c r="I1807" i="1" s="1"/>
  <c r="C1807" i="1"/>
  <c r="I1806" i="1"/>
  <c r="H1806" i="1"/>
  <c r="C1806" i="1"/>
  <c r="H1805" i="1"/>
  <c r="I1805" i="1" s="1"/>
  <c r="C1805" i="1"/>
  <c r="H1804" i="1"/>
  <c r="I1804" i="1" s="1"/>
  <c r="C1804" i="1"/>
  <c r="I1803" i="1"/>
  <c r="H1803" i="1"/>
  <c r="C1803" i="1"/>
  <c r="I1802" i="1"/>
  <c r="H1802" i="1"/>
  <c r="C1802" i="1"/>
  <c r="H1801" i="1"/>
  <c r="I1801" i="1" s="1"/>
  <c r="C1801" i="1"/>
  <c r="H1800" i="1"/>
  <c r="I1800" i="1" s="1"/>
  <c r="C1800" i="1"/>
  <c r="H1799" i="1"/>
  <c r="I1799" i="1" s="1"/>
  <c r="C1799" i="1"/>
  <c r="H1798" i="1"/>
  <c r="I1798" i="1" s="1"/>
  <c r="C1798" i="1"/>
  <c r="I1797" i="1"/>
  <c r="H1797" i="1"/>
  <c r="C1797" i="1"/>
  <c r="H1796" i="1"/>
  <c r="I1796" i="1" s="1"/>
  <c r="C1796" i="1"/>
  <c r="H1795" i="1"/>
  <c r="I1795" i="1" s="1"/>
  <c r="C1795" i="1"/>
  <c r="H1794" i="1"/>
  <c r="I1794" i="1" s="1"/>
  <c r="C1794" i="1"/>
  <c r="H1793" i="1"/>
  <c r="I1793" i="1" s="1"/>
  <c r="C1793" i="1"/>
  <c r="H1792" i="1"/>
  <c r="I1792" i="1" s="1"/>
  <c r="C1792" i="1"/>
  <c r="I1791" i="1"/>
  <c r="H1791" i="1"/>
  <c r="C1791" i="1"/>
  <c r="H1790" i="1"/>
  <c r="I1790" i="1" s="1"/>
  <c r="C1790" i="1"/>
  <c r="I1789" i="1"/>
  <c r="H1789" i="1"/>
  <c r="C1789" i="1"/>
  <c r="I1788" i="1"/>
  <c r="H1788" i="1"/>
  <c r="C1788" i="1"/>
  <c r="H1787" i="1"/>
  <c r="I1787" i="1" s="1"/>
  <c r="C1787" i="1"/>
  <c r="H1786" i="1"/>
  <c r="I1786" i="1" s="1"/>
  <c r="C1786" i="1"/>
  <c r="H1785" i="1"/>
  <c r="I1785" i="1" s="1"/>
  <c r="C1785" i="1"/>
  <c r="H1784" i="1"/>
  <c r="I1784" i="1" s="1"/>
  <c r="C1784" i="1"/>
  <c r="H1783" i="1"/>
  <c r="I1783" i="1" s="1"/>
  <c r="C1783" i="1"/>
  <c r="H1782" i="1"/>
  <c r="I1782" i="1" s="1"/>
  <c r="C1782" i="1"/>
  <c r="H1781" i="1"/>
  <c r="I1781" i="1" s="1"/>
  <c r="C1781" i="1"/>
  <c r="H1780" i="1"/>
  <c r="I1780" i="1" s="1"/>
  <c r="C1780" i="1"/>
  <c r="H1779" i="1"/>
  <c r="I1779" i="1" s="1"/>
  <c r="C1779" i="1"/>
  <c r="H1778" i="1"/>
  <c r="I1778" i="1" s="1"/>
  <c r="C1778" i="1"/>
  <c r="I1777" i="1"/>
  <c r="H1777" i="1"/>
  <c r="C1777" i="1"/>
  <c r="H1776" i="1"/>
  <c r="I1776" i="1" s="1"/>
  <c r="C1776" i="1"/>
  <c r="H1775" i="1"/>
  <c r="I1775" i="1" s="1"/>
  <c r="C1775" i="1"/>
  <c r="H1774" i="1"/>
  <c r="I1774" i="1" s="1"/>
  <c r="C1774" i="1"/>
  <c r="H1773" i="1"/>
  <c r="I1773" i="1" s="1"/>
  <c r="C1773" i="1"/>
  <c r="H1772" i="1"/>
  <c r="I1772" i="1" s="1"/>
  <c r="C1772" i="1"/>
  <c r="H1771" i="1"/>
  <c r="I1771" i="1" s="1"/>
  <c r="C1771" i="1"/>
  <c r="H1770" i="1"/>
  <c r="I1770" i="1" s="1"/>
  <c r="C1770" i="1"/>
  <c r="H1769" i="1"/>
  <c r="I1769" i="1" s="1"/>
  <c r="C1769" i="1"/>
  <c r="I1768" i="1"/>
  <c r="H1768" i="1"/>
  <c r="C1768" i="1"/>
  <c r="H1767" i="1"/>
  <c r="I1767" i="1" s="1"/>
  <c r="C1767" i="1"/>
  <c r="H1766" i="1"/>
  <c r="I1766" i="1" s="1"/>
  <c r="C1766" i="1"/>
  <c r="H1765" i="1"/>
  <c r="I1765" i="1" s="1"/>
  <c r="C1765" i="1"/>
  <c r="H1764" i="1"/>
  <c r="I1764" i="1" s="1"/>
  <c r="C1764" i="1"/>
  <c r="H1763" i="1"/>
  <c r="I1763" i="1" s="1"/>
  <c r="C1763" i="1"/>
  <c r="H1762" i="1"/>
  <c r="I1762" i="1" s="1"/>
  <c r="C1762" i="1"/>
  <c r="H1761" i="1"/>
  <c r="I1761" i="1" s="1"/>
  <c r="C1761" i="1"/>
  <c r="H1760" i="1"/>
  <c r="I1760" i="1" s="1"/>
  <c r="C1760" i="1"/>
  <c r="H1759" i="1"/>
  <c r="I1759" i="1" s="1"/>
  <c r="C1759" i="1"/>
  <c r="H1758" i="1"/>
  <c r="I1758" i="1" s="1"/>
  <c r="C1758" i="1"/>
  <c r="H1757" i="1"/>
  <c r="I1757" i="1" s="1"/>
  <c r="C1757" i="1"/>
  <c r="H1756" i="1"/>
  <c r="I1756" i="1" s="1"/>
  <c r="C1756" i="1"/>
  <c r="H1755" i="1"/>
  <c r="I1755" i="1" s="1"/>
  <c r="C1755" i="1"/>
  <c r="H1754" i="1"/>
  <c r="I1754" i="1" s="1"/>
  <c r="C1754" i="1"/>
  <c r="H1753" i="1"/>
  <c r="I1753" i="1" s="1"/>
  <c r="C1753" i="1"/>
  <c r="H1752" i="1"/>
  <c r="I1752" i="1" s="1"/>
  <c r="C1752" i="1"/>
  <c r="H1751" i="1"/>
  <c r="I1751" i="1" s="1"/>
  <c r="C1751" i="1"/>
  <c r="H1750" i="1"/>
  <c r="I1750" i="1" s="1"/>
  <c r="C1750" i="1"/>
  <c r="H1749" i="1"/>
  <c r="I1749" i="1" s="1"/>
  <c r="C1749" i="1"/>
  <c r="I1748" i="1"/>
  <c r="H1748" i="1"/>
  <c r="C1748" i="1"/>
  <c r="I1747" i="1"/>
  <c r="H1747" i="1"/>
  <c r="C1747" i="1"/>
  <c r="H1746" i="1"/>
  <c r="I1746" i="1" s="1"/>
  <c r="C1746" i="1"/>
  <c r="H1745" i="1"/>
  <c r="I1745" i="1" s="1"/>
  <c r="C1745" i="1"/>
  <c r="H1744" i="1"/>
  <c r="I1744" i="1" s="1"/>
  <c r="C1744" i="1"/>
  <c r="H1743" i="1"/>
  <c r="I1743" i="1" s="1"/>
  <c r="C1743" i="1"/>
  <c r="H1742" i="1"/>
  <c r="I1742" i="1" s="1"/>
  <c r="C1742" i="1"/>
  <c r="H1741" i="1"/>
  <c r="I1741" i="1" s="1"/>
  <c r="C1741" i="1"/>
  <c r="H1740" i="1"/>
  <c r="I1740" i="1" s="1"/>
  <c r="C1740" i="1"/>
  <c r="H1739" i="1"/>
  <c r="I1739" i="1" s="1"/>
  <c r="C1739" i="1"/>
  <c r="H1738" i="1"/>
  <c r="I1738" i="1" s="1"/>
  <c r="C1738" i="1"/>
  <c r="H1737" i="1"/>
  <c r="I1737" i="1" s="1"/>
  <c r="C1737" i="1"/>
  <c r="H1736" i="1"/>
  <c r="I1736" i="1" s="1"/>
  <c r="C1736" i="1"/>
  <c r="H1735" i="1"/>
  <c r="I1735" i="1" s="1"/>
  <c r="C1735" i="1"/>
  <c r="H1734" i="1"/>
  <c r="I1734" i="1" s="1"/>
  <c r="C1734" i="1"/>
  <c r="H1733" i="1"/>
  <c r="I1733" i="1" s="1"/>
  <c r="C1733" i="1"/>
  <c r="H1732" i="1"/>
  <c r="I1732" i="1" s="1"/>
  <c r="C1732" i="1"/>
  <c r="H1731" i="1"/>
  <c r="I1731" i="1" s="1"/>
  <c r="C1731" i="1"/>
  <c r="H1730" i="1"/>
  <c r="I1730" i="1" s="1"/>
  <c r="C1730" i="1"/>
  <c r="H1729" i="1"/>
  <c r="I1729" i="1" s="1"/>
  <c r="C1729" i="1"/>
  <c r="H1728" i="1"/>
  <c r="I1728" i="1" s="1"/>
  <c r="C1728" i="1"/>
  <c r="H1727" i="1"/>
  <c r="I1727" i="1" s="1"/>
  <c r="C1727" i="1"/>
  <c r="H1726" i="1"/>
  <c r="I1726" i="1" s="1"/>
  <c r="C1726" i="1"/>
  <c r="H1725" i="1"/>
  <c r="I1725" i="1" s="1"/>
  <c r="C1725" i="1"/>
  <c r="H1724" i="1"/>
  <c r="I1724" i="1" s="1"/>
  <c r="C1724" i="1"/>
  <c r="H1723" i="1"/>
  <c r="I1723" i="1" s="1"/>
  <c r="C1723" i="1"/>
  <c r="H1722" i="1"/>
  <c r="I1722" i="1" s="1"/>
  <c r="C1722" i="1"/>
  <c r="H1721" i="1"/>
  <c r="I1721" i="1" s="1"/>
  <c r="C1721" i="1"/>
  <c r="H1720" i="1"/>
  <c r="I1720" i="1" s="1"/>
  <c r="C1720" i="1"/>
  <c r="H1719" i="1"/>
  <c r="I1719" i="1" s="1"/>
  <c r="C1719" i="1"/>
  <c r="I1718" i="1"/>
  <c r="H1718" i="1"/>
  <c r="C1718" i="1"/>
  <c r="H1717" i="1"/>
  <c r="I1717" i="1" s="1"/>
  <c r="C1717" i="1"/>
  <c r="I1716" i="1"/>
  <c r="H1716" i="1"/>
  <c r="C1716" i="1"/>
  <c r="H1715" i="1"/>
  <c r="I1715" i="1" s="1"/>
  <c r="C1715" i="1"/>
  <c r="H1714" i="1"/>
  <c r="I1714" i="1" s="1"/>
  <c r="C1714" i="1"/>
  <c r="H1713" i="1"/>
  <c r="I1713" i="1" s="1"/>
  <c r="C1713" i="1"/>
  <c r="H1712" i="1"/>
  <c r="I1712" i="1" s="1"/>
  <c r="C1712" i="1"/>
  <c r="H1711" i="1"/>
  <c r="I1711" i="1" s="1"/>
  <c r="C1711" i="1"/>
  <c r="H1710" i="1"/>
  <c r="I1710" i="1" s="1"/>
  <c r="C1710" i="1"/>
  <c r="H1709" i="1"/>
  <c r="I1709" i="1" s="1"/>
  <c r="C1709" i="1"/>
  <c r="I1708" i="1"/>
  <c r="H1708" i="1"/>
  <c r="C1708" i="1"/>
  <c r="H1707" i="1"/>
  <c r="I1707" i="1" s="1"/>
  <c r="C1707" i="1"/>
  <c r="H1706" i="1"/>
  <c r="I1706" i="1" s="1"/>
  <c r="C1706" i="1"/>
  <c r="H1705" i="1"/>
  <c r="I1705" i="1" s="1"/>
  <c r="C1705" i="1"/>
  <c r="H1704" i="1"/>
  <c r="I1704" i="1" s="1"/>
  <c r="C1704" i="1"/>
  <c r="H1703" i="1"/>
  <c r="I1703" i="1" s="1"/>
  <c r="C1703" i="1"/>
  <c r="I1702" i="1"/>
  <c r="H1702" i="1"/>
  <c r="C1702" i="1"/>
  <c r="H1701" i="1"/>
  <c r="I1701" i="1" s="1"/>
  <c r="C1701" i="1"/>
  <c r="H1700" i="1"/>
  <c r="I1700" i="1" s="1"/>
  <c r="C1700" i="1"/>
  <c r="H1699" i="1"/>
  <c r="I1699" i="1" s="1"/>
  <c r="C1699" i="1"/>
  <c r="H1698" i="1"/>
  <c r="I1698" i="1" s="1"/>
  <c r="C1698" i="1"/>
  <c r="H1697" i="1"/>
  <c r="I1697" i="1" s="1"/>
  <c r="C1697" i="1"/>
  <c r="H1696" i="1"/>
  <c r="I1696" i="1" s="1"/>
  <c r="C1696" i="1"/>
  <c r="H1695" i="1"/>
  <c r="I1695" i="1" s="1"/>
  <c r="C1695" i="1"/>
  <c r="I1694" i="1"/>
  <c r="H1694" i="1"/>
  <c r="C1694" i="1"/>
  <c r="H1693" i="1"/>
  <c r="I1693" i="1" s="1"/>
  <c r="C1693" i="1"/>
  <c r="H1692" i="1"/>
  <c r="I1692" i="1" s="1"/>
  <c r="C1692" i="1"/>
  <c r="H1691" i="1"/>
  <c r="I1691" i="1" s="1"/>
  <c r="C1691" i="1"/>
  <c r="H1690" i="1"/>
  <c r="I1690" i="1" s="1"/>
  <c r="C1690" i="1"/>
  <c r="H1689" i="1"/>
  <c r="I1689" i="1" s="1"/>
  <c r="C1689" i="1"/>
  <c r="H1688" i="1"/>
  <c r="I1688" i="1" s="1"/>
  <c r="C1688" i="1"/>
  <c r="H1687" i="1"/>
  <c r="I1687" i="1" s="1"/>
  <c r="C1687" i="1"/>
  <c r="H1686" i="1"/>
  <c r="I1686" i="1" s="1"/>
  <c r="C1686" i="1"/>
  <c r="H1685" i="1"/>
  <c r="I1685" i="1" s="1"/>
  <c r="C1685" i="1"/>
  <c r="H1684" i="1"/>
  <c r="I1684" i="1" s="1"/>
  <c r="C1684" i="1"/>
  <c r="H1683" i="1"/>
  <c r="I1683" i="1" s="1"/>
  <c r="C1683" i="1"/>
  <c r="I1682" i="1"/>
  <c r="H1682" i="1"/>
  <c r="C1682" i="1"/>
  <c r="I1681" i="1"/>
  <c r="H1681" i="1"/>
  <c r="C1681" i="1"/>
  <c r="H1680" i="1"/>
  <c r="I1680" i="1" s="1"/>
  <c r="C1680" i="1"/>
  <c r="H1679" i="1"/>
  <c r="I1679" i="1" s="1"/>
  <c r="C1679" i="1"/>
  <c r="H1678" i="1"/>
  <c r="I1678" i="1" s="1"/>
  <c r="C1678" i="1"/>
  <c r="H1677" i="1"/>
  <c r="I1677" i="1" s="1"/>
  <c r="C1677" i="1"/>
  <c r="H1676" i="1"/>
  <c r="I1676" i="1" s="1"/>
  <c r="C1676" i="1"/>
  <c r="H1675" i="1"/>
  <c r="I1675" i="1" s="1"/>
  <c r="C1675" i="1"/>
  <c r="H1674" i="1"/>
  <c r="I1674" i="1" s="1"/>
  <c r="C1674" i="1"/>
  <c r="H1673" i="1"/>
  <c r="I1673" i="1" s="1"/>
  <c r="C1673" i="1"/>
  <c r="H1672" i="1"/>
  <c r="I1672" i="1" s="1"/>
  <c r="C1672" i="1"/>
  <c r="H1671" i="1"/>
  <c r="I1671" i="1" s="1"/>
  <c r="C1671" i="1"/>
  <c r="H1670" i="1"/>
  <c r="I1670" i="1" s="1"/>
  <c r="C1670" i="1"/>
  <c r="H1669" i="1"/>
  <c r="I1669" i="1" s="1"/>
  <c r="C1669" i="1"/>
  <c r="H1668" i="1"/>
  <c r="I1668" i="1" s="1"/>
  <c r="C1668" i="1"/>
  <c r="H1667" i="1"/>
  <c r="I1667" i="1" s="1"/>
  <c r="C1667" i="1"/>
  <c r="H1666" i="1"/>
  <c r="I1666" i="1" s="1"/>
  <c r="C1666" i="1"/>
  <c r="H1665" i="1"/>
  <c r="I1665" i="1" s="1"/>
  <c r="C1665" i="1"/>
  <c r="H1664" i="1"/>
  <c r="I1664" i="1" s="1"/>
  <c r="C1664" i="1"/>
  <c r="H1663" i="1"/>
  <c r="I1663" i="1" s="1"/>
  <c r="C1663" i="1"/>
  <c r="H1662" i="1"/>
  <c r="I1662" i="1" s="1"/>
  <c r="C1662" i="1"/>
  <c r="H1661" i="1"/>
  <c r="I1661" i="1" s="1"/>
  <c r="C1661" i="1"/>
  <c r="H1660" i="1"/>
  <c r="I1660" i="1" s="1"/>
  <c r="C1660" i="1"/>
  <c r="I1659" i="1"/>
  <c r="H1659" i="1"/>
  <c r="C1659" i="1"/>
  <c r="H1658" i="1"/>
  <c r="I1658" i="1" s="1"/>
  <c r="C1658" i="1"/>
  <c r="I1657" i="1"/>
  <c r="H1657" i="1"/>
  <c r="C1657" i="1"/>
  <c r="H1656" i="1"/>
  <c r="I1656" i="1" s="1"/>
  <c r="C1656" i="1"/>
  <c r="H1655" i="1"/>
  <c r="I1655" i="1" s="1"/>
  <c r="C1655" i="1"/>
  <c r="H1654" i="1"/>
  <c r="I1654" i="1" s="1"/>
  <c r="C1654" i="1"/>
  <c r="H1653" i="1"/>
  <c r="I1653" i="1" s="1"/>
  <c r="C1653" i="1"/>
  <c r="H1652" i="1"/>
  <c r="I1652" i="1" s="1"/>
  <c r="C1652" i="1"/>
  <c r="H1651" i="1"/>
  <c r="I1651" i="1" s="1"/>
  <c r="C1651" i="1"/>
  <c r="H1650" i="1"/>
  <c r="I1650" i="1" s="1"/>
  <c r="C1650" i="1"/>
  <c r="H1649" i="1"/>
  <c r="I1649" i="1" s="1"/>
  <c r="C1649" i="1"/>
  <c r="H1648" i="1"/>
  <c r="I1648" i="1" s="1"/>
  <c r="C1648" i="1"/>
  <c r="H1647" i="1"/>
  <c r="I1647" i="1" s="1"/>
  <c r="C1647" i="1"/>
  <c r="H1646" i="1"/>
  <c r="I1646" i="1" s="1"/>
  <c r="C1646" i="1"/>
  <c r="H1645" i="1"/>
  <c r="I1645" i="1" s="1"/>
  <c r="C1645" i="1"/>
  <c r="H1644" i="1"/>
  <c r="I1644" i="1" s="1"/>
  <c r="C1644" i="1"/>
  <c r="H1643" i="1"/>
  <c r="I1643" i="1" s="1"/>
  <c r="C1643" i="1"/>
  <c r="H1642" i="1"/>
  <c r="I1642" i="1" s="1"/>
  <c r="C1642" i="1"/>
  <c r="H1641" i="1"/>
  <c r="I1641" i="1" s="1"/>
  <c r="C1641" i="1"/>
  <c r="H1640" i="1"/>
  <c r="I1640" i="1" s="1"/>
  <c r="C1640" i="1"/>
  <c r="H1639" i="1"/>
  <c r="I1639" i="1" s="1"/>
  <c r="C1639" i="1"/>
  <c r="H1638" i="1"/>
  <c r="I1638" i="1" s="1"/>
  <c r="C1638" i="1"/>
  <c r="H1637" i="1"/>
  <c r="I1637" i="1" s="1"/>
  <c r="C1637" i="1"/>
  <c r="H1636" i="1"/>
  <c r="I1636" i="1" s="1"/>
  <c r="C1636" i="1"/>
  <c r="H1635" i="1"/>
  <c r="I1635" i="1" s="1"/>
  <c r="C1635" i="1"/>
  <c r="H1634" i="1"/>
  <c r="I1634" i="1" s="1"/>
  <c r="C1634" i="1"/>
  <c r="H1633" i="1"/>
  <c r="I1633" i="1" s="1"/>
  <c r="C1633" i="1"/>
  <c r="H1632" i="1"/>
  <c r="I1632" i="1" s="1"/>
  <c r="C1632" i="1"/>
  <c r="H1631" i="1"/>
  <c r="I1631" i="1" s="1"/>
  <c r="C1631" i="1"/>
  <c r="H1630" i="1"/>
  <c r="I1630" i="1" s="1"/>
  <c r="C1630" i="1"/>
  <c r="H1629" i="1"/>
  <c r="I1629" i="1" s="1"/>
  <c r="C1629" i="1"/>
  <c r="H1628" i="1"/>
  <c r="I1628" i="1" s="1"/>
  <c r="C1628" i="1"/>
  <c r="I1627" i="1"/>
  <c r="H1627" i="1"/>
  <c r="C1627" i="1"/>
  <c r="I1626" i="1"/>
  <c r="H1626" i="1"/>
  <c r="C1626" i="1"/>
  <c r="H1625" i="1"/>
  <c r="I1625" i="1" s="1"/>
  <c r="C1625" i="1"/>
  <c r="H1624" i="1"/>
  <c r="I1624" i="1" s="1"/>
  <c r="C1624" i="1"/>
  <c r="H1623" i="1"/>
  <c r="I1623" i="1" s="1"/>
  <c r="C1623" i="1"/>
  <c r="H1622" i="1"/>
  <c r="I1622" i="1" s="1"/>
  <c r="C1622" i="1"/>
  <c r="H1621" i="1"/>
  <c r="I1621" i="1" s="1"/>
  <c r="C1621" i="1"/>
  <c r="H1620" i="1"/>
  <c r="I1620" i="1" s="1"/>
  <c r="C1620" i="1"/>
  <c r="H1619" i="1"/>
  <c r="I1619" i="1" s="1"/>
  <c r="C1619" i="1"/>
  <c r="I1618" i="1"/>
  <c r="H1618" i="1"/>
  <c r="C1618" i="1"/>
  <c r="H1617" i="1"/>
  <c r="I1617" i="1" s="1"/>
  <c r="C1617" i="1"/>
  <c r="H1616" i="1"/>
  <c r="I1616" i="1" s="1"/>
  <c r="C1616" i="1"/>
  <c r="H1615" i="1"/>
  <c r="I1615" i="1" s="1"/>
  <c r="C1615" i="1"/>
  <c r="I1614" i="1"/>
  <c r="H1614" i="1"/>
  <c r="C1614" i="1"/>
  <c r="I1613" i="1"/>
  <c r="H1613" i="1"/>
  <c r="C1613" i="1"/>
  <c r="H1612" i="1"/>
  <c r="I1612" i="1" s="1"/>
  <c r="C1612" i="1"/>
  <c r="H1611" i="1"/>
  <c r="I1611" i="1" s="1"/>
  <c r="C1611" i="1"/>
  <c r="H1610" i="1"/>
  <c r="I1610" i="1" s="1"/>
  <c r="C1610" i="1"/>
  <c r="H1609" i="1"/>
  <c r="I1609" i="1" s="1"/>
  <c r="C1609" i="1"/>
  <c r="H1608" i="1"/>
  <c r="I1608" i="1" s="1"/>
  <c r="C1608" i="1"/>
  <c r="H1607" i="1"/>
  <c r="I1607" i="1" s="1"/>
  <c r="C1607" i="1"/>
  <c r="H1606" i="1"/>
  <c r="I1606" i="1" s="1"/>
  <c r="C1606" i="1"/>
  <c r="I1605" i="1"/>
  <c r="H1605" i="1"/>
  <c r="C1605" i="1"/>
  <c r="H1604" i="1"/>
  <c r="I1604" i="1" s="1"/>
  <c r="C1604" i="1"/>
  <c r="H1603" i="1"/>
  <c r="I1603" i="1" s="1"/>
  <c r="C1603" i="1"/>
  <c r="H1602" i="1"/>
  <c r="I1602" i="1" s="1"/>
  <c r="C1602" i="1"/>
  <c r="H1601" i="1"/>
  <c r="I1601" i="1" s="1"/>
  <c r="C1601" i="1"/>
  <c r="H1600" i="1"/>
  <c r="I1600" i="1" s="1"/>
  <c r="C1600" i="1"/>
  <c r="H1599" i="1"/>
  <c r="I1599" i="1" s="1"/>
  <c r="C1599" i="1"/>
  <c r="H1598" i="1"/>
  <c r="I1598" i="1" s="1"/>
  <c r="C1598" i="1"/>
  <c r="H1597" i="1"/>
  <c r="I1597" i="1" s="1"/>
  <c r="C1597" i="1"/>
  <c r="H1596" i="1"/>
  <c r="I1596" i="1" s="1"/>
  <c r="C1596" i="1"/>
  <c r="H1595" i="1"/>
  <c r="I1595" i="1" s="1"/>
  <c r="C1595" i="1"/>
  <c r="H1594" i="1"/>
  <c r="I1594" i="1" s="1"/>
  <c r="C1594" i="1"/>
  <c r="H1593" i="1"/>
  <c r="I1593" i="1" s="1"/>
  <c r="C1593" i="1"/>
  <c r="H1592" i="1"/>
  <c r="I1592" i="1" s="1"/>
  <c r="C1592" i="1"/>
  <c r="H1591" i="1"/>
  <c r="I1591" i="1" s="1"/>
  <c r="C1591" i="1"/>
  <c r="H1590" i="1"/>
  <c r="I1590" i="1" s="1"/>
  <c r="C1590" i="1"/>
  <c r="H1589" i="1"/>
  <c r="I1589" i="1" s="1"/>
  <c r="C1589" i="1"/>
  <c r="H1588" i="1"/>
  <c r="I1588" i="1" s="1"/>
  <c r="C1588" i="1"/>
  <c r="H1587" i="1"/>
  <c r="I1587" i="1" s="1"/>
  <c r="C1587" i="1"/>
  <c r="H1586" i="1"/>
  <c r="I1586" i="1" s="1"/>
  <c r="C1586" i="1"/>
  <c r="H1585" i="1"/>
  <c r="I1585" i="1" s="1"/>
  <c r="C1585" i="1"/>
  <c r="I1584" i="1"/>
  <c r="H1584" i="1"/>
  <c r="C1584" i="1"/>
  <c r="H1583" i="1"/>
  <c r="I1583" i="1" s="1"/>
  <c r="C1583" i="1"/>
  <c r="H1582" i="1"/>
  <c r="I1582" i="1" s="1"/>
  <c r="C1582" i="1"/>
  <c r="H1581" i="1"/>
  <c r="I1581" i="1" s="1"/>
  <c r="C1581" i="1"/>
  <c r="H1580" i="1"/>
  <c r="I1580" i="1" s="1"/>
  <c r="C1580" i="1"/>
  <c r="H1579" i="1"/>
  <c r="I1579" i="1" s="1"/>
  <c r="C1579" i="1"/>
  <c r="H1578" i="1"/>
  <c r="I1578" i="1" s="1"/>
  <c r="C1578" i="1"/>
  <c r="H1577" i="1"/>
  <c r="I1577" i="1" s="1"/>
  <c r="C1577" i="1"/>
  <c r="I1576" i="1"/>
  <c r="H1576" i="1"/>
  <c r="C1576" i="1"/>
  <c r="H1575" i="1"/>
  <c r="I1575" i="1" s="1"/>
  <c r="C1575" i="1"/>
  <c r="H1574" i="1"/>
  <c r="I1574" i="1" s="1"/>
  <c r="C1574" i="1"/>
  <c r="H1573" i="1"/>
  <c r="I1573" i="1" s="1"/>
  <c r="C1573" i="1"/>
  <c r="H1572" i="1"/>
  <c r="I1572" i="1" s="1"/>
  <c r="C1572" i="1"/>
  <c r="H1571" i="1"/>
  <c r="I1571" i="1" s="1"/>
  <c r="C1571" i="1"/>
  <c r="I1570" i="1"/>
  <c r="H1570" i="1"/>
  <c r="C1570" i="1"/>
  <c r="H1569" i="1"/>
  <c r="I1569" i="1" s="1"/>
  <c r="C1569" i="1"/>
  <c r="H1568" i="1"/>
  <c r="I1568" i="1" s="1"/>
  <c r="C1568" i="1"/>
  <c r="H1567" i="1"/>
  <c r="I1567" i="1" s="1"/>
  <c r="C1567" i="1"/>
  <c r="H1566" i="1"/>
  <c r="I1566" i="1" s="1"/>
  <c r="C1566" i="1"/>
  <c r="H1565" i="1"/>
  <c r="I1565" i="1" s="1"/>
  <c r="C1565" i="1"/>
  <c r="H1564" i="1"/>
  <c r="I1564" i="1" s="1"/>
  <c r="C1564" i="1"/>
  <c r="H1563" i="1"/>
  <c r="I1563" i="1" s="1"/>
  <c r="C1563" i="1"/>
  <c r="H1562" i="1"/>
  <c r="I1562" i="1" s="1"/>
  <c r="C1562" i="1"/>
  <c r="H1561" i="1"/>
  <c r="I1561" i="1" s="1"/>
  <c r="C1561" i="1"/>
  <c r="H1560" i="1"/>
  <c r="I1560" i="1" s="1"/>
  <c r="C1560" i="1"/>
  <c r="H1559" i="1"/>
  <c r="I1559" i="1" s="1"/>
  <c r="C1559" i="1"/>
  <c r="H1558" i="1"/>
  <c r="I1558" i="1" s="1"/>
  <c r="C1558" i="1"/>
  <c r="H1557" i="1"/>
  <c r="I1557" i="1" s="1"/>
  <c r="C1557" i="1"/>
  <c r="I1556" i="1"/>
  <c r="H1556" i="1"/>
  <c r="C1556" i="1"/>
  <c r="H1555" i="1"/>
  <c r="I1555" i="1" s="1"/>
  <c r="C1555" i="1"/>
  <c r="H1554" i="1"/>
  <c r="I1554" i="1" s="1"/>
  <c r="C1554" i="1"/>
  <c r="H1553" i="1"/>
  <c r="I1553" i="1" s="1"/>
  <c r="C1553" i="1"/>
  <c r="H1552" i="1"/>
  <c r="I1552" i="1" s="1"/>
  <c r="C1552" i="1"/>
  <c r="H1551" i="1"/>
  <c r="I1551" i="1" s="1"/>
  <c r="C1551" i="1"/>
  <c r="H1550" i="1"/>
  <c r="I1550" i="1" s="1"/>
  <c r="C1550" i="1"/>
  <c r="H1549" i="1"/>
  <c r="I1549" i="1" s="1"/>
  <c r="C1549" i="1"/>
  <c r="H1548" i="1"/>
  <c r="I1548" i="1" s="1"/>
  <c r="C1548" i="1"/>
  <c r="H1547" i="1"/>
  <c r="I1547" i="1" s="1"/>
  <c r="C1547" i="1"/>
  <c r="H1546" i="1"/>
  <c r="I1546" i="1" s="1"/>
  <c r="C1546" i="1"/>
  <c r="H1545" i="1"/>
  <c r="I1545" i="1" s="1"/>
  <c r="C1545" i="1"/>
  <c r="H1544" i="1"/>
  <c r="I1544" i="1" s="1"/>
  <c r="C1544" i="1"/>
  <c r="H1543" i="1"/>
  <c r="I1543" i="1" s="1"/>
  <c r="C1543" i="1"/>
  <c r="H1542" i="1"/>
  <c r="I1542" i="1" s="1"/>
  <c r="C1542" i="1"/>
  <c r="H1541" i="1"/>
  <c r="I1541" i="1" s="1"/>
  <c r="C1541" i="1"/>
  <c r="H1540" i="1"/>
  <c r="I1540" i="1" s="1"/>
  <c r="C1540" i="1"/>
  <c r="H1539" i="1"/>
  <c r="I1539" i="1" s="1"/>
  <c r="C1539" i="1"/>
  <c r="H1538" i="1"/>
  <c r="I1538" i="1" s="1"/>
  <c r="C1538" i="1"/>
  <c r="H1537" i="1"/>
  <c r="I1537" i="1" s="1"/>
  <c r="C1537" i="1"/>
  <c r="H1536" i="1"/>
  <c r="I1536" i="1" s="1"/>
  <c r="C1536" i="1"/>
  <c r="I1535" i="1"/>
  <c r="H1535" i="1"/>
  <c r="C1535" i="1"/>
  <c r="H1534" i="1"/>
  <c r="I1534" i="1" s="1"/>
  <c r="C1534" i="1"/>
  <c r="H1533" i="1"/>
  <c r="I1533" i="1" s="1"/>
  <c r="C1533" i="1"/>
  <c r="I1532" i="1"/>
  <c r="H1532" i="1"/>
  <c r="C1532" i="1"/>
  <c r="H1531" i="1"/>
  <c r="I1531" i="1" s="1"/>
  <c r="C1531" i="1"/>
  <c r="H1530" i="1"/>
  <c r="I1530" i="1" s="1"/>
  <c r="C1530" i="1"/>
  <c r="H1529" i="1"/>
  <c r="I1529" i="1" s="1"/>
  <c r="C1529" i="1"/>
  <c r="H1528" i="1"/>
  <c r="I1528" i="1" s="1"/>
  <c r="C1528" i="1"/>
  <c r="H1527" i="1"/>
  <c r="I1527" i="1" s="1"/>
  <c r="C1527" i="1"/>
  <c r="H1526" i="1"/>
  <c r="I1526" i="1" s="1"/>
  <c r="C1526" i="1"/>
  <c r="H1525" i="1"/>
  <c r="I1525" i="1" s="1"/>
  <c r="C1525" i="1"/>
  <c r="H1524" i="1"/>
  <c r="I1524" i="1" s="1"/>
  <c r="C1524" i="1"/>
  <c r="H1523" i="1"/>
  <c r="I1523" i="1" s="1"/>
  <c r="C1523" i="1"/>
  <c r="H1522" i="1"/>
  <c r="I1522" i="1" s="1"/>
  <c r="C1522" i="1"/>
  <c r="I1521" i="1"/>
  <c r="H1521" i="1"/>
  <c r="C1521" i="1"/>
  <c r="H1520" i="1"/>
  <c r="I1520" i="1" s="1"/>
  <c r="C1520" i="1"/>
  <c r="I1519" i="1"/>
  <c r="H1519" i="1"/>
  <c r="C1519" i="1"/>
  <c r="H1518" i="1"/>
  <c r="I1518" i="1" s="1"/>
  <c r="C1518" i="1"/>
  <c r="H1517" i="1"/>
  <c r="I1517" i="1" s="1"/>
  <c r="C1517" i="1"/>
  <c r="H1516" i="1"/>
  <c r="I1516" i="1" s="1"/>
  <c r="C1516" i="1"/>
  <c r="H1515" i="1"/>
  <c r="I1515" i="1" s="1"/>
  <c r="C1515" i="1"/>
  <c r="H1514" i="1"/>
  <c r="I1514" i="1" s="1"/>
  <c r="C1514" i="1"/>
  <c r="H1513" i="1"/>
  <c r="I1513" i="1" s="1"/>
  <c r="C1513" i="1"/>
  <c r="H1512" i="1"/>
  <c r="I1512" i="1" s="1"/>
  <c r="C1512" i="1"/>
  <c r="I1511" i="1"/>
  <c r="H1511" i="1"/>
  <c r="C1511" i="1"/>
  <c r="H1510" i="1"/>
  <c r="I1510" i="1" s="1"/>
  <c r="C1510" i="1"/>
  <c r="H1509" i="1"/>
  <c r="I1509" i="1" s="1"/>
  <c r="C1509" i="1"/>
  <c r="H1508" i="1"/>
  <c r="I1508" i="1" s="1"/>
  <c r="C1508" i="1"/>
  <c r="H1507" i="1"/>
  <c r="I1507" i="1" s="1"/>
  <c r="C1507" i="1"/>
  <c r="H1506" i="1"/>
  <c r="I1506" i="1" s="1"/>
  <c r="C1506" i="1"/>
  <c r="H1505" i="1"/>
  <c r="I1505" i="1" s="1"/>
  <c r="C1505" i="1"/>
  <c r="H1504" i="1"/>
  <c r="I1504" i="1" s="1"/>
  <c r="C1504" i="1"/>
  <c r="H1503" i="1"/>
  <c r="I1503" i="1" s="1"/>
  <c r="C1503" i="1"/>
  <c r="H1502" i="1"/>
  <c r="I1502" i="1" s="1"/>
  <c r="C1502" i="1"/>
  <c r="H1501" i="1"/>
  <c r="I1501" i="1" s="1"/>
  <c r="C1501" i="1"/>
  <c r="H1500" i="1"/>
  <c r="I1500" i="1" s="1"/>
  <c r="C1500" i="1"/>
  <c r="I1499" i="1"/>
  <c r="H1499" i="1"/>
  <c r="C1499" i="1"/>
  <c r="I1498" i="1"/>
  <c r="H1498" i="1"/>
  <c r="C1498" i="1"/>
  <c r="H1497" i="1"/>
  <c r="I1497" i="1" s="1"/>
  <c r="C1497" i="1"/>
  <c r="H1496" i="1"/>
  <c r="I1496" i="1" s="1"/>
  <c r="C1496" i="1"/>
  <c r="H1495" i="1"/>
  <c r="I1495" i="1" s="1"/>
  <c r="C1495" i="1"/>
  <c r="H1494" i="1"/>
  <c r="I1494" i="1" s="1"/>
  <c r="C1494" i="1"/>
  <c r="I1493" i="1"/>
  <c r="H1493" i="1"/>
  <c r="C1493" i="1"/>
  <c r="H1492" i="1"/>
  <c r="I1492" i="1" s="1"/>
  <c r="C1492" i="1"/>
  <c r="H1491" i="1"/>
  <c r="I1491" i="1" s="1"/>
  <c r="C1491" i="1"/>
  <c r="I1490" i="1"/>
  <c r="H1490" i="1"/>
  <c r="C1490" i="1"/>
  <c r="H1489" i="1"/>
  <c r="I1489" i="1" s="1"/>
  <c r="C1489" i="1"/>
  <c r="I1488" i="1"/>
  <c r="H1488" i="1"/>
  <c r="C1488" i="1"/>
  <c r="H1487" i="1"/>
  <c r="I1487" i="1" s="1"/>
  <c r="C1487" i="1"/>
  <c r="I1486" i="1"/>
  <c r="H1486" i="1"/>
  <c r="C1486" i="1"/>
  <c r="I1485" i="1"/>
  <c r="H1485" i="1"/>
  <c r="C1485" i="1"/>
  <c r="I1484" i="1"/>
  <c r="H1484" i="1"/>
  <c r="C1484" i="1"/>
  <c r="H1483" i="1"/>
  <c r="I1483" i="1" s="1"/>
  <c r="C1483" i="1"/>
  <c r="H1482" i="1"/>
  <c r="I1482" i="1" s="1"/>
  <c r="C1482" i="1"/>
  <c r="H1481" i="1"/>
  <c r="I1481" i="1" s="1"/>
  <c r="C1481" i="1"/>
  <c r="I1480" i="1"/>
  <c r="H1480" i="1"/>
  <c r="C1480" i="1"/>
  <c r="H1479" i="1"/>
  <c r="I1479" i="1" s="1"/>
  <c r="C1479" i="1"/>
  <c r="I1478" i="1"/>
  <c r="H1478" i="1"/>
  <c r="C1478" i="1"/>
  <c r="H1477" i="1"/>
  <c r="I1477" i="1" s="1"/>
  <c r="C1477" i="1"/>
  <c r="I1476" i="1"/>
  <c r="H1476" i="1"/>
  <c r="C1476" i="1"/>
  <c r="H1475" i="1"/>
  <c r="I1475" i="1" s="1"/>
  <c r="C1475" i="1"/>
  <c r="H1474" i="1"/>
  <c r="I1474" i="1" s="1"/>
  <c r="C1474" i="1"/>
  <c r="H1473" i="1"/>
  <c r="I1473" i="1" s="1"/>
  <c r="C1473" i="1"/>
  <c r="H1472" i="1"/>
  <c r="I1472" i="1" s="1"/>
  <c r="C1472" i="1"/>
  <c r="I1471" i="1"/>
  <c r="H1471" i="1"/>
  <c r="C1471" i="1"/>
  <c r="H1470" i="1"/>
  <c r="I1470" i="1" s="1"/>
  <c r="C1470" i="1"/>
  <c r="H1469" i="1"/>
  <c r="I1469" i="1" s="1"/>
  <c r="C1469" i="1"/>
  <c r="I1468" i="1"/>
  <c r="H1468" i="1"/>
  <c r="C1468" i="1"/>
  <c r="H1467" i="1"/>
  <c r="I1467" i="1" s="1"/>
  <c r="C1467" i="1"/>
  <c r="I1466" i="1"/>
  <c r="H1466" i="1"/>
  <c r="C1466" i="1"/>
  <c r="H1465" i="1"/>
  <c r="I1465" i="1" s="1"/>
  <c r="C1465" i="1"/>
  <c r="H1464" i="1"/>
  <c r="I1464" i="1" s="1"/>
  <c r="C1464" i="1"/>
  <c r="H1463" i="1"/>
  <c r="I1463" i="1" s="1"/>
  <c r="C1463" i="1"/>
  <c r="H1462" i="1"/>
  <c r="I1462" i="1" s="1"/>
  <c r="C1462" i="1"/>
  <c r="I1461" i="1"/>
  <c r="H1461" i="1"/>
  <c r="C1461" i="1"/>
  <c r="I1460" i="1"/>
  <c r="H1460" i="1"/>
  <c r="C1460" i="1"/>
  <c r="H1459" i="1"/>
  <c r="I1459" i="1" s="1"/>
  <c r="C1459" i="1"/>
  <c r="H1458" i="1"/>
  <c r="I1458" i="1" s="1"/>
  <c r="C1458" i="1"/>
  <c r="H1457" i="1"/>
  <c r="I1457" i="1" s="1"/>
  <c r="C1457" i="1"/>
  <c r="H1456" i="1"/>
  <c r="I1456" i="1" s="1"/>
  <c r="C1456" i="1"/>
  <c r="H1455" i="1"/>
  <c r="I1455" i="1" s="1"/>
  <c r="C1455" i="1"/>
  <c r="H1454" i="1"/>
  <c r="I1454" i="1" s="1"/>
  <c r="C1454" i="1"/>
  <c r="H1453" i="1"/>
  <c r="I1453" i="1" s="1"/>
  <c r="C1453" i="1"/>
  <c r="H1452" i="1"/>
  <c r="I1452" i="1" s="1"/>
  <c r="C1452" i="1"/>
  <c r="H1451" i="1"/>
  <c r="I1451" i="1" s="1"/>
  <c r="C1451" i="1"/>
  <c r="H1450" i="1"/>
  <c r="I1450" i="1" s="1"/>
  <c r="C1450" i="1"/>
  <c r="H1449" i="1"/>
  <c r="I1449" i="1" s="1"/>
  <c r="C1449" i="1"/>
  <c r="H1448" i="1"/>
  <c r="I1448" i="1" s="1"/>
  <c r="C1448" i="1"/>
  <c r="H1447" i="1"/>
  <c r="I1447" i="1" s="1"/>
  <c r="C1447" i="1"/>
  <c r="H1446" i="1"/>
  <c r="I1446" i="1" s="1"/>
  <c r="C1446" i="1"/>
  <c r="H1445" i="1"/>
  <c r="I1445" i="1" s="1"/>
  <c r="C1445" i="1"/>
  <c r="H1444" i="1"/>
  <c r="I1444" i="1" s="1"/>
  <c r="C1444" i="1"/>
  <c r="H1443" i="1"/>
  <c r="I1443" i="1" s="1"/>
  <c r="C1443" i="1"/>
  <c r="H1442" i="1"/>
  <c r="I1442" i="1" s="1"/>
  <c r="C1442" i="1"/>
  <c r="H1441" i="1"/>
  <c r="I1441" i="1" s="1"/>
  <c r="C1441" i="1"/>
  <c r="H1440" i="1"/>
  <c r="I1440" i="1" s="1"/>
  <c r="C1440" i="1"/>
  <c r="H1439" i="1"/>
  <c r="I1439" i="1" s="1"/>
  <c r="C1439" i="1"/>
  <c r="H1438" i="1"/>
  <c r="I1438" i="1" s="1"/>
  <c r="C1438" i="1"/>
  <c r="H1437" i="1"/>
  <c r="I1437" i="1" s="1"/>
  <c r="C1437" i="1"/>
  <c r="H1436" i="1"/>
  <c r="I1436" i="1" s="1"/>
  <c r="C1436" i="1"/>
  <c r="H1435" i="1"/>
  <c r="I1435" i="1" s="1"/>
  <c r="C1435" i="1"/>
  <c r="H1434" i="1"/>
  <c r="I1434" i="1" s="1"/>
  <c r="C1434" i="1"/>
  <c r="H1433" i="1"/>
  <c r="I1433" i="1" s="1"/>
  <c r="C1433" i="1"/>
  <c r="I1432" i="1"/>
  <c r="H1432" i="1"/>
  <c r="C1432" i="1"/>
  <c r="I1431" i="1"/>
  <c r="H1431" i="1"/>
  <c r="C1431" i="1"/>
  <c r="H1430" i="1"/>
  <c r="I1430" i="1" s="1"/>
  <c r="C1430" i="1"/>
  <c r="H1429" i="1"/>
  <c r="I1429" i="1" s="1"/>
  <c r="C1429" i="1"/>
  <c r="H1428" i="1"/>
  <c r="I1428" i="1" s="1"/>
  <c r="C1428" i="1"/>
  <c r="H1427" i="1"/>
  <c r="I1427" i="1" s="1"/>
  <c r="C1427" i="1"/>
  <c r="H1426" i="1"/>
  <c r="I1426" i="1" s="1"/>
  <c r="C1426" i="1"/>
  <c r="H1425" i="1"/>
  <c r="I1425" i="1" s="1"/>
  <c r="C1425" i="1"/>
  <c r="H1424" i="1"/>
  <c r="I1424" i="1" s="1"/>
  <c r="C1424" i="1"/>
  <c r="H1423" i="1"/>
  <c r="I1423" i="1" s="1"/>
  <c r="C1423" i="1"/>
  <c r="H1422" i="1"/>
  <c r="I1422" i="1" s="1"/>
  <c r="C1422" i="1"/>
  <c r="I1421" i="1"/>
  <c r="H1421" i="1"/>
  <c r="C1421" i="1"/>
  <c r="H1420" i="1"/>
  <c r="I1420" i="1" s="1"/>
  <c r="C1420" i="1"/>
  <c r="H1419" i="1"/>
  <c r="I1419" i="1" s="1"/>
  <c r="C1419" i="1"/>
  <c r="H1418" i="1"/>
  <c r="I1418" i="1" s="1"/>
  <c r="C1418" i="1"/>
  <c r="I1417" i="1"/>
  <c r="H1417" i="1"/>
  <c r="C1417" i="1"/>
  <c r="H1416" i="1"/>
  <c r="I1416" i="1" s="1"/>
  <c r="C1416" i="1"/>
  <c r="H1415" i="1"/>
  <c r="I1415" i="1" s="1"/>
  <c r="C1415" i="1"/>
  <c r="I1414" i="1"/>
  <c r="H1414" i="1"/>
  <c r="C1414" i="1"/>
  <c r="H1413" i="1"/>
  <c r="I1413" i="1" s="1"/>
  <c r="C1413" i="1"/>
  <c r="H1412" i="1"/>
  <c r="I1412" i="1" s="1"/>
  <c r="C1412" i="1"/>
  <c r="H1411" i="1"/>
  <c r="I1411" i="1" s="1"/>
  <c r="C1411" i="1"/>
  <c r="H1410" i="1"/>
  <c r="I1410" i="1" s="1"/>
  <c r="C1410" i="1"/>
  <c r="H1409" i="1"/>
  <c r="I1409" i="1" s="1"/>
  <c r="C1409" i="1"/>
  <c r="H1408" i="1"/>
  <c r="I1408" i="1" s="1"/>
  <c r="C1408" i="1"/>
  <c r="H1407" i="1"/>
  <c r="I1407" i="1" s="1"/>
  <c r="C1407" i="1"/>
  <c r="H1406" i="1"/>
  <c r="I1406" i="1" s="1"/>
  <c r="C1406" i="1"/>
  <c r="H1405" i="1"/>
  <c r="I1405" i="1" s="1"/>
  <c r="C1405" i="1"/>
  <c r="H1404" i="1"/>
  <c r="I1404" i="1" s="1"/>
  <c r="C1404" i="1"/>
  <c r="H1403" i="1"/>
  <c r="I1403" i="1" s="1"/>
  <c r="C1403" i="1"/>
  <c r="H1402" i="1"/>
  <c r="I1402" i="1" s="1"/>
  <c r="C1402" i="1"/>
  <c r="H1401" i="1"/>
  <c r="I1401" i="1" s="1"/>
  <c r="C1401" i="1"/>
  <c r="I1400" i="1"/>
  <c r="H1400" i="1"/>
  <c r="C1400" i="1"/>
  <c r="H1399" i="1"/>
  <c r="I1399" i="1" s="1"/>
  <c r="C1399" i="1"/>
  <c r="H1398" i="1"/>
  <c r="I1398" i="1" s="1"/>
  <c r="C1398" i="1"/>
  <c r="I1397" i="1"/>
  <c r="H1397" i="1"/>
  <c r="C1397" i="1"/>
  <c r="H1396" i="1"/>
  <c r="I1396" i="1" s="1"/>
  <c r="C1396" i="1"/>
  <c r="H1395" i="1"/>
  <c r="I1395" i="1" s="1"/>
  <c r="C1395" i="1"/>
  <c r="H1394" i="1"/>
  <c r="I1394" i="1" s="1"/>
  <c r="C1394" i="1"/>
  <c r="H1393" i="1"/>
  <c r="I1393" i="1" s="1"/>
  <c r="C1393" i="1"/>
  <c r="H1392" i="1"/>
  <c r="I1392" i="1" s="1"/>
  <c r="C1392" i="1"/>
  <c r="H1391" i="1"/>
  <c r="I1391" i="1" s="1"/>
  <c r="C1391" i="1"/>
  <c r="H1390" i="1"/>
  <c r="I1390" i="1" s="1"/>
  <c r="C1390" i="1"/>
  <c r="H1389" i="1"/>
  <c r="I1389" i="1" s="1"/>
  <c r="C1389" i="1"/>
  <c r="H1388" i="1"/>
  <c r="I1388" i="1" s="1"/>
  <c r="C1388" i="1"/>
  <c r="H1387" i="1"/>
  <c r="I1387" i="1" s="1"/>
  <c r="C1387" i="1"/>
  <c r="H1386" i="1"/>
  <c r="I1386" i="1" s="1"/>
  <c r="C1386" i="1"/>
  <c r="H1385" i="1"/>
  <c r="I1385" i="1" s="1"/>
  <c r="C1385" i="1"/>
  <c r="H1384" i="1"/>
  <c r="I1384" i="1" s="1"/>
  <c r="C1384" i="1"/>
  <c r="H1383" i="1"/>
  <c r="I1383" i="1" s="1"/>
  <c r="C1383" i="1"/>
  <c r="H1382" i="1"/>
  <c r="I1382" i="1" s="1"/>
  <c r="C1382" i="1"/>
  <c r="H1381" i="1"/>
  <c r="I1381" i="1" s="1"/>
  <c r="C1381" i="1"/>
  <c r="H1380" i="1"/>
  <c r="I1380" i="1" s="1"/>
  <c r="C1380" i="1"/>
  <c r="I1379" i="1"/>
  <c r="H1379" i="1"/>
  <c r="C1379" i="1"/>
  <c r="H1378" i="1"/>
  <c r="I1378" i="1" s="1"/>
  <c r="C1378" i="1"/>
  <c r="H1377" i="1"/>
  <c r="I1377" i="1" s="1"/>
  <c r="C1377" i="1"/>
  <c r="H1376" i="1"/>
  <c r="I1376" i="1" s="1"/>
  <c r="C1376" i="1"/>
  <c r="H1375" i="1"/>
  <c r="I1375" i="1" s="1"/>
  <c r="C1375" i="1"/>
  <c r="H1374" i="1"/>
  <c r="I1374" i="1" s="1"/>
  <c r="C1374" i="1"/>
  <c r="H1373" i="1"/>
  <c r="I1373" i="1" s="1"/>
  <c r="C1373" i="1"/>
  <c r="I1372" i="1"/>
  <c r="H1372" i="1"/>
  <c r="C1372" i="1"/>
  <c r="H1371" i="1"/>
  <c r="I1371" i="1" s="1"/>
  <c r="C1371" i="1"/>
  <c r="I1370" i="1"/>
  <c r="H1370" i="1"/>
  <c r="C1370" i="1"/>
  <c r="H1369" i="1"/>
  <c r="I1369" i="1" s="1"/>
  <c r="C1369" i="1"/>
  <c r="H1368" i="1"/>
  <c r="I1368" i="1" s="1"/>
  <c r="C1368" i="1"/>
  <c r="I1367" i="1"/>
  <c r="H1367" i="1"/>
  <c r="C1367" i="1"/>
  <c r="H1366" i="1"/>
  <c r="I1366" i="1" s="1"/>
  <c r="C1366" i="1"/>
  <c r="H1365" i="1"/>
  <c r="I1365" i="1" s="1"/>
  <c r="C1365" i="1"/>
  <c r="H1364" i="1"/>
  <c r="I1364" i="1" s="1"/>
  <c r="C1364" i="1"/>
  <c r="H1363" i="1"/>
  <c r="I1363" i="1" s="1"/>
  <c r="C1363" i="1"/>
  <c r="H1362" i="1"/>
  <c r="I1362" i="1" s="1"/>
  <c r="C1362" i="1"/>
  <c r="H1361" i="1"/>
  <c r="I1361" i="1" s="1"/>
  <c r="C1361" i="1"/>
  <c r="H1360" i="1"/>
  <c r="I1360" i="1" s="1"/>
  <c r="C1360" i="1"/>
  <c r="H1359" i="1"/>
  <c r="I1359" i="1" s="1"/>
  <c r="C1359" i="1"/>
  <c r="H1358" i="1"/>
  <c r="I1358" i="1" s="1"/>
  <c r="C1358" i="1"/>
  <c r="H1357" i="1"/>
  <c r="I1357" i="1" s="1"/>
  <c r="C1357" i="1"/>
  <c r="H1356" i="1"/>
  <c r="I1356" i="1" s="1"/>
  <c r="C1356" i="1"/>
  <c r="H1355" i="1"/>
  <c r="I1355" i="1" s="1"/>
  <c r="C1355" i="1"/>
  <c r="H1354" i="1"/>
  <c r="I1354" i="1" s="1"/>
  <c r="C1354" i="1"/>
  <c r="H1353" i="1"/>
  <c r="I1353" i="1" s="1"/>
  <c r="C1353" i="1"/>
  <c r="H1352" i="1"/>
  <c r="I1352" i="1" s="1"/>
  <c r="C1352" i="1"/>
  <c r="H1351" i="1"/>
  <c r="I1351" i="1" s="1"/>
  <c r="C1351" i="1"/>
  <c r="H1350" i="1"/>
  <c r="I1350" i="1" s="1"/>
  <c r="C1350" i="1"/>
  <c r="H1349" i="1"/>
  <c r="I1349" i="1" s="1"/>
  <c r="C1349" i="1"/>
  <c r="H1348" i="1"/>
  <c r="I1348" i="1" s="1"/>
  <c r="C1348" i="1"/>
  <c r="H1347" i="1"/>
  <c r="I1347" i="1" s="1"/>
  <c r="C1347" i="1"/>
  <c r="H1346" i="1"/>
  <c r="I1346" i="1" s="1"/>
  <c r="C1346" i="1"/>
  <c r="H1345" i="1"/>
  <c r="I1345" i="1" s="1"/>
  <c r="C1345" i="1"/>
  <c r="H1344" i="1"/>
  <c r="I1344" i="1" s="1"/>
  <c r="C1344" i="1"/>
  <c r="H1343" i="1"/>
  <c r="I1343" i="1" s="1"/>
  <c r="C1343" i="1"/>
  <c r="H1342" i="1"/>
  <c r="I1342" i="1" s="1"/>
  <c r="C1342" i="1"/>
  <c r="H1341" i="1"/>
  <c r="I1341" i="1" s="1"/>
  <c r="C1341" i="1"/>
  <c r="H1340" i="1"/>
  <c r="I1340" i="1" s="1"/>
  <c r="C1340" i="1"/>
  <c r="H1339" i="1"/>
  <c r="I1339" i="1" s="1"/>
  <c r="C1339" i="1"/>
  <c r="H1338" i="1"/>
  <c r="I1338" i="1" s="1"/>
  <c r="C1338" i="1"/>
  <c r="H1337" i="1"/>
  <c r="I1337" i="1" s="1"/>
  <c r="C1337" i="1"/>
  <c r="H1336" i="1"/>
  <c r="I1336" i="1" s="1"/>
  <c r="C1336" i="1"/>
  <c r="H1335" i="1"/>
  <c r="I1335" i="1" s="1"/>
  <c r="C1335" i="1"/>
  <c r="H1334" i="1"/>
  <c r="I1334" i="1" s="1"/>
  <c r="C1334" i="1"/>
  <c r="H1333" i="1"/>
  <c r="I1333" i="1" s="1"/>
  <c r="C1333" i="1"/>
  <c r="H1332" i="1"/>
  <c r="I1332" i="1" s="1"/>
  <c r="C1332" i="1"/>
  <c r="H1331" i="1"/>
  <c r="I1331" i="1" s="1"/>
  <c r="C1331" i="1"/>
  <c r="H1330" i="1"/>
  <c r="I1330" i="1" s="1"/>
  <c r="C1330" i="1"/>
  <c r="I1329" i="1"/>
  <c r="H1329" i="1"/>
  <c r="C1329" i="1"/>
  <c r="H1328" i="1"/>
  <c r="I1328" i="1" s="1"/>
  <c r="C1328" i="1"/>
  <c r="H1327" i="1"/>
  <c r="I1327" i="1" s="1"/>
  <c r="C1327" i="1"/>
  <c r="I1326" i="1"/>
  <c r="H1326" i="1"/>
  <c r="C1326" i="1"/>
  <c r="H1325" i="1"/>
  <c r="I1325" i="1" s="1"/>
  <c r="C1325" i="1"/>
  <c r="H1324" i="1"/>
  <c r="I1324" i="1" s="1"/>
  <c r="C1324" i="1"/>
  <c r="H1323" i="1"/>
  <c r="I1323" i="1" s="1"/>
  <c r="C1323" i="1"/>
  <c r="H1322" i="1"/>
  <c r="I1322" i="1" s="1"/>
  <c r="C1322" i="1"/>
  <c r="H1321" i="1"/>
  <c r="I1321" i="1" s="1"/>
  <c r="C1321" i="1"/>
  <c r="H1320" i="1"/>
  <c r="I1320" i="1" s="1"/>
  <c r="C1320" i="1"/>
  <c r="H1319" i="1"/>
  <c r="I1319" i="1" s="1"/>
  <c r="C1319" i="1"/>
  <c r="H1318" i="1"/>
  <c r="I1318" i="1" s="1"/>
  <c r="C1318" i="1"/>
  <c r="H1317" i="1"/>
  <c r="I1317" i="1" s="1"/>
  <c r="C1317" i="1"/>
  <c r="H1316" i="1"/>
  <c r="I1316" i="1" s="1"/>
  <c r="C1316" i="1"/>
  <c r="H1315" i="1"/>
  <c r="I1315" i="1" s="1"/>
  <c r="C1315" i="1"/>
  <c r="H1314" i="1"/>
  <c r="I1314" i="1" s="1"/>
  <c r="C1314" i="1"/>
  <c r="I1313" i="1"/>
  <c r="H1313" i="1"/>
  <c r="C1313" i="1"/>
  <c r="H1312" i="1"/>
  <c r="I1312" i="1" s="1"/>
  <c r="C1312" i="1"/>
  <c r="H1311" i="1"/>
  <c r="I1311" i="1" s="1"/>
  <c r="C1311" i="1"/>
  <c r="I1310" i="1"/>
  <c r="H1310" i="1"/>
  <c r="C1310" i="1"/>
  <c r="H1309" i="1"/>
  <c r="I1309" i="1" s="1"/>
  <c r="C1309" i="1"/>
  <c r="H1308" i="1"/>
  <c r="I1308" i="1" s="1"/>
  <c r="C1308" i="1"/>
  <c r="H1307" i="1"/>
  <c r="I1307" i="1" s="1"/>
  <c r="C1307" i="1"/>
  <c r="I1306" i="1"/>
  <c r="H1306" i="1"/>
  <c r="C1306" i="1"/>
  <c r="H1305" i="1"/>
  <c r="I1305" i="1" s="1"/>
  <c r="C1305" i="1"/>
  <c r="I1304" i="1"/>
  <c r="H1304" i="1"/>
  <c r="C1304" i="1"/>
  <c r="H1303" i="1"/>
  <c r="I1303" i="1" s="1"/>
  <c r="C1303" i="1"/>
  <c r="H1302" i="1"/>
  <c r="I1302" i="1" s="1"/>
  <c r="C1302" i="1"/>
  <c r="H1301" i="1"/>
  <c r="I1301" i="1" s="1"/>
  <c r="C1301" i="1"/>
  <c r="H1300" i="1"/>
  <c r="I1300" i="1" s="1"/>
  <c r="C1300" i="1"/>
  <c r="H1299" i="1"/>
  <c r="I1299" i="1" s="1"/>
  <c r="C1299" i="1"/>
  <c r="I1298" i="1"/>
  <c r="H1298" i="1"/>
  <c r="C1298" i="1"/>
  <c r="H1297" i="1"/>
  <c r="I1297" i="1" s="1"/>
  <c r="C1297" i="1"/>
  <c r="H1296" i="1"/>
  <c r="I1296" i="1" s="1"/>
  <c r="C1296" i="1"/>
  <c r="H1295" i="1"/>
  <c r="I1295" i="1" s="1"/>
  <c r="C1295" i="1"/>
  <c r="H1294" i="1"/>
  <c r="I1294" i="1" s="1"/>
  <c r="C1294" i="1"/>
  <c r="H1293" i="1"/>
  <c r="I1293" i="1" s="1"/>
  <c r="C1293" i="1"/>
  <c r="I1292" i="1"/>
  <c r="H1292" i="1"/>
  <c r="C1292" i="1"/>
  <c r="H1291" i="1"/>
  <c r="I1291" i="1" s="1"/>
  <c r="C1291" i="1"/>
  <c r="H1290" i="1"/>
  <c r="I1290" i="1" s="1"/>
  <c r="C1290" i="1"/>
  <c r="H1289" i="1"/>
  <c r="I1289" i="1" s="1"/>
  <c r="C1289" i="1"/>
  <c r="H1288" i="1"/>
  <c r="I1288" i="1" s="1"/>
  <c r="C1288" i="1"/>
  <c r="H1287" i="1"/>
  <c r="I1287" i="1" s="1"/>
  <c r="C1287" i="1"/>
  <c r="H1286" i="1"/>
  <c r="I1286" i="1" s="1"/>
  <c r="C1286" i="1"/>
  <c r="H1285" i="1"/>
  <c r="I1285" i="1" s="1"/>
  <c r="C1285" i="1"/>
  <c r="H1284" i="1"/>
  <c r="I1284" i="1" s="1"/>
  <c r="C1284" i="1"/>
  <c r="H1283" i="1"/>
  <c r="I1283" i="1" s="1"/>
  <c r="C1283" i="1"/>
  <c r="H1282" i="1"/>
  <c r="I1282" i="1" s="1"/>
  <c r="C1282" i="1"/>
  <c r="H1281" i="1"/>
  <c r="I1281" i="1" s="1"/>
  <c r="C1281" i="1"/>
  <c r="H1280" i="1"/>
  <c r="I1280" i="1" s="1"/>
  <c r="C1280" i="1"/>
  <c r="H1279" i="1"/>
  <c r="I1279" i="1" s="1"/>
  <c r="C1279" i="1"/>
  <c r="H1278" i="1"/>
  <c r="I1278" i="1" s="1"/>
  <c r="C1278" i="1"/>
  <c r="I1277" i="1"/>
  <c r="H1277" i="1"/>
  <c r="C1277" i="1"/>
  <c r="H1276" i="1"/>
  <c r="I1276" i="1" s="1"/>
  <c r="C1276" i="1"/>
  <c r="H1275" i="1"/>
  <c r="I1275" i="1" s="1"/>
  <c r="C1275" i="1"/>
  <c r="I1274" i="1"/>
  <c r="H1274" i="1"/>
  <c r="C1274" i="1"/>
  <c r="H1273" i="1"/>
  <c r="I1273" i="1" s="1"/>
  <c r="C1273" i="1"/>
  <c r="I1272" i="1"/>
  <c r="H1272" i="1"/>
  <c r="C1272" i="1"/>
  <c r="H1271" i="1"/>
  <c r="I1271" i="1" s="1"/>
  <c r="C1271" i="1"/>
  <c r="H1270" i="1"/>
  <c r="I1270" i="1" s="1"/>
  <c r="C1270" i="1"/>
  <c r="H1269" i="1"/>
  <c r="I1269" i="1" s="1"/>
  <c r="C1269" i="1"/>
  <c r="I1268" i="1"/>
  <c r="H1268" i="1"/>
  <c r="C1268" i="1"/>
  <c r="I1267" i="1"/>
  <c r="H1267" i="1"/>
  <c r="C1267" i="1"/>
  <c r="H1266" i="1"/>
  <c r="I1266" i="1" s="1"/>
  <c r="C1266" i="1"/>
  <c r="I1265" i="1"/>
  <c r="H1265" i="1"/>
  <c r="C1265" i="1"/>
  <c r="I1264" i="1"/>
  <c r="H1264" i="1"/>
  <c r="C1264" i="1"/>
  <c r="I1263" i="1"/>
  <c r="H1263" i="1"/>
  <c r="C1263" i="1"/>
  <c r="H1262" i="1"/>
  <c r="I1262" i="1" s="1"/>
  <c r="C1262" i="1"/>
  <c r="H1261" i="1"/>
  <c r="I1261" i="1" s="1"/>
  <c r="C1261" i="1"/>
  <c r="H1260" i="1"/>
  <c r="I1260" i="1" s="1"/>
  <c r="C1260" i="1"/>
  <c r="H1259" i="1"/>
  <c r="I1259" i="1" s="1"/>
  <c r="C1259" i="1"/>
  <c r="H1258" i="1"/>
  <c r="I1258" i="1" s="1"/>
  <c r="C1258" i="1"/>
  <c r="H1257" i="1"/>
  <c r="I1257" i="1" s="1"/>
  <c r="C1257" i="1"/>
  <c r="H1256" i="1"/>
  <c r="I1256" i="1" s="1"/>
  <c r="C1256" i="1"/>
  <c r="I1255" i="1"/>
  <c r="H1255" i="1"/>
  <c r="C1255" i="1"/>
  <c r="H1254" i="1"/>
  <c r="I1254" i="1" s="1"/>
  <c r="C1254" i="1"/>
  <c r="H1253" i="1"/>
  <c r="I1253" i="1" s="1"/>
  <c r="C1253" i="1"/>
  <c r="H1252" i="1"/>
  <c r="I1252" i="1" s="1"/>
  <c r="C1252" i="1"/>
  <c r="H1251" i="1"/>
  <c r="I1251" i="1" s="1"/>
  <c r="C1251" i="1"/>
  <c r="H1250" i="1"/>
  <c r="I1250" i="1" s="1"/>
  <c r="C1250" i="1"/>
  <c r="H1249" i="1"/>
  <c r="I1249" i="1" s="1"/>
  <c r="C1249" i="1"/>
  <c r="H1248" i="1"/>
  <c r="I1248" i="1" s="1"/>
  <c r="C1248" i="1"/>
  <c r="H1247" i="1"/>
  <c r="I1247" i="1" s="1"/>
  <c r="C1247" i="1"/>
  <c r="I1246" i="1"/>
  <c r="H1246" i="1"/>
  <c r="C1246" i="1"/>
  <c r="I1245" i="1"/>
  <c r="H1245" i="1"/>
  <c r="C1245" i="1"/>
  <c r="H1244" i="1"/>
  <c r="I1244" i="1" s="1"/>
  <c r="C1244" i="1"/>
  <c r="I1243" i="1"/>
  <c r="H1243" i="1"/>
  <c r="C1243" i="1"/>
  <c r="H1242" i="1"/>
  <c r="I1242" i="1" s="1"/>
  <c r="C1242" i="1"/>
  <c r="I1241" i="1"/>
  <c r="H1241" i="1"/>
  <c r="C1241" i="1"/>
  <c r="H1240" i="1"/>
  <c r="I1240" i="1" s="1"/>
  <c r="C1240" i="1"/>
  <c r="H1239" i="1"/>
  <c r="I1239" i="1" s="1"/>
  <c r="C1239" i="1"/>
  <c r="H1238" i="1"/>
  <c r="I1238" i="1" s="1"/>
  <c r="C1238" i="1"/>
  <c r="I1237" i="1"/>
  <c r="H1237" i="1"/>
  <c r="C1237" i="1"/>
  <c r="H1236" i="1"/>
  <c r="I1236" i="1" s="1"/>
  <c r="C1236" i="1"/>
  <c r="H1235" i="1"/>
  <c r="I1235" i="1" s="1"/>
  <c r="C1235" i="1"/>
  <c r="H1234" i="1"/>
  <c r="I1234" i="1" s="1"/>
  <c r="C1234" i="1"/>
  <c r="H1233" i="1"/>
  <c r="I1233" i="1" s="1"/>
  <c r="C1233" i="1"/>
  <c r="H1232" i="1"/>
  <c r="I1232" i="1" s="1"/>
  <c r="C1232" i="1"/>
  <c r="H1231" i="1"/>
  <c r="I1231" i="1" s="1"/>
  <c r="C1231" i="1"/>
  <c r="H1230" i="1"/>
  <c r="I1230" i="1" s="1"/>
  <c r="C1230" i="1"/>
  <c r="H1229" i="1"/>
  <c r="I1229" i="1" s="1"/>
  <c r="C1229" i="1"/>
  <c r="I1228" i="1"/>
  <c r="H1228" i="1"/>
  <c r="C1228" i="1"/>
  <c r="H1227" i="1"/>
  <c r="I1227" i="1" s="1"/>
  <c r="C1227" i="1"/>
  <c r="H1226" i="1"/>
  <c r="I1226" i="1" s="1"/>
  <c r="C1226" i="1"/>
  <c r="H1225" i="1"/>
  <c r="I1225" i="1" s="1"/>
  <c r="C1225" i="1"/>
  <c r="H1224" i="1"/>
  <c r="I1224" i="1" s="1"/>
  <c r="C1224" i="1"/>
  <c r="H1223" i="1"/>
  <c r="I1223" i="1" s="1"/>
  <c r="C1223" i="1"/>
  <c r="H1222" i="1"/>
  <c r="I1222" i="1" s="1"/>
  <c r="C1222" i="1"/>
  <c r="I1221" i="1"/>
  <c r="H1221" i="1"/>
  <c r="C1221" i="1"/>
  <c r="H1220" i="1"/>
  <c r="I1220" i="1" s="1"/>
  <c r="C1220" i="1"/>
  <c r="H1219" i="1"/>
  <c r="I1219" i="1" s="1"/>
  <c r="C1219" i="1"/>
  <c r="H1218" i="1"/>
  <c r="I1218" i="1" s="1"/>
  <c r="C1218" i="1"/>
  <c r="H1217" i="1"/>
  <c r="I1217" i="1" s="1"/>
  <c r="C1217" i="1"/>
  <c r="I1216" i="1"/>
  <c r="H1216" i="1"/>
  <c r="C1216" i="1"/>
  <c r="H1215" i="1"/>
  <c r="I1215" i="1" s="1"/>
  <c r="C1215" i="1"/>
  <c r="I1214" i="1"/>
  <c r="H1214" i="1"/>
  <c r="C1214" i="1"/>
  <c r="H1213" i="1"/>
  <c r="I1213" i="1" s="1"/>
  <c r="C1213" i="1"/>
  <c r="H1212" i="1"/>
  <c r="I1212" i="1" s="1"/>
  <c r="C1212" i="1"/>
  <c r="H1211" i="1"/>
  <c r="I1211" i="1" s="1"/>
  <c r="C1211" i="1"/>
  <c r="I1210" i="1"/>
  <c r="H1210" i="1"/>
  <c r="C1210" i="1"/>
  <c r="I1209" i="1"/>
  <c r="H1209" i="1"/>
  <c r="C1209" i="1"/>
  <c r="I1208" i="1"/>
  <c r="H1208" i="1"/>
  <c r="C1208" i="1"/>
  <c r="H1207" i="1"/>
  <c r="I1207" i="1" s="1"/>
  <c r="C1207" i="1"/>
  <c r="H1206" i="1"/>
  <c r="I1206" i="1" s="1"/>
  <c r="C1206" i="1"/>
  <c r="H1205" i="1"/>
  <c r="I1205" i="1" s="1"/>
  <c r="C1205" i="1"/>
  <c r="H1204" i="1"/>
  <c r="I1204" i="1" s="1"/>
  <c r="C1204" i="1"/>
  <c r="H1203" i="1"/>
  <c r="I1203" i="1" s="1"/>
  <c r="C1203" i="1"/>
  <c r="H1202" i="1"/>
  <c r="I1202" i="1" s="1"/>
  <c r="C1202" i="1"/>
  <c r="H1201" i="1"/>
  <c r="I1201" i="1" s="1"/>
  <c r="C1201" i="1"/>
  <c r="H1200" i="1"/>
  <c r="I1200" i="1" s="1"/>
  <c r="C1200" i="1"/>
  <c r="I1199" i="1"/>
  <c r="H1199" i="1"/>
  <c r="C1199" i="1"/>
  <c r="H1198" i="1"/>
  <c r="I1198" i="1" s="1"/>
  <c r="C1198" i="1"/>
  <c r="H1197" i="1"/>
  <c r="I1197" i="1" s="1"/>
  <c r="C1197" i="1"/>
  <c r="H1196" i="1"/>
  <c r="I1196" i="1" s="1"/>
  <c r="C1196" i="1"/>
  <c r="I1195" i="1"/>
  <c r="H1195" i="1"/>
  <c r="C1195" i="1"/>
  <c r="H1194" i="1"/>
  <c r="I1194" i="1" s="1"/>
  <c r="C1194" i="1"/>
  <c r="H1193" i="1"/>
  <c r="I1193" i="1" s="1"/>
  <c r="C1193" i="1"/>
  <c r="H1192" i="1"/>
  <c r="I1192" i="1" s="1"/>
  <c r="C1192" i="1"/>
  <c r="H1191" i="1"/>
  <c r="I1191" i="1" s="1"/>
  <c r="C1191" i="1"/>
  <c r="H1190" i="1"/>
  <c r="I1190" i="1" s="1"/>
  <c r="C1190" i="1"/>
  <c r="H1189" i="1"/>
  <c r="I1189" i="1" s="1"/>
  <c r="C1189" i="1"/>
  <c r="H1188" i="1"/>
  <c r="I1188" i="1" s="1"/>
  <c r="C1188" i="1"/>
  <c r="I1187" i="1"/>
  <c r="H1187" i="1"/>
  <c r="C1187" i="1"/>
  <c r="H1186" i="1"/>
  <c r="I1186" i="1" s="1"/>
  <c r="C1186" i="1"/>
  <c r="H1185" i="1"/>
  <c r="I1185" i="1" s="1"/>
  <c r="C1185" i="1"/>
  <c r="H1184" i="1"/>
  <c r="I1184" i="1" s="1"/>
  <c r="C1184" i="1"/>
  <c r="H1183" i="1"/>
  <c r="I1183" i="1" s="1"/>
  <c r="C1183" i="1"/>
  <c r="H1182" i="1"/>
  <c r="I1182" i="1" s="1"/>
  <c r="C1182" i="1"/>
  <c r="H1181" i="1"/>
  <c r="I1181" i="1" s="1"/>
  <c r="C1181" i="1"/>
  <c r="H1180" i="1"/>
  <c r="I1180" i="1" s="1"/>
  <c r="C1180" i="1"/>
  <c r="H1179" i="1"/>
  <c r="I1179" i="1" s="1"/>
  <c r="C1179" i="1"/>
  <c r="H1178" i="1"/>
  <c r="I1178" i="1" s="1"/>
  <c r="C1178" i="1"/>
  <c r="H1177" i="1"/>
  <c r="I1177" i="1" s="1"/>
  <c r="C1177" i="1"/>
  <c r="H1176" i="1"/>
  <c r="I1176" i="1" s="1"/>
  <c r="C1176" i="1"/>
  <c r="I1175" i="1"/>
  <c r="H1175" i="1"/>
  <c r="C1175" i="1"/>
  <c r="H1174" i="1"/>
  <c r="I1174" i="1" s="1"/>
  <c r="C1174" i="1"/>
  <c r="H1173" i="1"/>
  <c r="I1173" i="1" s="1"/>
  <c r="C1173" i="1"/>
  <c r="I1172" i="1"/>
  <c r="H1172" i="1"/>
  <c r="C1172" i="1"/>
  <c r="H1171" i="1"/>
  <c r="I1171" i="1" s="1"/>
  <c r="C1171" i="1"/>
  <c r="I1170" i="1"/>
  <c r="H1170" i="1"/>
  <c r="C1170" i="1"/>
  <c r="H1169" i="1"/>
  <c r="I1169" i="1" s="1"/>
  <c r="C1169" i="1"/>
  <c r="I1168" i="1"/>
  <c r="H1168" i="1"/>
  <c r="C1168" i="1"/>
  <c r="H1167" i="1"/>
  <c r="I1167" i="1" s="1"/>
  <c r="C1167" i="1"/>
  <c r="H1166" i="1"/>
  <c r="I1166" i="1" s="1"/>
  <c r="C1166" i="1"/>
  <c r="H1165" i="1"/>
  <c r="I1165" i="1" s="1"/>
  <c r="C1165" i="1"/>
  <c r="H1164" i="1"/>
  <c r="I1164" i="1" s="1"/>
  <c r="C1164" i="1"/>
  <c r="H1163" i="1"/>
  <c r="I1163" i="1" s="1"/>
  <c r="C1163" i="1"/>
  <c r="H1162" i="1"/>
  <c r="I1162" i="1" s="1"/>
  <c r="C1162" i="1"/>
  <c r="I1161" i="1"/>
  <c r="H1161" i="1"/>
  <c r="C1161" i="1"/>
  <c r="H1160" i="1"/>
  <c r="I1160" i="1" s="1"/>
  <c r="C1160" i="1"/>
  <c r="H1159" i="1"/>
  <c r="I1159" i="1" s="1"/>
  <c r="C1159" i="1"/>
  <c r="H1158" i="1"/>
  <c r="I1158" i="1" s="1"/>
  <c r="C1158" i="1"/>
  <c r="H1157" i="1"/>
  <c r="I1157" i="1" s="1"/>
  <c r="C1157" i="1"/>
  <c r="H1156" i="1"/>
  <c r="I1156" i="1" s="1"/>
  <c r="C1156" i="1"/>
  <c r="H1155" i="1"/>
  <c r="I1155" i="1" s="1"/>
  <c r="C1155" i="1"/>
  <c r="H1154" i="1"/>
  <c r="I1154" i="1" s="1"/>
  <c r="C1154" i="1"/>
  <c r="H1153" i="1"/>
  <c r="I1153" i="1" s="1"/>
  <c r="C1153" i="1"/>
  <c r="H1152" i="1"/>
  <c r="I1152" i="1" s="1"/>
  <c r="C1152" i="1"/>
  <c r="H1151" i="1"/>
  <c r="I1151" i="1" s="1"/>
  <c r="C1151" i="1"/>
  <c r="H1150" i="1"/>
  <c r="I1150" i="1" s="1"/>
  <c r="C1150" i="1"/>
  <c r="I1149" i="1"/>
  <c r="H1149" i="1"/>
  <c r="C1149" i="1"/>
  <c r="H1148" i="1"/>
  <c r="I1148" i="1" s="1"/>
  <c r="C1148" i="1"/>
  <c r="H1147" i="1"/>
  <c r="I1147" i="1" s="1"/>
  <c r="C1147" i="1"/>
  <c r="H1146" i="1"/>
  <c r="I1146" i="1" s="1"/>
  <c r="C1146" i="1"/>
  <c r="H1145" i="1"/>
  <c r="I1145" i="1" s="1"/>
  <c r="C1145" i="1"/>
  <c r="H1144" i="1"/>
  <c r="I1144" i="1" s="1"/>
  <c r="C1144" i="1"/>
  <c r="H1143" i="1"/>
  <c r="I1143" i="1" s="1"/>
  <c r="C1143" i="1"/>
  <c r="H1142" i="1"/>
  <c r="I1142" i="1" s="1"/>
  <c r="C1142" i="1"/>
  <c r="H1141" i="1"/>
  <c r="I1141" i="1" s="1"/>
  <c r="C1141" i="1"/>
  <c r="H1140" i="1"/>
  <c r="I1140" i="1" s="1"/>
  <c r="C1140" i="1"/>
  <c r="H1139" i="1"/>
  <c r="I1139" i="1" s="1"/>
  <c r="C1139" i="1"/>
  <c r="H1138" i="1"/>
  <c r="I1138" i="1" s="1"/>
  <c r="C1138" i="1"/>
  <c r="H1137" i="1"/>
  <c r="I1137" i="1" s="1"/>
  <c r="C1137" i="1"/>
  <c r="H1136" i="1"/>
  <c r="I1136" i="1" s="1"/>
  <c r="C1136" i="1"/>
  <c r="H1135" i="1"/>
  <c r="I1135" i="1" s="1"/>
  <c r="C1135" i="1"/>
  <c r="I1134" i="1"/>
  <c r="H1134" i="1"/>
  <c r="C1134" i="1"/>
  <c r="H1133" i="1"/>
  <c r="I1133" i="1" s="1"/>
  <c r="C1133" i="1"/>
  <c r="H1132" i="1"/>
  <c r="I1132" i="1" s="1"/>
  <c r="C1132" i="1"/>
  <c r="I1131" i="1"/>
  <c r="H1131" i="1"/>
  <c r="C1131" i="1"/>
  <c r="H1130" i="1"/>
  <c r="I1130" i="1" s="1"/>
  <c r="C1130" i="1"/>
  <c r="H1129" i="1"/>
  <c r="I1129" i="1" s="1"/>
  <c r="C1129" i="1"/>
  <c r="H1128" i="1"/>
  <c r="I1128" i="1" s="1"/>
  <c r="C1128" i="1"/>
  <c r="H1127" i="1"/>
  <c r="I1127" i="1" s="1"/>
  <c r="C1127" i="1"/>
  <c r="H1126" i="1"/>
  <c r="I1126" i="1" s="1"/>
  <c r="C1126" i="1"/>
  <c r="H1125" i="1"/>
  <c r="I1125" i="1" s="1"/>
  <c r="C1125" i="1"/>
  <c r="I1124" i="1"/>
  <c r="H1124" i="1"/>
  <c r="C1124" i="1"/>
  <c r="H1123" i="1"/>
  <c r="I1123" i="1" s="1"/>
  <c r="C1123" i="1"/>
  <c r="H1122" i="1"/>
  <c r="I1122" i="1" s="1"/>
  <c r="C1122" i="1"/>
  <c r="H1121" i="1"/>
  <c r="I1121" i="1" s="1"/>
  <c r="C1121" i="1"/>
  <c r="I1120" i="1"/>
  <c r="H1120" i="1"/>
  <c r="C1120" i="1"/>
  <c r="I1119" i="1"/>
  <c r="H1119" i="1"/>
  <c r="C1119" i="1"/>
  <c r="H1118" i="1"/>
  <c r="I1118" i="1" s="1"/>
  <c r="C1118" i="1"/>
  <c r="H1117" i="1"/>
  <c r="I1117" i="1" s="1"/>
  <c r="C1117" i="1"/>
  <c r="H1116" i="1"/>
  <c r="I1116" i="1" s="1"/>
  <c r="C1116" i="1"/>
  <c r="H1115" i="1"/>
  <c r="I1115" i="1" s="1"/>
  <c r="C1115" i="1"/>
  <c r="I1114" i="1"/>
  <c r="H1114" i="1"/>
  <c r="C1114" i="1"/>
  <c r="H1113" i="1"/>
  <c r="I1113" i="1" s="1"/>
  <c r="C1113" i="1"/>
  <c r="H1112" i="1"/>
  <c r="I1112" i="1" s="1"/>
  <c r="C1112" i="1"/>
  <c r="H1111" i="1"/>
  <c r="I1111" i="1" s="1"/>
  <c r="C1111" i="1"/>
  <c r="H1110" i="1"/>
  <c r="I1110" i="1" s="1"/>
  <c r="C1110" i="1"/>
  <c r="I1109" i="1"/>
  <c r="H1109" i="1"/>
  <c r="C1109" i="1"/>
  <c r="I1108" i="1"/>
  <c r="H1108" i="1"/>
  <c r="C1108" i="1"/>
  <c r="I1107" i="1"/>
  <c r="H1107" i="1"/>
  <c r="C1107" i="1"/>
  <c r="I1106" i="1"/>
  <c r="H1106" i="1"/>
  <c r="C1106" i="1"/>
  <c r="I1105" i="1"/>
  <c r="H1105" i="1"/>
  <c r="C1105" i="1"/>
  <c r="H1104" i="1"/>
  <c r="I1104" i="1" s="1"/>
  <c r="C1104" i="1"/>
  <c r="H1103" i="1"/>
  <c r="I1103" i="1" s="1"/>
  <c r="C1103" i="1"/>
  <c r="H1102" i="1"/>
  <c r="I1102" i="1" s="1"/>
  <c r="C1102" i="1"/>
  <c r="H1101" i="1"/>
  <c r="I1101" i="1" s="1"/>
  <c r="C1101" i="1"/>
  <c r="H1100" i="1"/>
  <c r="I1100" i="1" s="1"/>
  <c r="C1100" i="1"/>
  <c r="H1099" i="1"/>
  <c r="I1099" i="1" s="1"/>
  <c r="C1099" i="1"/>
  <c r="H1098" i="1"/>
  <c r="I1098" i="1" s="1"/>
  <c r="C1098" i="1"/>
  <c r="H1097" i="1"/>
  <c r="I1097" i="1" s="1"/>
  <c r="C1097" i="1"/>
  <c r="H1096" i="1"/>
  <c r="I1096" i="1" s="1"/>
  <c r="C1096" i="1"/>
  <c r="H1095" i="1"/>
  <c r="I1095" i="1" s="1"/>
  <c r="C1095" i="1"/>
  <c r="I1094" i="1"/>
  <c r="H1094" i="1"/>
  <c r="C1094" i="1"/>
  <c r="H1093" i="1"/>
  <c r="I1093" i="1" s="1"/>
  <c r="C1093" i="1"/>
  <c r="H1092" i="1"/>
  <c r="I1092" i="1" s="1"/>
  <c r="C1092" i="1"/>
  <c r="H1091" i="1"/>
  <c r="I1091" i="1" s="1"/>
  <c r="C1091" i="1"/>
  <c r="H1090" i="1"/>
  <c r="I1090" i="1" s="1"/>
  <c r="C1090" i="1"/>
  <c r="H1089" i="1"/>
  <c r="I1089" i="1" s="1"/>
  <c r="C1089" i="1"/>
  <c r="H1088" i="1"/>
  <c r="I1088" i="1" s="1"/>
  <c r="C1088" i="1"/>
  <c r="H1087" i="1"/>
  <c r="I1087" i="1" s="1"/>
  <c r="C1087" i="1"/>
  <c r="H1086" i="1"/>
  <c r="I1086" i="1" s="1"/>
  <c r="C1086" i="1"/>
  <c r="H1085" i="1"/>
  <c r="I1085" i="1" s="1"/>
  <c r="C1085" i="1"/>
  <c r="H1084" i="1"/>
  <c r="I1084" i="1" s="1"/>
  <c r="C1084" i="1"/>
  <c r="H1083" i="1"/>
  <c r="I1083" i="1" s="1"/>
  <c r="C1083" i="1"/>
  <c r="H1082" i="1"/>
  <c r="I1082" i="1" s="1"/>
  <c r="C1082" i="1"/>
  <c r="H1081" i="1"/>
  <c r="I1081" i="1" s="1"/>
  <c r="C1081" i="1"/>
  <c r="I1080" i="1"/>
  <c r="H1080" i="1"/>
  <c r="C1080" i="1"/>
  <c r="H1079" i="1"/>
  <c r="I1079" i="1" s="1"/>
  <c r="C1079" i="1"/>
  <c r="I1078" i="1"/>
  <c r="H1078" i="1"/>
  <c r="C1078" i="1"/>
  <c r="H1077" i="1"/>
  <c r="I1077" i="1" s="1"/>
  <c r="C1077" i="1"/>
  <c r="H1076" i="1"/>
  <c r="I1076" i="1" s="1"/>
  <c r="C1076" i="1"/>
  <c r="I1075" i="1"/>
  <c r="H1075" i="1"/>
  <c r="C1075" i="1"/>
  <c r="H1074" i="1"/>
  <c r="I1074" i="1" s="1"/>
  <c r="C1074" i="1"/>
  <c r="H1073" i="1"/>
  <c r="I1073" i="1" s="1"/>
  <c r="C1073" i="1"/>
  <c r="H1072" i="1"/>
  <c r="I1072" i="1" s="1"/>
  <c r="C1072" i="1"/>
  <c r="H1071" i="1"/>
  <c r="I1071" i="1" s="1"/>
  <c r="C1071" i="1"/>
  <c r="H1070" i="1"/>
  <c r="I1070" i="1" s="1"/>
  <c r="C1070" i="1"/>
  <c r="H1069" i="1"/>
  <c r="I1069" i="1" s="1"/>
  <c r="C1069" i="1"/>
  <c r="I1068" i="1"/>
  <c r="H1068" i="1"/>
  <c r="C1068" i="1"/>
  <c r="H1067" i="1"/>
  <c r="I1067" i="1" s="1"/>
  <c r="C1067" i="1"/>
  <c r="H1066" i="1"/>
  <c r="I1066" i="1" s="1"/>
  <c r="C1066" i="1"/>
  <c r="H1065" i="1"/>
  <c r="I1065" i="1" s="1"/>
  <c r="C1065" i="1"/>
  <c r="H1064" i="1"/>
  <c r="I1064" i="1" s="1"/>
  <c r="C1064" i="1"/>
  <c r="H1063" i="1"/>
  <c r="I1063" i="1" s="1"/>
  <c r="C1063" i="1"/>
  <c r="I1062" i="1"/>
  <c r="H1062" i="1"/>
  <c r="C1062" i="1"/>
  <c r="H1061" i="1"/>
  <c r="I1061" i="1" s="1"/>
  <c r="C1061" i="1"/>
  <c r="H1060" i="1"/>
  <c r="I1060" i="1" s="1"/>
  <c r="C1060" i="1"/>
  <c r="H1059" i="1"/>
  <c r="I1059" i="1" s="1"/>
  <c r="C1059" i="1"/>
  <c r="H1058" i="1"/>
  <c r="I1058" i="1" s="1"/>
  <c r="C1058" i="1"/>
  <c r="H1057" i="1"/>
  <c r="I1057" i="1" s="1"/>
  <c r="C1057" i="1"/>
  <c r="H1056" i="1"/>
  <c r="I1056" i="1" s="1"/>
  <c r="C1056" i="1"/>
  <c r="H1055" i="1"/>
  <c r="I1055" i="1" s="1"/>
  <c r="C1055" i="1"/>
  <c r="H1054" i="1"/>
  <c r="I1054" i="1" s="1"/>
  <c r="C1054" i="1"/>
  <c r="H1053" i="1"/>
  <c r="I1053" i="1" s="1"/>
  <c r="C1053" i="1"/>
  <c r="H1052" i="1"/>
  <c r="I1052" i="1" s="1"/>
  <c r="C1052" i="1"/>
  <c r="H1051" i="1"/>
  <c r="I1051" i="1" s="1"/>
  <c r="C1051" i="1"/>
  <c r="H1050" i="1"/>
  <c r="I1050" i="1" s="1"/>
  <c r="C1050" i="1"/>
  <c r="I1049" i="1"/>
  <c r="H1049" i="1"/>
  <c r="C1049" i="1"/>
  <c r="H1048" i="1"/>
  <c r="I1048" i="1" s="1"/>
  <c r="C1048" i="1"/>
  <c r="H1047" i="1"/>
  <c r="I1047" i="1" s="1"/>
  <c r="C1047" i="1"/>
  <c r="H1046" i="1"/>
  <c r="I1046" i="1" s="1"/>
  <c r="C1046" i="1"/>
  <c r="H1045" i="1"/>
  <c r="I1045" i="1" s="1"/>
  <c r="C1045" i="1"/>
  <c r="H1044" i="1"/>
  <c r="I1044" i="1" s="1"/>
  <c r="C1044" i="1"/>
  <c r="I1043" i="1"/>
  <c r="H1043" i="1"/>
  <c r="C1043" i="1"/>
  <c r="H1042" i="1"/>
  <c r="I1042" i="1" s="1"/>
  <c r="C1042" i="1"/>
  <c r="I1041" i="1"/>
  <c r="H1041" i="1"/>
  <c r="C1041" i="1"/>
  <c r="H1040" i="1"/>
  <c r="I1040" i="1" s="1"/>
  <c r="C1040" i="1"/>
  <c r="H1039" i="1"/>
  <c r="I1039" i="1" s="1"/>
  <c r="C1039" i="1"/>
  <c r="H1038" i="1"/>
  <c r="I1038" i="1" s="1"/>
  <c r="C1038" i="1"/>
  <c r="H1037" i="1"/>
  <c r="I1037" i="1" s="1"/>
  <c r="C1037" i="1"/>
  <c r="I1036" i="1"/>
  <c r="H1036" i="1"/>
  <c r="C1036" i="1"/>
  <c r="I1035" i="1"/>
  <c r="H1035" i="1"/>
  <c r="C1035" i="1"/>
  <c r="H1034" i="1"/>
  <c r="I1034" i="1" s="1"/>
  <c r="C1034" i="1"/>
  <c r="H1033" i="1"/>
  <c r="I1033" i="1" s="1"/>
  <c r="C1033" i="1"/>
  <c r="H1032" i="1"/>
  <c r="I1032" i="1" s="1"/>
  <c r="C1032" i="1"/>
  <c r="H1031" i="1"/>
  <c r="I1031" i="1" s="1"/>
  <c r="C1031" i="1"/>
  <c r="H1030" i="1"/>
  <c r="I1030" i="1" s="1"/>
  <c r="C1030" i="1"/>
  <c r="H1029" i="1"/>
  <c r="I1029" i="1" s="1"/>
  <c r="C1029" i="1"/>
  <c r="H1028" i="1"/>
  <c r="I1028" i="1" s="1"/>
  <c r="C1028" i="1"/>
  <c r="H1027" i="1"/>
  <c r="I1027" i="1" s="1"/>
  <c r="C1027" i="1"/>
  <c r="H1026" i="1"/>
  <c r="I1026" i="1" s="1"/>
  <c r="C1026" i="1"/>
  <c r="H1025" i="1"/>
  <c r="I1025" i="1" s="1"/>
  <c r="C1025" i="1"/>
  <c r="H1024" i="1"/>
  <c r="I1024" i="1" s="1"/>
  <c r="C1024" i="1"/>
  <c r="H1023" i="1"/>
  <c r="I1023" i="1" s="1"/>
  <c r="C1023" i="1"/>
  <c r="H1022" i="1"/>
  <c r="I1022" i="1" s="1"/>
  <c r="C1022" i="1"/>
  <c r="H1021" i="1"/>
  <c r="I1021" i="1" s="1"/>
  <c r="C1021" i="1"/>
  <c r="I1020" i="1"/>
  <c r="H1020" i="1"/>
  <c r="C1020" i="1"/>
  <c r="I1019" i="1"/>
  <c r="H1019" i="1"/>
  <c r="C1019" i="1"/>
  <c r="H1018" i="1"/>
  <c r="I1018" i="1" s="1"/>
  <c r="C1018" i="1"/>
  <c r="H1017" i="1"/>
  <c r="I1017" i="1" s="1"/>
  <c r="C1017" i="1"/>
  <c r="H1016" i="1"/>
  <c r="I1016" i="1" s="1"/>
  <c r="C1016" i="1"/>
  <c r="I1015" i="1"/>
  <c r="H1015" i="1"/>
  <c r="C1015" i="1"/>
  <c r="I1014" i="1"/>
  <c r="H1014" i="1"/>
  <c r="C1014" i="1"/>
  <c r="H1013" i="1"/>
  <c r="I1013" i="1" s="1"/>
  <c r="C1013" i="1"/>
  <c r="H1012" i="1"/>
  <c r="I1012" i="1" s="1"/>
  <c r="C1012" i="1"/>
  <c r="H1011" i="1"/>
  <c r="I1011" i="1" s="1"/>
  <c r="C1011" i="1"/>
  <c r="H1010" i="1"/>
  <c r="I1010" i="1" s="1"/>
  <c r="C1010" i="1"/>
  <c r="H1009" i="1"/>
  <c r="I1009" i="1" s="1"/>
  <c r="C1009" i="1"/>
  <c r="H1008" i="1"/>
  <c r="I1008" i="1" s="1"/>
  <c r="C1008" i="1"/>
  <c r="H1007" i="1"/>
  <c r="I1007" i="1" s="1"/>
  <c r="C1007" i="1"/>
  <c r="H1006" i="1"/>
  <c r="I1006" i="1" s="1"/>
  <c r="C1006" i="1"/>
  <c r="H1005" i="1"/>
  <c r="I1005" i="1" s="1"/>
  <c r="C1005" i="1"/>
  <c r="H1004" i="1"/>
  <c r="I1004" i="1" s="1"/>
  <c r="C1004" i="1"/>
  <c r="H1003" i="1"/>
  <c r="I1003" i="1" s="1"/>
  <c r="C1003" i="1"/>
  <c r="H1002" i="1"/>
  <c r="I1002" i="1" s="1"/>
  <c r="C1002" i="1"/>
  <c r="H1001" i="1"/>
  <c r="I1001" i="1" s="1"/>
  <c r="C1001" i="1"/>
  <c r="H1000" i="1"/>
  <c r="I1000" i="1" s="1"/>
  <c r="C1000" i="1"/>
  <c r="H999" i="1"/>
  <c r="I999" i="1" s="1"/>
  <c r="C999" i="1"/>
  <c r="H998" i="1"/>
  <c r="I998" i="1" s="1"/>
  <c r="C998" i="1"/>
  <c r="H997" i="1"/>
  <c r="I997" i="1" s="1"/>
  <c r="C997" i="1"/>
  <c r="H996" i="1"/>
  <c r="I996" i="1" s="1"/>
  <c r="C996" i="1"/>
  <c r="H995" i="1"/>
  <c r="I995" i="1" s="1"/>
  <c r="C995" i="1"/>
  <c r="H994" i="1"/>
  <c r="I994" i="1" s="1"/>
  <c r="C994" i="1"/>
  <c r="H993" i="1"/>
  <c r="I993" i="1" s="1"/>
  <c r="C993" i="1"/>
  <c r="H992" i="1"/>
  <c r="I992" i="1" s="1"/>
  <c r="C992" i="1"/>
  <c r="H991" i="1"/>
  <c r="I991" i="1" s="1"/>
  <c r="C991" i="1"/>
  <c r="H990" i="1"/>
  <c r="I990" i="1" s="1"/>
  <c r="C990" i="1"/>
  <c r="H989" i="1"/>
  <c r="I989" i="1" s="1"/>
  <c r="C989" i="1"/>
  <c r="H988" i="1"/>
  <c r="I988" i="1" s="1"/>
  <c r="C988" i="1"/>
  <c r="H987" i="1"/>
  <c r="I987" i="1" s="1"/>
  <c r="C987" i="1"/>
  <c r="H986" i="1"/>
  <c r="I986" i="1" s="1"/>
  <c r="C986" i="1"/>
  <c r="H985" i="1"/>
  <c r="I985" i="1" s="1"/>
  <c r="C985" i="1"/>
  <c r="H984" i="1"/>
  <c r="I984" i="1" s="1"/>
  <c r="C984" i="1"/>
  <c r="H983" i="1"/>
  <c r="I983" i="1" s="1"/>
  <c r="C983" i="1"/>
  <c r="H982" i="1"/>
  <c r="I982" i="1" s="1"/>
  <c r="C982" i="1"/>
  <c r="I981" i="1"/>
  <c r="H981" i="1"/>
  <c r="C981" i="1"/>
  <c r="H980" i="1"/>
  <c r="I980" i="1" s="1"/>
  <c r="C980" i="1"/>
  <c r="H979" i="1"/>
  <c r="I979" i="1" s="1"/>
  <c r="C979" i="1"/>
  <c r="H978" i="1"/>
  <c r="I978" i="1" s="1"/>
  <c r="C978" i="1"/>
  <c r="I977" i="1"/>
  <c r="H977" i="1"/>
  <c r="C977" i="1"/>
  <c r="H976" i="1"/>
  <c r="I976" i="1" s="1"/>
  <c r="C976" i="1"/>
  <c r="I975" i="1"/>
  <c r="H975" i="1"/>
  <c r="C975" i="1"/>
  <c r="H974" i="1"/>
  <c r="I974" i="1" s="1"/>
  <c r="C974" i="1"/>
  <c r="H973" i="1"/>
  <c r="I973" i="1" s="1"/>
  <c r="C973" i="1"/>
  <c r="H972" i="1"/>
  <c r="I972" i="1" s="1"/>
  <c r="C972" i="1"/>
  <c r="H971" i="1"/>
  <c r="I971" i="1" s="1"/>
  <c r="C971" i="1"/>
  <c r="H970" i="1"/>
  <c r="I970" i="1" s="1"/>
  <c r="C970" i="1"/>
  <c r="H969" i="1"/>
  <c r="I969" i="1" s="1"/>
  <c r="C969" i="1"/>
  <c r="H968" i="1"/>
  <c r="I968" i="1" s="1"/>
  <c r="C968" i="1"/>
  <c r="H967" i="1"/>
  <c r="I967" i="1" s="1"/>
  <c r="C967" i="1"/>
  <c r="H966" i="1"/>
  <c r="I966" i="1" s="1"/>
  <c r="C966" i="1"/>
  <c r="H965" i="1"/>
  <c r="I965" i="1" s="1"/>
  <c r="C965" i="1"/>
  <c r="H964" i="1"/>
  <c r="I964" i="1" s="1"/>
  <c r="C964" i="1"/>
  <c r="H963" i="1"/>
  <c r="I963" i="1" s="1"/>
  <c r="C963" i="1"/>
  <c r="H962" i="1"/>
  <c r="I962" i="1" s="1"/>
  <c r="C962" i="1"/>
  <c r="H961" i="1"/>
  <c r="I961" i="1" s="1"/>
  <c r="C961" i="1"/>
  <c r="I960" i="1"/>
  <c r="H960" i="1"/>
  <c r="C960" i="1"/>
  <c r="H959" i="1"/>
  <c r="I959" i="1" s="1"/>
  <c r="C959" i="1"/>
  <c r="I958" i="1"/>
  <c r="H958" i="1"/>
  <c r="C958" i="1"/>
  <c r="H957" i="1"/>
  <c r="I957" i="1" s="1"/>
  <c r="C957" i="1"/>
  <c r="H956" i="1"/>
  <c r="I956" i="1" s="1"/>
  <c r="C956" i="1"/>
  <c r="H955" i="1"/>
  <c r="I955" i="1" s="1"/>
  <c r="C955" i="1"/>
  <c r="H954" i="1"/>
  <c r="I954" i="1" s="1"/>
  <c r="C954" i="1"/>
  <c r="H953" i="1"/>
  <c r="I953" i="1" s="1"/>
  <c r="C953" i="1"/>
  <c r="H952" i="1"/>
  <c r="I952" i="1" s="1"/>
  <c r="C952" i="1"/>
  <c r="H951" i="1"/>
  <c r="I951" i="1" s="1"/>
  <c r="C951" i="1"/>
  <c r="H950" i="1"/>
  <c r="I950" i="1" s="1"/>
  <c r="C950" i="1"/>
  <c r="H949" i="1"/>
  <c r="I949" i="1" s="1"/>
  <c r="C949" i="1"/>
  <c r="H948" i="1"/>
  <c r="I948" i="1" s="1"/>
  <c r="C948" i="1"/>
  <c r="H947" i="1"/>
  <c r="I947" i="1" s="1"/>
  <c r="C947" i="1"/>
  <c r="H946" i="1"/>
  <c r="I946" i="1" s="1"/>
  <c r="C946" i="1"/>
  <c r="H945" i="1"/>
  <c r="I945" i="1" s="1"/>
  <c r="C945" i="1"/>
  <c r="H944" i="1"/>
  <c r="I944" i="1" s="1"/>
  <c r="C944" i="1"/>
  <c r="H943" i="1"/>
  <c r="I943" i="1" s="1"/>
  <c r="C943" i="1"/>
  <c r="H942" i="1"/>
  <c r="I942" i="1" s="1"/>
  <c r="C942" i="1"/>
  <c r="H941" i="1"/>
  <c r="I941" i="1" s="1"/>
  <c r="C941" i="1"/>
  <c r="H940" i="1"/>
  <c r="I940" i="1" s="1"/>
  <c r="C940" i="1"/>
  <c r="H939" i="1"/>
  <c r="I939" i="1" s="1"/>
  <c r="C939" i="1"/>
  <c r="H938" i="1"/>
  <c r="I938" i="1" s="1"/>
  <c r="C938" i="1"/>
  <c r="I937" i="1"/>
  <c r="H937" i="1"/>
  <c r="C937" i="1"/>
  <c r="H936" i="1"/>
  <c r="I936" i="1" s="1"/>
  <c r="C936" i="1"/>
  <c r="H935" i="1"/>
  <c r="I935" i="1" s="1"/>
  <c r="C935" i="1"/>
  <c r="I934" i="1"/>
  <c r="H934" i="1"/>
  <c r="C934" i="1"/>
  <c r="H933" i="1"/>
  <c r="I933" i="1" s="1"/>
  <c r="C933" i="1"/>
  <c r="H932" i="1"/>
  <c r="I932" i="1" s="1"/>
  <c r="C932" i="1"/>
  <c r="I931" i="1"/>
  <c r="H931" i="1"/>
  <c r="C931" i="1"/>
  <c r="H930" i="1"/>
  <c r="I930" i="1" s="1"/>
  <c r="C930" i="1"/>
  <c r="H929" i="1"/>
  <c r="I929" i="1" s="1"/>
  <c r="C929" i="1"/>
  <c r="H928" i="1"/>
  <c r="I928" i="1" s="1"/>
  <c r="C928" i="1"/>
  <c r="I927" i="1"/>
  <c r="H927" i="1"/>
  <c r="C927" i="1"/>
  <c r="H926" i="1"/>
  <c r="I926" i="1" s="1"/>
  <c r="C926" i="1"/>
  <c r="H925" i="1"/>
  <c r="I925" i="1" s="1"/>
  <c r="C925" i="1"/>
  <c r="I924" i="1"/>
  <c r="H924" i="1"/>
  <c r="C924" i="1"/>
  <c r="I923" i="1"/>
  <c r="H923" i="1"/>
  <c r="C923" i="1"/>
  <c r="I922" i="1"/>
  <c r="H922" i="1"/>
  <c r="C922" i="1"/>
  <c r="I921" i="1"/>
  <c r="H921" i="1"/>
  <c r="C921" i="1"/>
  <c r="I920" i="1"/>
  <c r="H920" i="1"/>
  <c r="C920" i="1"/>
  <c r="H919" i="1"/>
  <c r="I919" i="1" s="1"/>
  <c r="C919" i="1"/>
  <c r="I918" i="1"/>
  <c r="H918" i="1"/>
  <c r="C918" i="1"/>
  <c r="H917" i="1"/>
  <c r="I917" i="1" s="1"/>
  <c r="C917" i="1"/>
  <c r="H916" i="1"/>
  <c r="I916" i="1" s="1"/>
  <c r="C916" i="1"/>
  <c r="H915" i="1"/>
  <c r="I915" i="1" s="1"/>
  <c r="C915" i="1"/>
  <c r="I914" i="1"/>
  <c r="H914" i="1"/>
  <c r="C914" i="1"/>
  <c r="H913" i="1"/>
  <c r="I913" i="1" s="1"/>
  <c r="C913" i="1"/>
  <c r="H912" i="1"/>
  <c r="I912" i="1" s="1"/>
  <c r="C912" i="1"/>
  <c r="H911" i="1"/>
  <c r="I911" i="1" s="1"/>
  <c r="C911" i="1"/>
  <c r="H910" i="1"/>
  <c r="I910" i="1" s="1"/>
  <c r="C910" i="1"/>
  <c r="H909" i="1"/>
  <c r="I909" i="1" s="1"/>
  <c r="C909" i="1"/>
  <c r="H908" i="1"/>
  <c r="I908" i="1" s="1"/>
  <c r="C908" i="1"/>
  <c r="I907" i="1"/>
  <c r="H907" i="1"/>
  <c r="C907" i="1"/>
  <c r="H906" i="1"/>
  <c r="I906" i="1" s="1"/>
  <c r="C906" i="1"/>
  <c r="H905" i="1"/>
  <c r="I905" i="1" s="1"/>
  <c r="C905" i="1"/>
  <c r="I904" i="1"/>
  <c r="H904" i="1"/>
  <c r="C904" i="1"/>
  <c r="H903" i="1"/>
  <c r="I903" i="1" s="1"/>
  <c r="C903" i="1"/>
  <c r="H902" i="1"/>
  <c r="I902" i="1" s="1"/>
  <c r="C902" i="1"/>
  <c r="H901" i="1"/>
  <c r="I901" i="1" s="1"/>
  <c r="C901" i="1"/>
  <c r="H900" i="1"/>
  <c r="I900" i="1" s="1"/>
  <c r="C900" i="1"/>
  <c r="H899" i="1"/>
  <c r="I899" i="1" s="1"/>
  <c r="C899" i="1"/>
  <c r="H898" i="1"/>
  <c r="I898" i="1" s="1"/>
  <c r="C898" i="1"/>
  <c r="H897" i="1"/>
  <c r="I897" i="1" s="1"/>
  <c r="C897" i="1"/>
  <c r="H896" i="1"/>
  <c r="I896" i="1" s="1"/>
  <c r="C896" i="1"/>
  <c r="I895" i="1"/>
  <c r="H895" i="1"/>
  <c r="C895" i="1"/>
  <c r="H894" i="1"/>
  <c r="I894" i="1" s="1"/>
  <c r="C894" i="1"/>
  <c r="H893" i="1"/>
  <c r="I893" i="1" s="1"/>
  <c r="C893" i="1"/>
  <c r="H892" i="1"/>
  <c r="I892" i="1" s="1"/>
  <c r="C892" i="1"/>
  <c r="I891" i="1"/>
  <c r="H891" i="1"/>
  <c r="C891" i="1"/>
  <c r="I890" i="1"/>
  <c r="H890" i="1"/>
  <c r="C890" i="1"/>
  <c r="H889" i="1"/>
  <c r="I889" i="1" s="1"/>
  <c r="C889" i="1"/>
  <c r="H888" i="1"/>
  <c r="I888" i="1" s="1"/>
  <c r="C888" i="1"/>
  <c r="H887" i="1"/>
  <c r="I887" i="1" s="1"/>
  <c r="C887" i="1"/>
  <c r="H886" i="1"/>
  <c r="I886" i="1" s="1"/>
  <c r="C886" i="1"/>
  <c r="H885" i="1"/>
  <c r="I885" i="1" s="1"/>
  <c r="C885" i="1"/>
  <c r="H884" i="1"/>
  <c r="I884" i="1" s="1"/>
  <c r="C884" i="1"/>
  <c r="H883" i="1"/>
  <c r="I883" i="1" s="1"/>
  <c r="C883" i="1"/>
  <c r="H882" i="1"/>
  <c r="I882" i="1" s="1"/>
  <c r="C882" i="1"/>
  <c r="H881" i="1"/>
  <c r="I881" i="1" s="1"/>
  <c r="C881" i="1"/>
  <c r="H880" i="1"/>
  <c r="I880" i="1" s="1"/>
  <c r="C880" i="1"/>
  <c r="H879" i="1"/>
  <c r="I879" i="1" s="1"/>
  <c r="C879" i="1"/>
  <c r="H878" i="1"/>
  <c r="I878" i="1" s="1"/>
  <c r="C878" i="1"/>
  <c r="H877" i="1"/>
  <c r="I877" i="1" s="1"/>
  <c r="C877" i="1"/>
  <c r="H876" i="1"/>
  <c r="I876" i="1" s="1"/>
  <c r="C876" i="1"/>
  <c r="H875" i="1"/>
  <c r="I875" i="1" s="1"/>
  <c r="C875" i="1"/>
  <c r="H874" i="1"/>
  <c r="I874" i="1" s="1"/>
  <c r="C874" i="1"/>
  <c r="I873" i="1"/>
  <c r="H873" i="1"/>
  <c r="C873" i="1"/>
  <c r="I872" i="1"/>
  <c r="H872" i="1"/>
  <c r="C872" i="1"/>
  <c r="H871" i="1"/>
  <c r="I871" i="1" s="1"/>
  <c r="C871" i="1"/>
  <c r="I870" i="1"/>
  <c r="H870" i="1"/>
  <c r="C870" i="1"/>
  <c r="I869" i="1"/>
  <c r="H869" i="1"/>
  <c r="C869" i="1"/>
  <c r="H868" i="1"/>
  <c r="I868" i="1" s="1"/>
  <c r="C868" i="1"/>
  <c r="H867" i="1"/>
  <c r="I867" i="1" s="1"/>
  <c r="C867" i="1"/>
  <c r="H866" i="1"/>
  <c r="I866" i="1" s="1"/>
  <c r="C866" i="1"/>
  <c r="H865" i="1"/>
  <c r="I865" i="1" s="1"/>
  <c r="C865" i="1"/>
  <c r="I864" i="1"/>
  <c r="H864" i="1"/>
  <c r="C864" i="1"/>
  <c r="H863" i="1"/>
  <c r="I863" i="1" s="1"/>
  <c r="C863" i="1"/>
  <c r="H862" i="1"/>
  <c r="I862" i="1" s="1"/>
  <c r="C862" i="1"/>
  <c r="H861" i="1"/>
  <c r="I861" i="1" s="1"/>
  <c r="C861" i="1"/>
  <c r="I860" i="1"/>
  <c r="H860" i="1"/>
  <c r="C860" i="1"/>
  <c r="H859" i="1"/>
  <c r="I859" i="1" s="1"/>
  <c r="C859" i="1"/>
  <c r="H858" i="1"/>
  <c r="I858" i="1" s="1"/>
  <c r="C858" i="1"/>
  <c r="H857" i="1"/>
  <c r="I857" i="1" s="1"/>
  <c r="C857" i="1"/>
  <c r="H856" i="1"/>
  <c r="I856" i="1" s="1"/>
  <c r="C856" i="1"/>
  <c r="H855" i="1"/>
  <c r="I855" i="1" s="1"/>
  <c r="C855" i="1"/>
  <c r="H854" i="1"/>
  <c r="I854" i="1" s="1"/>
  <c r="C854" i="1"/>
  <c r="H853" i="1"/>
  <c r="I853" i="1" s="1"/>
  <c r="C853" i="1"/>
  <c r="H852" i="1"/>
  <c r="I852" i="1" s="1"/>
  <c r="C852" i="1"/>
  <c r="H851" i="1"/>
  <c r="I851" i="1" s="1"/>
  <c r="C851" i="1"/>
  <c r="H850" i="1"/>
  <c r="I850" i="1" s="1"/>
  <c r="C850" i="1"/>
  <c r="H849" i="1"/>
  <c r="I849" i="1" s="1"/>
  <c r="C849" i="1"/>
  <c r="H848" i="1"/>
  <c r="I848" i="1" s="1"/>
  <c r="C848" i="1"/>
  <c r="H847" i="1"/>
  <c r="I847" i="1" s="1"/>
  <c r="C847" i="1"/>
  <c r="H846" i="1"/>
  <c r="I846" i="1" s="1"/>
  <c r="C846" i="1"/>
  <c r="H845" i="1"/>
  <c r="I845" i="1" s="1"/>
  <c r="C845" i="1"/>
  <c r="H844" i="1"/>
  <c r="I844" i="1" s="1"/>
  <c r="C844" i="1"/>
  <c r="H843" i="1"/>
  <c r="I843" i="1" s="1"/>
  <c r="C843" i="1"/>
  <c r="H842" i="1"/>
  <c r="I842" i="1" s="1"/>
  <c r="C842" i="1"/>
  <c r="H841" i="1"/>
  <c r="I841" i="1" s="1"/>
  <c r="C841" i="1"/>
  <c r="H840" i="1"/>
  <c r="I840" i="1" s="1"/>
  <c r="C840" i="1"/>
  <c r="I839" i="1"/>
  <c r="H839" i="1"/>
  <c r="C839" i="1"/>
  <c r="I838" i="1"/>
  <c r="H838" i="1"/>
  <c r="C838" i="1"/>
  <c r="H837" i="1"/>
  <c r="I837" i="1" s="1"/>
  <c r="C837" i="1"/>
  <c r="H836" i="1"/>
  <c r="I836" i="1" s="1"/>
  <c r="C836" i="1"/>
  <c r="I835" i="1"/>
  <c r="H835" i="1"/>
  <c r="C835" i="1"/>
  <c r="H834" i="1"/>
  <c r="I834" i="1" s="1"/>
  <c r="C834" i="1"/>
  <c r="H833" i="1"/>
  <c r="I833" i="1" s="1"/>
  <c r="C833" i="1"/>
  <c r="H832" i="1"/>
  <c r="I832" i="1" s="1"/>
  <c r="C832" i="1"/>
  <c r="H831" i="1"/>
  <c r="I831" i="1" s="1"/>
  <c r="C831" i="1"/>
  <c r="H830" i="1"/>
  <c r="I830" i="1" s="1"/>
  <c r="C830" i="1"/>
  <c r="H829" i="1"/>
  <c r="I829" i="1" s="1"/>
  <c r="C829" i="1"/>
  <c r="I828" i="1"/>
  <c r="H828" i="1"/>
  <c r="C828" i="1"/>
  <c r="H827" i="1"/>
  <c r="I827" i="1" s="1"/>
  <c r="C827" i="1"/>
  <c r="H826" i="1"/>
  <c r="I826" i="1" s="1"/>
  <c r="C826" i="1"/>
  <c r="H825" i="1"/>
  <c r="I825" i="1" s="1"/>
  <c r="C825" i="1"/>
  <c r="H824" i="1"/>
  <c r="I824" i="1" s="1"/>
  <c r="C824" i="1"/>
  <c r="H823" i="1"/>
  <c r="I823" i="1" s="1"/>
  <c r="C823" i="1"/>
  <c r="I822" i="1"/>
  <c r="H822" i="1"/>
  <c r="C822" i="1"/>
  <c r="H821" i="1"/>
  <c r="I821" i="1" s="1"/>
  <c r="C821" i="1"/>
  <c r="H820" i="1"/>
  <c r="I820" i="1" s="1"/>
  <c r="C820" i="1"/>
  <c r="H819" i="1"/>
  <c r="I819" i="1" s="1"/>
  <c r="C819" i="1"/>
  <c r="H818" i="1"/>
  <c r="I818" i="1" s="1"/>
  <c r="C818" i="1"/>
  <c r="H817" i="1"/>
  <c r="I817" i="1" s="1"/>
  <c r="C817" i="1"/>
  <c r="I816" i="1"/>
  <c r="H816" i="1"/>
  <c r="C816" i="1"/>
  <c r="H815" i="1"/>
  <c r="I815" i="1" s="1"/>
  <c r="C815" i="1"/>
  <c r="I814" i="1"/>
  <c r="H814" i="1"/>
  <c r="C814" i="1"/>
  <c r="H813" i="1"/>
  <c r="I813" i="1" s="1"/>
  <c r="C813" i="1"/>
  <c r="H812" i="1"/>
  <c r="I812" i="1" s="1"/>
  <c r="C812" i="1"/>
  <c r="I811" i="1"/>
  <c r="H811" i="1"/>
  <c r="C811" i="1"/>
  <c r="H810" i="1"/>
  <c r="I810" i="1" s="1"/>
  <c r="C810" i="1"/>
  <c r="H809" i="1"/>
  <c r="I809" i="1" s="1"/>
  <c r="C809" i="1"/>
  <c r="H808" i="1"/>
  <c r="I808" i="1" s="1"/>
  <c r="C808" i="1"/>
  <c r="H807" i="1"/>
  <c r="I807" i="1" s="1"/>
  <c r="C807" i="1"/>
  <c r="H806" i="1"/>
  <c r="I806" i="1" s="1"/>
  <c r="C806" i="1"/>
  <c r="H805" i="1"/>
  <c r="I805" i="1" s="1"/>
  <c r="C805" i="1"/>
  <c r="H804" i="1"/>
  <c r="I804" i="1" s="1"/>
  <c r="C804" i="1"/>
  <c r="H803" i="1"/>
  <c r="I803" i="1" s="1"/>
  <c r="C803" i="1"/>
  <c r="H802" i="1"/>
  <c r="I802" i="1" s="1"/>
  <c r="C802" i="1"/>
  <c r="H801" i="1"/>
  <c r="I801" i="1" s="1"/>
  <c r="C801" i="1"/>
  <c r="H800" i="1"/>
  <c r="I800" i="1" s="1"/>
  <c r="C800" i="1"/>
  <c r="I799" i="1"/>
  <c r="H799" i="1"/>
  <c r="C799" i="1"/>
  <c r="I798" i="1"/>
  <c r="H798" i="1"/>
  <c r="C798" i="1"/>
  <c r="H797" i="1"/>
  <c r="I797" i="1" s="1"/>
  <c r="C797" i="1"/>
  <c r="I796" i="1"/>
  <c r="H796" i="1"/>
  <c r="C796" i="1"/>
  <c r="I795" i="1"/>
  <c r="H795" i="1"/>
  <c r="C795" i="1"/>
  <c r="I794" i="1"/>
  <c r="H794" i="1"/>
  <c r="C794" i="1"/>
  <c r="H793" i="1"/>
  <c r="I793" i="1" s="1"/>
  <c r="C793" i="1"/>
  <c r="H792" i="1"/>
  <c r="I792" i="1" s="1"/>
  <c r="C792" i="1"/>
  <c r="H791" i="1"/>
  <c r="I791" i="1" s="1"/>
  <c r="C791" i="1"/>
  <c r="H790" i="1"/>
  <c r="I790" i="1" s="1"/>
  <c r="C790" i="1"/>
  <c r="H789" i="1"/>
  <c r="I789" i="1" s="1"/>
  <c r="C789" i="1"/>
  <c r="H788" i="1"/>
  <c r="I788" i="1" s="1"/>
  <c r="C788" i="1"/>
  <c r="H787" i="1"/>
  <c r="I787" i="1" s="1"/>
  <c r="C787" i="1"/>
  <c r="H786" i="1"/>
  <c r="I786" i="1" s="1"/>
  <c r="C786" i="1"/>
  <c r="H785" i="1"/>
  <c r="I785" i="1" s="1"/>
  <c r="C785" i="1"/>
  <c r="H784" i="1"/>
  <c r="I784" i="1" s="1"/>
  <c r="C784" i="1"/>
  <c r="H783" i="1"/>
  <c r="I783" i="1" s="1"/>
  <c r="C783" i="1"/>
  <c r="H782" i="1"/>
  <c r="I782" i="1" s="1"/>
  <c r="C782" i="1"/>
  <c r="H781" i="1"/>
  <c r="I781" i="1" s="1"/>
  <c r="C781" i="1"/>
  <c r="H780" i="1"/>
  <c r="I780" i="1" s="1"/>
  <c r="C780" i="1"/>
  <c r="H779" i="1"/>
  <c r="I779" i="1" s="1"/>
  <c r="C779" i="1"/>
  <c r="H778" i="1"/>
  <c r="I778" i="1" s="1"/>
  <c r="C778" i="1"/>
  <c r="H777" i="1"/>
  <c r="I777" i="1" s="1"/>
  <c r="C777" i="1"/>
  <c r="I776" i="1"/>
  <c r="H776" i="1"/>
  <c r="C776" i="1"/>
  <c r="H775" i="1"/>
  <c r="I775" i="1" s="1"/>
  <c r="C775" i="1"/>
  <c r="I774" i="1"/>
  <c r="H774" i="1"/>
  <c r="C774" i="1"/>
  <c r="I773" i="1"/>
  <c r="H773" i="1"/>
  <c r="C773" i="1"/>
  <c r="H772" i="1"/>
  <c r="I772" i="1" s="1"/>
  <c r="C772" i="1"/>
  <c r="I771" i="1"/>
  <c r="H771" i="1"/>
  <c r="C771" i="1"/>
  <c r="H770" i="1"/>
  <c r="I770" i="1" s="1"/>
  <c r="C770" i="1"/>
  <c r="H769" i="1"/>
  <c r="I769" i="1" s="1"/>
  <c r="C769" i="1"/>
  <c r="H768" i="1"/>
  <c r="I768" i="1" s="1"/>
  <c r="C768" i="1"/>
  <c r="H767" i="1"/>
  <c r="I767" i="1" s="1"/>
  <c r="C767" i="1"/>
  <c r="H766" i="1"/>
  <c r="I766" i="1" s="1"/>
  <c r="C766" i="1"/>
  <c r="H765" i="1"/>
  <c r="I765" i="1" s="1"/>
  <c r="C765" i="1"/>
  <c r="H764" i="1"/>
  <c r="I764" i="1" s="1"/>
  <c r="C764" i="1"/>
  <c r="H763" i="1"/>
  <c r="I763" i="1" s="1"/>
  <c r="C763" i="1"/>
  <c r="H762" i="1"/>
  <c r="I762" i="1" s="1"/>
  <c r="C762" i="1"/>
  <c r="H761" i="1"/>
  <c r="I761" i="1" s="1"/>
  <c r="C761" i="1"/>
  <c r="H760" i="1"/>
  <c r="I760" i="1" s="1"/>
  <c r="C760" i="1"/>
  <c r="I759" i="1"/>
  <c r="H759" i="1"/>
  <c r="C759" i="1"/>
  <c r="H758" i="1"/>
  <c r="I758" i="1" s="1"/>
  <c r="C758" i="1"/>
  <c r="I757" i="1"/>
  <c r="H757" i="1"/>
  <c r="C757" i="1"/>
  <c r="I756" i="1"/>
  <c r="H756" i="1"/>
  <c r="C756" i="1"/>
  <c r="H755" i="1"/>
  <c r="I755" i="1" s="1"/>
  <c r="C755" i="1"/>
  <c r="H754" i="1"/>
  <c r="I754" i="1" s="1"/>
  <c r="C754" i="1"/>
  <c r="H753" i="1"/>
  <c r="I753" i="1" s="1"/>
  <c r="C753" i="1"/>
  <c r="H752" i="1"/>
  <c r="I752" i="1" s="1"/>
  <c r="C752" i="1"/>
  <c r="H751" i="1"/>
  <c r="I751" i="1" s="1"/>
  <c r="C751" i="1"/>
  <c r="H750" i="1"/>
  <c r="I750" i="1" s="1"/>
  <c r="C750" i="1"/>
  <c r="H749" i="1"/>
  <c r="I749" i="1" s="1"/>
  <c r="C749" i="1"/>
  <c r="H748" i="1"/>
  <c r="I748" i="1" s="1"/>
  <c r="C748" i="1"/>
  <c r="I747" i="1"/>
  <c r="H747" i="1"/>
  <c r="C747" i="1"/>
  <c r="I746" i="1"/>
  <c r="H746" i="1"/>
  <c r="C746" i="1"/>
  <c r="H745" i="1"/>
  <c r="I745" i="1" s="1"/>
  <c r="C745" i="1"/>
  <c r="I744" i="1"/>
  <c r="H744" i="1"/>
  <c r="C744" i="1"/>
  <c r="H743" i="1"/>
  <c r="I743" i="1" s="1"/>
  <c r="C743" i="1"/>
  <c r="H742" i="1"/>
  <c r="I742" i="1" s="1"/>
  <c r="C742" i="1"/>
  <c r="H741" i="1"/>
  <c r="I741" i="1" s="1"/>
  <c r="C741" i="1"/>
  <c r="H740" i="1"/>
  <c r="I740" i="1" s="1"/>
  <c r="C740" i="1"/>
  <c r="I739" i="1"/>
  <c r="H739" i="1"/>
  <c r="C739" i="1"/>
  <c r="H738" i="1"/>
  <c r="I738" i="1" s="1"/>
  <c r="C738" i="1"/>
  <c r="H737" i="1"/>
  <c r="I737" i="1" s="1"/>
  <c r="C737" i="1"/>
  <c r="I736" i="1"/>
  <c r="H736" i="1"/>
  <c r="C736" i="1"/>
  <c r="H735" i="1"/>
  <c r="I735" i="1" s="1"/>
  <c r="C735" i="1"/>
  <c r="H734" i="1"/>
  <c r="I734" i="1" s="1"/>
  <c r="C734" i="1"/>
  <c r="I733" i="1"/>
  <c r="H733" i="1"/>
  <c r="C733" i="1"/>
  <c r="H732" i="1"/>
  <c r="I732" i="1" s="1"/>
  <c r="C732" i="1"/>
  <c r="H731" i="1"/>
  <c r="I731" i="1" s="1"/>
  <c r="C731" i="1"/>
  <c r="H730" i="1"/>
  <c r="I730" i="1" s="1"/>
  <c r="C730" i="1"/>
  <c r="H729" i="1"/>
  <c r="I729" i="1" s="1"/>
  <c r="C729" i="1"/>
  <c r="H728" i="1"/>
  <c r="I728" i="1" s="1"/>
  <c r="C728" i="1"/>
  <c r="H727" i="1"/>
  <c r="I727" i="1" s="1"/>
  <c r="C727" i="1"/>
  <c r="H726" i="1"/>
  <c r="I726" i="1" s="1"/>
  <c r="C726" i="1"/>
  <c r="H725" i="1"/>
  <c r="I725" i="1" s="1"/>
  <c r="C725" i="1"/>
  <c r="H724" i="1"/>
  <c r="I724" i="1" s="1"/>
  <c r="C724" i="1"/>
  <c r="H723" i="1"/>
  <c r="I723" i="1" s="1"/>
  <c r="C723" i="1"/>
  <c r="H722" i="1"/>
  <c r="I722" i="1" s="1"/>
  <c r="C722" i="1"/>
  <c r="H721" i="1"/>
  <c r="I721" i="1" s="1"/>
  <c r="C721" i="1"/>
  <c r="H720" i="1"/>
  <c r="I720" i="1" s="1"/>
  <c r="C720" i="1"/>
  <c r="H719" i="1"/>
  <c r="I719" i="1" s="1"/>
  <c r="C719" i="1"/>
  <c r="H718" i="1"/>
  <c r="I718" i="1" s="1"/>
  <c r="C718" i="1"/>
  <c r="H717" i="1"/>
  <c r="I717" i="1" s="1"/>
  <c r="C717" i="1"/>
  <c r="H716" i="1"/>
  <c r="I716" i="1" s="1"/>
  <c r="C716" i="1"/>
  <c r="H715" i="1"/>
  <c r="I715" i="1" s="1"/>
  <c r="C715" i="1"/>
  <c r="H714" i="1"/>
  <c r="I714" i="1" s="1"/>
  <c r="C714" i="1"/>
  <c r="H713" i="1"/>
  <c r="I713" i="1" s="1"/>
  <c r="C713" i="1"/>
  <c r="H712" i="1"/>
  <c r="I712" i="1" s="1"/>
  <c r="C712" i="1"/>
  <c r="H711" i="1"/>
  <c r="I711" i="1" s="1"/>
  <c r="C711" i="1"/>
  <c r="H710" i="1"/>
  <c r="I710" i="1" s="1"/>
  <c r="C710" i="1"/>
  <c r="I709" i="1"/>
  <c r="H709" i="1"/>
  <c r="C709" i="1"/>
  <c r="H708" i="1"/>
  <c r="I708" i="1" s="1"/>
  <c r="C708" i="1"/>
  <c r="H707" i="1"/>
  <c r="I707" i="1" s="1"/>
  <c r="C707" i="1"/>
  <c r="I706" i="1"/>
  <c r="H706" i="1"/>
  <c r="C706" i="1"/>
  <c r="H705" i="1"/>
  <c r="I705" i="1" s="1"/>
  <c r="C705" i="1"/>
  <c r="H704" i="1"/>
  <c r="I704" i="1" s="1"/>
  <c r="C704" i="1"/>
  <c r="I703" i="1"/>
  <c r="H703" i="1"/>
  <c r="C703" i="1"/>
  <c r="H702" i="1"/>
  <c r="I702" i="1" s="1"/>
  <c r="C702" i="1"/>
  <c r="H701" i="1"/>
  <c r="I701" i="1" s="1"/>
  <c r="C701" i="1"/>
  <c r="I700" i="1"/>
  <c r="H700" i="1"/>
  <c r="C700" i="1"/>
  <c r="H699" i="1"/>
  <c r="I699" i="1" s="1"/>
  <c r="C699" i="1"/>
  <c r="H698" i="1"/>
  <c r="I698" i="1" s="1"/>
  <c r="C698" i="1"/>
  <c r="H697" i="1"/>
  <c r="I697" i="1" s="1"/>
  <c r="C697" i="1"/>
  <c r="H696" i="1"/>
  <c r="I696" i="1" s="1"/>
  <c r="C696" i="1"/>
  <c r="I695" i="1"/>
  <c r="H695" i="1"/>
  <c r="C695" i="1"/>
  <c r="H694" i="1"/>
  <c r="I694" i="1" s="1"/>
  <c r="C694" i="1"/>
  <c r="H693" i="1"/>
  <c r="I693" i="1" s="1"/>
  <c r="C693" i="1"/>
  <c r="H692" i="1"/>
  <c r="I692" i="1" s="1"/>
  <c r="C692" i="1"/>
  <c r="H691" i="1"/>
  <c r="I691" i="1" s="1"/>
  <c r="C691" i="1"/>
  <c r="H690" i="1"/>
  <c r="I690" i="1" s="1"/>
  <c r="C690" i="1"/>
  <c r="H689" i="1"/>
  <c r="I689" i="1" s="1"/>
  <c r="C689" i="1"/>
  <c r="H688" i="1"/>
  <c r="I688" i="1" s="1"/>
  <c r="C688" i="1"/>
  <c r="I687" i="1"/>
  <c r="H687" i="1"/>
  <c r="C687" i="1"/>
  <c r="I686" i="1"/>
  <c r="H686" i="1"/>
  <c r="C686" i="1"/>
  <c r="I685" i="1"/>
  <c r="H685" i="1"/>
  <c r="C685" i="1"/>
  <c r="H684" i="1"/>
  <c r="I684" i="1" s="1"/>
  <c r="C684" i="1"/>
  <c r="H683" i="1"/>
  <c r="I683" i="1" s="1"/>
  <c r="C683" i="1"/>
  <c r="I682" i="1"/>
  <c r="H682" i="1"/>
  <c r="C682" i="1"/>
  <c r="I681" i="1"/>
  <c r="H681" i="1"/>
  <c r="C681" i="1"/>
  <c r="I680" i="1"/>
  <c r="H680" i="1"/>
  <c r="C680" i="1"/>
  <c r="H679" i="1"/>
  <c r="I679" i="1" s="1"/>
  <c r="C679" i="1"/>
  <c r="H678" i="1"/>
  <c r="I678" i="1" s="1"/>
  <c r="C678" i="1"/>
  <c r="H677" i="1"/>
  <c r="I677" i="1" s="1"/>
  <c r="C677" i="1"/>
  <c r="H676" i="1"/>
  <c r="I676" i="1" s="1"/>
  <c r="C676" i="1"/>
  <c r="H675" i="1"/>
  <c r="I675" i="1" s="1"/>
  <c r="C675" i="1"/>
  <c r="H674" i="1"/>
  <c r="I674" i="1" s="1"/>
  <c r="C674" i="1"/>
  <c r="H673" i="1"/>
  <c r="I673" i="1" s="1"/>
  <c r="C673" i="1"/>
  <c r="H672" i="1"/>
  <c r="I672" i="1" s="1"/>
  <c r="C672" i="1"/>
  <c r="H671" i="1"/>
  <c r="I671" i="1" s="1"/>
  <c r="C671" i="1"/>
  <c r="H670" i="1"/>
  <c r="I670" i="1" s="1"/>
  <c r="C670" i="1"/>
  <c r="I669" i="1"/>
  <c r="H669" i="1"/>
  <c r="C669" i="1"/>
  <c r="I668" i="1"/>
  <c r="H668" i="1"/>
  <c r="C668" i="1"/>
  <c r="I667" i="1"/>
  <c r="H667" i="1"/>
  <c r="C667" i="1"/>
  <c r="H666" i="1"/>
  <c r="I666" i="1" s="1"/>
  <c r="C666" i="1"/>
  <c r="H665" i="1"/>
  <c r="I665" i="1" s="1"/>
  <c r="C665" i="1"/>
  <c r="I664" i="1"/>
  <c r="H664" i="1"/>
  <c r="C664" i="1"/>
  <c r="H663" i="1"/>
  <c r="I663" i="1" s="1"/>
  <c r="C663" i="1"/>
  <c r="H662" i="1"/>
  <c r="I662" i="1" s="1"/>
  <c r="C662" i="1"/>
  <c r="H661" i="1"/>
  <c r="I661" i="1" s="1"/>
  <c r="C661" i="1"/>
  <c r="H660" i="1"/>
  <c r="I660" i="1" s="1"/>
  <c r="C660" i="1"/>
  <c r="I659" i="1"/>
  <c r="H659" i="1"/>
  <c r="C659" i="1"/>
  <c r="H658" i="1"/>
  <c r="I658" i="1" s="1"/>
  <c r="C658" i="1"/>
  <c r="H657" i="1"/>
  <c r="I657" i="1" s="1"/>
  <c r="C657" i="1"/>
  <c r="H656" i="1"/>
  <c r="I656" i="1" s="1"/>
  <c r="C656" i="1"/>
  <c r="I655" i="1"/>
  <c r="H655" i="1"/>
  <c r="C655" i="1"/>
  <c r="H654" i="1"/>
  <c r="I654" i="1" s="1"/>
  <c r="C654" i="1"/>
  <c r="I653" i="1"/>
  <c r="H653" i="1"/>
  <c r="C653" i="1"/>
  <c r="I652" i="1"/>
  <c r="H652" i="1"/>
  <c r="C652" i="1"/>
  <c r="I651" i="1"/>
  <c r="H651" i="1"/>
  <c r="C651" i="1"/>
  <c r="H650" i="1"/>
  <c r="I650" i="1" s="1"/>
  <c r="C650" i="1"/>
  <c r="H649" i="1"/>
  <c r="I649" i="1" s="1"/>
  <c r="C649" i="1"/>
  <c r="H648" i="1"/>
  <c r="I648" i="1" s="1"/>
  <c r="C648" i="1"/>
  <c r="H647" i="1"/>
  <c r="I647" i="1" s="1"/>
  <c r="C647" i="1"/>
  <c r="H646" i="1"/>
  <c r="I646" i="1" s="1"/>
  <c r="C646" i="1"/>
  <c r="H645" i="1"/>
  <c r="I645" i="1" s="1"/>
  <c r="C645" i="1"/>
  <c r="H644" i="1"/>
  <c r="I644" i="1" s="1"/>
  <c r="C644" i="1"/>
  <c r="H643" i="1"/>
  <c r="I643" i="1" s="1"/>
  <c r="C643" i="1"/>
  <c r="H642" i="1"/>
  <c r="I642" i="1" s="1"/>
  <c r="C642" i="1"/>
  <c r="H641" i="1"/>
  <c r="I641" i="1" s="1"/>
  <c r="C641" i="1"/>
  <c r="I640" i="1"/>
  <c r="H640" i="1"/>
  <c r="C640" i="1"/>
  <c r="I639" i="1"/>
  <c r="H639" i="1"/>
  <c r="C639" i="1"/>
  <c r="H638" i="1"/>
  <c r="I638" i="1" s="1"/>
  <c r="C638" i="1"/>
  <c r="H637" i="1"/>
  <c r="I637" i="1" s="1"/>
  <c r="C637" i="1"/>
  <c r="I636" i="1"/>
  <c r="H636" i="1"/>
  <c r="C636" i="1"/>
  <c r="H635" i="1"/>
  <c r="I635" i="1" s="1"/>
  <c r="C635" i="1"/>
  <c r="H634" i="1"/>
  <c r="I634" i="1" s="1"/>
  <c r="C634" i="1"/>
  <c r="I633" i="1"/>
  <c r="H633" i="1"/>
  <c r="C633" i="1"/>
  <c r="H632" i="1"/>
  <c r="I632" i="1" s="1"/>
  <c r="C632" i="1"/>
  <c r="H631" i="1"/>
  <c r="I631" i="1" s="1"/>
  <c r="C631" i="1"/>
  <c r="I630" i="1"/>
  <c r="H630" i="1"/>
  <c r="C630" i="1"/>
  <c r="H629" i="1"/>
  <c r="I629" i="1" s="1"/>
  <c r="C629" i="1"/>
  <c r="H628" i="1"/>
  <c r="I628" i="1" s="1"/>
  <c r="C628" i="1"/>
  <c r="I627" i="1"/>
  <c r="H627" i="1"/>
  <c r="C627" i="1"/>
  <c r="H626" i="1"/>
  <c r="I626" i="1" s="1"/>
  <c r="C626" i="1"/>
  <c r="H625" i="1"/>
  <c r="I625" i="1" s="1"/>
  <c r="C625" i="1"/>
  <c r="I624" i="1"/>
  <c r="H624" i="1"/>
  <c r="C624" i="1"/>
  <c r="H623" i="1"/>
  <c r="I623" i="1" s="1"/>
  <c r="C623" i="1"/>
  <c r="H622" i="1"/>
  <c r="I622" i="1" s="1"/>
  <c r="C622" i="1"/>
  <c r="H621" i="1"/>
  <c r="I621" i="1" s="1"/>
  <c r="C621" i="1"/>
  <c r="H620" i="1"/>
  <c r="I620" i="1" s="1"/>
  <c r="C620" i="1"/>
  <c r="H619" i="1"/>
  <c r="I619" i="1" s="1"/>
  <c r="C619" i="1"/>
  <c r="H618" i="1"/>
  <c r="I618" i="1" s="1"/>
  <c r="C618" i="1"/>
  <c r="I617" i="1"/>
  <c r="H617" i="1"/>
  <c r="C617" i="1"/>
  <c r="H616" i="1"/>
  <c r="I616" i="1" s="1"/>
  <c r="C616" i="1"/>
  <c r="H615" i="1"/>
  <c r="I615" i="1" s="1"/>
  <c r="C615" i="1"/>
  <c r="I614" i="1"/>
  <c r="H614" i="1"/>
  <c r="C614" i="1"/>
  <c r="H613" i="1"/>
  <c r="I613" i="1" s="1"/>
  <c r="C613" i="1"/>
  <c r="H612" i="1"/>
  <c r="I612" i="1" s="1"/>
  <c r="C612" i="1"/>
  <c r="H611" i="1"/>
  <c r="I611" i="1" s="1"/>
  <c r="C611" i="1"/>
  <c r="H610" i="1"/>
  <c r="I610" i="1" s="1"/>
  <c r="C610" i="1"/>
  <c r="H609" i="1"/>
  <c r="I609" i="1" s="1"/>
  <c r="C609" i="1"/>
  <c r="H608" i="1"/>
  <c r="I608" i="1" s="1"/>
  <c r="C608" i="1"/>
  <c r="H607" i="1"/>
  <c r="I607" i="1" s="1"/>
  <c r="C607" i="1"/>
  <c r="H606" i="1"/>
  <c r="I606" i="1" s="1"/>
  <c r="C606" i="1"/>
  <c r="H605" i="1"/>
  <c r="I605" i="1" s="1"/>
  <c r="C605" i="1"/>
  <c r="H604" i="1"/>
  <c r="I604" i="1" s="1"/>
  <c r="C604" i="1"/>
  <c r="H603" i="1"/>
  <c r="I603" i="1" s="1"/>
  <c r="C603" i="1"/>
  <c r="H602" i="1"/>
  <c r="I602" i="1" s="1"/>
  <c r="C602" i="1"/>
  <c r="H601" i="1"/>
  <c r="I601" i="1" s="1"/>
  <c r="C601" i="1"/>
  <c r="H600" i="1"/>
  <c r="I600" i="1" s="1"/>
  <c r="C600" i="1"/>
  <c r="H599" i="1"/>
  <c r="I599" i="1" s="1"/>
  <c r="C599" i="1"/>
  <c r="H598" i="1"/>
  <c r="I598" i="1" s="1"/>
  <c r="C598" i="1"/>
  <c r="I597" i="1"/>
  <c r="H597" i="1"/>
  <c r="C597" i="1"/>
  <c r="H596" i="1"/>
  <c r="I596" i="1" s="1"/>
  <c r="C596" i="1"/>
  <c r="H595" i="1"/>
  <c r="I595" i="1" s="1"/>
  <c r="C595" i="1"/>
  <c r="I594" i="1"/>
  <c r="H594" i="1"/>
  <c r="C594" i="1"/>
  <c r="H593" i="1"/>
  <c r="I593" i="1" s="1"/>
  <c r="C593" i="1"/>
  <c r="H592" i="1"/>
  <c r="I592" i="1" s="1"/>
  <c r="C592" i="1"/>
  <c r="H591" i="1"/>
  <c r="I591" i="1" s="1"/>
  <c r="C591" i="1"/>
  <c r="H590" i="1"/>
  <c r="I590" i="1" s="1"/>
  <c r="C590" i="1"/>
  <c r="I589" i="1"/>
  <c r="H589" i="1"/>
  <c r="C589" i="1"/>
  <c r="I588" i="1"/>
  <c r="H588" i="1"/>
  <c r="C588" i="1"/>
  <c r="H587" i="1"/>
  <c r="I587" i="1" s="1"/>
  <c r="C587" i="1"/>
  <c r="H586" i="1"/>
  <c r="I586" i="1" s="1"/>
  <c r="C586" i="1"/>
  <c r="H585" i="1"/>
  <c r="I585" i="1" s="1"/>
  <c r="C585" i="1"/>
  <c r="H584" i="1"/>
  <c r="I584" i="1" s="1"/>
  <c r="C584" i="1"/>
  <c r="H583" i="1"/>
  <c r="I583" i="1" s="1"/>
  <c r="C583" i="1"/>
  <c r="I582" i="1"/>
  <c r="H582" i="1"/>
  <c r="C582" i="1"/>
  <c r="I581" i="1"/>
  <c r="H581" i="1"/>
  <c r="C581" i="1"/>
  <c r="I580" i="1"/>
  <c r="H580" i="1"/>
  <c r="C580" i="1"/>
  <c r="H579" i="1"/>
  <c r="I579" i="1" s="1"/>
  <c r="C579" i="1"/>
  <c r="H578" i="1"/>
  <c r="I578" i="1" s="1"/>
  <c r="C578" i="1"/>
  <c r="H577" i="1"/>
  <c r="I577" i="1" s="1"/>
  <c r="C577" i="1"/>
  <c r="H576" i="1"/>
  <c r="I576" i="1" s="1"/>
  <c r="C576" i="1"/>
  <c r="H575" i="1"/>
  <c r="I575" i="1" s="1"/>
  <c r="C575" i="1"/>
  <c r="H574" i="1"/>
  <c r="I574" i="1" s="1"/>
  <c r="C574" i="1"/>
  <c r="H573" i="1"/>
  <c r="I573" i="1" s="1"/>
  <c r="C573" i="1"/>
  <c r="H572" i="1"/>
  <c r="I572" i="1" s="1"/>
  <c r="C572" i="1"/>
  <c r="H571" i="1"/>
  <c r="I571" i="1" s="1"/>
  <c r="C571" i="1"/>
  <c r="H570" i="1"/>
  <c r="I570" i="1" s="1"/>
  <c r="C570" i="1"/>
  <c r="H569" i="1"/>
  <c r="I569" i="1" s="1"/>
  <c r="C569" i="1"/>
  <c r="H568" i="1"/>
  <c r="I568" i="1" s="1"/>
  <c r="C568" i="1"/>
  <c r="H567" i="1"/>
  <c r="I567" i="1" s="1"/>
  <c r="C567" i="1"/>
  <c r="I566" i="1"/>
  <c r="H566" i="1"/>
  <c r="C566" i="1"/>
  <c r="H565" i="1"/>
  <c r="I565" i="1" s="1"/>
  <c r="C565" i="1"/>
  <c r="H564" i="1"/>
  <c r="I564" i="1" s="1"/>
  <c r="C564" i="1"/>
  <c r="H563" i="1"/>
  <c r="I563" i="1" s="1"/>
  <c r="C563" i="1"/>
  <c r="H562" i="1"/>
  <c r="I562" i="1" s="1"/>
  <c r="C562" i="1"/>
  <c r="H561" i="1"/>
  <c r="I561" i="1" s="1"/>
  <c r="C561" i="1"/>
  <c r="H560" i="1"/>
  <c r="I560" i="1" s="1"/>
  <c r="C560" i="1"/>
  <c r="H559" i="1"/>
  <c r="I559" i="1" s="1"/>
  <c r="C559" i="1"/>
  <c r="H558" i="1"/>
  <c r="I558" i="1" s="1"/>
  <c r="C558" i="1"/>
  <c r="H557" i="1"/>
  <c r="I557" i="1" s="1"/>
  <c r="C557" i="1"/>
  <c r="H556" i="1"/>
  <c r="I556" i="1" s="1"/>
  <c r="C556" i="1"/>
  <c r="H555" i="1"/>
  <c r="I555" i="1" s="1"/>
  <c r="C555" i="1"/>
  <c r="H554" i="1"/>
  <c r="I554" i="1" s="1"/>
  <c r="C554" i="1"/>
  <c r="H553" i="1"/>
  <c r="I553" i="1" s="1"/>
  <c r="C553" i="1"/>
  <c r="H552" i="1"/>
  <c r="I552" i="1" s="1"/>
  <c r="C552" i="1"/>
  <c r="H551" i="1"/>
  <c r="I551" i="1" s="1"/>
  <c r="C551" i="1"/>
  <c r="H550" i="1"/>
  <c r="I550" i="1" s="1"/>
  <c r="C550" i="1"/>
  <c r="H549" i="1"/>
  <c r="I549" i="1" s="1"/>
  <c r="C549" i="1"/>
  <c r="H548" i="1"/>
  <c r="I548" i="1" s="1"/>
  <c r="C548" i="1"/>
  <c r="H547" i="1"/>
  <c r="I547" i="1" s="1"/>
  <c r="C547" i="1"/>
  <c r="H546" i="1"/>
  <c r="I546" i="1" s="1"/>
  <c r="C546" i="1"/>
  <c r="I545" i="1"/>
  <c r="H545" i="1"/>
  <c r="C545" i="1"/>
  <c r="H544" i="1"/>
  <c r="I544" i="1" s="1"/>
  <c r="C544" i="1"/>
  <c r="H543" i="1"/>
  <c r="I543" i="1" s="1"/>
  <c r="C543" i="1"/>
  <c r="H542" i="1"/>
  <c r="I542" i="1" s="1"/>
  <c r="C542" i="1"/>
  <c r="H541" i="1"/>
  <c r="I541" i="1" s="1"/>
  <c r="C541" i="1"/>
  <c r="H540" i="1"/>
  <c r="I540" i="1" s="1"/>
  <c r="C540" i="1"/>
  <c r="H539" i="1"/>
  <c r="I539" i="1" s="1"/>
  <c r="C539" i="1"/>
  <c r="I538" i="1"/>
  <c r="H538" i="1"/>
  <c r="C538" i="1"/>
  <c r="H537" i="1"/>
  <c r="I537" i="1" s="1"/>
  <c r="C537" i="1"/>
  <c r="H536" i="1"/>
  <c r="I536" i="1" s="1"/>
  <c r="C536" i="1"/>
  <c r="H535" i="1"/>
  <c r="I535" i="1" s="1"/>
  <c r="C535" i="1"/>
  <c r="I534" i="1"/>
  <c r="H534" i="1"/>
  <c r="C534" i="1"/>
  <c r="H533" i="1"/>
  <c r="I533" i="1" s="1"/>
  <c r="C533" i="1"/>
  <c r="H532" i="1"/>
  <c r="I532" i="1" s="1"/>
  <c r="C532" i="1"/>
  <c r="H531" i="1"/>
  <c r="I531" i="1" s="1"/>
  <c r="C531" i="1"/>
  <c r="H530" i="1"/>
  <c r="I530" i="1" s="1"/>
  <c r="C530" i="1"/>
  <c r="I529" i="1"/>
  <c r="H529" i="1"/>
  <c r="C529" i="1"/>
  <c r="I528" i="1"/>
  <c r="H528" i="1"/>
  <c r="C528" i="1"/>
  <c r="H527" i="1"/>
  <c r="I527" i="1" s="1"/>
  <c r="C527" i="1"/>
  <c r="H526" i="1"/>
  <c r="I526" i="1" s="1"/>
  <c r="C526" i="1"/>
  <c r="H525" i="1"/>
  <c r="I525" i="1" s="1"/>
  <c r="C525" i="1"/>
  <c r="I524" i="1"/>
  <c r="H524" i="1"/>
  <c r="C524" i="1"/>
  <c r="H523" i="1"/>
  <c r="I523" i="1" s="1"/>
  <c r="C523" i="1"/>
  <c r="I522" i="1"/>
  <c r="H522" i="1"/>
  <c r="C522" i="1"/>
  <c r="H521" i="1"/>
  <c r="I521" i="1" s="1"/>
  <c r="C521" i="1"/>
  <c r="H520" i="1"/>
  <c r="I520" i="1" s="1"/>
  <c r="C520" i="1"/>
  <c r="H519" i="1"/>
  <c r="I519" i="1" s="1"/>
  <c r="C519" i="1"/>
  <c r="H518" i="1"/>
  <c r="I518" i="1" s="1"/>
  <c r="C518" i="1"/>
  <c r="H517" i="1"/>
  <c r="I517" i="1" s="1"/>
  <c r="C517" i="1"/>
  <c r="I516" i="1"/>
  <c r="H516" i="1"/>
  <c r="C516" i="1"/>
  <c r="H515" i="1"/>
  <c r="I515" i="1" s="1"/>
  <c r="C515" i="1"/>
  <c r="H514" i="1"/>
  <c r="I514" i="1" s="1"/>
  <c r="C514" i="1"/>
  <c r="H513" i="1"/>
  <c r="I513" i="1" s="1"/>
  <c r="C513" i="1"/>
  <c r="H512" i="1"/>
  <c r="I512" i="1" s="1"/>
  <c r="C512" i="1"/>
  <c r="H511" i="1"/>
  <c r="I511" i="1" s="1"/>
  <c r="C511" i="1"/>
  <c r="H510" i="1"/>
  <c r="I510" i="1" s="1"/>
  <c r="C510" i="1"/>
  <c r="H509" i="1"/>
  <c r="I509" i="1" s="1"/>
  <c r="C509" i="1"/>
  <c r="I508" i="1"/>
  <c r="H508" i="1"/>
  <c r="C508" i="1"/>
  <c r="I507" i="1"/>
  <c r="H507" i="1"/>
  <c r="C507" i="1"/>
  <c r="I506" i="1"/>
  <c r="H506" i="1"/>
  <c r="C506" i="1"/>
  <c r="H505" i="1"/>
  <c r="I505" i="1" s="1"/>
  <c r="C505" i="1"/>
  <c r="H504" i="1"/>
  <c r="I504" i="1" s="1"/>
  <c r="C504" i="1"/>
  <c r="H503" i="1"/>
  <c r="I503" i="1" s="1"/>
  <c r="C503" i="1"/>
  <c r="H502" i="1"/>
  <c r="I502" i="1" s="1"/>
  <c r="C502" i="1"/>
  <c r="H501" i="1"/>
  <c r="I501" i="1" s="1"/>
  <c r="C501" i="1"/>
  <c r="I500" i="1"/>
  <c r="H500" i="1"/>
  <c r="C500" i="1"/>
  <c r="H499" i="1"/>
  <c r="I499" i="1" s="1"/>
  <c r="C499" i="1"/>
  <c r="I498" i="1"/>
  <c r="H498" i="1"/>
  <c r="C498" i="1"/>
  <c r="H497" i="1"/>
  <c r="I497" i="1" s="1"/>
  <c r="C497" i="1"/>
  <c r="H496" i="1"/>
  <c r="I496" i="1" s="1"/>
  <c r="C496" i="1"/>
  <c r="H495" i="1"/>
  <c r="I495" i="1" s="1"/>
  <c r="C495" i="1"/>
  <c r="H494" i="1"/>
  <c r="I494" i="1" s="1"/>
  <c r="C494" i="1"/>
  <c r="H493" i="1"/>
  <c r="I493" i="1" s="1"/>
  <c r="C493" i="1"/>
  <c r="H492" i="1"/>
  <c r="I492" i="1" s="1"/>
  <c r="C492" i="1"/>
  <c r="H491" i="1"/>
  <c r="I491" i="1" s="1"/>
  <c r="C491" i="1"/>
  <c r="H490" i="1"/>
  <c r="I490" i="1" s="1"/>
  <c r="C490" i="1"/>
  <c r="I489" i="1"/>
  <c r="H489" i="1"/>
  <c r="C489" i="1"/>
  <c r="H488" i="1"/>
  <c r="I488" i="1" s="1"/>
  <c r="C488" i="1"/>
  <c r="H487" i="1"/>
  <c r="I487" i="1" s="1"/>
  <c r="C487" i="1"/>
  <c r="I486" i="1"/>
  <c r="H486" i="1"/>
  <c r="C486" i="1"/>
  <c r="I485" i="1"/>
  <c r="H485" i="1"/>
  <c r="C485" i="1"/>
  <c r="H484" i="1"/>
  <c r="I484" i="1" s="1"/>
  <c r="C484" i="1"/>
  <c r="H483" i="1"/>
  <c r="I483" i="1" s="1"/>
  <c r="C483" i="1"/>
  <c r="I482" i="1"/>
  <c r="H482" i="1"/>
  <c r="C482" i="1"/>
  <c r="H481" i="1"/>
  <c r="I481" i="1" s="1"/>
  <c r="C481" i="1"/>
  <c r="H480" i="1"/>
  <c r="I480" i="1" s="1"/>
  <c r="C480" i="1"/>
  <c r="H479" i="1"/>
  <c r="I479" i="1" s="1"/>
  <c r="C479" i="1"/>
  <c r="H478" i="1"/>
  <c r="I478" i="1" s="1"/>
  <c r="C478" i="1"/>
  <c r="H477" i="1"/>
  <c r="I477" i="1" s="1"/>
  <c r="C477" i="1"/>
  <c r="H476" i="1"/>
  <c r="I476" i="1" s="1"/>
  <c r="C476" i="1"/>
  <c r="H475" i="1"/>
  <c r="I475" i="1" s="1"/>
  <c r="C475" i="1"/>
  <c r="H474" i="1"/>
  <c r="I474" i="1" s="1"/>
  <c r="C474" i="1"/>
  <c r="H473" i="1"/>
  <c r="I473" i="1" s="1"/>
  <c r="C473" i="1"/>
  <c r="H472" i="1"/>
  <c r="I472" i="1" s="1"/>
  <c r="C472" i="1"/>
  <c r="H471" i="1"/>
  <c r="I471" i="1" s="1"/>
  <c r="C471" i="1"/>
  <c r="H470" i="1"/>
  <c r="I470" i="1" s="1"/>
  <c r="C470" i="1"/>
  <c r="H469" i="1"/>
  <c r="I469" i="1" s="1"/>
  <c r="C469" i="1"/>
  <c r="H468" i="1"/>
  <c r="I468" i="1" s="1"/>
  <c r="C468" i="1"/>
  <c r="H467" i="1"/>
  <c r="I467" i="1" s="1"/>
  <c r="C467" i="1"/>
  <c r="H466" i="1"/>
  <c r="I466" i="1" s="1"/>
  <c r="C466" i="1"/>
  <c r="I465" i="1"/>
  <c r="H465" i="1"/>
  <c r="C465" i="1"/>
  <c r="H464" i="1"/>
  <c r="I464" i="1" s="1"/>
  <c r="C464" i="1"/>
  <c r="H463" i="1"/>
  <c r="I463" i="1" s="1"/>
  <c r="C463" i="1"/>
  <c r="H462" i="1"/>
  <c r="I462" i="1" s="1"/>
  <c r="C462" i="1"/>
  <c r="H461" i="1"/>
  <c r="I461" i="1" s="1"/>
  <c r="C461" i="1"/>
  <c r="H460" i="1"/>
  <c r="I460" i="1" s="1"/>
  <c r="C460" i="1"/>
  <c r="H459" i="1"/>
  <c r="I459" i="1" s="1"/>
  <c r="C459" i="1"/>
  <c r="H458" i="1"/>
  <c r="I458" i="1" s="1"/>
  <c r="C458" i="1"/>
  <c r="I457" i="1"/>
  <c r="H457" i="1"/>
  <c r="C457" i="1"/>
  <c r="H456" i="1"/>
  <c r="I456" i="1" s="1"/>
  <c r="C456" i="1"/>
  <c r="H455" i="1"/>
  <c r="I455" i="1" s="1"/>
  <c r="C455" i="1"/>
  <c r="H454" i="1"/>
  <c r="I454" i="1" s="1"/>
  <c r="C454" i="1"/>
  <c r="H453" i="1"/>
  <c r="I453" i="1" s="1"/>
  <c r="C453" i="1"/>
  <c r="H452" i="1"/>
  <c r="I452" i="1" s="1"/>
  <c r="C452" i="1"/>
  <c r="I451" i="1"/>
  <c r="H451" i="1"/>
  <c r="C451" i="1"/>
  <c r="I450" i="1"/>
  <c r="H450" i="1"/>
  <c r="C450" i="1"/>
  <c r="H449" i="1"/>
  <c r="I449" i="1" s="1"/>
  <c r="C449" i="1"/>
  <c r="H448" i="1"/>
  <c r="I448" i="1" s="1"/>
  <c r="C448" i="1"/>
  <c r="H447" i="1"/>
  <c r="I447" i="1" s="1"/>
  <c r="C447" i="1"/>
  <c r="H446" i="1"/>
  <c r="I446" i="1" s="1"/>
  <c r="C446" i="1"/>
  <c r="H445" i="1"/>
  <c r="I445" i="1" s="1"/>
  <c r="C445" i="1"/>
  <c r="H444" i="1"/>
  <c r="I444" i="1" s="1"/>
  <c r="C444" i="1"/>
  <c r="H443" i="1"/>
  <c r="I443" i="1" s="1"/>
  <c r="C443" i="1"/>
  <c r="H442" i="1"/>
  <c r="I442" i="1" s="1"/>
  <c r="C442" i="1"/>
  <c r="I441" i="1"/>
  <c r="H441" i="1"/>
  <c r="C441" i="1"/>
  <c r="H440" i="1"/>
  <c r="I440" i="1" s="1"/>
  <c r="C440" i="1"/>
  <c r="H439" i="1"/>
  <c r="I439" i="1" s="1"/>
  <c r="C439" i="1"/>
  <c r="H438" i="1"/>
  <c r="I438" i="1" s="1"/>
  <c r="C438" i="1"/>
  <c r="H437" i="1"/>
  <c r="I437" i="1" s="1"/>
  <c r="C437" i="1"/>
  <c r="H436" i="1"/>
  <c r="I436" i="1" s="1"/>
  <c r="C436" i="1"/>
  <c r="H435" i="1"/>
  <c r="I435" i="1" s="1"/>
  <c r="C435" i="1"/>
  <c r="H434" i="1"/>
  <c r="I434" i="1" s="1"/>
  <c r="C434" i="1"/>
  <c r="H433" i="1"/>
  <c r="I433" i="1" s="1"/>
  <c r="C433" i="1"/>
  <c r="H432" i="1"/>
  <c r="I432" i="1" s="1"/>
  <c r="C432" i="1"/>
  <c r="H431" i="1"/>
  <c r="I431" i="1" s="1"/>
  <c r="C431" i="1"/>
  <c r="H430" i="1"/>
  <c r="I430" i="1" s="1"/>
  <c r="C430" i="1"/>
  <c r="H429" i="1"/>
  <c r="I429" i="1" s="1"/>
  <c r="C429" i="1"/>
  <c r="H428" i="1"/>
  <c r="I428" i="1" s="1"/>
  <c r="C428" i="1"/>
  <c r="H427" i="1"/>
  <c r="I427" i="1" s="1"/>
  <c r="C427" i="1"/>
  <c r="H426" i="1"/>
  <c r="I426" i="1" s="1"/>
  <c r="C426" i="1"/>
  <c r="H425" i="1"/>
  <c r="I425" i="1" s="1"/>
  <c r="C425" i="1"/>
  <c r="H424" i="1"/>
  <c r="I424" i="1" s="1"/>
  <c r="C424" i="1"/>
  <c r="H423" i="1"/>
  <c r="I423" i="1" s="1"/>
  <c r="C423" i="1"/>
  <c r="H422" i="1"/>
  <c r="I422" i="1" s="1"/>
  <c r="C422" i="1"/>
  <c r="H421" i="1"/>
  <c r="I421" i="1" s="1"/>
  <c r="C421" i="1"/>
  <c r="H420" i="1"/>
  <c r="I420" i="1" s="1"/>
  <c r="C420" i="1"/>
  <c r="H419" i="1"/>
  <c r="I419" i="1" s="1"/>
  <c r="C419" i="1"/>
  <c r="H418" i="1"/>
  <c r="I418" i="1" s="1"/>
  <c r="C418" i="1"/>
  <c r="H417" i="1"/>
  <c r="I417" i="1" s="1"/>
  <c r="C417" i="1"/>
  <c r="H416" i="1"/>
  <c r="I416" i="1" s="1"/>
  <c r="C416" i="1"/>
  <c r="H415" i="1"/>
  <c r="I415" i="1" s="1"/>
  <c r="C415" i="1"/>
  <c r="H414" i="1"/>
  <c r="I414" i="1" s="1"/>
  <c r="C414" i="1"/>
  <c r="H413" i="1"/>
  <c r="I413" i="1" s="1"/>
  <c r="C413" i="1"/>
  <c r="H412" i="1"/>
  <c r="I412" i="1" s="1"/>
  <c r="C412" i="1"/>
  <c r="H411" i="1"/>
  <c r="I411" i="1" s="1"/>
  <c r="C411" i="1"/>
  <c r="H410" i="1"/>
  <c r="I410" i="1" s="1"/>
  <c r="C410" i="1"/>
  <c r="H409" i="1"/>
  <c r="I409" i="1" s="1"/>
  <c r="C409" i="1"/>
  <c r="H408" i="1"/>
  <c r="I408" i="1" s="1"/>
  <c r="C408" i="1"/>
  <c r="H407" i="1"/>
  <c r="I407" i="1" s="1"/>
  <c r="C407" i="1"/>
  <c r="H406" i="1"/>
  <c r="I406" i="1" s="1"/>
  <c r="C406" i="1"/>
  <c r="H405" i="1"/>
  <c r="I405" i="1" s="1"/>
  <c r="C405" i="1"/>
  <c r="H404" i="1"/>
  <c r="I404" i="1" s="1"/>
  <c r="C404" i="1"/>
  <c r="H403" i="1"/>
  <c r="I403" i="1" s="1"/>
  <c r="C403" i="1"/>
  <c r="H402" i="1"/>
  <c r="I402" i="1" s="1"/>
  <c r="C402" i="1"/>
  <c r="H401" i="1"/>
  <c r="I401" i="1" s="1"/>
  <c r="C401" i="1"/>
  <c r="H400" i="1"/>
  <c r="I400" i="1" s="1"/>
  <c r="C400" i="1"/>
  <c r="H399" i="1"/>
  <c r="I399" i="1" s="1"/>
  <c r="C399" i="1"/>
  <c r="H398" i="1"/>
  <c r="I398" i="1" s="1"/>
  <c r="C398" i="1"/>
  <c r="I397" i="1"/>
  <c r="H397" i="1"/>
  <c r="C397" i="1"/>
  <c r="H396" i="1"/>
  <c r="I396" i="1" s="1"/>
  <c r="C396" i="1"/>
  <c r="H395" i="1"/>
  <c r="I395" i="1" s="1"/>
  <c r="C395" i="1"/>
  <c r="H394" i="1"/>
  <c r="I394" i="1" s="1"/>
  <c r="C394" i="1"/>
  <c r="H393" i="1"/>
  <c r="I393" i="1" s="1"/>
  <c r="C393" i="1"/>
  <c r="H392" i="1"/>
  <c r="I392" i="1" s="1"/>
  <c r="C392" i="1"/>
  <c r="H391" i="1"/>
  <c r="I391" i="1" s="1"/>
  <c r="C391" i="1"/>
  <c r="H390" i="1"/>
  <c r="I390" i="1" s="1"/>
  <c r="C390" i="1"/>
  <c r="H389" i="1"/>
  <c r="I389" i="1" s="1"/>
  <c r="C389" i="1"/>
  <c r="I388" i="1"/>
  <c r="H388" i="1"/>
  <c r="C388" i="1"/>
  <c r="H387" i="1"/>
  <c r="I387" i="1" s="1"/>
  <c r="C387" i="1"/>
  <c r="H386" i="1"/>
  <c r="I386" i="1" s="1"/>
  <c r="C386" i="1"/>
  <c r="H385" i="1"/>
  <c r="I385" i="1" s="1"/>
  <c r="C385" i="1"/>
  <c r="H384" i="1"/>
  <c r="I384" i="1" s="1"/>
  <c r="C384" i="1"/>
  <c r="H383" i="1"/>
  <c r="I383" i="1" s="1"/>
  <c r="C383" i="1"/>
  <c r="I382" i="1"/>
  <c r="H382" i="1"/>
  <c r="C382" i="1"/>
  <c r="H381" i="1"/>
  <c r="I381" i="1" s="1"/>
  <c r="C381" i="1"/>
  <c r="H380" i="1"/>
  <c r="I380" i="1" s="1"/>
  <c r="C380" i="1"/>
  <c r="H379" i="1"/>
  <c r="I379" i="1" s="1"/>
  <c r="C379" i="1"/>
  <c r="I378" i="1"/>
  <c r="H378" i="1"/>
  <c r="C378" i="1"/>
  <c r="I377" i="1"/>
  <c r="H377" i="1"/>
  <c r="C377" i="1"/>
  <c r="I376" i="1"/>
  <c r="H376" i="1"/>
  <c r="C376" i="1"/>
  <c r="H375" i="1"/>
  <c r="I375" i="1" s="1"/>
  <c r="C375" i="1"/>
  <c r="H374" i="1"/>
  <c r="I374" i="1" s="1"/>
  <c r="C374" i="1"/>
  <c r="H373" i="1"/>
  <c r="I373" i="1" s="1"/>
  <c r="C373" i="1"/>
  <c r="H372" i="1"/>
  <c r="I372" i="1" s="1"/>
  <c r="C372" i="1"/>
  <c r="H371" i="1"/>
  <c r="I371" i="1" s="1"/>
  <c r="C371" i="1"/>
  <c r="H370" i="1"/>
  <c r="I370" i="1" s="1"/>
  <c r="C370" i="1"/>
  <c r="H369" i="1"/>
  <c r="I369" i="1" s="1"/>
  <c r="C369" i="1"/>
  <c r="H368" i="1"/>
  <c r="I368" i="1" s="1"/>
  <c r="C368" i="1"/>
  <c r="H367" i="1"/>
  <c r="I367" i="1" s="1"/>
  <c r="C367" i="1"/>
  <c r="H366" i="1"/>
  <c r="I366" i="1" s="1"/>
  <c r="C366" i="1"/>
  <c r="H365" i="1"/>
  <c r="I365" i="1" s="1"/>
  <c r="C365" i="1"/>
  <c r="H364" i="1"/>
  <c r="I364" i="1" s="1"/>
  <c r="C364" i="1"/>
  <c r="H363" i="1"/>
  <c r="I363" i="1" s="1"/>
  <c r="C363" i="1"/>
  <c r="H362" i="1"/>
  <c r="I362" i="1" s="1"/>
  <c r="C362" i="1"/>
  <c r="H361" i="1"/>
  <c r="I361" i="1" s="1"/>
  <c r="C361" i="1"/>
  <c r="H360" i="1"/>
  <c r="I360" i="1" s="1"/>
  <c r="C360" i="1"/>
  <c r="H359" i="1"/>
  <c r="I359" i="1" s="1"/>
  <c r="C359" i="1"/>
  <c r="H358" i="1"/>
  <c r="I358" i="1" s="1"/>
  <c r="C358" i="1"/>
  <c r="H357" i="1"/>
  <c r="I357" i="1" s="1"/>
  <c r="C357" i="1"/>
  <c r="H356" i="1"/>
  <c r="I356" i="1" s="1"/>
  <c r="C356" i="1"/>
  <c r="H355" i="1"/>
  <c r="I355" i="1" s="1"/>
  <c r="C355" i="1"/>
  <c r="H354" i="1"/>
  <c r="I354" i="1" s="1"/>
  <c r="C354" i="1"/>
  <c r="H353" i="1"/>
  <c r="I353" i="1" s="1"/>
  <c r="C353" i="1"/>
  <c r="H352" i="1"/>
  <c r="I352" i="1" s="1"/>
  <c r="C352" i="1"/>
  <c r="H351" i="1"/>
  <c r="I351" i="1" s="1"/>
  <c r="C351" i="1"/>
  <c r="I350" i="1"/>
  <c r="H350" i="1"/>
  <c r="C350" i="1"/>
  <c r="H349" i="1"/>
  <c r="I349" i="1" s="1"/>
  <c r="C349" i="1"/>
  <c r="H348" i="1"/>
  <c r="I348" i="1" s="1"/>
  <c r="C348" i="1"/>
  <c r="H347" i="1"/>
  <c r="I347" i="1" s="1"/>
  <c r="C347" i="1"/>
  <c r="H346" i="1"/>
  <c r="I346" i="1" s="1"/>
  <c r="C346" i="1"/>
  <c r="H345" i="1"/>
  <c r="I345" i="1" s="1"/>
  <c r="C345" i="1"/>
  <c r="H344" i="1"/>
  <c r="I344" i="1" s="1"/>
  <c r="C344" i="1"/>
  <c r="H343" i="1"/>
  <c r="I343" i="1" s="1"/>
  <c r="C343" i="1"/>
  <c r="H342" i="1"/>
  <c r="I342" i="1" s="1"/>
  <c r="C342" i="1"/>
  <c r="H341" i="1"/>
  <c r="I341" i="1" s="1"/>
  <c r="C341" i="1"/>
  <c r="H340" i="1"/>
  <c r="I340" i="1" s="1"/>
  <c r="C340" i="1"/>
  <c r="H339" i="1"/>
  <c r="I339" i="1" s="1"/>
  <c r="C339" i="1"/>
  <c r="H338" i="1"/>
  <c r="I338" i="1" s="1"/>
  <c r="C338" i="1"/>
  <c r="H337" i="1"/>
  <c r="I337" i="1" s="1"/>
  <c r="C337" i="1"/>
  <c r="H336" i="1"/>
  <c r="I336" i="1" s="1"/>
  <c r="C336" i="1"/>
  <c r="H335" i="1"/>
  <c r="I335" i="1" s="1"/>
  <c r="C335" i="1"/>
  <c r="H334" i="1"/>
  <c r="I334" i="1" s="1"/>
  <c r="C334" i="1"/>
  <c r="H333" i="1"/>
  <c r="I333" i="1" s="1"/>
  <c r="C333" i="1"/>
  <c r="H332" i="1"/>
  <c r="I332" i="1" s="1"/>
  <c r="C332" i="1"/>
  <c r="H331" i="1"/>
  <c r="I331" i="1" s="1"/>
  <c r="C331" i="1"/>
  <c r="H330" i="1"/>
  <c r="I330" i="1" s="1"/>
  <c r="C330" i="1"/>
  <c r="H329" i="1"/>
  <c r="I329" i="1" s="1"/>
  <c r="C329" i="1"/>
  <c r="I328" i="1"/>
  <c r="H328" i="1"/>
  <c r="C328" i="1"/>
  <c r="H327" i="1"/>
  <c r="I327" i="1" s="1"/>
  <c r="C327" i="1"/>
  <c r="H326" i="1"/>
  <c r="I326" i="1" s="1"/>
  <c r="C326" i="1"/>
  <c r="H325" i="1"/>
  <c r="I325" i="1" s="1"/>
  <c r="C325" i="1"/>
  <c r="H324" i="1"/>
  <c r="I324" i="1" s="1"/>
  <c r="C324" i="1"/>
  <c r="H323" i="1"/>
  <c r="I323" i="1" s="1"/>
  <c r="C323" i="1"/>
  <c r="H322" i="1"/>
  <c r="I322" i="1" s="1"/>
  <c r="C322" i="1"/>
  <c r="H321" i="1"/>
  <c r="I321" i="1" s="1"/>
  <c r="C321" i="1"/>
  <c r="I320" i="1"/>
  <c r="H320" i="1"/>
  <c r="C320" i="1"/>
  <c r="H319" i="1"/>
  <c r="I319" i="1" s="1"/>
  <c r="C319" i="1"/>
  <c r="H318" i="1"/>
  <c r="I318" i="1" s="1"/>
  <c r="C318" i="1"/>
  <c r="H317" i="1"/>
  <c r="I317" i="1" s="1"/>
  <c r="C317" i="1"/>
  <c r="H316" i="1"/>
  <c r="I316" i="1" s="1"/>
  <c r="C316" i="1"/>
  <c r="H315" i="1"/>
  <c r="I315" i="1" s="1"/>
  <c r="C315" i="1"/>
  <c r="H314" i="1"/>
  <c r="I314" i="1" s="1"/>
  <c r="C314" i="1"/>
  <c r="H313" i="1"/>
  <c r="I313" i="1" s="1"/>
  <c r="C313" i="1"/>
  <c r="H312" i="1"/>
  <c r="I312" i="1" s="1"/>
  <c r="C312" i="1"/>
  <c r="H311" i="1"/>
  <c r="I311" i="1" s="1"/>
  <c r="C311" i="1"/>
  <c r="H310" i="1"/>
  <c r="I310" i="1" s="1"/>
  <c r="C310" i="1"/>
  <c r="H309" i="1"/>
  <c r="I309" i="1" s="1"/>
  <c r="C309" i="1"/>
  <c r="H308" i="1"/>
  <c r="I308" i="1" s="1"/>
  <c r="C308" i="1"/>
  <c r="H307" i="1"/>
  <c r="I307" i="1" s="1"/>
  <c r="C307" i="1"/>
  <c r="H306" i="1"/>
  <c r="I306" i="1" s="1"/>
  <c r="C306" i="1"/>
  <c r="H305" i="1"/>
  <c r="I305" i="1" s="1"/>
  <c r="C305" i="1"/>
  <c r="H304" i="1"/>
  <c r="I304" i="1" s="1"/>
  <c r="C304" i="1"/>
  <c r="H303" i="1"/>
  <c r="I303" i="1" s="1"/>
  <c r="C303" i="1"/>
  <c r="I302" i="1"/>
  <c r="H302" i="1"/>
  <c r="C302" i="1"/>
  <c r="H301" i="1"/>
  <c r="I301" i="1" s="1"/>
  <c r="C301" i="1"/>
  <c r="H300" i="1"/>
  <c r="I300" i="1" s="1"/>
  <c r="C300" i="1"/>
  <c r="I299" i="1"/>
  <c r="H299" i="1"/>
  <c r="C299" i="1"/>
  <c r="H298" i="1"/>
  <c r="I298" i="1" s="1"/>
  <c r="C298" i="1"/>
  <c r="H297" i="1"/>
  <c r="I297" i="1" s="1"/>
  <c r="C297" i="1"/>
  <c r="I296" i="1"/>
  <c r="H296" i="1"/>
  <c r="C296" i="1"/>
  <c r="H295" i="1"/>
  <c r="I295" i="1" s="1"/>
  <c r="C295" i="1"/>
  <c r="H294" i="1"/>
  <c r="I294" i="1" s="1"/>
  <c r="C294" i="1"/>
  <c r="I293" i="1"/>
  <c r="H293" i="1"/>
  <c r="C293" i="1"/>
  <c r="I292" i="1"/>
  <c r="H292" i="1"/>
  <c r="C292" i="1"/>
  <c r="H291" i="1"/>
  <c r="I291" i="1" s="1"/>
  <c r="C291" i="1"/>
  <c r="H290" i="1"/>
  <c r="I290" i="1" s="1"/>
  <c r="C290" i="1"/>
  <c r="H289" i="1"/>
  <c r="I289" i="1" s="1"/>
  <c r="C289" i="1"/>
  <c r="I288" i="1"/>
  <c r="H288" i="1"/>
  <c r="C288" i="1"/>
  <c r="H287" i="1"/>
  <c r="I287" i="1" s="1"/>
  <c r="C287" i="1"/>
  <c r="H286" i="1"/>
  <c r="I286" i="1" s="1"/>
  <c r="C286" i="1"/>
  <c r="I285" i="1"/>
  <c r="H285" i="1"/>
  <c r="C285" i="1"/>
  <c r="H284" i="1"/>
  <c r="I284" i="1" s="1"/>
  <c r="C284" i="1"/>
  <c r="I283" i="1"/>
  <c r="H283" i="1"/>
  <c r="C283" i="1"/>
  <c r="H282" i="1"/>
  <c r="I282" i="1" s="1"/>
  <c r="C282" i="1"/>
  <c r="H281" i="1"/>
  <c r="I281" i="1" s="1"/>
  <c r="C281" i="1"/>
  <c r="H280" i="1"/>
  <c r="I280" i="1" s="1"/>
  <c r="C280" i="1"/>
  <c r="H279" i="1"/>
  <c r="I279" i="1" s="1"/>
  <c r="C279" i="1"/>
  <c r="H278" i="1"/>
  <c r="I278" i="1" s="1"/>
  <c r="C278" i="1"/>
  <c r="H277" i="1"/>
  <c r="I277" i="1" s="1"/>
  <c r="C277" i="1"/>
  <c r="H276" i="1"/>
  <c r="I276" i="1" s="1"/>
  <c r="C276" i="1"/>
  <c r="H275" i="1"/>
  <c r="I275" i="1" s="1"/>
  <c r="C275" i="1"/>
  <c r="I274" i="1"/>
  <c r="H274" i="1"/>
  <c r="C274" i="1"/>
  <c r="H273" i="1"/>
  <c r="I273" i="1" s="1"/>
  <c r="C273" i="1"/>
  <c r="H272" i="1"/>
  <c r="I272" i="1" s="1"/>
  <c r="C272" i="1"/>
  <c r="H271" i="1"/>
  <c r="I271" i="1" s="1"/>
  <c r="C271" i="1"/>
  <c r="H270" i="1"/>
  <c r="I270" i="1" s="1"/>
  <c r="C270" i="1"/>
  <c r="H269" i="1"/>
  <c r="I269" i="1" s="1"/>
  <c r="C269" i="1"/>
  <c r="H268" i="1"/>
  <c r="I268" i="1" s="1"/>
  <c r="C268" i="1"/>
  <c r="H267" i="1"/>
  <c r="I267" i="1" s="1"/>
  <c r="C267" i="1"/>
  <c r="H266" i="1"/>
  <c r="I266" i="1" s="1"/>
  <c r="C266" i="1"/>
  <c r="H265" i="1"/>
  <c r="I265" i="1" s="1"/>
  <c r="C265" i="1"/>
  <c r="H264" i="1"/>
  <c r="I264" i="1" s="1"/>
  <c r="C264" i="1"/>
  <c r="H263" i="1"/>
  <c r="I263" i="1" s="1"/>
  <c r="C263" i="1"/>
  <c r="H262" i="1"/>
  <c r="I262" i="1" s="1"/>
  <c r="C262" i="1"/>
  <c r="I261" i="1"/>
  <c r="H261" i="1"/>
  <c r="C261" i="1"/>
  <c r="H260" i="1"/>
  <c r="I260" i="1" s="1"/>
  <c r="C260" i="1"/>
  <c r="H259" i="1"/>
  <c r="I259" i="1" s="1"/>
  <c r="C259" i="1"/>
  <c r="H258" i="1"/>
  <c r="I258" i="1" s="1"/>
  <c r="C258" i="1"/>
  <c r="H257" i="1"/>
  <c r="I257" i="1" s="1"/>
  <c r="C257" i="1"/>
  <c r="I256" i="1"/>
  <c r="H256" i="1"/>
  <c r="C256" i="1"/>
  <c r="I255" i="1"/>
  <c r="H255" i="1"/>
  <c r="C255" i="1"/>
  <c r="H254" i="1"/>
  <c r="I254" i="1" s="1"/>
  <c r="C254" i="1"/>
  <c r="H253" i="1"/>
  <c r="I253" i="1" s="1"/>
  <c r="C253" i="1"/>
  <c r="H252" i="1"/>
  <c r="I252" i="1" s="1"/>
  <c r="C252" i="1"/>
  <c r="I251" i="1"/>
  <c r="H251" i="1"/>
  <c r="C251" i="1"/>
  <c r="H250" i="1"/>
  <c r="I250" i="1" s="1"/>
  <c r="C250" i="1"/>
  <c r="H249" i="1"/>
  <c r="I249" i="1" s="1"/>
  <c r="C249" i="1"/>
  <c r="H248" i="1"/>
  <c r="I248" i="1" s="1"/>
  <c r="C248" i="1"/>
  <c r="H247" i="1"/>
  <c r="I247" i="1" s="1"/>
  <c r="C247" i="1"/>
  <c r="H246" i="1"/>
  <c r="I246" i="1" s="1"/>
  <c r="C246" i="1"/>
  <c r="H245" i="1"/>
  <c r="I245" i="1" s="1"/>
  <c r="C245" i="1"/>
  <c r="I244" i="1"/>
  <c r="H244" i="1"/>
  <c r="C244" i="1"/>
  <c r="H243" i="1"/>
  <c r="I243" i="1" s="1"/>
  <c r="C243" i="1"/>
  <c r="H242" i="1"/>
  <c r="I242" i="1" s="1"/>
  <c r="C242" i="1"/>
  <c r="H241" i="1"/>
  <c r="I241" i="1" s="1"/>
  <c r="C241" i="1"/>
  <c r="I240" i="1"/>
  <c r="H240" i="1"/>
  <c r="C240" i="1"/>
  <c r="H239" i="1"/>
  <c r="I239" i="1" s="1"/>
  <c r="C239" i="1"/>
  <c r="I238" i="1"/>
  <c r="H238" i="1"/>
  <c r="C238" i="1"/>
  <c r="H237" i="1"/>
  <c r="I237" i="1" s="1"/>
  <c r="C237" i="1"/>
  <c r="H236" i="1"/>
  <c r="I236" i="1" s="1"/>
  <c r="C236" i="1"/>
  <c r="H235" i="1"/>
  <c r="I235" i="1" s="1"/>
  <c r="C235" i="1"/>
  <c r="I234" i="1"/>
  <c r="H234" i="1"/>
  <c r="C234" i="1"/>
  <c r="H233" i="1"/>
  <c r="I233" i="1" s="1"/>
  <c r="C233" i="1"/>
  <c r="H232" i="1"/>
  <c r="I232" i="1" s="1"/>
  <c r="C232" i="1"/>
  <c r="H231" i="1"/>
  <c r="I231" i="1" s="1"/>
  <c r="C231" i="1"/>
  <c r="I230" i="1"/>
  <c r="H230" i="1"/>
  <c r="C230" i="1"/>
  <c r="H229" i="1"/>
  <c r="I229" i="1" s="1"/>
  <c r="C229" i="1"/>
  <c r="H228" i="1"/>
  <c r="I228" i="1" s="1"/>
  <c r="C228" i="1"/>
  <c r="H227" i="1"/>
  <c r="I227" i="1" s="1"/>
  <c r="C227" i="1"/>
  <c r="H226" i="1"/>
  <c r="I226" i="1" s="1"/>
  <c r="C226" i="1"/>
  <c r="H225" i="1"/>
  <c r="I225" i="1" s="1"/>
  <c r="C225" i="1"/>
  <c r="H224" i="1"/>
  <c r="I224" i="1" s="1"/>
  <c r="C224" i="1"/>
  <c r="H223" i="1"/>
  <c r="I223" i="1" s="1"/>
  <c r="C223" i="1"/>
  <c r="H222" i="1"/>
  <c r="I222" i="1" s="1"/>
  <c r="C222" i="1"/>
  <c r="H221" i="1"/>
  <c r="I221" i="1" s="1"/>
  <c r="C221" i="1"/>
  <c r="I220" i="1"/>
  <c r="H220" i="1"/>
  <c r="C220" i="1"/>
  <c r="H219" i="1"/>
  <c r="I219" i="1" s="1"/>
  <c r="C219" i="1"/>
  <c r="H218" i="1"/>
  <c r="I218" i="1" s="1"/>
  <c r="C218" i="1"/>
  <c r="H217" i="1"/>
  <c r="I217" i="1" s="1"/>
  <c r="C217" i="1"/>
  <c r="H216" i="1"/>
  <c r="I216" i="1" s="1"/>
  <c r="C216" i="1"/>
  <c r="H215" i="1"/>
  <c r="I215" i="1" s="1"/>
  <c r="C215" i="1"/>
  <c r="H214" i="1"/>
  <c r="I214" i="1" s="1"/>
  <c r="C214" i="1"/>
  <c r="H213" i="1"/>
  <c r="I213" i="1" s="1"/>
  <c r="C213" i="1"/>
  <c r="H212" i="1"/>
  <c r="I212" i="1" s="1"/>
  <c r="C212" i="1"/>
  <c r="H211" i="1"/>
  <c r="I211" i="1" s="1"/>
  <c r="C211" i="1"/>
  <c r="H210" i="1"/>
  <c r="I210" i="1" s="1"/>
  <c r="C210" i="1"/>
  <c r="I209" i="1"/>
  <c r="H209" i="1"/>
  <c r="C209" i="1"/>
  <c r="H208" i="1"/>
  <c r="I208" i="1" s="1"/>
  <c r="C208" i="1"/>
  <c r="H207" i="1"/>
  <c r="I207" i="1" s="1"/>
  <c r="C207" i="1"/>
  <c r="H206" i="1"/>
  <c r="I206" i="1" s="1"/>
  <c r="C206" i="1"/>
  <c r="H205" i="1"/>
  <c r="I205" i="1" s="1"/>
  <c r="C205" i="1"/>
  <c r="I204" i="1"/>
  <c r="H204" i="1"/>
  <c r="C204" i="1"/>
  <c r="H203" i="1"/>
  <c r="I203" i="1" s="1"/>
  <c r="C203" i="1"/>
  <c r="H202" i="1"/>
  <c r="I202" i="1" s="1"/>
  <c r="C202" i="1"/>
  <c r="H201" i="1"/>
  <c r="I201" i="1" s="1"/>
  <c r="C201" i="1"/>
  <c r="H200" i="1"/>
  <c r="I200" i="1" s="1"/>
  <c r="C200" i="1"/>
  <c r="H199" i="1"/>
  <c r="I199" i="1" s="1"/>
  <c r="C199" i="1"/>
  <c r="H198" i="1"/>
  <c r="I198" i="1" s="1"/>
  <c r="C198" i="1"/>
  <c r="H197" i="1"/>
  <c r="I197" i="1" s="1"/>
  <c r="C197" i="1"/>
  <c r="H196" i="1"/>
  <c r="I196" i="1" s="1"/>
  <c r="C196" i="1"/>
  <c r="H195" i="1"/>
  <c r="I195" i="1" s="1"/>
  <c r="C195" i="1"/>
  <c r="H194" i="1"/>
  <c r="I194" i="1" s="1"/>
  <c r="C194" i="1"/>
  <c r="H193" i="1"/>
  <c r="I193" i="1" s="1"/>
  <c r="C193" i="1"/>
  <c r="I192" i="1"/>
  <c r="H192" i="1"/>
  <c r="C192" i="1"/>
  <c r="H191" i="1"/>
  <c r="I191" i="1" s="1"/>
  <c r="C191" i="1"/>
  <c r="H190" i="1"/>
  <c r="I190" i="1" s="1"/>
  <c r="C190" i="1"/>
  <c r="I189" i="1"/>
  <c r="H189" i="1"/>
  <c r="C189" i="1"/>
  <c r="H188" i="1"/>
  <c r="I188" i="1" s="1"/>
  <c r="C188" i="1"/>
  <c r="H187" i="1"/>
  <c r="I187" i="1" s="1"/>
  <c r="C187" i="1"/>
  <c r="H186" i="1"/>
  <c r="I186" i="1" s="1"/>
  <c r="C186" i="1"/>
  <c r="H185" i="1"/>
  <c r="I185" i="1" s="1"/>
  <c r="C185" i="1"/>
  <c r="H184" i="1"/>
  <c r="I184" i="1" s="1"/>
  <c r="C184" i="1"/>
  <c r="H183" i="1"/>
  <c r="I183" i="1" s="1"/>
  <c r="C183" i="1"/>
  <c r="H182" i="1"/>
  <c r="I182" i="1" s="1"/>
  <c r="C182" i="1"/>
  <c r="H181" i="1"/>
  <c r="I181" i="1" s="1"/>
  <c r="C181" i="1"/>
  <c r="H180" i="1"/>
  <c r="I180" i="1" s="1"/>
  <c r="C180" i="1"/>
  <c r="H179" i="1"/>
  <c r="I179" i="1" s="1"/>
  <c r="C179" i="1"/>
  <c r="I178" i="1"/>
  <c r="H178" i="1"/>
  <c r="C178" i="1"/>
  <c r="H177" i="1"/>
  <c r="I177" i="1" s="1"/>
  <c r="C177" i="1"/>
  <c r="H176" i="1"/>
  <c r="I176" i="1" s="1"/>
  <c r="C176" i="1"/>
  <c r="H175" i="1"/>
  <c r="I175" i="1" s="1"/>
  <c r="C175" i="1"/>
  <c r="H174" i="1"/>
  <c r="I174" i="1" s="1"/>
  <c r="C174" i="1"/>
  <c r="H173" i="1"/>
  <c r="I173" i="1" s="1"/>
  <c r="C173" i="1"/>
  <c r="H172" i="1"/>
  <c r="I172" i="1" s="1"/>
  <c r="C172" i="1"/>
  <c r="H171" i="1"/>
  <c r="I171" i="1" s="1"/>
  <c r="C171" i="1"/>
  <c r="H170" i="1"/>
  <c r="I170" i="1" s="1"/>
  <c r="C170" i="1"/>
  <c r="I169" i="1"/>
  <c r="H169" i="1"/>
  <c r="C169" i="1"/>
  <c r="H168" i="1"/>
  <c r="I168" i="1" s="1"/>
  <c r="C168" i="1"/>
  <c r="H167" i="1"/>
  <c r="I167" i="1" s="1"/>
  <c r="C167" i="1"/>
  <c r="I166" i="1"/>
  <c r="H166" i="1"/>
  <c r="C166" i="1"/>
  <c r="H165" i="1"/>
  <c r="I165" i="1" s="1"/>
  <c r="C165" i="1"/>
  <c r="I164" i="1"/>
  <c r="H164" i="1"/>
  <c r="C164" i="1"/>
  <c r="I163" i="1"/>
  <c r="H163" i="1"/>
  <c r="C163" i="1"/>
  <c r="H162" i="1"/>
  <c r="I162" i="1" s="1"/>
  <c r="C162" i="1"/>
  <c r="I161" i="1"/>
  <c r="H161" i="1"/>
  <c r="C161" i="1"/>
  <c r="I160" i="1"/>
  <c r="H160" i="1"/>
  <c r="C160" i="1"/>
  <c r="H159" i="1"/>
  <c r="I159" i="1" s="1"/>
  <c r="C159" i="1"/>
  <c r="H158" i="1"/>
  <c r="I158" i="1" s="1"/>
  <c r="C158" i="1"/>
  <c r="H157" i="1"/>
  <c r="I157" i="1" s="1"/>
  <c r="C157" i="1"/>
  <c r="H156" i="1"/>
  <c r="I156" i="1" s="1"/>
  <c r="C156" i="1"/>
  <c r="H155" i="1"/>
  <c r="I155" i="1" s="1"/>
  <c r="C155" i="1"/>
  <c r="H154" i="1"/>
  <c r="I154" i="1" s="1"/>
  <c r="C154" i="1"/>
  <c r="I153" i="1"/>
  <c r="H153" i="1"/>
  <c r="C153" i="1"/>
  <c r="H152" i="1"/>
  <c r="I152" i="1" s="1"/>
  <c r="C152" i="1"/>
  <c r="H151" i="1"/>
  <c r="I151" i="1" s="1"/>
  <c r="C151" i="1"/>
  <c r="H150" i="1"/>
  <c r="I150" i="1" s="1"/>
  <c r="C150" i="1"/>
  <c r="H149" i="1"/>
  <c r="I149" i="1" s="1"/>
  <c r="C149" i="1"/>
  <c r="H148" i="1"/>
  <c r="I148" i="1" s="1"/>
  <c r="C148" i="1"/>
  <c r="H147" i="1"/>
  <c r="I147" i="1" s="1"/>
  <c r="C147" i="1"/>
  <c r="H146" i="1"/>
  <c r="I146" i="1" s="1"/>
  <c r="C146" i="1"/>
  <c r="H145" i="1"/>
  <c r="I145" i="1" s="1"/>
  <c r="C145" i="1"/>
  <c r="I144" i="1"/>
  <c r="H144" i="1"/>
  <c r="C144" i="1"/>
  <c r="H143" i="1"/>
  <c r="I143" i="1" s="1"/>
  <c r="C143" i="1"/>
  <c r="I142" i="1"/>
  <c r="H142" i="1"/>
  <c r="C142" i="1"/>
  <c r="H141" i="1"/>
  <c r="I141" i="1" s="1"/>
  <c r="C141" i="1"/>
  <c r="H140" i="1"/>
  <c r="I140" i="1" s="1"/>
  <c r="C140" i="1"/>
  <c r="H139" i="1"/>
  <c r="I139" i="1" s="1"/>
  <c r="C139" i="1"/>
  <c r="H138" i="1"/>
  <c r="I138" i="1" s="1"/>
  <c r="C138" i="1"/>
  <c r="H137" i="1"/>
  <c r="I137" i="1" s="1"/>
  <c r="C137" i="1"/>
  <c r="H136" i="1"/>
  <c r="I136" i="1" s="1"/>
  <c r="C136" i="1"/>
  <c r="H135" i="1"/>
  <c r="I135" i="1" s="1"/>
  <c r="C135" i="1"/>
  <c r="H134" i="1"/>
  <c r="I134" i="1" s="1"/>
  <c r="C134" i="1"/>
  <c r="H133" i="1"/>
  <c r="I133" i="1" s="1"/>
  <c r="C133" i="1"/>
  <c r="H132" i="1"/>
  <c r="I132" i="1" s="1"/>
  <c r="C132" i="1"/>
  <c r="H131" i="1"/>
  <c r="I131" i="1" s="1"/>
  <c r="C131" i="1"/>
  <c r="H130" i="1"/>
  <c r="I130" i="1" s="1"/>
  <c r="C130" i="1"/>
  <c r="H129" i="1"/>
  <c r="I129" i="1" s="1"/>
  <c r="C129" i="1"/>
  <c r="H128" i="1"/>
  <c r="I128" i="1" s="1"/>
  <c r="C128" i="1"/>
  <c r="H127" i="1"/>
  <c r="I127" i="1" s="1"/>
  <c r="C127" i="1"/>
  <c r="H126" i="1"/>
  <c r="I126" i="1" s="1"/>
  <c r="C126" i="1"/>
  <c r="H125" i="1"/>
  <c r="I125" i="1" s="1"/>
  <c r="C125" i="1"/>
  <c r="H124" i="1"/>
  <c r="I124" i="1" s="1"/>
  <c r="C124" i="1"/>
  <c r="H123" i="1"/>
  <c r="I123" i="1" s="1"/>
  <c r="C123" i="1"/>
  <c r="I122" i="1"/>
  <c r="H122" i="1"/>
  <c r="C122" i="1"/>
  <c r="I121" i="1"/>
  <c r="H121" i="1"/>
  <c r="C121" i="1"/>
  <c r="H120" i="1"/>
  <c r="I120" i="1" s="1"/>
  <c r="C120" i="1"/>
  <c r="H119" i="1"/>
  <c r="I119" i="1" s="1"/>
  <c r="C119" i="1"/>
  <c r="H118" i="1"/>
  <c r="I118" i="1" s="1"/>
  <c r="C118" i="1"/>
  <c r="H117" i="1"/>
  <c r="I117" i="1" s="1"/>
  <c r="C117" i="1"/>
  <c r="H116" i="1"/>
  <c r="I116" i="1" s="1"/>
  <c r="C116" i="1"/>
  <c r="H115" i="1"/>
  <c r="I115" i="1" s="1"/>
  <c r="C115" i="1"/>
  <c r="H114" i="1"/>
  <c r="I114" i="1" s="1"/>
  <c r="C114" i="1"/>
  <c r="H113" i="1"/>
  <c r="I113" i="1" s="1"/>
  <c r="C113" i="1"/>
  <c r="I112" i="1"/>
  <c r="H112" i="1"/>
  <c r="C112" i="1"/>
  <c r="H111" i="1"/>
  <c r="I111" i="1" s="1"/>
  <c r="C111" i="1"/>
  <c r="H110" i="1"/>
  <c r="I110" i="1" s="1"/>
  <c r="C110" i="1"/>
  <c r="H109" i="1"/>
  <c r="I109" i="1" s="1"/>
  <c r="C109" i="1"/>
  <c r="H108" i="1"/>
  <c r="I108" i="1" s="1"/>
  <c r="C108" i="1"/>
  <c r="H107" i="1"/>
  <c r="I107" i="1" s="1"/>
  <c r="C107" i="1"/>
  <c r="H106" i="1"/>
  <c r="I106" i="1" s="1"/>
  <c r="C106" i="1"/>
  <c r="H105" i="1"/>
  <c r="I105" i="1" s="1"/>
  <c r="C105" i="1"/>
  <c r="H104" i="1"/>
  <c r="I104" i="1" s="1"/>
  <c r="C104" i="1"/>
  <c r="H103" i="1"/>
  <c r="I103" i="1" s="1"/>
  <c r="C103" i="1"/>
  <c r="H102" i="1"/>
  <c r="I102" i="1" s="1"/>
  <c r="C102" i="1"/>
  <c r="H101" i="1"/>
  <c r="I101" i="1" s="1"/>
  <c r="C101" i="1"/>
  <c r="H100" i="1"/>
  <c r="I100" i="1" s="1"/>
  <c r="C100" i="1"/>
  <c r="H99" i="1"/>
  <c r="I99" i="1" s="1"/>
  <c r="C99" i="1"/>
  <c r="H98" i="1"/>
  <c r="I98" i="1" s="1"/>
  <c r="C98" i="1"/>
  <c r="H97" i="1"/>
  <c r="I97" i="1" s="1"/>
  <c r="C97" i="1"/>
  <c r="H96" i="1"/>
  <c r="I96" i="1" s="1"/>
  <c r="C96" i="1"/>
  <c r="H95" i="1"/>
  <c r="I95" i="1" s="1"/>
  <c r="C95" i="1"/>
  <c r="H94" i="1"/>
  <c r="I94" i="1" s="1"/>
  <c r="C94" i="1"/>
  <c r="H93" i="1"/>
  <c r="I93" i="1" s="1"/>
  <c r="C93" i="1"/>
  <c r="H92" i="1"/>
  <c r="I92" i="1" s="1"/>
  <c r="C92" i="1"/>
  <c r="H91" i="1"/>
  <c r="I91" i="1" s="1"/>
  <c r="C91" i="1"/>
  <c r="H90" i="1"/>
  <c r="I90" i="1" s="1"/>
  <c r="C90" i="1"/>
  <c r="I89" i="1"/>
  <c r="H89" i="1"/>
  <c r="C89" i="1"/>
  <c r="H88" i="1"/>
  <c r="I88" i="1" s="1"/>
  <c r="C88" i="1"/>
  <c r="I87" i="1"/>
  <c r="H87" i="1"/>
  <c r="C87" i="1"/>
  <c r="H86" i="1"/>
  <c r="I86" i="1" s="1"/>
  <c r="C86" i="1"/>
  <c r="H85" i="1"/>
  <c r="I85" i="1" s="1"/>
  <c r="C85" i="1"/>
  <c r="H84" i="1"/>
  <c r="I84" i="1" s="1"/>
  <c r="C84" i="1"/>
  <c r="H83" i="1"/>
  <c r="I83" i="1" s="1"/>
  <c r="C83" i="1"/>
  <c r="H82" i="1"/>
  <c r="I82" i="1" s="1"/>
  <c r="C82" i="1"/>
  <c r="H81" i="1"/>
  <c r="I81" i="1" s="1"/>
  <c r="C81" i="1"/>
  <c r="H80" i="1"/>
  <c r="I80" i="1" s="1"/>
  <c r="C80" i="1"/>
  <c r="H79" i="1"/>
  <c r="I79" i="1" s="1"/>
  <c r="C79" i="1"/>
  <c r="H78" i="1"/>
  <c r="I78" i="1" s="1"/>
  <c r="C78" i="1"/>
  <c r="H77" i="1"/>
  <c r="I77" i="1" s="1"/>
  <c r="C77" i="1"/>
  <c r="H76" i="1"/>
  <c r="I76" i="1" s="1"/>
  <c r="C76" i="1"/>
  <c r="H75" i="1"/>
  <c r="I75" i="1" s="1"/>
  <c r="C75" i="1"/>
  <c r="H74" i="1"/>
  <c r="I74" i="1" s="1"/>
  <c r="C74" i="1"/>
  <c r="H73" i="1"/>
  <c r="I73" i="1" s="1"/>
  <c r="C73" i="1"/>
  <c r="H72" i="1"/>
  <c r="I72" i="1" s="1"/>
  <c r="C72" i="1"/>
  <c r="H71" i="1"/>
  <c r="I71" i="1" s="1"/>
  <c r="C71" i="1"/>
  <c r="H70" i="1"/>
  <c r="I70" i="1" s="1"/>
  <c r="C70" i="1"/>
  <c r="H69" i="1"/>
  <c r="I69" i="1" s="1"/>
  <c r="C69" i="1"/>
  <c r="I68" i="1"/>
  <c r="H68" i="1"/>
  <c r="C68" i="1"/>
  <c r="H67" i="1"/>
  <c r="I67" i="1" s="1"/>
  <c r="C67" i="1"/>
  <c r="H66" i="1"/>
  <c r="I66" i="1" s="1"/>
  <c r="C66" i="1"/>
  <c r="H65" i="1"/>
  <c r="I65" i="1" s="1"/>
  <c r="C65" i="1"/>
  <c r="H64" i="1"/>
  <c r="I64" i="1" s="1"/>
  <c r="C64" i="1"/>
  <c r="H63" i="1"/>
  <c r="I63" i="1" s="1"/>
  <c r="C63" i="1"/>
  <c r="H62" i="1"/>
  <c r="I62" i="1" s="1"/>
  <c r="C62" i="1"/>
  <c r="H61" i="1"/>
  <c r="I61" i="1" s="1"/>
  <c r="C61" i="1"/>
  <c r="H60" i="1"/>
  <c r="I60" i="1" s="1"/>
  <c r="C60" i="1"/>
  <c r="H59" i="1"/>
  <c r="I59" i="1" s="1"/>
  <c r="C59" i="1"/>
  <c r="H58" i="1"/>
  <c r="I58" i="1" s="1"/>
  <c r="C58" i="1"/>
  <c r="H57" i="1"/>
  <c r="I57" i="1" s="1"/>
  <c r="C57" i="1"/>
  <c r="H56" i="1"/>
  <c r="I56" i="1" s="1"/>
  <c r="C56" i="1"/>
  <c r="H55" i="1"/>
  <c r="I55" i="1" s="1"/>
  <c r="C55" i="1"/>
  <c r="I54" i="1"/>
  <c r="H54" i="1"/>
  <c r="C54" i="1"/>
  <c r="H53" i="1"/>
  <c r="I53" i="1" s="1"/>
  <c r="C53" i="1"/>
  <c r="I52" i="1"/>
  <c r="H52" i="1"/>
  <c r="C52" i="1"/>
  <c r="H51" i="1"/>
  <c r="I51" i="1" s="1"/>
  <c r="C51" i="1"/>
  <c r="I50" i="1"/>
  <c r="H50" i="1"/>
  <c r="C50" i="1"/>
  <c r="H49" i="1"/>
  <c r="I49" i="1" s="1"/>
  <c r="C49" i="1"/>
  <c r="H48" i="1"/>
  <c r="I48" i="1" s="1"/>
  <c r="C48" i="1"/>
  <c r="H47" i="1"/>
  <c r="I47" i="1" s="1"/>
  <c r="C47" i="1"/>
  <c r="H46" i="1"/>
  <c r="I46" i="1" s="1"/>
  <c r="C46" i="1"/>
  <c r="H45" i="1"/>
  <c r="I45" i="1" s="1"/>
  <c r="C45" i="1"/>
  <c r="H44" i="1"/>
  <c r="I44" i="1" s="1"/>
  <c r="C44" i="1"/>
  <c r="H43" i="1"/>
  <c r="I43" i="1" s="1"/>
  <c r="C43" i="1"/>
  <c r="H42" i="1"/>
  <c r="I42" i="1" s="1"/>
  <c r="C42" i="1"/>
  <c r="H41" i="1"/>
  <c r="I41" i="1" s="1"/>
  <c r="C41" i="1"/>
  <c r="H40" i="1"/>
  <c r="I40" i="1" s="1"/>
  <c r="C40" i="1"/>
  <c r="H39" i="1"/>
  <c r="I39" i="1" s="1"/>
  <c r="C39" i="1"/>
  <c r="H38" i="1"/>
  <c r="I38" i="1" s="1"/>
  <c r="C38" i="1"/>
  <c r="H37" i="1"/>
  <c r="I37" i="1" s="1"/>
  <c r="C37" i="1"/>
  <c r="H36" i="1"/>
  <c r="I36" i="1" s="1"/>
  <c r="C36" i="1"/>
  <c r="H35" i="1"/>
  <c r="I35" i="1" s="1"/>
  <c r="C35" i="1"/>
  <c r="H34" i="1"/>
  <c r="I34" i="1" s="1"/>
  <c r="C34" i="1"/>
  <c r="H33" i="1"/>
  <c r="I33" i="1" s="1"/>
  <c r="C33" i="1"/>
  <c r="H32" i="1"/>
  <c r="I32" i="1" s="1"/>
  <c r="C32" i="1"/>
  <c r="H31" i="1"/>
  <c r="I31" i="1" s="1"/>
  <c r="C31" i="1"/>
  <c r="H30" i="1"/>
  <c r="I30" i="1" s="1"/>
  <c r="C30" i="1"/>
  <c r="H29" i="1"/>
  <c r="I29" i="1" s="1"/>
  <c r="C29" i="1"/>
  <c r="H28" i="1"/>
  <c r="I28" i="1" s="1"/>
  <c r="C28" i="1"/>
  <c r="H27" i="1"/>
  <c r="I27" i="1" s="1"/>
  <c r="C27" i="1"/>
  <c r="H26" i="1"/>
  <c r="I26" i="1" s="1"/>
  <c r="C26" i="1"/>
  <c r="H25" i="1"/>
  <c r="I25" i="1" s="1"/>
  <c r="C25" i="1"/>
  <c r="H24" i="1"/>
  <c r="I24" i="1" s="1"/>
  <c r="C24" i="1"/>
  <c r="I23" i="1"/>
  <c r="H23" i="1"/>
  <c r="C23" i="1"/>
  <c r="H22" i="1"/>
  <c r="I22" i="1" s="1"/>
  <c r="C22" i="1"/>
  <c r="I21" i="1"/>
  <c r="H21" i="1"/>
  <c r="C21" i="1"/>
  <c r="H20" i="1"/>
  <c r="I20" i="1" s="1"/>
  <c r="C20" i="1"/>
  <c r="I19" i="1"/>
  <c r="H19" i="1"/>
  <c r="C19" i="1"/>
  <c r="H18" i="1"/>
  <c r="I18" i="1" s="1"/>
  <c r="C18" i="1"/>
  <c r="H17" i="1"/>
  <c r="I17" i="1" s="1"/>
  <c r="C17" i="1"/>
  <c r="H16" i="1"/>
  <c r="I16" i="1" s="1"/>
  <c r="C16" i="1"/>
  <c r="H15" i="1"/>
  <c r="I15" i="1" s="1"/>
  <c r="C15" i="1"/>
  <c r="H14" i="1"/>
  <c r="I14" i="1" s="1"/>
  <c r="C14" i="1"/>
  <c r="H13" i="1"/>
  <c r="I13" i="1" s="1"/>
  <c r="C13" i="1"/>
  <c r="H12" i="1"/>
  <c r="I12" i="1" s="1"/>
  <c r="C12" i="1"/>
  <c r="H11" i="1"/>
  <c r="I11" i="1" s="1"/>
  <c r="C11" i="1"/>
  <c r="H10" i="1"/>
  <c r="I10" i="1" s="1"/>
  <c r="C10" i="1"/>
  <c r="H9" i="1"/>
  <c r="I9" i="1" s="1"/>
  <c r="C9" i="1"/>
  <c r="H8" i="1"/>
  <c r="I8" i="1" s="1"/>
  <c r="C8" i="1"/>
  <c r="H7" i="1"/>
  <c r="I7" i="1" s="1"/>
  <c r="C7" i="1"/>
  <c r="H6" i="1"/>
  <c r="I6" i="1" s="1"/>
  <c r="C6" i="1"/>
  <c r="H5" i="1"/>
  <c r="I5" i="1" s="1"/>
  <c r="C5" i="1"/>
  <c r="H4" i="1"/>
  <c r="I4" i="1" s="1"/>
  <c r="C4" i="1"/>
  <c r="H3" i="1"/>
  <c r="I3" i="1" s="1"/>
  <c r="C3" i="1"/>
  <c r="H2" i="1"/>
  <c r="I2" i="1" s="1"/>
  <c r="C2" i="1"/>
</calcChain>
</file>

<file path=xl/sharedStrings.xml><?xml version="1.0" encoding="utf-8"?>
<sst xmlns="http://schemas.openxmlformats.org/spreadsheetml/2006/main" count="20924" uniqueCount="1649">
  <si>
    <t>Ngay</t>
  </si>
  <si>
    <t>ISO_Date</t>
  </si>
  <si>
    <t>ThÃ¡ng/Tuáº§n</t>
  </si>
  <si>
    <t>Thu</t>
  </si>
  <si>
    <t>Loai_Vang</t>
  </si>
  <si>
    <t>Gia_Mua_VND_Luong</t>
  </si>
  <si>
    <t>Gia_Ban_VND_Luong</t>
  </si>
  <si>
    <t>GiÃ¡ vÃ ng tháº¿ giá»›i</t>
  </si>
  <si>
    <t>Äá»™ chÃªnh lá»‡ch</t>
  </si>
  <si>
    <t>Chenh_Lech_VND_Luong</t>
  </si>
  <si>
    <t>Gia_Mua_VND_Chi</t>
  </si>
  <si>
    <t>Gia_Ban_VND_Chi</t>
  </si>
  <si>
    <t>Gia_The_Gioi_USD_oz</t>
  </si>
  <si>
    <t>SJC_Mieng_Mua_VND_Luong</t>
  </si>
  <si>
    <t>SJC_Mieng_Ban_VND_Luong</t>
  </si>
  <si>
    <t>Cap_Nhat_Luc</t>
  </si>
  <si>
    <t>Thá»© Hai</t>
  </si>
  <si>
    <t>VÃ ng nháº«n SJC</t>
  </si>
  <si>
    <t>Thá»© Ba</t>
  </si>
  <si>
    <t>Thá»© TÆ°</t>
  </si>
  <si>
    <t>Thá»© NÄƒm</t>
  </si>
  <si>
    <t>Thá»© SÃ¡u</t>
  </si>
  <si>
    <t>13/01/2016</t>
  </si>
  <si>
    <t>14/01/2016</t>
  </si>
  <si>
    <t>15/01/2016</t>
  </si>
  <si>
    <t>19/01/2016</t>
  </si>
  <si>
    <t>20/01/2016</t>
  </si>
  <si>
    <t>21/01/2016</t>
  </si>
  <si>
    <t>22/01/2016</t>
  </si>
  <si>
    <t>25/01/2016</t>
  </si>
  <si>
    <t>26/01/2016</t>
  </si>
  <si>
    <t>27/01/2016</t>
  </si>
  <si>
    <t>28/01/2016</t>
  </si>
  <si>
    <t>29/01/2016</t>
  </si>
  <si>
    <t>16/02/2016</t>
  </si>
  <si>
    <t>17/02/2016</t>
  </si>
  <si>
    <t>18/02/2016</t>
  </si>
  <si>
    <t>19/02/2016</t>
  </si>
  <si>
    <t>22/02/2016</t>
  </si>
  <si>
    <t>23/02/2016</t>
  </si>
  <si>
    <t>24/02/2016</t>
  </si>
  <si>
    <t>25/02/2016</t>
  </si>
  <si>
    <t>26/02/2016</t>
  </si>
  <si>
    <t>29/02/2016</t>
  </si>
  <si>
    <t>14/03/2016</t>
  </si>
  <si>
    <t>15/03/2016</t>
  </si>
  <si>
    <t>16/03/2016</t>
  </si>
  <si>
    <t>17/03/2016</t>
  </si>
  <si>
    <t>18/03/2016</t>
  </si>
  <si>
    <t>21/03/2016</t>
  </si>
  <si>
    <t>22/03/2016</t>
  </si>
  <si>
    <t>23/03/2016</t>
  </si>
  <si>
    <t>24/03/2016</t>
  </si>
  <si>
    <t>28/03/2016</t>
  </si>
  <si>
    <t>29/03/2016</t>
  </si>
  <si>
    <t>30/03/2016</t>
  </si>
  <si>
    <t>31/03/2016</t>
  </si>
  <si>
    <t>13/04/2016</t>
  </si>
  <si>
    <t>14/04/2016</t>
  </si>
  <si>
    <t>15/04/2016</t>
  </si>
  <si>
    <t>18/04/2016</t>
  </si>
  <si>
    <t>19/04/2016</t>
  </si>
  <si>
    <t>20/04/2016</t>
  </si>
  <si>
    <t>21/04/2016</t>
  </si>
  <si>
    <t>22/04/2016</t>
  </si>
  <si>
    <t>25/04/2016</t>
  </si>
  <si>
    <t>26/04/2016</t>
  </si>
  <si>
    <t>27/04/2016</t>
  </si>
  <si>
    <t>28/04/2016</t>
  </si>
  <si>
    <t>29/04/2016</t>
  </si>
  <si>
    <t>13/05/2016</t>
  </si>
  <si>
    <t>16/05/2016</t>
  </si>
  <si>
    <t>17/05/2016</t>
  </si>
  <si>
    <t>18/05/2016</t>
  </si>
  <si>
    <t>19/05/2016</t>
  </si>
  <si>
    <t>20/05/2016</t>
  </si>
  <si>
    <t>23/05/2016</t>
  </si>
  <si>
    <t>24/05/2016</t>
  </si>
  <si>
    <t>25/05/2016</t>
  </si>
  <si>
    <t>26/05/2016</t>
  </si>
  <si>
    <t>27/05/2016</t>
  </si>
  <si>
    <t>31/05/2016</t>
  </si>
  <si>
    <t>13/06/2016</t>
  </si>
  <si>
    <t>14/06/2016</t>
  </si>
  <si>
    <t>15/06/2016</t>
  </si>
  <si>
    <t>16/06/2016</t>
  </si>
  <si>
    <t>17/06/2016</t>
  </si>
  <si>
    <t>20/06/2016</t>
  </si>
  <si>
    <t>21/06/2016</t>
  </si>
  <si>
    <t>22/06/2016</t>
  </si>
  <si>
    <t>23/06/2016</t>
  </si>
  <si>
    <t>24/06/2016</t>
  </si>
  <si>
    <t>27/06/2016</t>
  </si>
  <si>
    <t>28/06/2016</t>
  </si>
  <si>
    <t>29/06/2016</t>
  </si>
  <si>
    <t>30/06/2016</t>
  </si>
  <si>
    <t>13/07/2016</t>
  </si>
  <si>
    <t>14/07/2016</t>
  </si>
  <si>
    <t>15/07/2016</t>
  </si>
  <si>
    <t>18/07/2016</t>
  </si>
  <si>
    <t>19/07/2016</t>
  </si>
  <si>
    <t>20/07/2016</t>
  </si>
  <si>
    <t>21/07/2016</t>
  </si>
  <si>
    <t>22/07/2016</t>
  </si>
  <si>
    <t>25/07/2016</t>
  </si>
  <si>
    <t>26/07/2016</t>
  </si>
  <si>
    <t>27/07/2016</t>
  </si>
  <si>
    <t>28/07/2016</t>
  </si>
  <si>
    <t>29/07/2016</t>
  </si>
  <si>
    <t>15/08/2016</t>
  </si>
  <si>
    <t>16/08/2016</t>
  </si>
  <si>
    <t>17/08/2016</t>
  </si>
  <si>
    <t>18/08/2016</t>
  </si>
  <si>
    <t>19/08/2016</t>
  </si>
  <si>
    <t>22/08/2016</t>
  </si>
  <si>
    <t>23/08/2016</t>
  </si>
  <si>
    <t>24/08/2016</t>
  </si>
  <si>
    <t>25/08/2016</t>
  </si>
  <si>
    <t>26/08/2016</t>
  </si>
  <si>
    <t>29/08/2016</t>
  </si>
  <si>
    <t>30/08/2016</t>
  </si>
  <si>
    <t>31/08/2016</t>
  </si>
  <si>
    <t>13/09/2016</t>
  </si>
  <si>
    <t>14/09/2016</t>
  </si>
  <si>
    <t>15/09/2016</t>
  </si>
  <si>
    <t>16/09/2016</t>
  </si>
  <si>
    <t>19/09/2016</t>
  </si>
  <si>
    <t>20/09/2016</t>
  </si>
  <si>
    <t>21/09/2016</t>
  </si>
  <si>
    <t>22/09/2016</t>
  </si>
  <si>
    <t>23/09/2016</t>
  </si>
  <si>
    <t>26/09/2016</t>
  </si>
  <si>
    <t>27/09/2016</t>
  </si>
  <si>
    <t>28/09/2016</t>
  </si>
  <si>
    <t>29/09/2016</t>
  </si>
  <si>
    <t>30/09/2016</t>
  </si>
  <si>
    <t>13/10/2016</t>
  </si>
  <si>
    <t>14/10/2016</t>
  </si>
  <si>
    <t>17/10/2016</t>
  </si>
  <si>
    <t>18/10/2016</t>
  </si>
  <si>
    <t>19/10/2016</t>
  </si>
  <si>
    <t>20/10/2016</t>
  </si>
  <si>
    <t>21/10/2016</t>
  </si>
  <si>
    <t>24/10/2016</t>
  </si>
  <si>
    <t>25/10/2016</t>
  </si>
  <si>
    <t>26/10/2016</t>
  </si>
  <si>
    <t>27/10/2016</t>
  </si>
  <si>
    <t>28/10/2016</t>
  </si>
  <si>
    <t>31/10/2016</t>
  </si>
  <si>
    <t>14/11/2016</t>
  </si>
  <si>
    <t>15/11/2016</t>
  </si>
  <si>
    <t>16/11/2016</t>
  </si>
  <si>
    <t>17/11/2016</t>
  </si>
  <si>
    <t>18/11/2016</t>
  </si>
  <si>
    <t>21/11/2016</t>
  </si>
  <si>
    <t>22/11/2016</t>
  </si>
  <si>
    <t>23/11/2016</t>
  </si>
  <si>
    <t>25/11/2016</t>
  </si>
  <si>
    <t>28/11/2016</t>
  </si>
  <si>
    <t>29/11/2016</t>
  </si>
  <si>
    <t>30/11/2016</t>
  </si>
  <si>
    <t>13/12/2016</t>
  </si>
  <si>
    <t>14/12/2016</t>
  </si>
  <si>
    <t>15/12/2016</t>
  </si>
  <si>
    <t>16/12/2016</t>
  </si>
  <si>
    <t>19/12/2016</t>
  </si>
  <si>
    <t>20/12/2016</t>
  </si>
  <si>
    <t>21/12/2016</t>
  </si>
  <si>
    <t>22/12/2016</t>
  </si>
  <si>
    <t>23/12/2016</t>
  </si>
  <si>
    <t>27/12/2016</t>
  </si>
  <si>
    <t>28/12/2016</t>
  </si>
  <si>
    <t>29/12/2016</t>
  </si>
  <si>
    <t>30/12/2016</t>
  </si>
  <si>
    <t>13/01/2017</t>
  </si>
  <si>
    <t>17/01/2017</t>
  </si>
  <si>
    <t>18/01/2017</t>
  </si>
  <si>
    <t>19/01/2017</t>
  </si>
  <si>
    <t>20/01/2017</t>
  </si>
  <si>
    <t>23/01/2017</t>
  </si>
  <si>
    <t>24/01/2017</t>
  </si>
  <si>
    <t>25/01/2017</t>
  </si>
  <si>
    <t>26/01/2017</t>
  </si>
  <si>
    <t>27/01/2017</t>
  </si>
  <si>
    <t>30/01/2017</t>
  </si>
  <si>
    <t>31/01/2017</t>
  </si>
  <si>
    <t>13/02/2017</t>
  </si>
  <si>
    <t>14/02/2017</t>
  </si>
  <si>
    <t>15/02/2017</t>
  </si>
  <si>
    <t>16/02/2017</t>
  </si>
  <si>
    <t>17/02/2017</t>
  </si>
  <si>
    <t>21/02/2017</t>
  </si>
  <si>
    <t>22/02/2017</t>
  </si>
  <si>
    <t>23/02/2017</t>
  </si>
  <si>
    <t>24/02/2017</t>
  </si>
  <si>
    <t>27/02/2017</t>
  </si>
  <si>
    <t>28/02/2017</t>
  </si>
  <si>
    <t>13/03/2017</t>
  </si>
  <si>
    <t>14/03/2017</t>
  </si>
  <si>
    <t>15/03/2017</t>
  </si>
  <si>
    <t>16/03/2017</t>
  </si>
  <si>
    <t>17/03/2017</t>
  </si>
  <si>
    <t>20/03/2017</t>
  </si>
  <si>
    <t>21/03/2017</t>
  </si>
  <si>
    <t>22/03/2017</t>
  </si>
  <si>
    <t>23/03/2017</t>
  </si>
  <si>
    <t>24/03/2017</t>
  </si>
  <si>
    <t>27/03/2017</t>
  </si>
  <si>
    <t>28/03/2017</t>
  </si>
  <si>
    <t>29/03/2017</t>
  </si>
  <si>
    <t>30/03/2017</t>
  </si>
  <si>
    <t>31/03/2017</t>
  </si>
  <si>
    <t>13/04/2017</t>
  </si>
  <si>
    <t>17/04/2017</t>
  </si>
  <si>
    <t>18/04/2017</t>
  </si>
  <si>
    <t>19/04/2017</t>
  </si>
  <si>
    <t>20/04/2017</t>
  </si>
  <si>
    <t>21/04/2017</t>
  </si>
  <si>
    <t>24/04/2017</t>
  </si>
  <si>
    <t>25/04/2017</t>
  </si>
  <si>
    <t>26/04/2017</t>
  </si>
  <si>
    <t>27/04/2017</t>
  </si>
  <si>
    <t>28/04/2017</t>
  </si>
  <si>
    <t>15/05/2017</t>
  </si>
  <si>
    <t>16/05/2017</t>
  </si>
  <si>
    <t>17/05/2017</t>
  </si>
  <si>
    <t>18/05/2017</t>
  </si>
  <si>
    <t>19/05/2017</t>
  </si>
  <si>
    <t>22/05/2017</t>
  </si>
  <si>
    <t>23/05/2017</t>
  </si>
  <si>
    <t>24/05/2017</t>
  </si>
  <si>
    <t>25/05/2017</t>
  </si>
  <si>
    <t>26/05/2017</t>
  </si>
  <si>
    <t>30/05/2017</t>
  </si>
  <si>
    <t>31/05/2017</t>
  </si>
  <si>
    <t>13/06/2017</t>
  </si>
  <si>
    <t>14/06/2017</t>
  </si>
  <si>
    <t>15/06/2017</t>
  </si>
  <si>
    <t>16/06/2017</t>
  </si>
  <si>
    <t>19/06/2017</t>
  </si>
  <si>
    <t>20/06/2017</t>
  </si>
  <si>
    <t>21/06/2017</t>
  </si>
  <si>
    <t>22/06/2017</t>
  </si>
  <si>
    <t>23/06/2017</t>
  </si>
  <si>
    <t>26/06/2017</t>
  </si>
  <si>
    <t>27/06/2017</t>
  </si>
  <si>
    <t>28/06/2017</t>
  </si>
  <si>
    <t>29/06/2017</t>
  </si>
  <si>
    <t>30/06/2017</t>
  </si>
  <si>
    <t>13/07/2017</t>
  </si>
  <si>
    <t>14/07/2017</t>
  </si>
  <si>
    <t>17/07/2017</t>
  </si>
  <si>
    <t>18/07/2017</t>
  </si>
  <si>
    <t>19/07/2017</t>
  </si>
  <si>
    <t>20/07/2017</t>
  </si>
  <si>
    <t>21/07/2017</t>
  </si>
  <si>
    <t>24/07/2017</t>
  </si>
  <si>
    <t>25/07/2017</t>
  </si>
  <si>
    <t>26/07/2017</t>
  </si>
  <si>
    <t>27/07/2017</t>
  </si>
  <si>
    <t>28/07/2017</t>
  </si>
  <si>
    <t>31/07/2017</t>
  </si>
  <si>
    <t>14/08/2017</t>
  </si>
  <si>
    <t>15/08/2017</t>
  </si>
  <si>
    <t>16/08/2017</t>
  </si>
  <si>
    <t>17/08/2017</t>
  </si>
  <si>
    <t>18/08/2017</t>
  </si>
  <si>
    <t>21/08/2017</t>
  </si>
  <si>
    <t>22/08/2017</t>
  </si>
  <si>
    <t>23/08/2017</t>
  </si>
  <si>
    <t>24/08/2017</t>
  </si>
  <si>
    <t>25/08/2017</t>
  </si>
  <si>
    <t>28/08/2017</t>
  </si>
  <si>
    <t>29/08/2017</t>
  </si>
  <si>
    <t>30/08/2017</t>
  </si>
  <si>
    <t>31/08/2017</t>
  </si>
  <si>
    <t>13/09/2017</t>
  </si>
  <si>
    <t>14/09/2017</t>
  </si>
  <si>
    <t>15/09/2017</t>
  </si>
  <si>
    <t>18/09/2017</t>
  </si>
  <si>
    <t>19/09/2017</t>
  </si>
  <si>
    <t>20/09/2017</t>
  </si>
  <si>
    <t>21/09/2017</t>
  </si>
  <si>
    <t>22/09/2017</t>
  </si>
  <si>
    <t>25/09/2017</t>
  </si>
  <si>
    <t>26/09/2017</t>
  </si>
  <si>
    <t>27/09/2017</t>
  </si>
  <si>
    <t>28/09/2017</t>
  </si>
  <si>
    <t>29/09/2017</t>
  </si>
  <si>
    <t>13/10/2017</t>
  </si>
  <si>
    <t>16/10/2017</t>
  </si>
  <si>
    <t>17/10/2017</t>
  </si>
  <si>
    <t>18/10/2017</t>
  </si>
  <si>
    <t>19/10/2017</t>
  </si>
  <si>
    <t>20/10/2017</t>
  </si>
  <si>
    <t>23/10/2017</t>
  </si>
  <si>
    <t>24/10/2017</t>
  </si>
  <si>
    <t>25/10/2017</t>
  </si>
  <si>
    <t>26/10/2017</t>
  </si>
  <si>
    <t>27/10/2017</t>
  </si>
  <si>
    <t>30/10/2017</t>
  </si>
  <si>
    <t>31/10/2017</t>
  </si>
  <si>
    <t>13/11/2017</t>
  </si>
  <si>
    <t>14/11/2017</t>
  </si>
  <si>
    <t>15/11/2017</t>
  </si>
  <si>
    <t>16/11/2017</t>
  </si>
  <si>
    <t>17/11/2017</t>
  </si>
  <si>
    <t>20/11/2017</t>
  </si>
  <si>
    <t>21/11/2017</t>
  </si>
  <si>
    <t>22/11/2017</t>
  </si>
  <si>
    <t>24/11/2017</t>
  </si>
  <si>
    <t>27/11/2017</t>
  </si>
  <si>
    <t>28/11/2017</t>
  </si>
  <si>
    <t>29/11/2017</t>
  </si>
  <si>
    <t>30/11/2017</t>
  </si>
  <si>
    <t>13/12/2017</t>
  </si>
  <si>
    <t>14/12/2017</t>
  </si>
  <si>
    <t>15/12/2017</t>
  </si>
  <si>
    <t>18/12/2017</t>
  </si>
  <si>
    <t>19/12/2017</t>
  </si>
  <si>
    <t>20/12/2017</t>
  </si>
  <si>
    <t>21/12/2017</t>
  </si>
  <si>
    <t>22/12/2017</t>
  </si>
  <si>
    <t>26/12/2017</t>
  </si>
  <si>
    <t>27/12/2017</t>
  </si>
  <si>
    <t>28/12/2017</t>
  </si>
  <si>
    <t>29/12/2017</t>
  </si>
  <si>
    <t>16/01/2018</t>
  </si>
  <si>
    <t>17/01/2018</t>
  </si>
  <si>
    <t>18/01/2018</t>
  </si>
  <si>
    <t>19/01/2018</t>
  </si>
  <si>
    <t>22/01/2018</t>
  </si>
  <si>
    <t>23/01/2018</t>
  </si>
  <si>
    <t>24/01/2018</t>
  </si>
  <si>
    <t>25/01/2018</t>
  </si>
  <si>
    <t>26/01/2018</t>
  </si>
  <si>
    <t>30/01/2018</t>
  </si>
  <si>
    <t>31/01/2018</t>
  </si>
  <si>
    <t>13/02/2018</t>
  </si>
  <si>
    <t>14/02/2018</t>
  </si>
  <si>
    <t>15/02/2018</t>
  </si>
  <si>
    <t>16/02/2018</t>
  </si>
  <si>
    <t>20/02/2018</t>
  </si>
  <si>
    <t>21/02/2018</t>
  </si>
  <si>
    <t>22/02/2018</t>
  </si>
  <si>
    <t>23/02/2018</t>
  </si>
  <si>
    <t>26/02/2018</t>
  </si>
  <si>
    <t>27/02/2018</t>
  </si>
  <si>
    <t>28/02/2018</t>
  </si>
  <si>
    <t>13/03/2018</t>
  </si>
  <si>
    <t>14/03/2018</t>
  </si>
  <si>
    <t>15/03/2018</t>
  </si>
  <si>
    <t>16/03/2018</t>
  </si>
  <si>
    <t>19/03/2018</t>
  </si>
  <si>
    <t>20/03/2018</t>
  </si>
  <si>
    <t>21/03/2018</t>
  </si>
  <si>
    <t>22/03/2018</t>
  </si>
  <si>
    <t>23/03/2018</t>
  </si>
  <si>
    <t>26/03/2018</t>
  </si>
  <si>
    <t>27/03/2018</t>
  </si>
  <si>
    <t>28/03/2018</t>
  </si>
  <si>
    <t>29/03/2018</t>
  </si>
  <si>
    <t>13/04/2018</t>
  </si>
  <si>
    <t>16/04/2018</t>
  </si>
  <si>
    <t>17/04/2018</t>
  </si>
  <si>
    <t>18/04/2018</t>
  </si>
  <si>
    <t>19/04/2018</t>
  </si>
  <si>
    <t>20/04/2018</t>
  </si>
  <si>
    <t>23/04/2018</t>
  </si>
  <si>
    <t>24/04/2018</t>
  </si>
  <si>
    <t>25/04/2018</t>
  </si>
  <si>
    <t>26/04/2018</t>
  </si>
  <si>
    <t>27/04/2018</t>
  </si>
  <si>
    <t>30/04/2018</t>
  </si>
  <si>
    <t>14/05/2018</t>
  </si>
  <si>
    <t>15/05/2018</t>
  </si>
  <si>
    <t>16/05/2018</t>
  </si>
  <si>
    <t>17/05/2018</t>
  </si>
  <si>
    <t>18/05/2018</t>
  </si>
  <si>
    <t>21/05/2018</t>
  </si>
  <si>
    <t>22/05/2018</t>
  </si>
  <si>
    <t>23/05/2018</t>
  </si>
  <si>
    <t>24/05/2018</t>
  </si>
  <si>
    <t>25/05/2018</t>
  </si>
  <si>
    <t>29/05/2018</t>
  </si>
  <si>
    <t>30/05/2018</t>
  </si>
  <si>
    <t>31/05/2018</t>
  </si>
  <si>
    <t>13/06/2018</t>
  </si>
  <si>
    <t>14/06/2018</t>
  </si>
  <si>
    <t>15/06/2018</t>
  </si>
  <si>
    <t>18/06/2018</t>
  </si>
  <si>
    <t>19/06/2018</t>
  </si>
  <si>
    <t>20/06/2018</t>
  </si>
  <si>
    <t>21/06/2018</t>
  </si>
  <si>
    <t>22/06/2018</t>
  </si>
  <si>
    <t>25/06/2018</t>
  </si>
  <si>
    <t>26/06/2018</t>
  </si>
  <si>
    <t>27/06/2018</t>
  </si>
  <si>
    <t>28/06/2018</t>
  </si>
  <si>
    <t>29/06/2018</t>
  </si>
  <si>
    <t>13/07/2018</t>
  </si>
  <si>
    <t>16/07/2018</t>
  </si>
  <si>
    <t>17/07/2018</t>
  </si>
  <si>
    <t>18/07/2018</t>
  </si>
  <si>
    <t>19/07/2018</t>
  </si>
  <si>
    <t>20/07/2018</t>
  </si>
  <si>
    <t>23/07/2018</t>
  </si>
  <si>
    <t>24/07/2018</t>
  </si>
  <si>
    <t>25/07/2018</t>
  </si>
  <si>
    <t>26/07/2018</t>
  </si>
  <si>
    <t>27/07/2018</t>
  </si>
  <si>
    <t>30/07/2018</t>
  </si>
  <si>
    <t>31/07/2018</t>
  </si>
  <si>
    <t>13/08/2018</t>
  </si>
  <si>
    <t>14/08/2018</t>
  </si>
  <si>
    <t>15/08/2018</t>
  </si>
  <si>
    <t>16/08/2018</t>
  </si>
  <si>
    <t>17/08/2018</t>
  </si>
  <si>
    <t>20/08/2018</t>
  </si>
  <si>
    <t>21/08/2018</t>
  </si>
  <si>
    <t>22/08/2018</t>
  </si>
  <si>
    <t>23/08/2018</t>
  </si>
  <si>
    <t>24/08/2018</t>
  </si>
  <si>
    <t>27/08/2018</t>
  </si>
  <si>
    <t>28/08/2018</t>
  </si>
  <si>
    <t>29/08/2018</t>
  </si>
  <si>
    <t>30/08/2018</t>
  </si>
  <si>
    <t>31/08/2018</t>
  </si>
  <si>
    <t>13/09/2018</t>
  </si>
  <si>
    <t>14/09/2018</t>
  </si>
  <si>
    <t>17/09/2018</t>
  </si>
  <si>
    <t>18/09/2018</t>
  </si>
  <si>
    <t>19/09/2018</t>
  </si>
  <si>
    <t>20/09/2018</t>
  </si>
  <si>
    <t>21/09/2018</t>
  </si>
  <si>
    <t>24/09/2018</t>
  </si>
  <si>
    <t>25/09/2018</t>
  </si>
  <si>
    <t>26/09/2018</t>
  </si>
  <si>
    <t>27/09/2018</t>
  </si>
  <si>
    <t>28/09/2018</t>
  </si>
  <si>
    <t>15/10/2018</t>
  </si>
  <si>
    <t>16/10/2018</t>
  </si>
  <si>
    <t>17/10/2018</t>
  </si>
  <si>
    <t>18/10/2018</t>
  </si>
  <si>
    <t>19/10/2018</t>
  </si>
  <si>
    <t>22/10/2018</t>
  </si>
  <si>
    <t>23/10/2018</t>
  </si>
  <si>
    <t>24/10/2018</t>
  </si>
  <si>
    <t>25/10/2018</t>
  </si>
  <si>
    <t>26/10/2018</t>
  </si>
  <si>
    <t>29/10/2018</t>
  </si>
  <si>
    <t>30/10/2018</t>
  </si>
  <si>
    <t>31/10/2018</t>
  </si>
  <si>
    <t>13/11/2018</t>
  </si>
  <si>
    <t>14/11/2018</t>
  </si>
  <si>
    <t>15/11/2018</t>
  </si>
  <si>
    <t>16/11/2018</t>
  </si>
  <si>
    <t>19/11/2018</t>
  </si>
  <si>
    <t>20/11/2018</t>
  </si>
  <si>
    <t>21/11/2018</t>
  </si>
  <si>
    <t>23/11/2018</t>
  </si>
  <si>
    <t>26/11/2018</t>
  </si>
  <si>
    <t>27/11/2018</t>
  </si>
  <si>
    <t>28/11/2018</t>
  </si>
  <si>
    <t>29/11/2018</t>
  </si>
  <si>
    <t>30/11/2018</t>
  </si>
  <si>
    <t>13/12/2018</t>
  </si>
  <si>
    <t>14/12/2018</t>
  </si>
  <si>
    <t>17/12/2018</t>
  </si>
  <si>
    <t>18/12/2018</t>
  </si>
  <si>
    <t>19/12/2018</t>
  </si>
  <si>
    <t>20/12/2018</t>
  </si>
  <si>
    <t>21/12/2018</t>
  </si>
  <si>
    <t>24/12/2018</t>
  </si>
  <si>
    <t>26/12/2018</t>
  </si>
  <si>
    <t>27/12/2018</t>
  </si>
  <si>
    <t>28/12/2018</t>
  </si>
  <si>
    <t>31/12/2018</t>
  </si>
  <si>
    <t>14/01/2019</t>
  </si>
  <si>
    <t>15/01/2019</t>
  </si>
  <si>
    <t>16/01/2019</t>
  </si>
  <si>
    <t>17/01/2019</t>
  </si>
  <si>
    <t>18/01/2019</t>
  </si>
  <si>
    <t>22/01/2019</t>
  </si>
  <si>
    <t>23/01/2019</t>
  </si>
  <si>
    <t>24/01/2019</t>
  </si>
  <si>
    <t>25/01/2019</t>
  </si>
  <si>
    <t>28/01/2019</t>
  </si>
  <si>
    <t>29/01/2019</t>
  </si>
  <si>
    <t>30/01/2019</t>
  </si>
  <si>
    <t>31/01/2019</t>
  </si>
  <si>
    <t>13/02/2019</t>
  </si>
  <si>
    <t>14/02/2019</t>
  </si>
  <si>
    <t>15/02/2019</t>
  </si>
  <si>
    <t>19/02/2019</t>
  </si>
  <si>
    <t>20/02/2019</t>
  </si>
  <si>
    <t>21/02/2019</t>
  </si>
  <si>
    <t>22/02/2019</t>
  </si>
  <si>
    <t>25/02/2019</t>
  </si>
  <si>
    <t>26/02/2019</t>
  </si>
  <si>
    <t>27/02/2019</t>
  </si>
  <si>
    <t>28/02/2019</t>
  </si>
  <si>
    <t>13/03/2019</t>
  </si>
  <si>
    <t>14/03/2019</t>
  </si>
  <si>
    <t>15/03/2019</t>
  </si>
  <si>
    <t>18/03/2019</t>
  </si>
  <si>
    <t>19/03/2019</t>
  </si>
  <si>
    <t>20/03/2019</t>
  </si>
  <si>
    <t>21/03/2019</t>
  </si>
  <si>
    <t>22/03/2019</t>
  </si>
  <si>
    <t>25/03/2019</t>
  </si>
  <si>
    <t>26/03/2019</t>
  </si>
  <si>
    <t>27/03/2019</t>
  </si>
  <si>
    <t>28/03/2019</t>
  </si>
  <si>
    <t>29/03/2019</t>
  </si>
  <si>
    <t>15/04/2019</t>
  </si>
  <si>
    <t>16/04/2019</t>
  </si>
  <si>
    <t>17/04/2019</t>
  </si>
  <si>
    <t>18/04/2019</t>
  </si>
  <si>
    <t>22/04/2019</t>
  </si>
  <si>
    <t>23/04/2019</t>
  </si>
  <si>
    <t>24/04/2019</t>
  </si>
  <si>
    <t>25/04/2019</t>
  </si>
  <si>
    <t>26/04/2019</t>
  </si>
  <si>
    <t>29/04/2019</t>
  </si>
  <si>
    <t>30/04/2019</t>
  </si>
  <si>
    <t>13/05/2019</t>
  </si>
  <si>
    <t>14/05/2019</t>
  </si>
  <si>
    <t>15/05/2019</t>
  </si>
  <si>
    <t>16/05/2019</t>
  </si>
  <si>
    <t>17/05/2019</t>
  </si>
  <si>
    <t>20/05/2019</t>
  </si>
  <si>
    <t>21/05/2019</t>
  </si>
  <si>
    <t>22/05/2019</t>
  </si>
  <si>
    <t>23/05/2019</t>
  </si>
  <si>
    <t>24/05/2019</t>
  </si>
  <si>
    <t>28/05/2019</t>
  </si>
  <si>
    <t>29/05/2019</t>
  </si>
  <si>
    <t>30/05/2019</t>
  </si>
  <si>
    <t>31/05/2019</t>
  </si>
  <si>
    <t>13/06/2019</t>
  </si>
  <si>
    <t>14/06/2019</t>
  </si>
  <si>
    <t>17/06/2019</t>
  </si>
  <si>
    <t>18/06/2019</t>
  </si>
  <si>
    <t>19/06/2019</t>
  </si>
  <si>
    <t>20/06/2019</t>
  </si>
  <si>
    <t>21/06/2019</t>
  </si>
  <si>
    <t>24/06/2019</t>
  </si>
  <si>
    <t>25/06/2019</t>
  </si>
  <si>
    <t>26/06/2019</t>
  </si>
  <si>
    <t>27/06/2019</t>
  </si>
  <si>
    <t>28/06/2019</t>
  </si>
  <si>
    <t>15/07/2019</t>
  </si>
  <si>
    <t>16/07/2019</t>
  </si>
  <si>
    <t>17/07/2019</t>
  </si>
  <si>
    <t>18/07/2019</t>
  </si>
  <si>
    <t>19/07/2019</t>
  </si>
  <si>
    <t>22/07/2019</t>
  </si>
  <si>
    <t>23/07/2019</t>
  </si>
  <si>
    <t>24/07/2019</t>
  </si>
  <si>
    <t>25/07/2019</t>
  </si>
  <si>
    <t>26/07/2019</t>
  </si>
  <si>
    <t>29/07/2019</t>
  </si>
  <si>
    <t>30/07/2019</t>
  </si>
  <si>
    <t>31/07/2019</t>
  </si>
  <si>
    <t>13/08/2019</t>
  </si>
  <si>
    <t>14/08/2019</t>
  </si>
  <si>
    <t>15/08/2019</t>
  </si>
  <si>
    <t>16/08/2019</t>
  </si>
  <si>
    <t>19/08/2019</t>
  </si>
  <si>
    <t>20/08/2019</t>
  </si>
  <si>
    <t>21/08/2019</t>
  </si>
  <si>
    <t>22/08/2019</t>
  </si>
  <si>
    <t>23/08/2019</t>
  </si>
  <si>
    <t>26/08/2019</t>
  </si>
  <si>
    <t>27/08/2019</t>
  </si>
  <si>
    <t>28/08/2019</t>
  </si>
  <si>
    <t>29/08/2019</t>
  </si>
  <si>
    <t>30/08/2019</t>
  </si>
  <si>
    <t>13/09/2019</t>
  </si>
  <si>
    <t>16/09/2019</t>
  </si>
  <si>
    <t>17/09/2019</t>
  </si>
  <si>
    <t>18/09/2019</t>
  </si>
  <si>
    <t>19/09/2019</t>
  </si>
  <si>
    <t>20/09/2019</t>
  </si>
  <si>
    <t>23/09/2019</t>
  </si>
  <si>
    <t>24/09/2019</t>
  </si>
  <si>
    <t>25/09/2019</t>
  </si>
  <si>
    <t>26/09/2019</t>
  </si>
  <si>
    <t>27/09/2019</t>
  </si>
  <si>
    <t>30/09/2019</t>
  </si>
  <si>
    <t>14/10/2019</t>
  </si>
  <si>
    <t>15/10/2019</t>
  </si>
  <si>
    <t>16/10/2019</t>
  </si>
  <si>
    <t>17/10/2019</t>
  </si>
  <si>
    <t>18/10/2019</t>
  </si>
  <si>
    <t>21/10/2019</t>
  </si>
  <si>
    <t>22/10/2019</t>
  </si>
  <si>
    <t>23/10/2019</t>
  </si>
  <si>
    <t>24/10/2019</t>
  </si>
  <si>
    <t>25/10/2019</t>
  </si>
  <si>
    <t>28/10/2019</t>
  </si>
  <si>
    <t>29/10/2019</t>
  </si>
  <si>
    <t>30/10/2019</t>
  </si>
  <si>
    <t>31/10/2019</t>
  </si>
  <si>
    <t>13/11/2019</t>
  </si>
  <si>
    <t>14/11/2019</t>
  </si>
  <si>
    <t>15/11/2019</t>
  </si>
  <si>
    <t>18/11/2019</t>
  </si>
  <si>
    <t>19/11/2019</t>
  </si>
  <si>
    <t>20/11/2019</t>
  </si>
  <si>
    <t>21/11/2019</t>
  </si>
  <si>
    <t>22/11/2019</t>
  </si>
  <si>
    <t>25/11/2019</t>
  </si>
  <si>
    <t>26/11/2019</t>
  </si>
  <si>
    <t>27/11/2019</t>
  </si>
  <si>
    <t>29/11/2019</t>
  </si>
  <si>
    <t>13/12/2019</t>
  </si>
  <si>
    <t>16/12/2019</t>
  </si>
  <si>
    <t>17/12/2019</t>
  </si>
  <si>
    <t>18/12/2019</t>
  </si>
  <si>
    <t>19/12/2019</t>
  </si>
  <si>
    <t>20/12/2019</t>
  </si>
  <si>
    <t>23/12/2019</t>
  </si>
  <si>
    <t>24/12/2019</t>
  </si>
  <si>
    <t>26/12/2019</t>
  </si>
  <si>
    <t>27/12/2019</t>
  </si>
  <si>
    <t>30/12/2019</t>
  </si>
  <si>
    <t>31/12/2019</t>
  </si>
  <si>
    <t>13/01/2020</t>
  </si>
  <si>
    <t>14/01/2020</t>
  </si>
  <si>
    <t>15/01/2020</t>
  </si>
  <si>
    <t>16/01/2020</t>
  </si>
  <si>
    <t>17/01/2020</t>
  </si>
  <si>
    <t>21/01/2020</t>
  </si>
  <si>
    <t>22/01/2020</t>
  </si>
  <si>
    <t>23/01/2020</t>
  </si>
  <si>
    <t>24/01/2020</t>
  </si>
  <si>
    <t>27/01/2020</t>
  </si>
  <si>
    <t>28/01/2020</t>
  </si>
  <si>
    <t>29/01/2020</t>
  </si>
  <si>
    <t>30/01/2020</t>
  </si>
  <si>
    <t>31/01/2020</t>
  </si>
  <si>
    <t>13/02/2020</t>
  </si>
  <si>
    <t>14/02/2020</t>
  </si>
  <si>
    <t>18/02/2020</t>
  </si>
  <si>
    <t>19/02/2020</t>
  </si>
  <si>
    <t>20/02/2020</t>
  </si>
  <si>
    <t>21/02/2020</t>
  </si>
  <si>
    <t>24/02/2020</t>
  </si>
  <si>
    <t>25/02/2020</t>
  </si>
  <si>
    <t>26/02/2020</t>
  </si>
  <si>
    <t>27/02/2020</t>
  </si>
  <si>
    <t>28/02/2020</t>
  </si>
  <si>
    <t>13/03/2020</t>
  </si>
  <si>
    <t>16/03/2020</t>
  </si>
  <si>
    <t>17/03/2020</t>
  </si>
  <si>
    <t>18/03/2020</t>
  </si>
  <si>
    <t>19/03/2020</t>
  </si>
  <si>
    <t>20/03/2020</t>
  </si>
  <si>
    <t>23/03/2020</t>
  </si>
  <si>
    <t>24/03/2020</t>
  </si>
  <si>
    <t>25/03/2020</t>
  </si>
  <si>
    <t>26/03/2020</t>
  </si>
  <si>
    <t>27/03/2020</t>
  </si>
  <si>
    <t>30/03/2020</t>
  </si>
  <si>
    <t>31/03/2020</t>
  </si>
  <si>
    <t>13/04/2020</t>
  </si>
  <si>
    <t>14/04/2020</t>
  </si>
  <si>
    <t>15/04/2020</t>
  </si>
  <si>
    <t>16/04/2020</t>
  </si>
  <si>
    <t>17/04/2020</t>
  </si>
  <si>
    <t>20/04/2020</t>
  </si>
  <si>
    <t>21/04/2020</t>
  </si>
  <si>
    <t>22/04/2020</t>
  </si>
  <si>
    <t>23/04/2020</t>
  </si>
  <si>
    <t>24/04/2020</t>
  </si>
  <si>
    <t>27/04/2020</t>
  </si>
  <si>
    <t>28/04/2020</t>
  </si>
  <si>
    <t>29/04/2020</t>
  </si>
  <si>
    <t>30/04/2020</t>
  </si>
  <si>
    <t>13/05/2020</t>
  </si>
  <si>
    <t>14/05/2020</t>
  </si>
  <si>
    <t>15/05/2020</t>
  </si>
  <si>
    <t>18/05/2020</t>
  </si>
  <si>
    <t>19/05/2020</t>
  </si>
  <si>
    <t>20/05/2020</t>
  </si>
  <si>
    <t>21/05/2020</t>
  </si>
  <si>
    <t>22/05/2020</t>
  </si>
  <si>
    <t>26/05/2020</t>
  </si>
  <si>
    <t>27/05/2020</t>
  </si>
  <si>
    <t>28/05/2020</t>
  </si>
  <si>
    <t>29/05/2020</t>
  </si>
  <si>
    <t>15/06/2020</t>
  </si>
  <si>
    <t>16/06/2020</t>
  </si>
  <si>
    <t>17/06/2020</t>
  </si>
  <si>
    <t>18/06/2020</t>
  </si>
  <si>
    <t>19/06/2020</t>
  </si>
  <si>
    <t>22/06/2020</t>
  </si>
  <si>
    <t>23/06/2020</t>
  </si>
  <si>
    <t>24/06/2020</t>
  </si>
  <si>
    <t>25/06/2020</t>
  </si>
  <si>
    <t>26/06/2020</t>
  </si>
  <si>
    <t>29/06/2020</t>
  </si>
  <si>
    <t>30/06/2020</t>
  </si>
  <si>
    <t>13/07/2020</t>
  </si>
  <si>
    <t>14/07/2020</t>
  </si>
  <si>
    <t>15/07/2020</t>
  </si>
  <si>
    <t>16/07/2020</t>
  </si>
  <si>
    <t>17/07/2020</t>
  </si>
  <si>
    <t>20/07/2020</t>
  </si>
  <si>
    <t>21/07/2020</t>
  </si>
  <si>
    <t>22/07/2020</t>
  </si>
  <si>
    <t>23/07/2020</t>
  </si>
  <si>
    <t>24/07/2020</t>
  </si>
  <si>
    <t>27/07/2020</t>
  </si>
  <si>
    <t>28/07/2020</t>
  </si>
  <si>
    <t>29/07/2020</t>
  </si>
  <si>
    <t>30/07/2020</t>
  </si>
  <si>
    <t>31/07/2020</t>
  </si>
  <si>
    <t>13/08/2020</t>
  </si>
  <si>
    <t>14/08/2020</t>
  </si>
  <si>
    <t>17/08/2020</t>
  </si>
  <si>
    <t>18/08/2020</t>
  </si>
  <si>
    <t>19/08/2020</t>
  </si>
  <si>
    <t>20/08/2020</t>
  </si>
  <si>
    <t>21/08/2020</t>
  </si>
  <si>
    <t>24/08/2020</t>
  </si>
  <si>
    <t>25/08/2020</t>
  </si>
  <si>
    <t>26/08/2020</t>
  </si>
  <si>
    <t>27/08/2020</t>
  </si>
  <si>
    <t>28/08/2020</t>
  </si>
  <si>
    <t>31/08/2020</t>
  </si>
  <si>
    <t>14/09/2020</t>
  </si>
  <si>
    <t>15/09/2020</t>
  </si>
  <si>
    <t>16/09/2020</t>
  </si>
  <si>
    <t>17/09/2020</t>
  </si>
  <si>
    <t>18/09/2020</t>
  </si>
  <si>
    <t>21/09/2020</t>
  </si>
  <si>
    <t>22/09/2020</t>
  </si>
  <si>
    <t>23/09/2020</t>
  </si>
  <si>
    <t>24/09/2020</t>
  </si>
  <si>
    <t>25/09/2020</t>
  </si>
  <si>
    <t>28/09/2020</t>
  </si>
  <si>
    <t>29/09/2020</t>
  </si>
  <si>
    <t>30/09/2020</t>
  </si>
  <si>
    <t>13/10/2020</t>
  </si>
  <si>
    <t>14/10/2020</t>
  </si>
  <si>
    <t>15/10/2020</t>
  </si>
  <si>
    <t>16/10/2020</t>
  </si>
  <si>
    <t>19/10/2020</t>
  </si>
  <si>
    <t>20/10/2020</t>
  </si>
  <si>
    <t>21/10/2020</t>
  </si>
  <si>
    <t>22/10/2020</t>
  </si>
  <si>
    <t>23/10/2020</t>
  </si>
  <si>
    <t>26/10/2020</t>
  </si>
  <si>
    <t>27/10/2020</t>
  </si>
  <si>
    <t>28/10/2020</t>
  </si>
  <si>
    <t>29/10/2020</t>
  </si>
  <si>
    <t>30/10/2020</t>
  </si>
  <si>
    <t>13/11/2020</t>
  </si>
  <si>
    <t>16/11/2020</t>
  </si>
  <si>
    <t>17/11/2020</t>
  </si>
  <si>
    <t>18/11/2020</t>
  </si>
  <si>
    <t>19/11/2020</t>
  </si>
  <si>
    <t>20/11/2020</t>
  </si>
  <si>
    <t>23/11/2020</t>
  </si>
  <si>
    <t>24/11/2020</t>
  </si>
  <si>
    <t>25/11/2020</t>
  </si>
  <si>
    <t>27/11/2020</t>
  </si>
  <si>
    <t>30/11/2020</t>
  </si>
  <si>
    <t>14/12/2020</t>
  </si>
  <si>
    <t>15/12/2020</t>
  </si>
  <si>
    <t>16/12/2020</t>
  </si>
  <si>
    <t>17/12/2020</t>
  </si>
  <si>
    <t>18/12/2020</t>
  </si>
  <si>
    <t>21/12/2020</t>
  </si>
  <si>
    <t>22/12/2020</t>
  </si>
  <si>
    <t>23/12/2020</t>
  </si>
  <si>
    <t>24/12/2020</t>
  </si>
  <si>
    <t>28/12/2020</t>
  </si>
  <si>
    <t>29/12/2020</t>
  </si>
  <si>
    <t>30/12/2020</t>
  </si>
  <si>
    <t>31/12/2020</t>
  </si>
  <si>
    <t>13/01/2021</t>
  </si>
  <si>
    <t>14/01/2021</t>
  </si>
  <si>
    <t>15/01/2021</t>
  </si>
  <si>
    <t>19/01/2021</t>
  </si>
  <si>
    <t>20/01/2021</t>
  </si>
  <si>
    <t>21/01/2021</t>
  </si>
  <si>
    <t>22/01/2021</t>
  </si>
  <si>
    <t>25/01/2021</t>
  </si>
  <si>
    <t>26/01/2021</t>
  </si>
  <si>
    <t>27/01/2021</t>
  </si>
  <si>
    <t>28/01/2021</t>
  </si>
  <si>
    <t>29/01/2021</t>
  </si>
  <si>
    <t>16/02/2021</t>
  </si>
  <si>
    <t>17/02/2021</t>
  </si>
  <si>
    <t>18/02/2021</t>
  </si>
  <si>
    <t>19/02/2021</t>
  </si>
  <si>
    <t>22/02/2021</t>
  </si>
  <si>
    <t>23/02/2021</t>
  </si>
  <si>
    <t>24/02/2021</t>
  </si>
  <si>
    <t>25/02/2021</t>
  </si>
  <si>
    <t>26/02/2021</t>
  </si>
  <si>
    <t>15/03/2021</t>
  </si>
  <si>
    <t>16/03/2021</t>
  </si>
  <si>
    <t>17/03/2021</t>
  </si>
  <si>
    <t>18/03/2021</t>
  </si>
  <si>
    <t>19/03/2021</t>
  </si>
  <si>
    <t>22/03/2021</t>
  </si>
  <si>
    <t>23/03/2021</t>
  </si>
  <si>
    <t>24/03/2021</t>
  </si>
  <si>
    <t>25/03/2021</t>
  </si>
  <si>
    <t>26/03/2021</t>
  </si>
  <si>
    <t>29/03/2021</t>
  </si>
  <si>
    <t>30/03/2021</t>
  </si>
  <si>
    <t>31/03/2021</t>
  </si>
  <si>
    <t>13/04/2021</t>
  </si>
  <si>
    <t>14/04/2021</t>
  </si>
  <si>
    <t>15/04/2021</t>
  </si>
  <si>
    <t>16/04/2021</t>
  </si>
  <si>
    <t>19/04/2021</t>
  </si>
  <si>
    <t>20/04/2021</t>
  </si>
  <si>
    <t>21/04/2021</t>
  </si>
  <si>
    <t>22/04/2021</t>
  </si>
  <si>
    <t>23/04/2021</t>
  </si>
  <si>
    <t>26/04/2021</t>
  </si>
  <si>
    <t>27/04/2021</t>
  </si>
  <si>
    <t>28/04/2021</t>
  </si>
  <si>
    <t>29/04/2021</t>
  </si>
  <si>
    <t>30/04/2021</t>
  </si>
  <si>
    <t>13/05/2021</t>
  </si>
  <si>
    <t>14/05/2021</t>
  </si>
  <si>
    <t>17/05/2021</t>
  </si>
  <si>
    <t>18/05/2021</t>
  </si>
  <si>
    <t>19/05/2021</t>
  </si>
  <si>
    <t>20/05/2021</t>
  </si>
  <si>
    <t>21/05/2021</t>
  </si>
  <si>
    <t>24/05/2021</t>
  </si>
  <si>
    <t>25/05/2021</t>
  </si>
  <si>
    <t>26/05/2021</t>
  </si>
  <si>
    <t>27/05/2021</t>
  </si>
  <si>
    <t>28/05/2021</t>
  </si>
  <si>
    <t>14/06/2021</t>
  </si>
  <si>
    <t>15/06/2021</t>
  </si>
  <si>
    <t>16/06/2021</t>
  </si>
  <si>
    <t>17/06/2021</t>
  </si>
  <si>
    <t>18/06/2021</t>
  </si>
  <si>
    <t>21/06/2021</t>
  </si>
  <si>
    <t>22/06/2021</t>
  </si>
  <si>
    <t>23/06/2021</t>
  </si>
  <si>
    <t>24/06/2021</t>
  </si>
  <si>
    <t>25/06/2021</t>
  </si>
  <si>
    <t>28/06/2021</t>
  </si>
  <si>
    <t>29/06/2021</t>
  </si>
  <si>
    <t>30/06/2021</t>
  </si>
  <si>
    <t>13/07/2021</t>
  </si>
  <si>
    <t>14/07/2021</t>
  </si>
  <si>
    <t>15/07/2021</t>
  </si>
  <si>
    <t>16/07/2021</t>
  </si>
  <si>
    <t>19/07/2021</t>
  </si>
  <si>
    <t>20/07/2021</t>
  </si>
  <si>
    <t>21/07/2021</t>
  </si>
  <si>
    <t>22/07/2021</t>
  </si>
  <si>
    <t>23/07/2021</t>
  </si>
  <si>
    <t>26/07/2021</t>
  </si>
  <si>
    <t>27/07/2021</t>
  </si>
  <si>
    <t>28/07/2021</t>
  </si>
  <si>
    <t>29/07/2021</t>
  </si>
  <si>
    <t>30/07/2021</t>
  </si>
  <si>
    <t>13/08/2021</t>
  </si>
  <si>
    <t>16/08/2021</t>
  </si>
  <si>
    <t>17/08/2021</t>
  </si>
  <si>
    <t>18/08/2021</t>
  </si>
  <si>
    <t>19/08/2021</t>
  </si>
  <si>
    <t>20/08/2021</t>
  </si>
  <si>
    <t>23/08/2021</t>
  </si>
  <si>
    <t>24/08/2021</t>
  </si>
  <si>
    <t>25/08/2021</t>
  </si>
  <si>
    <t>26/08/2021</t>
  </si>
  <si>
    <t>27/08/2021</t>
  </si>
  <si>
    <t>30/08/2021</t>
  </si>
  <si>
    <t>31/08/2021</t>
  </si>
  <si>
    <t>13/09/2021</t>
  </si>
  <si>
    <t>14/09/2021</t>
  </si>
  <si>
    <t>15/09/2021</t>
  </si>
  <si>
    <t>16/09/2021</t>
  </si>
  <si>
    <t>17/09/2021</t>
  </si>
  <si>
    <t>20/09/2021</t>
  </si>
  <si>
    <t>21/09/2021</t>
  </si>
  <si>
    <t>22/09/2021</t>
  </si>
  <si>
    <t>23/09/2021</t>
  </si>
  <si>
    <t>24/09/2021</t>
  </si>
  <si>
    <t>27/09/2021</t>
  </si>
  <si>
    <t>28/09/2021</t>
  </si>
  <si>
    <t>29/09/2021</t>
  </si>
  <si>
    <t>30/09/2021</t>
  </si>
  <si>
    <t>13/10/2021</t>
  </si>
  <si>
    <t>14/10/2021</t>
  </si>
  <si>
    <t>15/10/2021</t>
  </si>
  <si>
    <t>18/10/2021</t>
  </si>
  <si>
    <t>19/10/2021</t>
  </si>
  <si>
    <t>20/10/2021</t>
  </si>
  <si>
    <t>21/10/2021</t>
  </si>
  <si>
    <t>22/10/2021</t>
  </si>
  <si>
    <t>25/10/2021</t>
  </si>
  <si>
    <t>26/10/2021</t>
  </si>
  <si>
    <t>27/10/2021</t>
  </si>
  <si>
    <t>28/10/2021</t>
  </si>
  <si>
    <t>29/10/2021</t>
  </si>
  <si>
    <t>15/11/2021</t>
  </si>
  <si>
    <t>16/11/2021</t>
  </si>
  <si>
    <t>17/11/2021</t>
  </si>
  <si>
    <t>18/11/2021</t>
  </si>
  <si>
    <t>19/11/2021</t>
  </si>
  <si>
    <t>22/11/2021</t>
  </si>
  <si>
    <t>23/11/2021</t>
  </si>
  <si>
    <t>24/11/2021</t>
  </si>
  <si>
    <t>26/11/2021</t>
  </si>
  <si>
    <t>29/11/2021</t>
  </si>
  <si>
    <t>30/11/2021</t>
  </si>
  <si>
    <t>13/12/2021</t>
  </si>
  <si>
    <t>14/12/2021</t>
  </si>
  <si>
    <t>15/12/2021</t>
  </si>
  <si>
    <t>16/12/2021</t>
  </si>
  <si>
    <t>17/12/2021</t>
  </si>
  <si>
    <t>20/12/2021</t>
  </si>
  <si>
    <t>21/12/2021</t>
  </si>
  <si>
    <t>22/12/2021</t>
  </si>
  <si>
    <t>23/12/2021</t>
  </si>
  <si>
    <t>27/12/2021</t>
  </si>
  <si>
    <t>28/12/2021</t>
  </si>
  <si>
    <t>29/12/2021</t>
  </si>
  <si>
    <t>30/12/2021</t>
  </si>
  <si>
    <t>31/12/2021</t>
  </si>
  <si>
    <t>13/01/2022</t>
  </si>
  <si>
    <t>14/01/2022</t>
  </si>
  <si>
    <t>18/01/2022</t>
  </si>
  <si>
    <t>19/01/2022</t>
  </si>
  <si>
    <t>20/01/2022</t>
  </si>
  <si>
    <t>21/01/2022</t>
  </si>
  <si>
    <t>24/01/2022</t>
  </si>
  <si>
    <t>25/01/2022</t>
  </si>
  <si>
    <t>26/01/2022</t>
  </si>
  <si>
    <t>27/01/2022</t>
  </si>
  <si>
    <t>28/01/2022</t>
  </si>
  <si>
    <t>31/01/2022</t>
  </si>
  <si>
    <t>14/02/2022</t>
  </si>
  <si>
    <t>15/02/2022</t>
  </si>
  <si>
    <t>16/02/2022</t>
  </si>
  <si>
    <t>17/02/2022</t>
  </si>
  <si>
    <t>18/02/2022</t>
  </si>
  <si>
    <t>22/02/2022</t>
  </si>
  <si>
    <t>23/02/2022</t>
  </si>
  <si>
    <t>24/02/2022</t>
  </si>
  <si>
    <t>25/02/2022</t>
  </si>
  <si>
    <t>28/02/2022</t>
  </si>
  <si>
    <t>14/03/2022</t>
  </si>
  <si>
    <t>15/03/2022</t>
  </si>
  <si>
    <t>16/03/2022</t>
  </si>
  <si>
    <t>17/03/2022</t>
  </si>
  <si>
    <t>18/03/2022</t>
  </si>
  <si>
    <t>21/03/2022</t>
  </si>
  <si>
    <t>22/03/2022</t>
  </si>
  <si>
    <t>23/03/2022</t>
  </si>
  <si>
    <t>24/03/2022</t>
  </si>
  <si>
    <t>25/03/2022</t>
  </si>
  <si>
    <t>28/03/2022</t>
  </si>
  <si>
    <t>29/03/2022</t>
  </si>
  <si>
    <t>30/03/2022</t>
  </si>
  <si>
    <t>31/03/2022</t>
  </si>
  <si>
    <t>13/04/2022</t>
  </si>
  <si>
    <t>14/04/2022</t>
  </si>
  <si>
    <t>18/04/2022</t>
  </si>
  <si>
    <t>19/04/2022</t>
  </si>
  <si>
    <t>20/04/2022</t>
  </si>
  <si>
    <t>21/04/2022</t>
  </si>
  <si>
    <t>22/04/2022</t>
  </si>
  <si>
    <t>25/04/2022</t>
  </si>
  <si>
    <t>26/04/2022</t>
  </si>
  <si>
    <t>27/04/2022</t>
  </si>
  <si>
    <t>28/04/2022</t>
  </si>
  <si>
    <t>29/04/2022</t>
  </si>
  <si>
    <t>13/05/2022</t>
  </si>
  <si>
    <t>16/05/2022</t>
  </si>
  <si>
    <t>17/05/2022</t>
  </si>
  <si>
    <t>18/05/2022</t>
  </si>
  <si>
    <t>19/05/2022</t>
  </si>
  <si>
    <t>20/05/2022</t>
  </si>
  <si>
    <t>23/05/2022</t>
  </si>
  <si>
    <t>24/05/2022</t>
  </si>
  <si>
    <t>25/05/2022</t>
  </si>
  <si>
    <t>26/05/2022</t>
  </si>
  <si>
    <t>27/05/2022</t>
  </si>
  <si>
    <t>31/05/2022</t>
  </si>
  <si>
    <t>13/06/2022</t>
  </si>
  <si>
    <t>14/06/2022</t>
  </si>
  <si>
    <t>15/06/2022</t>
  </si>
  <si>
    <t>16/06/2022</t>
  </si>
  <si>
    <t>17/06/2022</t>
  </si>
  <si>
    <t>21/06/2022</t>
  </si>
  <si>
    <t>22/06/2022</t>
  </si>
  <si>
    <t>23/06/2022</t>
  </si>
  <si>
    <t>24/06/2022</t>
  </si>
  <si>
    <t>27/06/2022</t>
  </si>
  <si>
    <t>28/06/2022</t>
  </si>
  <si>
    <t>29/06/2022</t>
  </si>
  <si>
    <t>30/06/2022</t>
  </si>
  <si>
    <t>13/07/2022</t>
  </si>
  <si>
    <t>14/07/2022</t>
  </si>
  <si>
    <t>15/07/2022</t>
  </si>
  <si>
    <t>18/07/2022</t>
  </si>
  <si>
    <t>19/07/2022</t>
  </si>
  <si>
    <t>20/07/2022</t>
  </si>
  <si>
    <t>21/07/2022</t>
  </si>
  <si>
    <t>22/07/2022</t>
  </si>
  <si>
    <t>25/07/2022</t>
  </si>
  <si>
    <t>26/07/2022</t>
  </si>
  <si>
    <t>27/07/2022</t>
  </si>
  <si>
    <t>28/07/2022</t>
  </si>
  <si>
    <t>29/07/2022</t>
  </si>
  <si>
    <t>15/08/2022</t>
  </si>
  <si>
    <t>16/08/2022</t>
  </si>
  <si>
    <t>17/08/2022</t>
  </si>
  <si>
    <t>18/08/2022</t>
  </si>
  <si>
    <t>19/08/2022</t>
  </si>
  <si>
    <t>22/08/2022</t>
  </si>
  <si>
    <t>23/08/2022</t>
  </si>
  <si>
    <t>24/08/2022</t>
  </si>
  <si>
    <t>25/08/2022</t>
  </si>
  <si>
    <t>26/08/2022</t>
  </si>
  <si>
    <t>29/08/2022</t>
  </si>
  <si>
    <t>30/08/2022</t>
  </si>
  <si>
    <t>31/08/2022</t>
  </si>
  <si>
    <t>13/09/2022</t>
  </si>
  <si>
    <t>14/09/2022</t>
  </si>
  <si>
    <t>15/09/2022</t>
  </si>
  <si>
    <t>16/09/2022</t>
  </si>
  <si>
    <t>19/09/2022</t>
  </si>
  <si>
    <t>20/09/2022</t>
  </si>
  <si>
    <t>21/09/2022</t>
  </si>
  <si>
    <t>22/09/2022</t>
  </si>
  <si>
    <t>23/09/2022</t>
  </si>
  <si>
    <t>26/09/2022</t>
  </si>
  <si>
    <t>27/09/2022</t>
  </si>
  <si>
    <t>28/09/2022</t>
  </si>
  <si>
    <t>29/09/2022</t>
  </si>
  <si>
    <t>30/09/2022</t>
  </si>
  <si>
    <t>13/10/2022</t>
  </si>
  <si>
    <t>14/10/2022</t>
  </si>
  <si>
    <t>17/10/2022</t>
  </si>
  <si>
    <t>18/10/2022</t>
  </si>
  <si>
    <t>19/10/2022</t>
  </si>
  <si>
    <t>20/10/2022</t>
  </si>
  <si>
    <t>21/10/2022</t>
  </si>
  <si>
    <t>24/10/2022</t>
  </si>
  <si>
    <t>25/10/2022</t>
  </si>
  <si>
    <t>26/10/2022</t>
  </si>
  <si>
    <t>27/10/2022</t>
  </si>
  <si>
    <t>28/10/2022</t>
  </si>
  <si>
    <t>31/10/2022</t>
  </si>
  <si>
    <t>14/11/2022</t>
  </si>
  <si>
    <t>15/11/2022</t>
  </si>
  <si>
    <t>16/11/2022</t>
  </si>
  <si>
    <t>17/11/2022</t>
  </si>
  <si>
    <t>18/11/2022</t>
  </si>
  <si>
    <t>21/11/2022</t>
  </si>
  <si>
    <t>22/11/2022</t>
  </si>
  <si>
    <t>23/11/2022</t>
  </si>
  <si>
    <t>25/11/2022</t>
  </si>
  <si>
    <t>28/11/2022</t>
  </si>
  <si>
    <t>29/11/2022</t>
  </si>
  <si>
    <t>30/11/2022</t>
  </si>
  <si>
    <t>13/12/2022</t>
  </si>
  <si>
    <t>14/12/2022</t>
  </si>
  <si>
    <t>15/12/2022</t>
  </si>
  <si>
    <t>16/12/2022</t>
  </si>
  <si>
    <t>19/12/2022</t>
  </si>
  <si>
    <t>20/12/2022</t>
  </si>
  <si>
    <t>21/12/2022</t>
  </si>
  <si>
    <t>22/12/2022</t>
  </si>
  <si>
    <t>23/12/2022</t>
  </si>
  <si>
    <t>27/12/2022</t>
  </si>
  <si>
    <t>28/12/2022</t>
  </si>
  <si>
    <t>29/12/2022</t>
  </si>
  <si>
    <t>30/12/2022</t>
  </si>
  <si>
    <t>13/01/2023</t>
  </si>
  <si>
    <t>17/01/2023</t>
  </si>
  <si>
    <t>18/01/2023</t>
  </si>
  <si>
    <t>19/01/2023</t>
  </si>
  <si>
    <t>20/01/2023</t>
  </si>
  <si>
    <t>23/01/2023</t>
  </si>
  <si>
    <t>24/01/2023</t>
  </si>
  <si>
    <t>25/01/2023</t>
  </si>
  <si>
    <t>26/01/2023</t>
  </si>
  <si>
    <t>27/01/2023</t>
  </si>
  <si>
    <t>30/01/2023</t>
  </si>
  <si>
    <t>31/01/2023</t>
  </si>
  <si>
    <t>13/02/2023</t>
  </si>
  <si>
    <t>14/02/2023</t>
  </si>
  <si>
    <t>15/02/2023</t>
  </si>
  <si>
    <t>16/02/2023</t>
  </si>
  <si>
    <t>17/02/2023</t>
  </si>
  <si>
    <t>21/02/2023</t>
  </si>
  <si>
    <t>22/02/2023</t>
  </si>
  <si>
    <t>23/02/2023</t>
  </si>
  <si>
    <t>24/02/2023</t>
  </si>
  <si>
    <t>27/02/2023</t>
  </si>
  <si>
    <t>28/02/2023</t>
  </si>
  <si>
    <t>13/03/2023</t>
  </si>
  <si>
    <t>14/03/2023</t>
  </si>
  <si>
    <t>15/03/2023</t>
  </si>
  <si>
    <t>16/03/2023</t>
  </si>
  <si>
    <t>17/03/2023</t>
  </si>
  <si>
    <t>20/03/2023</t>
  </si>
  <si>
    <t>21/03/2023</t>
  </si>
  <si>
    <t>22/03/2023</t>
  </si>
  <si>
    <t>23/03/2023</t>
  </si>
  <si>
    <t>24/03/2023</t>
  </si>
  <si>
    <t>27/03/2023</t>
  </si>
  <si>
    <t>28/03/2023</t>
  </si>
  <si>
    <t>29/03/2023</t>
  </si>
  <si>
    <t>30/03/2023</t>
  </si>
  <si>
    <t>31/03/2023</t>
  </si>
  <si>
    <t>13/04/2023</t>
  </si>
  <si>
    <t>14/04/2023</t>
  </si>
  <si>
    <t>17/04/2023</t>
  </si>
  <si>
    <t>18/04/2023</t>
  </si>
  <si>
    <t>19/04/2023</t>
  </si>
  <si>
    <t>20/04/2023</t>
  </si>
  <si>
    <t>21/04/2023</t>
  </si>
  <si>
    <t>24/04/2023</t>
  </si>
  <si>
    <t>25/04/2023</t>
  </si>
  <si>
    <t>26/04/2023</t>
  </si>
  <si>
    <t>27/04/2023</t>
  </si>
  <si>
    <t>28/04/2023</t>
  </si>
  <si>
    <t>15/05/2023</t>
  </si>
  <si>
    <t>16/05/2023</t>
  </si>
  <si>
    <t>17/05/2023</t>
  </si>
  <si>
    <t>18/05/2023</t>
  </si>
  <si>
    <t>19/05/2023</t>
  </si>
  <si>
    <t>22/05/2023</t>
  </si>
  <si>
    <t>23/05/2023</t>
  </si>
  <si>
    <t>24/05/2023</t>
  </si>
  <si>
    <t>25/05/2023</t>
  </si>
  <si>
    <t>26/05/2023</t>
  </si>
  <si>
    <t>30/05/2023</t>
  </si>
  <si>
    <t>31/05/2023</t>
  </si>
  <si>
    <t>13/06/2023</t>
  </si>
  <si>
    <t>14/06/2023</t>
  </si>
  <si>
    <t>15/06/2023</t>
  </si>
  <si>
    <t>16/06/2023</t>
  </si>
  <si>
    <t>20/06/2023</t>
  </si>
  <si>
    <t>21/06/2023</t>
  </si>
  <si>
    <t>22/06/2023</t>
  </si>
  <si>
    <t>23/06/2023</t>
  </si>
  <si>
    <t>26/06/2023</t>
  </si>
  <si>
    <t>27/06/2023</t>
  </si>
  <si>
    <t>28/06/2023</t>
  </si>
  <si>
    <t>29/06/2023</t>
  </si>
  <si>
    <t>30/06/2023</t>
  </si>
  <si>
    <t>13/07/2023</t>
  </si>
  <si>
    <t>14/07/2023</t>
  </si>
  <si>
    <t>17/07/2023</t>
  </si>
  <si>
    <t>18/07/2023</t>
  </si>
  <si>
    <t>19/07/2023</t>
  </si>
  <si>
    <t>20/07/2023</t>
  </si>
  <si>
    <t>21/07/2023</t>
  </si>
  <si>
    <t>24/07/2023</t>
  </si>
  <si>
    <t>25/07/2023</t>
  </si>
  <si>
    <t>26/07/2023</t>
  </si>
  <si>
    <t>27/07/2023</t>
  </si>
  <si>
    <t>28/07/2023</t>
  </si>
  <si>
    <t>31/07/2023</t>
  </si>
  <si>
    <t>14/08/2023</t>
  </si>
  <si>
    <t>15/08/2023</t>
  </si>
  <si>
    <t>16/08/2023</t>
  </si>
  <si>
    <t>17/08/2023</t>
  </si>
  <si>
    <t>18/08/2023</t>
  </si>
  <si>
    <t>21/08/2023</t>
  </si>
  <si>
    <t>22/08/2023</t>
  </si>
  <si>
    <t>23/08/2023</t>
  </si>
  <si>
    <t>24/08/2023</t>
  </si>
  <si>
    <t>25/08/2023</t>
  </si>
  <si>
    <t>28/08/2023</t>
  </si>
  <si>
    <t>29/08/2023</t>
  </si>
  <si>
    <t>30/08/2023</t>
  </si>
  <si>
    <t>31/08/2023</t>
  </si>
  <si>
    <t>13/09/2023</t>
  </si>
  <si>
    <t>14/09/2023</t>
  </si>
  <si>
    <t>15/09/2023</t>
  </si>
  <si>
    <t>18/09/2023</t>
  </si>
  <si>
    <t>19/09/2023</t>
  </si>
  <si>
    <t>20/09/2023</t>
  </si>
  <si>
    <t>21/09/2023</t>
  </si>
  <si>
    <t>22/09/2023</t>
  </si>
  <si>
    <t>25/09/2023</t>
  </si>
  <si>
    <t>26/09/2023</t>
  </si>
  <si>
    <t>27/09/2023</t>
  </si>
  <si>
    <t>28/09/2023</t>
  </si>
  <si>
    <t>29/09/2023</t>
  </si>
  <si>
    <t>13/10/2023</t>
  </si>
  <si>
    <t>16/10/2023</t>
  </si>
  <si>
    <t>17/10/2023</t>
  </si>
  <si>
    <t>18/10/2023</t>
  </si>
  <si>
    <t>19/10/2023</t>
  </si>
  <si>
    <t>20/10/2023</t>
  </si>
  <si>
    <t>23/10/2023</t>
  </si>
  <si>
    <t>24/10/2023</t>
  </si>
  <si>
    <t>25/10/2023</t>
  </si>
  <si>
    <t>26/10/2023</t>
  </si>
  <si>
    <t>27/10/2023</t>
  </si>
  <si>
    <t>30/10/2023</t>
  </si>
  <si>
    <t>31/10/2023</t>
  </si>
  <si>
    <t>13/11/2023</t>
  </si>
  <si>
    <t>14/11/2023</t>
  </si>
  <si>
    <t>15/11/2023</t>
  </si>
  <si>
    <t>16/11/2023</t>
  </si>
  <si>
    <t>17/11/2023</t>
  </si>
  <si>
    <t>20/11/2023</t>
  </si>
  <si>
    <t>21/11/2023</t>
  </si>
  <si>
    <t>22/11/2023</t>
  </si>
  <si>
    <t>24/11/2023</t>
  </si>
  <si>
    <t>27/11/2023</t>
  </si>
  <si>
    <t>28/11/2023</t>
  </si>
  <si>
    <t>29/11/2023</t>
  </si>
  <si>
    <t>30/11/2023</t>
  </si>
  <si>
    <t>13/12/2023</t>
  </si>
  <si>
    <t>14/12/2023</t>
  </si>
  <si>
    <t>15/12/2023</t>
  </si>
  <si>
    <t>18/12/2023</t>
  </si>
  <si>
    <t>19/12/2023</t>
  </si>
  <si>
    <t>20/12/2023</t>
  </si>
  <si>
    <t>21/12/2023</t>
  </si>
  <si>
    <t>22/12/2023</t>
  </si>
  <si>
    <t>26/12/2023</t>
  </si>
  <si>
    <t>27/12/2023</t>
  </si>
  <si>
    <t>28/12/2023</t>
  </si>
  <si>
    <t>29/12/2023</t>
  </si>
  <si>
    <t>16/01/2024</t>
  </si>
  <si>
    <t>17/01/2024</t>
  </si>
  <si>
    <t>18/01/2024</t>
  </si>
  <si>
    <t>19/01/2024</t>
  </si>
  <si>
    <t>22/01/2024</t>
  </si>
  <si>
    <t>23/01/2024</t>
  </si>
  <si>
    <t>24/01/2024</t>
  </si>
  <si>
    <t>25/01/2024</t>
  </si>
  <si>
    <t>26/01/2024</t>
  </si>
  <si>
    <t>29/01/2024</t>
  </si>
  <si>
    <t>30/01/2024</t>
  </si>
  <si>
    <t>31/01/2024</t>
  </si>
  <si>
    <t>13/02/2024</t>
  </si>
  <si>
    <t>14/02/2024</t>
  </si>
  <si>
    <t>15/02/2024</t>
  </si>
  <si>
    <t>16/02/2024</t>
  </si>
  <si>
    <t>20/02/2024</t>
  </si>
  <si>
    <t>21/02/2024</t>
  </si>
  <si>
    <t>22/02/2024</t>
  </si>
  <si>
    <t>23/02/2024</t>
  </si>
  <si>
    <t>26/02/2024</t>
  </si>
  <si>
    <t>27/02/2024</t>
  </si>
  <si>
    <t>28/02/2024</t>
  </si>
  <si>
    <t>29/02/2024</t>
  </si>
  <si>
    <t>13/03/2024</t>
  </si>
  <si>
    <t>14/03/2024</t>
  </si>
  <si>
    <t>15/03/2024</t>
  </si>
  <si>
    <t>18/03/2024</t>
  </si>
  <si>
    <t>19/03/2024</t>
  </si>
  <si>
    <t>20/03/2024</t>
  </si>
  <si>
    <t>21/03/2024</t>
  </si>
  <si>
    <t>22/03/2024</t>
  </si>
  <si>
    <t>25/03/2024</t>
  </si>
  <si>
    <t>26/03/2024</t>
  </si>
  <si>
    <t>27/03/2024</t>
  </si>
  <si>
    <t>28/03/2024</t>
  </si>
  <si>
    <t>15/04/2024</t>
  </si>
  <si>
    <t>16/04/2024</t>
  </si>
  <si>
    <t>17/04/2024</t>
  </si>
  <si>
    <t>18/04/2024</t>
  </si>
  <si>
    <t>19/04/2024</t>
  </si>
  <si>
    <t>22/04/2024</t>
  </si>
  <si>
    <t>23/04/2024</t>
  </si>
  <si>
    <t>24/04/2024</t>
  </si>
  <si>
    <t>25/04/2024</t>
  </si>
  <si>
    <t>26/04/2024</t>
  </si>
  <si>
    <t>29/04/2024</t>
  </si>
  <si>
    <t>30/04/2024</t>
  </si>
  <si>
    <t>13/05/2024</t>
  </si>
  <si>
    <t>14/05/2024</t>
  </si>
  <si>
    <t>15/05/2024</t>
  </si>
  <si>
    <t>16/05/2024</t>
  </si>
  <si>
    <t>17/05/2024</t>
  </si>
  <si>
    <t>20/05/2024</t>
  </si>
  <si>
    <t>21/05/2024</t>
  </si>
  <si>
    <t>22/05/2024</t>
  </si>
  <si>
    <t>23/05/2024</t>
  </si>
  <si>
    <t>24/05/2024</t>
  </si>
  <si>
    <t>28/05/2024</t>
  </si>
  <si>
    <t>29/05/2024</t>
  </si>
  <si>
    <t>30/05/2024</t>
  </si>
  <si>
    <t>31/05/2024</t>
  </si>
  <si>
    <t>13/06/2024</t>
  </si>
  <si>
    <t>14/06/2024</t>
  </si>
  <si>
    <t>17/06/2024</t>
  </si>
  <si>
    <t>18/06/2024</t>
  </si>
  <si>
    <t>20/06/2024</t>
  </si>
  <si>
    <t>21/06/2024</t>
  </si>
  <si>
    <t>24/06/2024</t>
  </si>
  <si>
    <t>25/06/2024</t>
  </si>
  <si>
    <t>26/06/2024</t>
  </si>
  <si>
    <t>27/06/2024</t>
  </si>
  <si>
    <t>28/06/2024</t>
  </si>
  <si>
    <t>15/07/2024</t>
  </si>
  <si>
    <t>16/07/2024</t>
  </si>
  <si>
    <t>17/07/2024</t>
  </si>
  <si>
    <t>18/07/2024</t>
  </si>
  <si>
    <t>19/07/2024</t>
  </si>
  <si>
    <t>22/07/2024</t>
  </si>
  <si>
    <t>23/07/2024</t>
  </si>
  <si>
    <t>24/07/2024</t>
  </si>
  <si>
    <t>25/07/2024</t>
  </si>
  <si>
    <t>26/07/2024</t>
  </si>
  <si>
    <t>29/07/2024</t>
  </si>
  <si>
    <t>30/07/2024</t>
  </si>
  <si>
    <t>31/07/2024</t>
  </si>
  <si>
    <t>13/08/2024</t>
  </si>
  <si>
    <t>14/08/2024</t>
  </si>
  <si>
    <t>15/08/2024</t>
  </si>
  <si>
    <t>16/08/2024</t>
  </si>
  <si>
    <t>19/08/2024</t>
  </si>
  <si>
    <t>20/08/2024</t>
  </si>
  <si>
    <t>21/08/2024</t>
  </si>
  <si>
    <t>22/08/2024</t>
  </si>
  <si>
    <t>23/08/2024</t>
  </si>
  <si>
    <t>26/08/2024</t>
  </si>
  <si>
    <t>27/08/2024</t>
  </si>
  <si>
    <t>28/08/2024</t>
  </si>
  <si>
    <t>29/08/2024</t>
  </si>
  <si>
    <t>30/08/2024</t>
  </si>
  <si>
    <t>13/09/2024</t>
  </si>
  <si>
    <t>16/09/2024</t>
  </si>
  <si>
    <t>17/09/2024</t>
  </si>
  <si>
    <t>18/09/2024</t>
  </si>
  <si>
    <t>19/09/2024</t>
  </si>
  <si>
    <t>20/09/2024</t>
  </si>
  <si>
    <t>23/09/2024</t>
  </si>
  <si>
    <t>24/09/2024</t>
  </si>
  <si>
    <t>25/09/2024</t>
  </si>
  <si>
    <t>26/09/2024</t>
  </si>
  <si>
    <t>27/09/2024</t>
  </si>
  <si>
    <t>30/09/2024</t>
  </si>
  <si>
    <t>14/10/2024</t>
  </si>
  <si>
    <t>15/10/2024</t>
  </si>
  <si>
    <t>16/10/2024</t>
  </si>
  <si>
    <t>17/10/2024</t>
  </si>
  <si>
    <t>18/10/2024</t>
  </si>
  <si>
    <t>21/10/2024</t>
  </si>
  <si>
    <t>22/10/2024</t>
  </si>
  <si>
    <t>23/10/2024</t>
  </si>
  <si>
    <t>24/10/2024</t>
  </si>
  <si>
    <t>25/10/2024</t>
  </si>
  <si>
    <t>28/10/2024</t>
  </si>
  <si>
    <t>29/10/2024</t>
  </si>
  <si>
    <t>30/10/2024</t>
  </si>
  <si>
    <t>31/10/2024</t>
  </si>
  <si>
    <t>13/11/2024</t>
  </si>
  <si>
    <t>14/11/2024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</si>
  <si>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</si>
  <si>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</si>
  <si>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</si>
  <si>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</si>
  <si>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</si>
  <si>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</si>
  <si>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</si>
  <si>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26/11/2024</t>
  </si>
  <si>
    <t>27/11/2024</t>
  </si>
  <si>
    <t>29/11/2024</t>
  </si>
  <si>
    <t>13/12/2024</t>
  </si>
  <si>
    <t>16/12/2024</t>
  </si>
  <si>
    <t>17/12/2024</t>
  </si>
  <si>
    <t>18/12/2024</t>
  </si>
  <si>
    <t>19/12/2024</t>
  </si>
  <si>
    <t>20/12/2024</t>
  </si>
  <si>
    <t>23/12/2024</t>
  </si>
  <si>
    <t>24/12/2024</t>
  </si>
  <si>
    <t>26/12/2024</t>
  </si>
  <si>
    <t>27/12/2024</t>
  </si>
  <si>
    <t>30/12/2024</t>
  </si>
  <si>
    <t>31/12/2024</t>
  </si>
  <si>
    <t>13/01/2025</t>
  </si>
  <si>
    <t>14/01/2025</t>
  </si>
  <si>
    <t>15/01/2025</t>
  </si>
  <si>
    <t>16/01/2025</t>
  </si>
  <si>
    <t>17/01/2025</t>
  </si>
  <si>
    <t>21/01/2025</t>
  </si>
  <si>
    <t>22/01/2025</t>
  </si>
  <si>
    <t>23/01/2025</t>
  </si>
  <si>
    <t>24/01/2025</t>
  </si>
  <si>
    <t>27/01/2025</t>
  </si>
  <si>
    <t>28/01/2025</t>
  </si>
  <si>
    <t>29/01/2025</t>
  </si>
  <si>
    <t>30/01/2025</t>
  </si>
  <si>
    <t>31/01/2025</t>
  </si>
  <si>
    <t>13/02/2025</t>
  </si>
  <si>
    <t>14/02/2025</t>
  </si>
  <si>
    <t>18/02/2025</t>
  </si>
  <si>
    <t>19/02/2025</t>
  </si>
  <si>
    <t>20/02/2025</t>
  </si>
  <si>
    <t>21/02/2025</t>
  </si>
  <si>
    <t>24/02/2025</t>
  </si>
  <si>
    <t>25/02/2025</t>
  </si>
  <si>
    <t>26/02/2025</t>
  </si>
  <si>
    <t>27/02/2025</t>
  </si>
  <si>
    <t>28/02/2025</t>
  </si>
  <si>
    <t>13/03/2025</t>
  </si>
  <si>
    <t>14/03/2025</t>
  </si>
  <si>
    <t>17/03/2025</t>
  </si>
  <si>
    <t>18/03/2025</t>
  </si>
  <si>
    <t>19/03/2025</t>
  </si>
  <si>
    <t>20/03/2025</t>
  </si>
  <si>
    <t>21/03/2025</t>
  </si>
  <si>
    <t>24/03/2025</t>
  </si>
  <si>
    <t>25/03/2025</t>
  </si>
  <si>
    <t>26/03/2025</t>
  </si>
  <si>
    <t>27/03/2025</t>
  </si>
  <si>
    <t>28/03/2025</t>
  </si>
  <si>
    <t>31/03/2025</t>
  </si>
  <si>
    <t>14/04/2025</t>
  </si>
  <si>
    <t>15/04/2025</t>
  </si>
  <si>
    <t>16/04/2025</t>
  </si>
  <si>
    <t>17/04/2025</t>
  </si>
  <si>
    <t>21/04/2025</t>
  </si>
  <si>
    <t>22/04/2025</t>
  </si>
  <si>
    <t>23/04/2025</t>
  </si>
  <si>
    <t>24/04/2025</t>
  </si>
  <si>
    <t>25/04/2025</t>
  </si>
  <si>
    <t>28/04/2025</t>
  </si>
  <si>
    <t>29/04/2025</t>
  </si>
  <si>
    <t>30/04/2025</t>
  </si>
  <si>
    <t>13/05/2025</t>
  </si>
  <si>
    <t>14/05/2025</t>
  </si>
  <si>
    <t>15/05/2025</t>
  </si>
  <si>
    <t>16/05/2025</t>
  </si>
  <si>
    <t>19/05/2025</t>
  </si>
  <si>
    <t>20/05/2025</t>
  </si>
  <si>
    <t>21/05/2025</t>
  </si>
  <si>
    <t>22/05/2025</t>
  </si>
  <si>
    <t>23/05/2025</t>
  </si>
  <si>
    <t>27/05/2025</t>
  </si>
  <si>
    <t>28/05/2025</t>
  </si>
  <si>
    <t>29/05/2025</t>
  </si>
  <si>
    <t>30/05/2025</t>
  </si>
  <si>
    <t>13/06/2025</t>
  </si>
  <si>
    <t>16/06/2025</t>
  </si>
  <si>
    <t>17/06/2025</t>
  </si>
  <si>
    <t>18/06/2025</t>
  </si>
  <si>
    <t>20/06/2025</t>
  </si>
  <si>
    <t>23/06/2025</t>
  </si>
  <si>
    <t>24/06/2025</t>
  </si>
  <si>
    <t>25/06/2025</t>
  </si>
  <si>
    <t>26/06/2025</t>
  </si>
  <si>
    <t>27/06/2025</t>
  </si>
  <si>
    <t>30/06/2025</t>
  </si>
  <si>
    <t>14/07/2025</t>
  </si>
  <si>
    <t>15/07/2025</t>
  </si>
  <si>
    <t>16/07/2025</t>
  </si>
  <si>
    <t>17/07/2025</t>
  </si>
  <si>
    <t>18/07/2025</t>
  </si>
  <si>
    <t>21/07/2025</t>
  </si>
  <si>
    <t>22/07/2025</t>
  </si>
  <si>
    <t>23/07/2025</t>
  </si>
  <si>
    <t>24/07/2025</t>
  </si>
  <si>
    <t>25/07/2025</t>
  </si>
  <si>
    <t>28/07/2025</t>
  </si>
  <si>
    <t>29/07/2025</t>
  </si>
  <si>
    <t>30/07/2025</t>
  </si>
  <si>
    <t>31/07/2025</t>
  </si>
  <si>
    <t>13/08/2025</t>
  </si>
  <si>
    <t>14/08/2025</t>
  </si>
  <si>
    <t>15/08/2025</t>
  </si>
  <si>
    <t>18/08/2025</t>
  </si>
  <si>
    <t>19/08/2025</t>
  </si>
  <si>
    <t>20/08/2025</t>
  </si>
  <si>
    <t>21/08/2025</t>
  </si>
  <si>
    <t>22/08/2025</t>
  </si>
  <si>
    <t>25/08/2025</t>
  </si>
  <si>
    <t>26/08/2025</t>
  </si>
  <si>
    <t>27/08/2025</t>
  </si>
  <si>
    <t>28/08/2025</t>
  </si>
  <si>
    <t>29/08/2025</t>
  </si>
  <si>
    <t>15/09/2025</t>
  </si>
  <si>
    <t>16/09/2025</t>
  </si>
  <si>
    <t>17/09/2025</t>
  </si>
  <si>
    <t>18/09/2025</t>
  </si>
  <si>
    <t>19/09/2025</t>
  </si>
  <si>
    <t>22/09/2025</t>
  </si>
  <si>
    <t>23/09/2025</t>
  </si>
  <si>
    <t>24/09/2025</t>
  </si>
  <si>
    <t>25/09/2025</t>
  </si>
  <si>
    <t>26/09/2025</t>
  </si>
  <si>
    <t>29/09/2025</t>
  </si>
  <si>
    <t>30/09/2025</t>
  </si>
  <si>
    <t>13/10/2025</t>
  </si>
  <si>
    <t>14/10/2025</t>
  </si>
  <si>
    <t>15/10/2025</t>
  </si>
  <si>
    <t>16/10/2025</t>
  </si>
  <si>
    <t>17/10/2025</t>
  </si>
  <si>
    <t>20/10/2025</t>
  </si>
  <si>
    <t>21/10/2025</t>
  </si>
  <si>
    <t>22/10/2025</t>
  </si>
  <si>
    <t>23/10/2025</t>
  </si>
  <si>
    <t>24/10/2025</t>
  </si>
  <si>
    <t>27/10/2025</t>
  </si>
  <si>
    <t>28/10/2025</t>
  </si>
  <si>
    <t>29/10/2025</t>
  </si>
  <si>
    <t>30/10/2025</t>
  </si>
  <si>
    <t>31/10/2025</t>
  </si>
  <si>
    <t>13/11/2025</t>
  </si>
  <si>
    <t>14/11/2025</t>
  </si>
  <si>
    <t>17/11/2025</t>
  </si>
  <si>
    <t>18/11/2025</t>
  </si>
  <si>
    <t>19/11/2025</t>
  </si>
  <si>
    <t>20/11/2025</t>
  </si>
  <si>
    <t>21/11/2025</t>
  </si>
  <si>
    <t>24/11/2025</t>
  </si>
  <si>
    <t>25/11/2025</t>
  </si>
  <si>
    <t>26/11/2025</t>
  </si>
  <si>
    <t>28/11/2025</t>
  </si>
  <si>
    <t>15/12/2025</t>
  </si>
  <si>
    <t>16/12/2025</t>
  </si>
  <si>
    <t>17/12/2025</t>
  </si>
  <si>
    <t>18/12/2025</t>
  </si>
  <si>
    <t>19/12/2025</t>
  </si>
  <si>
    <t>22/12/2025</t>
  </si>
  <si>
    <t>23/12/2025</t>
  </si>
  <si>
    <t>24/12/2025</t>
  </si>
  <si>
    <t>26/12/2025</t>
  </si>
  <si>
    <t>29/12/2025</t>
  </si>
  <si>
    <t>30/12/2025</t>
  </si>
  <si>
    <t>31/12/2025</t>
  </si>
  <si>
    <t>13/01/2026</t>
  </si>
  <si>
    <t>14/01/2026</t>
  </si>
  <si>
    <t>15/01/2026</t>
  </si>
  <si>
    <t>16/01/2026</t>
  </si>
  <si>
    <t>20/01/2026</t>
  </si>
  <si>
    <t>21/01/2026</t>
  </si>
  <si>
    <t>22/01/2026</t>
  </si>
  <si>
    <t>23/01/2026</t>
  </si>
  <si>
    <t>26/01/2026</t>
  </si>
  <si>
    <t>27/01/2026</t>
  </si>
  <si>
    <t>28/01/2026</t>
  </si>
  <si>
    <t>29/01/2026</t>
  </si>
  <si>
    <t>30/01/2026</t>
  </si>
  <si>
    <t>13/02/2026</t>
  </si>
  <si>
    <t>17/02/2026</t>
  </si>
  <si>
    <t>18/02/2026</t>
  </si>
  <si>
    <t>19/02/2026</t>
  </si>
  <si>
    <t>20/02/2026</t>
  </si>
  <si>
    <t>23/02/2026</t>
  </si>
  <si>
    <t>24/02/2026</t>
  </si>
  <si>
    <t>25/02/2026</t>
  </si>
  <si>
    <t>26/02/2026</t>
  </si>
  <si>
    <t>27/02/2026</t>
  </si>
  <si>
    <t>13/03/2026</t>
  </si>
  <si>
    <t>16/03/2026</t>
  </si>
  <si>
    <t>17/03/2026</t>
  </si>
  <si>
    <t>18/03/2026</t>
  </si>
  <si>
    <t>19/03/2026</t>
  </si>
  <si>
    <t>20/03/2026</t>
  </si>
  <si>
    <t>23/03/2026</t>
  </si>
  <si>
    <t>24/03/2026</t>
  </si>
  <si>
    <t>25/03/2026</t>
  </si>
  <si>
    <t>26/03/2026</t>
  </si>
  <si>
    <t>27/03/2026</t>
  </si>
  <si>
    <t>30/03/2026</t>
  </si>
  <si>
    <t>31/03/2026</t>
  </si>
  <si>
    <t>13/04/2026</t>
  </si>
  <si>
    <t>14/04/2026</t>
  </si>
  <si>
    <t>15/04/2026</t>
  </si>
  <si>
    <t>16/04/2026</t>
  </si>
  <si>
    <t>17/04/2026</t>
  </si>
  <si>
    <t>20/04/2026</t>
  </si>
  <si>
    <t>21/04/2026</t>
  </si>
  <si>
    <t>22/04/2026</t>
  </si>
  <si>
    <t>23/04/2026</t>
  </si>
  <si>
    <t>24/04/2026</t>
  </si>
  <si>
    <t>27/04/2026</t>
  </si>
  <si>
    <t>28/04/2026</t>
  </si>
  <si>
    <t>29/04/2026</t>
  </si>
  <si>
    <t>30/04/2026</t>
  </si>
  <si>
    <t>13/05/2026</t>
  </si>
  <si>
    <t>14/05/2026</t>
  </si>
  <si>
    <t>15/05/2026</t>
  </si>
  <si>
    <t>18/05/2026</t>
  </si>
  <si>
    <t>19/05/2026</t>
  </si>
  <si>
    <t>20/05/2026</t>
  </si>
  <si>
    <t>21/05/2026</t>
  </si>
  <si>
    <t>22/05/2026</t>
  </si>
  <si>
    <t>26/05/2026</t>
  </si>
  <si>
    <t>27/05/2026</t>
  </si>
  <si>
    <t>28/05/2026</t>
  </si>
  <si>
    <t>29/05/2026</t>
  </si>
  <si>
    <t>15/06/2026</t>
  </si>
  <si>
    <t>16/06/2026</t>
  </si>
  <si>
    <t>17/06/2026</t>
  </si>
  <si>
    <t>18/06/2026</t>
  </si>
  <si>
    <t>22/06/2026</t>
  </si>
  <si>
    <t>23/06/2026</t>
  </si>
  <si>
    <t>24/06/2026</t>
  </si>
  <si>
    <t>25/06/2026</t>
  </si>
  <si>
    <t>26/06/2026</t>
  </si>
  <si>
    <t>29/06/2026</t>
  </si>
  <si>
    <t>30/06/2026</t>
  </si>
  <si>
    <t>13/07/2026</t>
  </si>
  <si>
    <t>14/07/2026</t>
  </si>
  <si>
    <t>15/07/2026</t>
  </si>
  <si>
    <t>16/07/2026</t>
  </si>
  <si>
    <t>17/07/2026</t>
  </si>
  <si>
    <t>20/07/2026</t>
  </si>
  <si>
    <t>21/07/2026</t>
  </si>
  <si>
    <t>22/07/2026</t>
  </si>
  <si>
    <t>23/07/2026</t>
  </si>
  <si>
    <t>24/07/2026</t>
  </si>
  <si>
    <t>27/07/2026</t>
  </si>
  <si>
    <t>28/07/2026</t>
  </si>
  <si>
    <t>29/07/2026</t>
  </si>
  <si>
    <t>30/07/2026</t>
  </si>
  <si>
    <t>31/07/2026</t>
  </si>
  <si>
    <t>13/08/2026</t>
  </si>
  <si>
    <t>14/08/2026</t>
  </si>
  <si>
    <t>17/08/2026</t>
  </si>
  <si>
    <t>18/08/2026</t>
  </si>
  <si>
    <t>19/08/2026</t>
  </si>
  <si>
    <t>20/08/2026</t>
  </si>
  <si>
    <t>21/08/2026</t>
  </si>
  <si>
    <t>VÃ ng nháº«n SJC 9999</t>
  </si>
  <si>
    <t>NgÃ y</t>
  </si>
  <si>
    <t>ISO Date</t>
  </si>
  <si>
    <t>Thá»©</t>
  </si>
  <si>
    <t>Loáº¡i vÃ ng</t>
  </si>
  <si>
    <t>GiÃ¡ Mua (VNÄ/lÆ°á»£ng)</t>
  </si>
  <si>
    <t>GiÃ¡ BÃ¡n (VNÄ/lÆ°á»£ng)</t>
  </si>
  <si>
    <t>ChÃªnh lá»‡ch (VNÄ/lÆ°á»£ng)</t>
  </si>
  <si>
    <t>GiÃ¡ Mua (VNÄ/chá»‰)</t>
  </si>
  <si>
    <t>GiÃ¡ BÃ¡n (VNÄ/chá»‰)</t>
  </si>
  <si>
    <t>SJC Miáº¿ng Mua</t>
  </si>
  <si>
    <t>SJC Miáº¿ng BÃ¡n</t>
  </si>
  <si>
    <t>Cáº­p nháº­t lÃºc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</si>
</sst>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"/>
  </numFmts>
  <fonts count="2" x14ac:knownFonts="1">
    <font>
      <sz val="11"/>
      <color theme="1"/>
      <name val="Times New Roman"/>
      <family val="2"/>
    </font>
    <font>
      <b/>
      <sz val="11"/>
      <color indexed="9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134E27"/>
        <bgColor indexed="64"/>
      </patternFill>
    </fill>
    <fill>
      <patternFill patternType="solid">
        <fgColor rgb="FF4A4A4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/>
    </xf>
    <xf numFmtId="14" fontId="0" fillId="0" borderId="0" xfId="0" applyNumberFormat="1"/>
    <xf numFmtId="20" fontId="0" fillId="0" borderId="0" xfId="0" applyNumberFormat="1"/>
    <xf numFmtId="3" fontId="1" fillId="2" borderId="0" xfId="0" applyNumberFormat="1" applyFont="1" applyFill="1" applyAlignment="1">
      <alignment horizontal="center"/>
    </xf>
    <xf numFmtId="3" fontId="0" fillId="0" borderId="0" xfId="0" applyNumberFormat="1"/>
    <xf numFmtId="164" fontId="1" fillId="2" borderId="0" xfId="0" applyNumberFormat="1" applyFont="1" applyFill="1" applyAlignment="1">
      <alignment horizontal="center"/>
    </xf>
    <xf numFmtId="164" fontId="0" fillId="0" borderId="0" xfId="0" applyNumberFormat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64" fontId="1" fillId="3" borderId="0" xfId="0" applyNumberFormat="1" applyFont="1" applyFill="1" applyAlignment="1">
      <alignment horizontal="center"/>
    </xf>
    <xf numFmtId="0" fontId="1" fillId="4" borderId="0" xfId="0" applyFont="1" applyFill="1" applyAlignment="1">
      <alignment horizontal="center"/>
    </xf>
    <xf numFmtId="3" fontId="1" fillId="4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BA4B-69AD-4F67-800F-726B0C6F541C}">
  <dimension ref="A1:P2674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6" t="s">
        <v>12</v>
      </c>
      <c r="N1" s="4" t="s">
        <v>13</v>
      </c>
      <c r="O1" s="4" t="s">
        <v>14</v>
      </c>
      <c r="P1" s="1" t="s">
        <v>15</v>
      </c>
    </row>
    <row r="2" spans="1:16" x14ac:dyDescent="0.25">
      <c r="A2" s="2">
        <v>42461</v>
      </c>
      <c r="B2" s="2">
        <v>42373</v>
      </c>
      <c r="C2" t="str">
        <f>+"Tuáº§n "&amp;WEEKNUM(B2)</f>
        <v>Tuáº§n 2</v>
      </c>
      <c r="D2" t="s">
        <v>16</v>
      </c>
      <c r="E2" t="s">
        <v>17</v>
      </c>
      <c r="F2" s="5">
        <v>27100000</v>
      </c>
      <c r="G2" s="5">
        <v>30100000</v>
      </c>
      <c r="H2" s="5">
        <f>+(M2*26000)/0.829426</f>
        <v>33701137.895363778</v>
      </c>
      <c r="I2" s="5">
        <f>+G2-H2</f>
        <v>-3601137.8953637779</v>
      </c>
      <c r="J2" s="5">
        <v>3000000</v>
      </c>
      <c r="K2" s="5">
        <v>2710000</v>
      </c>
      <c r="L2" s="5">
        <v>3010000</v>
      </c>
      <c r="M2" s="7">
        <v>1075.0999999999999</v>
      </c>
      <c r="N2" s="5">
        <v>27600000</v>
      </c>
      <c r="O2" s="5">
        <v>30600000</v>
      </c>
      <c r="P2" s="3">
        <v>0.97916666666666663</v>
      </c>
    </row>
    <row r="3" spans="1:16" x14ac:dyDescent="0.25">
      <c r="A3" s="2">
        <v>42491</v>
      </c>
      <c r="B3" s="2">
        <v>42374</v>
      </c>
      <c r="C3" t="str">
        <f>+"Tuáº§n "&amp;WEEKNUM(B3)</f>
        <v>Tuáº§n 2</v>
      </c>
      <c r="D3" t="s">
        <v>18</v>
      </c>
      <c r="E3" t="s">
        <v>17</v>
      </c>
      <c r="F3" s="5">
        <v>27200000</v>
      </c>
      <c r="G3" s="5">
        <v>30200000</v>
      </c>
      <c r="H3" s="5">
        <f>+(M3*26000)/0.829426</f>
        <v>33804582.928434849</v>
      </c>
      <c r="I3" s="5">
        <f>+G3-H3</f>
        <v>-3604582.9284348488</v>
      </c>
      <c r="J3" s="5">
        <v>3000000</v>
      </c>
      <c r="K3" s="5">
        <v>2720000</v>
      </c>
      <c r="L3" s="5">
        <v>3020000</v>
      </c>
      <c r="M3" s="7">
        <v>1078.4000000000001</v>
      </c>
      <c r="N3" s="5">
        <v>27700000</v>
      </c>
      <c r="O3" s="5">
        <v>30700000</v>
      </c>
      <c r="P3" s="3">
        <v>0.97916666666666663</v>
      </c>
    </row>
    <row r="4" spans="1:16" x14ac:dyDescent="0.25">
      <c r="A4" s="2">
        <v>42522</v>
      </c>
      <c r="B4" s="2">
        <v>42375</v>
      </c>
      <c r="C4" t="str">
        <f>+"Tuáº§n "&amp;WEEKNUM(B4)</f>
        <v>Tuáº§n 2</v>
      </c>
      <c r="D4" t="s">
        <v>19</v>
      </c>
      <c r="E4" t="s">
        <v>17</v>
      </c>
      <c r="F4" s="5">
        <v>27600000</v>
      </c>
      <c r="G4" s="5">
        <v>30600000</v>
      </c>
      <c r="H4" s="5">
        <f>+(M4*26000)/0.829426</f>
        <v>34227767.154634655</v>
      </c>
      <c r="I4" s="5">
        <f>+G4-H4</f>
        <v>-3627767.1546346545</v>
      </c>
      <c r="J4" s="5">
        <v>3000000</v>
      </c>
      <c r="K4" s="5">
        <v>2760000</v>
      </c>
      <c r="L4" s="5">
        <v>3060000</v>
      </c>
      <c r="M4" s="7">
        <v>1091.9000000000001</v>
      </c>
      <c r="N4" s="5">
        <v>28100000</v>
      </c>
      <c r="O4" s="5">
        <v>31100000</v>
      </c>
      <c r="P4" s="3">
        <v>0.97916666666666663</v>
      </c>
    </row>
    <row r="5" spans="1:16" x14ac:dyDescent="0.25">
      <c r="A5" s="2">
        <v>42552</v>
      </c>
      <c r="B5" s="2">
        <v>42376</v>
      </c>
      <c r="C5" t="str">
        <f>+"Tuáº§n "&amp;WEEKNUM(B5)</f>
        <v>Tuáº§n 2</v>
      </c>
      <c r="D5" t="s">
        <v>20</v>
      </c>
      <c r="E5" t="s">
        <v>17</v>
      </c>
      <c r="F5" s="5">
        <v>28000000</v>
      </c>
      <c r="G5" s="5">
        <v>31000000</v>
      </c>
      <c r="H5" s="5">
        <f>+(M5*26000)/0.829426</f>
        <v>34723049.434187017</v>
      </c>
      <c r="I5" s="5">
        <f>+G5-H5</f>
        <v>-3723049.4341870174</v>
      </c>
      <c r="J5" s="5">
        <v>3000000</v>
      </c>
      <c r="K5" s="5">
        <v>2800000</v>
      </c>
      <c r="L5" s="5">
        <v>3100000</v>
      </c>
      <c r="M5" s="7">
        <v>1107.7</v>
      </c>
      <c r="N5" s="5">
        <v>28500000</v>
      </c>
      <c r="O5" s="5">
        <v>31500000</v>
      </c>
      <c r="P5" s="3">
        <v>0.97916666666666663</v>
      </c>
    </row>
    <row r="6" spans="1:16" x14ac:dyDescent="0.25">
      <c r="A6" s="2">
        <v>42583</v>
      </c>
      <c r="B6" s="2">
        <v>42377</v>
      </c>
      <c r="C6" t="str">
        <f>+"Tuáº§n "&amp;WEEKNUM(B6)</f>
        <v>Tuáº§n 2</v>
      </c>
      <c r="D6" t="s">
        <v>21</v>
      </c>
      <c r="E6" t="s">
        <v>17</v>
      </c>
      <c r="F6" s="5">
        <v>27800000</v>
      </c>
      <c r="G6" s="5">
        <v>30800000</v>
      </c>
      <c r="H6" s="5">
        <f>+(M6*26000)/0.829426</f>
        <v>34412714.334973827</v>
      </c>
      <c r="I6" s="5">
        <f>+G6-H6</f>
        <v>-3612714.334973827</v>
      </c>
      <c r="J6" s="5">
        <v>3000000</v>
      </c>
      <c r="K6" s="5">
        <v>2780000</v>
      </c>
      <c r="L6" s="5">
        <v>3080000</v>
      </c>
      <c r="M6" s="7">
        <v>1097.8</v>
      </c>
      <c r="N6" s="5">
        <v>28300000</v>
      </c>
      <c r="O6" s="5">
        <v>31300000</v>
      </c>
      <c r="P6" s="3">
        <v>0.97916666666666663</v>
      </c>
    </row>
    <row r="7" spans="1:16" x14ac:dyDescent="0.25">
      <c r="A7" s="2">
        <v>42675</v>
      </c>
      <c r="B7" s="2">
        <v>42380</v>
      </c>
      <c r="C7" t="str">
        <f>+"Tuáº§n "&amp;WEEKNUM(B7)</f>
        <v>Tuáº§n 3</v>
      </c>
      <c r="D7" t="s">
        <v>16</v>
      </c>
      <c r="E7" t="s">
        <v>17</v>
      </c>
      <c r="F7" s="5">
        <v>27700000</v>
      </c>
      <c r="G7" s="5">
        <v>30700000</v>
      </c>
      <c r="H7" s="5">
        <f>+(M7*26000)/0.829426</f>
        <v>34371963.261339769</v>
      </c>
      <c r="I7" s="5">
        <f>+G7-H7</f>
        <v>-3671963.2613397688</v>
      </c>
      <c r="J7" s="5">
        <v>3000000</v>
      </c>
      <c r="K7" s="5">
        <v>2770000</v>
      </c>
      <c r="L7" s="5">
        <v>3070000</v>
      </c>
      <c r="M7" s="7">
        <v>1096.5</v>
      </c>
      <c r="N7" s="5">
        <v>28200000</v>
      </c>
      <c r="O7" s="5">
        <v>31200000</v>
      </c>
      <c r="P7" s="3">
        <v>0.97916666666666663</v>
      </c>
    </row>
    <row r="8" spans="1:16" x14ac:dyDescent="0.25">
      <c r="A8" s="2">
        <v>42705</v>
      </c>
      <c r="B8" s="2">
        <v>42381</v>
      </c>
      <c r="C8" t="str">
        <f>+"Tuáº§n "&amp;WEEKNUM(B8)</f>
        <v>Tuáº§n 3</v>
      </c>
      <c r="D8" t="s">
        <v>18</v>
      </c>
      <c r="E8" t="s">
        <v>17</v>
      </c>
      <c r="F8" s="5">
        <v>27400000</v>
      </c>
      <c r="G8" s="5">
        <v>30400000</v>
      </c>
      <c r="H8" s="5">
        <f>+(M8*26000)/0.829426</f>
        <v>34030281.182408072</v>
      </c>
      <c r="I8" s="5">
        <f>+G8-H8</f>
        <v>-3630281.1824080721</v>
      </c>
      <c r="J8" s="5">
        <v>3000000</v>
      </c>
      <c r="K8" s="5">
        <v>2740000</v>
      </c>
      <c r="L8" s="5">
        <v>3040000</v>
      </c>
      <c r="M8" s="7">
        <v>1085.5999999999999</v>
      </c>
      <c r="N8" s="5">
        <v>27900000</v>
      </c>
      <c r="O8" s="5">
        <v>30900000</v>
      </c>
      <c r="P8" s="3">
        <v>0.97916666666666663</v>
      </c>
    </row>
    <row r="9" spans="1:16" x14ac:dyDescent="0.25">
      <c r="A9" t="s">
        <v>22</v>
      </c>
      <c r="B9" s="2">
        <v>42382</v>
      </c>
      <c r="C9" t="str">
        <f>+"Tuáº§n "&amp;WEEKNUM(B9)</f>
        <v>Tuáº§n 3</v>
      </c>
      <c r="D9" t="s">
        <v>19</v>
      </c>
      <c r="E9" t="s">
        <v>17</v>
      </c>
      <c r="F9" s="5">
        <v>27500000</v>
      </c>
      <c r="G9" s="5">
        <v>30500000</v>
      </c>
      <c r="H9" s="5">
        <f>+(M9*26000)/0.829426</f>
        <v>34089840.443873234</v>
      </c>
      <c r="I9" s="5">
        <f>+G9-H9</f>
        <v>-3589840.4438732341</v>
      </c>
      <c r="J9" s="5">
        <v>3000000</v>
      </c>
      <c r="K9" s="5">
        <v>2750000</v>
      </c>
      <c r="L9" s="5">
        <v>3050000</v>
      </c>
      <c r="M9" s="7">
        <v>1087.5</v>
      </c>
      <c r="N9" s="5">
        <v>28000000</v>
      </c>
      <c r="O9" s="5">
        <v>31000000</v>
      </c>
      <c r="P9" s="3">
        <v>0.97916666666666663</v>
      </c>
    </row>
    <row r="10" spans="1:16" x14ac:dyDescent="0.25">
      <c r="A10" t="s">
        <v>23</v>
      </c>
      <c r="B10" s="2">
        <v>42383</v>
      </c>
      <c r="C10" t="str">
        <f>+"Tuáº§n "&amp;WEEKNUM(B10)</f>
        <v>Tuáº§n 3</v>
      </c>
      <c r="D10" t="s">
        <v>20</v>
      </c>
      <c r="E10" t="s">
        <v>17</v>
      </c>
      <c r="F10" s="5">
        <v>27100000</v>
      </c>
      <c r="G10" s="5">
        <v>30100000</v>
      </c>
      <c r="H10" s="5">
        <f>+(M10*26000)/0.829426</f>
        <v>33663521.519701578</v>
      </c>
      <c r="I10" s="5">
        <f>+G10-H10</f>
        <v>-3563521.5197015777</v>
      </c>
      <c r="J10" s="5">
        <v>3000000</v>
      </c>
      <c r="K10" s="5">
        <v>2710000</v>
      </c>
      <c r="L10" s="5">
        <v>3010000</v>
      </c>
      <c r="M10" s="7">
        <v>1073.9000000000001</v>
      </c>
      <c r="N10" s="5">
        <v>27600000</v>
      </c>
      <c r="O10" s="5">
        <v>30600000</v>
      </c>
      <c r="P10" s="3">
        <v>0.97916666666666663</v>
      </c>
    </row>
    <row r="11" spans="1:16" x14ac:dyDescent="0.25">
      <c r="A11" t="s">
        <v>24</v>
      </c>
      <c r="B11" s="2">
        <v>42384</v>
      </c>
      <c r="C11" t="str">
        <f>+"Tuáº§n "&amp;WEEKNUM(B11)</f>
        <v>Tuáº§n 3</v>
      </c>
      <c r="D11" t="s">
        <v>21</v>
      </c>
      <c r="E11" t="s">
        <v>17</v>
      </c>
      <c r="F11" s="5">
        <v>27600000</v>
      </c>
      <c r="G11" s="5">
        <v>30600000</v>
      </c>
      <c r="H11" s="5">
        <f>+(M11*26000)/0.829426</f>
        <v>34215228.362747252</v>
      </c>
      <c r="I11" s="5">
        <f>+G11-H11</f>
        <v>-3615228.362747252</v>
      </c>
      <c r="J11" s="5">
        <v>3000000</v>
      </c>
      <c r="K11" s="5">
        <v>2760000</v>
      </c>
      <c r="L11" s="5">
        <v>3060000</v>
      </c>
      <c r="M11" s="7">
        <v>1091.5</v>
      </c>
      <c r="N11" s="5">
        <v>28100000</v>
      </c>
      <c r="O11" s="5">
        <v>31100000</v>
      </c>
      <c r="P11" s="3">
        <v>0.97916666666666663</v>
      </c>
    </row>
    <row r="12" spans="1:16" x14ac:dyDescent="0.25">
      <c r="A12" t="s">
        <v>25</v>
      </c>
      <c r="B12" s="2">
        <v>42388</v>
      </c>
      <c r="C12" t="str">
        <f>+"Tuáº§n "&amp;WEEKNUM(B12)</f>
        <v>Tuáº§n 4</v>
      </c>
      <c r="D12" t="s">
        <v>18</v>
      </c>
      <c r="E12" t="s">
        <v>17</v>
      </c>
      <c r="F12" s="5">
        <v>27500000</v>
      </c>
      <c r="G12" s="5">
        <v>30500000</v>
      </c>
      <c r="H12" s="5">
        <f>+(M12*26000)/0.829426</f>
        <v>34165073.195197649</v>
      </c>
      <c r="I12" s="5">
        <f>+G12-H12</f>
        <v>-3665073.1951976493</v>
      </c>
      <c r="J12" s="5">
        <v>3000000</v>
      </c>
      <c r="K12" s="5">
        <v>2750000</v>
      </c>
      <c r="L12" s="5">
        <v>3050000</v>
      </c>
      <c r="M12" s="7">
        <v>1089.9000000000001</v>
      </c>
      <c r="N12" s="5">
        <v>28000000</v>
      </c>
      <c r="O12" s="5">
        <v>31000000</v>
      </c>
      <c r="P12" s="3">
        <v>0.97916666666666663</v>
      </c>
    </row>
    <row r="13" spans="1:16" x14ac:dyDescent="0.25">
      <c r="A13" t="s">
        <v>26</v>
      </c>
      <c r="B13" s="2">
        <v>42389</v>
      </c>
      <c r="C13" t="str">
        <f>+"Tuáº§n "&amp;WEEKNUM(B13)</f>
        <v>Tuáº§n 4</v>
      </c>
      <c r="D13" t="s">
        <v>19</v>
      </c>
      <c r="E13" t="s">
        <v>17</v>
      </c>
      <c r="F13" s="5">
        <v>28000000</v>
      </c>
      <c r="G13" s="5">
        <v>31000000</v>
      </c>
      <c r="H13" s="5">
        <f>+(M13*26000)/0.829426</f>
        <v>34704241.246355906</v>
      </c>
      <c r="I13" s="5">
        <f>+G13-H13</f>
        <v>-3704241.2463559061</v>
      </c>
      <c r="J13" s="5">
        <v>3000000</v>
      </c>
      <c r="K13" s="5">
        <v>2800000</v>
      </c>
      <c r="L13" s="5">
        <v>3100000</v>
      </c>
      <c r="M13" s="7">
        <v>1107.0999999999999</v>
      </c>
      <c r="N13" s="5">
        <v>28500000</v>
      </c>
      <c r="O13" s="5">
        <v>31500000</v>
      </c>
      <c r="P13" s="3">
        <v>0.97916666666666663</v>
      </c>
    </row>
    <row r="14" spans="1:16" x14ac:dyDescent="0.25">
      <c r="A14" t="s">
        <v>27</v>
      </c>
      <c r="B14" s="2">
        <v>42390</v>
      </c>
      <c r="C14" t="str">
        <f>+"Tuáº§n "&amp;WEEKNUM(B14)</f>
        <v>Tuáº§n 4</v>
      </c>
      <c r="D14" t="s">
        <v>20</v>
      </c>
      <c r="E14" t="s">
        <v>17</v>
      </c>
      <c r="F14" s="5">
        <v>27800000</v>
      </c>
      <c r="G14" s="5">
        <v>30800000</v>
      </c>
      <c r="H14" s="5">
        <f>+(M14*26000)/0.829426</f>
        <v>34453465.408607878</v>
      </c>
      <c r="I14" s="5">
        <f>+G14-H14</f>
        <v>-3653465.4086078778</v>
      </c>
      <c r="J14" s="5">
        <v>3000000</v>
      </c>
      <c r="K14" s="5">
        <v>2780000</v>
      </c>
      <c r="L14" s="5">
        <v>3080000</v>
      </c>
      <c r="M14" s="7">
        <v>1099.0999999999999</v>
      </c>
      <c r="N14" s="5">
        <v>28300000</v>
      </c>
      <c r="O14" s="5">
        <v>31300000</v>
      </c>
      <c r="P14" s="3">
        <v>0.97916666666666663</v>
      </c>
    </row>
    <row r="15" spans="1:16" x14ac:dyDescent="0.25">
      <c r="A15" t="s">
        <v>28</v>
      </c>
      <c r="B15" s="2">
        <v>42391</v>
      </c>
      <c r="C15" t="str">
        <f>+"Tuáº§n "&amp;WEEKNUM(B15)</f>
        <v>Tuáº§n 4</v>
      </c>
      <c r="D15" t="s">
        <v>21</v>
      </c>
      <c r="E15" t="s">
        <v>17</v>
      </c>
      <c r="F15" s="5">
        <v>27700000</v>
      </c>
      <c r="G15" s="5">
        <v>30700000</v>
      </c>
      <c r="H15" s="5">
        <f>+(M15*26000)/0.829426</f>
        <v>34393906.147142723</v>
      </c>
      <c r="I15" s="5">
        <f>+G15-H15</f>
        <v>-3693906.1471427232</v>
      </c>
      <c r="J15" s="5">
        <v>3000000</v>
      </c>
      <c r="K15" s="5">
        <v>2770000</v>
      </c>
      <c r="L15" s="5">
        <v>3070000</v>
      </c>
      <c r="M15" s="7">
        <v>1097.2</v>
      </c>
      <c r="N15" s="5">
        <v>28200000</v>
      </c>
      <c r="O15" s="5">
        <v>31200000</v>
      </c>
      <c r="P15" s="3">
        <v>0.97916666666666663</v>
      </c>
    </row>
    <row r="16" spans="1:16" x14ac:dyDescent="0.25">
      <c r="A16" t="s">
        <v>29</v>
      </c>
      <c r="B16" s="2">
        <v>42394</v>
      </c>
      <c r="C16" t="str">
        <f>+"Tuáº§n "&amp;WEEKNUM(B16)</f>
        <v>Tuáº§n 5</v>
      </c>
      <c r="D16" t="s">
        <v>16</v>
      </c>
      <c r="E16" t="s">
        <v>17</v>
      </c>
      <c r="F16" s="5">
        <v>28000000</v>
      </c>
      <c r="G16" s="5">
        <v>31000000</v>
      </c>
      <c r="H16" s="5">
        <f>+(M16*26000)/0.829426</f>
        <v>34676028.964609258</v>
      </c>
      <c r="I16" s="5">
        <f>+G16-H16</f>
        <v>-3676028.9646092579</v>
      </c>
      <c r="J16" s="5">
        <v>3000000</v>
      </c>
      <c r="K16" s="5">
        <v>2800000</v>
      </c>
      <c r="L16" s="5">
        <v>3100000</v>
      </c>
      <c r="M16" s="7">
        <v>1106.2</v>
      </c>
      <c r="N16" s="5">
        <v>28500000</v>
      </c>
      <c r="O16" s="5">
        <v>31500000</v>
      </c>
      <c r="P16" s="3">
        <v>0.97916666666666663</v>
      </c>
    </row>
    <row r="17" spans="1:16" x14ac:dyDescent="0.25">
      <c r="A17" t="s">
        <v>30</v>
      </c>
      <c r="B17" s="2">
        <v>42395</v>
      </c>
      <c r="C17" t="str">
        <f>+"Tuáº§n "&amp;WEEKNUM(B17)</f>
        <v>Tuáº§n 5</v>
      </c>
      <c r="D17" t="s">
        <v>18</v>
      </c>
      <c r="E17" t="s">
        <v>17</v>
      </c>
      <c r="F17" s="5">
        <v>28400000</v>
      </c>
      <c r="G17" s="5">
        <v>31400000</v>
      </c>
      <c r="H17" s="5">
        <f>+(M17*26000)/0.829426</f>
        <v>35161907.150246076</v>
      </c>
      <c r="I17" s="5">
        <f>+G17-H17</f>
        <v>-3761907.1502460763</v>
      </c>
      <c r="J17" s="5">
        <v>3000000</v>
      </c>
      <c r="K17" s="5">
        <v>2840000</v>
      </c>
      <c r="L17" s="5">
        <v>3140000</v>
      </c>
      <c r="M17" s="7">
        <v>1121.7</v>
      </c>
      <c r="N17" s="5">
        <v>28900000</v>
      </c>
      <c r="O17" s="5">
        <v>31900000</v>
      </c>
      <c r="P17" s="3">
        <v>0.97916666666666663</v>
      </c>
    </row>
    <row r="18" spans="1:16" x14ac:dyDescent="0.25">
      <c r="A18" t="s">
        <v>31</v>
      </c>
      <c r="B18" s="2">
        <v>42396</v>
      </c>
      <c r="C18" t="str">
        <f>+"Tuáº§n "&amp;WEEKNUM(B18)</f>
        <v>Tuáº§n 5</v>
      </c>
      <c r="D18" t="s">
        <v>19</v>
      </c>
      <c r="E18" t="s">
        <v>17</v>
      </c>
      <c r="F18" s="5">
        <v>28300000</v>
      </c>
      <c r="G18" s="5">
        <v>31300000</v>
      </c>
      <c r="H18" s="5">
        <f>+(M18*26000)/0.829426</f>
        <v>34986364.063822448</v>
      </c>
      <c r="I18" s="5">
        <f>+G18-H18</f>
        <v>-3686364.0638224483</v>
      </c>
      <c r="J18" s="5">
        <v>3000000</v>
      </c>
      <c r="K18" s="5">
        <v>2830000</v>
      </c>
      <c r="L18" s="5">
        <v>3130000</v>
      </c>
      <c r="M18" s="7">
        <v>1116.0999999999999</v>
      </c>
      <c r="N18" s="5">
        <v>28800000</v>
      </c>
      <c r="O18" s="5">
        <v>31800000</v>
      </c>
      <c r="P18" s="3">
        <v>0.97916666666666663</v>
      </c>
    </row>
    <row r="19" spans="1:16" x14ac:dyDescent="0.25">
      <c r="A19" t="s">
        <v>32</v>
      </c>
      <c r="B19" s="2">
        <v>42397</v>
      </c>
      <c r="C19" t="str">
        <f>+"Tuáº§n "&amp;WEEKNUM(B19)</f>
        <v>Tuáº§n 5</v>
      </c>
      <c r="D19" t="s">
        <v>20</v>
      </c>
      <c r="E19" t="s">
        <v>17</v>
      </c>
      <c r="F19" s="5">
        <v>28300000</v>
      </c>
      <c r="G19" s="5">
        <v>31300000</v>
      </c>
      <c r="H19" s="5">
        <f>+(M19*26000)/0.829426</f>
        <v>34970690.573963195</v>
      </c>
      <c r="I19" s="5">
        <f>+G19-H19</f>
        <v>-3670690.5739631951</v>
      </c>
      <c r="J19" s="5">
        <v>3000000</v>
      </c>
      <c r="K19" s="5">
        <v>2830000</v>
      </c>
      <c r="L19" s="5">
        <v>3130000</v>
      </c>
      <c r="M19" s="7">
        <v>1115.5999999999999</v>
      </c>
      <c r="N19" s="5">
        <v>28800000</v>
      </c>
      <c r="O19" s="5">
        <v>31800000</v>
      </c>
      <c r="P19" s="3">
        <v>0.97916666666666663</v>
      </c>
    </row>
    <row r="20" spans="1:16" x14ac:dyDescent="0.25">
      <c r="A20" t="s">
        <v>33</v>
      </c>
      <c r="B20" s="2">
        <v>42398</v>
      </c>
      <c r="C20" t="str">
        <f>+"Tuáº§n "&amp;WEEKNUM(B20)</f>
        <v>Tuáº§n 5</v>
      </c>
      <c r="D20" t="s">
        <v>21</v>
      </c>
      <c r="E20" t="s">
        <v>17</v>
      </c>
      <c r="F20" s="5">
        <v>28300000</v>
      </c>
      <c r="G20" s="5">
        <v>31300000</v>
      </c>
      <c r="H20" s="5">
        <f>+(M20*26000)/0.829426</f>
        <v>34995768.157738008</v>
      </c>
      <c r="I20" s="5">
        <f>+G20-H20</f>
        <v>-3695768.1577380076</v>
      </c>
      <c r="J20" s="5">
        <v>3000000</v>
      </c>
      <c r="K20" s="5">
        <v>2830000</v>
      </c>
      <c r="L20" s="5">
        <v>3130000</v>
      </c>
      <c r="M20" s="7">
        <v>1116.4000000000001</v>
      </c>
      <c r="N20" s="5">
        <v>28800000</v>
      </c>
      <c r="O20" s="5">
        <v>31800000</v>
      </c>
      <c r="P20" s="3">
        <v>0.97916666666666663</v>
      </c>
    </row>
    <row r="21" spans="1:16" x14ac:dyDescent="0.25">
      <c r="A21" s="2">
        <v>42371</v>
      </c>
      <c r="B21" s="2">
        <v>42401</v>
      </c>
      <c r="C21" t="str">
        <f>+"Tuáº§n "&amp;WEEKNUM(B21)</f>
        <v>Tuáº§n 6</v>
      </c>
      <c r="D21" t="s">
        <v>16</v>
      </c>
      <c r="E21" t="s">
        <v>17</v>
      </c>
      <c r="F21" s="5">
        <v>28600000</v>
      </c>
      <c r="G21" s="5">
        <v>31600000</v>
      </c>
      <c r="H21" s="5">
        <f>+(M21*26000)/0.829426</f>
        <v>35356258.424500801</v>
      </c>
      <c r="I21" s="5">
        <f>+G21-H21</f>
        <v>-3756258.4245008007</v>
      </c>
      <c r="J21" s="5">
        <v>3000000</v>
      </c>
      <c r="K21" s="5">
        <v>2860000</v>
      </c>
      <c r="L21" s="5">
        <v>3160000</v>
      </c>
      <c r="M21" s="7">
        <v>1127.9000000000001</v>
      </c>
      <c r="N21" s="5">
        <v>29100000</v>
      </c>
      <c r="O21" s="5">
        <v>32100000</v>
      </c>
      <c r="P21" s="3">
        <v>0.97916666666666663</v>
      </c>
    </row>
    <row r="22" spans="1:16" x14ac:dyDescent="0.25">
      <c r="A22" s="2">
        <v>42402</v>
      </c>
      <c r="B22" s="2">
        <v>42402</v>
      </c>
      <c r="C22" t="str">
        <f>+"Tuáº§n "&amp;WEEKNUM(B22)</f>
        <v>Tuáº§n 6</v>
      </c>
      <c r="D22" t="s">
        <v>18</v>
      </c>
      <c r="E22" t="s">
        <v>17</v>
      </c>
      <c r="F22" s="5">
        <v>28600000</v>
      </c>
      <c r="G22" s="5">
        <v>31600000</v>
      </c>
      <c r="H22" s="5">
        <f>+(M22*26000)/0.829426</f>
        <v>35337450.236669697</v>
      </c>
      <c r="I22" s="5">
        <f>+G22-H22</f>
        <v>-3737450.2366696969</v>
      </c>
      <c r="J22" s="5">
        <v>3000000</v>
      </c>
      <c r="K22" s="5">
        <v>2860000</v>
      </c>
      <c r="L22" s="5">
        <v>3160000</v>
      </c>
      <c r="M22" s="7">
        <v>1127.3</v>
      </c>
      <c r="N22" s="5">
        <v>29100000</v>
      </c>
      <c r="O22" s="5">
        <v>32100000</v>
      </c>
      <c r="P22" s="3">
        <v>0.97916666666666663</v>
      </c>
    </row>
    <row r="23" spans="1:16" x14ac:dyDescent="0.25">
      <c r="A23" s="2">
        <v>42431</v>
      </c>
      <c r="B23" s="2">
        <v>42403</v>
      </c>
      <c r="C23" t="str">
        <f>+"Tuáº§n "&amp;WEEKNUM(B23)</f>
        <v>Tuáº§n 6</v>
      </c>
      <c r="D23" t="s">
        <v>19</v>
      </c>
      <c r="E23" t="s">
        <v>17</v>
      </c>
      <c r="F23" s="5">
        <v>29000000</v>
      </c>
      <c r="G23" s="5">
        <v>32000000</v>
      </c>
      <c r="H23" s="5">
        <f>+(M23*26000)/0.829426</f>
        <v>35776307.952728756</v>
      </c>
      <c r="I23" s="5">
        <f>+G23-H23</f>
        <v>-3776307.9527287558</v>
      </c>
      <c r="J23" s="5">
        <v>3000000</v>
      </c>
      <c r="K23" s="5">
        <v>2900000</v>
      </c>
      <c r="L23" s="5">
        <v>3200000</v>
      </c>
      <c r="M23" s="7">
        <v>1141.3</v>
      </c>
      <c r="N23" s="5">
        <v>29500000</v>
      </c>
      <c r="O23" s="5">
        <v>32500000</v>
      </c>
      <c r="P23" s="3">
        <v>0.97916666666666663</v>
      </c>
    </row>
    <row r="24" spans="1:16" x14ac:dyDescent="0.25">
      <c r="A24" s="2">
        <v>42462</v>
      </c>
      <c r="B24" s="2">
        <v>42404</v>
      </c>
      <c r="C24" t="str">
        <f>+"Tuáº§n "&amp;WEEKNUM(B24)</f>
        <v>Tuáº§n 6</v>
      </c>
      <c r="D24" t="s">
        <v>20</v>
      </c>
      <c r="E24" t="s">
        <v>17</v>
      </c>
      <c r="F24" s="5">
        <v>29400000</v>
      </c>
      <c r="G24" s="5">
        <v>32400000</v>
      </c>
      <c r="H24" s="5">
        <f>+(M24*26000)/0.829426</f>
        <v>36287263.722140364</v>
      </c>
      <c r="I24" s="5">
        <f>+G24-H24</f>
        <v>-3887263.7221403643</v>
      </c>
      <c r="J24" s="5">
        <v>3000000</v>
      </c>
      <c r="K24" s="5">
        <v>2940000</v>
      </c>
      <c r="L24" s="5">
        <v>3240000</v>
      </c>
      <c r="M24" s="7">
        <v>1157.5999999999999</v>
      </c>
      <c r="N24" s="5">
        <v>29900000</v>
      </c>
      <c r="O24" s="5">
        <v>32900000</v>
      </c>
      <c r="P24" s="3">
        <v>0.97916666666666663</v>
      </c>
    </row>
    <row r="25" spans="1:16" x14ac:dyDescent="0.25">
      <c r="A25" s="2">
        <v>42492</v>
      </c>
      <c r="B25" s="2">
        <v>42405</v>
      </c>
      <c r="C25" t="str">
        <f>+"Tuáº§n "&amp;WEEKNUM(B25)</f>
        <v>Tuáº§n 6</v>
      </c>
      <c r="D25" t="s">
        <v>21</v>
      </c>
      <c r="E25" t="s">
        <v>17</v>
      </c>
      <c r="F25" s="5">
        <v>29400000</v>
      </c>
      <c r="G25" s="5">
        <v>32400000</v>
      </c>
      <c r="H25" s="5">
        <f>+(M25*26000)/0.829426</f>
        <v>36293533.118084073</v>
      </c>
      <c r="I25" s="5">
        <f>+G25-H25</f>
        <v>-3893533.1180840731</v>
      </c>
      <c r="J25" s="5">
        <v>3000000</v>
      </c>
      <c r="K25" s="5">
        <v>2940000</v>
      </c>
      <c r="L25" s="5">
        <v>3240000</v>
      </c>
      <c r="M25" s="7">
        <v>1157.8</v>
      </c>
      <c r="N25" s="5">
        <v>29900000</v>
      </c>
      <c r="O25" s="5">
        <v>32900000</v>
      </c>
      <c r="P25" s="3">
        <v>0.97916666666666663</v>
      </c>
    </row>
    <row r="26" spans="1:16" x14ac:dyDescent="0.25">
      <c r="A26" s="2">
        <v>42584</v>
      </c>
      <c r="B26" s="2">
        <v>42408</v>
      </c>
      <c r="C26" t="str">
        <f>+"Tuáº§n "&amp;WEEKNUM(B26)</f>
        <v>Tuáº§n 7</v>
      </c>
      <c r="D26" t="s">
        <v>16</v>
      </c>
      <c r="E26" t="s">
        <v>17</v>
      </c>
      <c r="F26" s="5">
        <v>30600000</v>
      </c>
      <c r="G26" s="5">
        <v>33600000</v>
      </c>
      <c r="H26" s="5">
        <f>+(M26*26000)/0.829426</f>
        <v>37550547.004796095</v>
      </c>
      <c r="I26" s="5">
        <f>+G26-H26</f>
        <v>-3950547.0047960952</v>
      </c>
      <c r="J26" s="5">
        <v>3000000</v>
      </c>
      <c r="K26" s="5">
        <v>3060000</v>
      </c>
      <c r="L26" s="5">
        <v>3360000</v>
      </c>
      <c r="M26" s="7">
        <v>1197.9000000000001</v>
      </c>
      <c r="N26" s="5">
        <v>31100000</v>
      </c>
      <c r="O26" s="5">
        <v>34100000</v>
      </c>
      <c r="P26" s="3">
        <v>0.97916666666666663</v>
      </c>
    </row>
    <row r="27" spans="1:16" x14ac:dyDescent="0.25">
      <c r="A27" s="2">
        <v>42615</v>
      </c>
      <c r="B27" s="2">
        <v>42409</v>
      </c>
      <c r="C27" t="str">
        <f>+"Tuáº§n "&amp;WEEKNUM(B27)</f>
        <v>Tuáº§n 7</v>
      </c>
      <c r="D27" t="s">
        <v>18</v>
      </c>
      <c r="E27" t="s">
        <v>17</v>
      </c>
      <c r="F27" s="5">
        <v>30600000</v>
      </c>
      <c r="G27" s="5">
        <v>33600000</v>
      </c>
      <c r="H27" s="5">
        <f>+(M27*26000)/0.829426</f>
        <v>37575624.588570893</v>
      </c>
      <c r="I27" s="5">
        <f>+G27-H27</f>
        <v>-3975624.5885708928</v>
      </c>
      <c r="J27" s="5">
        <v>3000000</v>
      </c>
      <c r="K27" s="5">
        <v>3060000</v>
      </c>
      <c r="L27" s="5">
        <v>3360000</v>
      </c>
      <c r="M27" s="7">
        <v>1198.7</v>
      </c>
      <c r="N27" s="5">
        <v>31100000</v>
      </c>
      <c r="O27" s="5">
        <v>34100000</v>
      </c>
      <c r="P27" s="3">
        <v>0.97916666666666663</v>
      </c>
    </row>
    <row r="28" spans="1:16" x14ac:dyDescent="0.25">
      <c r="A28" s="2">
        <v>42645</v>
      </c>
      <c r="B28" s="2">
        <v>42410</v>
      </c>
      <c r="C28" t="str">
        <f>+"Tuáº§n "&amp;WEEKNUM(B28)</f>
        <v>Tuáº§n 7</v>
      </c>
      <c r="D28" t="s">
        <v>19</v>
      </c>
      <c r="E28" t="s">
        <v>17</v>
      </c>
      <c r="F28" s="5">
        <v>30500000</v>
      </c>
      <c r="G28" s="5">
        <v>33500000</v>
      </c>
      <c r="H28" s="5">
        <f>+(M28*26000)/0.829426</f>
        <v>37450236.669696875</v>
      </c>
      <c r="I28" s="5">
        <f>+G28-H28</f>
        <v>-3950236.6696968749</v>
      </c>
      <c r="J28" s="5">
        <v>3000000</v>
      </c>
      <c r="K28" s="5">
        <v>3050000</v>
      </c>
      <c r="L28" s="5">
        <v>3350000</v>
      </c>
      <c r="M28" s="7">
        <v>1194.7</v>
      </c>
      <c r="N28" s="5">
        <v>31000000</v>
      </c>
      <c r="O28" s="5">
        <v>34000000</v>
      </c>
      <c r="P28" s="3">
        <v>0.97916666666666663</v>
      </c>
    </row>
    <row r="29" spans="1:16" x14ac:dyDescent="0.25">
      <c r="A29" s="2">
        <v>42676</v>
      </c>
      <c r="B29" s="2">
        <v>42411</v>
      </c>
      <c r="C29" t="str">
        <f>+"Tuáº§n "&amp;WEEKNUM(B29)</f>
        <v>Tuáº§n 7</v>
      </c>
      <c r="D29" t="s">
        <v>20</v>
      </c>
      <c r="E29" t="s">
        <v>17</v>
      </c>
      <c r="F29" s="5">
        <v>32000000</v>
      </c>
      <c r="G29" s="5">
        <v>35000000</v>
      </c>
      <c r="H29" s="5">
        <f>+(M29*26000)/0.829426</f>
        <v>39117895.9907213</v>
      </c>
      <c r="I29" s="5">
        <f>+G29-H29</f>
        <v>-4117895.9907213002</v>
      </c>
      <c r="J29" s="5">
        <v>3000000</v>
      </c>
      <c r="K29" s="5">
        <v>3200000</v>
      </c>
      <c r="L29" s="5">
        <v>3500000</v>
      </c>
      <c r="M29" s="7">
        <v>1247.9000000000001</v>
      </c>
      <c r="N29" s="5">
        <v>32500000</v>
      </c>
      <c r="O29" s="5">
        <v>35500000</v>
      </c>
      <c r="P29" s="3">
        <v>0.97916666666666663</v>
      </c>
    </row>
    <row r="30" spans="1:16" x14ac:dyDescent="0.25">
      <c r="A30" s="2">
        <v>42706</v>
      </c>
      <c r="B30" s="2">
        <v>42412</v>
      </c>
      <c r="C30" t="str">
        <f>+"Tuáº§n "&amp;WEEKNUM(B30)</f>
        <v>Tuáº§n 7</v>
      </c>
      <c r="D30" t="s">
        <v>21</v>
      </c>
      <c r="E30" t="s">
        <v>17</v>
      </c>
      <c r="F30" s="5">
        <v>31700000</v>
      </c>
      <c r="G30" s="5">
        <v>34700000</v>
      </c>
      <c r="H30" s="5">
        <f>+(M30*26000)/0.829426</f>
        <v>38842042.569198452</v>
      </c>
      <c r="I30" s="5">
        <f>+G30-H30</f>
        <v>-4142042.5691984519</v>
      </c>
      <c r="J30" s="5">
        <v>3000000</v>
      </c>
      <c r="K30" s="5">
        <v>3170000</v>
      </c>
      <c r="L30" s="5">
        <v>3470000</v>
      </c>
      <c r="M30" s="7">
        <v>1239.0999999999999</v>
      </c>
      <c r="N30" s="5">
        <v>32200000</v>
      </c>
      <c r="O30" s="5">
        <v>35200000</v>
      </c>
      <c r="P30" s="3">
        <v>0.97916666666666663</v>
      </c>
    </row>
    <row r="31" spans="1:16" x14ac:dyDescent="0.25">
      <c r="A31" t="s">
        <v>34</v>
      </c>
      <c r="B31" s="2">
        <v>42416</v>
      </c>
      <c r="C31" t="str">
        <f>+"Tuáº§n "&amp;WEEKNUM(B31)</f>
        <v>Tuáº§n 8</v>
      </c>
      <c r="D31" t="s">
        <v>18</v>
      </c>
      <c r="E31" t="s">
        <v>17</v>
      </c>
      <c r="F31" s="5">
        <v>30900000</v>
      </c>
      <c r="G31" s="5">
        <v>33900000</v>
      </c>
      <c r="H31" s="5">
        <f>+(M31*26000)/0.829426</f>
        <v>37864016.801981136</v>
      </c>
      <c r="I31" s="5">
        <f>+G31-H31</f>
        <v>-3964016.8019811362</v>
      </c>
      <c r="J31" s="5">
        <v>3000000</v>
      </c>
      <c r="K31" s="5">
        <v>3090000</v>
      </c>
      <c r="L31" s="5">
        <v>3390000</v>
      </c>
      <c r="M31" s="7">
        <v>1207.9000000000001</v>
      </c>
      <c r="N31" s="5">
        <v>31400000</v>
      </c>
      <c r="O31" s="5">
        <v>34400000</v>
      </c>
      <c r="P31" s="3">
        <v>0.97916666666666663</v>
      </c>
    </row>
    <row r="32" spans="1:16" x14ac:dyDescent="0.25">
      <c r="A32" t="s">
        <v>35</v>
      </c>
      <c r="B32" s="2">
        <v>42417</v>
      </c>
      <c r="C32" t="str">
        <f>+"Tuáº§n "&amp;WEEKNUM(B32)</f>
        <v>Tuáº§n 8</v>
      </c>
      <c r="D32" t="s">
        <v>19</v>
      </c>
      <c r="E32" t="s">
        <v>17</v>
      </c>
      <c r="F32" s="5">
        <v>30900000</v>
      </c>
      <c r="G32" s="5">
        <v>33900000</v>
      </c>
      <c r="H32" s="5">
        <f>+(M32*26000)/0.829426</f>
        <v>37964327.137080342</v>
      </c>
      <c r="I32" s="5">
        <f>+G32-H32</f>
        <v>-4064327.1370803416</v>
      </c>
      <c r="J32" s="5">
        <v>3000000</v>
      </c>
      <c r="K32" s="5">
        <v>3090000</v>
      </c>
      <c r="L32" s="5">
        <v>3390000</v>
      </c>
      <c r="M32" s="7">
        <v>1211.0999999999999</v>
      </c>
      <c r="N32" s="5">
        <v>31400000</v>
      </c>
      <c r="O32" s="5">
        <v>34400000</v>
      </c>
      <c r="P32" s="3">
        <v>0.97916666666666663</v>
      </c>
    </row>
    <row r="33" spans="1:16" x14ac:dyDescent="0.25">
      <c r="A33" t="s">
        <v>36</v>
      </c>
      <c r="B33" s="2">
        <v>42418</v>
      </c>
      <c r="C33" t="str">
        <f>+"Tuáº§n "&amp;WEEKNUM(B33)</f>
        <v>Tuáº§n 8</v>
      </c>
      <c r="D33" t="s">
        <v>20</v>
      </c>
      <c r="E33" t="s">
        <v>17</v>
      </c>
      <c r="F33" s="5">
        <v>31400000</v>
      </c>
      <c r="G33" s="5">
        <v>34400000</v>
      </c>
      <c r="H33" s="5">
        <f>+(M33*26000)/0.829426</f>
        <v>38434531.832857899</v>
      </c>
      <c r="I33" s="5">
        <f>+G33-H33</f>
        <v>-4034531.8328578994</v>
      </c>
      <c r="J33" s="5">
        <v>3000000</v>
      </c>
      <c r="K33" s="5">
        <v>3140000</v>
      </c>
      <c r="L33" s="5">
        <v>3440000</v>
      </c>
      <c r="M33" s="7">
        <v>1226.0999999999999</v>
      </c>
      <c r="N33" s="5">
        <v>31900000</v>
      </c>
      <c r="O33" s="5">
        <v>34900000</v>
      </c>
      <c r="P33" s="3">
        <v>0.97916666666666663</v>
      </c>
    </row>
    <row r="34" spans="1:16" x14ac:dyDescent="0.25">
      <c r="A34" t="s">
        <v>37</v>
      </c>
      <c r="B34" s="2">
        <v>42419</v>
      </c>
      <c r="C34" t="str">
        <f>+"Tuáº§n "&amp;WEEKNUM(B34)</f>
        <v>Tuáº§n 8</v>
      </c>
      <c r="D34" t="s">
        <v>21</v>
      </c>
      <c r="E34" t="s">
        <v>17</v>
      </c>
      <c r="F34" s="5">
        <v>31500000</v>
      </c>
      <c r="G34" s="5">
        <v>34500000</v>
      </c>
      <c r="H34" s="5">
        <f>+(M34*26000)/0.829426</f>
        <v>38569323.845647477</v>
      </c>
      <c r="I34" s="5">
        <f>+G34-H34</f>
        <v>-4069323.8456474766</v>
      </c>
      <c r="J34" s="5">
        <v>3000000</v>
      </c>
      <c r="K34" s="5">
        <v>3150000</v>
      </c>
      <c r="L34" s="5">
        <v>3450000</v>
      </c>
      <c r="M34" s="7">
        <v>1230.4000000000001</v>
      </c>
      <c r="N34" s="5">
        <v>32000000</v>
      </c>
      <c r="O34" s="5">
        <v>35000000</v>
      </c>
      <c r="P34" s="3">
        <v>0.97916666666666663</v>
      </c>
    </row>
    <row r="35" spans="1:16" x14ac:dyDescent="0.25">
      <c r="A35" t="s">
        <v>38</v>
      </c>
      <c r="B35" s="2">
        <v>42422</v>
      </c>
      <c r="C35" t="str">
        <f>+"Tuáº§n "&amp;WEEKNUM(B35)</f>
        <v>Tuáº§n 9</v>
      </c>
      <c r="D35" t="s">
        <v>16</v>
      </c>
      <c r="E35" t="s">
        <v>17</v>
      </c>
      <c r="F35" s="5">
        <v>30900000</v>
      </c>
      <c r="G35" s="5">
        <v>33900000</v>
      </c>
      <c r="H35" s="5">
        <f>+(M35*26000)/0.829426</f>
        <v>37914171.969530739</v>
      </c>
      <c r="I35" s="5">
        <f>+G35-H35</f>
        <v>-4014171.9695307389</v>
      </c>
      <c r="J35" s="5">
        <v>3000000</v>
      </c>
      <c r="K35" s="5">
        <v>3090000</v>
      </c>
      <c r="L35" s="5">
        <v>3390000</v>
      </c>
      <c r="M35" s="7">
        <v>1209.5</v>
      </c>
      <c r="N35" s="5">
        <v>31400000</v>
      </c>
      <c r="O35" s="5">
        <v>34400000</v>
      </c>
      <c r="P35" s="3">
        <v>0.97916666666666663</v>
      </c>
    </row>
    <row r="36" spans="1:16" x14ac:dyDescent="0.25">
      <c r="A36" t="s">
        <v>39</v>
      </c>
      <c r="B36" s="2">
        <v>42423</v>
      </c>
      <c r="C36" t="str">
        <f>+"Tuáº§n "&amp;WEEKNUM(B36)</f>
        <v>Tuáº§n 9</v>
      </c>
      <c r="D36" t="s">
        <v>18</v>
      </c>
      <c r="E36" t="s">
        <v>17</v>
      </c>
      <c r="F36" s="5">
        <v>31300000</v>
      </c>
      <c r="G36" s="5">
        <v>34300000</v>
      </c>
      <c r="H36" s="5">
        <f>+(M36*26000)/0.829426</f>
        <v>38315413.30992759</v>
      </c>
      <c r="I36" s="5">
        <f>+G36-H36</f>
        <v>-4015413.3099275902</v>
      </c>
      <c r="J36" s="5">
        <v>3000000</v>
      </c>
      <c r="K36" s="5">
        <v>3130000</v>
      </c>
      <c r="L36" s="5">
        <v>3430000</v>
      </c>
      <c r="M36" s="7">
        <v>1222.3</v>
      </c>
      <c r="N36" s="5">
        <v>31800000</v>
      </c>
      <c r="O36" s="5">
        <v>34800000</v>
      </c>
      <c r="P36" s="3">
        <v>0.97916666666666663</v>
      </c>
    </row>
    <row r="37" spans="1:16" x14ac:dyDescent="0.25">
      <c r="A37" t="s">
        <v>40</v>
      </c>
      <c r="B37" s="2">
        <v>42424</v>
      </c>
      <c r="C37" t="str">
        <f>+"Tuáº§n "&amp;WEEKNUM(B37)</f>
        <v>Tuáº§n 9</v>
      </c>
      <c r="D37" t="s">
        <v>19</v>
      </c>
      <c r="E37" t="s">
        <v>17</v>
      </c>
      <c r="F37" s="5">
        <v>31700000</v>
      </c>
      <c r="G37" s="5">
        <v>34700000</v>
      </c>
      <c r="H37" s="5">
        <f>+(M37*26000)/0.829426</f>
        <v>38829503.777311057</v>
      </c>
      <c r="I37" s="5">
        <f>+G37-H37</f>
        <v>-4129503.7773110569</v>
      </c>
      <c r="J37" s="5">
        <v>3000000</v>
      </c>
      <c r="K37" s="5">
        <v>3170000</v>
      </c>
      <c r="L37" s="5">
        <v>3470000</v>
      </c>
      <c r="M37" s="7">
        <v>1238.7</v>
      </c>
      <c r="N37" s="5">
        <v>32200000</v>
      </c>
      <c r="O37" s="5">
        <v>35200000</v>
      </c>
      <c r="P37" s="3">
        <v>0.97916666666666663</v>
      </c>
    </row>
    <row r="38" spans="1:16" x14ac:dyDescent="0.25">
      <c r="A38" t="s">
        <v>41</v>
      </c>
      <c r="B38" s="2">
        <v>42425</v>
      </c>
      <c r="C38" t="str">
        <f>+"Tuáº§n "&amp;WEEKNUM(B38)</f>
        <v>Tuáº§n 9</v>
      </c>
      <c r="D38" t="s">
        <v>20</v>
      </c>
      <c r="E38" t="s">
        <v>17</v>
      </c>
      <c r="F38" s="5">
        <v>31700000</v>
      </c>
      <c r="G38" s="5">
        <v>34700000</v>
      </c>
      <c r="H38" s="5">
        <f>+(M38*26000)/0.829426</f>
        <v>38813830.287451804</v>
      </c>
      <c r="I38" s="5">
        <f>+G38-H38</f>
        <v>-4113830.2874518037</v>
      </c>
      <c r="J38" s="5">
        <v>3000000</v>
      </c>
      <c r="K38" s="5">
        <v>3170000</v>
      </c>
      <c r="L38" s="5">
        <v>3470000</v>
      </c>
      <c r="M38" s="7">
        <v>1238.2</v>
      </c>
      <c r="N38" s="5">
        <v>32200000</v>
      </c>
      <c r="O38" s="5">
        <v>35200000</v>
      </c>
      <c r="P38" s="3">
        <v>0.97916666666666663</v>
      </c>
    </row>
    <row r="39" spans="1:16" x14ac:dyDescent="0.25">
      <c r="A39" t="s">
        <v>42</v>
      </c>
      <c r="B39" s="2">
        <v>42426</v>
      </c>
      <c r="C39" t="str">
        <f>+"Tuáº§n "&amp;WEEKNUM(B39)</f>
        <v>Tuáº§n 9</v>
      </c>
      <c r="D39" t="s">
        <v>21</v>
      </c>
      <c r="E39" t="s">
        <v>17</v>
      </c>
      <c r="F39" s="5">
        <v>31200000</v>
      </c>
      <c r="G39" s="5">
        <v>34200000</v>
      </c>
      <c r="H39" s="5">
        <f>+(M39*26000)/0.829426</f>
        <v>38237045.860631332</v>
      </c>
      <c r="I39" s="5">
        <f>+G39-H39</f>
        <v>-4037045.8606313318</v>
      </c>
      <c r="J39" s="5">
        <v>3000000</v>
      </c>
      <c r="K39" s="5">
        <v>3120000</v>
      </c>
      <c r="L39" s="5">
        <v>3420000</v>
      </c>
      <c r="M39" s="7">
        <v>1219.8</v>
      </c>
      <c r="N39" s="5">
        <v>31700000</v>
      </c>
      <c r="O39" s="5">
        <v>34700000</v>
      </c>
      <c r="P39" s="3">
        <v>0.97916666666666663</v>
      </c>
    </row>
    <row r="40" spans="1:16" x14ac:dyDescent="0.25">
      <c r="A40" t="s">
        <v>43</v>
      </c>
      <c r="B40" s="2">
        <v>42429</v>
      </c>
      <c r="C40" t="str">
        <f>+"Tuáº§n "&amp;WEEKNUM(B40)</f>
        <v>Tuáº§n 10</v>
      </c>
      <c r="D40" t="s">
        <v>16</v>
      </c>
      <c r="E40" t="s">
        <v>17</v>
      </c>
      <c r="F40" s="5">
        <v>31600000</v>
      </c>
      <c r="G40" s="5">
        <v>34600000</v>
      </c>
      <c r="H40" s="5">
        <f>+(M40*26000)/0.829426</f>
        <v>38679038.274662241</v>
      </c>
      <c r="I40" s="5">
        <f>+G40-H40</f>
        <v>-4079038.2746622413</v>
      </c>
      <c r="J40" s="5">
        <v>3000000</v>
      </c>
      <c r="K40" s="5">
        <v>3160000</v>
      </c>
      <c r="L40" s="5">
        <v>3460000</v>
      </c>
      <c r="M40" s="7">
        <v>1233.9000000000001</v>
      </c>
      <c r="N40" s="5">
        <v>32100000</v>
      </c>
      <c r="O40" s="5">
        <v>35100000</v>
      </c>
      <c r="P40" s="3">
        <v>0.97916666666666663</v>
      </c>
    </row>
    <row r="41" spans="1:16" x14ac:dyDescent="0.25">
      <c r="A41" s="2">
        <v>42372</v>
      </c>
      <c r="B41" s="2">
        <v>42430</v>
      </c>
      <c r="C41" t="str">
        <f>+"Tuáº§n "&amp;WEEKNUM(B41)</f>
        <v>Tuáº§n 10</v>
      </c>
      <c r="D41" t="s">
        <v>18</v>
      </c>
      <c r="E41" t="s">
        <v>17</v>
      </c>
      <c r="F41" s="5">
        <v>31500000</v>
      </c>
      <c r="G41" s="5">
        <v>34500000</v>
      </c>
      <c r="H41" s="5">
        <f>+(M41*26000)/0.829426</f>
        <v>38566189.147675619</v>
      </c>
      <c r="I41" s="5">
        <f>+G41-H41</f>
        <v>-4066189.1476756185</v>
      </c>
      <c r="J41" s="5">
        <v>3000000</v>
      </c>
      <c r="K41" s="5">
        <v>3150000</v>
      </c>
      <c r="L41" s="5">
        <v>3450000</v>
      </c>
      <c r="M41" s="7">
        <v>1230.3</v>
      </c>
      <c r="N41" s="5">
        <v>32000000</v>
      </c>
      <c r="O41" s="5">
        <v>35000000</v>
      </c>
      <c r="P41" s="3">
        <v>0.97916666666666663</v>
      </c>
    </row>
    <row r="42" spans="1:16" x14ac:dyDescent="0.25">
      <c r="A42" s="2">
        <v>42403</v>
      </c>
      <c r="B42" s="2">
        <v>42431</v>
      </c>
      <c r="C42" t="str">
        <f>+"Tuáº§n "&amp;WEEKNUM(B42)</f>
        <v>Tuáº§n 10</v>
      </c>
      <c r="D42" t="s">
        <v>19</v>
      </c>
      <c r="E42" t="s">
        <v>17</v>
      </c>
      <c r="F42" s="5">
        <v>31800000</v>
      </c>
      <c r="G42" s="5">
        <v>34800000</v>
      </c>
      <c r="H42" s="5">
        <f>+(M42*26000)/0.829426</f>
        <v>38904736.528635465</v>
      </c>
      <c r="I42" s="5">
        <f>+G42-H42</f>
        <v>-4104736.5286354646</v>
      </c>
      <c r="J42" s="5">
        <v>3000000</v>
      </c>
      <c r="K42" s="5">
        <v>3180000</v>
      </c>
      <c r="L42" s="5">
        <v>3480000</v>
      </c>
      <c r="M42" s="7">
        <v>1241.0999999999999</v>
      </c>
      <c r="N42" s="5">
        <v>32300000</v>
      </c>
      <c r="O42" s="5">
        <v>35300000</v>
      </c>
      <c r="P42" s="3">
        <v>0.97916666666666663</v>
      </c>
    </row>
    <row r="43" spans="1:16" x14ac:dyDescent="0.25">
      <c r="A43" s="2">
        <v>42432</v>
      </c>
      <c r="B43" s="2">
        <v>42432</v>
      </c>
      <c r="C43" t="str">
        <f>+"Tuáº§n "&amp;WEEKNUM(B43)</f>
        <v>Tuáº§n 10</v>
      </c>
      <c r="D43" t="s">
        <v>20</v>
      </c>
      <c r="E43" t="s">
        <v>17</v>
      </c>
      <c r="F43" s="5">
        <v>32200000</v>
      </c>
      <c r="G43" s="5">
        <v>35200000</v>
      </c>
      <c r="H43" s="5">
        <f>+(M43*26000)/0.829426</f>
        <v>39415692.298047088</v>
      </c>
      <c r="I43" s="5">
        <f>+G43-H43</f>
        <v>-4215692.2980470881</v>
      </c>
      <c r="J43" s="5">
        <v>3000000</v>
      </c>
      <c r="K43" s="5">
        <v>3220000</v>
      </c>
      <c r="L43" s="5">
        <v>3520000</v>
      </c>
      <c r="M43" s="7">
        <v>1257.4000000000001</v>
      </c>
      <c r="N43" s="5">
        <v>32700000</v>
      </c>
      <c r="O43" s="5">
        <v>35700000</v>
      </c>
      <c r="P43" s="3">
        <v>0.97916666666666663</v>
      </c>
    </row>
    <row r="44" spans="1:16" x14ac:dyDescent="0.25">
      <c r="A44" s="2">
        <v>42463</v>
      </c>
      <c r="B44" s="2">
        <v>42433</v>
      </c>
      <c r="C44" t="str">
        <f>+"Tuáº§n "&amp;WEEKNUM(B44)</f>
        <v>Tuáº§n 10</v>
      </c>
      <c r="D44" t="s">
        <v>21</v>
      </c>
      <c r="E44" t="s">
        <v>17</v>
      </c>
      <c r="F44" s="5">
        <v>32600000</v>
      </c>
      <c r="G44" s="5">
        <v>35600000</v>
      </c>
      <c r="H44" s="5">
        <f>+(M44*26000)/0.829426</f>
        <v>39807529.544528387</v>
      </c>
      <c r="I44" s="5">
        <f>+G44-H44</f>
        <v>-4207529.5445283875</v>
      </c>
      <c r="J44" s="5">
        <v>3000000</v>
      </c>
      <c r="K44" s="5">
        <v>3260000</v>
      </c>
      <c r="L44" s="5">
        <v>3560000</v>
      </c>
      <c r="M44" s="7">
        <v>1269.9000000000001</v>
      </c>
      <c r="N44" s="5">
        <v>33100000</v>
      </c>
      <c r="O44" s="5">
        <v>36100000</v>
      </c>
      <c r="P44" s="3">
        <v>0.97916666666666663</v>
      </c>
    </row>
    <row r="45" spans="1:16" x14ac:dyDescent="0.25">
      <c r="A45" s="2">
        <v>42554</v>
      </c>
      <c r="B45" s="2">
        <v>42436</v>
      </c>
      <c r="C45" t="str">
        <f>+"Tuáº§n "&amp;WEEKNUM(B45)</f>
        <v>Tuáº§n 11</v>
      </c>
      <c r="D45" t="s">
        <v>16</v>
      </c>
      <c r="E45" t="s">
        <v>17</v>
      </c>
      <c r="F45" s="5">
        <v>32400000</v>
      </c>
      <c r="G45" s="5">
        <v>35400000</v>
      </c>
      <c r="H45" s="5">
        <f>+(M45*26000)/0.829426</f>
        <v>39597504.78041441</v>
      </c>
      <c r="I45" s="5">
        <f>+G45-H45</f>
        <v>-4197504.7804144099</v>
      </c>
      <c r="J45" s="5">
        <v>3000000</v>
      </c>
      <c r="K45" s="5">
        <v>3240000</v>
      </c>
      <c r="L45" s="5">
        <v>3540000</v>
      </c>
      <c r="M45" s="7">
        <v>1263.2</v>
      </c>
      <c r="N45" s="5">
        <v>32900000</v>
      </c>
      <c r="O45" s="5">
        <v>35900000</v>
      </c>
      <c r="P45" s="3">
        <v>0.97916666666666663</v>
      </c>
    </row>
    <row r="46" spans="1:16" x14ac:dyDescent="0.25">
      <c r="A46" s="2">
        <v>42585</v>
      </c>
      <c r="B46" s="2">
        <v>42437</v>
      </c>
      <c r="C46" t="str">
        <f>+"Tuáº§n "&amp;WEEKNUM(B46)</f>
        <v>Tuáº§n 11</v>
      </c>
      <c r="D46" t="s">
        <v>18</v>
      </c>
      <c r="E46" t="s">
        <v>17</v>
      </c>
      <c r="F46" s="5">
        <v>32400000</v>
      </c>
      <c r="G46" s="5">
        <v>35400000</v>
      </c>
      <c r="H46" s="5">
        <f>+(M46*26000)/0.829426</f>
        <v>39563023.102724046</v>
      </c>
      <c r="I46" s="5">
        <f>+G46-H46</f>
        <v>-4163023.1027240455</v>
      </c>
      <c r="J46" s="5">
        <v>3000000</v>
      </c>
      <c r="K46" s="5">
        <v>3240000</v>
      </c>
      <c r="L46" s="5">
        <v>3540000</v>
      </c>
      <c r="M46" s="7">
        <v>1262.0999999999999</v>
      </c>
      <c r="N46" s="5">
        <v>32900000</v>
      </c>
      <c r="O46" s="5">
        <v>35900000</v>
      </c>
      <c r="P46" s="3">
        <v>0.97916666666666663</v>
      </c>
    </row>
    <row r="47" spans="1:16" x14ac:dyDescent="0.25">
      <c r="A47" s="2">
        <v>42616</v>
      </c>
      <c r="B47" s="2">
        <v>42438</v>
      </c>
      <c r="C47" t="str">
        <f>+"Tuáº§n "&amp;WEEKNUM(B47)</f>
        <v>Tuáº§n 11</v>
      </c>
      <c r="D47" t="s">
        <v>19</v>
      </c>
      <c r="E47" t="s">
        <v>17</v>
      </c>
      <c r="F47" s="5">
        <v>32200000</v>
      </c>
      <c r="G47" s="5">
        <v>35200000</v>
      </c>
      <c r="H47" s="5">
        <f>+(M47*26000)/0.829426</f>
        <v>39390614.714272276</v>
      </c>
      <c r="I47" s="5">
        <f>+G47-H47</f>
        <v>-4190614.7142722756</v>
      </c>
      <c r="J47" s="5">
        <v>3000000</v>
      </c>
      <c r="K47" s="5">
        <v>3220000</v>
      </c>
      <c r="L47" s="5">
        <v>3520000</v>
      </c>
      <c r="M47" s="7">
        <v>1256.5999999999999</v>
      </c>
      <c r="N47" s="5">
        <v>32700000</v>
      </c>
      <c r="O47" s="5">
        <v>35700000</v>
      </c>
      <c r="P47" s="3">
        <v>0.97916666666666663</v>
      </c>
    </row>
    <row r="48" spans="1:16" x14ac:dyDescent="0.25">
      <c r="A48" s="2">
        <v>42646</v>
      </c>
      <c r="B48" s="2">
        <v>42439</v>
      </c>
      <c r="C48" t="str">
        <f>+"Tuáº§n "&amp;WEEKNUM(B48)</f>
        <v>Tuáº§n 11</v>
      </c>
      <c r="D48" t="s">
        <v>20</v>
      </c>
      <c r="E48" t="s">
        <v>17</v>
      </c>
      <c r="F48" s="5">
        <v>32600000</v>
      </c>
      <c r="G48" s="5">
        <v>35600000</v>
      </c>
      <c r="H48" s="5">
        <f>+(M48*26000)/0.829426</f>
        <v>39873358.201937243</v>
      </c>
      <c r="I48" s="5">
        <f>+G48-H48</f>
        <v>-4273358.2019372433</v>
      </c>
      <c r="J48" s="5">
        <v>3000000</v>
      </c>
      <c r="K48" s="5">
        <v>3260000</v>
      </c>
      <c r="L48" s="5">
        <v>3560000</v>
      </c>
      <c r="M48" s="7">
        <v>1272</v>
      </c>
      <c r="N48" s="5">
        <v>33100000</v>
      </c>
      <c r="O48" s="5">
        <v>36100000</v>
      </c>
      <c r="P48" s="3">
        <v>0.97916666666666663</v>
      </c>
    </row>
    <row r="49" spans="1:16" x14ac:dyDescent="0.25">
      <c r="A49" s="2">
        <v>42677</v>
      </c>
      <c r="B49" s="2">
        <v>42440</v>
      </c>
      <c r="C49" t="str">
        <f>+"Tuáº§n "&amp;WEEKNUM(B49)</f>
        <v>Tuáº§n 11</v>
      </c>
      <c r="D49" t="s">
        <v>21</v>
      </c>
      <c r="E49" t="s">
        <v>17</v>
      </c>
      <c r="F49" s="5">
        <v>32300000</v>
      </c>
      <c r="G49" s="5">
        <v>35300000</v>
      </c>
      <c r="H49" s="5">
        <f>+(M49*26000)/0.829426</f>
        <v>39456443.371681139</v>
      </c>
      <c r="I49" s="5">
        <f>+G49-H49</f>
        <v>-4156443.3716811389</v>
      </c>
      <c r="J49" s="5">
        <v>3000000</v>
      </c>
      <c r="K49" s="5">
        <v>3230000</v>
      </c>
      <c r="L49" s="5">
        <v>3530000</v>
      </c>
      <c r="M49" s="7">
        <v>1258.7</v>
      </c>
      <c r="N49" s="5">
        <v>32800000</v>
      </c>
      <c r="O49" s="5">
        <v>35800000</v>
      </c>
      <c r="P49" s="3">
        <v>0.97916666666666663</v>
      </c>
    </row>
    <row r="50" spans="1:16" x14ac:dyDescent="0.25">
      <c r="A50" t="s">
        <v>44</v>
      </c>
      <c r="B50" s="2">
        <v>42443</v>
      </c>
      <c r="C50" t="str">
        <f>+"Tuáº§n "&amp;WEEKNUM(B50)</f>
        <v>Tuáº§n 12</v>
      </c>
      <c r="D50" t="s">
        <v>16</v>
      </c>
      <c r="E50" t="s">
        <v>17</v>
      </c>
      <c r="F50" s="5">
        <v>31900000</v>
      </c>
      <c r="G50" s="5">
        <v>34900000</v>
      </c>
      <c r="H50" s="5">
        <f>+(M50*26000)/0.829426</f>
        <v>39008181.561706536</v>
      </c>
      <c r="I50" s="5">
        <f>+G50-H50</f>
        <v>-4108181.5617065355</v>
      </c>
      <c r="J50" s="5">
        <v>3000000</v>
      </c>
      <c r="K50" s="5">
        <v>3190000</v>
      </c>
      <c r="L50" s="5">
        <v>3490000</v>
      </c>
      <c r="M50" s="7">
        <v>1244.4000000000001</v>
      </c>
      <c r="N50" s="5">
        <v>32400000</v>
      </c>
      <c r="O50" s="5">
        <v>35400000</v>
      </c>
      <c r="P50" s="3">
        <v>0.97916666666666663</v>
      </c>
    </row>
    <row r="51" spans="1:16" x14ac:dyDescent="0.25">
      <c r="A51" t="s">
        <v>45</v>
      </c>
      <c r="B51" s="2">
        <v>42444</v>
      </c>
      <c r="C51" t="str">
        <f>+"Tuáº§n "&amp;WEEKNUM(B51)</f>
        <v>Tuáº§n 12</v>
      </c>
      <c r="D51" t="s">
        <v>18</v>
      </c>
      <c r="E51" t="s">
        <v>17</v>
      </c>
      <c r="F51" s="5">
        <v>31500000</v>
      </c>
      <c r="G51" s="5">
        <v>34500000</v>
      </c>
      <c r="H51" s="5">
        <f>+(M51*26000)/0.829426</f>
        <v>38569323.845647477</v>
      </c>
      <c r="I51" s="5">
        <f>+G51-H51</f>
        <v>-4069323.8456474766</v>
      </c>
      <c r="J51" s="5">
        <v>3000000</v>
      </c>
      <c r="K51" s="5">
        <v>3150000</v>
      </c>
      <c r="L51" s="5">
        <v>3450000</v>
      </c>
      <c r="M51" s="7">
        <v>1230.4000000000001</v>
      </c>
      <c r="N51" s="5">
        <v>32000000</v>
      </c>
      <c r="O51" s="5">
        <v>35000000</v>
      </c>
      <c r="P51" s="3">
        <v>0.97916666666666663</v>
      </c>
    </row>
    <row r="52" spans="1:16" x14ac:dyDescent="0.25">
      <c r="A52" t="s">
        <v>46</v>
      </c>
      <c r="B52" s="2">
        <v>42445</v>
      </c>
      <c r="C52" t="str">
        <f>+"Tuáº§n "&amp;WEEKNUM(B52)</f>
        <v>Tuáº§n 12</v>
      </c>
      <c r="D52" t="s">
        <v>19</v>
      </c>
      <c r="E52" t="s">
        <v>17</v>
      </c>
      <c r="F52" s="5">
        <v>31500000</v>
      </c>
      <c r="G52" s="5">
        <v>34500000</v>
      </c>
      <c r="H52" s="5">
        <f>+(M52*26000)/0.829426</f>
        <v>38534842.16795712</v>
      </c>
      <c r="I52" s="5">
        <f>+G52-H52</f>
        <v>-4034842.1679571196</v>
      </c>
      <c r="J52" s="5">
        <v>3000000</v>
      </c>
      <c r="K52" s="5">
        <v>3150000</v>
      </c>
      <c r="L52" s="5">
        <v>3450000</v>
      </c>
      <c r="M52" s="7">
        <v>1229.3</v>
      </c>
      <c r="N52" s="5">
        <v>32000000</v>
      </c>
      <c r="O52" s="5">
        <v>35000000</v>
      </c>
      <c r="P52" s="3">
        <v>0.97916666666666663</v>
      </c>
    </row>
    <row r="53" spans="1:16" x14ac:dyDescent="0.25">
      <c r="A53" t="s">
        <v>47</v>
      </c>
      <c r="B53" s="2">
        <v>42446</v>
      </c>
      <c r="C53" t="str">
        <f>+"Tuáº§n "&amp;WEEKNUM(B53)</f>
        <v>Tuáº§n 12</v>
      </c>
      <c r="D53" t="s">
        <v>20</v>
      </c>
      <c r="E53" t="s">
        <v>17</v>
      </c>
      <c r="F53" s="5">
        <v>32400000</v>
      </c>
      <c r="G53" s="5">
        <v>35400000</v>
      </c>
      <c r="H53" s="5">
        <f>+(M53*26000)/0.829426</f>
        <v>39638255.854048461</v>
      </c>
      <c r="I53" s="5">
        <f>+G53-H53</f>
        <v>-4238255.8540484607</v>
      </c>
      <c r="J53" s="5">
        <v>3000000</v>
      </c>
      <c r="K53" s="5">
        <v>3240000</v>
      </c>
      <c r="L53" s="5">
        <v>3540000</v>
      </c>
      <c r="M53" s="7">
        <v>1264.5</v>
      </c>
      <c r="N53" s="5">
        <v>32900000</v>
      </c>
      <c r="O53" s="5">
        <v>35900000</v>
      </c>
      <c r="P53" s="3">
        <v>0.97916666666666663</v>
      </c>
    </row>
    <row r="54" spans="1:16" x14ac:dyDescent="0.25">
      <c r="A54" t="s">
        <v>48</v>
      </c>
      <c r="B54" s="2">
        <v>42447</v>
      </c>
      <c r="C54" t="str">
        <f>+"Tuáº§n "&amp;WEEKNUM(B54)</f>
        <v>Tuáº§n 12</v>
      </c>
      <c r="D54" t="s">
        <v>21</v>
      </c>
      <c r="E54" t="s">
        <v>17</v>
      </c>
      <c r="F54" s="5">
        <v>32100000</v>
      </c>
      <c r="G54" s="5">
        <v>35100000</v>
      </c>
      <c r="H54" s="5">
        <f>+(M54*26000)/0.829426</f>
        <v>39302843.171060465</v>
      </c>
      <c r="I54" s="5">
        <f>+G54-H54</f>
        <v>-4202843.1710604653</v>
      </c>
      <c r="J54" s="5">
        <v>3000000</v>
      </c>
      <c r="K54" s="5">
        <v>3210000</v>
      </c>
      <c r="L54" s="5">
        <v>3510000</v>
      </c>
      <c r="M54" s="7">
        <v>1253.8</v>
      </c>
      <c r="N54" s="5">
        <v>32600000</v>
      </c>
      <c r="O54" s="5">
        <v>35600000</v>
      </c>
      <c r="P54" s="3">
        <v>0.97916666666666663</v>
      </c>
    </row>
    <row r="55" spans="1:16" x14ac:dyDescent="0.25">
      <c r="A55" t="s">
        <v>49</v>
      </c>
      <c r="B55" s="2">
        <v>42450</v>
      </c>
      <c r="C55" t="str">
        <f>+"Tuáº§n "&amp;WEEKNUM(B55)</f>
        <v>Tuáº§n 13</v>
      </c>
      <c r="D55" t="s">
        <v>16</v>
      </c>
      <c r="E55" t="s">
        <v>17</v>
      </c>
      <c r="F55" s="5">
        <v>31900000</v>
      </c>
      <c r="G55" s="5">
        <v>34900000</v>
      </c>
      <c r="H55" s="5">
        <f>+(M55*26000)/0.829426</f>
        <v>38989373.373875424</v>
      </c>
      <c r="I55" s="5">
        <f>+G55-H55</f>
        <v>-4089373.3738754243</v>
      </c>
      <c r="J55" s="5">
        <v>3000000</v>
      </c>
      <c r="K55" s="5">
        <v>3190000</v>
      </c>
      <c r="L55" s="5">
        <v>3490000</v>
      </c>
      <c r="M55" s="7">
        <v>1243.8</v>
      </c>
      <c r="N55" s="5">
        <v>32400000</v>
      </c>
      <c r="O55" s="5">
        <v>35400000</v>
      </c>
      <c r="P55" s="3">
        <v>0.97916666666666663</v>
      </c>
    </row>
    <row r="56" spans="1:16" x14ac:dyDescent="0.25">
      <c r="A56" t="s">
        <v>50</v>
      </c>
      <c r="B56" s="2">
        <v>42451</v>
      </c>
      <c r="C56" t="str">
        <f>+"Tuáº§n "&amp;WEEKNUM(B56)</f>
        <v>Tuáº§n 13</v>
      </c>
      <c r="D56" t="s">
        <v>18</v>
      </c>
      <c r="E56" t="s">
        <v>17</v>
      </c>
      <c r="F56" s="5">
        <v>32000000</v>
      </c>
      <c r="G56" s="5">
        <v>35000000</v>
      </c>
      <c r="H56" s="5">
        <f>+(M56*26000)/0.829426</f>
        <v>39127300.084636845</v>
      </c>
      <c r="I56" s="5">
        <f>+G56-H56</f>
        <v>-4127300.0846368447</v>
      </c>
      <c r="J56" s="5">
        <v>3000000</v>
      </c>
      <c r="K56" s="5">
        <v>3200000</v>
      </c>
      <c r="L56" s="5">
        <v>3500000</v>
      </c>
      <c r="M56" s="7">
        <v>1248.2</v>
      </c>
      <c r="N56" s="5">
        <v>32500000</v>
      </c>
      <c r="O56" s="5">
        <v>35500000</v>
      </c>
      <c r="P56" s="3">
        <v>0.97916666666666663</v>
      </c>
    </row>
    <row r="57" spans="1:16" x14ac:dyDescent="0.25">
      <c r="A57" t="s">
        <v>51</v>
      </c>
      <c r="B57" s="2">
        <v>42452</v>
      </c>
      <c r="C57" t="str">
        <f>+"Tuáº§n "&amp;WEEKNUM(B57)</f>
        <v>Tuáº§n 13</v>
      </c>
      <c r="D57" t="s">
        <v>19</v>
      </c>
      <c r="E57" t="s">
        <v>17</v>
      </c>
      <c r="F57" s="5">
        <v>31300000</v>
      </c>
      <c r="G57" s="5">
        <v>34300000</v>
      </c>
      <c r="H57" s="5">
        <f>+(M57*26000)/0.829426</f>
        <v>38359299.081533492</v>
      </c>
      <c r="I57" s="5">
        <f>+G57-H57</f>
        <v>-4059299.0815334916</v>
      </c>
      <c r="J57" s="5">
        <v>3000000</v>
      </c>
      <c r="K57" s="5">
        <v>3130000</v>
      </c>
      <c r="L57" s="5">
        <v>3430000</v>
      </c>
      <c r="M57" s="7">
        <v>1223.7</v>
      </c>
      <c r="N57" s="5">
        <v>31800000</v>
      </c>
      <c r="O57" s="5">
        <v>34800000</v>
      </c>
      <c r="P57" s="3">
        <v>0.97916666666666663</v>
      </c>
    </row>
    <row r="58" spans="1:16" x14ac:dyDescent="0.25">
      <c r="A58" t="s">
        <v>52</v>
      </c>
      <c r="B58" s="2">
        <v>42453</v>
      </c>
      <c r="C58" t="str">
        <f>+"Tuáº§n "&amp;WEEKNUM(B58)</f>
        <v>Tuáº§n 13</v>
      </c>
      <c r="D58" t="s">
        <v>20</v>
      </c>
      <c r="E58" t="s">
        <v>17</v>
      </c>
      <c r="F58" s="5">
        <v>31200000</v>
      </c>
      <c r="G58" s="5">
        <v>34200000</v>
      </c>
      <c r="H58" s="5">
        <f>+(M58*26000)/0.829426</f>
        <v>38287201.028180942</v>
      </c>
      <c r="I58" s="5">
        <f>+G58-H58</f>
        <v>-4087201.0281809419</v>
      </c>
      <c r="J58" s="5">
        <v>3000000</v>
      </c>
      <c r="K58" s="5">
        <v>3120000</v>
      </c>
      <c r="L58" s="5">
        <v>3420000</v>
      </c>
      <c r="M58" s="7">
        <v>1221.4000000000001</v>
      </c>
      <c r="N58" s="5">
        <v>31700000</v>
      </c>
      <c r="O58" s="5">
        <v>34700000</v>
      </c>
      <c r="P58" s="3">
        <v>0.97916666666666663</v>
      </c>
    </row>
    <row r="59" spans="1:16" x14ac:dyDescent="0.25">
      <c r="A59" t="s">
        <v>53</v>
      </c>
      <c r="B59" s="2">
        <v>42457</v>
      </c>
      <c r="C59" t="str">
        <f>+"Tuáº§n "&amp;WEEKNUM(B59)</f>
        <v>Tuáº§n 14</v>
      </c>
      <c r="D59" t="s">
        <v>16</v>
      </c>
      <c r="E59" t="s">
        <v>17</v>
      </c>
      <c r="F59" s="5">
        <v>31200000</v>
      </c>
      <c r="G59" s="5">
        <v>34200000</v>
      </c>
      <c r="H59" s="5">
        <f>+(M59*26000)/0.829426</f>
        <v>38240180.558603182</v>
      </c>
      <c r="I59" s="5">
        <f>+G59-H59</f>
        <v>-4040180.5586031824</v>
      </c>
      <c r="J59" s="5">
        <v>3000000</v>
      </c>
      <c r="K59" s="5">
        <v>3120000</v>
      </c>
      <c r="L59" s="5">
        <v>3420000</v>
      </c>
      <c r="M59" s="7">
        <v>1219.9000000000001</v>
      </c>
      <c r="N59" s="5">
        <v>31700000</v>
      </c>
      <c r="O59" s="5">
        <v>34700000</v>
      </c>
      <c r="P59" s="3">
        <v>0.97916666666666663</v>
      </c>
    </row>
    <row r="60" spans="1:16" x14ac:dyDescent="0.25">
      <c r="A60" t="s">
        <v>54</v>
      </c>
      <c r="B60" s="2">
        <v>42458</v>
      </c>
      <c r="C60" t="str">
        <f>+"Tuáº§n "&amp;WEEKNUM(B60)</f>
        <v>Tuáº§n 14</v>
      </c>
      <c r="D60" t="s">
        <v>18</v>
      </c>
      <c r="E60" t="s">
        <v>17</v>
      </c>
      <c r="F60" s="5">
        <v>31600000</v>
      </c>
      <c r="G60" s="5">
        <v>34600000</v>
      </c>
      <c r="H60" s="5">
        <f>+(M60*26000)/0.829426</f>
        <v>38732328.140183687</v>
      </c>
      <c r="I60" s="5">
        <f>+G60-H60</f>
        <v>-4132328.1401836872</v>
      </c>
      <c r="J60" s="5">
        <v>3000000</v>
      </c>
      <c r="K60" s="5">
        <v>3160000</v>
      </c>
      <c r="L60" s="5">
        <v>3460000</v>
      </c>
      <c r="M60" s="7">
        <v>1235.5999999999999</v>
      </c>
      <c r="N60" s="5">
        <v>32100000</v>
      </c>
      <c r="O60" s="5">
        <v>35100000</v>
      </c>
      <c r="P60" s="3">
        <v>0.97916666666666663</v>
      </c>
    </row>
    <row r="61" spans="1:16" x14ac:dyDescent="0.25">
      <c r="A61" t="s">
        <v>55</v>
      </c>
      <c r="B61" s="2">
        <v>42459</v>
      </c>
      <c r="C61" t="str">
        <f>+"Tuáº§n "&amp;WEEKNUM(B61)</f>
        <v>Tuáº§n 14</v>
      </c>
      <c r="D61" t="s">
        <v>19</v>
      </c>
      <c r="E61" t="s">
        <v>17</v>
      </c>
      <c r="F61" s="5">
        <v>31400000</v>
      </c>
      <c r="G61" s="5">
        <v>34400000</v>
      </c>
      <c r="H61" s="5">
        <f>+(M61*26000)/0.829426</f>
        <v>38459609.416632712</v>
      </c>
      <c r="I61" s="5">
        <f>+G61-H61</f>
        <v>-4059609.4166327119</v>
      </c>
      <c r="J61" s="5">
        <v>3000000</v>
      </c>
      <c r="K61" s="5">
        <v>3140000</v>
      </c>
      <c r="L61" s="5">
        <v>3440000</v>
      </c>
      <c r="M61" s="7">
        <v>1226.9000000000001</v>
      </c>
      <c r="N61" s="5">
        <v>31900000</v>
      </c>
      <c r="O61" s="5">
        <v>34900000</v>
      </c>
      <c r="P61" s="3">
        <v>0.97916666666666663</v>
      </c>
    </row>
    <row r="62" spans="1:16" x14ac:dyDescent="0.25">
      <c r="A62" t="s">
        <v>56</v>
      </c>
      <c r="B62" s="2">
        <v>42460</v>
      </c>
      <c r="C62" t="str">
        <f>+"Tuáº§n "&amp;WEEKNUM(B62)</f>
        <v>Tuáº§n 14</v>
      </c>
      <c r="D62" t="s">
        <v>20</v>
      </c>
      <c r="E62" t="s">
        <v>17</v>
      </c>
      <c r="F62" s="5">
        <v>31600000</v>
      </c>
      <c r="G62" s="5">
        <v>34600000</v>
      </c>
      <c r="H62" s="5">
        <f>+(M62*26000)/0.829426</f>
        <v>38688442.368577786</v>
      </c>
      <c r="I62" s="5">
        <f>+G62-H62</f>
        <v>-4088442.3685777858</v>
      </c>
      <c r="J62" s="5">
        <v>3000000</v>
      </c>
      <c r="K62" s="5">
        <v>3160000</v>
      </c>
      <c r="L62" s="5">
        <v>3460000</v>
      </c>
      <c r="M62" s="7">
        <v>1234.2</v>
      </c>
      <c r="N62" s="5">
        <v>32100000</v>
      </c>
      <c r="O62" s="5">
        <v>35100000</v>
      </c>
      <c r="P62" s="3">
        <v>0.97916666666666663</v>
      </c>
    </row>
    <row r="63" spans="1:16" x14ac:dyDescent="0.25">
      <c r="A63" s="2">
        <v>42373</v>
      </c>
      <c r="B63" s="2">
        <v>42461</v>
      </c>
      <c r="C63" t="str">
        <f>+"Tuáº§n "&amp;WEEKNUM(B63)</f>
        <v>Tuáº§n 14</v>
      </c>
      <c r="D63" t="s">
        <v>21</v>
      </c>
      <c r="E63" t="s">
        <v>17</v>
      </c>
      <c r="F63" s="5">
        <v>31300000</v>
      </c>
      <c r="G63" s="5">
        <v>34300000</v>
      </c>
      <c r="H63" s="5">
        <f>+(M63*26000)/0.829426</f>
        <v>38312278.61195574</v>
      </c>
      <c r="I63" s="5">
        <f>+G63-H63</f>
        <v>-4012278.6119557396</v>
      </c>
      <c r="J63" s="5">
        <v>3000000</v>
      </c>
      <c r="K63" s="5">
        <v>3130000</v>
      </c>
      <c r="L63" s="5">
        <v>3430000</v>
      </c>
      <c r="M63" s="7">
        <v>1222.2</v>
      </c>
      <c r="N63" s="5">
        <v>31800000</v>
      </c>
      <c r="O63" s="5">
        <v>34800000</v>
      </c>
      <c r="P63" s="3">
        <v>0.97916666666666663</v>
      </c>
    </row>
    <row r="64" spans="1:16" x14ac:dyDescent="0.25">
      <c r="A64" s="2">
        <v>42464</v>
      </c>
      <c r="B64" s="2">
        <v>42464</v>
      </c>
      <c r="C64" t="str">
        <f>+"Tuáº§n "&amp;WEEKNUM(B64)</f>
        <v>Tuáº§n 15</v>
      </c>
      <c r="D64" t="s">
        <v>16</v>
      </c>
      <c r="E64" t="s">
        <v>17</v>
      </c>
      <c r="F64" s="5">
        <v>31100000</v>
      </c>
      <c r="G64" s="5">
        <v>34100000</v>
      </c>
      <c r="H64" s="5">
        <f>+(M64*26000)/0.829426</f>
        <v>38180621.29713802</v>
      </c>
      <c r="I64" s="5">
        <f>+G64-H64</f>
        <v>-4080621.2971380204</v>
      </c>
      <c r="J64" s="5">
        <v>3000000</v>
      </c>
      <c r="K64" s="5">
        <v>3110000</v>
      </c>
      <c r="L64" s="5">
        <v>3410000</v>
      </c>
      <c r="M64" s="7">
        <v>1218</v>
      </c>
      <c r="N64" s="5">
        <v>31600000</v>
      </c>
      <c r="O64" s="5">
        <v>34600000</v>
      </c>
      <c r="P64" s="3">
        <v>0.97916666666666663</v>
      </c>
    </row>
    <row r="65" spans="1:16" x14ac:dyDescent="0.25">
      <c r="A65" s="2">
        <v>42494</v>
      </c>
      <c r="B65" s="2">
        <v>42465</v>
      </c>
      <c r="C65" t="str">
        <f>+"Tuáº§n "&amp;WEEKNUM(B65)</f>
        <v>Tuáº§n 15</v>
      </c>
      <c r="D65" t="s">
        <v>18</v>
      </c>
      <c r="E65" t="s">
        <v>17</v>
      </c>
      <c r="F65" s="5">
        <v>31400000</v>
      </c>
      <c r="G65" s="5">
        <v>34400000</v>
      </c>
      <c r="H65" s="5">
        <f>+(M65*26000)/0.829426</f>
        <v>38506629.886210471</v>
      </c>
      <c r="I65" s="5">
        <f>+G65-H65</f>
        <v>-4106629.8862104714</v>
      </c>
      <c r="J65" s="5">
        <v>3000000</v>
      </c>
      <c r="K65" s="5">
        <v>3140000</v>
      </c>
      <c r="L65" s="5">
        <v>3440000</v>
      </c>
      <c r="M65" s="7">
        <v>1228.4000000000001</v>
      </c>
      <c r="N65" s="5">
        <v>31900000</v>
      </c>
      <c r="O65" s="5">
        <v>34900000</v>
      </c>
      <c r="P65" s="3">
        <v>0.97916666666666663</v>
      </c>
    </row>
    <row r="66" spans="1:16" x14ac:dyDescent="0.25">
      <c r="A66" s="2">
        <v>42525</v>
      </c>
      <c r="B66" s="2">
        <v>42466</v>
      </c>
      <c r="C66" t="str">
        <f>+"Tuáº§n "&amp;WEEKNUM(B66)</f>
        <v>Tuáº§n 15</v>
      </c>
      <c r="D66" t="s">
        <v>19</v>
      </c>
      <c r="E66" t="s">
        <v>17</v>
      </c>
      <c r="F66" s="5">
        <v>31300000</v>
      </c>
      <c r="G66" s="5">
        <v>34300000</v>
      </c>
      <c r="H66" s="5">
        <f>+(M66*26000)/0.829426</f>
        <v>38321682.705871291</v>
      </c>
      <c r="I66" s="5">
        <f>+G66-H66</f>
        <v>-4021682.7058712915</v>
      </c>
      <c r="J66" s="5">
        <v>3000000</v>
      </c>
      <c r="K66" s="5">
        <v>3130000</v>
      </c>
      <c r="L66" s="5">
        <v>3430000</v>
      </c>
      <c r="M66" s="7">
        <v>1222.5</v>
      </c>
      <c r="N66" s="5">
        <v>31800000</v>
      </c>
      <c r="O66" s="5">
        <v>34800000</v>
      </c>
      <c r="P66" s="3">
        <v>0.97916666666666663</v>
      </c>
    </row>
    <row r="67" spans="1:16" x14ac:dyDescent="0.25">
      <c r="A67" s="2">
        <v>42555</v>
      </c>
      <c r="B67" s="2">
        <v>42467</v>
      </c>
      <c r="C67" t="str">
        <f>+"Tuáº§n "&amp;WEEKNUM(B67)</f>
        <v>Tuáº§n 15</v>
      </c>
      <c r="D67" t="s">
        <v>20</v>
      </c>
      <c r="E67" t="s">
        <v>17</v>
      </c>
      <c r="F67" s="5">
        <v>31600000</v>
      </c>
      <c r="G67" s="5">
        <v>34600000</v>
      </c>
      <c r="H67" s="5">
        <f>+(M67*26000)/0.829426</f>
        <v>38751136.328014798</v>
      </c>
      <c r="I67" s="5">
        <f>+G67-H67</f>
        <v>-4151136.3280147985</v>
      </c>
      <c r="J67" s="5">
        <v>3000000</v>
      </c>
      <c r="K67" s="5">
        <v>3160000</v>
      </c>
      <c r="L67" s="5">
        <v>3460000</v>
      </c>
      <c r="M67" s="7">
        <v>1236.2</v>
      </c>
      <c r="N67" s="5">
        <v>32100000</v>
      </c>
      <c r="O67" s="5">
        <v>35100000</v>
      </c>
      <c r="P67" s="3">
        <v>0.97916666666666663</v>
      </c>
    </row>
    <row r="68" spans="1:16" x14ac:dyDescent="0.25">
      <c r="A68" s="2">
        <v>42586</v>
      </c>
      <c r="B68" s="2">
        <v>42468</v>
      </c>
      <c r="C68" t="str">
        <f>+"Tuáº§n "&amp;WEEKNUM(B68)</f>
        <v>Tuáº§n 15</v>
      </c>
      <c r="D68" t="s">
        <v>21</v>
      </c>
      <c r="E68" t="s">
        <v>17</v>
      </c>
      <c r="F68" s="5">
        <v>31800000</v>
      </c>
      <c r="G68" s="5">
        <v>34800000</v>
      </c>
      <c r="H68" s="5">
        <f>+(M68*26000)/0.829426</f>
        <v>38948622.300241373</v>
      </c>
      <c r="I68" s="5">
        <f>+G68-H68</f>
        <v>-4148622.3002413735</v>
      </c>
      <c r="J68" s="5">
        <v>3000000</v>
      </c>
      <c r="K68" s="5">
        <v>3180000</v>
      </c>
      <c r="L68" s="5">
        <v>3480000</v>
      </c>
      <c r="M68" s="7">
        <v>1242.5</v>
      </c>
      <c r="N68" s="5">
        <v>32300000</v>
      </c>
      <c r="O68" s="5">
        <v>35300000</v>
      </c>
      <c r="P68" s="3">
        <v>0.97916666666666663</v>
      </c>
    </row>
    <row r="69" spans="1:16" x14ac:dyDescent="0.25">
      <c r="A69" s="2">
        <v>42678</v>
      </c>
      <c r="B69" s="2">
        <v>42471</v>
      </c>
      <c r="C69" t="str">
        <f>+"Tuáº§n "&amp;WEEKNUM(B69)</f>
        <v>Tuáº§n 16</v>
      </c>
      <c r="D69" t="s">
        <v>16</v>
      </c>
      <c r="E69" t="s">
        <v>17</v>
      </c>
      <c r="F69" s="5">
        <v>32200000</v>
      </c>
      <c r="G69" s="5">
        <v>35200000</v>
      </c>
      <c r="H69" s="5">
        <f>+(M69*26000)/0.829426</f>
        <v>39393749.412244134</v>
      </c>
      <c r="I69" s="5">
        <f>+G69-H69</f>
        <v>-4193749.4122441337</v>
      </c>
      <c r="J69" s="5">
        <v>3000000</v>
      </c>
      <c r="K69" s="5">
        <v>3220000</v>
      </c>
      <c r="L69" s="5">
        <v>3520000</v>
      </c>
      <c r="M69" s="7">
        <v>1256.7</v>
      </c>
      <c r="N69" s="5">
        <v>32700000</v>
      </c>
      <c r="O69" s="5">
        <v>35700000</v>
      </c>
      <c r="P69" s="3">
        <v>0.97916666666666663</v>
      </c>
    </row>
    <row r="70" spans="1:16" x14ac:dyDescent="0.25">
      <c r="A70" s="2">
        <v>42708</v>
      </c>
      <c r="B70" s="2">
        <v>42472</v>
      </c>
      <c r="C70" t="str">
        <f>+"Tuáº§n "&amp;WEEKNUM(B70)</f>
        <v>Tuáº§n 16</v>
      </c>
      <c r="D70" t="s">
        <v>18</v>
      </c>
      <c r="E70" t="s">
        <v>17</v>
      </c>
      <c r="F70" s="5">
        <v>32300000</v>
      </c>
      <c r="G70" s="5">
        <v>35300000</v>
      </c>
      <c r="H70" s="5">
        <f>+(M70*26000)/0.829426</f>
        <v>39478386.257484093</v>
      </c>
      <c r="I70" s="5">
        <f>+G70-H70</f>
        <v>-4178386.2574840933</v>
      </c>
      <c r="J70" s="5">
        <v>3000000</v>
      </c>
      <c r="K70" s="5">
        <v>3230000</v>
      </c>
      <c r="L70" s="5">
        <v>3530000</v>
      </c>
      <c r="M70" s="7">
        <v>1259.4000000000001</v>
      </c>
      <c r="N70" s="5">
        <v>32800000</v>
      </c>
      <c r="O70" s="5">
        <v>35800000</v>
      </c>
      <c r="P70" s="3">
        <v>0.97916666666666663</v>
      </c>
    </row>
    <row r="71" spans="1:16" x14ac:dyDescent="0.25">
      <c r="A71" t="s">
        <v>57</v>
      </c>
      <c r="B71" s="2">
        <v>42473</v>
      </c>
      <c r="C71" t="str">
        <f>+"Tuáº§n "&amp;WEEKNUM(B71)</f>
        <v>Tuáº§n 16</v>
      </c>
      <c r="D71" t="s">
        <v>19</v>
      </c>
      <c r="E71" t="s">
        <v>17</v>
      </c>
      <c r="F71" s="5">
        <v>31900000</v>
      </c>
      <c r="G71" s="5">
        <v>34900000</v>
      </c>
      <c r="H71" s="5">
        <f>+(M71*26000)/0.829426</f>
        <v>39083414.313030943</v>
      </c>
      <c r="I71" s="5">
        <f>+G71-H71</f>
        <v>-4183414.3130309433</v>
      </c>
      <c r="J71" s="5">
        <v>3000000</v>
      </c>
      <c r="K71" s="5">
        <v>3190000</v>
      </c>
      <c r="L71" s="5">
        <v>3490000</v>
      </c>
      <c r="M71" s="7">
        <v>1246.8</v>
      </c>
      <c r="N71" s="5">
        <v>32400000</v>
      </c>
      <c r="O71" s="5">
        <v>35400000</v>
      </c>
      <c r="P71" s="3">
        <v>0.97916666666666663</v>
      </c>
    </row>
    <row r="72" spans="1:16" x14ac:dyDescent="0.25">
      <c r="A72" t="s">
        <v>58</v>
      </c>
      <c r="B72" s="2">
        <v>42474</v>
      </c>
      <c r="C72" t="str">
        <f>+"Tuáº§n "&amp;WEEKNUM(B72)</f>
        <v>Tuáº§n 16</v>
      </c>
      <c r="D72" t="s">
        <v>20</v>
      </c>
      <c r="E72" t="s">
        <v>17</v>
      </c>
      <c r="F72" s="5">
        <v>31300000</v>
      </c>
      <c r="G72" s="5">
        <v>34300000</v>
      </c>
      <c r="H72" s="5">
        <f>+(M72*26000)/0.829426</f>
        <v>38400050.15516755</v>
      </c>
      <c r="I72" s="5">
        <f>+G72-H72</f>
        <v>-4100050.1551675498</v>
      </c>
      <c r="J72" s="5">
        <v>3000000</v>
      </c>
      <c r="K72" s="5">
        <v>3130000</v>
      </c>
      <c r="L72" s="5">
        <v>3430000</v>
      </c>
      <c r="M72" s="7">
        <v>1225</v>
      </c>
      <c r="N72" s="5">
        <v>31800000</v>
      </c>
      <c r="O72" s="5">
        <v>34800000</v>
      </c>
      <c r="P72" s="3">
        <v>0.97916666666666663</v>
      </c>
    </row>
    <row r="73" spans="1:16" x14ac:dyDescent="0.25">
      <c r="A73" t="s">
        <v>59</v>
      </c>
      <c r="B73" s="2">
        <v>42475</v>
      </c>
      <c r="C73" t="str">
        <f>+"Tuáº§n "&amp;WEEKNUM(B73)</f>
        <v>Tuáº§n 16</v>
      </c>
      <c r="D73" t="s">
        <v>21</v>
      </c>
      <c r="E73" t="s">
        <v>17</v>
      </c>
      <c r="F73" s="5">
        <v>31600000</v>
      </c>
      <c r="G73" s="5">
        <v>34600000</v>
      </c>
      <c r="H73" s="5">
        <f>+(M73*26000)/0.829426</f>
        <v>38653960.690887429</v>
      </c>
      <c r="I73" s="5">
        <f>+G73-H73</f>
        <v>-4053960.6908874288</v>
      </c>
      <c r="J73" s="5">
        <v>3000000</v>
      </c>
      <c r="K73" s="5">
        <v>3160000</v>
      </c>
      <c r="L73" s="5">
        <v>3460000</v>
      </c>
      <c r="M73" s="7">
        <v>1233.0999999999999</v>
      </c>
      <c r="N73" s="5">
        <v>32100000</v>
      </c>
      <c r="O73" s="5">
        <v>35100000</v>
      </c>
      <c r="P73" s="3">
        <v>0.97916666666666663</v>
      </c>
    </row>
    <row r="74" spans="1:16" x14ac:dyDescent="0.25">
      <c r="A74" t="s">
        <v>60</v>
      </c>
      <c r="B74" s="2">
        <v>42478</v>
      </c>
      <c r="C74" t="str">
        <f>+"Tuáº§n "&amp;WEEKNUM(B74)</f>
        <v>Tuáº§n 17</v>
      </c>
      <c r="D74" t="s">
        <v>16</v>
      </c>
      <c r="E74" t="s">
        <v>17</v>
      </c>
      <c r="F74" s="5">
        <v>31600000</v>
      </c>
      <c r="G74" s="5">
        <v>34600000</v>
      </c>
      <c r="H74" s="5">
        <f>+(M74*26000)/0.829426</f>
        <v>38669634.180746682</v>
      </c>
      <c r="I74" s="5">
        <f>+G74-H74</f>
        <v>-4069634.180746682</v>
      </c>
      <c r="J74" s="5">
        <v>3000000</v>
      </c>
      <c r="K74" s="5">
        <v>3160000</v>
      </c>
      <c r="L74" s="5">
        <v>3460000</v>
      </c>
      <c r="M74" s="7">
        <v>1233.5999999999999</v>
      </c>
      <c r="N74" s="5">
        <v>32100000</v>
      </c>
      <c r="O74" s="5">
        <v>35100000</v>
      </c>
      <c r="P74" s="3">
        <v>0.97916666666666663</v>
      </c>
    </row>
    <row r="75" spans="1:16" x14ac:dyDescent="0.25">
      <c r="A75" t="s">
        <v>61</v>
      </c>
      <c r="B75" s="2">
        <v>42479</v>
      </c>
      <c r="C75" t="str">
        <f>+"Tuáº§n "&amp;WEEKNUM(B75)</f>
        <v>Tuáº§n 17</v>
      </c>
      <c r="D75" t="s">
        <v>18</v>
      </c>
      <c r="E75" t="s">
        <v>17</v>
      </c>
      <c r="F75" s="5">
        <v>32100000</v>
      </c>
      <c r="G75" s="5">
        <v>35100000</v>
      </c>
      <c r="H75" s="5">
        <f>+(M75*26000)/0.829426</f>
        <v>39277765.587285668</v>
      </c>
      <c r="I75" s="5">
        <f>+G75-H75</f>
        <v>-4177765.5872856677</v>
      </c>
      <c r="J75" s="5">
        <v>3000000</v>
      </c>
      <c r="K75" s="5">
        <v>3210000</v>
      </c>
      <c r="L75" s="5">
        <v>3510000</v>
      </c>
      <c r="M75" s="7">
        <v>1253</v>
      </c>
      <c r="N75" s="5">
        <v>32600000</v>
      </c>
      <c r="O75" s="5">
        <v>35600000</v>
      </c>
      <c r="P75" s="3">
        <v>0.97916666666666663</v>
      </c>
    </row>
    <row r="76" spans="1:16" x14ac:dyDescent="0.25">
      <c r="A76" t="s">
        <v>62</v>
      </c>
      <c r="B76" s="2">
        <v>42480</v>
      </c>
      <c r="C76" t="str">
        <f>+"Tuáº§n "&amp;WEEKNUM(B76)</f>
        <v>Tuáº§n 17</v>
      </c>
      <c r="D76" t="s">
        <v>19</v>
      </c>
      <c r="E76" t="s">
        <v>17</v>
      </c>
      <c r="F76" s="5">
        <v>32100000</v>
      </c>
      <c r="G76" s="5">
        <v>35100000</v>
      </c>
      <c r="H76" s="5">
        <f>+(M76*26000)/0.829426</f>
        <v>39284034.983229369</v>
      </c>
      <c r="I76" s="5">
        <f>+G76-H76</f>
        <v>-4184034.9832293689</v>
      </c>
      <c r="J76" s="5">
        <v>3000000</v>
      </c>
      <c r="K76" s="5">
        <v>3210000</v>
      </c>
      <c r="L76" s="5">
        <v>3510000</v>
      </c>
      <c r="M76" s="7">
        <v>1253.2</v>
      </c>
      <c r="N76" s="5">
        <v>32600000</v>
      </c>
      <c r="O76" s="5">
        <v>35600000</v>
      </c>
      <c r="P76" s="3">
        <v>0.97916666666666663</v>
      </c>
    </row>
    <row r="77" spans="1:16" x14ac:dyDescent="0.25">
      <c r="A77" t="s">
        <v>63</v>
      </c>
      <c r="B77" s="2">
        <v>42481</v>
      </c>
      <c r="C77" t="str">
        <f>+"Tuáº§n "&amp;WEEKNUM(B77)</f>
        <v>Tuáº§n 17</v>
      </c>
      <c r="D77" t="s">
        <v>20</v>
      </c>
      <c r="E77" t="s">
        <v>17</v>
      </c>
      <c r="F77" s="5">
        <v>32000000</v>
      </c>
      <c r="G77" s="5">
        <v>35000000</v>
      </c>
      <c r="H77" s="5">
        <f>+(M77*26000)/0.829426</f>
        <v>39152377.66841165</v>
      </c>
      <c r="I77" s="5">
        <f>+G77-H77</f>
        <v>-4152377.6684116498</v>
      </c>
      <c r="J77" s="5">
        <v>3000000</v>
      </c>
      <c r="K77" s="5">
        <v>3200000</v>
      </c>
      <c r="L77" s="5">
        <v>3500000</v>
      </c>
      <c r="M77" s="7">
        <v>1249</v>
      </c>
      <c r="N77" s="5">
        <v>32500000</v>
      </c>
      <c r="O77" s="5">
        <v>35500000</v>
      </c>
      <c r="P77" s="3">
        <v>0.97916666666666663</v>
      </c>
    </row>
    <row r="78" spans="1:16" x14ac:dyDescent="0.25">
      <c r="A78" t="s">
        <v>64</v>
      </c>
      <c r="B78" s="2">
        <v>42482</v>
      </c>
      <c r="C78" t="str">
        <f>+"Tuáº§n "&amp;WEEKNUM(B78)</f>
        <v>Tuáº§n 17</v>
      </c>
      <c r="D78" t="s">
        <v>21</v>
      </c>
      <c r="E78" t="s">
        <v>17</v>
      </c>
      <c r="F78" s="5">
        <v>31400000</v>
      </c>
      <c r="G78" s="5">
        <v>34400000</v>
      </c>
      <c r="H78" s="5">
        <f>+(M78*26000)/0.829426</f>
        <v>38516033.980126016</v>
      </c>
      <c r="I78" s="5">
        <f>+G78-H78</f>
        <v>-4116033.9801260158</v>
      </c>
      <c r="J78" s="5">
        <v>3000000</v>
      </c>
      <c r="K78" s="5">
        <v>3140000</v>
      </c>
      <c r="L78" s="5">
        <v>3440000</v>
      </c>
      <c r="M78" s="7">
        <v>1228.7</v>
      </c>
      <c r="N78" s="5">
        <v>31900000</v>
      </c>
      <c r="O78" s="5">
        <v>34900000</v>
      </c>
      <c r="P78" s="3">
        <v>0.97916666666666663</v>
      </c>
    </row>
    <row r="79" spans="1:16" x14ac:dyDescent="0.25">
      <c r="A79" t="s">
        <v>65</v>
      </c>
      <c r="B79" s="2">
        <v>42485</v>
      </c>
      <c r="C79" t="str">
        <f>+"Tuáº§n "&amp;WEEKNUM(B79)</f>
        <v>Tuáº§n 18</v>
      </c>
      <c r="D79" t="s">
        <v>16</v>
      </c>
      <c r="E79" t="s">
        <v>17</v>
      </c>
      <c r="F79" s="5">
        <v>31700000</v>
      </c>
      <c r="G79" s="5">
        <v>34700000</v>
      </c>
      <c r="H79" s="5">
        <f>+(M79*26000)/0.829426</f>
        <v>38835773.173254758</v>
      </c>
      <c r="I79" s="5">
        <f>+G79-H79</f>
        <v>-4135773.1732547581</v>
      </c>
      <c r="J79" s="5">
        <v>3000000</v>
      </c>
      <c r="K79" s="5">
        <v>3170000</v>
      </c>
      <c r="L79" s="5">
        <v>3470000</v>
      </c>
      <c r="M79" s="7">
        <v>1238.9000000000001</v>
      </c>
      <c r="N79" s="5">
        <v>32200000</v>
      </c>
      <c r="O79" s="5">
        <v>35200000</v>
      </c>
      <c r="P79" s="3">
        <v>0.97916666666666663</v>
      </c>
    </row>
    <row r="80" spans="1:16" x14ac:dyDescent="0.25">
      <c r="A80" t="s">
        <v>66</v>
      </c>
      <c r="B80" s="2">
        <v>42486</v>
      </c>
      <c r="C80" t="str">
        <f>+"Tuáº§n "&amp;WEEKNUM(B80)</f>
        <v>Tuáº§n 18</v>
      </c>
      <c r="D80" t="s">
        <v>18</v>
      </c>
      <c r="E80" t="s">
        <v>17</v>
      </c>
      <c r="F80" s="5">
        <v>31800000</v>
      </c>
      <c r="G80" s="5">
        <v>34800000</v>
      </c>
      <c r="H80" s="5">
        <f>+(M80*26000)/0.829426</f>
        <v>38939218.206325822</v>
      </c>
      <c r="I80" s="5">
        <f>+G80-H80</f>
        <v>-4139218.2063258216</v>
      </c>
      <c r="J80" s="5">
        <v>3000000</v>
      </c>
      <c r="K80" s="5">
        <v>3180000</v>
      </c>
      <c r="L80" s="5">
        <v>3480000</v>
      </c>
      <c r="M80" s="7">
        <v>1242.2</v>
      </c>
      <c r="N80" s="5">
        <v>32300000</v>
      </c>
      <c r="O80" s="5">
        <v>35300000</v>
      </c>
      <c r="P80" s="3">
        <v>0.97916666666666663</v>
      </c>
    </row>
    <row r="81" spans="1:16" x14ac:dyDescent="0.25">
      <c r="A81" t="s">
        <v>67</v>
      </c>
      <c r="B81" s="2">
        <v>42487</v>
      </c>
      <c r="C81" t="str">
        <f>+"Tuáº§n "&amp;WEEKNUM(B81)</f>
        <v>Tuáº§n 18</v>
      </c>
      <c r="D81" t="s">
        <v>19</v>
      </c>
      <c r="E81" t="s">
        <v>17</v>
      </c>
      <c r="F81" s="5">
        <v>32000000</v>
      </c>
      <c r="G81" s="5">
        <v>35000000</v>
      </c>
      <c r="H81" s="5">
        <f>+(M81*26000)/0.829426</f>
        <v>39158647.064355351</v>
      </c>
      <c r="I81" s="5">
        <f>+G81-H81</f>
        <v>-4158647.064355351</v>
      </c>
      <c r="J81" s="5">
        <v>3000000</v>
      </c>
      <c r="K81" s="5">
        <v>3200000</v>
      </c>
      <c r="L81" s="5">
        <v>3500000</v>
      </c>
      <c r="M81" s="7">
        <v>1249.2</v>
      </c>
      <c r="N81" s="5">
        <v>32500000</v>
      </c>
      <c r="O81" s="5">
        <v>35500000</v>
      </c>
      <c r="P81" s="3">
        <v>0.97916666666666663</v>
      </c>
    </row>
    <row r="82" spans="1:16" x14ac:dyDescent="0.25">
      <c r="A82" t="s">
        <v>68</v>
      </c>
      <c r="B82" s="2">
        <v>42488</v>
      </c>
      <c r="C82" t="str">
        <f>+"Tuáº§n "&amp;WEEKNUM(B82)</f>
        <v>Tuáº§n 18</v>
      </c>
      <c r="D82" t="s">
        <v>20</v>
      </c>
      <c r="E82" t="s">
        <v>17</v>
      </c>
      <c r="F82" s="5">
        <v>32500000</v>
      </c>
      <c r="G82" s="5">
        <v>35500000</v>
      </c>
      <c r="H82" s="5">
        <f>+(M82*26000)/0.829426</f>
        <v>39669602.833766967</v>
      </c>
      <c r="I82" s="5">
        <f>+G82-H82</f>
        <v>-4169602.8337669671</v>
      </c>
      <c r="J82" s="5">
        <v>3000000</v>
      </c>
      <c r="K82" s="5">
        <v>3250000</v>
      </c>
      <c r="L82" s="5">
        <v>3550000</v>
      </c>
      <c r="M82" s="7">
        <v>1265.5</v>
      </c>
      <c r="N82" s="5">
        <v>33000000</v>
      </c>
      <c r="O82" s="5">
        <v>36000000</v>
      </c>
      <c r="P82" s="3">
        <v>0.97916666666666663</v>
      </c>
    </row>
    <row r="83" spans="1:16" x14ac:dyDescent="0.25">
      <c r="A83" t="s">
        <v>69</v>
      </c>
      <c r="B83" s="2">
        <v>42489</v>
      </c>
      <c r="C83" t="str">
        <f>+"Tuáº§n "&amp;WEEKNUM(B83)</f>
        <v>Tuáº§n 18</v>
      </c>
      <c r="D83" t="s">
        <v>21</v>
      </c>
      <c r="E83" t="s">
        <v>17</v>
      </c>
      <c r="F83" s="5">
        <v>33100000</v>
      </c>
      <c r="G83" s="5">
        <v>36100000</v>
      </c>
      <c r="H83" s="5">
        <f>+(M83*26000)/0.829426</f>
        <v>40412526.253095515</v>
      </c>
      <c r="I83" s="5">
        <f>+G83-H83</f>
        <v>-4312526.2530955151</v>
      </c>
      <c r="J83" s="5">
        <v>3000000</v>
      </c>
      <c r="K83" s="5">
        <v>3310000</v>
      </c>
      <c r="L83" s="5">
        <v>3610000</v>
      </c>
      <c r="M83" s="7">
        <v>1289.2</v>
      </c>
      <c r="N83" s="5">
        <v>33600000</v>
      </c>
      <c r="O83" s="5">
        <v>36600000</v>
      </c>
      <c r="P83" s="3">
        <v>0.97916666666666663</v>
      </c>
    </row>
    <row r="84" spans="1:16" x14ac:dyDescent="0.25">
      <c r="A84" s="2">
        <v>42405</v>
      </c>
      <c r="B84" s="2">
        <v>42492</v>
      </c>
      <c r="C84" t="str">
        <f>+"Tuáº§n "&amp;WEEKNUM(B84)</f>
        <v>Tuáº§n 19</v>
      </c>
      <c r="D84" t="s">
        <v>16</v>
      </c>
      <c r="E84" t="s">
        <v>17</v>
      </c>
      <c r="F84" s="5">
        <v>33300000</v>
      </c>
      <c r="G84" s="5">
        <v>36300000</v>
      </c>
      <c r="H84" s="5">
        <f>+(M84*26000)/0.829426</f>
        <v>40584934.641547285</v>
      </c>
      <c r="I84" s="5">
        <f>+G84-H84</f>
        <v>-4284934.641547285</v>
      </c>
      <c r="J84" s="5">
        <v>3000000</v>
      </c>
      <c r="K84" s="5">
        <v>3330000</v>
      </c>
      <c r="L84" s="5">
        <v>3630000</v>
      </c>
      <c r="M84" s="7">
        <v>1294.7</v>
      </c>
      <c r="N84" s="5">
        <v>33800000</v>
      </c>
      <c r="O84" s="5">
        <v>36800000</v>
      </c>
      <c r="P84" s="3">
        <v>0.97916666666666663</v>
      </c>
    </row>
    <row r="85" spans="1:16" x14ac:dyDescent="0.25">
      <c r="A85" s="2">
        <v>42434</v>
      </c>
      <c r="B85" s="2">
        <v>42493</v>
      </c>
      <c r="C85" t="str">
        <f>+"Tuáº§n "&amp;WEEKNUM(B85)</f>
        <v>Tuáº§n 19</v>
      </c>
      <c r="D85" t="s">
        <v>18</v>
      </c>
      <c r="E85" t="s">
        <v>17</v>
      </c>
      <c r="F85" s="5">
        <v>33200000</v>
      </c>
      <c r="G85" s="5">
        <v>36200000</v>
      </c>
      <c r="H85" s="5">
        <f>+(M85*26000)/0.829426</f>
        <v>40459546.722673267</v>
      </c>
      <c r="I85" s="5">
        <f>+G85-H85</f>
        <v>-4259546.7226732671</v>
      </c>
      <c r="J85" s="5">
        <v>3000000</v>
      </c>
      <c r="K85" s="5">
        <v>3320000</v>
      </c>
      <c r="L85" s="5">
        <v>3620000</v>
      </c>
      <c r="M85" s="7">
        <v>1290.7</v>
      </c>
      <c r="N85" s="5">
        <v>33700000</v>
      </c>
      <c r="O85" s="5">
        <v>36700000</v>
      </c>
      <c r="P85" s="3">
        <v>0.97916666666666663</v>
      </c>
    </row>
    <row r="86" spans="1:16" x14ac:dyDescent="0.25">
      <c r="A86" s="2">
        <v>42465</v>
      </c>
      <c r="B86" s="2">
        <v>42494</v>
      </c>
      <c r="C86" t="str">
        <f>+"Tuáº§n "&amp;WEEKNUM(B86)</f>
        <v>Tuáº§n 19</v>
      </c>
      <c r="D86" t="s">
        <v>19</v>
      </c>
      <c r="E86" t="s">
        <v>17</v>
      </c>
      <c r="F86" s="5">
        <v>32700000</v>
      </c>
      <c r="G86" s="5">
        <v>35700000</v>
      </c>
      <c r="H86" s="5">
        <f>+(M86*26000)/0.829426</f>
        <v>39914109.275571302</v>
      </c>
      <c r="I86" s="5">
        <f>+G86-H86</f>
        <v>-4214109.2755713016</v>
      </c>
      <c r="J86" s="5">
        <v>3000000</v>
      </c>
      <c r="K86" s="5">
        <v>3270000</v>
      </c>
      <c r="L86" s="5">
        <v>3570000</v>
      </c>
      <c r="M86" s="7">
        <v>1273.3</v>
      </c>
      <c r="N86" s="5">
        <v>33200000</v>
      </c>
      <c r="O86" s="5">
        <v>36200000</v>
      </c>
      <c r="P86" s="3">
        <v>0.97916666666666663</v>
      </c>
    </row>
    <row r="87" spans="1:16" x14ac:dyDescent="0.25">
      <c r="A87" s="2">
        <v>42495</v>
      </c>
      <c r="B87" s="2">
        <v>42495</v>
      </c>
      <c r="C87" t="str">
        <f>+"Tuáº§n "&amp;WEEKNUM(B87)</f>
        <v>Tuáº§n 19</v>
      </c>
      <c r="D87" t="s">
        <v>20</v>
      </c>
      <c r="E87" t="s">
        <v>17</v>
      </c>
      <c r="F87" s="5">
        <v>32600000</v>
      </c>
      <c r="G87" s="5">
        <v>35600000</v>
      </c>
      <c r="H87" s="5">
        <f>+(M87*26000)/0.829426</f>
        <v>39854550.014106147</v>
      </c>
      <c r="I87" s="5">
        <f>+G87-H87</f>
        <v>-4254550.014106147</v>
      </c>
      <c r="J87" s="5">
        <v>3000000</v>
      </c>
      <c r="K87" s="5">
        <v>3260000</v>
      </c>
      <c r="L87" s="5">
        <v>3560000</v>
      </c>
      <c r="M87" s="7">
        <v>1271.4000000000001</v>
      </c>
      <c r="N87" s="5">
        <v>33100000</v>
      </c>
      <c r="O87" s="5">
        <v>36100000</v>
      </c>
      <c r="P87" s="3">
        <v>0.97916666666666663</v>
      </c>
    </row>
    <row r="88" spans="1:16" x14ac:dyDescent="0.25">
      <c r="A88" s="2">
        <v>42526</v>
      </c>
      <c r="B88" s="2">
        <v>42496</v>
      </c>
      <c r="C88" t="str">
        <f>+"Tuáº§n "&amp;WEEKNUM(B88)</f>
        <v>Tuáº§n 19</v>
      </c>
      <c r="D88" t="s">
        <v>21</v>
      </c>
      <c r="E88" t="s">
        <v>17</v>
      </c>
      <c r="F88" s="5">
        <v>33200000</v>
      </c>
      <c r="G88" s="5">
        <v>36200000</v>
      </c>
      <c r="H88" s="5">
        <f>+(M88*26000)/0.829426</f>
        <v>40528510.078053981</v>
      </c>
      <c r="I88" s="5">
        <f>+G88-H88</f>
        <v>-4328510.0780539811</v>
      </c>
      <c r="J88" s="5">
        <v>3000000</v>
      </c>
      <c r="K88" s="5">
        <v>3320000</v>
      </c>
      <c r="L88" s="5">
        <v>3620000</v>
      </c>
      <c r="M88" s="7">
        <v>1292.9000000000001</v>
      </c>
      <c r="N88" s="5">
        <v>33700000</v>
      </c>
      <c r="O88" s="5">
        <v>36700000</v>
      </c>
      <c r="P88" s="3">
        <v>0.97916666666666663</v>
      </c>
    </row>
    <row r="89" spans="1:16" x14ac:dyDescent="0.25">
      <c r="A89" s="2">
        <v>42618</v>
      </c>
      <c r="B89" s="2">
        <v>42499</v>
      </c>
      <c r="C89" t="str">
        <f>+"Tuáº§n "&amp;WEEKNUM(B89)</f>
        <v>Tuáº§n 20</v>
      </c>
      <c r="D89" t="s">
        <v>16</v>
      </c>
      <c r="E89" t="s">
        <v>17</v>
      </c>
      <c r="F89" s="5">
        <v>32500000</v>
      </c>
      <c r="G89" s="5">
        <v>35500000</v>
      </c>
      <c r="H89" s="5">
        <f>+(M89*26000)/0.829426</f>
        <v>39672737.53173881</v>
      </c>
      <c r="I89" s="5">
        <f>+G89-H89</f>
        <v>-4172737.5317388102</v>
      </c>
      <c r="J89" s="5">
        <v>3000000</v>
      </c>
      <c r="K89" s="5">
        <v>3250000</v>
      </c>
      <c r="L89" s="5">
        <v>3550000</v>
      </c>
      <c r="M89" s="7">
        <v>1265.5999999999999</v>
      </c>
      <c r="N89" s="5">
        <v>33000000</v>
      </c>
      <c r="O89" s="5">
        <v>36000000</v>
      </c>
      <c r="P89" s="3">
        <v>0.97916666666666663</v>
      </c>
    </row>
    <row r="90" spans="1:16" x14ac:dyDescent="0.25">
      <c r="A90" s="2">
        <v>42648</v>
      </c>
      <c r="B90" s="2">
        <v>42500</v>
      </c>
      <c r="C90" t="str">
        <f>+"Tuáº§n "&amp;WEEKNUM(B90)</f>
        <v>Tuáº§n 20</v>
      </c>
      <c r="D90" t="s">
        <v>18</v>
      </c>
      <c r="E90" t="s">
        <v>17</v>
      </c>
      <c r="F90" s="5">
        <v>32400000</v>
      </c>
      <c r="G90" s="5">
        <v>35400000</v>
      </c>
      <c r="H90" s="5">
        <f>+(M90*26000)/0.829426</f>
        <v>39619447.666217364</v>
      </c>
      <c r="I90" s="5">
        <f>+G90-H90</f>
        <v>-4219447.6662173644</v>
      </c>
      <c r="J90" s="5">
        <v>3000000</v>
      </c>
      <c r="K90" s="5">
        <v>3240000</v>
      </c>
      <c r="L90" s="5">
        <v>3540000</v>
      </c>
      <c r="M90" s="7">
        <v>1263.9000000000001</v>
      </c>
      <c r="N90" s="5">
        <v>32900000</v>
      </c>
      <c r="O90" s="5">
        <v>35900000</v>
      </c>
      <c r="P90" s="3">
        <v>0.97916666666666663</v>
      </c>
    </row>
    <row r="91" spans="1:16" x14ac:dyDescent="0.25">
      <c r="A91" s="2">
        <v>42679</v>
      </c>
      <c r="B91" s="2">
        <v>42501</v>
      </c>
      <c r="C91" t="str">
        <f>+"Tuáº§n "&amp;WEEKNUM(B91)</f>
        <v>Tuáº§n 20</v>
      </c>
      <c r="D91" t="s">
        <v>19</v>
      </c>
      <c r="E91" t="s">
        <v>17</v>
      </c>
      <c r="F91" s="5">
        <v>32700000</v>
      </c>
      <c r="G91" s="5">
        <v>35700000</v>
      </c>
      <c r="H91" s="5">
        <f>+(M91*26000)/0.829426</f>
        <v>39954860.349205352</v>
      </c>
      <c r="I91" s="5">
        <f>+G91-H91</f>
        <v>-4254860.3492053524</v>
      </c>
      <c r="J91" s="5">
        <v>3000000</v>
      </c>
      <c r="K91" s="5">
        <v>3270000</v>
      </c>
      <c r="L91" s="5">
        <v>3570000</v>
      </c>
      <c r="M91" s="7">
        <v>1274.5999999999999</v>
      </c>
      <c r="N91" s="5">
        <v>33200000</v>
      </c>
      <c r="O91" s="5">
        <v>36200000</v>
      </c>
      <c r="P91" s="3">
        <v>0.97916666666666663</v>
      </c>
    </row>
    <row r="92" spans="1:16" x14ac:dyDescent="0.25">
      <c r="A92" s="2">
        <v>42709</v>
      </c>
      <c r="B92" s="2">
        <v>42502</v>
      </c>
      <c r="C92" t="str">
        <f>+"Tuáº§n "&amp;WEEKNUM(B92)</f>
        <v>Tuáº§n 20</v>
      </c>
      <c r="D92" t="s">
        <v>20</v>
      </c>
      <c r="E92" t="s">
        <v>17</v>
      </c>
      <c r="F92" s="5">
        <v>32600000</v>
      </c>
      <c r="G92" s="5">
        <v>35600000</v>
      </c>
      <c r="H92" s="5">
        <f>+(M92*26000)/0.829426</f>
        <v>39820068.33641579</v>
      </c>
      <c r="I92" s="5">
        <f>+G92-H92</f>
        <v>-4220068.33641579</v>
      </c>
      <c r="J92" s="5">
        <v>3000000</v>
      </c>
      <c r="K92" s="5">
        <v>3260000</v>
      </c>
      <c r="L92" s="5">
        <v>3560000</v>
      </c>
      <c r="M92" s="7">
        <v>1270.3</v>
      </c>
      <c r="N92" s="5">
        <v>33100000</v>
      </c>
      <c r="O92" s="5">
        <v>36100000</v>
      </c>
      <c r="P92" s="3">
        <v>0.97916666666666663</v>
      </c>
    </row>
    <row r="93" spans="1:16" x14ac:dyDescent="0.25">
      <c r="A93" t="s">
        <v>70</v>
      </c>
      <c r="B93" s="2">
        <v>42503</v>
      </c>
      <c r="C93" t="str">
        <f>+"Tuáº§n "&amp;WEEKNUM(B93)</f>
        <v>Tuáº§n 20</v>
      </c>
      <c r="D93" t="s">
        <v>21</v>
      </c>
      <c r="E93" t="s">
        <v>17</v>
      </c>
      <c r="F93" s="5">
        <v>32600000</v>
      </c>
      <c r="G93" s="5">
        <v>35600000</v>
      </c>
      <c r="H93" s="5">
        <f>+(M93*26000)/0.829426</f>
        <v>39870223.5039654</v>
      </c>
      <c r="I93" s="5">
        <f>+G93-H93</f>
        <v>-4270223.5039654002</v>
      </c>
      <c r="J93" s="5">
        <v>3000000</v>
      </c>
      <c r="K93" s="5">
        <v>3260000</v>
      </c>
      <c r="L93" s="5">
        <v>3560000</v>
      </c>
      <c r="M93" s="7">
        <v>1271.9000000000001</v>
      </c>
      <c r="N93" s="5">
        <v>33100000</v>
      </c>
      <c r="O93" s="5">
        <v>36100000</v>
      </c>
      <c r="P93" s="3">
        <v>0.97916666666666663</v>
      </c>
    </row>
    <row r="94" spans="1:16" x14ac:dyDescent="0.25">
      <c r="A94" t="s">
        <v>71</v>
      </c>
      <c r="B94" s="2">
        <v>42506</v>
      </c>
      <c r="C94" t="str">
        <f>+"Tuáº§n "&amp;WEEKNUM(B94)</f>
        <v>Tuáº§n 21</v>
      </c>
      <c r="D94" t="s">
        <v>16</v>
      </c>
      <c r="E94" t="s">
        <v>17</v>
      </c>
      <c r="F94" s="5">
        <v>32700000</v>
      </c>
      <c r="G94" s="5">
        <v>35700000</v>
      </c>
      <c r="H94" s="5">
        <f>+(M94*26000)/0.829426</f>
        <v>39917243.973543152</v>
      </c>
      <c r="I94" s="5">
        <f>+G94-H94</f>
        <v>-4217243.9735431522</v>
      </c>
      <c r="J94" s="5">
        <v>3000000</v>
      </c>
      <c r="K94" s="5">
        <v>3270000</v>
      </c>
      <c r="L94" s="5">
        <v>3570000</v>
      </c>
      <c r="M94" s="7">
        <v>1273.4000000000001</v>
      </c>
      <c r="N94" s="5">
        <v>33200000</v>
      </c>
      <c r="O94" s="5">
        <v>36200000</v>
      </c>
      <c r="P94" s="3">
        <v>0.97916666666666663</v>
      </c>
    </row>
    <row r="95" spans="1:16" x14ac:dyDescent="0.25">
      <c r="A95" t="s">
        <v>72</v>
      </c>
      <c r="B95" s="2">
        <v>42507</v>
      </c>
      <c r="C95" t="str">
        <f>+"Tuáº§n "&amp;WEEKNUM(B95)</f>
        <v>Tuáº§n 21</v>
      </c>
      <c r="D95" t="s">
        <v>18</v>
      </c>
      <c r="E95" t="s">
        <v>17</v>
      </c>
      <c r="F95" s="5">
        <v>32800000</v>
      </c>
      <c r="G95" s="5">
        <v>35800000</v>
      </c>
      <c r="H95" s="5">
        <f>+(M95*26000)/0.829426</f>
        <v>40005015.516754963</v>
      </c>
      <c r="I95" s="5">
        <f>+G95-H95</f>
        <v>-4205015.5167549625</v>
      </c>
      <c r="J95" s="5">
        <v>3000000</v>
      </c>
      <c r="K95" s="5">
        <v>3280000</v>
      </c>
      <c r="L95" s="5">
        <v>3580000</v>
      </c>
      <c r="M95" s="7">
        <v>1276.2</v>
      </c>
      <c r="N95" s="5">
        <v>33300000</v>
      </c>
      <c r="O95" s="5">
        <v>36300000</v>
      </c>
      <c r="P95" s="3">
        <v>0.97916666666666663</v>
      </c>
    </row>
    <row r="96" spans="1:16" x14ac:dyDescent="0.25">
      <c r="A96" t="s">
        <v>73</v>
      </c>
      <c r="B96" s="2">
        <v>42508</v>
      </c>
      <c r="C96" t="str">
        <f>+"Tuáº§n "&amp;WEEKNUM(B96)</f>
        <v>Tuáº§n 21</v>
      </c>
      <c r="D96" t="s">
        <v>19</v>
      </c>
      <c r="E96" t="s">
        <v>17</v>
      </c>
      <c r="F96" s="5">
        <v>32700000</v>
      </c>
      <c r="G96" s="5">
        <v>35700000</v>
      </c>
      <c r="H96" s="5">
        <f>+(M96*26000)/0.829426</f>
        <v>39926648.067458704</v>
      </c>
      <c r="I96" s="5">
        <f>+G96-H96</f>
        <v>-4226648.0674587041</v>
      </c>
      <c r="J96" s="5">
        <v>3000000</v>
      </c>
      <c r="K96" s="5">
        <v>3270000</v>
      </c>
      <c r="L96" s="5">
        <v>3570000</v>
      </c>
      <c r="M96" s="7">
        <v>1273.7</v>
      </c>
      <c r="N96" s="5">
        <v>33200000</v>
      </c>
      <c r="O96" s="5">
        <v>36200000</v>
      </c>
      <c r="P96" s="3">
        <v>0.97916666666666663</v>
      </c>
    </row>
    <row r="97" spans="1:16" x14ac:dyDescent="0.25">
      <c r="A97" t="s">
        <v>74</v>
      </c>
      <c r="B97" s="2">
        <v>42509</v>
      </c>
      <c r="C97" t="str">
        <f>+"Tuáº§n "&amp;WEEKNUM(B97)</f>
        <v>Tuáº§n 21</v>
      </c>
      <c r="D97" t="s">
        <v>20</v>
      </c>
      <c r="E97" t="s">
        <v>17</v>
      </c>
      <c r="F97" s="5">
        <v>32100000</v>
      </c>
      <c r="G97" s="5">
        <v>35100000</v>
      </c>
      <c r="H97" s="5">
        <f>+(M97*26000)/0.829426</f>
        <v>39315381.962947868</v>
      </c>
      <c r="I97" s="5">
        <f>+G97-H97</f>
        <v>-4215381.9629478678</v>
      </c>
      <c r="J97" s="5">
        <v>3000000</v>
      </c>
      <c r="K97" s="5">
        <v>3210000</v>
      </c>
      <c r="L97" s="5">
        <v>3510000</v>
      </c>
      <c r="M97" s="7">
        <v>1254.2</v>
      </c>
      <c r="N97" s="5">
        <v>32600000</v>
      </c>
      <c r="O97" s="5">
        <v>35600000</v>
      </c>
      <c r="P97" s="3">
        <v>0.97916666666666663</v>
      </c>
    </row>
    <row r="98" spans="1:16" x14ac:dyDescent="0.25">
      <c r="A98" t="s">
        <v>75</v>
      </c>
      <c r="B98" s="2">
        <v>42510</v>
      </c>
      <c r="C98" t="str">
        <f>+"Tuáº§n "&amp;WEEKNUM(B98)</f>
        <v>Tuáº§n 21</v>
      </c>
      <c r="D98" t="s">
        <v>21</v>
      </c>
      <c r="E98" t="s">
        <v>17</v>
      </c>
      <c r="F98" s="5">
        <v>32100000</v>
      </c>
      <c r="G98" s="5">
        <v>35100000</v>
      </c>
      <c r="H98" s="5">
        <f>+(M98*26000)/0.829426</f>
        <v>39258957.399454564</v>
      </c>
      <c r="I98" s="5">
        <f>+G98-H98</f>
        <v>-4158957.3994545639</v>
      </c>
      <c r="J98" s="5">
        <v>3000000</v>
      </c>
      <c r="K98" s="5">
        <v>3210000</v>
      </c>
      <c r="L98" s="5">
        <v>3510000</v>
      </c>
      <c r="M98" s="7">
        <v>1252.4000000000001</v>
      </c>
      <c r="N98" s="5">
        <v>32600000</v>
      </c>
      <c r="O98" s="5">
        <v>35600000</v>
      </c>
      <c r="P98" s="3">
        <v>0.97916666666666663</v>
      </c>
    </row>
    <row r="99" spans="1:16" x14ac:dyDescent="0.25">
      <c r="A99" t="s">
        <v>76</v>
      </c>
      <c r="B99" s="2">
        <v>42513</v>
      </c>
      <c r="C99" t="str">
        <f>+"Tuáº§n "&amp;WEEKNUM(B99)</f>
        <v>Tuáº§n 22</v>
      </c>
      <c r="D99" t="s">
        <v>16</v>
      </c>
      <c r="E99" t="s">
        <v>17</v>
      </c>
      <c r="F99" s="5">
        <v>32100000</v>
      </c>
      <c r="G99" s="5">
        <v>35100000</v>
      </c>
      <c r="H99" s="5">
        <f>+(M99*26000)/0.829426</f>
        <v>39218206.325820506</v>
      </c>
      <c r="I99" s="5">
        <f>+G99-H99</f>
        <v>-4118206.3258205056</v>
      </c>
      <c r="J99" s="5">
        <v>3000000</v>
      </c>
      <c r="K99" s="5">
        <v>3210000</v>
      </c>
      <c r="L99" s="5">
        <v>3510000</v>
      </c>
      <c r="M99" s="7">
        <v>1251.0999999999999</v>
      </c>
      <c r="N99" s="5">
        <v>32600000</v>
      </c>
      <c r="O99" s="5">
        <v>35600000</v>
      </c>
      <c r="P99" s="3">
        <v>0.97916666666666663</v>
      </c>
    </row>
    <row r="100" spans="1:16" x14ac:dyDescent="0.25">
      <c r="A100" t="s">
        <v>77</v>
      </c>
      <c r="B100" s="2">
        <v>42514</v>
      </c>
      <c r="C100" t="str">
        <f>+"Tuáº§n "&amp;WEEKNUM(B100)</f>
        <v>Tuáº§n 22</v>
      </c>
      <c r="D100" t="s">
        <v>18</v>
      </c>
      <c r="E100" t="s">
        <v>17</v>
      </c>
      <c r="F100" s="5">
        <v>31400000</v>
      </c>
      <c r="G100" s="5">
        <v>34400000</v>
      </c>
      <c r="H100" s="5">
        <f>+(M100*26000)/0.829426</f>
        <v>38522303.376069717</v>
      </c>
      <c r="I100" s="5">
        <f>+G100-H100</f>
        <v>-4122303.3760697171</v>
      </c>
      <c r="J100" s="5">
        <v>3000000</v>
      </c>
      <c r="K100" s="5">
        <v>3140000</v>
      </c>
      <c r="L100" s="5">
        <v>3440000</v>
      </c>
      <c r="M100" s="7">
        <v>1228.9000000000001</v>
      </c>
      <c r="N100" s="5">
        <v>31900000</v>
      </c>
      <c r="O100" s="5">
        <v>34900000</v>
      </c>
      <c r="P100" s="3">
        <v>0.97916666666666663</v>
      </c>
    </row>
    <row r="101" spans="1:16" x14ac:dyDescent="0.25">
      <c r="A101" t="s">
        <v>78</v>
      </c>
      <c r="B101" s="2">
        <v>42515</v>
      </c>
      <c r="C101" t="str">
        <f>+"Tuáº§n "&amp;WEEKNUM(B101)</f>
        <v>Tuáº§n 22</v>
      </c>
      <c r="D101" t="s">
        <v>19</v>
      </c>
      <c r="E101" t="s">
        <v>17</v>
      </c>
      <c r="F101" s="5">
        <v>31300000</v>
      </c>
      <c r="G101" s="5">
        <v>34300000</v>
      </c>
      <c r="H101" s="5">
        <f>+(M101*26000)/0.829426</f>
        <v>38353029.68558979</v>
      </c>
      <c r="I101" s="5">
        <f>+G101-H101</f>
        <v>-4053029.6855897903</v>
      </c>
      <c r="J101" s="5">
        <v>3000000</v>
      </c>
      <c r="K101" s="5">
        <v>3130000</v>
      </c>
      <c r="L101" s="5">
        <v>3430000</v>
      </c>
      <c r="M101" s="7">
        <v>1223.5</v>
      </c>
      <c r="N101" s="5">
        <v>31800000</v>
      </c>
      <c r="O101" s="5">
        <v>34800000</v>
      </c>
      <c r="P101" s="3">
        <v>0.97916666666666663</v>
      </c>
    </row>
    <row r="102" spans="1:16" x14ac:dyDescent="0.25">
      <c r="A102" t="s">
        <v>79</v>
      </c>
      <c r="B102" s="2">
        <v>42516</v>
      </c>
      <c r="C102" t="str">
        <f>+"Tuáº§n "&amp;WEEKNUM(B102)</f>
        <v>Tuáº§n 22</v>
      </c>
      <c r="D102" t="s">
        <v>20</v>
      </c>
      <c r="E102" t="s">
        <v>17</v>
      </c>
      <c r="F102" s="5">
        <v>31200000</v>
      </c>
      <c r="G102" s="5">
        <v>34200000</v>
      </c>
      <c r="H102" s="5">
        <f>+(M102*26000)/0.829426</f>
        <v>38246449.954546876</v>
      </c>
      <c r="I102" s="5">
        <f>+G102-H102</f>
        <v>-4046449.9545468763</v>
      </c>
      <c r="J102" s="5">
        <v>3000000</v>
      </c>
      <c r="K102" s="5">
        <v>3120000</v>
      </c>
      <c r="L102" s="5">
        <v>3420000</v>
      </c>
      <c r="M102" s="7">
        <v>1220.0999999999999</v>
      </c>
      <c r="N102" s="5">
        <v>31700000</v>
      </c>
      <c r="O102" s="5">
        <v>34700000</v>
      </c>
      <c r="P102" s="3">
        <v>0.97916666666666663</v>
      </c>
    </row>
    <row r="103" spans="1:16" x14ac:dyDescent="0.25">
      <c r="A103" t="s">
        <v>80</v>
      </c>
      <c r="B103" s="2">
        <v>42517</v>
      </c>
      <c r="C103" t="str">
        <f>+"Tuáº§n "&amp;WEEKNUM(B103)</f>
        <v>Tuáº§n 22</v>
      </c>
      <c r="D103" t="s">
        <v>21</v>
      </c>
      <c r="E103" t="s">
        <v>17</v>
      </c>
      <c r="F103" s="5">
        <v>31000000</v>
      </c>
      <c r="G103" s="5">
        <v>34000000</v>
      </c>
      <c r="H103" s="5">
        <f>+(M103*26000)/0.829426</f>
        <v>38048963.982320301</v>
      </c>
      <c r="I103" s="5">
        <f>+G103-H103</f>
        <v>-4048963.9823203012</v>
      </c>
      <c r="J103" s="5">
        <v>3000000</v>
      </c>
      <c r="K103" s="5">
        <v>3100000</v>
      </c>
      <c r="L103" s="5">
        <v>3400000</v>
      </c>
      <c r="M103" s="7">
        <v>1213.8</v>
      </c>
      <c r="N103" s="5">
        <v>31500000</v>
      </c>
      <c r="O103" s="5">
        <v>34500000</v>
      </c>
      <c r="P103" s="3">
        <v>0.97916666666666663</v>
      </c>
    </row>
    <row r="104" spans="1:16" x14ac:dyDescent="0.25">
      <c r="A104" t="s">
        <v>81</v>
      </c>
      <c r="B104" s="2">
        <v>42521</v>
      </c>
      <c r="C104" t="str">
        <f>+"Tuáº§n "&amp;WEEKNUM(B104)</f>
        <v>Tuáº§n 23</v>
      </c>
      <c r="D104" t="s">
        <v>18</v>
      </c>
      <c r="E104" t="s">
        <v>17</v>
      </c>
      <c r="F104" s="5">
        <v>31000000</v>
      </c>
      <c r="G104" s="5">
        <v>34000000</v>
      </c>
      <c r="H104" s="5">
        <f>+(M104*26000)/0.829426</f>
        <v>38080310.962038808</v>
      </c>
      <c r="I104" s="5">
        <f>+G104-H104</f>
        <v>-4080310.9620388076</v>
      </c>
      <c r="J104" s="5">
        <v>3000000</v>
      </c>
      <c r="K104" s="5">
        <v>3100000</v>
      </c>
      <c r="L104" s="5">
        <v>3400000</v>
      </c>
      <c r="M104" s="7">
        <v>1214.8</v>
      </c>
      <c r="N104" s="5">
        <v>31500000</v>
      </c>
      <c r="O104" s="5">
        <v>34500000</v>
      </c>
      <c r="P104" s="3">
        <v>0.97916666666666663</v>
      </c>
    </row>
    <row r="105" spans="1:16" x14ac:dyDescent="0.25">
      <c r="A105" s="2">
        <v>42375</v>
      </c>
      <c r="B105" s="2">
        <v>42522</v>
      </c>
      <c r="C105" t="str">
        <f>+"Tuáº§n "&amp;WEEKNUM(B105)</f>
        <v>Tuáº§n 23</v>
      </c>
      <c r="D105" t="s">
        <v>19</v>
      </c>
      <c r="E105" t="s">
        <v>17</v>
      </c>
      <c r="F105" s="5">
        <v>31000000</v>
      </c>
      <c r="G105" s="5">
        <v>34000000</v>
      </c>
      <c r="H105" s="5">
        <f>+(M105*26000)/0.829426</f>
        <v>37989404.720855147</v>
      </c>
      <c r="I105" s="5">
        <f>+G105-H105</f>
        <v>-3989404.7208551466</v>
      </c>
      <c r="J105" s="5">
        <v>3000000</v>
      </c>
      <c r="K105" s="5">
        <v>3100000</v>
      </c>
      <c r="L105" s="5">
        <v>3400000</v>
      </c>
      <c r="M105" s="7">
        <v>1211.9000000000001</v>
      </c>
      <c r="N105" s="5">
        <v>31500000</v>
      </c>
      <c r="O105" s="5">
        <v>34500000</v>
      </c>
      <c r="P105" s="3">
        <v>0.97916666666666663</v>
      </c>
    </row>
    <row r="106" spans="1:16" x14ac:dyDescent="0.25">
      <c r="A106" s="2">
        <v>42406</v>
      </c>
      <c r="B106" s="2">
        <v>42523</v>
      </c>
      <c r="C106" t="str">
        <f>+"Tuáº§n "&amp;WEEKNUM(B106)</f>
        <v>Tuáº§n 23</v>
      </c>
      <c r="D106" t="s">
        <v>20</v>
      </c>
      <c r="E106" t="s">
        <v>17</v>
      </c>
      <c r="F106" s="5">
        <v>30900000</v>
      </c>
      <c r="G106" s="5">
        <v>33900000</v>
      </c>
      <c r="H106" s="5">
        <f>+(M106*26000)/0.829426</f>
        <v>37923576.063446291</v>
      </c>
      <c r="I106" s="5">
        <f>+G106-H106</f>
        <v>-4023576.0634462908</v>
      </c>
      <c r="J106" s="5">
        <v>3000000</v>
      </c>
      <c r="K106" s="5">
        <v>3090000</v>
      </c>
      <c r="L106" s="5">
        <v>3390000</v>
      </c>
      <c r="M106" s="7">
        <v>1209.8</v>
      </c>
      <c r="N106" s="5">
        <v>31400000</v>
      </c>
      <c r="O106" s="5">
        <v>34400000</v>
      </c>
      <c r="P106" s="3">
        <v>0.97916666666666663</v>
      </c>
    </row>
    <row r="107" spans="1:16" x14ac:dyDescent="0.25">
      <c r="A107" s="2">
        <v>42435</v>
      </c>
      <c r="B107" s="2">
        <v>42524</v>
      </c>
      <c r="C107" t="str">
        <f>+"Tuáº§n "&amp;WEEKNUM(B107)</f>
        <v>Tuáº§n 23</v>
      </c>
      <c r="D107" t="s">
        <v>21</v>
      </c>
      <c r="E107" t="s">
        <v>17</v>
      </c>
      <c r="F107" s="5">
        <v>31800000</v>
      </c>
      <c r="G107" s="5">
        <v>34800000</v>
      </c>
      <c r="H107" s="5">
        <f>+(M107*26000)/0.829426</f>
        <v>38873389.548916958</v>
      </c>
      <c r="I107" s="5">
        <f>+G107-H107</f>
        <v>-4073389.5489169583</v>
      </c>
      <c r="J107" s="5">
        <v>3000000</v>
      </c>
      <c r="K107" s="5">
        <v>3180000</v>
      </c>
      <c r="L107" s="5">
        <v>3480000</v>
      </c>
      <c r="M107" s="7">
        <v>1240.0999999999999</v>
      </c>
      <c r="N107" s="5">
        <v>32300000</v>
      </c>
      <c r="O107" s="5">
        <v>35300000</v>
      </c>
      <c r="P107" s="3">
        <v>0.97916666666666663</v>
      </c>
    </row>
    <row r="108" spans="1:16" x14ac:dyDescent="0.25">
      <c r="A108" s="2">
        <v>42527</v>
      </c>
      <c r="B108" s="2">
        <v>42527</v>
      </c>
      <c r="C108" t="str">
        <f>+"Tuáº§n "&amp;WEEKNUM(B108)</f>
        <v>Tuáº§n 24</v>
      </c>
      <c r="D108" t="s">
        <v>16</v>
      </c>
      <c r="E108" t="s">
        <v>17</v>
      </c>
      <c r="F108" s="5">
        <v>31900000</v>
      </c>
      <c r="G108" s="5">
        <v>34900000</v>
      </c>
      <c r="H108" s="5">
        <f>+(M108*26000)/0.829426</f>
        <v>39014450.957650229</v>
      </c>
      <c r="I108" s="5">
        <f>+G108-H108</f>
        <v>-4114450.9576502293</v>
      </c>
      <c r="J108" s="5">
        <v>3000000</v>
      </c>
      <c r="K108" s="5">
        <v>3190000</v>
      </c>
      <c r="L108" s="5">
        <v>3490000</v>
      </c>
      <c r="M108" s="7">
        <v>1244.5999999999999</v>
      </c>
      <c r="N108" s="5">
        <v>32400000</v>
      </c>
      <c r="O108" s="5">
        <v>35400000</v>
      </c>
      <c r="P108" s="3">
        <v>0.97916666666666663</v>
      </c>
    </row>
    <row r="109" spans="1:16" x14ac:dyDescent="0.25">
      <c r="A109" s="2">
        <v>42557</v>
      </c>
      <c r="B109" s="2">
        <v>42528</v>
      </c>
      <c r="C109" t="str">
        <f>+"Tuáº§n "&amp;WEEKNUM(B109)</f>
        <v>Tuáº§n 24</v>
      </c>
      <c r="D109" t="s">
        <v>18</v>
      </c>
      <c r="E109" t="s">
        <v>17</v>
      </c>
      <c r="F109" s="5">
        <v>31900000</v>
      </c>
      <c r="G109" s="5">
        <v>34900000</v>
      </c>
      <c r="H109" s="5">
        <f>+(M109*26000)/0.829426</f>
        <v>39008181.561706536</v>
      </c>
      <c r="I109" s="5">
        <f>+G109-H109</f>
        <v>-4108181.5617065355</v>
      </c>
      <c r="J109" s="5">
        <v>3000000</v>
      </c>
      <c r="K109" s="5">
        <v>3190000</v>
      </c>
      <c r="L109" s="5">
        <v>3490000</v>
      </c>
      <c r="M109" s="7">
        <v>1244.4000000000001</v>
      </c>
      <c r="N109" s="5">
        <v>32400000</v>
      </c>
      <c r="O109" s="5">
        <v>35400000</v>
      </c>
      <c r="P109" s="3">
        <v>0.97916666666666663</v>
      </c>
    </row>
    <row r="110" spans="1:16" x14ac:dyDescent="0.25">
      <c r="A110" s="2">
        <v>42588</v>
      </c>
      <c r="B110" s="2">
        <v>42529</v>
      </c>
      <c r="C110" t="str">
        <f>+"Tuáº§n "&amp;WEEKNUM(B110)</f>
        <v>Tuáº§n 24</v>
      </c>
      <c r="D110" t="s">
        <v>19</v>
      </c>
      <c r="E110" t="s">
        <v>17</v>
      </c>
      <c r="F110" s="5">
        <v>32300000</v>
      </c>
      <c r="G110" s="5">
        <v>35300000</v>
      </c>
      <c r="H110" s="5">
        <f>+(M110*26000)/0.829426</f>
        <v>39490925.049371496</v>
      </c>
      <c r="I110" s="5">
        <f>+G110-H110</f>
        <v>-4190925.0493714958</v>
      </c>
      <c r="J110" s="5">
        <v>3000000</v>
      </c>
      <c r="K110" s="5">
        <v>3230000</v>
      </c>
      <c r="L110" s="5">
        <v>3530000</v>
      </c>
      <c r="M110" s="7">
        <v>1259.8</v>
      </c>
      <c r="N110" s="5">
        <v>32800000</v>
      </c>
      <c r="O110" s="5">
        <v>35800000</v>
      </c>
      <c r="P110" s="3">
        <v>0.97916666666666663</v>
      </c>
    </row>
    <row r="111" spans="1:16" x14ac:dyDescent="0.25">
      <c r="A111" s="2">
        <v>42619</v>
      </c>
      <c r="B111" s="2">
        <v>42530</v>
      </c>
      <c r="C111" t="str">
        <f>+"Tuáº§n "&amp;WEEKNUM(B111)</f>
        <v>Tuáº§n 24</v>
      </c>
      <c r="D111" t="s">
        <v>20</v>
      </c>
      <c r="E111" t="s">
        <v>17</v>
      </c>
      <c r="F111" s="5">
        <v>32600000</v>
      </c>
      <c r="G111" s="5">
        <v>35600000</v>
      </c>
      <c r="H111" s="5">
        <f>+(M111*26000)/0.829426</f>
        <v>39816933.638443939</v>
      </c>
      <c r="I111" s="5">
        <f>+G111-H111</f>
        <v>-4216933.6384439394</v>
      </c>
      <c r="J111" s="5">
        <v>3000000</v>
      </c>
      <c r="K111" s="5">
        <v>3260000</v>
      </c>
      <c r="L111" s="5">
        <v>3560000</v>
      </c>
      <c r="M111" s="7">
        <v>1270.2</v>
      </c>
      <c r="N111" s="5">
        <v>33100000</v>
      </c>
      <c r="O111" s="5">
        <v>36100000</v>
      </c>
      <c r="P111" s="3">
        <v>0.97916666666666663</v>
      </c>
    </row>
    <row r="112" spans="1:16" x14ac:dyDescent="0.25">
      <c r="A112" s="2">
        <v>42649</v>
      </c>
      <c r="B112" s="2">
        <v>42531</v>
      </c>
      <c r="C112" t="str">
        <f>+"Tuáº§n "&amp;WEEKNUM(B112)</f>
        <v>Tuáº§n 24</v>
      </c>
      <c r="D112" t="s">
        <v>21</v>
      </c>
      <c r="E112" t="s">
        <v>17</v>
      </c>
      <c r="F112" s="5">
        <v>32700000</v>
      </c>
      <c r="G112" s="5">
        <v>35700000</v>
      </c>
      <c r="H112" s="5">
        <f>+(M112*26000)/0.829426</f>
        <v>39917243.973543152</v>
      </c>
      <c r="I112" s="5">
        <f>+G112-H112</f>
        <v>-4217243.9735431522</v>
      </c>
      <c r="J112" s="5">
        <v>3000000</v>
      </c>
      <c r="K112" s="5">
        <v>3270000</v>
      </c>
      <c r="L112" s="5">
        <v>3570000</v>
      </c>
      <c r="M112" s="7">
        <v>1273.4000000000001</v>
      </c>
      <c r="N112" s="5">
        <v>33200000</v>
      </c>
      <c r="O112" s="5">
        <v>36200000</v>
      </c>
      <c r="P112" s="3">
        <v>0.97916666666666663</v>
      </c>
    </row>
    <row r="113" spans="1:16" x14ac:dyDescent="0.25">
      <c r="A113" t="s">
        <v>82</v>
      </c>
      <c r="B113" s="2">
        <v>42534</v>
      </c>
      <c r="C113" t="str">
        <f>+"Tuáº§n "&amp;WEEKNUM(B113)</f>
        <v>Tuáº§n 25</v>
      </c>
      <c r="D113" t="s">
        <v>16</v>
      </c>
      <c r="E113" t="s">
        <v>17</v>
      </c>
      <c r="F113" s="5">
        <v>33000000</v>
      </c>
      <c r="G113" s="5">
        <v>36000000</v>
      </c>
      <c r="H113" s="5">
        <f>+(M113*26000)/0.829426</f>
        <v>40262060.7504467</v>
      </c>
      <c r="I113" s="5">
        <f>+G113-H113</f>
        <v>-4262060.7504466996</v>
      </c>
      <c r="J113" s="5">
        <v>3000000</v>
      </c>
      <c r="K113" s="5">
        <v>3300000</v>
      </c>
      <c r="L113" s="5">
        <v>3600000</v>
      </c>
      <c r="M113" s="7">
        <v>1284.4000000000001</v>
      </c>
      <c r="N113" s="5">
        <v>33500000</v>
      </c>
      <c r="O113" s="5">
        <v>36500000</v>
      </c>
      <c r="P113" s="3">
        <v>0.97916666666666663</v>
      </c>
    </row>
    <row r="114" spans="1:16" x14ac:dyDescent="0.25">
      <c r="A114" t="s">
        <v>83</v>
      </c>
      <c r="B114" s="2">
        <v>42535</v>
      </c>
      <c r="C114" t="str">
        <f>+"Tuáº§n "&amp;WEEKNUM(B114)</f>
        <v>Tuáº§n 25</v>
      </c>
      <c r="D114" t="s">
        <v>18</v>
      </c>
      <c r="E114" t="s">
        <v>17</v>
      </c>
      <c r="F114" s="5">
        <v>33000000</v>
      </c>
      <c r="G114" s="5">
        <v>36000000</v>
      </c>
      <c r="H114" s="5">
        <f>+(M114*26000)/0.829426</f>
        <v>40299677.126108892</v>
      </c>
      <c r="I114" s="5">
        <f>+G114-H114</f>
        <v>-4299677.1261088923</v>
      </c>
      <c r="J114" s="5">
        <v>3000000</v>
      </c>
      <c r="K114" s="5">
        <v>3300000</v>
      </c>
      <c r="L114" s="5">
        <v>3600000</v>
      </c>
      <c r="M114" s="7">
        <v>1285.5999999999999</v>
      </c>
      <c r="N114" s="5">
        <v>33500000</v>
      </c>
      <c r="O114" s="5">
        <v>36500000</v>
      </c>
      <c r="P114" s="3">
        <v>0.97916666666666663</v>
      </c>
    </row>
    <row r="115" spans="1:16" x14ac:dyDescent="0.25">
      <c r="A115" t="s">
        <v>84</v>
      </c>
      <c r="B115" s="2">
        <v>42536</v>
      </c>
      <c r="C115" t="str">
        <f>+"Tuáº§n "&amp;WEEKNUM(B115)</f>
        <v>Tuáº§n 25</v>
      </c>
      <c r="D115" t="s">
        <v>19</v>
      </c>
      <c r="E115" t="s">
        <v>17</v>
      </c>
      <c r="F115" s="5">
        <v>33000000</v>
      </c>
      <c r="G115" s="5">
        <v>36000000</v>
      </c>
      <c r="H115" s="5">
        <f>+(M115*26000)/0.829426</f>
        <v>40305946.522052601</v>
      </c>
      <c r="I115" s="5">
        <f>+G115-H115</f>
        <v>-4305946.522052601</v>
      </c>
      <c r="J115" s="5">
        <v>3000000</v>
      </c>
      <c r="K115" s="5">
        <v>3300000</v>
      </c>
      <c r="L115" s="5">
        <v>3600000</v>
      </c>
      <c r="M115" s="7">
        <v>1285.8</v>
      </c>
      <c r="N115" s="5">
        <v>33500000</v>
      </c>
      <c r="O115" s="5">
        <v>36500000</v>
      </c>
      <c r="P115" s="3">
        <v>0.97916666666666663</v>
      </c>
    </row>
    <row r="116" spans="1:16" x14ac:dyDescent="0.25">
      <c r="A116" t="s">
        <v>85</v>
      </c>
      <c r="B116" s="2">
        <v>42537</v>
      </c>
      <c r="C116" t="str">
        <f>+"Tuáº§n "&amp;WEEKNUM(B116)</f>
        <v>Tuáº§n 25</v>
      </c>
      <c r="D116" t="s">
        <v>20</v>
      </c>
      <c r="E116" t="s">
        <v>17</v>
      </c>
      <c r="F116" s="5">
        <v>33300000</v>
      </c>
      <c r="G116" s="5">
        <v>36300000</v>
      </c>
      <c r="H116" s="5">
        <f>+(M116*26000)/0.829426</f>
        <v>40628820.413153194</v>
      </c>
      <c r="I116" s="5">
        <f>+G116-H116</f>
        <v>-4328820.4131531939</v>
      </c>
      <c r="J116" s="5">
        <v>3000000</v>
      </c>
      <c r="K116" s="5">
        <v>3330000</v>
      </c>
      <c r="L116" s="5">
        <v>3630000</v>
      </c>
      <c r="M116" s="7">
        <v>1296.0999999999999</v>
      </c>
      <c r="N116" s="5">
        <v>33800000</v>
      </c>
      <c r="O116" s="5">
        <v>36800000</v>
      </c>
      <c r="P116" s="3">
        <v>0.97916666666666663</v>
      </c>
    </row>
    <row r="117" spans="1:16" x14ac:dyDescent="0.25">
      <c r="A117" t="s">
        <v>86</v>
      </c>
      <c r="B117" s="2">
        <v>42538</v>
      </c>
      <c r="C117" t="str">
        <f>+"Tuáº§n "&amp;WEEKNUM(B117)</f>
        <v>Tuáº§n 25</v>
      </c>
      <c r="D117" t="s">
        <v>21</v>
      </c>
      <c r="E117" t="s">
        <v>17</v>
      </c>
      <c r="F117" s="5">
        <v>33200000</v>
      </c>
      <c r="G117" s="5">
        <v>36200000</v>
      </c>
      <c r="H117" s="5">
        <f>+(M117*26000)/0.829426</f>
        <v>40515971.286166579</v>
      </c>
      <c r="I117" s="5">
        <f>+G117-H117</f>
        <v>-4315971.2861665785</v>
      </c>
      <c r="J117" s="5">
        <v>3000000</v>
      </c>
      <c r="K117" s="5">
        <v>3320000</v>
      </c>
      <c r="L117" s="5">
        <v>3620000</v>
      </c>
      <c r="M117" s="7">
        <v>1292.5</v>
      </c>
      <c r="N117" s="5">
        <v>33700000</v>
      </c>
      <c r="O117" s="5">
        <v>36700000</v>
      </c>
      <c r="P117" s="3">
        <v>0.97916666666666663</v>
      </c>
    </row>
    <row r="118" spans="1:16" x14ac:dyDescent="0.25">
      <c r="A118" t="s">
        <v>87</v>
      </c>
      <c r="B118" s="2">
        <v>42541</v>
      </c>
      <c r="C118" t="str">
        <f>+"Tuáº§n "&amp;WEEKNUM(B118)</f>
        <v>Tuáº§n 26</v>
      </c>
      <c r="D118" t="s">
        <v>16</v>
      </c>
      <c r="E118" t="s">
        <v>17</v>
      </c>
      <c r="F118" s="5">
        <v>33200000</v>
      </c>
      <c r="G118" s="5">
        <v>36200000</v>
      </c>
      <c r="H118" s="5">
        <f>+(M118*26000)/0.829426</f>
        <v>40437603.83687032</v>
      </c>
      <c r="I118" s="5">
        <f>+G118-H118</f>
        <v>-4237603.8368703201</v>
      </c>
      <c r="J118" s="5">
        <v>3000000</v>
      </c>
      <c r="K118" s="5">
        <v>3320000</v>
      </c>
      <c r="L118" s="5">
        <v>3620000</v>
      </c>
      <c r="M118" s="7">
        <v>1290</v>
      </c>
      <c r="N118" s="5">
        <v>33700000</v>
      </c>
      <c r="O118" s="5">
        <v>36700000</v>
      </c>
      <c r="P118" s="3">
        <v>0.97916666666666663</v>
      </c>
    </row>
    <row r="119" spans="1:16" x14ac:dyDescent="0.25">
      <c r="A119" t="s">
        <v>88</v>
      </c>
      <c r="B119" s="2">
        <v>42542</v>
      </c>
      <c r="C119" t="str">
        <f>+"Tuáº§n "&amp;WEEKNUM(B119)</f>
        <v>Tuáº§n 26</v>
      </c>
      <c r="D119" t="s">
        <v>18</v>
      </c>
      <c r="E119" t="s">
        <v>17</v>
      </c>
      <c r="F119" s="5">
        <v>32600000</v>
      </c>
      <c r="G119" s="5">
        <v>35600000</v>
      </c>
      <c r="H119" s="5">
        <f>+(M119*26000)/0.829426</f>
        <v>39826337.732359484</v>
      </c>
      <c r="I119" s="5">
        <f>+G119-H119</f>
        <v>-4226337.7323594838</v>
      </c>
      <c r="J119" s="5">
        <v>3000000</v>
      </c>
      <c r="K119" s="5">
        <v>3260000</v>
      </c>
      <c r="L119" s="5">
        <v>3560000</v>
      </c>
      <c r="M119" s="7">
        <v>1270.5</v>
      </c>
      <c r="N119" s="5">
        <v>33100000</v>
      </c>
      <c r="O119" s="5">
        <v>36100000</v>
      </c>
      <c r="P119" s="3">
        <v>0.97916666666666663</v>
      </c>
    </row>
    <row r="120" spans="1:16" x14ac:dyDescent="0.25">
      <c r="A120" t="s">
        <v>89</v>
      </c>
      <c r="B120" s="2">
        <v>42543</v>
      </c>
      <c r="C120" t="str">
        <f>+"Tuáº§n "&amp;WEEKNUM(B120)</f>
        <v>Tuáº§n 26</v>
      </c>
      <c r="D120" t="s">
        <v>19</v>
      </c>
      <c r="E120" t="s">
        <v>17</v>
      </c>
      <c r="F120" s="5">
        <v>32500000</v>
      </c>
      <c r="G120" s="5">
        <v>35500000</v>
      </c>
      <c r="H120" s="5">
        <f>+(M120*26000)/0.829426</f>
        <v>39747970.283063225</v>
      </c>
      <c r="I120" s="5">
        <f>+G120-H120</f>
        <v>-4247970.2830632254</v>
      </c>
      <c r="J120" s="5">
        <v>3000000</v>
      </c>
      <c r="K120" s="5">
        <v>3250000</v>
      </c>
      <c r="L120" s="5">
        <v>3550000</v>
      </c>
      <c r="M120" s="7">
        <v>1268</v>
      </c>
      <c r="N120" s="5">
        <v>33000000</v>
      </c>
      <c r="O120" s="5">
        <v>36000000</v>
      </c>
      <c r="P120" s="3">
        <v>0.97916666666666663</v>
      </c>
    </row>
    <row r="121" spans="1:16" x14ac:dyDescent="0.25">
      <c r="A121" t="s">
        <v>90</v>
      </c>
      <c r="B121" s="2">
        <v>42544</v>
      </c>
      <c r="C121" t="str">
        <f>+"Tuáº§n "&amp;WEEKNUM(B121)</f>
        <v>Tuáº§n 26</v>
      </c>
      <c r="D121" t="s">
        <v>20</v>
      </c>
      <c r="E121" t="s">
        <v>17</v>
      </c>
      <c r="F121" s="5">
        <v>32300000</v>
      </c>
      <c r="G121" s="5">
        <v>35300000</v>
      </c>
      <c r="H121" s="5">
        <f>+(M121*26000)/0.829426</f>
        <v>39534810.820977397</v>
      </c>
      <c r="I121" s="5">
        <f>+G121-H121</f>
        <v>-4234810.8209773973</v>
      </c>
      <c r="J121" s="5">
        <v>3000000</v>
      </c>
      <c r="K121" s="5">
        <v>3230000</v>
      </c>
      <c r="L121" s="5">
        <v>3530000</v>
      </c>
      <c r="M121" s="7">
        <v>1261.2</v>
      </c>
      <c r="N121" s="5">
        <v>32800000</v>
      </c>
      <c r="O121" s="5">
        <v>35800000</v>
      </c>
      <c r="P121" s="3">
        <v>0.97916666666666663</v>
      </c>
    </row>
    <row r="122" spans="1:16" x14ac:dyDescent="0.25">
      <c r="A122" t="s">
        <v>91</v>
      </c>
      <c r="B122" s="2">
        <v>42545</v>
      </c>
      <c r="C122" t="str">
        <f>+"Tuáº§n "&amp;WEEKNUM(B122)</f>
        <v>Tuáº§n 26</v>
      </c>
      <c r="D122" t="s">
        <v>21</v>
      </c>
      <c r="E122" t="s">
        <v>17</v>
      </c>
      <c r="F122" s="5">
        <v>34000000</v>
      </c>
      <c r="G122" s="5">
        <v>37000000</v>
      </c>
      <c r="H122" s="5">
        <f>+(M122*26000)/0.829426</f>
        <v>41378013.228425443</v>
      </c>
      <c r="I122" s="5">
        <f>+G122-H122</f>
        <v>-4378013.2284254432</v>
      </c>
      <c r="J122" s="5">
        <v>3000000</v>
      </c>
      <c r="K122" s="5">
        <v>3400000</v>
      </c>
      <c r="L122" s="5">
        <v>3700000</v>
      </c>
      <c r="M122" s="7">
        <v>1320</v>
      </c>
      <c r="N122" s="5">
        <v>34500000</v>
      </c>
      <c r="O122" s="5">
        <v>37500000</v>
      </c>
      <c r="P122" s="3">
        <v>0.97916666666666663</v>
      </c>
    </row>
    <row r="123" spans="1:16" x14ac:dyDescent="0.25">
      <c r="A123" t="s">
        <v>92</v>
      </c>
      <c r="B123" s="2">
        <v>42548</v>
      </c>
      <c r="C123" t="str">
        <f>+"Tuáº§n "&amp;WEEKNUM(B123)</f>
        <v>Tuáº§n 27</v>
      </c>
      <c r="D123" t="s">
        <v>16</v>
      </c>
      <c r="E123" t="s">
        <v>17</v>
      </c>
      <c r="F123" s="5">
        <v>34100000</v>
      </c>
      <c r="G123" s="5">
        <v>37100000</v>
      </c>
      <c r="H123" s="5">
        <f>+(M123*26000)/0.829426</f>
        <v>41456380.677721702</v>
      </c>
      <c r="I123" s="5">
        <f>+G123-H123</f>
        <v>-4356380.6777217016</v>
      </c>
      <c r="J123" s="5">
        <v>3000000</v>
      </c>
      <c r="K123" s="5">
        <v>3410000</v>
      </c>
      <c r="L123" s="5">
        <v>3710000</v>
      </c>
      <c r="M123" s="7">
        <v>1322.5</v>
      </c>
      <c r="N123" s="5">
        <v>34600000</v>
      </c>
      <c r="O123" s="5">
        <v>37600000</v>
      </c>
      <c r="P123" s="3">
        <v>0.97916666666666663</v>
      </c>
    </row>
    <row r="124" spans="1:16" x14ac:dyDescent="0.25">
      <c r="A124" t="s">
        <v>93</v>
      </c>
      <c r="B124" s="2">
        <v>42549</v>
      </c>
      <c r="C124" t="str">
        <f>+"Tuáº§n "&amp;WEEKNUM(B124)</f>
        <v>Tuáº§n 27</v>
      </c>
      <c r="D124" t="s">
        <v>18</v>
      </c>
      <c r="E124" t="s">
        <v>17</v>
      </c>
      <c r="F124" s="5">
        <v>33900000</v>
      </c>
      <c r="G124" s="5">
        <v>36900000</v>
      </c>
      <c r="H124" s="5">
        <f>+(M124*26000)/0.829426</f>
        <v>41230682.423748471</v>
      </c>
      <c r="I124" s="5">
        <f>+G124-H124</f>
        <v>-4330682.4237484708</v>
      </c>
      <c r="J124" s="5">
        <v>3000000</v>
      </c>
      <c r="K124" s="5">
        <v>3390000</v>
      </c>
      <c r="L124" s="5">
        <v>3690000</v>
      </c>
      <c r="M124" s="7">
        <v>1315.3</v>
      </c>
      <c r="N124" s="5">
        <v>34400000</v>
      </c>
      <c r="O124" s="5">
        <v>37400000</v>
      </c>
      <c r="P124" s="3">
        <v>0.97916666666666663</v>
      </c>
    </row>
    <row r="125" spans="1:16" x14ac:dyDescent="0.25">
      <c r="A125" t="s">
        <v>94</v>
      </c>
      <c r="B125" s="2">
        <v>42550</v>
      </c>
      <c r="C125" t="str">
        <f>+"Tuáº§n "&amp;WEEKNUM(B125)</f>
        <v>Tuáº§n 27</v>
      </c>
      <c r="D125" t="s">
        <v>19</v>
      </c>
      <c r="E125" t="s">
        <v>17</v>
      </c>
      <c r="F125" s="5">
        <v>34100000</v>
      </c>
      <c r="G125" s="5">
        <v>37100000</v>
      </c>
      <c r="H125" s="5">
        <f>+(M125*26000)/0.829426</f>
        <v>41500266.44932761</v>
      </c>
      <c r="I125" s="5">
        <f>+G125-H125</f>
        <v>-4400266.4493276104</v>
      </c>
      <c r="J125" s="5">
        <v>3000000</v>
      </c>
      <c r="K125" s="5">
        <v>3410000</v>
      </c>
      <c r="L125" s="5">
        <v>3710000</v>
      </c>
      <c r="M125" s="7">
        <v>1323.9</v>
      </c>
      <c r="N125" s="5">
        <v>34600000</v>
      </c>
      <c r="O125" s="5">
        <v>37600000</v>
      </c>
      <c r="P125" s="3">
        <v>0.97916666666666663</v>
      </c>
    </row>
    <row r="126" spans="1:16" x14ac:dyDescent="0.25">
      <c r="A126" t="s">
        <v>95</v>
      </c>
      <c r="B126" s="2">
        <v>42551</v>
      </c>
      <c r="C126" t="str">
        <f>+"Tuáº§n "&amp;WEEKNUM(B126)</f>
        <v>Tuáº§n 27</v>
      </c>
      <c r="D126" t="s">
        <v>20</v>
      </c>
      <c r="E126" t="s">
        <v>17</v>
      </c>
      <c r="F126" s="5">
        <v>33900000</v>
      </c>
      <c r="G126" s="5">
        <v>36900000</v>
      </c>
      <c r="H126" s="5">
        <f>+(M126*26000)/0.829426</f>
        <v>41327858.060875833</v>
      </c>
      <c r="I126" s="5">
        <f>+G126-H126</f>
        <v>-4427858.060875833</v>
      </c>
      <c r="J126" s="5">
        <v>3000000</v>
      </c>
      <c r="K126" s="5">
        <v>3390000</v>
      </c>
      <c r="L126" s="5">
        <v>3690000</v>
      </c>
      <c r="M126" s="7">
        <v>1318.4</v>
      </c>
      <c r="N126" s="5">
        <v>34400000</v>
      </c>
      <c r="O126" s="5">
        <v>37400000</v>
      </c>
      <c r="P126" s="3">
        <v>0.97916666666666663</v>
      </c>
    </row>
    <row r="127" spans="1:16" x14ac:dyDescent="0.25">
      <c r="A127" s="2">
        <v>42376</v>
      </c>
      <c r="B127" s="2">
        <v>42552</v>
      </c>
      <c r="C127" t="str">
        <f>+"Tuáº§n "&amp;WEEKNUM(B127)</f>
        <v>Tuáº§n 27</v>
      </c>
      <c r="D127" t="s">
        <v>21</v>
      </c>
      <c r="E127" t="s">
        <v>17</v>
      </c>
      <c r="F127" s="5">
        <v>34500000</v>
      </c>
      <c r="G127" s="5">
        <v>37500000</v>
      </c>
      <c r="H127" s="5">
        <f>+(M127*26000)/0.829426</f>
        <v>41901507.789724462</v>
      </c>
      <c r="I127" s="5">
        <f>+G127-H127</f>
        <v>-4401507.7897244617</v>
      </c>
      <c r="J127" s="5">
        <v>3000000</v>
      </c>
      <c r="K127" s="5">
        <v>3450000</v>
      </c>
      <c r="L127" s="5">
        <v>3750000</v>
      </c>
      <c r="M127" s="7">
        <v>1336.7</v>
      </c>
      <c r="N127" s="5">
        <v>35000000</v>
      </c>
      <c r="O127" s="5">
        <v>38000000</v>
      </c>
      <c r="P127" s="3">
        <v>0.97916666666666663</v>
      </c>
    </row>
    <row r="128" spans="1:16" x14ac:dyDescent="0.25">
      <c r="A128" s="2">
        <v>42497</v>
      </c>
      <c r="B128" s="2">
        <v>42556</v>
      </c>
      <c r="C128" t="str">
        <f>+"Tuáº§n "&amp;WEEKNUM(B128)</f>
        <v>Tuáº§n 28</v>
      </c>
      <c r="D128" t="s">
        <v>18</v>
      </c>
      <c r="E128" t="s">
        <v>17</v>
      </c>
      <c r="F128" s="5">
        <v>35000000</v>
      </c>
      <c r="G128" s="5">
        <v>38000000</v>
      </c>
      <c r="H128" s="5">
        <f>+(M128*26000)/0.829426</f>
        <v>42519043.290178992</v>
      </c>
      <c r="I128" s="5">
        <f>+G128-H128</f>
        <v>-4519043.2901789919</v>
      </c>
      <c r="J128" s="5">
        <v>3000000</v>
      </c>
      <c r="K128" s="5">
        <v>3500000</v>
      </c>
      <c r="L128" s="5">
        <v>3800000</v>
      </c>
      <c r="M128" s="7">
        <v>1356.4</v>
      </c>
      <c r="N128" s="5">
        <v>35500000</v>
      </c>
      <c r="O128" s="5">
        <v>38500000</v>
      </c>
      <c r="P128" s="3">
        <v>0.97916666666666663</v>
      </c>
    </row>
    <row r="129" spans="1:16" x14ac:dyDescent="0.25">
      <c r="A129" s="2">
        <v>42528</v>
      </c>
      <c r="B129" s="2">
        <v>42557</v>
      </c>
      <c r="C129" t="str">
        <f>+"Tuáº§n "&amp;WEEKNUM(B129)</f>
        <v>Tuáº§n 28</v>
      </c>
      <c r="D129" t="s">
        <v>19</v>
      </c>
      <c r="E129" t="s">
        <v>17</v>
      </c>
      <c r="F129" s="5">
        <v>35300000</v>
      </c>
      <c r="G129" s="5">
        <v>38300000</v>
      </c>
      <c r="H129" s="5">
        <f>+(M129*26000)/0.829426</f>
        <v>42785492.617786273</v>
      </c>
      <c r="I129" s="5">
        <f>+G129-H129</f>
        <v>-4485492.6177862734</v>
      </c>
      <c r="J129" s="5">
        <v>3000000</v>
      </c>
      <c r="K129" s="5">
        <v>3530000</v>
      </c>
      <c r="L129" s="5">
        <v>3830000</v>
      </c>
      <c r="M129" s="7">
        <v>1364.9</v>
      </c>
      <c r="N129" s="5">
        <v>35800000</v>
      </c>
      <c r="O129" s="5">
        <v>38800000</v>
      </c>
      <c r="P129" s="3">
        <v>0.97916666666666663</v>
      </c>
    </row>
    <row r="130" spans="1:16" x14ac:dyDescent="0.25">
      <c r="A130" s="2">
        <v>42558</v>
      </c>
      <c r="B130" s="2">
        <v>42558</v>
      </c>
      <c r="C130" t="str">
        <f>+"Tuáº§n "&amp;WEEKNUM(B130)</f>
        <v>Tuáº§n 28</v>
      </c>
      <c r="D130" t="s">
        <v>20</v>
      </c>
      <c r="E130" t="s">
        <v>17</v>
      </c>
      <c r="F130" s="5">
        <v>35100000</v>
      </c>
      <c r="G130" s="5">
        <v>38100000</v>
      </c>
      <c r="H130" s="5">
        <f>+(M130*26000)/0.829426</f>
        <v>42635027.115137458</v>
      </c>
      <c r="I130" s="5">
        <f>+G130-H130</f>
        <v>-4535027.1151374578</v>
      </c>
      <c r="J130" s="5">
        <v>3000000</v>
      </c>
      <c r="K130" s="5">
        <v>3510000</v>
      </c>
      <c r="L130" s="5">
        <v>3810000</v>
      </c>
      <c r="M130" s="7">
        <v>1360.1</v>
      </c>
      <c r="N130" s="5">
        <v>35600000</v>
      </c>
      <c r="O130" s="5">
        <v>38600000</v>
      </c>
      <c r="P130" s="3">
        <v>0.97916666666666663</v>
      </c>
    </row>
    <row r="131" spans="1:16" x14ac:dyDescent="0.25">
      <c r="A131" s="2">
        <v>42589</v>
      </c>
      <c r="B131" s="2">
        <v>42559</v>
      </c>
      <c r="C131" t="str">
        <f>+"Tuáº§n "&amp;WEEKNUM(B131)</f>
        <v>Tuáº§n 28</v>
      </c>
      <c r="D131" t="s">
        <v>21</v>
      </c>
      <c r="E131" t="s">
        <v>17</v>
      </c>
      <c r="F131" s="5">
        <v>35000000</v>
      </c>
      <c r="G131" s="5">
        <v>38000000</v>
      </c>
      <c r="H131" s="5">
        <f>+(M131*26000)/0.829426</f>
        <v>42525312.686122693</v>
      </c>
      <c r="I131" s="5">
        <f>+G131-H131</f>
        <v>-4525312.6861226931</v>
      </c>
      <c r="J131" s="5">
        <v>3000000</v>
      </c>
      <c r="K131" s="5">
        <v>3500000</v>
      </c>
      <c r="L131" s="5">
        <v>3800000</v>
      </c>
      <c r="M131" s="7">
        <v>1356.6</v>
      </c>
      <c r="N131" s="5">
        <v>35500000</v>
      </c>
      <c r="O131" s="5">
        <v>38500000</v>
      </c>
      <c r="P131" s="3">
        <v>0.97916666666666663</v>
      </c>
    </row>
    <row r="132" spans="1:16" x14ac:dyDescent="0.25">
      <c r="A132" s="2">
        <v>42681</v>
      </c>
      <c r="B132" s="2">
        <v>42562</v>
      </c>
      <c r="C132" t="str">
        <f>+"Tuáº§n "&amp;WEEKNUM(B132)</f>
        <v>Tuáº§n 29</v>
      </c>
      <c r="D132" t="s">
        <v>16</v>
      </c>
      <c r="E132" t="s">
        <v>17</v>
      </c>
      <c r="F132" s="5">
        <v>35000000</v>
      </c>
      <c r="G132" s="5">
        <v>38000000</v>
      </c>
      <c r="H132" s="5">
        <f>+(M132*26000)/0.829426</f>
        <v>42475157.518573083</v>
      </c>
      <c r="I132" s="5">
        <f>+G132-H132</f>
        <v>-4475157.518573083</v>
      </c>
      <c r="J132" s="5">
        <v>3000000</v>
      </c>
      <c r="K132" s="5">
        <v>3500000</v>
      </c>
      <c r="L132" s="5">
        <v>3800000</v>
      </c>
      <c r="M132" s="7">
        <v>1355</v>
      </c>
      <c r="N132" s="5">
        <v>35500000</v>
      </c>
      <c r="O132" s="5">
        <v>38500000</v>
      </c>
      <c r="P132" s="3">
        <v>0.97916666666666663</v>
      </c>
    </row>
    <row r="133" spans="1:16" x14ac:dyDescent="0.25">
      <c r="A133" s="2">
        <v>42711</v>
      </c>
      <c r="B133" s="2">
        <v>42563</v>
      </c>
      <c r="C133" t="str">
        <f>+"Tuáº§n "&amp;WEEKNUM(B133)</f>
        <v>Tuáº§n 29</v>
      </c>
      <c r="D133" t="s">
        <v>18</v>
      </c>
      <c r="E133" t="s">
        <v>17</v>
      </c>
      <c r="F133" s="5">
        <v>34400000</v>
      </c>
      <c r="G133" s="5">
        <v>37400000</v>
      </c>
      <c r="H133" s="5">
        <f>+(M133*26000)/0.829426</f>
        <v>41820005.642456353</v>
      </c>
      <c r="I133" s="5">
        <f>+G133-H133</f>
        <v>-4420005.6424563527</v>
      </c>
      <c r="J133" s="5">
        <v>3000000</v>
      </c>
      <c r="K133" s="5">
        <v>3440000</v>
      </c>
      <c r="L133" s="5">
        <v>3740000</v>
      </c>
      <c r="M133" s="7">
        <v>1334.1</v>
      </c>
      <c r="N133" s="5">
        <v>34900000</v>
      </c>
      <c r="O133" s="5">
        <v>37900000</v>
      </c>
      <c r="P133" s="3">
        <v>0.97916666666666663</v>
      </c>
    </row>
    <row r="134" spans="1:16" x14ac:dyDescent="0.25">
      <c r="A134" t="s">
        <v>96</v>
      </c>
      <c r="B134" s="2">
        <v>42564</v>
      </c>
      <c r="C134" t="str">
        <f>+"Tuáº§n "&amp;WEEKNUM(B134)</f>
        <v>Tuáº§n 29</v>
      </c>
      <c r="D134" t="s">
        <v>19</v>
      </c>
      <c r="E134" t="s">
        <v>17</v>
      </c>
      <c r="F134" s="5">
        <v>34600000</v>
      </c>
      <c r="G134" s="5">
        <v>37600000</v>
      </c>
      <c r="H134" s="5">
        <f>+(M134*26000)/0.829426</f>
        <v>42080185.574119933</v>
      </c>
      <c r="I134" s="5">
        <f>+G134-H134</f>
        <v>-4480185.5741199329</v>
      </c>
      <c r="J134" s="5">
        <v>3000000</v>
      </c>
      <c r="K134" s="5">
        <v>3460000</v>
      </c>
      <c r="L134" s="5">
        <v>3760000</v>
      </c>
      <c r="M134" s="7">
        <v>1342.4</v>
      </c>
      <c r="N134" s="5">
        <v>35100000</v>
      </c>
      <c r="O134" s="5">
        <v>38100000</v>
      </c>
      <c r="P134" s="3">
        <v>0.97916666666666663</v>
      </c>
    </row>
    <row r="135" spans="1:16" x14ac:dyDescent="0.25">
      <c r="A135" t="s">
        <v>97</v>
      </c>
      <c r="B135" s="2">
        <v>42565</v>
      </c>
      <c r="C135" t="str">
        <f>+"Tuáº§n "&amp;WEEKNUM(B135)</f>
        <v>Tuáº§n 29</v>
      </c>
      <c r="D135" t="s">
        <v>20</v>
      </c>
      <c r="E135" t="s">
        <v>17</v>
      </c>
      <c r="F135" s="5">
        <v>34300000</v>
      </c>
      <c r="G135" s="5">
        <v>37300000</v>
      </c>
      <c r="H135" s="5">
        <f>+(M135*26000)/0.829426</f>
        <v>41732234.099244535</v>
      </c>
      <c r="I135" s="5">
        <f>+G135-H135</f>
        <v>-4432234.099244535</v>
      </c>
      <c r="J135" s="5">
        <v>3000000</v>
      </c>
      <c r="K135" s="5">
        <v>3430000</v>
      </c>
      <c r="L135" s="5">
        <v>3730000</v>
      </c>
      <c r="M135" s="7">
        <v>1331.3</v>
      </c>
      <c r="N135" s="5">
        <v>34800000</v>
      </c>
      <c r="O135" s="5">
        <v>37800000</v>
      </c>
      <c r="P135" s="3">
        <v>0.97916666666666663</v>
      </c>
    </row>
    <row r="136" spans="1:16" x14ac:dyDescent="0.25">
      <c r="A136" t="s">
        <v>98</v>
      </c>
      <c r="B136" s="2">
        <v>42566</v>
      </c>
      <c r="C136" t="str">
        <f>+"Tuáº§n "&amp;WEEKNUM(B136)</f>
        <v>Tuáº§n 29</v>
      </c>
      <c r="D136" t="s">
        <v>21</v>
      </c>
      <c r="E136" t="s">
        <v>17</v>
      </c>
      <c r="F136" s="5">
        <v>34200000</v>
      </c>
      <c r="G136" s="5">
        <v>37200000</v>
      </c>
      <c r="H136" s="5">
        <f>+(M136*26000)/0.829426</f>
        <v>41581768.596595719</v>
      </c>
      <c r="I136" s="5">
        <f>+G136-H136</f>
        <v>-4381768.5965957195</v>
      </c>
      <c r="J136" s="5">
        <v>3000000</v>
      </c>
      <c r="K136" s="5">
        <v>3420000</v>
      </c>
      <c r="L136" s="5">
        <v>3720000</v>
      </c>
      <c r="M136" s="7">
        <v>1326.5</v>
      </c>
      <c r="N136" s="5">
        <v>34700000</v>
      </c>
      <c r="O136" s="5">
        <v>37700000</v>
      </c>
      <c r="P136" s="3">
        <v>0.97916666666666663</v>
      </c>
    </row>
    <row r="137" spans="1:16" x14ac:dyDescent="0.25">
      <c r="A137" t="s">
        <v>99</v>
      </c>
      <c r="B137" s="2">
        <v>42569</v>
      </c>
      <c r="C137" t="str">
        <f>+"Tuáº§n "&amp;WEEKNUM(B137)</f>
        <v>Tuáº§n 30</v>
      </c>
      <c r="D137" t="s">
        <v>16</v>
      </c>
      <c r="E137" t="s">
        <v>17</v>
      </c>
      <c r="F137" s="5">
        <v>34200000</v>
      </c>
      <c r="G137" s="5">
        <v>37200000</v>
      </c>
      <c r="H137" s="5">
        <f>+(M137*26000)/0.829426</f>
        <v>41641327.858060874</v>
      </c>
      <c r="I137" s="5">
        <f>+G137-H137</f>
        <v>-4441327.858060874</v>
      </c>
      <c r="J137" s="5">
        <v>3000000</v>
      </c>
      <c r="K137" s="5">
        <v>3420000</v>
      </c>
      <c r="L137" s="5">
        <v>3720000</v>
      </c>
      <c r="M137" s="7">
        <v>1328.4</v>
      </c>
      <c r="N137" s="5">
        <v>34700000</v>
      </c>
      <c r="O137" s="5">
        <v>37700000</v>
      </c>
      <c r="P137" s="3">
        <v>0.97916666666666663</v>
      </c>
    </row>
    <row r="138" spans="1:16" x14ac:dyDescent="0.25">
      <c r="A138" t="s">
        <v>100</v>
      </c>
      <c r="B138" s="2">
        <v>42570</v>
      </c>
      <c r="C138" t="str">
        <f>+"Tuáº§n "&amp;WEEKNUM(B138)</f>
        <v>Tuáº§n 30</v>
      </c>
      <c r="D138" t="s">
        <v>18</v>
      </c>
      <c r="E138" t="s">
        <v>17</v>
      </c>
      <c r="F138" s="5">
        <v>34300000</v>
      </c>
      <c r="G138" s="5">
        <v>37300000</v>
      </c>
      <c r="H138" s="5">
        <f>+(M138*26000)/0.829426</f>
        <v>41738503.495188236</v>
      </c>
      <c r="I138" s="5">
        <f>+G138-H138</f>
        <v>-4438503.4951882362</v>
      </c>
      <c r="J138" s="5">
        <v>3000000</v>
      </c>
      <c r="K138" s="5">
        <v>3430000</v>
      </c>
      <c r="L138" s="5">
        <v>3730000</v>
      </c>
      <c r="M138" s="7">
        <v>1331.5</v>
      </c>
      <c r="N138" s="5">
        <v>34800000</v>
      </c>
      <c r="O138" s="5">
        <v>37800000</v>
      </c>
      <c r="P138" s="3">
        <v>0.97916666666666663</v>
      </c>
    </row>
    <row r="139" spans="1:16" x14ac:dyDescent="0.25">
      <c r="A139" t="s">
        <v>101</v>
      </c>
      <c r="B139" s="2">
        <v>42571</v>
      </c>
      <c r="C139" t="str">
        <f>+"Tuáº§n "&amp;WEEKNUM(B139)</f>
        <v>Tuáº§n 30</v>
      </c>
      <c r="D139" t="s">
        <v>19</v>
      </c>
      <c r="E139" t="s">
        <v>17</v>
      </c>
      <c r="F139" s="5">
        <v>34000000</v>
      </c>
      <c r="G139" s="5">
        <v>37000000</v>
      </c>
      <c r="H139" s="5">
        <f>+(M139*26000)/0.829426</f>
        <v>41340396.852763236</v>
      </c>
      <c r="I139" s="5">
        <f>+G139-H139</f>
        <v>-4340396.8527632356</v>
      </c>
      <c r="J139" s="5">
        <v>3000000</v>
      </c>
      <c r="K139" s="5">
        <v>3400000</v>
      </c>
      <c r="L139" s="5">
        <v>3700000</v>
      </c>
      <c r="M139" s="7">
        <v>1318.8</v>
      </c>
      <c r="N139" s="5">
        <v>34500000</v>
      </c>
      <c r="O139" s="5">
        <v>37500000</v>
      </c>
      <c r="P139" s="3">
        <v>0.97916666666666663</v>
      </c>
    </row>
    <row r="140" spans="1:16" x14ac:dyDescent="0.25">
      <c r="A140" t="s">
        <v>102</v>
      </c>
      <c r="B140" s="2">
        <v>42572</v>
      </c>
      <c r="C140" t="str">
        <f>+"Tuáº§n "&amp;WEEKNUM(B140)</f>
        <v>Tuáº§n 30</v>
      </c>
      <c r="D140" t="s">
        <v>20</v>
      </c>
      <c r="E140" t="s">
        <v>17</v>
      </c>
      <c r="F140" s="5">
        <v>34300000</v>
      </c>
      <c r="G140" s="5">
        <v>37300000</v>
      </c>
      <c r="H140" s="5">
        <f>+(M140*26000)/0.829426</f>
        <v>41707156.515469737</v>
      </c>
      <c r="I140" s="5">
        <f>+G140-H140</f>
        <v>-4407156.5154697374</v>
      </c>
      <c r="J140" s="5">
        <v>3000000</v>
      </c>
      <c r="K140" s="5">
        <v>3430000</v>
      </c>
      <c r="L140" s="5">
        <v>3730000</v>
      </c>
      <c r="M140" s="7">
        <v>1330.5</v>
      </c>
      <c r="N140" s="5">
        <v>34800000</v>
      </c>
      <c r="O140" s="5">
        <v>37800000</v>
      </c>
      <c r="P140" s="3">
        <v>0.97916666666666663</v>
      </c>
    </row>
    <row r="141" spans="1:16" x14ac:dyDescent="0.25">
      <c r="A141" t="s">
        <v>103</v>
      </c>
      <c r="B141" s="2">
        <v>42573</v>
      </c>
      <c r="C141" t="str">
        <f>+"Tuáº§n "&amp;WEEKNUM(B141)</f>
        <v>Tuáº§n 30</v>
      </c>
      <c r="D141" t="s">
        <v>21</v>
      </c>
      <c r="E141" t="s">
        <v>17</v>
      </c>
      <c r="F141" s="5">
        <v>34100000</v>
      </c>
      <c r="G141" s="5">
        <v>37100000</v>
      </c>
      <c r="H141" s="5">
        <f>+(M141*26000)/0.829426</f>
        <v>41475188.865552805</v>
      </c>
      <c r="I141" s="5">
        <f>+G141-H141</f>
        <v>-4375188.8655528054</v>
      </c>
      <c r="J141" s="5">
        <v>3000000</v>
      </c>
      <c r="K141" s="5">
        <v>3410000</v>
      </c>
      <c r="L141" s="5">
        <v>3710000</v>
      </c>
      <c r="M141" s="7">
        <v>1323.1</v>
      </c>
      <c r="N141" s="5">
        <v>34600000</v>
      </c>
      <c r="O141" s="5">
        <v>37600000</v>
      </c>
      <c r="P141" s="3">
        <v>0.97916666666666663</v>
      </c>
    </row>
    <row r="142" spans="1:16" x14ac:dyDescent="0.25">
      <c r="A142" t="s">
        <v>104</v>
      </c>
      <c r="B142" s="2">
        <v>42576</v>
      </c>
      <c r="C142" t="str">
        <f>+"Tuáº§n "&amp;WEEKNUM(B142)</f>
        <v>Tuáº§n 31</v>
      </c>
      <c r="D142" t="s">
        <v>16</v>
      </c>
      <c r="E142" t="s">
        <v>17</v>
      </c>
      <c r="F142" s="5">
        <v>34000000</v>
      </c>
      <c r="G142" s="5">
        <v>37000000</v>
      </c>
      <c r="H142" s="5">
        <f>+(M142*26000)/0.829426</f>
        <v>41356070.342622489</v>
      </c>
      <c r="I142" s="5">
        <f>+G142-H142</f>
        <v>-4356070.3426224887</v>
      </c>
      <c r="J142" s="5">
        <v>3000000</v>
      </c>
      <c r="K142" s="5">
        <v>3400000</v>
      </c>
      <c r="L142" s="5">
        <v>3700000</v>
      </c>
      <c r="M142" s="7">
        <v>1319.3</v>
      </c>
      <c r="N142" s="5">
        <v>34500000</v>
      </c>
      <c r="O142" s="5">
        <v>37500000</v>
      </c>
      <c r="P142" s="3">
        <v>0.97916666666666663</v>
      </c>
    </row>
    <row r="143" spans="1:16" x14ac:dyDescent="0.25">
      <c r="A143" t="s">
        <v>105</v>
      </c>
      <c r="B143" s="2">
        <v>42577</v>
      </c>
      <c r="C143" t="str">
        <f>+"Tuáº§n "&amp;WEEKNUM(B143)</f>
        <v>Tuáº§n 31</v>
      </c>
      <c r="D143" t="s">
        <v>18</v>
      </c>
      <c r="E143" t="s">
        <v>17</v>
      </c>
      <c r="F143" s="5">
        <v>34000000</v>
      </c>
      <c r="G143" s="5">
        <v>37000000</v>
      </c>
      <c r="H143" s="5">
        <f>+(M143*26000)/0.829426</f>
        <v>41399956.114228398</v>
      </c>
      <c r="I143" s="5">
        <f>+G143-H143</f>
        <v>-4399956.1142283976</v>
      </c>
      <c r="J143" s="5">
        <v>3000000</v>
      </c>
      <c r="K143" s="5">
        <v>3400000</v>
      </c>
      <c r="L143" s="5">
        <v>3700000</v>
      </c>
      <c r="M143" s="7">
        <v>1320.7</v>
      </c>
      <c r="N143" s="5">
        <v>34500000</v>
      </c>
      <c r="O143" s="5">
        <v>37500000</v>
      </c>
      <c r="P143" s="3">
        <v>0.97916666666666663</v>
      </c>
    </row>
    <row r="144" spans="1:16" x14ac:dyDescent="0.25">
      <c r="A144" t="s">
        <v>106</v>
      </c>
      <c r="B144" s="2">
        <v>42578</v>
      </c>
      <c r="C144" t="str">
        <f>+"Tuáº§n "&amp;WEEKNUM(B144)</f>
        <v>Tuáº§n 31</v>
      </c>
      <c r="D144" t="s">
        <v>19</v>
      </c>
      <c r="E144" t="s">
        <v>17</v>
      </c>
      <c r="F144" s="5">
        <v>34200000</v>
      </c>
      <c r="G144" s="5">
        <v>37200000</v>
      </c>
      <c r="H144" s="5">
        <f>+(M144*26000)/0.829426</f>
        <v>41584903.29456757</v>
      </c>
      <c r="I144" s="5">
        <f>+G144-H144</f>
        <v>-4384903.2945675701</v>
      </c>
      <c r="J144" s="5">
        <v>3000000</v>
      </c>
      <c r="K144" s="5">
        <v>3420000</v>
      </c>
      <c r="L144" s="5">
        <v>3720000</v>
      </c>
      <c r="M144" s="7">
        <v>1326.6</v>
      </c>
      <c r="N144" s="5">
        <v>34700000</v>
      </c>
      <c r="O144" s="5">
        <v>37700000</v>
      </c>
      <c r="P144" s="3">
        <v>0.97916666666666663</v>
      </c>
    </row>
    <row r="145" spans="1:16" x14ac:dyDescent="0.25">
      <c r="A145" t="s">
        <v>107</v>
      </c>
      <c r="B145" s="2">
        <v>42579</v>
      </c>
      <c r="C145" t="str">
        <f>+"Tuáº§n "&amp;WEEKNUM(B145)</f>
        <v>Tuáº§n 31</v>
      </c>
      <c r="D145" t="s">
        <v>20</v>
      </c>
      <c r="E145" t="s">
        <v>17</v>
      </c>
      <c r="F145" s="5">
        <v>34300000</v>
      </c>
      <c r="G145" s="5">
        <v>37300000</v>
      </c>
      <c r="H145" s="5">
        <f>+(M145*26000)/0.829426</f>
        <v>41763581.078963041</v>
      </c>
      <c r="I145" s="5">
        <f>+G145-H145</f>
        <v>-4463581.0789630413</v>
      </c>
      <c r="J145" s="5">
        <v>3000000</v>
      </c>
      <c r="K145" s="5">
        <v>3430000</v>
      </c>
      <c r="L145" s="5">
        <v>3730000</v>
      </c>
      <c r="M145" s="7">
        <v>1332.3</v>
      </c>
      <c r="N145" s="5">
        <v>34800000</v>
      </c>
      <c r="O145" s="5">
        <v>37800000</v>
      </c>
      <c r="P145" s="3">
        <v>0.97916666666666663</v>
      </c>
    </row>
    <row r="146" spans="1:16" x14ac:dyDescent="0.25">
      <c r="A146" t="s">
        <v>108</v>
      </c>
      <c r="B146" s="2">
        <v>42580</v>
      </c>
      <c r="C146" t="str">
        <f>+"Tuáº§n "&amp;WEEKNUM(B146)</f>
        <v>Tuáº§n 31</v>
      </c>
      <c r="D146" t="s">
        <v>21</v>
      </c>
      <c r="E146" t="s">
        <v>17</v>
      </c>
      <c r="F146" s="5">
        <v>34800000</v>
      </c>
      <c r="G146" s="5">
        <v>37800000</v>
      </c>
      <c r="H146" s="5">
        <f>+(M146*26000)/0.829426</f>
        <v>42287075.64026206</v>
      </c>
      <c r="I146" s="5">
        <f>+G146-H146</f>
        <v>-4487075.6402620599</v>
      </c>
      <c r="J146" s="5">
        <v>3000000</v>
      </c>
      <c r="K146" s="5">
        <v>3480000</v>
      </c>
      <c r="L146" s="5">
        <v>3780000</v>
      </c>
      <c r="M146" s="7">
        <v>1349</v>
      </c>
      <c r="N146" s="5">
        <v>35300000</v>
      </c>
      <c r="O146" s="5">
        <v>38300000</v>
      </c>
      <c r="P146" s="3">
        <v>0.97916666666666663</v>
      </c>
    </row>
    <row r="147" spans="1:16" x14ac:dyDescent="0.25">
      <c r="A147" s="2">
        <v>42377</v>
      </c>
      <c r="B147" s="2">
        <v>42583</v>
      </c>
      <c r="C147" t="str">
        <f>+"Tuáº§n "&amp;WEEKNUM(B147)</f>
        <v>Tuáº§n 32</v>
      </c>
      <c r="D147" t="s">
        <v>16</v>
      </c>
      <c r="E147" t="s">
        <v>17</v>
      </c>
      <c r="F147" s="5">
        <v>34900000</v>
      </c>
      <c r="G147" s="5">
        <v>37900000</v>
      </c>
      <c r="H147" s="5">
        <f>+(M147*26000)/0.829426</f>
        <v>42362308.391586468</v>
      </c>
      <c r="I147" s="5">
        <f>+G147-H147</f>
        <v>-4462308.3915864676</v>
      </c>
      <c r="J147" s="5">
        <v>3000000</v>
      </c>
      <c r="K147" s="5">
        <v>3490000</v>
      </c>
      <c r="L147" s="5">
        <v>3790000</v>
      </c>
      <c r="M147" s="7">
        <v>1351.4</v>
      </c>
      <c r="N147" s="5">
        <v>35400000</v>
      </c>
      <c r="O147" s="5">
        <v>38400000</v>
      </c>
      <c r="P147" s="3">
        <v>0.97916666666666663</v>
      </c>
    </row>
    <row r="148" spans="1:16" x14ac:dyDescent="0.25">
      <c r="A148" s="2">
        <v>42408</v>
      </c>
      <c r="B148" s="2">
        <v>42584</v>
      </c>
      <c r="C148" t="str">
        <f>+"Tuáº§n "&amp;WEEKNUM(B148)</f>
        <v>Tuáº§n 32</v>
      </c>
      <c r="D148" t="s">
        <v>18</v>
      </c>
      <c r="E148" t="s">
        <v>17</v>
      </c>
      <c r="F148" s="5">
        <v>35200000</v>
      </c>
      <c r="G148" s="5">
        <v>38200000</v>
      </c>
      <c r="H148" s="5">
        <f>+(M148*26000)/0.829426</f>
        <v>42769819.127927028</v>
      </c>
      <c r="I148" s="5">
        <f>+G148-H148</f>
        <v>-4569819.1279270276</v>
      </c>
      <c r="J148" s="5">
        <v>3000000</v>
      </c>
      <c r="K148" s="5">
        <v>3520000</v>
      </c>
      <c r="L148" s="5">
        <v>3820000</v>
      </c>
      <c r="M148" s="7">
        <v>1364.4</v>
      </c>
      <c r="N148" s="5">
        <v>35700000</v>
      </c>
      <c r="O148" s="5">
        <v>38700000</v>
      </c>
      <c r="P148" s="3">
        <v>0.97916666666666663</v>
      </c>
    </row>
    <row r="149" spans="1:16" x14ac:dyDescent="0.25">
      <c r="A149" s="2">
        <v>42437</v>
      </c>
      <c r="B149" s="2">
        <v>42585</v>
      </c>
      <c r="C149" t="str">
        <f>+"Tuáº§n "&amp;WEEKNUM(B149)</f>
        <v>Tuáº§n 32</v>
      </c>
      <c r="D149" t="s">
        <v>19</v>
      </c>
      <c r="E149" t="s">
        <v>17</v>
      </c>
      <c r="F149" s="5">
        <v>35000000</v>
      </c>
      <c r="G149" s="5">
        <v>38000000</v>
      </c>
      <c r="H149" s="5">
        <f>+(M149*26000)/0.829426</f>
        <v>42509639.19626344</v>
      </c>
      <c r="I149" s="5">
        <f>+G149-H149</f>
        <v>-4509639.19626344</v>
      </c>
      <c r="J149" s="5">
        <v>3000000</v>
      </c>
      <c r="K149" s="5">
        <v>3500000</v>
      </c>
      <c r="L149" s="5">
        <v>3800000</v>
      </c>
      <c r="M149" s="7">
        <v>1356.1</v>
      </c>
      <c r="N149" s="5">
        <v>35500000</v>
      </c>
      <c r="O149" s="5">
        <v>38500000</v>
      </c>
      <c r="P149" s="3">
        <v>0.97916666666666663</v>
      </c>
    </row>
    <row r="150" spans="1:16" x14ac:dyDescent="0.25">
      <c r="A150" s="2">
        <v>42468</v>
      </c>
      <c r="B150" s="2">
        <v>42586</v>
      </c>
      <c r="C150" t="str">
        <f>+"Tuáº§n "&amp;WEEKNUM(B150)</f>
        <v>Tuáº§n 32</v>
      </c>
      <c r="D150" t="s">
        <v>20</v>
      </c>
      <c r="E150" t="s">
        <v>17</v>
      </c>
      <c r="F150" s="5">
        <v>35100000</v>
      </c>
      <c r="G150" s="5">
        <v>38100000</v>
      </c>
      <c r="H150" s="5">
        <f>+(M150*26000)/0.829426</f>
        <v>42594276.0415034</v>
      </c>
      <c r="I150" s="5">
        <f>+G150-H150</f>
        <v>-4494276.0415033996</v>
      </c>
      <c r="J150" s="5">
        <v>3000000</v>
      </c>
      <c r="K150" s="5">
        <v>3510000</v>
      </c>
      <c r="L150" s="5">
        <v>3810000</v>
      </c>
      <c r="M150" s="7">
        <v>1358.8</v>
      </c>
      <c r="N150" s="5">
        <v>35600000</v>
      </c>
      <c r="O150" s="5">
        <v>38600000</v>
      </c>
      <c r="P150" s="3">
        <v>0.97916666666666663</v>
      </c>
    </row>
    <row r="151" spans="1:16" x14ac:dyDescent="0.25">
      <c r="A151" s="2">
        <v>42498</v>
      </c>
      <c r="B151" s="2">
        <v>42587</v>
      </c>
      <c r="C151" t="str">
        <f>+"Tuáº§n "&amp;WEEKNUM(B151)</f>
        <v>Tuáº§n 32</v>
      </c>
      <c r="D151" t="s">
        <v>21</v>
      </c>
      <c r="E151" t="s">
        <v>17</v>
      </c>
      <c r="F151" s="5">
        <v>34500000</v>
      </c>
      <c r="G151" s="5">
        <v>37500000</v>
      </c>
      <c r="H151" s="5">
        <f>+(M151*26000)/0.829426</f>
        <v>41892103.69580891</v>
      </c>
      <c r="I151" s="5">
        <f>+G151-H151</f>
        <v>-4392103.6958089098</v>
      </c>
      <c r="J151" s="5">
        <v>3000000</v>
      </c>
      <c r="K151" s="5">
        <v>3450000</v>
      </c>
      <c r="L151" s="5">
        <v>3750000</v>
      </c>
      <c r="M151" s="7">
        <v>1336.4</v>
      </c>
      <c r="N151" s="5">
        <v>35000000</v>
      </c>
      <c r="O151" s="5">
        <v>38000000</v>
      </c>
      <c r="P151" s="3">
        <v>0.97916666666666663</v>
      </c>
    </row>
    <row r="152" spans="1:16" x14ac:dyDescent="0.25">
      <c r="A152" s="2">
        <v>42590</v>
      </c>
      <c r="B152" s="2">
        <v>42590</v>
      </c>
      <c r="C152" t="str">
        <f>+"Tuáº§n "&amp;WEEKNUM(B152)</f>
        <v>Tuáº§n 33</v>
      </c>
      <c r="D152" t="s">
        <v>16</v>
      </c>
      <c r="E152" t="s">
        <v>17</v>
      </c>
      <c r="F152" s="5">
        <v>34400000</v>
      </c>
      <c r="G152" s="5">
        <v>37400000</v>
      </c>
      <c r="H152" s="5">
        <f>+(M152*26000)/0.829426</f>
        <v>41798062.756653398</v>
      </c>
      <c r="I152" s="5">
        <f>+G152-H152</f>
        <v>-4398062.7566533983</v>
      </c>
      <c r="J152" s="5">
        <v>3000000</v>
      </c>
      <c r="K152" s="5">
        <v>3440000</v>
      </c>
      <c r="L152" s="5">
        <v>3740000</v>
      </c>
      <c r="M152" s="7">
        <v>1333.4</v>
      </c>
      <c r="N152" s="5">
        <v>34900000</v>
      </c>
      <c r="O152" s="5">
        <v>37900000</v>
      </c>
      <c r="P152" s="3">
        <v>0.97916666666666663</v>
      </c>
    </row>
    <row r="153" spans="1:16" x14ac:dyDescent="0.25">
      <c r="A153" s="2">
        <v>42621</v>
      </c>
      <c r="B153" s="2">
        <v>42591</v>
      </c>
      <c r="C153" t="str">
        <f>+"Tuáº§n "&amp;WEEKNUM(B153)</f>
        <v>Tuáº§n 33</v>
      </c>
      <c r="D153" t="s">
        <v>18</v>
      </c>
      <c r="E153" t="s">
        <v>17</v>
      </c>
      <c r="F153" s="5">
        <v>34500000</v>
      </c>
      <c r="G153" s="5">
        <v>37500000</v>
      </c>
      <c r="H153" s="5">
        <f>+(M153*26000)/0.829426</f>
        <v>41973605.843077019</v>
      </c>
      <c r="I153" s="5">
        <f>+G153-H153</f>
        <v>-4473605.8430770189</v>
      </c>
      <c r="J153" s="5">
        <v>3000000</v>
      </c>
      <c r="K153" s="5">
        <v>3450000</v>
      </c>
      <c r="L153" s="5">
        <v>3750000</v>
      </c>
      <c r="M153" s="7">
        <v>1339</v>
      </c>
      <c r="N153" s="5">
        <v>35000000</v>
      </c>
      <c r="O153" s="5">
        <v>38000000</v>
      </c>
      <c r="P153" s="3">
        <v>0.97916666666666663</v>
      </c>
    </row>
    <row r="154" spans="1:16" x14ac:dyDescent="0.25">
      <c r="A154" s="2">
        <v>42651</v>
      </c>
      <c r="B154" s="2">
        <v>42592</v>
      </c>
      <c r="C154" t="str">
        <f>+"Tuáº§n "&amp;WEEKNUM(B154)</f>
        <v>Tuáº§n 33</v>
      </c>
      <c r="D154" t="s">
        <v>19</v>
      </c>
      <c r="E154" t="s">
        <v>17</v>
      </c>
      <c r="F154" s="5">
        <v>34700000</v>
      </c>
      <c r="G154" s="5">
        <v>37700000</v>
      </c>
      <c r="H154" s="5">
        <f>+(M154*26000)/0.829426</f>
        <v>42139744.835585095</v>
      </c>
      <c r="I154" s="5">
        <f>+G154-H154</f>
        <v>-4439744.835585095</v>
      </c>
      <c r="J154" s="5">
        <v>3000000</v>
      </c>
      <c r="K154" s="5">
        <v>3470000</v>
      </c>
      <c r="L154" s="5">
        <v>3770000</v>
      </c>
      <c r="M154" s="7">
        <v>1344.3</v>
      </c>
      <c r="N154" s="5">
        <v>35200000</v>
      </c>
      <c r="O154" s="5">
        <v>38200000</v>
      </c>
      <c r="P154" s="3">
        <v>0.97916666666666663</v>
      </c>
    </row>
    <row r="155" spans="1:16" x14ac:dyDescent="0.25">
      <c r="A155" s="2">
        <v>42682</v>
      </c>
      <c r="B155" s="2">
        <v>42593</v>
      </c>
      <c r="C155" t="str">
        <f>+"Tuáº§n "&amp;WEEKNUM(B155)</f>
        <v>Tuáº§n 33</v>
      </c>
      <c r="D155" t="s">
        <v>20</v>
      </c>
      <c r="E155" t="s">
        <v>17</v>
      </c>
      <c r="F155" s="5">
        <v>34600000</v>
      </c>
      <c r="G155" s="5">
        <v>37600000</v>
      </c>
      <c r="H155" s="5">
        <f>+(M155*26000)/0.829426</f>
        <v>42083320.272091784</v>
      </c>
      <c r="I155" s="5">
        <f>+G155-H155</f>
        <v>-4483320.2720917836</v>
      </c>
      <c r="J155" s="5">
        <v>3000000</v>
      </c>
      <c r="K155" s="5">
        <v>3460000</v>
      </c>
      <c r="L155" s="5">
        <v>3760000</v>
      </c>
      <c r="M155" s="7">
        <v>1342.5</v>
      </c>
      <c r="N155" s="5">
        <v>35100000</v>
      </c>
      <c r="O155" s="5">
        <v>38100000</v>
      </c>
      <c r="P155" s="3">
        <v>0.97916666666666663</v>
      </c>
    </row>
    <row r="156" spans="1:16" x14ac:dyDescent="0.25">
      <c r="A156" s="2">
        <v>42712</v>
      </c>
      <c r="B156" s="2">
        <v>42594</v>
      </c>
      <c r="C156" t="str">
        <f>+"Tuáº§n "&amp;WEEKNUM(B156)</f>
        <v>Tuáº§n 33</v>
      </c>
      <c r="D156" t="s">
        <v>21</v>
      </c>
      <c r="E156" t="s">
        <v>17</v>
      </c>
      <c r="F156" s="5">
        <v>34400000</v>
      </c>
      <c r="G156" s="5">
        <v>37400000</v>
      </c>
      <c r="H156" s="5">
        <f>+(M156*26000)/0.829426</f>
        <v>41873295.507977806</v>
      </c>
      <c r="I156" s="5">
        <f>+G156-H156</f>
        <v>-4473295.507977806</v>
      </c>
      <c r="J156" s="5">
        <v>3000000</v>
      </c>
      <c r="K156" s="5">
        <v>3440000</v>
      </c>
      <c r="L156" s="5">
        <v>3740000</v>
      </c>
      <c r="M156" s="7">
        <v>1335.8</v>
      </c>
      <c r="N156" s="5">
        <v>34900000</v>
      </c>
      <c r="O156" s="5">
        <v>37900000</v>
      </c>
      <c r="P156" s="3">
        <v>0.97916666666666663</v>
      </c>
    </row>
    <row r="157" spans="1:16" x14ac:dyDescent="0.25">
      <c r="A157" t="s">
        <v>109</v>
      </c>
      <c r="B157" s="2">
        <v>42597</v>
      </c>
      <c r="C157" t="str">
        <f>+"Tuáº§n "&amp;WEEKNUM(B157)</f>
        <v>Tuáº§n 34</v>
      </c>
      <c r="D157" t="s">
        <v>16</v>
      </c>
      <c r="E157" t="s">
        <v>17</v>
      </c>
      <c r="F157" s="5">
        <v>34600000</v>
      </c>
      <c r="G157" s="5">
        <v>37600000</v>
      </c>
      <c r="H157" s="5">
        <f>+(M157*26000)/0.829426</f>
        <v>42014356.916711077</v>
      </c>
      <c r="I157" s="5">
        <f>+G157-H157</f>
        <v>-4414356.9167110771</v>
      </c>
      <c r="J157" s="5">
        <v>3000000</v>
      </c>
      <c r="K157" s="5">
        <v>3460000</v>
      </c>
      <c r="L157" s="5">
        <v>3760000</v>
      </c>
      <c r="M157" s="7">
        <v>1340.3</v>
      </c>
      <c r="N157" s="5">
        <v>35100000</v>
      </c>
      <c r="O157" s="5">
        <v>38100000</v>
      </c>
      <c r="P157" s="3">
        <v>0.97916666666666663</v>
      </c>
    </row>
    <row r="158" spans="1:16" x14ac:dyDescent="0.25">
      <c r="A158" t="s">
        <v>110</v>
      </c>
      <c r="B158" s="2">
        <v>42598</v>
      </c>
      <c r="C158" t="str">
        <f>+"Tuáº§n "&amp;WEEKNUM(B158)</f>
        <v>Tuáº§n 34</v>
      </c>
      <c r="D158" t="s">
        <v>18</v>
      </c>
      <c r="E158" t="s">
        <v>17</v>
      </c>
      <c r="F158" s="5">
        <v>34800000</v>
      </c>
      <c r="G158" s="5">
        <v>37800000</v>
      </c>
      <c r="H158" s="5">
        <f>+(M158*26000)/0.829426</f>
        <v>42334096.109839819</v>
      </c>
      <c r="I158" s="5">
        <f>+G158-H158</f>
        <v>-4534096.1098398194</v>
      </c>
      <c r="J158" s="5">
        <v>3000000</v>
      </c>
      <c r="K158" s="5">
        <v>3480000</v>
      </c>
      <c r="L158" s="5">
        <v>3780000</v>
      </c>
      <c r="M158" s="7">
        <v>1350.5</v>
      </c>
      <c r="N158" s="5">
        <v>35300000</v>
      </c>
      <c r="O158" s="5">
        <v>38300000</v>
      </c>
      <c r="P158" s="3">
        <v>0.97916666666666663</v>
      </c>
    </row>
    <row r="159" spans="1:16" x14ac:dyDescent="0.25">
      <c r="A159" t="s">
        <v>111</v>
      </c>
      <c r="B159" s="2">
        <v>42599</v>
      </c>
      <c r="C159" t="str">
        <f>+"Tuáº§n "&amp;WEEKNUM(B159)</f>
        <v>Tuáº§n 34</v>
      </c>
      <c r="D159" t="s">
        <v>19</v>
      </c>
      <c r="E159" t="s">
        <v>17</v>
      </c>
      <c r="F159" s="5">
        <v>34600000</v>
      </c>
      <c r="G159" s="5">
        <v>37600000</v>
      </c>
      <c r="H159" s="5">
        <f>+(M159*26000)/0.829426</f>
        <v>42089589.668035485</v>
      </c>
      <c r="I159" s="5">
        <f>+G159-H159</f>
        <v>-4489589.6680354849</v>
      </c>
      <c r="J159" s="5">
        <v>3000000</v>
      </c>
      <c r="K159" s="5">
        <v>3460000</v>
      </c>
      <c r="L159" s="5">
        <v>3760000</v>
      </c>
      <c r="M159" s="7">
        <v>1342.7</v>
      </c>
      <c r="N159" s="5">
        <v>35100000</v>
      </c>
      <c r="O159" s="5">
        <v>38100000</v>
      </c>
      <c r="P159" s="3">
        <v>0.97916666666666663</v>
      </c>
    </row>
    <row r="160" spans="1:16" x14ac:dyDescent="0.25">
      <c r="A160" t="s">
        <v>112</v>
      </c>
      <c r="B160" s="2">
        <v>42600</v>
      </c>
      <c r="C160" t="str">
        <f>+"Tuáº§n "&amp;WEEKNUM(B160)</f>
        <v>Tuáº§n 34</v>
      </c>
      <c r="D160" t="s">
        <v>20</v>
      </c>
      <c r="E160" t="s">
        <v>17</v>
      </c>
      <c r="F160" s="5">
        <v>34900000</v>
      </c>
      <c r="G160" s="5">
        <v>37900000</v>
      </c>
      <c r="H160" s="5">
        <f>+(M160*26000)/0.829426</f>
        <v>42356038.995642766</v>
      </c>
      <c r="I160" s="5">
        <f>+G160-H160</f>
        <v>-4456038.9956427664</v>
      </c>
      <c r="J160" s="5">
        <v>3000000</v>
      </c>
      <c r="K160" s="5">
        <v>3490000</v>
      </c>
      <c r="L160" s="5">
        <v>3790000</v>
      </c>
      <c r="M160" s="7">
        <v>1351.2</v>
      </c>
      <c r="N160" s="5">
        <v>35400000</v>
      </c>
      <c r="O160" s="5">
        <v>38400000</v>
      </c>
      <c r="P160" s="3">
        <v>0.97916666666666663</v>
      </c>
    </row>
    <row r="161" spans="1:16" x14ac:dyDescent="0.25">
      <c r="A161" t="s">
        <v>113</v>
      </c>
      <c r="B161" s="2">
        <v>42601</v>
      </c>
      <c r="C161" t="str">
        <f>+"Tuáº§n "&amp;WEEKNUM(B161)</f>
        <v>Tuáº§n 34</v>
      </c>
      <c r="D161" t="s">
        <v>21</v>
      </c>
      <c r="E161" t="s">
        <v>17</v>
      </c>
      <c r="F161" s="5">
        <v>34600000</v>
      </c>
      <c r="G161" s="5">
        <v>37600000</v>
      </c>
      <c r="H161" s="5">
        <f>+(M161*26000)/0.829426</f>
        <v>42017491.614682928</v>
      </c>
      <c r="I161" s="5">
        <f>+G161-H161</f>
        <v>-4417491.6146829277</v>
      </c>
      <c r="J161" s="5">
        <v>3000000</v>
      </c>
      <c r="K161" s="5">
        <v>3460000</v>
      </c>
      <c r="L161" s="5">
        <v>3760000</v>
      </c>
      <c r="M161" s="7">
        <v>1340.4</v>
      </c>
      <c r="N161" s="5">
        <v>35100000</v>
      </c>
      <c r="O161" s="5">
        <v>38100000</v>
      </c>
      <c r="P161" s="3">
        <v>0.97916666666666663</v>
      </c>
    </row>
    <row r="162" spans="1:16" x14ac:dyDescent="0.25">
      <c r="A162" t="s">
        <v>114</v>
      </c>
      <c r="B162" s="2">
        <v>42604</v>
      </c>
      <c r="C162" t="str">
        <f>+"Tuáº§n "&amp;WEEKNUM(B162)</f>
        <v>Tuáº§n 35</v>
      </c>
      <c r="D162" t="s">
        <v>16</v>
      </c>
      <c r="E162" t="s">
        <v>17</v>
      </c>
      <c r="F162" s="5">
        <v>34500000</v>
      </c>
      <c r="G162" s="5">
        <v>37500000</v>
      </c>
      <c r="H162" s="5">
        <f>+(M162*26000)/0.829426</f>
        <v>41932854.769442961</v>
      </c>
      <c r="I162" s="5">
        <f>+G162-H162</f>
        <v>-4432854.7694429606</v>
      </c>
      <c r="J162" s="5">
        <v>3000000</v>
      </c>
      <c r="K162" s="5">
        <v>3450000</v>
      </c>
      <c r="L162" s="5">
        <v>3750000</v>
      </c>
      <c r="M162" s="7">
        <v>1337.7</v>
      </c>
      <c r="N162" s="5">
        <v>35000000</v>
      </c>
      <c r="O162" s="5">
        <v>38000000</v>
      </c>
      <c r="P162" s="3">
        <v>0.97916666666666663</v>
      </c>
    </row>
    <row r="163" spans="1:16" x14ac:dyDescent="0.25">
      <c r="A163" t="s">
        <v>115</v>
      </c>
      <c r="B163" s="2">
        <v>42605</v>
      </c>
      <c r="C163" t="str">
        <f>+"Tuáº§n "&amp;WEEKNUM(B163)</f>
        <v>Tuáº§n 35</v>
      </c>
      <c r="D163" t="s">
        <v>18</v>
      </c>
      <c r="E163" t="s">
        <v>17</v>
      </c>
      <c r="F163" s="5">
        <v>34600000</v>
      </c>
      <c r="G163" s="5">
        <v>37600000</v>
      </c>
      <c r="H163" s="5">
        <f>+(M163*26000)/0.829426</f>
        <v>42023761.010626629</v>
      </c>
      <c r="I163" s="5">
        <f>+G163-H163</f>
        <v>-4423761.010626629</v>
      </c>
      <c r="J163" s="5">
        <v>3000000</v>
      </c>
      <c r="K163" s="5">
        <v>3460000</v>
      </c>
      <c r="L163" s="5">
        <v>3760000</v>
      </c>
      <c r="M163" s="7">
        <v>1340.6</v>
      </c>
      <c r="N163" s="5">
        <v>35100000</v>
      </c>
      <c r="O163" s="5">
        <v>38100000</v>
      </c>
      <c r="P163" s="3">
        <v>0.97916666666666663</v>
      </c>
    </row>
    <row r="164" spans="1:16" x14ac:dyDescent="0.25">
      <c r="A164" t="s">
        <v>116</v>
      </c>
      <c r="B164" s="2">
        <v>42606</v>
      </c>
      <c r="C164" t="str">
        <f>+"Tuáº§n "&amp;WEEKNUM(B164)</f>
        <v>Tuáº§n 35</v>
      </c>
      <c r="D164" t="s">
        <v>19</v>
      </c>
      <c r="E164" t="s">
        <v>17</v>
      </c>
      <c r="F164" s="5">
        <v>34100000</v>
      </c>
      <c r="G164" s="5">
        <v>37100000</v>
      </c>
      <c r="H164" s="5">
        <f>+(M164*26000)/0.829426</f>
        <v>41515939.939186856</v>
      </c>
      <c r="I164" s="5">
        <f>+G164-H164</f>
        <v>-4415939.9391868562</v>
      </c>
      <c r="J164" s="5">
        <v>3000000</v>
      </c>
      <c r="K164" s="5">
        <v>3410000</v>
      </c>
      <c r="L164" s="5">
        <v>3710000</v>
      </c>
      <c r="M164" s="7">
        <v>1324.4</v>
      </c>
      <c r="N164" s="5">
        <v>34600000</v>
      </c>
      <c r="O164" s="5">
        <v>37600000</v>
      </c>
      <c r="P164" s="3">
        <v>0.97916666666666663</v>
      </c>
    </row>
    <row r="165" spans="1:16" x14ac:dyDescent="0.25">
      <c r="A165" t="s">
        <v>117</v>
      </c>
      <c r="B165" s="2">
        <v>42607</v>
      </c>
      <c r="C165" t="str">
        <f>+"Tuáº§n "&amp;WEEKNUM(B165)</f>
        <v>Tuáº§n 35</v>
      </c>
      <c r="D165" t="s">
        <v>20</v>
      </c>
      <c r="E165" t="s">
        <v>17</v>
      </c>
      <c r="F165" s="5">
        <v>34000000</v>
      </c>
      <c r="G165" s="5">
        <v>37000000</v>
      </c>
      <c r="H165" s="5">
        <f>+(M165*26000)/0.829426</f>
        <v>41381147.926397294</v>
      </c>
      <c r="I165" s="5">
        <f>+G165-H165</f>
        <v>-4381147.9263972938</v>
      </c>
      <c r="J165" s="5">
        <v>3000000</v>
      </c>
      <c r="K165" s="5">
        <v>3400000</v>
      </c>
      <c r="L165" s="5">
        <v>3700000</v>
      </c>
      <c r="M165" s="7">
        <v>1320.1</v>
      </c>
      <c r="N165" s="5">
        <v>34500000</v>
      </c>
      <c r="O165" s="5">
        <v>37500000</v>
      </c>
      <c r="P165" s="3">
        <v>0.97916666666666663</v>
      </c>
    </row>
    <row r="166" spans="1:16" x14ac:dyDescent="0.25">
      <c r="A166" t="s">
        <v>118</v>
      </c>
      <c r="B166" s="2">
        <v>42608</v>
      </c>
      <c r="C166" t="str">
        <f>+"Tuáº§n "&amp;WEEKNUM(B166)</f>
        <v>Tuáº§n 35</v>
      </c>
      <c r="D166" t="s">
        <v>21</v>
      </c>
      <c r="E166" t="s">
        <v>17</v>
      </c>
      <c r="F166" s="5">
        <v>34000000</v>
      </c>
      <c r="G166" s="5">
        <v>37000000</v>
      </c>
      <c r="H166" s="5">
        <f>+(M166*26000)/0.829426</f>
        <v>41425033.698003195</v>
      </c>
      <c r="I166" s="5">
        <f>+G166-H166</f>
        <v>-4425033.6980031952</v>
      </c>
      <c r="J166" s="5">
        <v>3000000</v>
      </c>
      <c r="K166" s="5">
        <v>3400000</v>
      </c>
      <c r="L166" s="5">
        <v>3700000</v>
      </c>
      <c r="M166" s="7">
        <v>1321.5</v>
      </c>
      <c r="N166" s="5">
        <v>34500000</v>
      </c>
      <c r="O166" s="5">
        <v>37500000</v>
      </c>
      <c r="P166" s="3">
        <v>0.97916666666666663</v>
      </c>
    </row>
    <row r="167" spans="1:16" x14ac:dyDescent="0.25">
      <c r="A167" t="s">
        <v>119</v>
      </c>
      <c r="B167" s="2">
        <v>42611</v>
      </c>
      <c r="C167" t="str">
        <f>+"Tuáº§n "&amp;WEEKNUM(B167)</f>
        <v>Tuáº§n 36</v>
      </c>
      <c r="D167" t="s">
        <v>16</v>
      </c>
      <c r="E167" t="s">
        <v>17</v>
      </c>
      <c r="F167" s="5">
        <v>34100000</v>
      </c>
      <c r="G167" s="5">
        <v>37100000</v>
      </c>
      <c r="H167" s="5">
        <f>+(M167*26000)/0.829426</f>
        <v>41468919.469609104</v>
      </c>
      <c r="I167" s="5">
        <f>+G167-H167</f>
        <v>-4368919.4696091041</v>
      </c>
      <c r="J167" s="5">
        <v>3000000</v>
      </c>
      <c r="K167" s="5">
        <v>3410000</v>
      </c>
      <c r="L167" s="5">
        <v>3710000</v>
      </c>
      <c r="M167" s="7">
        <v>1322.9</v>
      </c>
      <c r="N167" s="5">
        <v>34600000</v>
      </c>
      <c r="O167" s="5">
        <v>37600000</v>
      </c>
      <c r="P167" s="3">
        <v>0.97916666666666663</v>
      </c>
    </row>
    <row r="168" spans="1:16" x14ac:dyDescent="0.25">
      <c r="A168" t="s">
        <v>120</v>
      </c>
      <c r="B168" s="2">
        <v>42612</v>
      </c>
      <c r="C168" t="str">
        <f>+"Tuáº§n "&amp;WEEKNUM(B168)</f>
        <v>Tuáº§n 36</v>
      </c>
      <c r="D168" t="s">
        <v>18</v>
      </c>
      <c r="E168" t="s">
        <v>17</v>
      </c>
      <c r="F168" s="5">
        <v>33800000</v>
      </c>
      <c r="G168" s="5">
        <v>36800000</v>
      </c>
      <c r="H168" s="5">
        <f>+(M168*26000)/0.829426</f>
        <v>41117833.296761855</v>
      </c>
      <c r="I168" s="5">
        <f>+G168-H168</f>
        <v>-4317833.2967618555</v>
      </c>
      <c r="J168" s="5">
        <v>3000000</v>
      </c>
      <c r="K168" s="5">
        <v>3380000</v>
      </c>
      <c r="L168" s="5">
        <v>3680000</v>
      </c>
      <c r="M168" s="7">
        <v>1311.7</v>
      </c>
      <c r="N168" s="5">
        <v>34300000</v>
      </c>
      <c r="O168" s="5">
        <v>37300000</v>
      </c>
      <c r="P168" s="3">
        <v>0.97916666666666663</v>
      </c>
    </row>
    <row r="169" spans="1:16" x14ac:dyDescent="0.25">
      <c r="A169" t="s">
        <v>121</v>
      </c>
      <c r="B169" s="2">
        <v>42613</v>
      </c>
      <c r="C169" t="str">
        <f>+"Tuáº§n "&amp;WEEKNUM(B169)</f>
        <v>Tuáº§n 36</v>
      </c>
      <c r="D169" t="s">
        <v>19</v>
      </c>
      <c r="E169" t="s">
        <v>17</v>
      </c>
      <c r="F169" s="5">
        <v>33600000</v>
      </c>
      <c r="G169" s="5">
        <v>36600000</v>
      </c>
      <c r="H169" s="5">
        <f>+(M169*26000)/0.829426</f>
        <v>40967367.79411304</v>
      </c>
      <c r="I169" s="5">
        <f>+G169-H169</f>
        <v>-4367367.79411304</v>
      </c>
      <c r="J169" s="5">
        <v>3000000</v>
      </c>
      <c r="K169" s="5">
        <v>3360000</v>
      </c>
      <c r="L169" s="5">
        <v>3660000</v>
      </c>
      <c r="M169" s="7">
        <v>1306.9000000000001</v>
      </c>
      <c r="N169" s="5">
        <v>34100000</v>
      </c>
      <c r="O169" s="5">
        <v>37100000</v>
      </c>
      <c r="P169" s="3">
        <v>0.97916666666666663</v>
      </c>
    </row>
    <row r="170" spans="1:16" x14ac:dyDescent="0.25">
      <c r="A170" s="2">
        <v>42378</v>
      </c>
      <c r="B170" s="2">
        <v>42614</v>
      </c>
      <c r="C170" t="str">
        <f>+"Tuáº§n "&amp;WEEKNUM(B170)</f>
        <v>Tuáº§n 36</v>
      </c>
      <c r="D170" t="s">
        <v>20</v>
      </c>
      <c r="E170" t="s">
        <v>17</v>
      </c>
      <c r="F170" s="5">
        <v>33800000</v>
      </c>
      <c r="G170" s="5">
        <v>36800000</v>
      </c>
      <c r="H170" s="5">
        <f>+(M170*26000)/0.829426</f>
        <v>41133506.786621109</v>
      </c>
      <c r="I170" s="5">
        <f>+G170-H170</f>
        <v>-4333506.7866211087</v>
      </c>
      <c r="J170" s="5">
        <v>3000000</v>
      </c>
      <c r="K170" s="5">
        <v>3380000</v>
      </c>
      <c r="L170" s="5">
        <v>3680000</v>
      </c>
      <c r="M170" s="7">
        <v>1312.2</v>
      </c>
      <c r="N170" s="5">
        <v>34300000</v>
      </c>
      <c r="O170" s="5">
        <v>37300000</v>
      </c>
      <c r="P170" s="3">
        <v>0.97916666666666663</v>
      </c>
    </row>
    <row r="171" spans="1:16" x14ac:dyDescent="0.25">
      <c r="A171" s="2">
        <v>42409</v>
      </c>
      <c r="B171" s="2">
        <v>42615</v>
      </c>
      <c r="C171" t="str">
        <f>+"Tuáº§n "&amp;WEEKNUM(B171)</f>
        <v>Tuáº§n 36</v>
      </c>
      <c r="D171" t="s">
        <v>21</v>
      </c>
      <c r="E171" t="s">
        <v>17</v>
      </c>
      <c r="F171" s="5">
        <v>34100000</v>
      </c>
      <c r="G171" s="5">
        <v>37100000</v>
      </c>
      <c r="H171" s="5">
        <f>+(M171*26000)/0.829426</f>
        <v>41443841.885834299</v>
      </c>
      <c r="I171" s="5">
        <f>+G171-H171</f>
        <v>-4343841.885834299</v>
      </c>
      <c r="J171" s="5">
        <v>3000000</v>
      </c>
      <c r="K171" s="5">
        <v>3410000</v>
      </c>
      <c r="L171" s="5">
        <v>3710000</v>
      </c>
      <c r="M171" s="7">
        <v>1322.1</v>
      </c>
      <c r="N171" s="5">
        <v>34600000</v>
      </c>
      <c r="O171" s="5">
        <v>37600000</v>
      </c>
      <c r="P171" s="3">
        <v>0.97916666666666663</v>
      </c>
    </row>
    <row r="172" spans="1:16" x14ac:dyDescent="0.25">
      <c r="A172" s="2">
        <v>42530</v>
      </c>
      <c r="B172" s="2">
        <v>42619</v>
      </c>
      <c r="C172" t="str">
        <f>+"Tuáº§n "&amp;WEEKNUM(B172)</f>
        <v>Tuáº§n 37</v>
      </c>
      <c r="D172" t="s">
        <v>18</v>
      </c>
      <c r="E172" t="s">
        <v>17</v>
      </c>
      <c r="F172" s="5">
        <v>34800000</v>
      </c>
      <c r="G172" s="5">
        <v>37800000</v>
      </c>
      <c r="H172" s="5">
        <f>+(M172*26000)/0.829426</f>
        <v>42299614.432149462</v>
      </c>
      <c r="I172" s="5">
        <f>+G172-H172</f>
        <v>-4499614.4321494624</v>
      </c>
      <c r="J172" s="5">
        <v>3000000</v>
      </c>
      <c r="K172" s="5">
        <v>3480000</v>
      </c>
      <c r="L172" s="5">
        <v>3780000</v>
      </c>
      <c r="M172" s="7">
        <v>1349.4</v>
      </c>
      <c r="N172" s="5">
        <v>35300000</v>
      </c>
      <c r="O172" s="5">
        <v>38300000</v>
      </c>
      <c r="P172" s="3">
        <v>0.97916666666666663</v>
      </c>
    </row>
    <row r="173" spans="1:16" x14ac:dyDescent="0.25">
      <c r="A173" s="2">
        <v>42560</v>
      </c>
      <c r="B173" s="2">
        <v>42620</v>
      </c>
      <c r="C173" t="str">
        <f>+"Tuáº§n "&amp;WEEKNUM(B173)</f>
        <v>Tuáº§n 37</v>
      </c>
      <c r="D173" t="s">
        <v>19</v>
      </c>
      <c r="E173" t="s">
        <v>17</v>
      </c>
      <c r="F173" s="5">
        <v>34700000</v>
      </c>
      <c r="G173" s="5">
        <v>37700000</v>
      </c>
      <c r="H173" s="5">
        <f>+(M173*26000)/0.829426</f>
        <v>42139744.835585095</v>
      </c>
      <c r="I173" s="5">
        <f>+G173-H173</f>
        <v>-4439744.835585095</v>
      </c>
      <c r="J173" s="5">
        <v>3000000</v>
      </c>
      <c r="K173" s="5">
        <v>3470000</v>
      </c>
      <c r="L173" s="5">
        <v>3770000</v>
      </c>
      <c r="M173" s="7">
        <v>1344.3</v>
      </c>
      <c r="N173" s="5">
        <v>35200000</v>
      </c>
      <c r="O173" s="5">
        <v>38200000</v>
      </c>
      <c r="P173" s="3">
        <v>0.97916666666666663</v>
      </c>
    </row>
    <row r="174" spans="1:16" x14ac:dyDescent="0.25">
      <c r="A174" s="2">
        <v>42591</v>
      </c>
      <c r="B174" s="2">
        <v>42621</v>
      </c>
      <c r="C174" t="str">
        <f>+"Tuáº§n "&amp;WEEKNUM(B174)</f>
        <v>Tuáº§n 37</v>
      </c>
      <c r="D174" t="s">
        <v>20</v>
      </c>
      <c r="E174" t="s">
        <v>17</v>
      </c>
      <c r="F174" s="5">
        <v>34500000</v>
      </c>
      <c r="G174" s="5">
        <v>37500000</v>
      </c>
      <c r="H174" s="5">
        <f>+(M174*26000)/0.829426</f>
        <v>41904642.487696312</v>
      </c>
      <c r="I174" s="5">
        <f>+G174-H174</f>
        <v>-4404642.4876963124</v>
      </c>
      <c r="J174" s="5">
        <v>3000000</v>
      </c>
      <c r="K174" s="5">
        <v>3450000</v>
      </c>
      <c r="L174" s="5">
        <v>3750000</v>
      </c>
      <c r="M174" s="7">
        <v>1336.8</v>
      </c>
      <c r="N174" s="5">
        <v>35000000</v>
      </c>
      <c r="O174" s="5">
        <v>38000000</v>
      </c>
      <c r="P174" s="3">
        <v>0.97916666666666663</v>
      </c>
    </row>
    <row r="175" spans="1:16" x14ac:dyDescent="0.25">
      <c r="A175" s="2">
        <v>42622</v>
      </c>
      <c r="B175" s="2">
        <v>42622</v>
      </c>
      <c r="C175" t="str">
        <f>+"Tuáº§n "&amp;WEEKNUM(B175)</f>
        <v>Tuáº§n 37</v>
      </c>
      <c r="D175" t="s">
        <v>21</v>
      </c>
      <c r="E175" t="s">
        <v>17</v>
      </c>
      <c r="F175" s="5">
        <v>34300000</v>
      </c>
      <c r="G175" s="5">
        <v>37300000</v>
      </c>
      <c r="H175" s="5">
        <f>+(M175*26000)/0.829426</f>
        <v>41694617.723582335</v>
      </c>
      <c r="I175" s="5">
        <f>+G175-H175</f>
        <v>-4394617.7235823348</v>
      </c>
      <c r="J175" s="5">
        <v>3000000</v>
      </c>
      <c r="K175" s="5">
        <v>3430000</v>
      </c>
      <c r="L175" s="5">
        <v>3730000</v>
      </c>
      <c r="M175" s="7">
        <v>1330.1</v>
      </c>
      <c r="N175" s="5">
        <v>34800000</v>
      </c>
      <c r="O175" s="5">
        <v>37800000</v>
      </c>
      <c r="P175" s="3">
        <v>0.97916666666666663</v>
      </c>
    </row>
    <row r="176" spans="1:16" x14ac:dyDescent="0.25">
      <c r="A176" s="2">
        <v>42713</v>
      </c>
      <c r="B176" s="2">
        <v>42625</v>
      </c>
      <c r="C176" t="str">
        <f>+"Tuáº§n "&amp;WEEKNUM(B176)</f>
        <v>Tuáº§n 38</v>
      </c>
      <c r="D176" t="s">
        <v>16</v>
      </c>
      <c r="E176" t="s">
        <v>17</v>
      </c>
      <c r="F176" s="5">
        <v>34000000</v>
      </c>
      <c r="G176" s="5">
        <v>37000000</v>
      </c>
      <c r="H176" s="5">
        <f>+(M176*26000)/0.829426</f>
        <v>41409360.208143942</v>
      </c>
      <c r="I176" s="5">
        <f>+G176-H176</f>
        <v>-4409360.2081439421</v>
      </c>
      <c r="J176" s="5">
        <v>3000000</v>
      </c>
      <c r="K176" s="5">
        <v>3400000</v>
      </c>
      <c r="L176" s="5">
        <v>3700000</v>
      </c>
      <c r="M176" s="7">
        <v>1321</v>
      </c>
      <c r="N176" s="5">
        <v>34500000</v>
      </c>
      <c r="O176" s="5">
        <v>37500000</v>
      </c>
      <c r="P176" s="3">
        <v>0.97916666666666663</v>
      </c>
    </row>
    <row r="177" spans="1:16" x14ac:dyDescent="0.25">
      <c r="A177" t="s">
        <v>122</v>
      </c>
      <c r="B177" s="2">
        <v>42626</v>
      </c>
      <c r="C177" t="str">
        <f>+"Tuáº§n "&amp;WEEKNUM(B177)</f>
        <v>Tuáº§n 38</v>
      </c>
      <c r="D177" t="s">
        <v>18</v>
      </c>
      <c r="E177" t="s">
        <v>17</v>
      </c>
      <c r="F177" s="5">
        <v>34000000</v>
      </c>
      <c r="G177" s="5">
        <v>37000000</v>
      </c>
      <c r="H177" s="5">
        <f>+(M177*26000)/0.829426</f>
        <v>41346666.248706937</v>
      </c>
      <c r="I177" s="5">
        <f>+G177-H177</f>
        <v>-4346666.2487069368</v>
      </c>
      <c r="J177" s="5">
        <v>3000000</v>
      </c>
      <c r="K177" s="5">
        <v>3400000</v>
      </c>
      <c r="L177" s="5">
        <v>3700000</v>
      </c>
      <c r="M177" s="7">
        <v>1319</v>
      </c>
      <c r="N177" s="5">
        <v>34500000</v>
      </c>
      <c r="O177" s="5">
        <v>37500000</v>
      </c>
      <c r="P177" s="3">
        <v>0.97916666666666663</v>
      </c>
    </row>
    <row r="178" spans="1:16" x14ac:dyDescent="0.25">
      <c r="A178" t="s">
        <v>123</v>
      </c>
      <c r="B178" s="2">
        <v>42627</v>
      </c>
      <c r="C178" t="str">
        <f>+"Tuáº§n "&amp;WEEKNUM(B178)</f>
        <v>Tuáº§n 38</v>
      </c>
      <c r="D178" t="s">
        <v>19</v>
      </c>
      <c r="E178" t="s">
        <v>17</v>
      </c>
      <c r="F178" s="5">
        <v>34000000</v>
      </c>
      <c r="G178" s="5">
        <v>37000000</v>
      </c>
      <c r="H178" s="5">
        <f>+(M178*26000)/0.829426</f>
        <v>41425033.698003195</v>
      </c>
      <c r="I178" s="5">
        <f>+G178-H178</f>
        <v>-4425033.6980031952</v>
      </c>
      <c r="J178" s="5">
        <v>3000000</v>
      </c>
      <c r="K178" s="5">
        <v>3400000</v>
      </c>
      <c r="L178" s="5">
        <v>3700000</v>
      </c>
      <c r="M178" s="7">
        <v>1321.5</v>
      </c>
      <c r="N178" s="5">
        <v>34500000</v>
      </c>
      <c r="O178" s="5">
        <v>37500000</v>
      </c>
      <c r="P178" s="3">
        <v>0.97916666666666663</v>
      </c>
    </row>
    <row r="179" spans="1:16" x14ac:dyDescent="0.25">
      <c r="A179" t="s">
        <v>124</v>
      </c>
      <c r="B179" s="2">
        <v>42628</v>
      </c>
      <c r="C179" t="str">
        <f>+"Tuáº§n "&amp;WEEKNUM(B179)</f>
        <v>Tuáº§n 38</v>
      </c>
      <c r="D179" t="s">
        <v>20</v>
      </c>
      <c r="E179" t="s">
        <v>17</v>
      </c>
      <c r="F179" s="5">
        <v>33800000</v>
      </c>
      <c r="G179" s="5">
        <v>36800000</v>
      </c>
      <c r="H179" s="5">
        <f>+(M179*26000)/0.829426</f>
        <v>41174257.860255167</v>
      </c>
      <c r="I179" s="5">
        <f>+G179-H179</f>
        <v>-4374257.8602551669</v>
      </c>
      <c r="J179" s="5">
        <v>3000000</v>
      </c>
      <c r="K179" s="5">
        <v>3380000</v>
      </c>
      <c r="L179" s="5">
        <v>3680000</v>
      </c>
      <c r="M179" s="7">
        <v>1313.5</v>
      </c>
      <c r="N179" s="5">
        <v>34300000</v>
      </c>
      <c r="O179" s="5">
        <v>37300000</v>
      </c>
      <c r="P179" s="3">
        <v>0.97916666666666663</v>
      </c>
    </row>
    <row r="180" spans="1:16" x14ac:dyDescent="0.25">
      <c r="A180" t="s">
        <v>125</v>
      </c>
      <c r="B180" s="2">
        <v>42629</v>
      </c>
      <c r="C180" t="str">
        <f>+"Tuáº§n "&amp;WEEKNUM(B180)</f>
        <v>Tuáº§n 38</v>
      </c>
      <c r="D180" t="s">
        <v>21</v>
      </c>
      <c r="E180" t="s">
        <v>17</v>
      </c>
      <c r="F180" s="5">
        <v>33600000</v>
      </c>
      <c r="G180" s="5">
        <v>36600000</v>
      </c>
      <c r="H180" s="5">
        <f>+(M180*26000)/0.829426</f>
        <v>40932886.116422683</v>
      </c>
      <c r="I180" s="5">
        <f>+G180-H180</f>
        <v>-4332886.116422683</v>
      </c>
      <c r="J180" s="5">
        <v>3000000</v>
      </c>
      <c r="K180" s="5">
        <v>3360000</v>
      </c>
      <c r="L180" s="5">
        <v>3660000</v>
      </c>
      <c r="M180" s="7">
        <v>1305.8</v>
      </c>
      <c r="N180" s="5">
        <v>34100000</v>
      </c>
      <c r="O180" s="5">
        <v>37100000</v>
      </c>
      <c r="P180" s="3">
        <v>0.97916666666666663</v>
      </c>
    </row>
    <row r="181" spans="1:16" x14ac:dyDescent="0.25">
      <c r="A181" t="s">
        <v>126</v>
      </c>
      <c r="B181" s="2">
        <v>42632</v>
      </c>
      <c r="C181" t="str">
        <f>+"Tuáº§n "&amp;WEEKNUM(B181)</f>
        <v>Tuáº§n 39</v>
      </c>
      <c r="D181" t="s">
        <v>16</v>
      </c>
      <c r="E181" t="s">
        <v>17</v>
      </c>
      <c r="F181" s="5">
        <v>33800000</v>
      </c>
      <c r="G181" s="5">
        <v>36800000</v>
      </c>
      <c r="H181" s="5">
        <f>+(M181*26000)/0.829426</f>
        <v>41174257.860255167</v>
      </c>
      <c r="I181" s="5">
        <f>+G181-H181</f>
        <v>-4374257.8602551669</v>
      </c>
      <c r="J181" s="5">
        <v>3000000</v>
      </c>
      <c r="K181" s="5">
        <v>3380000</v>
      </c>
      <c r="L181" s="5">
        <v>3680000</v>
      </c>
      <c r="M181" s="7">
        <v>1313.5</v>
      </c>
      <c r="N181" s="5">
        <v>34300000</v>
      </c>
      <c r="O181" s="5">
        <v>37300000</v>
      </c>
      <c r="P181" s="3">
        <v>0.97916666666666663</v>
      </c>
    </row>
    <row r="182" spans="1:16" x14ac:dyDescent="0.25">
      <c r="A182" t="s">
        <v>127</v>
      </c>
      <c r="B182" s="2">
        <v>42633</v>
      </c>
      <c r="C182" t="str">
        <f>+"Tuáº§n "&amp;WEEKNUM(B182)</f>
        <v>Tuáº§n 39</v>
      </c>
      <c r="D182" t="s">
        <v>18</v>
      </c>
      <c r="E182" t="s">
        <v>17</v>
      </c>
      <c r="F182" s="5">
        <v>33800000</v>
      </c>
      <c r="G182" s="5">
        <v>36800000</v>
      </c>
      <c r="H182" s="5">
        <f>+(M182*26000)/0.829426</f>
        <v>41180527.256198868</v>
      </c>
      <c r="I182" s="5">
        <f>+G182-H182</f>
        <v>-4380527.2561988682</v>
      </c>
      <c r="J182" s="5">
        <v>3000000</v>
      </c>
      <c r="K182" s="5">
        <v>3380000</v>
      </c>
      <c r="L182" s="5">
        <v>3680000</v>
      </c>
      <c r="M182" s="7">
        <v>1313.7</v>
      </c>
      <c r="N182" s="5">
        <v>34300000</v>
      </c>
      <c r="O182" s="5">
        <v>37300000</v>
      </c>
      <c r="P182" s="3">
        <v>0.97916666666666663</v>
      </c>
    </row>
    <row r="183" spans="1:16" x14ac:dyDescent="0.25">
      <c r="A183" t="s">
        <v>128</v>
      </c>
      <c r="B183" s="2">
        <v>42634</v>
      </c>
      <c r="C183" t="str">
        <f>+"Tuáº§n "&amp;WEEKNUM(B183)</f>
        <v>Tuáº§n 39</v>
      </c>
      <c r="D183" t="s">
        <v>19</v>
      </c>
      <c r="E183" t="s">
        <v>17</v>
      </c>
      <c r="F183" s="5">
        <v>34200000</v>
      </c>
      <c r="G183" s="5">
        <v>37200000</v>
      </c>
      <c r="H183" s="5">
        <f>+(M183*26000)/0.829426</f>
        <v>41594307.388483122</v>
      </c>
      <c r="I183" s="5">
        <f>+G183-H183</f>
        <v>-4394307.388483122</v>
      </c>
      <c r="J183" s="5">
        <v>3000000</v>
      </c>
      <c r="K183" s="5">
        <v>3420000</v>
      </c>
      <c r="L183" s="5">
        <v>3720000</v>
      </c>
      <c r="M183" s="7">
        <v>1326.9</v>
      </c>
      <c r="N183" s="5">
        <v>34700000</v>
      </c>
      <c r="O183" s="5">
        <v>37700000</v>
      </c>
      <c r="P183" s="3">
        <v>0.97916666666666663</v>
      </c>
    </row>
    <row r="184" spans="1:16" x14ac:dyDescent="0.25">
      <c r="A184" t="s">
        <v>129</v>
      </c>
      <c r="B184" s="2">
        <v>42635</v>
      </c>
      <c r="C184" t="str">
        <f>+"Tuáº§n "&amp;WEEKNUM(B184)</f>
        <v>Tuáº§n 39</v>
      </c>
      <c r="D184" t="s">
        <v>20</v>
      </c>
      <c r="E184" t="s">
        <v>17</v>
      </c>
      <c r="F184" s="5">
        <v>34600000</v>
      </c>
      <c r="G184" s="5">
        <v>37600000</v>
      </c>
      <c r="H184" s="5">
        <f>+(M184*26000)/0.829426</f>
        <v>42017491.614682928</v>
      </c>
      <c r="I184" s="5">
        <f>+G184-H184</f>
        <v>-4417491.6146829277</v>
      </c>
      <c r="J184" s="5">
        <v>3000000</v>
      </c>
      <c r="K184" s="5">
        <v>3460000</v>
      </c>
      <c r="L184" s="5">
        <v>3760000</v>
      </c>
      <c r="M184" s="7">
        <v>1340.4</v>
      </c>
      <c r="N184" s="5">
        <v>35100000</v>
      </c>
      <c r="O184" s="5">
        <v>38100000</v>
      </c>
      <c r="P184" s="3">
        <v>0.97916666666666663</v>
      </c>
    </row>
    <row r="185" spans="1:16" x14ac:dyDescent="0.25">
      <c r="A185" t="s">
        <v>130</v>
      </c>
      <c r="B185" s="2">
        <v>42636</v>
      </c>
      <c r="C185" t="str">
        <f>+"Tuáº§n "&amp;WEEKNUM(B185)</f>
        <v>Tuáº§n 39</v>
      </c>
      <c r="D185" t="s">
        <v>21</v>
      </c>
      <c r="E185" t="s">
        <v>17</v>
      </c>
      <c r="F185" s="5">
        <v>34500000</v>
      </c>
      <c r="G185" s="5">
        <v>37500000</v>
      </c>
      <c r="H185" s="5">
        <f>+(M185*26000)/0.829426</f>
        <v>41917181.279583715</v>
      </c>
      <c r="I185" s="5">
        <f>+G185-H185</f>
        <v>-4417181.2795837149</v>
      </c>
      <c r="J185" s="5">
        <v>3000000</v>
      </c>
      <c r="K185" s="5">
        <v>3450000</v>
      </c>
      <c r="L185" s="5">
        <v>3750000</v>
      </c>
      <c r="M185" s="7">
        <v>1337.2</v>
      </c>
      <c r="N185" s="5">
        <v>35000000</v>
      </c>
      <c r="O185" s="5">
        <v>38000000</v>
      </c>
      <c r="P185" s="3">
        <v>0.97916666666666663</v>
      </c>
    </row>
    <row r="186" spans="1:16" x14ac:dyDescent="0.25">
      <c r="A186" t="s">
        <v>131</v>
      </c>
      <c r="B186" s="2">
        <v>42639</v>
      </c>
      <c r="C186" t="str">
        <f>+"Tuáº§n "&amp;WEEKNUM(B186)</f>
        <v>Tuáº§n 40</v>
      </c>
      <c r="D186" t="s">
        <v>16</v>
      </c>
      <c r="E186" t="s">
        <v>17</v>
      </c>
      <c r="F186" s="5">
        <v>34500000</v>
      </c>
      <c r="G186" s="5">
        <v>37500000</v>
      </c>
      <c r="H186" s="5">
        <f>+(M186*26000)/0.829426</f>
        <v>41995548.728879973</v>
      </c>
      <c r="I186" s="5">
        <f>+G186-H186</f>
        <v>-4495548.7288799733</v>
      </c>
      <c r="J186" s="5">
        <v>3000000</v>
      </c>
      <c r="K186" s="5">
        <v>3450000</v>
      </c>
      <c r="L186" s="5">
        <v>3750000</v>
      </c>
      <c r="M186" s="7">
        <v>1339.7</v>
      </c>
      <c r="N186" s="5">
        <v>35000000</v>
      </c>
      <c r="O186" s="5">
        <v>38000000</v>
      </c>
      <c r="P186" s="3">
        <v>0.97916666666666663</v>
      </c>
    </row>
    <row r="187" spans="1:16" x14ac:dyDescent="0.25">
      <c r="A187" t="s">
        <v>132</v>
      </c>
      <c r="B187" s="2">
        <v>42640</v>
      </c>
      <c r="C187" t="str">
        <f>+"Tuáº§n "&amp;WEEKNUM(B187)</f>
        <v>Tuáº§n 40</v>
      </c>
      <c r="D187" t="s">
        <v>18</v>
      </c>
      <c r="E187" t="s">
        <v>17</v>
      </c>
      <c r="F187" s="5">
        <v>34200000</v>
      </c>
      <c r="G187" s="5">
        <v>37200000</v>
      </c>
      <c r="H187" s="5">
        <f>+(M187*26000)/0.829426</f>
        <v>41562960.408764616</v>
      </c>
      <c r="I187" s="5">
        <f>+G187-H187</f>
        <v>-4362960.4087646157</v>
      </c>
      <c r="J187" s="5">
        <v>3000000</v>
      </c>
      <c r="K187" s="5">
        <v>3420000</v>
      </c>
      <c r="L187" s="5">
        <v>3720000</v>
      </c>
      <c r="M187" s="7">
        <v>1325.9</v>
      </c>
      <c r="N187" s="5">
        <v>34700000</v>
      </c>
      <c r="O187" s="5">
        <v>37700000</v>
      </c>
      <c r="P187" s="3">
        <v>0.97916666666666663</v>
      </c>
    </row>
    <row r="188" spans="1:16" x14ac:dyDescent="0.25">
      <c r="A188" t="s">
        <v>133</v>
      </c>
      <c r="B188" s="2">
        <v>42641</v>
      </c>
      <c r="C188" t="str">
        <f>+"Tuáº§n "&amp;WEEKNUM(B188)</f>
        <v>Tuáº§n 40</v>
      </c>
      <c r="D188" t="s">
        <v>19</v>
      </c>
      <c r="E188" t="s">
        <v>17</v>
      </c>
      <c r="F188" s="5">
        <v>34000000</v>
      </c>
      <c r="G188" s="5">
        <v>37000000</v>
      </c>
      <c r="H188" s="5">
        <f>+(M188*26000)/0.829426</f>
        <v>41359205.040594339</v>
      </c>
      <c r="I188" s="5">
        <f>+G188-H188</f>
        <v>-4359205.0405943394</v>
      </c>
      <c r="J188" s="5">
        <v>3000000</v>
      </c>
      <c r="K188" s="5">
        <v>3400000</v>
      </c>
      <c r="L188" s="5">
        <v>3700000</v>
      </c>
      <c r="M188" s="7">
        <v>1319.4</v>
      </c>
      <c r="N188" s="5">
        <v>34500000</v>
      </c>
      <c r="O188" s="5">
        <v>37500000</v>
      </c>
      <c r="P188" s="3">
        <v>0.97916666666666663</v>
      </c>
    </row>
    <row r="189" spans="1:16" x14ac:dyDescent="0.25">
      <c r="A189" t="s">
        <v>134</v>
      </c>
      <c r="B189" s="2">
        <v>42642</v>
      </c>
      <c r="C189" t="str">
        <f>+"Tuáº§n "&amp;WEEKNUM(B189)</f>
        <v>Tuáº§n 40</v>
      </c>
      <c r="D189" t="s">
        <v>20</v>
      </c>
      <c r="E189" t="s">
        <v>17</v>
      </c>
      <c r="F189" s="5">
        <v>34000000</v>
      </c>
      <c r="G189" s="5">
        <v>37000000</v>
      </c>
      <c r="H189" s="5">
        <f>+(M189*26000)/0.829426</f>
        <v>41431303.093946896</v>
      </c>
      <c r="I189" s="5">
        <f>+G189-H189</f>
        <v>-4431303.0939468965</v>
      </c>
      <c r="J189" s="5">
        <v>3000000</v>
      </c>
      <c r="K189" s="5">
        <v>3400000</v>
      </c>
      <c r="L189" s="5">
        <v>3700000</v>
      </c>
      <c r="M189" s="7">
        <v>1321.7</v>
      </c>
      <c r="N189" s="5">
        <v>34500000</v>
      </c>
      <c r="O189" s="5">
        <v>37500000</v>
      </c>
      <c r="P189" s="3">
        <v>0.97916666666666663</v>
      </c>
    </row>
    <row r="190" spans="1:16" x14ac:dyDescent="0.25">
      <c r="A190" t="s">
        <v>135</v>
      </c>
      <c r="B190" s="2">
        <v>42643</v>
      </c>
      <c r="C190" t="str">
        <f>+"Tuáº§n "&amp;WEEKNUM(B190)</f>
        <v>Tuáº§n 40</v>
      </c>
      <c r="D190" t="s">
        <v>21</v>
      </c>
      <c r="E190" t="s">
        <v>17</v>
      </c>
      <c r="F190" s="5">
        <v>33800000</v>
      </c>
      <c r="G190" s="5">
        <v>36800000</v>
      </c>
      <c r="H190" s="5">
        <f>+(M190*26000)/0.829426</f>
        <v>41167988.464311466</v>
      </c>
      <c r="I190" s="5">
        <f>+G190-H190</f>
        <v>-4367988.4643114656</v>
      </c>
      <c r="J190" s="5">
        <v>3000000</v>
      </c>
      <c r="K190" s="5">
        <v>3380000</v>
      </c>
      <c r="L190" s="5">
        <v>3680000</v>
      </c>
      <c r="M190" s="7">
        <v>1313.3</v>
      </c>
      <c r="N190" s="5">
        <v>34300000</v>
      </c>
      <c r="O190" s="5">
        <v>37300000</v>
      </c>
      <c r="P190" s="3">
        <v>0.97916666666666663</v>
      </c>
    </row>
    <row r="191" spans="1:16" x14ac:dyDescent="0.25">
      <c r="A191" s="2">
        <v>42439</v>
      </c>
      <c r="B191" s="2">
        <v>42646</v>
      </c>
      <c r="C191" t="str">
        <f>+"Tuáº§n "&amp;WEEKNUM(B191)</f>
        <v>Tuáº§n 41</v>
      </c>
      <c r="D191" t="s">
        <v>16</v>
      </c>
      <c r="E191" t="s">
        <v>17</v>
      </c>
      <c r="F191" s="5">
        <v>33700000</v>
      </c>
      <c r="G191" s="5">
        <v>36700000</v>
      </c>
      <c r="H191" s="5">
        <f>+(M191*26000)/0.829426</f>
        <v>41033196.451521896</v>
      </c>
      <c r="I191" s="5">
        <f>+G191-H191</f>
        <v>-4333196.4515218958</v>
      </c>
      <c r="J191" s="5">
        <v>3000000</v>
      </c>
      <c r="K191" s="5">
        <v>3370000</v>
      </c>
      <c r="L191" s="5">
        <v>3670000</v>
      </c>
      <c r="M191" s="7">
        <v>1309</v>
      </c>
      <c r="N191" s="5">
        <v>34200000</v>
      </c>
      <c r="O191" s="5">
        <v>37200000</v>
      </c>
      <c r="P191" s="3">
        <v>0.97916666666666663</v>
      </c>
    </row>
    <row r="192" spans="1:16" x14ac:dyDescent="0.25">
      <c r="A192" s="2">
        <v>42470</v>
      </c>
      <c r="B192" s="2">
        <v>42647</v>
      </c>
      <c r="C192" t="str">
        <f>+"Tuáº§n "&amp;WEEKNUM(B192)</f>
        <v>Tuáº§n 41</v>
      </c>
      <c r="D192" t="s">
        <v>18</v>
      </c>
      <c r="E192" t="s">
        <v>17</v>
      </c>
      <c r="F192" s="5">
        <v>32500000</v>
      </c>
      <c r="G192" s="5">
        <v>35500000</v>
      </c>
      <c r="H192" s="5">
        <f>+(M192*26000)/0.829426</f>
        <v>39694680.417541772</v>
      </c>
      <c r="I192" s="5">
        <f>+G192-H192</f>
        <v>-4194680.4175417721</v>
      </c>
      <c r="J192" s="5">
        <v>3000000</v>
      </c>
      <c r="K192" s="5">
        <v>3250000</v>
      </c>
      <c r="L192" s="5">
        <v>3550000</v>
      </c>
      <c r="M192" s="7">
        <v>1266.3</v>
      </c>
      <c r="N192" s="5">
        <v>33000000</v>
      </c>
      <c r="O192" s="5">
        <v>36000000</v>
      </c>
      <c r="P192" s="3">
        <v>0.97916666666666663</v>
      </c>
    </row>
    <row r="193" spans="1:16" x14ac:dyDescent="0.25">
      <c r="A193" s="2">
        <v>42500</v>
      </c>
      <c r="B193" s="2">
        <v>42648</v>
      </c>
      <c r="C193" t="str">
        <f>+"Tuáº§n "&amp;WEEKNUM(B193)</f>
        <v>Tuáº§n 41</v>
      </c>
      <c r="D193" t="s">
        <v>19</v>
      </c>
      <c r="E193" t="s">
        <v>17</v>
      </c>
      <c r="F193" s="5">
        <v>32500000</v>
      </c>
      <c r="G193" s="5">
        <v>35500000</v>
      </c>
      <c r="H193" s="5">
        <f>+(M193*26000)/0.829426</f>
        <v>39660198.739851415</v>
      </c>
      <c r="I193" s="5">
        <f>+G193-H193</f>
        <v>-4160198.7398514152</v>
      </c>
      <c r="J193" s="5">
        <v>3000000</v>
      </c>
      <c r="K193" s="5">
        <v>3250000</v>
      </c>
      <c r="L193" s="5">
        <v>3550000</v>
      </c>
      <c r="M193" s="7">
        <v>1265.2</v>
      </c>
      <c r="N193" s="5">
        <v>33000000</v>
      </c>
      <c r="O193" s="5">
        <v>36000000</v>
      </c>
      <c r="P193" s="3">
        <v>0.97916666666666663</v>
      </c>
    </row>
    <row r="194" spans="1:16" x14ac:dyDescent="0.25">
      <c r="A194" s="2">
        <v>42531</v>
      </c>
      <c r="B194" s="2">
        <v>42649</v>
      </c>
      <c r="C194" t="str">
        <f>+"Tuáº§n "&amp;WEEKNUM(B194)</f>
        <v>Tuáº§n 41</v>
      </c>
      <c r="D194" t="s">
        <v>20</v>
      </c>
      <c r="E194" t="s">
        <v>17</v>
      </c>
      <c r="F194" s="5">
        <v>32000000</v>
      </c>
      <c r="G194" s="5">
        <v>35000000</v>
      </c>
      <c r="H194" s="5">
        <f>+(M194*26000)/0.829426</f>
        <v>39177455.252186455</v>
      </c>
      <c r="I194" s="5">
        <f>+G194-H194</f>
        <v>-4177455.2521864548</v>
      </c>
      <c r="J194" s="5">
        <v>3000000</v>
      </c>
      <c r="K194" s="5">
        <v>3200000</v>
      </c>
      <c r="L194" s="5">
        <v>3500000</v>
      </c>
      <c r="M194" s="7">
        <v>1249.8</v>
      </c>
      <c r="N194" s="5">
        <v>32500000</v>
      </c>
      <c r="O194" s="5">
        <v>35500000</v>
      </c>
      <c r="P194" s="3">
        <v>0.97916666666666663</v>
      </c>
    </row>
    <row r="195" spans="1:16" x14ac:dyDescent="0.25">
      <c r="A195" s="2">
        <v>42561</v>
      </c>
      <c r="B195" s="2">
        <v>42650</v>
      </c>
      <c r="C195" t="str">
        <f>+"Tuáº§n "&amp;WEEKNUM(B195)</f>
        <v>Tuáº§n 41</v>
      </c>
      <c r="D195" t="s">
        <v>21</v>
      </c>
      <c r="E195" t="s">
        <v>17</v>
      </c>
      <c r="F195" s="5">
        <v>32000000</v>
      </c>
      <c r="G195" s="5">
        <v>35000000</v>
      </c>
      <c r="H195" s="5">
        <f>+(M195*26000)/0.829426</f>
        <v>39149242.970439799</v>
      </c>
      <c r="I195" s="5">
        <f>+G195-H195</f>
        <v>-4149242.9704397991</v>
      </c>
      <c r="J195" s="5">
        <v>3000000</v>
      </c>
      <c r="K195" s="5">
        <v>3200000</v>
      </c>
      <c r="L195" s="5">
        <v>3500000</v>
      </c>
      <c r="M195" s="7">
        <v>1248.9000000000001</v>
      </c>
      <c r="N195" s="5">
        <v>32500000</v>
      </c>
      <c r="O195" s="5">
        <v>35500000</v>
      </c>
      <c r="P195" s="3">
        <v>0.97916666666666663</v>
      </c>
    </row>
    <row r="196" spans="1:16" x14ac:dyDescent="0.25">
      <c r="A196" s="2">
        <v>42684</v>
      </c>
      <c r="B196" s="2">
        <v>42654</v>
      </c>
      <c r="C196" t="str">
        <f>+"Tuáº§n "&amp;WEEKNUM(B196)</f>
        <v>Tuáº§n 42</v>
      </c>
      <c r="D196" t="s">
        <v>18</v>
      </c>
      <c r="E196" t="s">
        <v>17</v>
      </c>
      <c r="F196" s="5">
        <v>32100000</v>
      </c>
      <c r="G196" s="5">
        <v>35100000</v>
      </c>
      <c r="H196" s="5">
        <f>+(M196*26000)/0.829426</f>
        <v>39277765.587285668</v>
      </c>
      <c r="I196" s="5">
        <f>+G196-H196</f>
        <v>-4177765.5872856677</v>
      </c>
      <c r="J196" s="5">
        <v>3000000</v>
      </c>
      <c r="K196" s="5">
        <v>3210000</v>
      </c>
      <c r="L196" s="5">
        <v>3510000</v>
      </c>
      <c r="M196" s="7">
        <v>1253</v>
      </c>
      <c r="N196" s="5">
        <v>32600000</v>
      </c>
      <c r="O196" s="5">
        <v>35600000</v>
      </c>
      <c r="P196" s="3">
        <v>0.97916666666666663</v>
      </c>
    </row>
    <row r="197" spans="1:16" x14ac:dyDescent="0.25">
      <c r="A197" s="2">
        <v>42714</v>
      </c>
      <c r="B197" s="2">
        <v>42655</v>
      </c>
      <c r="C197" t="str">
        <f>+"Tuáº§n "&amp;WEEKNUM(B197)</f>
        <v>Tuáº§n 42</v>
      </c>
      <c r="D197" t="s">
        <v>19</v>
      </c>
      <c r="E197" t="s">
        <v>17</v>
      </c>
      <c r="F197" s="5">
        <v>32100000</v>
      </c>
      <c r="G197" s="5">
        <v>35100000</v>
      </c>
      <c r="H197" s="5">
        <f>+(M197*26000)/0.829426</f>
        <v>39218206.325820506</v>
      </c>
      <c r="I197" s="5">
        <f>+G197-H197</f>
        <v>-4118206.3258205056</v>
      </c>
      <c r="J197" s="5">
        <v>3000000</v>
      </c>
      <c r="K197" s="5">
        <v>3210000</v>
      </c>
      <c r="L197" s="5">
        <v>3510000</v>
      </c>
      <c r="M197" s="7">
        <v>1251.0999999999999</v>
      </c>
      <c r="N197" s="5">
        <v>32600000</v>
      </c>
      <c r="O197" s="5">
        <v>35600000</v>
      </c>
      <c r="P197" s="3">
        <v>0.97916666666666663</v>
      </c>
    </row>
    <row r="198" spans="1:16" x14ac:dyDescent="0.25">
      <c r="A198" t="s">
        <v>136</v>
      </c>
      <c r="B198" s="2">
        <v>42656</v>
      </c>
      <c r="C198" t="str">
        <f>+"Tuáº§n "&amp;WEEKNUM(B198)</f>
        <v>Tuáº§n 42</v>
      </c>
      <c r="D198" t="s">
        <v>20</v>
      </c>
      <c r="E198" t="s">
        <v>17</v>
      </c>
      <c r="F198" s="5">
        <v>32200000</v>
      </c>
      <c r="G198" s="5">
        <v>35200000</v>
      </c>
      <c r="H198" s="5">
        <f>+(M198*26000)/0.829426</f>
        <v>39340459.546722673</v>
      </c>
      <c r="I198" s="5">
        <f>+G198-H198</f>
        <v>-4140459.5467226729</v>
      </c>
      <c r="J198" s="5">
        <v>3000000</v>
      </c>
      <c r="K198" s="5">
        <v>3220000</v>
      </c>
      <c r="L198" s="5">
        <v>3520000</v>
      </c>
      <c r="M198" s="7">
        <v>1255</v>
      </c>
      <c r="N198" s="5">
        <v>32700000</v>
      </c>
      <c r="O198" s="5">
        <v>35700000</v>
      </c>
      <c r="P198" s="3">
        <v>0.97916666666666663</v>
      </c>
    </row>
    <row r="199" spans="1:16" x14ac:dyDescent="0.25">
      <c r="A199" t="s">
        <v>137</v>
      </c>
      <c r="B199" s="2">
        <v>42657</v>
      </c>
      <c r="C199" t="str">
        <f>+"Tuáº§n "&amp;WEEKNUM(B199)</f>
        <v>Tuáº§n 42</v>
      </c>
      <c r="D199" t="s">
        <v>21</v>
      </c>
      <c r="E199" t="s">
        <v>17</v>
      </c>
      <c r="F199" s="5">
        <v>32100000</v>
      </c>
      <c r="G199" s="5">
        <v>35100000</v>
      </c>
      <c r="H199" s="5">
        <f>+(M199*26000)/0.829426</f>
        <v>39280900.285257511</v>
      </c>
      <c r="I199" s="5">
        <f>+G199-H199</f>
        <v>-4180900.2852575108</v>
      </c>
      <c r="J199" s="5">
        <v>3000000</v>
      </c>
      <c r="K199" s="5">
        <v>3210000</v>
      </c>
      <c r="L199" s="5">
        <v>3510000</v>
      </c>
      <c r="M199" s="7">
        <v>1253.0999999999999</v>
      </c>
      <c r="N199" s="5">
        <v>32600000</v>
      </c>
      <c r="O199" s="5">
        <v>35600000</v>
      </c>
      <c r="P199" s="3">
        <v>0.97916666666666663</v>
      </c>
    </row>
    <row r="200" spans="1:16" x14ac:dyDescent="0.25">
      <c r="A200" t="s">
        <v>138</v>
      </c>
      <c r="B200" s="2">
        <v>42660</v>
      </c>
      <c r="C200" t="str">
        <f>+"Tuáº§n "&amp;WEEKNUM(B200)</f>
        <v>Tuáº§n 43</v>
      </c>
      <c r="D200" t="s">
        <v>16</v>
      </c>
      <c r="E200" t="s">
        <v>17</v>
      </c>
      <c r="F200" s="5">
        <v>32200000</v>
      </c>
      <c r="G200" s="5">
        <v>35200000</v>
      </c>
      <c r="H200" s="5">
        <f>+(M200*26000)/0.829426</f>
        <v>39321651.358891577</v>
      </c>
      <c r="I200" s="5">
        <f>+G200-H200</f>
        <v>-4121651.3588915765</v>
      </c>
      <c r="J200" s="5">
        <v>3000000</v>
      </c>
      <c r="K200" s="5">
        <v>3220000</v>
      </c>
      <c r="L200" s="5">
        <v>3520000</v>
      </c>
      <c r="M200" s="7">
        <v>1254.4000000000001</v>
      </c>
      <c r="N200" s="5">
        <v>32700000</v>
      </c>
      <c r="O200" s="5">
        <v>35700000</v>
      </c>
      <c r="P200" s="3">
        <v>0.97916666666666663</v>
      </c>
    </row>
    <row r="201" spans="1:16" x14ac:dyDescent="0.25">
      <c r="A201" t="s">
        <v>139</v>
      </c>
      <c r="B201" s="2">
        <v>42661</v>
      </c>
      <c r="C201" t="str">
        <f>+"Tuáº§n "&amp;WEEKNUM(B201)</f>
        <v>Tuáº§n 43</v>
      </c>
      <c r="D201" t="s">
        <v>18</v>
      </c>
      <c r="E201" t="s">
        <v>17</v>
      </c>
      <c r="F201" s="5">
        <v>32300000</v>
      </c>
      <c r="G201" s="5">
        <v>35300000</v>
      </c>
      <c r="H201" s="5">
        <f>+(M201*26000)/0.829426</f>
        <v>39522272.029089995</v>
      </c>
      <c r="I201" s="5">
        <f>+G201-H201</f>
        <v>-4222272.0290899947</v>
      </c>
      <c r="J201" s="5">
        <v>3000000</v>
      </c>
      <c r="K201" s="5">
        <v>3230000</v>
      </c>
      <c r="L201" s="5">
        <v>3530000</v>
      </c>
      <c r="M201" s="7">
        <v>1260.8</v>
      </c>
      <c r="N201" s="5">
        <v>32800000</v>
      </c>
      <c r="O201" s="5">
        <v>35800000</v>
      </c>
      <c r="P201" s="3">
        <v>0.97916666666666663</v>
      </c>
    </row>
    <row r="202" spans="1:16" x14ac:dyDescent="0.25">
      <c r="A202" t="s">
        <v>140</v>
      </c>
      <c r="B202" s="2">
        <v>42662</v>
      </c>
      <c r="C202" t="str">
        <f>+"Tuáº§n "&amp;WEEKNUM(B202)</f>
        <v>Tuáº§n 43</v>
      </c>
      <c r="D202" t="s">
        <v>19</v>
      </c>
      <c r="E202" t="s">
        <v>17</v>
      </c>
      <c r="F202" s="5">
        <v>32500000</v>
      </c>
      <c r="G202" s="5">
        <v>35500000</v>
      </c>
      <c r="H202" s="5">
        <f>+(M202*26000)/0.829426</f>
        <v>39744835.585091382</v>
      </c>
      <c r="I202" s="5">
        <f>+G202-H202</f>
        <v>-4244835.5850913823</v>
      </c>
      <c r="J202" s="5">
        <v>3000000</v>
      </c>
      <c r="K202" s="5">
        <v>3250000</v>
      </c>
      <c r="L202" s="5">
        <v>3550000</v>
      </c>
      <c r="M202" s="7">
        <v>1267.9000000000001</v>
      </c>
      <c r="N202" s="5">
        <v>33000000</v>
      </c>
      <c r="O202" s="5">
        <v>36000000</v>
      </c>
      <c r="P202" s="3">
        <v>0.97916666666666663</v>
      </c>
    </row>
    <row r="203" spans="1:16" x14ac:dyDescent="0.25">
      <c r="A203" t="s">
        <v>141</v>
      </c>
      <c r="B203" s="2">
        <v>42663</v>
      </c>
      <c r="C203" t="str">
        <f>+"Tuáº§n "&amp;WEEKNUM(B203)</f>
        <v>Tuáº§n 43</v>
      </c>
      <c r="D203" t="s">
        <v>20</v>
      </c>
      <c r="E203" t="s">
        <v>17</v>
      </c>
      <c r="F203" s="5">
        <v>32500000</v>
      </c>
      <c r="G203" s="5">
        <v>35500000</v>
      </c>
      <c r="H203" s="5">
        <f>+(M203*26000)/0.829426</f>
        <v>39672737.53173881</v>
      </c>
      <c r="I203" s="5">
        <f>+G203-H203</f>
        <v>-4172737.5317388102</v>
      </c>
      <c r="J203" s="5">
        <v>3000000</v>
      </c>
      <c r="K203" s="5">
        <v>3250000</v>
      </c>
      <c r="L203" s="5">
        <v>3550000</v>
      </c>
      <c r="M203" s="7">
        <v>1265.5999999999999</v>
      </c>
      <c r="N203" s="5">
        <v>33000000</v>
      </c>
      <c r="O203" s="5">
        <v>36000000</v>
      </c>
      <c r="P203" s="3">
        <v>0.97916666666666663</v>
      </c>
    </row>
    <row r="204" spans="1:16" x14ac:dyDescent="0.25">
      <c r="A204" t="s">
        <v>142</v>
      </c>
      <c r="B204" s="2">
        <v>42664</v>
      </c>
      <c r="C204" t="str">
        <f>+"Tuáº§n "&amp;WEEKNUM(B204)</f>
        <v>Tuáº§n 43</v>
      </c>
      <c r="D204" t="s">
        <v>21</v>
      </c>
      <c r="E204" t="s">
        <v>17</v>
      </c>
      <c r="F204" s="5">
        <v>32500000</v>
      </c>
      <c r="G204" s="5">
        <v>35500000</v>
      </c>
      <c r="H204" s="5">
        <f>+(M204*26000)/0.829426</f>
        <v>39682141.62565437</v>
      </c>
      <c r="I204" s="5">
        <f>+G204-H204</f>
        <v>-4182141.6256543696</v>
      </c>
      <c r="J204" s="5">
        <v>3000000</v>
      </c>
      <c r="K204" s="5">
        <v>3250000</v>
      </c>
      <c r="L204" s="5">
        <v>3550000</v>
      </c>
      <c r="M204" s="7">
        <v>1265.9000000000001</v>
      </c>
      <c r="N204" s="5">
        <v>33000000</v>
      </c>
      <c r="O204" s="5">
        <v>36000000</v>
      </c>
      <c r="P204" s="3">
        <v>0.97916666666666663</v>
      </c>
    </row>
    <row r="205" spans="1:16" x14ac:dyDescent="0.25">
      <c r="A205" t="s">
        <v>143</v>
      </c>
      <c r="B205" s="2">
        <v>42667</v>
      </c>
      <c r="C205" t="str">
        <f>+"Tuáº§n "&amp;WEEKNUM(B205)</f>
        <v>Tuáº§n 44</v>
      </c>
      <c r="D205" t="s">
        <v>16</v>
      </c>
      <c r="E205" t="s">
        <v>17</v>
      </c>
      <c r="F205" s="5">
        <v>32400000</v>
      </c>
      <c r="G205" s="5">
        <v>35400000</v>
      </c>
      <c r="H205" s="5">
        <f>+(M205*26000)/0.829426</f>
        <v>39559888.404752202</v>
      </c>
      <c r="I205" s="5">
        <f>+G205-H205</f>
        <v>-4159888.4047522023</v>
      </c>
      <c r="J205" s="5">
        <v>3000000</v>
      </c>
      <c r="K205" s="5">
        <v>3240000</v>
      </c>
      <c r="L205" s="5">
        <v>3540000</v>
      </c>
      <c r="M205" s="7">
        <v>1262</v>
      </c>
      <c r="N205" s="5">
        <v>32900000</v>
      </c>
      <c r="O205" s="5">
        <v>35900000</v>
      </c>
      <c r="P205" s="3">
        <v>0.97916666666666663</v>
      </c>
    </row>
    <row r="206" spans="1:16" x14ac:dyDescent="0.25">
      <c r="A206" t="s">
        <v>144</v>
      </c>
      <c r="B206" s="2">
        <v>42668</v>
      </c>
      <c r="C206" t="str">
        <f>+"Tuáº§n "&amp;WEEKNUM(B206)</f>
        <v>Tuáº§n 44</v>
      </c>
      <c r="D206" t="s">
        <v>18</v>
      </c>
      <c r="E206" t="s">
        <v>17</v>
      </c>
      <c r="F206" s="5">
        <v>32600000</v>
      </c>
      <c r="G206" s="5">
        <v>35600000</v>
      </c>
      <c r="H206" s="5">
        <f>+(M206*26000)/0.829426</f>
        <v>39870223.5039654</v>
      </c>
      <c r="I206" s="5">
        <f>+G206-H206</f>
        <v>-4270223.5039654002</v>
      </c>
      <c r="J206" s="5">
        <v>3000000</v>
      </c>
      <c r="K206" s="5">
        <v>3260000</v>
      </c>
      <c r="L206" s="5">
        <v>3560000</v>
      </c>
      <c r="M206" s="7">
        <v>1271.9000000000001</v>
      </c>
      <c r="N206" s="5">
        <v>33100000</v>
      </c>
      <c r="O206" s="5">
        <v>36100000</v>
      </c>
      <c r="P206" s="3">
        <v>0.97916666666666663</v>
      </c>
    </row>
    <row r="207" spans="1:16" x14ac:dyDescent="0.25">
      <c r="A207" t="s">
        <v>145</v>
      </c>
      <c r="B207" s="2">
        <v>42669</v>
      </c>
      <c r="C207" t="str">
        <f>+"Tuáº§n "&amp;WEEKNUM(B207)</f>
        <v>Tuáº§n 44</v>
      </c>
      <c r="D207" t="s">
        <v>19</v>
      </c>
      <c r="E207" t="s">
        <v>17</v>
      </c>
      <c r="F207" s="5">
        <v>32400000</v>
      </c>
      <c r="G207" s="5">
        <v>35400000</v>
      </c>
      <c r="H207" s="5">
        <f>+(M207*26000)/0.829426</f>
        <v>39647659.947964013</v>
      </c>
      <c r="I207" s="5">
        <f>+G207-H207</f>
        <v>-4247659.9479640126</v>
      </c>
      <c r="J207" s="5">
        <v>3000000</v>
      </c>
      <c r="K207" s="5">
        <v>3240000</v>
      </c>
      <c r="L207" s="5">
        <v>3540000</v>
      </c>
      <c r="M207" s="7">
        <v>1264.8</v>
      </c>
      <c r="N207" s="5">
        <v>32900000</v>
      </c>
      <c r="O207" s="5">
        <v>35900000</v>
      </c>
      <c r="P207" s="3">
        <v>0.97916666666666663</v>
      </c>
    </row>
    <row r="208" spans="1:16" x14ac:dyDescent="0.25">
      <c r="A208" t="s">
        <v>146</v>
      </c>
      <c r="B208" s="2">
        <v>42670</v>
      </c>
      <c r="C208" t="str">
        <f>+"Tuáº§n "&amp;WEEKNUM(B208)</f>
        <v>Tuáº§n 44</v>
      </c>
      <c r="D208" t="s">
        <v>20</v>
      </c>
      <c r="E208" t="s">
        <v>17</v>
      </c>
      <c r="F208" s="5">
        <v>32500000</v>
      </c>
      <c r="G208" s="5">
        <v>35500000</v>
      </c>
      <c r="H208" s="5">
        <f>+(M208*26000)/0.829426</f>
        <v>39744835.585091382</v>
      </c>
      <c r="I208" s="5">
        <f>+G208-H208</f>
        <v>-4244835.5850913823</v>
      </c>
      <c r="J208" s="5">
        <v>3000000</v>
      </c>
      <c r="K208" s="5">
        <v>3250000</v>
      </c>
      <c r="L208" s="5">
        <v>3550000</v>
      </c>
      <c r="M208" s="7">
        <v>1267.9000000000001</v>
      </c>
      <c r="N208" s="5">
        <v>33000000</v>
      </c>
      <c r="O208" s="5">
        <v>36000000</v>
      </c>
      <c r="P208" s="3">
        <v>0.97916666666666663</v>
      </c>
    </row>
    <row r="209" spans="1:16" x14ac:dyDescent="0.25">
      <c r="A209" t="s">
        <v>147</v>
      </c>
      <c r="B209" s="2">
        <v>42671</v>
      </c>
      <c r="C209" t="str">
        <f>+"Tuáº§n "&amp;WEEKNUM(B209)</f>
        <v>Tuáº§n 44</v>
      </c>
      <c r="D209" t="s">
        <v>21</v>
      </c>
      <c r="E209" t="s">
        <v>17</v>
      </c>
      <c r="F209" s="5">
        <v>32700000</v>
      </c>
      <c r="G209" s="5">
        <v>35700000</v>
      </c>
      <c r="H209" s="5">
        <f>+(M209*26000)/0.829426</f>
        <v>39983072.630952008</v>
      </c>
      <c r="I209" s="5">
        <f>+G209-H209</f>
        <v>-4283072.6309520081</v>
      </c>
      <c r="J209" s="5">
        <v>3000000</v>
      </c>
      <c r="K209" s="5">
        <v>3270000</v>
      </c>
      <c r="L209" s="5">
        <v>3570000</v>
      </c>
      <c r="M209" s="7">
        <v>1275.5</v>
      </c>
      <c r="N209" s="5">
        <v>33200000</v>
      </c>
      <c r="O209" s="5">
        <v>36200000</v>
      </c>
      <c r="P209" s="3">
        <v>0.97916666666666663</v>
      </c>
    </row>
    <row r="210" spans="1:16" x14ac:dyDescent="0.25">
      <c r="A210" t="s">
        <v>148</v>
      </c>
      <c r="B210" s="2">
        <v>42674</v>
      </c>
      <c r="C210" t="str">
        <f>+"Tuáº§n "&amp;WEEKNUM(B210)</f>
        <v>Tuáº§n 45</v>
      </c>
      <c r="D210" t="s">
        <v>16</v>
      </c>
      <c r="E210" t="s">
        <v>17</v>
      </c>
      <c r="F210" s="5">
        <v>32600000</v>
      </c>
      <c r="G210" s="5">
        <v>35600000</v>
      </c>
      <c r="H210" s="5">
        <f>+(M210*26000)/0.829426</f>
        <v>39857684.71207799</v>
      </c>
      <c r="I210" s="5">
        <f>+G210-H210</f>
        <v>-4257684.7120779902</v>
      </c>
      <c r="J210" s="5">
        <v>3000000</v>
      </c>
      <c r="K210" s="5">
        <v>3260000</v>
      </c>
      <c r="L210" s="5">
        <v>3560000</v>
      </c>
      <c r="M210" s="7">
        <v>1271.5</v>
      </c>
      <c r="N210" s="5">
        <v>33100000</v>
      </c>
      <c r="O210" s="5">
        <v>36100000</v>
      </c>
      <c r="P210" s="3">
        <v>0.97916666666666663</v>
      </c>
    </row>
    <row r="211" spans="1:16" x14ac:dyDescent="0.25">
      <c r="A211" s="2">
        <v>42380</v>
      </c>
      <c r="B211" s="2">
        <v>42675</v>
      </c>
      <c r="C211" t="str">
        <f>+"Tuáº§n "&amp;WEEKNUM(B211)</f>
        <v>Tuáº§n 45</v>
      </c>
      <c r="D211" t="s">
        <v>18</v>
      </c>
      <c r="E211" t="s">
        <v>17</v>
      </c>
      <c r="F211" s="5">
        <v>33100000</v>
      </c>
      <c r="G211" s="5">
        <v>36100000</v>
      </c>
      <c r="H211" s="5">
        <f>+(M211*26000)/0.829426</f>
        <v>40324754.709883705</v>
      </c>
      <c r="I211" s="5">
        <f>+G211-H211</f>
        <v>-4224754.7098837048</v>
      </c>
      <c r="J211" s="5">
        <v>3000000</v>
      </c>
      <c r="K211" s="5">
        <v>3310000</v>
      </c>
      <c r="L211" s="5">
        <v>3610000</v>
      </c>
      <c r="M211" s="7">
        <v>1286.4000000000001</v>
      </c>
      <c r="N211" s="5">
        <v>33600000</v>
      </c>
      <c r="O211" s="5">
        <v>36600000</v>
      </c>
      <c r="P211" s="3">
        <v>0.97916666666666663</v>
      </c>
    </row>
    <row r="212" spans="1:16" x14ac:dyDescent="0.25">
      <c r="A212" s="2">
        <v>42411</v>
      </c>
      <c r="B212" s="2">
        <v>42676</v>
      </c>
      <c r="C212" t="str">
        <f>+"Tuáº§n "&amp;WEEKNUM(B212)</f>
        <v>Tuáº§n 45</v>
      </c>
      <c r="D212" t="s">
        <v>19</v>
      </c>
      <c r="E212" t="s">
        <v>17</v>
      </c>
      <c r="F212" s="5">
        <v>33600000</v>
      </c>
      <c r="G212" s="5">
        <v>36600000</v>
      </c>
      <c r="H212" s="5">
        <f>+(M212*26000)/0.829426</f>
        <v>40964233.096141189</v>
      </c>
      <c r="I212" s="5">
        <f>+G212-H212</f>
        <v>-4364233.0961411893</v>
      </c>
      <c r="J212" s="5">
        <v>3000000</v>
      </c>
      <c r="K212" s="5">
        <v>3360000</v>
      </c>
      <c r="L212" s="5">
        <v>3660000</v>
      </c>
      <c r="M212" s="7">
        <v>1306.8</v>
      </c>
      <c r="N212" s="5">
        <v>34100000</v>
      </c>
      <c r="O212" s="5">
        <v>37100000</v>
      </c>
      <c r="P212" s="3">
        <v>0.97916666666666663</v>
      </c>
    </row>
    <row r="213" spans="1:16" x14ac:dyDescent="0.25">
      <c r="A213" s="2">
        <v>42440</v>
      </c>
      <c r="B213" s="2">
        <v>42677</v>
      </c>
      <c r="C213" t="str">
        <f>+"Tuáº§n "&amp;WEEKNUM(B213)</f>
        <v>Tuáº§n 45</v>
      </c>
      <c r="D213" t="s">
        <v>20</v>
      </c>
      <c r="E213" t="s">
        <v>17</v>
      </c>
      <c r="F213" s="5">
        <v>33500000</v>
      </c>
      <c r="G213" s="5">
        <v>36500000</v>
      </c>
      <c r="H213" s="5">
        <f>+(M213*26000)/0.829426</f>
        <v>40816902.291464217</v>
      </c>
      <c r="I213" s="5">
        <f>+G213-H213</f>
        <v>-4316902.291464217</v>
      </c>
      <c r="J213" s="5">
        <v>3000000</v>
      </c>
      <c r="K213" s="5">
        <v>3350000</v>
      </c>
      <c r="L213" s="5">
        <v>3650000</v>
      </c>
      <c r="M213" s="7">
        <v>1302.0999999999999</v>
      </c>
      <c r="N213" s="5">
        <v>34000000</v>
      </c>
      <c r="O213" s="5">
        <v>37000000</v>
      </c>
      <c r="P213" s="3">
        <v>0.97916666666666663</v>
      </c>
    </row>
    <row r="214" spans="1:16" x14ac:dyDescent="0.25">
      <c r="A214" s="2">
        <v>42471</v>
      </c>
      <c r="B214" s="2">
        <v>42678</v>
      </c>
      <c r="C214" t="str">
        <f>+"Tuáº§n "&amp;WEEKNUM(B214)</f>
        <v>Tuáº§n 45</v>
      </c>
      <c r="D214" t="s">
        <v>21</v>
      </c>
      <c r="E214" t="s">
        <v>17</v>
      </c>
      <c r="F214" s="5">
        <v>33500000</v>
      </c>
      <c r="G214" s="5">
        <v>36500000</v>
      </c>
      <c r="H214" s="5">
        <f>+(M214*26000)/0.829426</f>
        <v>40854518.667126425</v>
      </c>
      <c r="I214" s="5">
        <f>+G214-H214</f>
        <v>-4354518.6671264246</v>
      </c>
      <c r="J214" s="5">
        <v>3000000</v>
      </c>
      <c r="K214" s="5">
        <v>3350000</v>
      </c>
      <c r="L214" s="5">
        <v>3650000</v>
      </c>
      <c r="M214" s="7">
        <v>1303.3</v>
      </c>
      <c r="N214" s="5">
        <v>34000000</v>
      </c>
      <c r="O214" s="5">
        <v>37000000</v>
      </c>
      <c r="P214" s="3">
        <v>0.97916666666666663</v>
      </c>
    </row>
    <row r="215" spans="1:16" x14ac:dyDescent="0.25">
      <c r="A215" s="2">
        <v>42562</v>
      </c>
      <c r="B215" s="2">
        <v>42681</v>
      </c>
      <c r="C215" t="str">
        <f>+"Tuáº§n "&amp;WEEKNUM(B215)</f>
        <v>Tuáº§n 46</v>
      </c>
      <c r="D215" t="s">
        <v>16</v>
      </c>
      <c r="E215" t="s">
        <v>17</v>
      </c>
      <c r="F215" s="5">
        <v>32800000</v>
      </c>
      <c r="G215" s="5">
        <v>35800000</v>
      </c>
      <c r="H215" s="5">
        <f>+(M215*26000)/0.829426</f>
        <v>40070844.174163818</v>
      </c>
      <c r="I215" s="5">
        <f>+G215-H215</f>
        <v>-4270844.1741638184</v>
      </c>
      <c r="J215" s="5">
        <v>3000000</v>
      </c>
      <c r="K215" s="5">
        <v>3280000</v>
      </c>
      <c r="L215" s="5">
        <v>3580000</v>
      </c>
      <c r="M215" s="7">
        <v>1278.3</v>
      </c>
      <c r="N215" s="5">
        <v>33300000</v>
      </c>
      <c r="O215" s="5">
        <v>36300000</v>
      </c>
      <c r="P215" s="3">
        <v>0.97916666666666663</v>
      </c>
    </row>
    <row r="216" spans="1:16" x14ac:dyDescent="0.25">
      <c r="A216" s="2">
        <v>42593</v>
      </c>
      <c r="B216" s="2">
        <v>42682</v>
      </c>
      <c r="C216" t="str">
        <f>+"Tuáº§n "&amp;WEEKNUM(B216)</f>
        <v>Tuáº§n 46</v>
      </c>
      <c r="D216" t="s">
        <v>18</v>
      </c>
      <c r="E216" t="s">
        <v>17</v>
      </c>
      <c r="F216" s="5">
        <v>32700000</v>
      </c>
      <c r="G216" s="5">
        <v>35700000</v>
      </c>
      <c r="H216" s="5">
        <f>+(M216*26000)/0.829426</f>
        <v>39917243.973543152</v>
      </c>
      <c r="I216" s="5">
        <f>+G216-H216</f>
        <v>-4217243.9735431522</v>
      </c>
      <c r="J216" s="5">
        <v>3000000</v>
      </c>
      <c r="K216" s="5">
        <v>3270000</v>
      </c>
      <c r="L216" s="5">
        <v>3570000</v>
      </c>
      <c r="M216" s="7">
        <v>1273.4000000000001</v>
      </c>
      <c r="N216" s="5">
        <v>33200000</v>
      </c>
      <c r="O216" s="5">
        <v>36200000</v>
      </c>
      <c r="P216" s="3">
        <v>0.97916666666666663</v>
      </c>
    </row>
    <row r="217" spans="1:16" x14ac:dyDescent="0.25">
      <c r="A217" s="2">
        <v>42624</v>
      </c>
      <c r="B217" s="2">
        <v>42683</v>
      </c>
      <c r="C217" t="str">
        <f>+"Tuáº§n "&amp;WEEKNUM(B217)</f>
        <v>Tuáº§n 46</v>
      </c>
      <c r="D217" t="s">
        <v>19</v>
      </c>
      <c r="E217" t="s">
        <v>17</v>
      </c>
      <c r="F217" s="5">
        <v>32700000</v>
      </c>
      <c r="G217" s="5">
        <v>35700000</v>
      </c>
      <c r="H217" s="5">
        <f>+(M217*26000)/0.829426</f>
        <v>39892166.38976834</v>
      </c>
      <c r="I217" s="5">
        <f>+G217-H217</f>
        <v>-4192166.3897683397</v>
      </c>
      <c r="J217" s="5">
        <v>3000000</v>
      </c>
      <c r="K217" s="5">
        <v>3270000</v>
      </c>
      <c r="L217" s="5">
        <v>3570000</v>
      </c>
      <c r="M217" s="7">
        <v>1272.5999999999999</v>
      </c>
      <c r="N217" s="5">
        <v>33200000</v>
      </c>
      <c r="O217" s="5">
        <v>36200000</v>
      </c>
      <c r="P217" s="3">
        <v>0.97916666666666663</v>
      </c>
    </row>
    <row r="218" spans="1:16" x14ac:dyDescent="0.25">
      <c r="A218" s="2">
        <v>42654</v>
      </c>
      <c r="B218" s="2">
        <v>42684</v>
      </c>
      <c r="C218" t="str">
        <f>+"Tuáº§n "&amp;WEEKNUM(B218)</f>
        <v>Tuáº§n 46</v>
      </c>
      <c r="D218" t="s">
        <v>20</v>
      </c>
      <c r="E218" t="s">
        <v>17</v>
      </c>
      <c r="F218" s="5">
        <v>32500000</v>
      </c>
      <c r="G218" s="5">
        <v>35500000</v>
      </c>
      <c r="H218" s="5">
        <f>+(M218*26000)/0.829426</f>
        <v>39669602.833766967</v>
      </c>
      <c r="I218" s="5">
        <f>+G218-H218</f>
        <v>-4169602.8337669671</v>
      </c>
      <c r="J218" s="5">
        <v>3000000</v>
      </c>
      <c r="K218" s="5">
        <v>3250000</v>
      </c>
      <c r="L218" s="5">
        <v>3550000</v>
      </c>
      <c r="M218" s="7">
        <v>1265.5</v>
      </c>
      <c r="N218" s="5">
        <v>33000000</v>
      </c>
      <c r="O218" s="5">
        <v>36000000</v>
      </c>
      <c r="P218" s="3">
        <v>0.97916666666666663</v>
      </c>
    </row>
    <row r="219" spans="1:16" x14ac:dyDescent="0.25">
      <c r="A219" t="s">
        <v>149</v>
      </c>
      <c r="B219" s="2">
        <v>42688</v>
      </c>
      <c r="C219" t="str">
        <f>+"Tuáº§n "&amp;WEEKNUM(B219)</f>
        <v>Tuáº§n 47</v>
      </c>
      <c r="D219" t="s">
        <v>16</v>
      </c>
      <c r="E219" t="s">
        <v>17</v>
      </c>
      <c r="F219" s="5">
        <v>31200000</v>
      </c>
      <c r="G219" s="5">
        <v>34200000</v>
      </c>
      <c r="H219" s="5">
        <f>+(M219*26000)/0.829426</f>
        <v>38280931.632237233</v>
      </c>
      <c r="I219" s="5">
        <f>+G219-H219</f>
        <v>-4080931.6322372332</v>
      </c>
      <c r="J219" s="5">
        <v>3000000</v>
      </c>
      <c r="K219" s="5">
        <v>3120000</v>
      </c>
      <c r="L219" s="5">
        <v>3420000</v>
      </c>
      <c r="M219" s="7">
        <v>1221.2</v>
      </c>
      <c r="N219" s="5">
        <v>31700000</v>
      </c>
      <c r="O219" s="5">
        <v>34700000</v>
      </c>
      <c r="P219" s="3">
        <v>0.97916666666666663</v>
      </c>
    </row>
    <row r="220" spans="1:16" x14ac:dyDescent="0.25">
      <c r="A220" t="s">
        <v>150</v>
      </c>
      <c r="B220" s="2">
        <v>42689</v>
      </c>
      <c r="C220" t="str">
        <f>+"Tuáº§n "&amp;WEEKNUM(B220)</f>
        <v>Tuáº§n 47</v>
      </c>
      <c r="D220" t="s">
        <v>18</v>
      </c>
      <c r="E220" t="s">
        <v>17</v>
      </c>
      <c r="F220" s="5">
        <v>31300000</v>
      </c>
      <c r="G220" s="5">
        <v>34300000</v>
      </c>
      <c r="H220" s="5">
        <f>+(M220*26000)/0.829426</f>
        <v>38368703.175449044</v>
      </c>
      <c r="I220" s="5">
        <f>+G220-H220</f>
        <v>-4068703.1754490435</v>
      </c>
      <c r="J220" s="5">
        <v>3000000</v>
      </c>
      <c r="K220" s="5">
        <v>3130000</v>
      </c>
      <c r="L220" s="5">
        <v>3430000</v>
      </c>
      <c r="M220" s="7">
        <v>1224</v>
      </c>
      <c r="N220" s="5">
        <v>31800000</v>
      </c>
      <c r="O220" s="5">
        <v>34800000</v>
      </c>
      <c r="P220" s="3">
        <v>0.97916666666666663</v>
      </c>
    </row>
    <row r="221" spans="1:16" x14ac:dyDescent="0.25">
      <c r="A221" t="s">
        <v>151</v>
      </c>
      <c r="B221" s="2">
        <v>42690</v>
      </c>
      <c r="C221" t="str">
        <f>+"Tuáº§n "&amp;WEEKNUM(B221)</f>
        <v>Tuáº§n 47</v>
      </c>
      <c r="D221" t="s">
        <v>19</v>
      </c>
      <c r="E221" t="s">
        <v>17</v>
      </c>
      <c r="F221" s="5">
        <v>31300000</v>
      </c>
      <c r="G221" s="5">
        <v>34300000</v>
      </c>
      <c r="H221" s="5">
        <f>+(M221*26000)/0.829426</f>
        <v>38349894.987617947</v>
      </c>
      <c r="I221" s="5">
        <f>+G221-H221</f>
        <v>-4049894.9876179472</v>
      </c>
      <c r="J221" s="5">
        <v>3000000</v>
      </c>
      <c r="K221" s="5">
        <v>3130000</v>
      </c>
      <c r="L221" s="5">
        <v>3430000</v>
      </c>
      <c r="M221" s="7">
        <v>1223.4000000000001</v>
      </c>
      <c r="N221" s="5">
        <v>31800000</v>
      </c>
      <c r="O221" s="5">
        <v>34800000</v>
      </c>
      <c r="P221" s="3">
        <v>0.97916666666666663</v>
      </c>
    </row>
    <row r="222" spans="1:16" x14ac:dyDescent="0.25">
      <c r="A222" t="s">
        <v>152</v>
      </c>
      <c r="B222" s="2">
        <v>42691</v>
      </c>
      <c r="C222" t="str">
        <f>+"Tuáº§n "&amp;WEEKNUM(B222)</f>
        <v>Tuáº§n 47</v>
      </c>
      <c r="D222" t="s">
        <v>20</v>
      </c>
      <c r="E222" t="s">
        <v>17</v>
      </c>
      <c r="F222" s="5">
        <v>31100000</v>
      </c>
      <c r="G222" s="5">
        <v>34100000</v>
      </c>
      <c r="H222" s="5">
        <f>+(M222*26000)/0.829426</f>
        <v>38133600.827560268</v>
      </c>
      <c r="I222" s="5">
        <f>+G222-H222</f>
        <v>-4033600.8275602683</v>
      </c>
      <c r="J222" s="5">
        <v>3000000</v>
      </c>
      <c r="K222" s="5">
        <v>3110000</v>
      </c>
      <c r="L222" s="5">
        <v>3410000</v>
      </c>
      <c r="M222" s="7">
        <v>1216.5</v>
      </c>
      <c r="N222" s="5">
        <v>31600000</v>
      </c>
      <c r="O222" s="5">
        <v>34600000</v>
      </c>
      <c r="P222" s="3">
        <v>0.97916666666666663</v>
      </c>
    </row>
    <row r="223" spans="1:16" x14ac:dyDescent="0.25">
      <c r="A223" t="s">
        <v>153</v>
      </c>
      <c r="B223" s="2">
        <v>42692</v>
      </c>
      <c r="C223" t="str">
        <f>+"Tuáº§n "&amp;WEEKNUM(B223)</f>
        <v>Tuáº§n 47</v>
      </c>
      <c r="D223" t="s">
        <v>21</v>
      </c>
      <c r="E223" t="s">
        <v>17</v>
      </c>
      <c r="F223" s="5">
        <v>30900000</v>
      </c>
      <c r="G223" s="5">
        <v>33900000</v>
      </c>
      <c r="H223" s="5">
        <f>+(M223*26000)/0.829426</f>
        <v>37882824.989812233</v>
      </c>
      <c r="I223" s="5">
        <f>+G223-H223</f>
        <v>-3982824.9898122326</v>
      </c>
      <c r="J223" s="5">
        <v>3000000</v>
      </c>
      <c r="K223" s="5">
        <v>3090000</v>
      </c>
      <c r="L223" s="5">
        <v>3390000</v>
      </c>
      <c r="M223" s="7">
        <v>1208.5</v>
      </c>
      <c r="N223" s="5">
        <v>31400000</v>
      </c>
      <c r="O223" s="5">
        <v>34400000</v>
      </c>
      <c r="P223" s="3">
        <v>0.97916666666666663</v>
      </c>
    </row>
    <row r="224" spans="1:16" x14ac:dyDescent="0.25">
      <c r="A224" t="s">
        <v>154</v>
      </c>
      <c r="B224" s="2">
        <v>42695</v>
      </c>
      <c r="C224" t="str">
        <f>+"Tuáº§n "&amp;WEEKNUM(B224)</f>
        <v>Tuáº§n 48</v>
      </c>
      <c r="D224" t="s">
        <v>16</v>
      </c>
      <c r="E224" t="s">
        <v>17</v>
      </c>
      <c r="F224" s="5">
        <v>30900000</v>
      </c>
      <c r="G224" s="5">
        <v>33900000</v>
      </c>
      <c r="H224" s="5">
        <f>+(M224*26000)/0.829426</f>
        <v>37917306.667502582</v>
      </c>
      <c r="I224" s="5">
        <f>+G224-H224</f>
        <v>-4017306.6675025821</v>
      </c>
      <c r="J224" s="5">
        <v>3000000</v>
      </c>
      <c r="K224" s="5">
        <v>3090000</v>
      </c>
      <c r="L224" s="5">
        <v>3390000</v>
      </c>
      <c r="M224" s="7">
        <v>1209.5999999999999</v>
      </c>
      <c r="N224" s="5">
        <v>31400000</v>
      </c>
      <c r="O224" s="5">
        <v>34400000</v>
      </c>
      <c r="P224" s="3">
        <v>0.97916666666666663</v>
      </c>
    </row>
    <row r="225" spans="1:16" x14ac:dyDescent="0.25">
      <c r="A225" t="s">
        <v>155</v>
      </c>
      <c r="B225" s="2">
        <v>42696</v>
      </c>
      <c r="C225" t="str">
        <f>+"Tuáº§n "&amp;WEEKNUM(B225)</f>
        <v>Tuáº§n 48</v>
      </c>
      <c r="D225" t="s">
        <v>18</v>
      </c>
      <c r="E225" t="s">
        <v>17</v>
      </c>
      <c r="F225" s="5">
        <v>30900000</v>
      </c>
      <c r="G225" s="5">
        <v>33900000</v>
      </c>
      <c r="H225" s="5">
        <f>+(M225*26000)/0.829426</f>
        <v>37961192.439108491</v>
      </c>
      <c r="I225" s="5">
        <f>+G225-H225</f>
        <v>-4061192.4391084909</v>
      </c>
      <c r="J225" s="5">
        <v>3000000</v>
      </c>
      <c r="K225" s="5">
        <v>3090000</v>
      </c>
      <c r="L225" s="5">
        <v>3390000</v>
      </c>
      <c r="M225" s="7">
        <v>1211</v>
      </c>
      <c r="N225" s="5">
        <v>31400000</v>
      </c>
      <c r="O225" s="5">
        <v>34400000</v>
      </c>
      <c r="P225" s="3">
        <v>0.97916666666666663</v>
      </c>
    </row>
    <row r="226" spans="1:16" x14ac:dyDescent="0.25">
      <c r="A226" t="s">
        <v>156</v>
      </c>
      <c r="B226" s="2">
        <v>42697</v>
      </c>
      <c r="C226" t="str">
        <f>+"Tuáº§n "&amp;WEEKNUM(B226)</f>
        <v>Tuáº§n 48</v>
      </c>
      <c r="D226" t="s">
        <v>19</v>
      </c>
      <c r="E226" t="s">
        <v>17</v>
      </c>
      <c r="F226" s="5">
        <v>30300000</v>
      </c>
      <c r="G226" s="5">
        <v>33300000</v>
      </c>
      <c r="H226" s="5">
        <f>+(M226*26000)/0.829426</f>
        <v>37274693.583273247</v>
      </c>
      <c r="I226" s="5">
        <f>+G226-H226</f>
        <v>-3974693.5832732469</v>
      </c>
      <c r="J226" s="5">
        <v>3000000</v>
      </c>
      <c r="K226" s="5">
        <v>3030000</v>
      </c>
      <c r="L226" s="5">
        <v>3330000</v>
      </c>
      <c r="M226" s="7">
        <v>1189.0999999999999</v>
      </c>
      <c r="N226" s="5">
        <v>30800000</v>
      </c>
      <c r="O226" s="5">
        <v>33800000</v>
      </c>
      <c r="P226" s="3">
        <v>0.97916666666666663</v>
      </c>
    </row>
    <row r="227" spans="1:16" x14ac:dyDescent="0.25">
      <c r="A227" t="s">
        <v>157</v>
      </c>
      <c r="B227" s="2">
        <v>42699</v>
      </c>
      <c r="C227" t="str">
        <f>+"Tuáº§n "&amp;WEEKNUM(B227)</f>
        <v>Tuáº§n 48</v>
      </c>
      <c r="D227" t="s">
        <v>21</v>
      </c>
      <c r="E227" t="s">
        <v>17</v>
      </c>
      <c r="F227" s="5">
        <v>30000000</v>
      </c>
      <c r="G227" s="5">
        <v>33000000</v>
      </c>
      <c r="H227" s="5">
        <f>+(M227*26000)/0.829426</f>
        <v>36933011.504341558</v>
      </c>
      <c r="I227" s="5">
        <f>+G227-H227</f>
        <v>-3933011.5043415576</v>
      </c>
      <c r="J227" s="5">
        <v>3000000</v>
      </c>
      <c r="K227" s="5">
        <v>3000000</v>
      </c>
      <c r="L227" s="5">
        <v>3300000</v>
      </c>
      <c r="M227" s="7">
        <v>1178.2</v>
      </c>
      <c r="N227" s="5">
        <v>30500000</v>
      </c>
      <c r="O227" s="5">
        <v>33500000</v>
      </c>
      <c r="P227" s="3">
        <v>0.97916666666666663</v>
      </c>
    </row>
    <row r="228" spans="1:16" x14ac:dyDescent="0.25">
      <c r="A228" t="s">
        <v>158</v>
      </c>
      <c r="B228" s="2">
        <v>42702</v>
      </c>
      <c r="C228" t="str">
        <f>+"Tuáº§n "&amp;WEEKNUM(B228)</f>
        <v>Tuáº§n 49</v>
      </c>
      <c r="D228" t="s">
        <v>16</v>
      </c>
      <c r="E228" t="s">
        <v>17</v>
      </c>
      <c r="F228" s="5">
        <v>30400000</v>
      </c>
      <c r="G228" s="5">
        <v>33400000</v>
      </c>
      <c r="H228" s="5">
        <f>+(M228*26000)/0.829426</f>
        <v>37321714.052851006</v>
      </c>
      <c r="I228" s="5">
        <f>+G228-H228</f>
        <v>-3921714.0528510064</v>
      </c>
      <c r="J228" s="5">
        <v>3000000</v>
      </c>
      <c r="K228" s="5">
        <v>3040000</v>
      </c>
      <c r="L228" s="5">
        <v>3340000</v>
      </c>
      <c r="M228" s="7">
        <v>1190.5999999999999</v>
      </c>
      <c r="N228" s="5">
        <v>30900000</v>
      </c>
      <c r="O228" s="5">
        <v>33900000</v>
      </c>
      <c r="P228" s="3">
        <v>0.97916666666666663</v>
      </c>
    </row>
    <row r="229" spans="1:16" x14ac:dyDescent="0.25">
      <c r="A229" t="s">
        <v>159</v>
      </c>
      <c r="B229" s="2">
        <v>42703</v>
      </c>
      <c r="C229" t="str">
        <f>+"Tuáº§n "&amp;WEEKNUM(B229)</f>
        <v>Tuáº§n 49</v>
      </c>
      <c r="D229" t="s">
        <v>18</v>
      </c>
      <c r="E229" t="s">
        <v>17</v>
      </c>
      <c r="F229" s="5">
        <v>30300000</v>
      </c>
      <c r="G229" s="5">
        <v>33300000</v>
      </c>
      <c r="H229" s="5">
        <f>+(M229*26000)/0.829426</f>
        <v>37237077.207611054</v>
      </c>
      <c r="I229" s="5">
        <f>+G229-H229</f>
        <v>-3937077.2076110542</v>
      </c>
      <c r="J229" s="5">
        <v>3000000</v>
      </c>
      <c r="K229" s="5">
        <v>3030000</v>
      </c>
      <c r="L229" s="5">
        <v>3330000</v>
      </c>
      <c r="M229" s="7">
        <v>1187.9000000000001</v>
      </c>
      <c r="N229" s="5">
        <v>30800000</v>
      </c>
      <c r="O229" s="5">
        <v>33800000</v>
      </c>
      <c r="P229" s="3">
        <v>0.97916666666666663</v>
      </c>
    </row>
    <row r="230" spans="1:16" x14ac:dyDescent="0.25">
      <c r="A230" t="s">
        <v>160</v>
      </c>
      <c r="B230" s="2">
        <v>42704</v>
      </c>
      <c r="C230" t="str">
        <f>+"Tuáº§n "&amp;WEEKNUM(B230)</f>
        <v>Tuáº§n 49</v>
      </c>
      <c r="D230" t="s">
        <v>19</v>
      </c>
      <c r="E230" t="s">
        <v>17</v>
      </c>
      <c r="F230" s="5">
        <v>29800000</v>
      </c>
      <c r="G230" s="5">
        <v>32800000</v>
      </c>
      <c r="H230" s="5">
        <f>+(M230*26000)/0.829426</f>
        <v>36701043.854424626</v>
      </c>
      <c r="I230" s="5">
        <f>+G230-H230</f>
        <v>-3901043.8544246256</v>
      </c>
      <c r="J230" s="5">
        <v>3000000</v>
      </c>
      <c r="K230" s="5">
        <v>2980000</v>
      </c>
      <c r="L230" s="5">
        <v>3280000</v>
      </c>
      <c r="M230" s="7">
        <v>1170.8</v>
      </c>
      <c r="N230" s="5">
        <v>30300000</v>
      </c>
      <c r="O230" s="5">
        <v>33300000</v>
      </c>
      <c r="P230" s="3">
        <v>0.97916666666666663</v>
      </c>
    </row>
    <row r="231" spans="1:16" x14ac:dyDescent="0.25">
      <c r="A231" s="2">
        <v>42381</v>
      </c>
      <c r="B231" s="2">
        <v>42705</v>
      </c>
      <c r="C231" t="str">
        <f>+"Tuáº§n "&amp;WEEKNUM(B231)</f>
        <v>Tuáº§n 49</v>
      </c>
      <c r="D231" t="s">
        <v>20</v>
      </c>
      <c r="E231" t="s">
        <v>17</v>
      </c>
      <c r="F231" s="5">
        <v>29700000</v>
      </c>
      <c r="G231" s="5">
        <v>32700000</v>
      </c>
      <c r="H231" s="5">
        <f>+(M231*26000)/0.829426</f>
        <v>36578790.633522466</v>
      </c>
      <c r="I231" s="5">
        <f>+G231-H231</f>
        <v>-3878790.6335224658</v>
      </c>
      <c r="J231" s="5">
        <v>3000000</v>
      </c>
      <c r="K231" s="5">
        <v>2970000</v>
      </c>
      <c r="L231" s="5">
        <v>3270000</v>
      </c>
      <c r="M231" s="7">
        <v>1166.9000000000001</v>
      </c>
      <c r="N231" s="5">
        <v>30200000</v>
      </c>
      <c r="O231" s="5">
        <v>33200000</v>
      </c>
      <c r="P231" s="3">
        <v>0.97916666666666663</v>
      </c>
    </row>
    <row r="232" spans="1:16" x14ac:dyDescent="0.25">
      <c r="A232" s="2">
        <v>42412</v>
      </c>
      <c r="B232" s="2">
        <v>42706</v>
      </c>
      <c r="C232" t="str">
        <f>+"Tuáº§n "&amp;WEEKNUM(B232)</f>
        <v>Tuáº§n 49</v>
      </c>
      <c r="D232" t="s">
        <v>21</v>
      </c>
      <c r="E232" t="s">
        <v>17</v>
      </c>
      <c r="F232" s="5">
        <v>29900000</v>
      </c>
      <c r="G232" s="5">
        <v>32900000</v>
      </c>
      <c r="H232" s="5">
        <f>+(M232*26000)/0.829426</f>
        <v>36835835.867214188</v>
      </c>
      <c r="I232" s="5">
        <f>+G232-H232</f>
        <v>-3935835.867214188</v>
      </c>
      <c r="J232" s="5">
        <v>3000000</v>
      </c>
      <c r="K232" s="5">
        <v>2990000</v>
      </c>
      <c r="L232" s="5">
        <v>3290000</v>
      </c>
      <c r="M232" s="7">
        <v>1175.0999999999999</v>
      </c>
      <c r="N232" s="5">
        <v>30400000</v>
      </c>
      <c r="O232" s="5">
        <v>33400000</v>
      </c>
      <c r="P232" s="3">
        <v>0.97916666666666663</v>
      </c>
    </row>
    <row r="233" spans="1:16" x14ac:dyDescent="0.25">
      <c r="A233" s="2">
        <v>42502</v>
      </c>
      <c r="B233" s="2">
        <v>42709</v>
      </c>
      <c r="C233" t="str">
        <f>+"Tuáº§n "&amp;WEEKNUM(B233)</f>
        <v>Tuáº§n 50</v>
      </c>
      <c r="D233" t="s">
        <v>16</v>
      </c>
      <c r="E233" t="s">
        <v>17</v>
      </c>
      <c r="F233" s="5">
        <v>29900000</v>
      </c>
      <c r="G233" s="5">
        <v>32900000</v>
      </c>
      <c r="H233" s="5">
        <f>+(M233*26000)/0.829426</f>
        <v>36801354.189523838</v>
      </c>
      <c r="I233" s="5">
        <f>+G233-H233</f>
        <v>-3901354.1895238385</v>
      </c>
      <c r="J233" s="5">
        <v>3000000</v>
      </c>
      <c r="K233" s="5">
        <v>2990000</v>
      </c>
      <c r="L233" s="5">
        <v>3290000</v>
      </c>
      <c r="M233" s="7">
        <v>1174</v>
      </c>
      <c r="N233" s="5">
        <v>30400000</v>
      </c>
      <c r="O233" s="5">
        <v>33400000</v>
      </c>
      <c r="P233" s="3">
        <v>0.97916666666666663</v>
      </c>
    </row>
    <row r="234" spans="1:16" x14ac:dyDescent="0.25">
      <c r="A234" s="2">
        <v>42533</v>
      </c>
      <c r="B234" s="2">
        <v>42710</v>
      </c>
      <c r="C234" t="str">
        <f>+"Tuáº§n "&amp;WEEKNUM(B234)</f>
        <v>Tuáº§n 50</v>
      </c>
      <c r="D234" t="s">
        <v>18</v>
      </c>
      <c r="E234" t="s">
        <v>17</v>
      </c>
      <c r="F234" s="5">
        <v>29700000</v>
      </c>
      <c r="G234" s="5">
        <v>32700000</v>
      </c>
      <c r="H234" s="5">
        <f>+(M234*26000)/0.829426</f>
        <v>36600733.519325405</v>
      </c>
      <c r="I234" s="5">
        <f>+G234-H234</f>
        <v>-3900733.5193254054</v>
      </c>
      <c r="J234" s="5">
        <v>3000000</v>
      </c>
      <c r="K234" s="5">
        <v>2970000</v>
      </c>
      <c r="L234" s="5">
        <v>3270000</v>
      </c>
      <c r="M234" s="7">
        <v>1167.5999999999999</v>
      </c>
      <c r="N234" s="5">
        <v>30200000</v>
      </c>
      <c r="O234" s="5">
        <v>33200000</v>
      </c>
      <c r="P234" s="3">
        <v>0.97916666666666663</v>
      </c>
    </row>
    <row r="235" spans="1:16" x14ac:dyDescent="0.25">
      <c r="A235" s="2">
        <v>42563</v>
      </c>
      <c r="B235" s="2">
        <v>42711</v>
      </c>
      <c r="C235" t="str">
        <f>+"Tuáº§n "&amp;WEEKNUM(B235)</f>
        <v>Tuáº§n 50</v>
      </c>
      <c r="D235" t="s">
        <v>19</v>
      </c>
      <c r="E235" t="s">
        <v>17</v>
      </c>
      <c r="F235" s="5">
        <v>29900000</v>
      </c>
      <c r="G235" s="5">
        <v>32900000</v>
      </c>
      <c r="H235" s="5">
        <f>+(M235*26000)/0.829426</f>
        <v>36832701.169242345</v>
      </c>
      <c r="I235" s="5">
        <f>+G235-H235</f>
        <v>-3932701.1692423448</v>
      </c>
      <c r="J235" s="5">
        <v>3000000</v>
      </c>
      <c r="K235" s="5">
        <v>2990000</v>
      </c>
      <c r="L235" s="5">
        <v>3290000</v>
      </c>
      <c r="M235" s="7">
        <v>1175</v>
      </c>
      <c r="N235" s="5">
        <v>30400000</v>
      </c>
      <c r="O235" s="5">
        <v>33400000</v>
      </c>
      <c r="P235" s="3">
        <v>0.97916666666666663</v>
      </c>
    </row>
    <row r="236" spans="1:16" x14ac:dyDescent="0.25">
      <c r="A236" s="2">
        <v>42594</v>
      </c>
      <c r="B236" s="2">
        <v>42712</v>
      </c>
      <c r="C236" t="str">
        <f>+"Tuáº§n "&amp;WEEKNUM(B236)</f>
        <v>Tuáº§n 50</v>
      </c>
      <c r="D236" t="s">
        <v>20</v>
      </c>
      <c r="E236" t="s">
        <v>17</v>
      </c>
      <c r="F236" s="5">
        <v>29800000</v>
      </c>
      <c r="G236" s="5">
        <v>32800000</v>
      </c>
      <c r="H236" s="5">
        <f>+(M236*26000)/0.829426</f>
        <v>36669696.874706119</v>
      </c>
      <c r="I236" s="5">
        <f>+G236-H236</f>
        <v>-3869696.8747061193</v>
      </c>
      <c r="J236" s="5">
        <v>3000000</v>
      </c>
      <c r="K236" s="5">
        <v>2980000</v>
      </c>
      <c r="L236" s="5">
        <v>3280000</v>
      </c>
      <c r="M236" s="7">
        <v>1169.8</v>
      </c>
      <c r="N236" s="5">
        <v>30300000</v>
      </c>
      <c r="O236" s="5">
        <v>33300000</v>
      </c>
      <c r="P236" s="3">
        <v>0.97916666666666663</v>
      </c>
    </row>
    <row r="237" spans="1:16" x14ac:dyDescent="0.25">
      <c r="A237" s="2">
        <v>42625</v>
      </c>
      <c r="B237" s="2">
        <v>42713</v>
      </c>
      <c r="C237" t="str">
        <f>+"Tuáº§n "&amp;WEEKNUM(B237)</f>
        <v>Tuáº§n 50</v>
      </c>
      <c r="D237" t="s">
        <v>21</v>
      </c>
      <c r="E237" t="s">
        <v>17</v>
      </c>
      <c r="F237" s="5">
        <v>29500000</v>
      </c>
      <c r="G237" s="5">
        <v>32500000</v>
      </c>
      <c r="H237" s="5">
        <f>+(M237*26000)/0.829426</f>
        <v>36343688.285633683</v>
      </c>
      <c r="I237" s="5">
        <f>+G237-H237</f>
        <v>-3843688.2856336832</v>
      </c>
      <c r="J237" s="5">
        <v>3000000</v>
      </c>
      <c r="K237" s="5">
        <v>2950000</v>
      </c>
      <c r="L237" s="5">
        <v>3250000</v>
      </c>
      <c r="M237" s="7">
        <v>1159.4000000000001</v>
      </c>
      <c r="N237" s="5">
        <v>30000000</v>
      </c>
      <c r="O237" s="5">
        <v>33000000</v>
      </c>
      <c r="P237" s="3">
        <v>0.97916666666666663</v>
      </c>
    </row>
    <row r="238" spans="1:16" x14ac:dyDescent="0.25">
      <c r="A238" s="2">
        <v>42716</v>
      </c>
      <c r="B238" s="2">
        <v>42716</v>
      </c>
      <c r="C238" t="str">
        <f>+"Tuáº§n "&amp;WEEKNUM(B238)</f>
        <v>Tuáº§n 51</v>
      </c>
      <c r="D238" t="s">
        <v>16</v>
      </c>
      <c r="E238" t="s">
        <v>17</v>
      </c>
      <c r="F238" s="5">
        <v>29600000</v>
      </c>
      <c r="G238" s="5">
        <v>32600000</v>
      </c>
      <c r="H238" s="5">
        <f>+(M238*26000)/0.829426</f>
        <v>36472210.902479544</v>
      </c>
      <c r="I238" s="5">
        <f>+G238-H238</f>
        <v>-3872210.9024795443</v>
      </c>
      <c r="J238" s="5">
        <v>3000000</v>
      </c>
      <c r="K238" s="5">
        <v>2960000</v>
      </c>
      <c r="L238" s="5">
        <v>3260000</v>
      </c>
      <c r="M238" s="7">
        <v>1163.5</v>
      </c>
      <c r="N238" s="5">
        <v>30100000</v>
      </c>
      <c r="O238" s="5">
        <v>33100000</v>
      </c>
      <c r="P238" s="3">
        <v>0.97916666666666663</v>
      </c>
    </row>
    <row r="239" spans="1:16" x14ac:dyDescent="0.25">
      <c r="A239" t="s">
        <v>161</v>
      </c>
      <c r="B239" s="2">
        <v>42717</v>
      </c>
      <c r="C239" t="str">
        <f>+"Tuáº§n "&amp;WEEKNUM(B239)</f>
        <v>Tuáº§n 51</v>
      </c>
      <c r="D239" t="s">
        <v>18</v>
      </c>
      <c r="E239" t="s">
        <v>17</v>
      </c>
      <c r="F239" s="5">
        <v>29400000</v>
      </c>
      <c r="G239" s="5">
        <v>32400000</v>
      </c>
      <c r="H239" s="5">
        <f>+(M239*26000)/0.829426</f>
        <v>36259051.440393716</v>
      </c>
      <c r="I239" s="5">
        <f>+G239-H239</f>
        <v>-3859051.4403937161</v>
      </c>
      <c r="J239" s="5">
        <v>3000000</v>
      </c>
      <c r="K239" s="5">
        <v>2940000</v>
      </c>
      <c r="L239" s="5">
        <v>3240000</v>
      </c>
      <c r="M239" s="7">
        <v>1156.7</v>
      </c>
      <c r="N239" s="5">
        <v>29900000</v>
      </c>
      <c r="O239" s="5">
        <v>32900000</v>
      </c>
      <c r="P239" s="3">
        <v>0.97916666666666663</v>
      </c>
    </row>
    <row r="240" spans="1:16" x14ac:dyDescent="0.25">
      <c r="A240" t="s">
        <v>162</v>
      </c>
      <c r="B240" s="2">
        <v>42718</v>
      </c>
      <c r="C240" t="str">
        <f>+"Tuáº§n "&amp;WEEKNUM(B240)</f>
        <v>Tuáº§n 51</v>
      </c>
      <c r="D240" t="s">
        <v>19</v>
      </c>
      <c r="E240" t="s">
        <v>17</v>
      </c>
      <c r="F240" s="5">
        <v>29500000</v>
      </c>
      <c r="G240" s="5">
        <v>32500000</v>
      </c>
      <c r="H240" s="5">
        <f>+(M240*26000)/0.829426</f>
        <v>36403247.547098838</v>
      </c>
      <c r="I240" s="5">
        <f>+G240-H240</f>
        <v>-3903247.5470988378</v>
      </c>
      <c r="J240" s="5">
        <v>3000000</v>
      </c>
      <c r="K240" s="5">
        <v>2950000</v>
      </c>
      <c r="L240" s="5">
        <v>3250000</v>
      </c>
      <c r="M240" s="7">
        <v>1161.3</v>
      </c>
      <c r="N240" s="5">
        <v>30000000</v>
      </c>
      <c r="O240" s="5">
        <v>33000000</v>
      </c>
      <c r="P240" s="3">
        <v>0.97916666666666663</v>
      </c>
    </row>
    <row r="241" spans="1:16" x14ac:dyDescent="0.25">
      <c r="A241" t="s">
        <v>163</v>
      </c>
      <c r="B241" s="2">
        <v>42719</v>
      </c>
      <c r="C241" t="str">
        <f>+"Tuáº§n "&amp;WEEKNUM(B241)</f>
        <v>Tuáº§n 51</v>
      </c>
      <c r="D241" t="s">
        <v>20</v>
      </c>
      <c r="E241" t="s">
        <v>17</v>
      </c>
      <c r="F241" s="5">
        <v>28600000</v>
      </c>
      <c r="G241" s="5">
        <v>31600000</v>
      </c>
      <c r="H241" s="5">
        <f>+(M241*26000)/0.829426</f>
        <v>35353123.72652895</v>
      </c>
      <c r="I241" s="5">
        <f>+G241-H241</f>
        <v>-3753123.72652895</v>
      </c>
      <c r="J241" s="5">
        <v>3000000</v>
      </c>
      <c r="K241" s="5">
        <v>2860000</v>
      </c>
      <c r="L241" s="5">
        <v>3160000</v>
      </c>
      <c r="M241" s="7">
        <v>1127.8</v>
      </c>
      <c r="N241" s="5">
        <v>29100000</v>
      </c>
      <c r="O241" s="5">
        <v>32100000</v>
      </c>
      <c r="P241" s="3">
        <v>0.97916666666666663</v>
      </c>
    </row>
    <row r="242" spans="1:16" x14ac:dyDescent="0.25">
      <c r="A242" t="s">
        <v>164</v>
      </c>
      <c r="B242" s="2">
        <v>42720</v>
      </c>
      <c r="C242" t="str">
        <f>+"Tuáº§n "&amp;WEEKNUM(B242)</f>
        <v>Tuáº§n 51</v>
      </c>
      <c r="D242" t="s">
        <v>21</v>
      </c>
      <c r="E242" t="s">
        <v>17</v>
      </c>
      <c r="F242" s="5">
        <v>28800000</v>
      </c>
      <c r="G242" s="5">
        <v>31800000</v>
      </c>
      <c r="H242" s="5">
        <f>+(M242*26000)/0.829426</f>
        <v>35588226.074417733</v>
      </c>
      <c r="I242" s="5">
        <f>+G242-H242</f>
        <v>-3788226.0744177327</v>
      </c>
      <c r="J242" s="5">
        <v>3000000</v>
      </c>
      <c r="K242" s="5">
        <v>2880000</v>
      </c>
      <c r="L242" s="5">
        <v>3180000</v>
      </c>
      <c r="M242" s="7">
        <v>1135.3</v>
      </c>
      <c r="N242" s="5">
        <v>29300000</v>
      </c>
      <c r="O242" s="5">
        <v>32300000</v>
      </c>
      <c r="P242" s="3">
        <v>0.97916666666666663</v>
      </c>
    </row>
    <row r="243" spans="1:16" x14ac:dyDescent="0.25">
      <c r="A243" t="s">
        <v>165</v>
      </c>
      <c r="B243" s="2">
        <v>42723</v>
      </c>
      <c r="C243" t="str">
        <f>+"Tuáº§n "&amp;WEEKNUM(B243)</f>
        <v>Tuáº§n 52</v>
      </c>
      <c r="D243" t="s">
        <v>16</v>
      </c>
      <c r="E243" t="s">
        <v>17</v>
      </c>
      <c r="F243" s="5">
        <v>29000000</v>
      </c>
      <c r="G243" s="5">
        <v>32000000</v>
      </c>
      <c r="H243" s="5">
        <f>+(M243*26000)/0.829426</f>
        <v>35751230.368953951</v>
      </c>
      <c r="I243" s="5">
        <f>+G243-H243</f>
        <v>-3751230.3689539507</v>
      </c>
      <c r="J243" s="5">
        <v>3000000</v>
      </c>
      <c r="K243" s="5">
        <v>2900000</v>
      </c>
      <c r="L243" s="5">
        <v>3200000</v>
      </c>
      <c r="M243" s="7">
        <v>1140.5</v>
      </c>
      <c r="N243" s="5">
        <v>29500000</v>
      </c>
      <c r="O243" s="5">
        <v>32500000</v>
      </c>
      <c r="P243" s="3">
        <v>0.97916666666666663</v>
      </c>
    </row>
    <row r="244" spans="1:16" x14ac:dyDescent="0.25">
      <c r="A244" t="s">
        <v>166</v>
      </c>
      <c r="B244" s="2">
        <v>42724</v>
      </c>
      <c r="C244" t="str">
        <f>+"Tuáº§n "&amp;WEEKNUM(B244)</f>
        <v>Tuáº§n 52</v>
      </c>
      <c r="D244" t="s">
        <v>18</v>
      </c>
      <c r="E244" t="s">
        <v>17</v>
      </c>
      <c r="F244" s="5">
        <v>28700000</v>
      </c>
      <c r="G244" s="5">
        <v>31700000</v>
      </c>
      <c r="H244" s="5">
        <f>+(M244*26000)/0.829426</f>
        <v>35469107.551487416</v>
      </c>
      <c r="I244" s="5">
        <f>+G244-H244</f>
        <v>-3769107.551487416</v>
      </c>
      <c r="J244" s="5">
        <v>3000000</v>
      </c>
      <c r="K244" s="5">
        <v>2870000</v>
      </c>
      <c r="L244" s="5">
        <v>3170000</v>
      </c>
      <c r="M244" s="7">
        <v>1131.5</v>
      </c>
      <c r="N244" s="5">
        <v>29200000</v>
      </c>
      <c r="O244" s="5">
        <v>32200000</v>
      </c>
      <c r="P244" s="3">
        <v>0.97916666666666663</v>
      </c>
    </row>
    <row r="245" spans="1:16" x14ac:dyDescent="0.25">
      <c r="A245" t="s">
        <v>167</v>
      </c>
      <c r="B245" s="2">
        <v>42725</v>
      </c>
      <c r="C245" t="str">
        <f>+"Tuáº§n "&amp;WEEKNUM(B245)</f>
        <v>Tuáº§n 52</v>
      </c>
      <c r="D245" t="s">
        <v>19</v>
      </c>
      <c r="E245" t="s">
        <v>17</v>
      </c>
      <c r="F245" s="5">
        <v>28700000</v>
      </c>
      <c r="G245" s="5">
        <v>31700000</v>
      </c>
      <c r="H245" s="5">
        <f>+(M245*26000)/0.829426</f>
        <v>35456568.759600006</v>
      </c>
      <c r="I245" s="5">
        <f>+G245-H245</f>
        <v>-3756568.759600006</v>
      </c>
      <c r="J245" s="5">
        <v>3000000</v>
      </c>
      <c r="K245" s="5">
        <v>2870000</v>
      </c>
      <c r="L245" s="5">
        <v>3170000</v>
      </c>
      <c r="M245" s="7">
        <v>1131.0999999999999</v>
      </c>
      <c r="N245" s="5">
        <v>29200000</v>
      </c>
      <c r="O245" s="5">
        <v>32200000</v>
      </c>
      <c r="P245" s="3">
        <v>0.97916666666666663</v>
      </c>
    </row>
    <row r="246" spans="1:16" x14ac:dyDescent="0.25">
      <c r="A246" t="s">
        <v>168</v>
      </c>
      <c r="B246" s="2">
        <v>42726</v>
      </c>
      <c r="C246" t="str">
        <f>+"Tuáº§n "&amp;WEEKNUM(B246)</f>
        <v>Tuáº§n 52</v>
      </c>
      <c r="D246" t="s">
        <v>20</v>
      </c>
      <c r="E246" t="s">
        <v>17</v>
      </c>
      <c r="F246" s="5">
        <v>28600000</v>
      </c>
      <c r="G246" s="5">
        <v>31600000</v>
      </c>
      <c r="H246" s="5">
        <f>+(M246*26000)/0.829426</f>
        <v>35384470.706247456</v>
      </c>
      <c r="I246" s="5">
        <f>+G246-H246</f>
        <v>-3784470.7062474564</v>
      </c>
      <c r="J246" s="5">
        <v>3000000</v>
      </c>
      <c r="K246" s="5">
        <v>2860000</v>
      </c>
      <c r="L246" s="5">
        <v>3160000</v>
      </c>
      <c r="M246" s="7">
        <v>1128.8</v>
      </c>
      <c r="N246" s="5">
        <v>29100000</v>
      </c>
      <c r="O246" s="5">
        <v>32100000</v>
      </c>
      <c r="P246" s="3">
        <v>0.97916666666666663</v>
      </c>
    </row>
    <row r="247" spans="1:16" x14ac:dyDescent="0.25">
      <c r="A247" t="s">
        <v>169</v>
      </c>
      <c r="B247" s="2">
        <v>42727</v>
      </c>
      <c r="C247" t="str">
        <f>+"Tuáº§n "&amp;WEEKNUM(B247)</f>
        <v>Tuáº§n 52</v>
      </c>
      <c r="D247" t="s">
        <v>21</v>
      </c>
      <c r="E247" t="s">
        <v>17</v>
      </c>
      <c r="F247" s="5">
        <v>28700000</v>
      </c>
      <c r="G247" s="5">
        <v>31700000</v>
      </c>
      <c r="H247" s="5">
        <f>+(M247*26000)/0.829426</f>
        <v>35481646.343374819</v>
      </c>
      <c r="I247" s="5">
        <f>+G247-H247</f>
        <v>-3781646.3433748186</v>
      </c>
      <c r="J247" s="5">
        <v>3000000</v>
      </c>
      <c r="K247" s="5">
        <v>2870000</v>
      </c>
      <c r="L247" s="5">
        <v>3170000</v>
      </c>
      <c r="M247" s="7">
        <v>1131.9000000000001</v>
      </c>
      <c r="N247" s="5">
        <v>29200000</v>
      </c>
      <c r="O247" s="5">
        <v>32200000</v>
      </c>
      <c r="P247" s="3">
        <v>0.97916666666666663</v>
      </c>
    </row>
    <row r="248" spans="1:16" x14ac:dyDescent="0.25">
      <c r="A248" t="s">
        <v>170</v>
      </c>
      <c r="B248" s="2">
        <v>42731</v>
      </c>
      <c r="C248" t="str">
        <f>+"Tuáº§n "&amp;WEEKNUM(B248)</f>
        <v>Tuáº§n 53</v>
      </c>
      <c r="D248" t="s">
        <v>18</v>
      </c>
      <c r="E248" t="s">
        <v>17</v>
      </c>
      <c r="F248" s="5">
        <v>28900000</v>
      </c>
      <c r="G248" s="5">
        <v>31900000</v>
      </c>
      <c r="H248" s="5">
        <f>+(M248*26000)/0.829426</f>
        <v>35650920.033854738</v>
      </c>
      <c r="I248" s="5">
        <f>+G248-H248</f>
        <v>-3750920.0338547379</v>
      </c>
      <c r="J248" s="5">
        <v>3000000</v>
      </c>
      <c r="K248" s="5">
        <v>2890000</v>
      </c>
      <c r="L248" s="5">
        <v>3190000</v>
      </c>
      <c r="M248" s="7">
        <v>1137.3</v>
      </c>
      <c r="N248" s="5">
        <v>29400000</v>
      </c>
      <c r="O248" s="5">
        <v>32400000</v>
      </c>
      <c r="P248" s="3">
        <v>0.97916666666666663</v>
      </c>
    </row>
    <row r="249" spans="1:16" x14ac:dyDescent="0.25">
      <c r="A249" t="s">
        <v>171</v>
      </c>
      <c r="B249" s="2">
        <v>42732</v>
      </c>
      <c r="C249" t="str">
        <f>+"Tuáº§n "&amp;WEEKNUM(B249)</f>
        <v>Tuáº§n 53</v>
      </c>
      <c r="D249" t="s">
        <v>19</v>
      </c>
      <c r="E249" t="s">
        <v>17</v>
      </c>
      <c r="F249" s="5">
        <v>28900000</v>
      </c>
      <c r="G249" s="5">
        <v>31900000</v>
      </c>
      <c r="H249" s="5">
        <f>+(M249*26000)/0.829426</f>
        <v>35716748.691263601</v>
      </c>
      <c r="I249" s="5">
        <f>+G249-H249</f>
        <v>-3816748.6912636012</v>
      </c>
      <c r="J249" s="5">
        <v>3000000</v>
      </c>
      <c r="K249" s="5">
        <v>2890000</v>
      </c>
      <c r="L249" s="5">
        <v>3190000</v>
      </c>
      <c r="M249" s="7">
        <v>1139.4000000000001</v>
      </c>
      <c r="N249" s="5">
        <v>29400000</v>
      </c>
      <c r="O249" s="5">
        <v>32400000</v>
      </c>
      <c r="P249" s="3">
        <v>0.97916666666666663</v>
      </c>
    </row>
    <row r="250" spans="1:16" x14ac:dyDescent="0.25">
      <c r="A250" t="s">
        <v>172</v>
      </c>
      <c r="B250" s="2">
        <v>42733</v>
      </c>
      <c r="C250" t="str">
        <f>+"Tuáº§n "&amp;WEEKNUM(B250)</f>
        <v>Tuáº§n 53</v>
      </c>
      <c r="D250" t="s">
        <v>20</v>
      </c>
      <c r="E250" t="s">
        <v>17</v>
      </c>
      <c r="F250" s="5">
        <v>29400000</v>
      </c>
      <c r="G250" s="5">
        <v>32400000</v>
      </c>
      <c r="H250" s="5">
        <f>+(M250*26000)/0.829426</f>
        <v>36249647.346478172</v>
      </c>
      <c r="I250" s="5">
        <f>+G250-H250</f>
        <v>-3849647.3464781716</v>
      </c>
      <c r="J250" s="5">
        <v>3000000</v>
      </c>
      <c r="K250" s="5">
        <v>2940000</v>
      </c>
      <c r="L250" s="5">
        <v>3240000</v>
      </c>
      <c r="M250" s="7">
        <v>1156.4000000000001</v>
      </c>
      <c r="N250" s="5">
        <v>29900000</v>
      </c>
      <c r="O250" s="5">
        <v>32900000</v>
      </c>
      <c r="P250" s="3">
        <v>0.97916666666666663</v>
      </c>
    </row>
    <row r="251" spans="1:16" x14ac:dyDescent="0.25">
      <c r="A251" t="s">
        <v>173</v>
      </c>
      <c r="B251" s="2">
        <v>42734</v>
      </c>
      <c r="C251" t="str">
        <f>+"Tuáº§n "&amp;WEEKNUM(B251)</f>
        <v>Tuáº§n 53</v>
      </c>
      <c r="D251" t="s">
        <v>21</v>
      </c>
      <c r="E251" t="s">
        <v>17</v>
      </c>
      <c r="F251" s="5">
        <v>29200000</v>
      </c>
      <c r="G251" s="5">
        <v>32200000</v>
      </c>
      <c r="H251" s="5">
        <f>+(M251*26000)/0.829426</f>
        <v>36049026.676279739</v>
      </c>
      <c r="I251" s="5">
        <f>+G251-H251</f>
        <v>-3849026.6762797385</v>
      </c>
      <c r="J251" s="5">
        <v>3000000</v>
      </c>
      <c r="K251" s="5">
        <v>2920000</v>
      </c>
      <c r="L251" s="5">
        <v>3220000</v>
      </c>
      <c r="M251" s="7">
        <v>1150</v>
      </c>
      <c r="N251" s="5">
        <v>29700000</v>
      </c>
      <c r="O251" s="5">
        <v>32700000</v>
      </c>
      <c r="P251" s="3">
        <v>0.97916666666666663</v>
      </c>
    </row>
    <row r="252" spans="1:16" x14ac:dyDescent="0.25">
      <c r="A252" s="2">
        <v>42795</v>
      </c>
      <c r="B252" s="2">
        <v>42738</v>
      </c>
      <c r="C252" t="str">
        <f>+"Tuáº§n "&amp;WEEKNUM(B252)</f>
        <v>Tuáº§n 1</v>
      </c>
      <c r="D252" t="s">
        <v>18</v>
      </c>
      <c r="E252" t="s">
        <v>17</v>
      </c>
      <c r="F252" s="5">
        <v>30300000</v>
      </c>
      <c r="G252" s="5">
        <v>33300000</v>
      </c>
      <c r="H252" s="5">
        <f>+(M252*26000)/0.829426</f>
        <v>36375035.26535219</v>
      </c>
      <c r="I252" s="5">
        <f>+G252-H252</f>
        <v>-3075035.2653521895</v>
      </c>
      <c r="J252" s="5">
        <v>3000000</v>
      </c>
      <c r="K252" s="5">
        <v>3030000</v>
      </c>
      <c r="L252" s="5">
        <v>3330000</v>
      </c>
      <c r="M252" s="7">
        <v>1160.4000000000001</v>
      </c>
      <c r="N252" s="5">
        <v>30800000</v>
      </c>
      <c r="O252" s="5">
        <v>33800000</v>
      </c>
      <c r="P252" s="3">
        <v>0.97916666666666663</v>
      </c>
    </row>
    <row r="253" spans="1:16" x14ac:dyDescent="0.25">
      <c r="A253" s="2">
        <v>42826</v>
      </c>
      <c r="B253" s="2">
        <v>42739</v>
      </c>
      <c r="C253" t="str">
        <f>+"Tuáº§n "&amp;WEEKNUM(B253)</f>
        <v>Tuáº§n 1</v>
      </c>
      <c r="D253" t="s">
        <v>19</v>
      </c>
      <c r="E253" t="s">
        <v>17</v>
      </c>
      <c r="F253" s="5">
        <v>30400000</v>
      </c>
      <c r="G253" s="5">
        <v>33400000</v>
      </c>
      <c r="H253" s="5">
        <f>+(M253*26000)/0.829426</f>
        <v>36481614.996395096</v>
      </c>
      <c r="I253" s="5">
        <f>+G253-H253</f>
        <v>-3081614.9963950962</v>
      </c>
      <c r="J253" s="5">
        <v>3000000</v>
      </c>
      <c r="K253" s="5">
        <v>3040000</v>
      </c>
      <c r="L253" s="5">
        <v>3340000</v>
      </c>
      <c r="M253" s="7">
        <v>1163.8</v>
      </c>
      <c r="N253" s="5">
        <v>30900000</v>
      </c>
      <c r="O253" s="5">
        <v>33900000</v>
      </c>
      <c r="P253" s="3">
        <v>0.97916666666666663</v>
      </c>
    </row>
    <row r="254" spans="1:16" x14ac:dyDescent="0.25">
      <c r="A254" s="2">
        <v>42856</v>
      </c>
      <c r="B254" s="2">
        <v>42740</v>
      </c>
      <c r="C254" t="str">
        <f>+"Tuáº§n "&amp;WEEKNUM(B254)</f>
        <v>Tuáº§n 1</v>
      </c>
      <c r="D254" t="s">
        <v>20</v>
      </c>
      <c r="E254" t="s">
        <v>17</v>
      </c>
      <c r="F254" s="5">
        <v>30900000</v>
      </c>
      <c r="G254" s="5">
        <v>33900000</v>
      </c>
      <c r="H254" s="5">
        <f>+(M254*26000)/0.829426</f>
        <v>36980031.97391931</v>
      </c>
      <c r="I254" s="5">
        <f>+G254-H254</f>
        <v>-3080031.9739193097</v>
      </c>
      <c r="J254" s="5">
        <v>3000000</v>
      </c>
      <c r="K254" s="5">
        <v>3090000</v>
      </c>
      <c r="L254" s="5">
        <v>3390000</v>
      </c>
      <c r="M254" s="7">
        <v>1179.7</v>
      </c>
      <c r="N254" s="5">
        <v>31400000</v>
      </c>
      <c r="O254" s="5">
        <v>34400000</v>
      </c>
      <c r="P254" s="3">
        <v>0.97916666666666663</v>
      </c>
    </row>
    <row r="255" spans="1:16" x14ac:dyDescent="0.25">
      <c r="A255" s="2">
        <v>42887</v>
      </c>
      <c r="B255" s="2">
        <v>42741</v>
      </c>
      <c r="C255" t="str">
        <f>+"Tuáº§n "&amp;WEEKNUM(B255)</f>
        <v>Tuáº§n 1</v>
      </c>
      <c r="D255" t="s">
        <v>21</v>
      </c>
      <c r="E255" t="s">
        <v>17</v>
      </c>
      <c r="F255" s="5">
        <v>30700000</v>
      </c>
      <c r="G255" s="5">
        <v>33700000</v>
      </c>
      <c r="H255" s="5">
        <f>+(M255*26000)/0.829426</f>
        <v>36735525.532114983</v>
      </c>
      <c r="I255" s="5">
        <f>+G255-H255</f>
        <v>-3035525.5321149826</v>
      </c>
      <c r="J255" s="5">
        <v>3000000</v>
      </c>
      <c r="K255" s="5">
        <v>3070000</v>
      </c>
      <c r="L255" s="5">
        <v>3370000</v>
      </c>
      <c r="M255" s="7">
        <v>1171.9000000000001</v>
      </c>
      <c r="N255" s="5">
        <v>31200000</v>
      </c>
      <c r="O255" s="5">
        <v>34200000</v>
      </c>
      <c r="P255" s="3">
        <v>0.97916666666666663</v>
      </c>
    </row>
    <row r="256" spans="1:16" x14ac:dyDescent="0.25">
      <c r="A256" s="2">
        <v>42979</v>
      </c>
      <c r="B256" s="2">
        <v>42744</v>
      </c>
      <c r="C256" t="str">
        <f>+"Tuáº§n "&amp;WEEKNUM(B256)</f>
        <v>Tuáº§n 2</v>
      </c>
      <c r="D256" t="s">
        <v>16</v>
      </c>
      <c r="E256" t="s">
        <v>17</v>
      </c>
      <c r="F256" s="5">
        <v>31000000</v>
      </c>
      <c r="G256" s="5">
        <v>34000000</v>
      </c>
      <c r="H256" s="5">
        <f>+(M256*26000)/0.829426</f>
        <v>37099150.496849626</v>
      </c>
      <c r="I256" s="5">
        <f>+G256-H256</f>
        <v>-3099150.4968496263</v>
      </c>
      <c r="J256" s="5">
        <v>3000000</v>
      </c>
      <c r="K256" s="5">
        <v>3100000</v>
      </c>
      <c r="L256" s="5">
        <v>3400000</v>
      </c>
      <c r="M256" s="7">
        <v>1183.5</v>
      </c>
      <c r="N256" s="5">
        <v>31500000</v>
      </c>
      <c r="O256" s="5">
        <v>34500000</v>
      </c>
      <c r="P256" s="3">
        <v>0.97916666666666663</v>
      </c>
    </row>
    <row r="257" spans="1:16" x14ac:dyDescent="0.25">
      <c r="A257" s="2">
        <v>43009</v>
      </c>
      <c r="B257" s="2">
        <v>42745</v>
      </c>
      <c r="C257" t="str">
        <f>+"Tuáº§n "&amp;WEEKNUM(B257)</f>
        <v>Tuáº§n 2</v>
      </c>
      <c r="D257" t="s">
        <v>18</v>
      </c>
      <c r="E257" t="s">
        <v>17</v>
      </c>
      <c r="F257" s="5">
        <v>31000000</v>
      </c>
      <c r="G257" s="5">
        <v>34000000</v>
      </c>
      <c r="H257" s="5">
        <f>+(M257*26000)/0.829426</f>
        <v>37121093.382652581</v>
      </c>
      <c r="I257" s="5">
        <f>+G257-H257</f>
        <v>-3121093.3826525807</v>
      </c>
      <c r="J257" s="5">
        <v>3000000</v>
      </c>
      <c r="K257" s="5">
        <v>3100000</v>
      </c>
      <c r="L257" s="5">
        <v>3400000</v>
      </c>
      <c r="M257" s="7">
        <v>1184.2</v>
      </c>
      <c r="N257" s="5">
        <v>31500000</v>
      </c>
      <c r="O257" s="5">
        <v>34500000</v>
      </c>
      <c r="P257" s="3">
        <v>0.97916666666666663</v>
      </c>
    </row>
    <row r="258" spans="1:16" x14ac:dyDescent="0.25">
      <c r="A258" s="2">
        <v>43040</v>
      </c>
      <c r="B258" s="2">
        <v>42746</v>
      </c>
      <c r="C258" t="str">
        <f>+"Tuáº§n "&amp;WEEKNUM(B258)</f>
        <v>Tuáº§n 2</v>
      </c>
      <c r="D258" t="s">
        <v>19</v>
      </c>
      <c r="E258" t="s">
        <v>17</v>
      </c>
      <c r="F258" s="5">
        <v>31400000</v>
      </c>
      <c r="G258" s="5">
        <v>34400000</v>
      </c>
      <c r="H258" s="5">
        <f>+(M258*26000)/0.829426</f>
        <v>37478448.951443523</v>
      </c>
      <c r="I258" s="5">
        <f>+G258-H258</f>
        <v>-3078448.9514435232</v>
      </c>
      <c r="J258" s="5">
        <v>3000000</v>
      </c>
      <c r="K258" s="5">
        <v>3140000</v>
      </c>
      <c r="L258" s="5">
        <v>3440000</v>
      </c>
      <c r="M258" s="7">
        <v>1195.5999999999999</v>
      </c>
      <c r="N258" s="5">
        <v>31900000</v>
      </c>
      <c r="O258" s="5">
        <v>34900000</v>
      </c>
      <c r="P258" s="3">
        <v>0.97916666666666663</v>
      </c>
    </row>
    <row r="259" spans="1:16" x14ac:dyDescent="0.25">
      <c r="A259" s="2">
        <v>43070</v>
      </c>
      <c r="B259" s="2">
        <v>42747</v>
      </c>
      <c r="C259" t="str">
        <f>+"Tuáº§n "&amp;WEEKNUM(B259)</f>
        <v>Tuáº§n 2</v>
      </c>
      <c r="D259" t="s">
        <v>20</v>
      </c>
      <c r="E259" t="s">
        <v>17</v>
      </c>
      <c r="F259" s="5">
        <v>31500000</v>
      </c>
      <c r="G259" s="5">
        <v>34500000</v>
      </c>
      <c r="H259" s="5">
        <f>+(M259*26000)/0.829426</f>
        <v>37581893.984514594</v>
      </c>
      <c r="I259" s="5">
        <f>+G259-H259</f>
        <v>-3081893.9845145941</v>
      </c>
      <c r="J259" s="5">
        <v>3000000</v>
      </c>
      <c r="K259" s="5">
        <v>3150000</v>
      </c>
      <c r="L259" s="5">
        <v>3450000</v>
      </c>
      <c r="M259" s="7">
        <v>1198.9000000000001</v>
      </c>
      <c r="N259" s="5">
        <v>32000000</v>
      </c>
      <c r="O259" s="5">
        <v>35000000</v>
      </c>
      <c r="P259" s="3">
        <v>0.97916666666666663</v>
      </c>
    </row>
    <row r="260" spans="1:16" x14ac:dyDescent="0.25">
      <c r="A260" t="s">
        <v>174</v>
      </c>
      <c r="B260" s="2">
        <v>42748</v>
      </c>
      <c r="C260" t="str">
        <f>+"Tuáº§n "&amp;WEEKNUM(B260)</f>
        <v>Tuáº§n 2</v>
      </c>
      <c r="D260" t="s">
        <v>21</v>
      </c>
      <c r="E260" t="s">
        <v>17</v>
      </c>
      <c r="F260" s="5">
        <v>31300000</v>
      </c>
      <c r="G260" s="5">
        <v>34300000</v>
      </c>
      <c r="H260" s="5">
        <f>+(M260*26000)/0.829426</f>
        <v>37469044.857527979</v>
      </c>
      <c r="I260" s="5">
        <f>+G260-H260</f>
        <v>-3169044.8575279787</v>
      </c>
      <c r="J260" s="5">
        <v>3000000</v>
      </c>
      <c r="K260" s="5">
        <v>3130000</v>
      </c>
      <c r="L260" s="5">
        <v>3430000</v>
      </c>
      <c r="M260" s="7">
        <v>1195.3</v>
      </c>
      <c r="N260" s="5">
        <v>31800000</v>
      </c>
      <c r="O260" s="5">
        <v>34800000</v>
      </c>
      <c r="P260" s="3">
        <v>0.97916666666666663</v>
      </c>
    </row>
    <row r="261" spans="1:16" x14ac:dyDescent="0.25">
      <c r="A261" t="s">
        <v>175</v>
      </c>
      <c r="B261" s="2">
        <v>42752</v>
      </c>
      <c r="C261" t="str">
        <f>+"Tuáº§n "&amp;WEEKNUM(B261)</f>
        <v>Tuáº§n 3</v>
      </c>
      <c r="D261" t="s">
        <v>18</v>
      </c>
      <c r="E261" t="s">
        <v>17</v>
      </c>
      <c r="F261" s="5">
        <v>31800000</v>
      </c>
      <c r="G261" s="5">
        <v>34800000</v>
      </c>
      <c r="H261" s="5">
        <f>+(M261*26000)/0.829426</f>
        <v>37992539.418826997</v>
      </c>
      <c r="I261" s="5">
        <f>+G261-H261</f>
        <v>-3192539.4188269973</v>
      </c>
      <c r="J261" s="5">
        <v>3000000</v>
      </c>
      <c r="K261" s="5">
        <v>3180000</v>
      </c>
      <c r="L261" s="5">
        <v>3480000</v>
      </c>
      <c r="M261" s="7">
        <v>1212</v>
      </c>
      <c r="N261" s="5">
        <v>32300000</v>
      </c>
      <c r="O261" s="5">
        <v>35300000</v>
      </c>
      <c r="P261" s="3">
        <v>0.97916666666666663</v>
      </c>
    </row>
    <row r="262" spans="1:16" x14ac:dyDescent="0.25">
      <c r="A262" t="s">
        <v>176</v>
      </c>
      <c r="B262" s="2">
        <v>42753</v>
      </c>
      <c r="C262" t="str">
        <f>+"Tuáº§n "&amp;WEEKNUM(B262)</f>
        <v>Tuáº§n 3</v>
      </c>
      <c r="D262" t="s">
        <v>19</v>
      </c>
      <c r="E262" t="s">
        <v>17</v>
      </c>
      <c r="F262" s="5">
        <v>31800000</v>
      </c>
      <c r="G262" s="5">
        <v>34800000</v>
      </c>
      <c r="H262" s="5">
        <f>+(M262*26000)/0.829426</f>
        <v>37970596.533024043</v>
      </c>
      <c r="I262" s="5">
        <f>+G262-H262</f>
        <v>-3170596.5330240428</v>
      </c>
      <c r="J262" s="5">
        <v>3000000</v>
      </c>
      <c r="K262" s="5">
        <v>3180000</v>
      </c>
      <c r="L262" s="5">
        <v>3480000</v>
      </c>
      <c r="M262" s="7">
        <v>1211.3</v>
      </c>
      <c r="N262" s="5">
        <v>32300000</v>
      </c>
      <c r="O262" s="5">
        <v>35300000</v>
      </c>
      <c r="P262" s="3">
        <v>0.97916666666666663</v>
      </c>
    </row>
    <row r="263" spans="1:16" x14ac:dyDescent="0.25">
      <c r="A263" t="s">
        <v>177</v>
      </c>
      <c r="B263" s="2">
        <v>42754</v>
      </c>
      <c r="C263" t="str">
        <f>+"Tuáº§n "&amp;WEEKNUM(B263)</f>
        <v>Tuáº§n 3</v>
      </c>
      <c r="D263" t="s">
        <v>20</v>
      </c>
      <c r="E263" t="s">
        <v>17</v>
      </c>
      <c r="F263" s="5">
        <v>31500000</v>
      </c>
      <c r="G263" s="5">
        <v>34500000</v>
      </c>
      <c r="H263" s="5">
        <f>+(M263*26000)/0.829426</f>
        <v>37644587.943951607</v>
      </c>
      <c r="I263" s="5">
        <f>+G263-H263</f>
        <v>-3144587.9439516068</v>
      </c>
      <c r="J263" s="5">
        <v>3000000</v>
      </c>
      <c r="K263" s="5">
        <v>3150000</v>
      </c>
      <c r="L263" s="5">
        <v>3450000</v>
      </c>
      <c r="M263" s="7">
        <v>1200.9000000000001</v>
      </c>
      <c r="N263" s="5">
        <v>32000000</v>
      </c>
      <c r="O263" s="5">
        <v>35000000</v>
      </c>
      <c r="P263" s="3">
        <v>0.97916666666666663</v>
      </c>
    </row>
    <row r="264" spans="1:16" x14ac:dyDescent="0.25">
      <c r="A264" t="s">
        <v>178</v>
      </c>
      <c r="B264" s="2">
        <v>42755</v>
      </c>
      <c r="C264" t="str">
        <f>+"Tuáº§n "&amp;WEEKNUM(B264)</f>
        <v>Tuáº§n 3</v>
      </c>
      <c r="D264" t="s">
        <v>21</v>
      </c>
      <c r="E264" t="s">
        <v>17</v>
      </c>
      <c r="F264" s="5">
        <v>31600000</v>
      </c>
      <c r="G264" s="5">
        <v>34600000</v>
      </c>
      <c r="H264" s="5">
        <f>+(M264*26000)/0.829426</f>
        <v>37751167.674994513</v>
      </c>
      <c r="I264" s="5">
        <f>+G264-H264</f>
        <v>-3151167.6749945134</v>
      </c>
      <c r="J264" s="5">
        <v>3000000</v>
      </c>
      <c r="K264" s="5">
        <v>3160000</v>
      </c>
      <c r="L264" s="5">
        <v>3460000</v>
      </c>
      <c r="M264" s="7">
        <v>1204.3</v>
      </c>
      <c r="N264" s="5">
        <v>32100000</v>
      </c>
      <c r="O264" s="5">
        <v>35100000</v>
      </c>
      <c r="P264" s="3">
        <v>0.97916666666666663</v>
      </c>
    </row>
    <row r="265" spans="1:16" x14ac:dyDescent="0.25">
      <c r="A265" t="s">
        <v>179</v>
      </c>
      <c r="B265" s="2">
        <v>42758</v>
      </c>
      <c r="C265" t="str">
        <f>+"Tuáº§n "&amp;WEEKNUM(B265)</f>
        <v>Tuáº§n 4</v>
      </c>
      <c r="D265" t="s">
        <v>16</v>
      </c>
      <c r="E265" t="s">
        <v>17</v>
      </c>
      <c r="F265" s="5">
        <v>31900000</v>
      </c>
      <c r="G265" s="5">
        <v>34900000</v>
      </c>
      <c r="H265" s="5">
        <f>+(M265*26000)/0.829426</f>
        <v>38086580.357982509</v>
      </c>
      <c r="I265" s="5">
        <f>+G265-H265</f>
        <v>-3186580.3579825088</v>
      </c>
      <c r="J265" s="5">
        <v>3000000</v>
      </c>
      <c r="K265" s="5">
        <v>3190000</v>
      </c>
      <c r="L265" s="5">
        <v>3490000</v>
      </c>
      <c r="M265" s="7">
        <v>1215</v>
      </c>
      <c r="N265" s="5">
        <v>32400000</v>
      </c>
      <c r="O265" s="5">
        <v>35400000</v>
      </c>
      <c r="P265" s="3">
        <v>0.97916666666666663</v>
      </c>
    </row>
    <row r="266" spans="1:16" x14ac:dyDescent="0.25">
      <c r="A266" t="s">
        <v>180</v>
      </c>
      <c r="B266" s="2">
        <v>42759</v>
      </c>
      <c r="C266" t="str">
        <f>+"Tuáº§n "&amp;WEEKNUM(B266)</f>
        <v>Tuáº§n 4</v>
      </c>
      <c r="D266" t="s">
        <v>18</v>
      </c>
      <c r="E266" t="s">
        <v>17</v>
      </c>
      <c r="F266" s="5">
        <v>31800000</v>
      </c>
      <c r="G266" s="5">
        <v>34800000</v>
      </c>
      <c r="H266" s="5">
        <f>+(M266*26000)/0.829426</f>
        <v>37939249.553305537</v>
      </c>
      <c r="I266" s="5">
        <f>+G266-H266</f>
        <v>-3139249.5533055365</v>
      </c>
      <c r="J266" s="5">
        <v>3000000</v>
      </c>
      <c r="K266" s="5">
        <v>3180000</v>
      </c>
      <c r="L266" s="5">
        <v>3480000</v>
      </c>
      <c r="M266" s="7">
        <v>1210.3</v>
      </c>
      <c r="N266" s="5">
        <v>32300000</v>
      </c>
      <c r="O266" s="5">
        <v>35300000</v>
      </c>
      <c r="P266" s="3">
        <v>0.97916666666666663</v>
      </c>
    </row>
    <row r="267" spans="1:16" x14ac:dyDescent="0.25">
      <c r="A267" t="s">
        <v>181</v>
      </c>
      <c r="B267" s="2">
        <v>42760</v>
      </c>
      <c r="C267" t="str">
        <f>+"Tuáº§n "&amp;WEEKNUM(B267)</f>
        <v>Tuáº§n 4</v>
      </c>
      <c r="D267" t="s">
        <v>19</v>
      </c>
      <c r="E267" t="s">
        <v>17</v>
      </c>
      <c r="F267" s="5">
        <v>31400000</v>
      </c>
      <c r="G267" s="5">
        <v>34400000</v>
      </c>
      <c r="H267" s="5">
        <f>+(M267*26000)/0.829426</f>
        <v>37531738.816964984</v>
      </c>
      <c r="I267" s="5">
        <f>+G267-H267</f>
        <v>-3131738.8169649839</v>
      </c>
      <c r="J267" s="5">
        <v>3000000</v>
      </c>
      <c r="K267" s="5">
        <v>3140000</v>
      </c>
      <c r="L267" s="5">
        <v>3440000</v>
      </c>
      <c r="M267" s="7">
        <v>1197.3</v>
      </c>
      <c r="N267" s="5">
        <v>31900000</v>
      </c>
      <c r="O267" s="5">
        <v>34900000</v>
      </c>
      <c r="P267" s="3">
        <v>0.97916666666666663</v>
      </c>
    </row>
    <row r="268" spans="1:16" x14ac:dyDescent="0.25">
      <c r="A268" t="s">
        <v>182</v>
      </c>
      <c r="B268" s="2">
        <v>42761</v>
      </c>
      <c r="C268" t="str">
        <f>+"Tuáº§n "&amp;WEEKNUM(B268)</f>
        <v>Tuáº§n 4</v>
      </c>
      <c r="D268" t="s">
        <v>20</v>
      </c>
      <c r="E268" t="s">
        <v>17</v>
      </c>
      <c r="F268" s="5">
        <v>31200000</v>
      </c>
      <c r="G268" s="5">
        <v>34200000</v>
      </c>
      <c r="H268" s="5">
        <f>+(M268*26000)/0.829426</f>
        <v>37287232.375160657</v>
      </c>
      <c r="I268" s="5">
        <f>+G268-H268</f>
        <v>-3087232.3751606569</v>
      </c>
      <c r="J268" s="5">
        <v>3000000</v>
      </c>
      <c r="K268" s="5">
        <v>3120000</v>
      </c>
      <c r="L268" s="5">
        <v>3420000</v>
      </c>
      <c r="M268" s="7">
        <v>1189.5</v>
      </c>
      <c r="N268" s="5">
        <v>31700000</v>
      </c>
      <c r="O268" s="5">
        <v>34700000</v>
      </c>
      <c r="P268" s="3">
        <v>0.97916666666666663</v>
      </c>
    </row>
    <row r="269" spans="1:16" x14ac:dyDescent="0.25">
      <c r="A269" t="s">
        <v>183</v>
      </c>
      <c r="B269" s="2">
        <v>42762</v>
      </c>
      <c r="C269" t="str">
        <f>+"Tuáº§n "&amp;WEEKNUM(B269)</f>
        <v>Tuáº§n 4</v>
      </c>
      <c r="D269" t="s">
        <v>21</v>
      </c>
      <c r="E269" t="s">
        <v>17</v>
      </c>
      <c r="F269" s="5">
        <v>31100000</v>
      </c>
      <c r="G269" s="5">
        <v>34100000</v>
      </c>
      <c r="H269" s="5">
        <f>+(M269*26000)/0.829426</f>
        <v>37243346.603554741</v>
      </c>
      <c r="I269" s="5">
        <f>+G269-H269</f>
        <v>-3143346.6035547405</v>
      </c>
      <c r="J269" s="5">
        <v>3000000</v>
      </c>
      <c r="K269" s="5">
        <v>3110000</v>
      </c>
      <c r="L269" s="5">
        <v>3410000</v>
      </c>
      <c r="M269" s="7">
        <v>1188.0999999999999</v>
      </c>
      <c r="N269" s="5">
        <v>31600000</v>
      </c>
      <c r="O269" s="5">
        <v>34600000</v>
      </c>
      <c r="P269" s="3">
        <v>0.97916666666666663</v>
      </c>
    </row>
    <row r="270" spans="1:16" x14ac:dyDescent="0.25">
      <c r="A270" t="s">
        <v>184</v>
      </c>
      <c r="B270" s="2">
        <v>42765</v>
      </c>
      <c r="C270" t="str">
        <f>+"Tuáº§n "&amp;WEEKNUM(B270)</f>
        <v>Tuáº§n 5</v>
      </c>
      <c r="D270" t="s">
        <v>16</v>
      </c>
      <c r="E270" t="s">
        <v>17</v>
      </c>
      <c r="F270" s="5">
        <v>31300000</v>
      </c>
      <c r="G270" s="5">
        <v>34300000</v>
      </c>
      <c r="H270" s="5">
        <f>+(M270*26000)/0.829426</f>
        <v>37403216.200119115</v>
      </c>
      <c r="I270" s="5">
        <f>+G270-H270</f>
        <v>-3103216.2001191154</v>
      </c>
      <c r="J270" s="5">
        <v>3000000</v>
      </c>
      <c r="K270" s="5">
        <v>3130000</v>
      </c>
      <c r="L270" s="5">
        <v>3430000</v>
      </c>
      <c r="M270" s="7">
        <v>1193.2</v>
      </c>
      <c r="N270" s="5">
        <v>31800000</v>
      </c>
      <c r="O270" s="5">
        <v>34800000</v>
      </c>
      <c r="P270" s="3">
        <v>0.97916666666666663</v>
      </c>
    </row>
    <row r="271" spans="1:16" x14ac:dyDescent="0.25">
      <c r="A271" t="s">
        <v>185</v>
      </c>
      <c r="B271" s="2">
        <v>42766</v>
      </c>
      <c r="C271" t="str">
        <f>+"Tuáº§n "&amp;WEEKNUM(B271)</f>
        <v>Tuáº§n 5</v>
      </c>
      <c r="D271" t="s">
        <v>18</v>
      </c>
      <c r="E271" t="s">
        <v>17</v>
      </c>
      <c r="F271" s="5">
        <v>31700000</v>
      </c>
      <c r="G271" s="5">
        <v>34700000</v>
      </c>
      <c r="H271" s="5">
        <f>+(M271*26000)/0.829426</f>
        <v>37885959.687784076</v>
      </c>
      <c r="I271" s="5">
        <f>+G271-H271</f>
        <v>-3185959.6877840757</v>
      </c>
      <c r="J271" s="5">
        <v>3000000</v>
      </c>
      <c r="K271" s="5">
        <v>3170000</v>
      </c>
      <c r="L271" s="5">
        <v>3470000</v>
      </c>
      <c r="M271" s="7">
        <v>1208.5999999999999</v>
      </c>
      <c r="N271" s="5">
        <v>32200000</v>
      </c>
      <c r="O271" s="5">
        <v>35200000</v>
      </c>
      <c r="P271" s="3">
        <v>0.97916666666666663</v>
      </c>
    </row>
    <row r="272" spans="1:16" x14ac:dyDescent="0.25">
      <c r="A272" s="2">
        <v>42737</v>
      </c>
      <c r="B272" s="2">
        <v>42767</v>
      </c>
      <c r="C272" t="str">
        <f>+"Tuáº§n "&amp;WEEKNUM(B272)</f>
        <v>Tuáº§n 5</v>
      </c>
      <c r="D272" t="s">
        <v>19</v>
      </c>
      <c r="E272" t="s">
        <v>17</v>
      </c>
      <c r="F272" s="5">
        <v>31600000</v>
      </c>
      <c r="G272" s="5">
        <v>34600000</v>
      </c>
      <c r="H272" s="5">
        <f>+(M272*26000)/0.829426</f>
        <v>37791918.748628564</v>
      </c>
      <c r="I272" s="5">
        <f>+G272-H272</f>
        <v>-3191918.7486285642</v>
      </c>
      <c r="J272" s="5">
        <v>3000000</v>
      </c>
      <c r="K272" s="5">
        <v>3160000</v>
      </c>
      <c r="L272" s="5">
        <v>3460000</v>
      </c>
      <c r="M272" s="7">
        <v>1205.5999999999999</v>
      </c>
      <c r="N272" s="5">
        <v>32100000</v>
      </c>
      <c r="O272" s="5">
        <v>35100000</v>
      </c>
      <c r="P272" s="3">
        <v>0.97916666666666663</v>
      </c>
    </row>
    <row r="273" spans="1:16" x14ac:dyDescent="0.25">
      <c r="A273" s="2">
        <v>42768</v>
      </c>
      <c r="B273" s="2">
        <v>42768</v>
      </c>
      <c r="C273" t="str">
        <f>+"Tuáº§n "&amp;WEEKNUM(B273)</f>
        <v>Tuáº§n 5</v>
      </c>
      <c r="D273" t="s">
        <v>20</v>
      </c>
      <c r="E273" t="s">
        <v>17</v>
      </c>
      <c r="F273" s="5">
        <v>32000000</v>
      </c>
      <c r="G273" s="5">
        <v>35000000</v>
      </c>
      <c r="H273" s="5">
        <f>+(M273*26000)/0.829426</f>
        <v>38139870.223503962</v>
      </c>
      <c r="I273" s="5">
        <f>+G273-H273</f>
        <v>-3139870.2235039622</v>
      </c>
      <c r="J273" s="5">
        <v>3000000</v>
      </c>
      <c r="K273" s="5">
        <v>3200000</v>
      </c>
      <c r="L273" s="5">
        <v>3500000</v>
      </c>
      <c r="M273" s="7">
        <v>1216.7</v>
      </c>
      <c r="N273" s="5">
        <v>32500000</v>
      </c>
      <c r="O273" s="5">
        <v>35500000</v>
      </c>
      <c r="P273" s="3">
        <v>0.97916666666666663</v>
      </c>
    </row>
    <row r="274" spans="1:16" x14ac:dyDescent="0.25">
      <c r="A274" s="2">
        <v>42796</v>
      </c>
      <c r="B274" s="2">
        <v>42769</v>
      </c>
      <c r="C274" t="str">
        <f>+"Tuáº§n "&amp;WEEKNUM(B274)</f>
        <v>Tuáº§n 5</v>
      </c>
      <c r="D274" t="s">
        <v>21</v>
      </c>
      <c r="E274" t="s">
        <v>17</v>
      </c>
      <c r="F274" s="5">
        <v>32000000</v>
      </c>
      <c r="G274" s="5">
        <v>35000000</v>
      </c>
      <c r="H274" s="5">
        <f>+(M274*26000)/0.829426</f>
        <v>38196294.786997274</v>
      </c>
      <c r="I274" s="5">
        <f>+G274-H274</f>
        <v>-3196294.7869972736</v>
      </c>
      <c r="J274" s="5">
        <v>3000000</v>
      </c>
      <c r="K274" s="5">
        <v>3200000</v>
      </c>
      <c r="L274" s="5">
        <v>3500000</v>
      </c>
      <c r="M274" s="7">
        <v>1218.5</v>
      </c>
      <c r="N274" s="5">
        <v>32500000</v>
      </c>
      <c r="O274" s="5">
        <v>35500000</v>
      </c>
      <c r="P274" s="3">
        <v>0.97916666666666663</v>
      </c>
    </row>
    <row r="275" spans="1:16" x14ac:dyDescent="0.25">
      <c r="A275" s="2">
        <v>42888</v>
      </c>
      <c r="B275" s="2">
        <v>42772</v>
      </c>
      <c r="C275" t="str">
        <f>+"Tuáº§n "&amp;WEEKNUM(B275)</f>
        <v>Tuáº§n 6</v>
      </c>
      <c r="D275" t="s">
        <v>16</v>
      </c>
      <c r="E275" t="s">
        <v>17</v>
      </c>
      <c r="F275" s="5">
        <v>32300000</v>
      </c>
      <c r="G275" s="5">
        <v>35300000</v>
      </c>
      <c r="H275" s="5">
        <f>+(M275*26000)/0.829426</f>
        <v>38556785.053760074</v>
      </c>
      <c r="I275" s="5">
        <f>+G275-H275</f>
        <v>-3256785.0537600741</v>
      </c>
      <c r="J275" s="5">
        <v>3000000</v>
      </c>
      <c r="K275" s="5">
        <v>3230000</v>
      </c>
      <c r="L275" s="5">
        <v>3530000</v>
      </c>
      <c r="M275" s="7">
        <v>1230</v>
      </c>
      <c r="N275" s="5">
        <v>32800000</v>
      </c>
      <c r="O275" s="5">
        <v>35800000</v>
      </c>
      <c r="P275" s="3">
        <v>0.97916666666666663</v>
      </c>
    </row>
    <row r="276" spans="1:16" x14ac:dyDescent="0.25">
      <c r="A276" s="2">
        <v>42918</v>
      </c>
      <c r="B276" s="2">
        <v>42773</v>
      </c>
      <c r="C276" t="str">
        <f>+"Tuáº§n "&amp;WEEKNUM(B276)</f>
        <v>Tuáº§n 6</v>
      </c>
      <c r="D276" t="s">
        <v>18</v>
      </c>
      <c r="E276" t="s">
        <v>17</v>
      </c>
      <c r="F276" s="5">
        <v>32500000</v>
      </c>
      <c r="G276" s="5">
        <v>35500000</v>
      </c>
      <c r="H276" s="5">
        <f>+(M276*26000)/0.829426</f>
        <v>38688442.368577786</v>
      </c>
      <c r="I276" s="5">
        <f>+G276-H276</f>
        <v>-3188442.3685777858</v>
      </c>
      <c r="J276" s="5">
        <v>3000000</v>
      </c>
      <c r="K276" s="5">
        <v>3250000</v>
      </c>
      <c r="L276" s="5">
        <v>3550000</v>
      </c>
      <c r="M276" s="7">
        <v>1234.2</v>
      </c>
      <c r="N276" s="5">
        <v>33000000</v>
      </c>
      <c r="O276" s="5">
        <v>36000000</v>
      </c>
      <c r="P276" s="3">
        <v>0.97916666666666663</v>
      </c>
    </row>
    <row r="277" spans="1:16" x14ac:dyDescent="0.25">
      <c r="A277" s="2">
        <v>42949</v>
      </c>
      <c r="B277" s="2">
        <v>42774</v>
      </c>
      <c r="C277" t="str">
        <f>+"Tuáº§n "&amp;WEEKNUM(B277)</f>
        <v>Tuáº§n 6</v>
      </c>
      <c r="D277" t="s">
        <v>19</v>
      </c>
      <c r="E277" t="s">
        <v>17</v>
      </c>
      <c r="F277" s="5">
        <v>32600000</v>
      </c>
      <c r="G277" s="5">
        <v>35600000</v>
      </c>
      <c r="H277" s="5">
        <f>+(M277*26000)/0.829426</f>
        <v>38795022.0996207</v>
      </c>
      <c r="I277" s="5">
        <f>+G277-H277</f>
        <v>-3195022.0996206999</v>
      </c>
      <c r="J277" s="5">
        <v>3000000</v>
      </c>
      <c r="K277" s="5">
        <v>3260000</v>
      </c>
      <c r="L277" s="5">
        <v>3560000</v>
      </c>
      <c r="M277" s="7">
        <v>1237.5999999999999</v>
      </c>
      <c r="N277" s="5">
        <v>33100000</v>
      </c>
      <c r="O277" s="5">
        <v>36100000</v>
      </c>
      <c r="P277" s="3">
        <v>0.97916666666666663</v>
      </c>
    </row>
    <row r="278" spans="1:16" x14ac:dyDescent="0.25">
      <c r="A278" s="2">
        <v>42980</v>
      </c>
      <c r="B278" s="2">
        <v>42775</v>
      </c>
      <c r="C278" t="str">
        <f>+"Tuáº§n "&amp;WEEKNUM(B278)</f>
        <v>Tuáº§n 6</v>
      </c>
      <c r="D278" t="s">
        <v>20</v>
      </c>
      <c r="E278" t="s">
        <v>17</v>
      </c>
      <c r="F278" s="5">
        <v>32500000</v>
      </c>
      <c r="G278" s="5">
        <v>35500000</v>
      </c>
      <c r="H278" s="5">
        <f>+(M278*26000)/0.829426</f>
        <v>38716654.650324434</v>
      </c>
      <c r="I278" s="5">
        <f>+G278-H278</f>
        <v>-3216654.650324434</v>
      </c>
      <c r="J278" s="5">
        <v>3000000</v>
      </c>
      <c r="K278" s="5">
        <v>3250000</v>
      </c>
      <c r="L278" s="5">
        <v>3550000</v>
      </c>
      <c r="M278" s="7">
        <v>1235.0999999999999</v>
      </c>
      <c r="N278" s="5">
        <v>33000000</v>
      </c>
      <c r="O278" s="5">
        <v>36000000</v>
      </c>
      <c r="P278" s="3">
        <v>0.97916666666666663</v>
      </c>
    </row>
    <row r="279" spans="1:16" x14ac:dyDescent="0.25">
      <c r="A279" s="2">
        <v>43010</v>
      </c>
      <c r="B279" s="2">
        <v>42776</v>
      </c>
      <c r="C279" t="str">
        <f>+"Tuáº§n "&amp;WEEKNUM(B279)</f>
        <v>Tuáº§n 6</v>
      </c>
      <c r="D279" t="s">
        <v>21</v>
      </c>
      <c r="E279" t="s">
        <v>17</v>
      </c>
      <c r="F279" s="5">
        <v>32500000</v>
      </c>
      <c r="G279" s="5">
        <v>35500000</v>
      </c>
      <c r="H279" s="5">
        <f>+(M279*26000)/0.829426</f>
        <v>38694711.764521495</v>
      </c>
      <c r="I279" s="5">
        <f>+G279-H279</f>
        <v>-3194711.7645214945</v>
      </c>
      <c r="J279" s="5">
        <v>3000000</v>
      </c>
      <c r="K279" s="5">
        <v>3250000</v>
      </c>
      <c r="L279" s="5">
        <v>3550000</v>
      </c>
      <c r="M279" s="7">
        <v>1234.4000000000001</v>
      </c>
      <c r="N279" s="5">
        <v>33000000</v>
      </c>
      <c r="O279" s="5">
        <v>36000000</v>
      </c>
      <c r="P279" s="3">
        <v>0.97916666666666663</v>
      </c>
    </row>
    <row r="280" spans="1:16" x14ac:dyDescent="0.25">
      <c r="A280" t="s">
        <v>186</v>
      </c>
      <c r="B280" s="2">
        <v>42779</v>
      </c>
      <c r="C280" t="str">
        <f>+"Tuáº§n "&amp;WEEKNUM(B280)</f>
        <v>Tuáº§n 7</v>
      </c>
      <c r="D280" t="s">
        <v>16</v>
      </c>
      <c r="E280" t="s">
        <v>17</v>
      </c>
      <c r="F280" s="5">
        <v>32200000</v>
      </c>
      <c r="G280" s="5">
        <v>35200000</v>
      </c>
      <c r="H280" s="5">
        <f>+(M280*26000)/0.829426</f>
        <v>38381241.967336453</v>
      </c>
      <c r="I280" s="5">
        <f>+G280-H280</f>
        <v>-3181241.9673364535</v>
      </c>
      <c r="J280" s="5">
        <v>3000000</v>
      </c>
      <c r="K280" s="5">
        <v>3220000</v>
      </c>
      <c r="L280" s="5">
        <v>3520000</v>
      </c>
      <c r="M280" s="7">
        <v>1224.4000000000001</v>
      </c>
      <c r="N280" s="5">
        <v>32700000</v>
      </c>
      <c r="O280" s="5">
        <v>35700000</v>
      </c>
      <c r="P280" s="3">
        <v>0.97916666666666663</v>
      </c>
    </row>
    <row r="281" spans="1:16" x14ac:dyDescent="0.25">
      <c r="A281" t="s">
        <v>187</v>
      </c>
      <c r="B281" s="2">
        <v>42780</v>
      </c>
      <c r="C281" t="str">
        <f>+"Tuáº§n "&amp;WEEKNUM(B281)</f>
        <v>Tuáº§n 7</v>
      </c>
      <c r="D281" t="s">
        <v>18</v>
      </c>
      <c r="E281" t="s">
        <v>17</v>
      </c>
      <c r="F281" s="5">
        <v>32200000</v>
      </c>
      <c r="G281" s="5">
        <v>35200000</v>
      </c>
      <c r="H281" s="5">
        <f>+(M281*26000)/0.829426</f>
        <v>38365568.4774772</v>
      </c>
      <c r="I281" s="5">
        <f>+G281-H281</f>
        <v>-3165568.4774772003</v>
      </c>
      <c r="J281" s="5">
        <v>3000000</v>
      </c>
      <c r="K281" s="5">
        <v>3220000</v>
      </c>
      <c r="L281" s="5">
        <v>3520000</v>
      </c>
      <c r="M281" s="7">
        <v>1223.9000000000001</v>
      </c>
      <c r="N281" s="5">
        <v>32700000</v>
      </c>
      <c r="O281" s="5">
        <v>35700000</v>
      </c>
      <c r="P281" s="3">
        <v>0.97916666666666663</v>
      </c>
    </row>
    <row r="282" spans="1:16" x14ac:dyDescent="0.25">
      <c r="A282" t="s">
        <v>188</v>
      </c>
      <c r="B282" s="2">
        <v>42781</v>
      </c>
      <c r="C282" t="str">
        <f>+"Tuáº§n "&amp;WEEKNUM(B282)</f>
        <v>Tuáº§n 7</v>
      </c>
      <c r="D282" t="s">
        <v>19</v>
      </c>
      <c r="E282" t="s">
        <v>17</v>
      </c>
      <c r="F282" s="5">
        <v>32400000</v>
      </c>
      <c r="G282" s="5">
        <v>35400000</v>
      </c>
      <c r="H282" s="5">
        <f>+(M282*26000)/0.829426</f>
        <v>38610074.919281527</v>
      </c>
      <c r="I282" s="5">
        <f>+G282-H282</f>
        <v>-3210074.9192815274</v>
      </c>
      <c r="J282" s="5">
        <v>3000000</v>
      </c>
      <c r="K282" s="5">
        <v>3240000</v>
      </c>
      <c r="L282" s="5">
        <v>3540000</v>
      </c>
      <c r="M282" s="7">
        <v>1231.7</v>
      </c>
      <c r="N282" s="5">
        <v>32900000</v>
      </c>
      <c r="O282" s="5">
        <v>35900000</v>
      </c>
      <c r="P282" s="3">
        <v>0.97916666666666663</v>
      </c>
    </row>
    <row r="283" spans="1:16" x14ac:dyDescent="0.25">
      <c r="A283" t="s">
        <v>189</v>
      </c>
      <c r="B283" s="2">
        <v>42782</v>
      </c>
      <c r="C283" t="str">
        <f>+"Tuáº§n "&amp;WEEKNUM(B283)</f>
        <v>Tuáº§n 7</v>
      </c>
      <c r="D283" t="s">
        <v>20</v>
      </c>
      <c r="E283" t="s">
        <v>17</v>
      </c>
      <c r="F283" s="5">
        <v>32600000</v>
      </c>
      <c r="G283" s="5">
        <v>35600000</v>
      </c>
      <c r="H283" s="5">
        <f>+(M283*26000)/0.829426</f>
        <v>38870254.850945115</v>
      </c>
      <c r="I283" s="5">
        <f>+G283-H283</f>
        <v>-3270254.8509451151</v>
      </c>
      <c r="J283" s="5">
        <v>3000000</v>
      </c>
      <c r="K283" s="5">
        <v>3260000</v>
      </c>
      <c r="L283" s="5">
        <v>3560000</v>
      </c>
      <c r="M283" s="7">
        <v>1240</v>
      </c>
      <c r="N283" s="5">
        <v>33100000</v>
      </c>
      <c r="O283" s="5">
        <v>36100000</v>
      </c>
      <c r="P283" s="3">
        <v>0.97916666666666663</v>
      </c>
    </row>
    <row r="284" spans="1:16" x14ac:dyDescent="0.25">
      <c r="A284" t="s">
        <v>190</v>
      </c>
      <c r="B284" s="2">
        <v>42783</v>
      </c>
      <c r="C284" t="str">
        <f>+"Tuáº§n "&amp;WEEKNUM(B284)</f>
        <v>Tuáº§n 7</v>
      </c>
      <c r="D284" t="s">
        <v>21</v>
      </c>
      <c r="E284" t="s">
        <v>17</v>
      </c>
      <c r="F284" s="5">
        <v>32600000</v>
      </c>
      <c r="G284" s="5">
        <v>35600000</v>
      </c>
      <c r="H284" s="5">
        <f>+(M284*26000)/0.829426</f>
        <v>38795022.0996207</v>
      </c>
      <c r="I284" s="5">
        <f>+G284-H284</f>
        <v>-3195022.0996206999</v>
      </c>
      <c r="J284" s="5">
        <v>3000000</v>
      </c>
      <c r="K284" s="5">
        <v>3260000</v>
      </c>
      <c r="L284" s="5">
        <v>3560000</v>
      </c>
      <c r="M284" s="7">
        <v>1237.5999999999999</v>
      </c>
      <c r="N284" s="5">
        <v>33100000</v>
      </c>
      <c r="O284" s="5">
        <v>36100000</v>
      </c>
      <c r="P284" s="3">
        <v>0.97916666666666663</v>
      </c>
    </row>
    <row r="285" spans="1:16" x14ac:dyDescent="0.25">
      <c r="A285" t="s">
        <v>191</v>
      </c>
      <c r="B285" s="2">
        <v>42787</v>
      </c>
      <c r="C285" t="str">
        <f>+"Tuáº§n "&amp;WEEKNUM(B285)</f>
        <v>Tuáº§n 8</v>
      </c>
      <c r="D285" t="s">
        <v>18</v>
      </c>
      <c r="E285" t="s">
        <v>17</v>
      </c>
      <c r="F285" s="5">
        <v>32600000</v>
      </c>
      <c r="G285" s="5">
        <v>35600000</v>
      </c>
      <c r="H285" s="5">
        <f>+(M285*26000)/0.829426</f>
        <v>38791887.401648849</v>
      </c>
      <c r="I285" s="5">
        <f>+G285-H285</f>
        <v>-3191887.4016488492</v>
      </c>
      <c r="J285" s="5">
        <v>3000000</v>
      </c>
      <c r="K285" s="5">
        <v>3260000</v>
      </c>
      <c r="L285" s="5">
        <v>3560000</v>
      </c>
      <c r="M285" s="7">
        <v>1237.5</v>
      </c>
      <c r="N285" s="5">
        <v>33100000</v>
      </c>
      <c r="O285" s="5">
        <v>36100000</v>
      </c>
      <c r="P285" s="3">
        <v>0.97916666666666663</v>
      </c>
    </row>
    <row r="286" spans="1:16" x14ac:dyDescent="0.25">
      <c r="A286" t="s">
        <v>192</v>
      </c>
      <c r="B286" s="2">
        <v>42788</v>
      </c>
      <c r="C286" t="str">
        <f>+"Tuáº§n "&amp;WEEKNUM(B286)</f>
        <v>Tuáº§n 8</v>
      </c>
      <c r="D286" t="s">
        <v>19</v>
      </c>
      <c r="E286" t="s">
        <v>17</v>
      </c>
      <c r="F286" s="5">
        <v>32400000</v>
      </c>
      <c r="G286" s="5">
        <v>35400000</v>
      </c>
      <c r="H286" s="5">
        <f>+(M286*26000)/0.829426</f>
        <v>38619479.013197079</v>
      </c>
      <c r="I286" s="5">
        <f>+G286-H286</f>
        <v>-3219479.0131970793</v>
      </c>
      <c r="J286" s="5">
        <v>3000000</v>
      </c>
      <c r="K286" s="5">
        <v>3240000</v>
      </c>
      <c r="L286" s="5">
        <v>3540000</v>
      </c>
      <c r="M286" s="7">
        <v>1232</v>
      </c>
      <c r="N286" s="5">
        <v>32900000</v>
      </c>
      <c r="O286" s="5">
        <v>35900000</v>
      </c>
      <c r="P286" s="3">
        <v>0.97916666666666663</v>
      </c>
    </row>
    <row r="287" spans="1:16" x14ac:dyDescent="0.25">
      <c r="A287" t="s">
        <v>193</v>
      </c>
      <c r="B287" s="2">
        <v>42789</v>
      </c>
      <c r="C287" t="str">
        <f>+"Tuáº§n "&amp;WEEKNUM(B287)</f>
        <v>Tuáº§n 8</v>
      </c>
      <c r="D287" t="s">
        <v>20</v>
      </c>
      <c r="E287" t="s">
        <v>17</v>
      </c>
      <c r="F287" s="5">
        <v>32900000</v>
      </c>
      <c r="G287" s="5">
        <v>35900000</v>
      </c>
      <c r="H287" s="5">
        <f>+(M287*26000)/0.829426</f>
        <v>39189994.044073857</v>
      </c>
      <c r="I287" s="5">
        <f>+G287-H287</f>
        <v>-3289994.0440738574</v>
      </c>
      <c r="J287" s="5">
        <v>3000000</v>
      </c>
      <c r="K287" s="5">
        <v>3290000</v>
      </c>
      <c r="L287" s="5">
        <v>3590000</v>
      </c>
      <c r="M287" s="7">
        <v>1250.2</v>
      </c>
      <c r="N287" s="5">
        <v>33400000</v>
      </c>
      <c r="O287" s="5">
        <v>36400000</v>
      </c>
      <c r="P287" s="3">
        <v>0.97916666666666663</v>
      </c>
    </row>
    <row r="288" spans="1:16" x14ac:dyDescent="0.25">
      <c r="A288" t="s">
        <v>194</v>
      </c>
      <c r="B288" s="2">
        <v>42790</v>
      </c>
      <c r="C288" t="str">
        <f>+"Tuáº§n "&amp;WEEKNUM(B288)</f>
        <v>Tuáº§n 8</v>
      </c>
      <c r="D288" t="s">
        <v>21</v>
      </c>
      <c r="E288" t="s">
        <v>17</v>
      </c>
      <c r="F288" s="5">
        <v>33100000</v>
      </c>
      <c r="G288" s="5">
        <v>36100000</v>
      </c>
      <c r="H288" s="5">
        <f>+(M288*26000)/0.829426</f>
        <v>39400018.808187835</v>
      </c>
      <c r="I288" s="5">
        <f>+G288-H288</f>
        <v>-3300018.8081878349</v>
      </c>
      <c r="J288" s="5">
        <v>3000000</v>
      </c>
      <c r="K288" s="5">
        <v>3310000</v>
      </c>
      <c r="L288" s="5">
        <v>3610000</v>
      </c>
      <c r="M288" s="7">
        <v>1256.9000000000001</v>
      </c>
      <c r="N288" s="5">
        <v>33600000</v>
      </c>
      <c r="O288" s="5">
        <v>36600000</v>
      </c>
      <c r="P288" s="3">
        <v>0.97916666666666663</v>
      </c>
    </row>
    <row r="289" spans="1:16" x14ac:dyDescent="0.25">
      <c r="A289" t="s">
        <v>195</v>
      </c>
      <c r="B289" s="2">
        <v>42793</v>
      </c>
      <c r="C289" t="str">
        <f>+"Tuáº§n "&amp;WEEKNUM(B289)</f>
        <v>Tuáº§n 9</v>
      </c>
      <c r="D289" t="s">
        <v>16</v>
      </c>
      <c r="E289" t="s">
        <v>17</v>
      </c>
      <c r="F289" s="5">
        <v>33100000</v>
      </c>
      <c r="G289" s="5">
        <v>36100000</v>
      </c>
      <c r="H289" s="5">
        <f>+(M289*26000)/0.829426</f>
        <v>39415692.298047088</v>
      </c>
      <c r="I289" s="5">
        <f>+G289-H289</f>
        <v>-3315692.2980470881</v>
      </c>
      <c r="J289" s="5">
        <v>3000000</v>
      </c>
      <c r="K289" s="5">
        <v>3310000</v>
      </c>
      <c r="L289" s="5">
        <v>3610000</v>
      </c>
      <c r="M289" s="7">
        <v>1257.4000000000001</v>
      </c>
      <c r="N289" s="5">
        <v>33600000</v>
      </c>
      <c r="O289" s="5">
        <v>36600000</v>
      </c>
      <c r="P289" s="3">
        <v>0.97916666666666663</v>
      </c>
    </row>
    <row r="290" spans="1:16" x14ac:dyDescent="0.25">
      <c r="A290" t="s">
        <v>196</v>
      </c>
      <c r="B290" s="2">
        <v>42794</v>
      </c>
      <c r="C290" t="str">
        <f>+"Tuáº§n "&amp;WEEKNUM(B290)</f>
        <v>Tuáº§n 9</v>
      </c>
      <c r="D290" t="s">
        <v>18</v>
      </c>
      <c r="E290" t="s">
        <v>17</v>
      </c>
      <c r="F290" s="5">
        <v>33000000</v>
      </c>
      <c r="G290" s="5">
        <v>36000000</v>
      </c>
      <c r="H290" s="5">
        <f>+(M290*26000)/0.829426</f>
        <v>39265226.795398258</v>
      </c>
      <c r="I290" s="5">
        <f>+G290-H290</f>
        <v>-3265226.7953982577</v>
      </c>
      <c r="J290" s="5">
        <v>3000000</v>
      </c>
      <c r="K290" s="5">
        <v>3300000</v>
      </c>
      <c r="L290" s="5">
        <v>3600000</v>
      </c>
      <c r="M290" s="7">
        <v>1252.5999999999999</v>
      </c>
      <c r="N290" s="5">
        <v>33500000</v>
      </c>
      <c r="O290" s="5">
        <v>36500000</v>
      </c>
      <c r="P290" s="3">
        <v>0.97916666666666663</v>
      </c>
    </row>
    <row r="291" spans="1:16" x14ac:dyDescent="0.25">
      <c r="A291" s="2">
        <v>42738</v>
      </c>
      <c r="B291" s="2">
        <v>42795</v>
      </c>
      <c r="C291" t="str">
        <f>+"Tuáº§n "&amp;WEEKNUM(B291)</f>
        <v>Tuáº§n 9</v>
      </c>
      <c r="D291" t="s">
        <v>19</v>
      </c>
      <c r="E291" t="s">
        <v>17</v>
      </c>
      <c r="F291" s="5">
        <v>32900000</v>
      </c>
      <c r="G291" s="5">
        <v>35900000</v>
      </c>
      <c r="H291" s="5">
        <f>+(M291*26000)/0.829426</f>
        <v>39149242.970439799</v>
      </c>
      <c r="I291" s="5">
        <f>+G291-H291</f>
        <v>-3249242.9704397991</v>
      </c>
      <c r="J291" s="5">
        <v>3000000</v>
      </c>
      <c r="K291" s="5">
        <v>3290000</v>
      </c>
      <c r="L291" s="5">
        <v>3590000</v>
      </c>
      <c r="M291" s="7">
        <v>1248.9000000000001</v>
      </c>
      <c r="N291" s="5">
        <v>33400000</v>
      </c>
      <c r="O291" s="5">
        <v>36400000</v>
      </c>
      <c r="P291" s="3">
        <v>0.97916666666666663</v>
      </c>
    </row>
    <row r="292" spans="1:16" x14ac:dyDescent="0.25">
      <c r="A292" s="2">
        <v>42769</v>
      </c>
      <c r="B292" s="2">
        <v>42796</v>
      </c>
      <c r="C292" t="str">
        <f>+"Tuáº§n "&amp;WEEKNUM(B292)</f>
        <v>Tuáº§n 9</v>
      </c>
      <c r="D292" t="s">
        <v>20</v>
      </c>
      <c r="E292" t="s">
        <v>17</v>
      </c>
      <c r="F292" s="5">
        <v>32400000</v>
      </c>
      <c r="G292" s="5">
        <v>35400000</v>
      </c>
      <c r="H292" s="5">
        <f>+(M292*26000)/0.829426</f>
        <v>38616344.315225236</v>
      </c>
      <c r="I292" s="5">
        <f>+G292-H292</f>
        <v>-3216344.3152252361</v>
      </c>
      <c r="J292" s="5">
        <v>3000000</v>
      </c>
      <c r="K292" s="5">
        <v>3240000</v>
      </c>
      <c r="L292" s="5">
        <v>3540000</v>
      </c>
      <c r="M292" s="7">
        <v>1231.9000000000001</v>
      </c>
      <c r="N292" s="5">
        <v>32900000</v>
      </c>
      <c r="O292" s="5">
        <v>35900000</v>
      </c>
      <c r="P292" s="3">
        <v>0.97916666666666663</v>
      </c>
    </row>
    <row r="293" spans="1:16" x14ac:dyDescent="0.25">
      <c r="A293" s="2">
        <v>42797</v>
      </c>
      <c r="B293" s="2">
        <v>42797</v>
      </c>
      <c r="C293" t="str">
        <f>+"Tuáº§n "&amp;WEEKNUM(B293)</f>
        <v>Tuáº§n 9</v>
      </c>
      <c r="D293" t="s">
        <v>21</v>
      </c>
      <c r="E293" t="s">
        <v>17</v>
      </c>
      <c r="F293" s="5">
        <v>32200000</v>
      </c>
      <c r="G293" s="5">
        <v>35200000</v>
      </c>
      <c r="H293" s="5">
        <f>+(M293*26000)/0.829426</f>
        <v>38415723.645026803</v>
      </c>
      <c r="I293" s="5">
        <f>+G293-H293</f>
        <v>-3215723.645026803</v>
      </c>
      <c r="J293" s="5">
        <v>3000000</v>
      </c>
      <c r="K293" s="5">
        <v>3220000</v>
      </c>
      <c r="L293" s="5">
        <v>3520000</v>
      </c>
      <c r="M293" s="7">
        <v>1225.5</v>
      </c>
      <c r="N293" s="5">
        <v>32700000</v>
      </c>
      <c r="O293" s="5">
        <v>35700000</v>
      </c>
      <c r="P293" s="3">
        <v>0.97916666666666663</v>
      </c>
    </row>
    <row r="294" spans="1:16" x14ac:dyDescent="0.25">
      <c r="A294" s="2">
        <v>42889</v>
      </c>
      <c r="B294" s="2">
        <v>42800</v>
      </c>
      <c r="C294" t="str">
        <f>+"Tuáº§n "&amp;WEEKNUM(B294)</f>
        <v>Tuáº§n 10</v>
      </c>
      <c r="D294" t="s">
        <v>16</v>
      </c>
      <c r="E294" t="s">
        <v>17</v>
      </c>
      <c r="F294" s="5">
        <v>32200000</v>
      </c>
      <c r="G294" s="5">
        <v>35200000</v>
      </c>
      <c r="H294" s="5">
        <f>+(M294*26000)/0.829426</f>
        <v>38384376.665308297</v>
      </c>
      <c r="I294" s="5">
        <f>+G294-H294</f>
        <v>-3184376.6653082967</v>
      </c>
      <c r="J294" s="5">
        <v>3000000</v>
      </c>
      <c r="K294" s="5">
        <v>3220000</v>
      </c>
      <c r="L294" s="5">
        <v>3520000</v>
      </c>
      <c r="M294" s="7">
        <v>1224.5</v>
      </c>
      <c r="N294" s="5">
        <v>32700000</v>
      </c>
      <c r="O294" s="5">
        <v>35700000</v>
      </c>
      <c r="P294" s="3">
        <v>0.97916666666666663</v>
      </c>
    </row>
    <row r="295" spans="1:16" x14ac:dyDescent="0.25">
      <c r="A295" s="2">
        <v>42919</v>
      </c>
      <c r="B295" s="2">
        <v>42801</v>
      </c>
      <c r="C295" t="str">
        <f>+"Tuáº§n "&amp;WEEKNUM(B295)</f>
        <v>Tuáº§n 10</v>
      </c>
      <c r="D295" t="s">
        <v>18</v>
      </c>
      <c r="E295" t="s">
        <v>17</v>
      </c>
      <c r="F295" s="5">
        <v>31900000</v>
      </c>
      <c r="G295" s="5">
        <v>34900000</v>
      </c>
      <c r="H295" s="5">
        <f>+(M295*26000)/0.829426</f>
        <v>38089715.055954352</v>
      </c>
      <c r="I295" s="5">
        <f>+G295-H295</f>
        <v>-3189715.055954352</v>
      </c>
      <c r="J295" s="5">
        <v>3000000</v>
      </c>
      <c r="K295" s="5">
        <v>3190000</v>
      </c>
      <c r="L295" s="5">
        <v>3490000</v>
      </c>
      <c r="M295" s="7">
        <v>1215.0999999999999</v>
      </c>
      <c r="N295" s="5">
        <v>32400000</v>
      </c>
      <c r="O295" s="5">
        <v>35400000</v>
      </c>
      <c r="P295" s="3">
        <v>0.97916666666666663</v>
      </c>
    </row>
    <row r="296" spans="1:16" x14ac:dyDescent="0.25">
      <c r="A296" s="2">
        <v>42950</v>
      </c>
      <c r="B296" s="2">
        <v>42802</v>
      </c>
      <c r="C296" t="str">
        <f>+"Tuáº§n "&amp;WEEKNUM(B296)</f>
        <v>Tuáº§n 10</v>
      </c>
      <c r="D296" t="s">
        <v>19</v>
      </c>
      <c r="E296" t="s">
        <v>17</v>
      </c>
      <c r="F296" s="5">
        <v>31700000</v>
      </c>
      <c r="G296" s="5">
        <v>34700000</v>
      </c>
      <c r="H296" s="5">
        <f>+(M296*26000)/0.829426</f>
        <v>37882824.989812233</v>
      </c>
      <c r="I296" s="5">
        <f>+G296-H296</f>
        <v>-3182824.9898122326</v>
      </c>
      <c r="J296" s="5">
        <v>3000000</v>
      </c>
      <c r="K296" s="5">
        <v>3170000</v>
      </c>
      <c r="L296" s="5">
        <v>3470000</v>
      </c>
      <c r="M296" s="7">
        <v>1208.5</v>
      </c>
      <c r="N296" s="5">
        <v>32200000</v>
      </c>
      <c r="O296" s="5">
        <v>35200000</v>
      </c>
      <c r="P296" s="3">
        <v>0.97916666666666663</v>
      </c>
    </row>
    <row r="297" spans="1:16" x14ac:dyDescent="0.25">
      <c r="A297" s="2">
        <v>42981</v>
      </c>
      <c r="B297" s="2">
        <v>42803</v>
      </c>
      <c r="C297" t="str">
        <f>+"Tuáº§n "&amp;WEEKNUM(B297)</f>
        <v>Tuáº§n 10</v>
      </c>
      <c r="D297" t="s">
        <v>20</v>
      </c>
      <c r="E297" t="s">
        <v>17</v>
      </c>
      <c r="F297" s="5">
        <v>31600000</v>
      </c>
      <c r="G297" s="5">
        <v>34600000</v>
      </c>
      <c r="H297" s="5">
        <f>+(M297*26000)/0.829426</f>
        <v>37691608.413529359</v>
      </c>
      <c r="I297" s="5">
        <f>+G297-H297</f>
        <v>-3091608.4135293588</v>
      </c>
      <c r="J297" s="5">
        <v>3000000</v>
      </c>
      <c r="K297" s="5">
        <v>3160000</v>
      </c>
      <c r="L297" s="5">
        <v>3460000</v>
      </c>
      <c r="M297" s="7">
        <v>1202.4000000000001</v>
      </c>
      <c r="N297" s="5">
        <v>32100000</v>
      </c>
      <c r="O297" s="5">
        <v>35100000</v>
      </c>
      <c r="P297" s="3">
        <v>0.97916666666666663</v>
      </c>
    </row>
    <row r="298" spans="1:16" x14ac:dyDescent="0.25">
      <c r="A298" s="2">
        <v>43011</v>
      </c>
      <c r="B298" s="2">
        <v>42804</v>
      </c>
      <c r="C298" t="str">
        <f>+"Tuáº§n "&amp;WEEKNUM(B298)</f>
        <v>Tuáº§n 10</v>
      </c>
      <c r="D298" t="s">
        <v>21</v>
      </c>
      <c r="E298" t="s">
        <v>17</v>
      </c>
      <c r="F298" s="5">
        <v>31500000</v>
      </c>
      <c r="G298" s="5">
        <v>34500000</v>
      </c>
      <c r="H298" s="5">
        <f>+(M298*26000)/0.829426</f>
        <v>37638318.548007898</v>
      </c>
      <c r="I298" s="5">
        <f>+G298-H298</f>
        <v>-3138318.548007898</v>
      </c>
      <c r="J298" s="5">
        <v>3000000</v>
      </c>
      <c r="K298" s="5">
        <v>3150000</v>
      </c>
      <c r="L298" s="5">
        <v>3450000</v>
      </c>
      <c r="M298" s="7">
        <v>1200.7</v>
      </c>
      <c r="N298" s="5">
        <v>32000000</v>
      </c>
      <c r="O298" s="5">
        <v>35000000</v>
      </c>
      <c r="P298" s="3">
        <v>0.97916666666666663</v>
      </c>
    </row>
    <row r="299" spans="1:16" x14ac:dyDescent="0.25">
      <c r="A299" t="s">
        <v>197</v>
      </c>
      <c r="B299" s="2">
        <v>42807</v>
      </c>
      <c r="C299" t="str">
        <f>+"Tuáº§n "&amp;WEEKNUM(B299)</f>
        <v>Tuáº§n 11</v>
      </c>
      <c r="D299" t="s">
        <v>16</v>
      </c>
      <c r="E299" t="s">
        <v>17</v>
      </c>
      <c r="F299" s="5">
        <v>31600000</v>
      </c>
      <c r="G299" s="5">
        <v>34600000</v>
      </c>
      <c r="H299" s="5">
        <f>+(M299*26000)/0.829426</f>
        <v>37691608.413529359</v>
      </c>
      <c r="I299" s="5">
        <f>+G299-H299</f>
        <v>-3091608.4135293588</v>
      </c>
      <c r="J299" s="5">
        <v>3000000</v>
      </c>
      <c r="K299" s="5">
        <v>3160000</v>
      </c>
      <c r="L299" s="5">
        <v>3460000</v>
      </c>
      <c r="M299" s="7">
        <v>1202.4000000000001</v>
      </c>
      <c r="N299" s="5">
        <v>32100000</v>
      </c>
      <c r="O299" s="5">
        <v>35100000</v>
      </c>
      <c r="P299" s="3">
        <v>0.97916666666666663</v>
      </c>
    </row>
    <row r="300" spans="1:16" x14ac:dyDescent="0.25">
      <c r="A300" t="s">
        <v>198</v>
      </c>
      <c r="B300" s="2">
        <v>42808</v>
      </c>
      <c r="C300" t="str">
        <f>+"Tuáº§n "&amp;WEEKNUM(B300)</f>
        <v>Tuáº§n 11</v>
      </c>
      <c r="D300" t="s">
        <v>18</v>
      </c>
      <c r="E300" t="s">
        <v>17</v>
      </c>
      <c r="F300" s="5">
        <v>31500000</v>
      </c>
      <c r="G300" s="5">
        <v>34500000</v>
      </c>
      <c r="H300" s="5">
        <f>+(M300*26000)/0.829426</f>
        <v>37675934.923670106</v>
      </c>
      <c r="I300" s="5">
        <f>+G300-H300</f>
        <v>-3175934.9236701056</v>
      </c>
      <c r="J300" s="5">
        <v>3000000</v>
      </c>
      <c r="K300" s="5">
        <v>3150000</v>
      </c>
      <c r="L300" s="5">
        <v>3450000</v>
      </c>
      <c r="M300" s="7">
        <v>1201.9000000000001</v>
      </c>
      <c r="N300" s="5">
        <v>32000000</v>
      </c>
      <c r="O300" s="5">
        <v>35000000</v>
      </c>
      <c r="P300" s="3">
        <v>0.97916666666666663</v>
      </c>
    </row>
    <row r="301" spans="1:16" x14ac:dyDescent="0.25">
      <c r="A301" t="s">
        <v>199</v>
      </c>
      <c r="B301" s="2">
        <v>42809</v>
      </c>
      <c r="C301" t="str">
        <f>+"Tuáº§n "&amp;WEEKNUM(B301)</f>
        <v>Tuáº§n 11</v>
      </c>
      <c r="D301" t="s">
        <v>19</v>
      </c>
      <c r="E301" t="s">
        <v>17</v>
      </c>
      <c r="F301" s="5">
        <v>31500000</v>
      </c>
      <c r="G301" s="5">
        <v>34500000</v>
      </c>
      <c r="H301" s="5">
        <f>+(M301*26000)/0.829426</f>
        <v>37619510.360176794</v>
      </c>
      <c r="I301" s="5">
        <f>+G301-H301</f>
        <v>-3119510.3601767942</v>
      </c>
      <c r="J301" s="5">
        <v>3000000</v>
      </c>
      <c r="K301" s="5">
        <v>3150000</v>
      </c>
      <c r="L301" s="5">
        <v>3450000</v>
      </c>
      <c r="M301" s="7">
        <v>1200.0999999999999</v>
      </c>
      <c r="N301" s="5">
        <v>32000000</v>
      </c>
      <c r="O301" s="5">
        <v>35000000</v>
      </c>
      <c r="P301" s="3">
        <v>0.97916666666666663</v>
      </c>
    </row>
    <row r="302" spans="1:16" x14ac:dyDescent="0.25">
      <c r="A302" t="s">
        <v>200</v>
      </c>
      <c r="B302" s="2">
        <v>42810</v>
      </c>
      <c r="C302" t="str">
        <f>+"Tuáº§n "&amp;WEEKNUM(B302)</f>
        <v>Tuáº§n 11</v>
      </c>
      <c r="D302" t="s">
        <v>20</v>
      </c>
      <c r="E302" t="s">
        <v>17</v>
      </c>
      <c r="F302" s="5">
        <v>32200000</v>
      </c>
      <c r="G302" s="5">
        <v>35200000</v>
      </c>
      <c r="H302" s="5">
        <f>+(M302*26000)/0.829426</f>
        <v>38447070.624745309</v>
      </c>
      <c r="I302" s="5">
        <f>+G302-H302</f>
        <v>-3247070.6247453094</v>
      </c>
      <c r="J302" s="5">
        <v>3000000</v>
      </c>
      <c r="K302" s="5">
        <v>3220000</v>
      </c>
      <c r="L302" s="5">
        <v>3520000</v>
      </c>
      <c r="M302" s="7">
        <v>1226.5</v>
      </c>
      <c r="N302" s="5">
        <v>32700000</v>
      </c>
      <c r="O302" s="5">
        <v>35700000</v>
      </c>
      <c r="P302" s="3">
        <v>0.97916666666666663</v>
      </c>
    </row>
    <row r="303" spans="1:16" x14ac:dyDescent="0.25">
      <c r="A303" t="s">
        <v>201</v>
      </c>
      <c r="B303" s="2">
        <v>42811</v>
      </c>
      <c r="C303" t="str">
        <f>+"Tuáº§n "&amp;WEEKNUM(B303)</f>
        <v>Tuáº§n 11</v>
      </c>
      <c r="D303" t="s">
        <v>21</v>
      </c>
      <c r="E303" t="s">
        <v>17</v>
      </c>
      <c r="F303" s="5">
        <v>32300000</v>
      </c>
      <c r="G303" s="5">
        <v>35300000</v>
      </c>
      <c r="H303" s="5">
        <f>+(M303*26000)/0.829426</f>
        <v>38550515.657816373</v>
      </c>
      <c r="I303" s="5">
        <f>+G303-H303</f>
        <v>-3250515.6578163728</v>
      </c>
      <c r="J303" s="5">
        <v>3000000</v>
      </c>
      <c r="K303" s="5">
        <v>3230000</v>
      </c>
      <c r="L303" s="5">
        <v>3530000</v>
      </c>
      <c r="M303" s="7">
        <v>1229.8</v>
      </c>
      <c r="N303" s="5">
        <v>32800000</v>
      </c>
      <c r="O303" s="5">
        <v>35800000</v>
      </c>
      <c r="P303" s="3">
        <v>0.97916666666666663</v>
      </c>
    </row>
    <row r="304" spans="1:16" x14ac:dyDescent="0.25">
      <c r="A304" t="s">
        <v>202</v>
      </c>
      <c r="B304" s="2">
        <v>42814</v>
      </c>
      <c r="C304" t="str">
        <f>+"Tuáº§n "&amp;WEEKNUM(B304)</f>
        <v>Tuáº§n 12</v>
      </c>
      <c r="D304" t="s">
        <v>16</v>
      </c>
      <c r="E304" t="s">
        <v>17</v>
      </c>
      <c r="F304" s="5">
        <v>32400000</v>
      </c>
      <c r="G304" s="5">
        <v>35400000</v>
      </c>
      <c r="H304" s="5">
        <f>+(M304*26000)/0.829426</f>
        <v>38669634.180746682</v>
      </c>
      <c r="I304" s="5">
        <f>+G304-H304</f>
        <v>-3269634.180746682</v>
      </c>
      <c r="J304" s="5">
        <v>3000000</v>
      </c>
      <c r="K304" s="5">
        <v>3240000</v>
      </c>
      <c r="L304" s="5">
        <v>3540000</v>
      </c>
      <c r="M304" s="7">
        <v>1233.5999999999999</v>
      </c>
      <c r="N304" s="5">
        <v>32900000</v>
      </c>
      <c r="O304" s="5">
        <v>35900000</v>
      </c>
      <c r="P304" s="3">
        <v>0.97916666666666663</v>
      </c>
    </row>
    <row r="305" spans="1:16" x14ac:dyDescent="0.25">
      <c r="A305" t="s">
        <v>203</v>
      </c>
      <c r="B305" s="2">
        <v>42815</v>
      </c>
      <c r="C305" t="str">
        <f>+"Tuáº§n "&amp;WEEKNUM(B305)</f>
        <v>Tuáº§n 12</v>
      </c>
      <c r="D305" t="s">
        <v>18</v>
      </c>
      <c r="E305" t="s">
        <v>17</v>
      </c>
      <c r="F305" s="5">
        <v>32800000</v>
      </c>
      <c r="G305" s="5">
        <v>35800000</v>
      </c>
      <c r="H305" s="5">
        <f>+(M305*26000)/0.829426</f>
        <v>39061471.427227981</v>
      </c>
      <c r="I305" s="5">
        <f>+G305-H305</f>
        <v>-3261471.4272279814</v>
      </c>
      <c r="J305" s="5">
        <v>3000000</v>
      </c>
      <c r="K305" s="5">
        <v>3280000</v>
      </c>
      <c r="L305" s="5">
        <v>3580000</v>
      </c>
      <c r="M305" s="7">
        <v>1246.0999999999999</v>
      </c>
      <c r="N305" s="5">
        <v>33300000</v>
      </c>
      <c r="O305" s="5">
        <v>36300000</v>
      </c>
      <c r="P305" s="3">
        <v>0.97916666666666663</v>
      </c>
    </row>
    <row r="306" spans="1:16" x14ac:dyDescent="0.25">
      <c r="A306" t="s">
        <v>204</v>
      </c>
      <c r="B306" s="2">
        <v>42816</v>
      </c>
      <c r="C306" t="str">
        <f>+"Tuáº§n "&amp;WEEKNUM(B306)</f>
        <v>Tuáº§n 12</v>
      </c>
      <c r="D306" t="s">
        <v>19</v>
      </c>
      <c r="E306" t="s">
        <v>17</v>
      </c>
      <c r="F306" s="5">
        <v>32900000</v>
      </c>
      <c r="G306" s="5">
        <v>35900000</v>
      </c>
      <c r="H306" s="5">
        <f>+(M306*26000)/0.829426</f>
        <v>39161781.762327202</v>
      </c>
      <c r="I306" s="5">
        <f>+G306-H306</f>
        <v>-3261781.7623272017</v>
      </c>
      <c r="J306" s="5">
        <v>3000000</v>
      </c>
      <c r="K306" s="5">
        <v>3290000</v>
      </c>
      <c r="L306" s="5">
        <v>3590000</v>
      </c>
      <c r="M306" s="7">
        <v>1249.3</v>
      </c>
      <c r="N306" s="5">
        <v>33400000</v>
      </c>
      <c r="O306" s="5">
        <v>36400000</v>
      </c>
      <c r="P306" s="3">
        <v>0.97916666666666663</v>
      </c>
    </row>
    <row r="307" spans="1:16" x14ac:dyDescent="0.25">
      <c r="A307" t="s">
        <v>205</v>
      </c>
      <c r="B307" s="2">
        <v>42817</v>
      </c>
      <c r="C307" t="str">
        <f>+"Tuáº§n "&amp;WEEKNUM(B307)</f>
        <v>Tuáº§n 12</v>
      </c>
      <c r="D307" t="s">
        <v>20</v>
      </c>
      <c r="E307" t="s">
        <v>17</v>
      </c>
      <c r="F307" s="5">
        <v>32800000</v>
      </c>
      <c r="G307" s="5">
        <v>35800000</v>
      </c>
      <c r="H307" s="5">
        <f>+(M307*26000)/0.829426</f>
        <v>39086549.011002794</v>
      </c>
      <c r="I307" s="5">
        <f>+G307-H307</f>
        <v>-3286549.0110027939</v>
      </c>
      <c r="J307" s="5">
        <v>3000000</v>
      </c>
      <c r="K307" s="5">
        <v>3280000</v>
      </c>
      <c r="L307" s="5">
        <v>3580000</v>
      </c>
      <c r="M307" s="7">
        <v>1246.9000000000001</v>
      </c>
      <c r="N307" s="5">
        <v>33300000</v>
      </c>
      <c r="O307" s="5">
        <v>36300000</v>
      </c>
      <c r="P307" s="3">
        <v>0.97916666666666663</v>
      </c>
    </row>
    <row r="308" spans="1:16" x14ac:dyDescent="0.25">
      <c r="A308" t="s">
        <v>206</v>
      </c>
      <c r="B308" s="2">
        <v>42818</v>
      </c>
      <c r="C308" t="str">
        <f>+"Tuáº§n "&amp;WEEKNUM(B308)</f>
        <v>Tuáº§n 12</v>
      </c>
      <c r="D308" t="s">
        <v>21</v>
      </c>
      <c r="E308" t="s">
        <v>17</v>
      </c>
      <c r="F308" s="5">
        <v>32900000</v>
      </c>
      <c r="G308" s="5">
        <v>35900000</v>
      </c>
      <c r="H308" s="5">
        <f>+(M308*26000)/0.829426</f>
        <v>39127300.084636845</v>
      </c>
      <c r="I308" s="5">
        <f>+G308-H308</f>
        <v>-3227300.0846368447</v>
      </c>
      <c r="J308" s="5">
        <v>3000000</v>
      </c>
      <c r="K308" s="5">
        <v>3290000</v>
      </c>
      <c r="L308" s="5">
        <v>3590000</v>
      </c>
      <c r="M308" s="7">
        <v>1248.2</v>
      </c>
      <c r="N308" s="5">
        <v>33400000</v>
      </c>
      <c r="O308" s="5">
        <v>36400000</v>
      </c>
      <c r="P308" s="3">
        <v>0.97916666666666663</v>
      </c>
    </row>
    <row r="309" spans="1:16" x14ac:dyDescent="0.25">
      <c r="A309" t="s">
        <v>207</v>
      </c>
      <c r="B309" s="2">
        <v>42821</v>
      </c>
      <c r="C309" t="str">
        <f>+"Tuáº§n "&amp;WEEKNUM(B309)</f>
        <v>Tuáº§n 13</v>
      </c>
      <c r="D309" t="s">
        <v>16</v>
      </c>
      <c r="E309" t="s">
        <v>17</v>
      </c>
      <c r="F309" s="5">
        <v>33100000</v>
      </c>
      <c r="G309" s="5">
        <v>36100000</v>
      </c>
      <c r="H309" s="5">
        <f>+(M309*26000)/0.829426</f>
        <v>39352998.338610083</v>
      </c>
      <c r="I309" s="5">
        <f>+G309-H309</f>
        <v>-3252998.3386100829</v>
      </c>
      <c r="J309" s="5">
        <v>3000000</v>
      </c>
      <c r="K309" s="5">
        <v>3310000</v>
      </c>
      <c r="L309" s="5">
        <v>3610000</v>
      </c>
      <c r="M309" s="7">
        <v>1255.4000000000001</v>
      </c>
      <c r="N309" s="5">
        <v>33600000</v>
      </c>
      <c r="O309" s="5">
        <v>36600000</v>
      </c>
      <c r="P309" s="3">
        <v>0.97916666666666663</v>
      </c>
    </row>
    <row r="310" spans="1:16" x14ac:dyDescent="0.25">
      <c r="A310" t="s">
        <v>208</v>
      </c>
      <c r="B310" s="2">
        <v>42822</v>
      </c>
      <c r="C310" t="str">
        <f>+"Tuáº§n "&amp;WEEKNUM(B310)</f>
        <v>Tuáº§n 13</v>
      </c>
      <c r="D310" t="s">
        <v>18</v>
      </c>
      <c r="E310" t="s">
        <v>17</v>
      </c>
      <c r="F310" s="5">
        <v>33100000</v>
      </c>
      <c r="G310" s="5">
        <v>36100000</v>
      </c>
      <c r="H310" s="5">
        <f>+(M310*26000)/0.829426</f>
        <v>39349863.640638225</v>
      </c>
      <c r="I310" s="5">
        <f>+G310-H310</f>
        <v>-3249863.6406382248</v>
      </c>
      <c r="J310" s="5">
        <v>3000000</v>
      </c>
      <c r="K310" s="5">
        <v>3310000</v>
      </c>
      <c r="L310" s="5">
        <v>3610000</v>
      </c>
      <c r="M310" s="7">
        <v>1255.3</v>
      </c>
      <c r="N310" s="5">
        <v>33600000</v>
      </c>
      <c r="O310" s="5">
        <v>36600000</v>
      </c>
      <c r="P310" s="3">
        <v>0.97916666666666663</v>
      </c>
    </row>
    <row r="311" spans="1:16" x14ac:dyDescent="0.25">
      <c r="A311" t="s">
        <v>209</v>
      </c>
      <c r="B311" s="2">
        <v>42823</v>
      </c>
      <c r="C311" t="str">
        <f>+"Tuáº§n "&amp;WEEKNUM(B311)</f>
        <v>Tuáº§n 13</v>
      </c>
      <c r="D311" t="s">
        <v>19</v>
      </c>
      <c r="E311" t="s">
        <v>17</v>
      </c>
      <c r="F311" s="5">
        <v>33000000</v>
      </c>
      <c r="G311" s="5">
        <v>36000000</v>
      </c>
      <c r="H311" s="5">
        <f>+(M311*26000)/0.829426</f>
        <v>39290304.37917307</v>
      </c>
      <c r="I311" s="5">
        <f>+G311-H311</f>
        <v>-3290304.3791730702</v>
      </c>
      <c r="J311" s="5">
        <v>3000000</v>
      </c>
      <c r="K311" s="5">
        <v>3300000</v>
      </c>
      <c r="L311" s="5">
        <v>3600000</v>
      </c>
      <c r="M311" s="7">
        <v>1253.4000000000001</v>
      </c>
      <c r="N311" s="5">
        <v>33500000</v>
      </c>
      <c r="O311" s="5">
        <v>36500000</v>
      </c>
      <c r="P311" s="3">
        <v>0.97916666666666663</v>
      </c>
    </row>
    <row r="312" spans="1:16" x14ac:dyDescent="0.25">
      <c r="A312" t="s">
        <v>210</v>
      </c>
      <c r="B312" s="2">
        <v>42824</v>
      </c>
      <c r="C312" t="str">
        <f>+"Tuáº§n "&amp;WEEKNUM(B312)</f>
        <v>Tuáº§n 13</v>
      </c>
      <c r="D312" t="s">
        <v>20</v>
      </c>
      <c r="E312" t="s">
        <v>17</v>
      </c>
      <c r="F312" s="5">
        <v>32800000</v>
      </c>
      <c r="G312" s="5">
        <v>35800000</v>
      </c>
      <c r="H312" s="5">
        <f>+(M312*26000)/0.829426</f>
        <v>39026989.749537632</v>
      </c>
      <c r="I312" s="5">
        <f>+G312-H312</f>
        <v>-3226989.7495376319</v>
      </c>
      <c r="J312" s="5">
        <v>3000000</v>
      </c>
      <c r="K312" s="5">
        <v>3280000</v>
      </c>
      <c r="L312" s="5">
        <v>3580000</v>
      </c>
      <c r="M312" s="7">
        <v>1245</v>
      </c>
      <c r="N312" s="5">
        <v>33300000</v>
      </c>
      <c r="O312" s="5">
        <v>36300000</v>
      </c>
      <c r="P312" s="3">
        <v>0.97916666666666663</v>
      </c>
    </row>
    <row r="313" spans="1:16" x14ac:dyDescent="0.25">
      <c r="A313" t="s">
        <v>211</v>
      </c>
      <c r="B313" s="2">
        <v>42825</v>
      </c>
      <c r="C313" t="str">
        <f>+"Tuáº§n "&amp;WEEKNUM(B313)</f>
        <v>Tuáº§n 13</v>
      </c>
      <c r="D313" t="s">
        <v>21</v>
      </c>
      <c r="E313" t="s">
        <v>17</v>
      </c>
      <c r="F313" s="5">
        <v>32800000</v>
      </c>
      <c r="G313" s="5">
        <v>35800000</v>
      </c>
      <c r="H313" s="5">
        <f>+(M313*26000)/0.829426</f>
        <v>39099087.802890189</v>
      </c>
      <c r="I313" s="5">
        <f>+G313-H313</f>
        <v>-3299087.802890189</v>
      </c>
      <c r="J313" s="5">
        <v>3000000</v>
      </c>
      <c r="K313" s="5">
        <v>3280000</v>
      </c>
      <c r="L313" s="5">
        <v>3580000</v>
      </c>
      <c r="M313" s="7">
        <v>1247.3</v>
      </c>
      <c r="N313" s="5">
        <v>33300000</v>
      </c>
      <c r="O313" s="5">
        <v>36300000</v>
      </c>
      <c r="P313" s="3">
        <v>0.97916666666666663</v>
      </c>
    </row>
    <row r="314" spans="1:16" x14ac:dyDescent="0.25">
      <c r="A314" s="2">
        <v>42798</v>
      </c>
      <c r="B314" s="2">
        <v>42828</v>
      </c>
      <c r="C314" t="str">
        <f>+"Tuáº§n "&amp;WEEKNUM(B314)</f>
        <v>Tuáº§n 14</v>
      </c>
      <c r="D314" t="s">
        <v>16</v>
      </c>
      <c r="E314" t="s">
        <v>17</v>
      </c>
      <c r="F314" s="5">
        <v>32900000</v>
      </c>
      <c r="G314" s="5">
        <v>35900000</v>
      </c>
      <c r="H314" s="5">
        <f>+(M314*26000)/0.829426</f>
        <v>39208802.231904954</v>
      </c>
      <c r="I314" s="5">
        <f>+G314-H314</f>
        <v>-3308802.2319049537</v>
      </c>
      <c r="J314" s="5">
        <v>3000000</v>
      </c>
      <c r="K314" s="5">
        <v>3290000</v>
      </c>
      <c r="L314" s="5">
        <v>3590000</v>
      </c>
      <c r="M314" s="7">
        <v>1250.8</v>
      </c>
      <c r="N314" s="5">
        <v>33400000</v>
      </c>
      <c r="O314" s="5">
        <v>36400000</v>
      </c>
      <c r="P314" s="3">
        <v>0.97916666666666663</v>
      </c>
    </row>
    <row r="315" spans="1:16" x14ac:dyDescent="0.25">
      <c r="A315" s="2">
        <v>42829</v>
      </c>
      <c r="B315" s="2">
        <v>42829</v>
      </c>
      <c r="C315" t="str">
        <f>+"Tuáº§n "&amp;WEEKNUM(B315)</f>
        <v>Tuáº§n 14</v>
      </c>
      <c r="D315" t="s">
        <v>18</v>
      </c>
      <c r="E315" t="s">
        <v>17</v>
      </c>
      <c r="F315" s="5">
        <v>33100000</v>
      </c>
      <c r="G315" s="5">
        <v>36100000</v>
      </c>
      <c r="H315" s="5">
        <f>+(M315*26000)/0.829426</f>
        <v>39340459.546722673</v>
      </c>
      <c r="I315" s="5">
        <f>+G315-H315</f>
        <v>-3240459.5467226729</v>
      </c>
      <c r="J315" s="5">
        <v>3000000</v>
      </c>
      <c r="K315" s="5">
        <v>3310000</v>
      </c>
      <c r="L315" s="5">
        <v>3610000</v>
      </c>
      <c r="M315" s="7">
        <v>1255</v>
      </c>
      <c r="N315" s="5">
        <v>33600000</v>
      </c>
      <c r="O315" s="5">
        <v>36600000</v>
      </c>
      <c r="P315" s="3">
        <v>0.97916666666666663</v>
      </c>
    </row>
    <row r="316" spans="1:16" x14ac:dyDescent="0.25">
      <c r="A316" s="2">
        <v>42859</v>
      </c>
      <c r="B316" s="2">
        <v>42830</v>
      </c>
      <c r="C316" t="str">
        <f>+"Tuáº§n "&amp;WEEKNUM(B316)</f>
        <v>Tuáº§n 14</v>
      </c>
      <c r="D316" t="s">
        <v>19</v>
      </c>
      <c r="E316" t="s">
        <v>17</v>
      </c>
      <c r="F316" s="5">
        <v>32800000</v>
      </c>
      <c r="G316" s="5">
        <v>35800000</v>
      </c>
      <c r="H316" s="5">
        <f>+(M316*26000)/0.829426</f>
        <v>39039528.541425042</v>
      </c>
      <c r="I316" s="5">
        <f>+G316-H316</f>
        <v>-3239528.5414250419</v>
      </c>
      <c r="J316" s="5">
        <v>3000000</v>
      </c>
      <c r="K316" s="5">
        <v>3280000</v>
      </c>
      <c r="L316" s="5">
        <v>3580000</v>
      </c>
      <c r="M316" s="7">
        <v>1245.4000000000001</v>
      </c>
      <c r="N316" s="5">
        <v>33300000</v>
      </c>
      <c r="O316" s="5">
        <v>36300000</v>
      </c>
      <c r="P316" s="3">
        <v>0.97916666666666663</v>
      </c>
    </row>
    <row r="317" spans="1:16" x14ac:dyDescent="0.25">
      <c r="A317" s="2">
        <v>42890</v>
      </c>
      <c r="B317" s="2">
        <v>42831</v>
      </c>
      <c r="C317" t="str">
        <f>+"Tuáº§n "&amp;WEEKNUM(B317)</f>
        <v>Tuáº§n 14</v>
      </c>
      <c r="D317" t="s">
        <v>20</v>
      </c>
      <c r="E317" t="s">
        <v>17</v>
      </c>
      <c r="F317" s="5">
        <v>32900000</v>
      </c>
      <c r="G317" s="5">
        <v>35900000</v>
      </c>
      <c r="H317" s="5">
        <f>+(M317*26000)/0.829426</f>
        <v>39193128.742045701</v>
      </c>
      <c r="I317" s="5">
        <f>+G317-H317</f>
        <v>-3293128.7420457006</v>
      </c>
      <c r="J317" s="5">
        <v>3000000</v>
      </c>
      <c r="K317" s="5">
        <v>3290000</v>
      </c>
      <c r="L317" s="5">
        <v>3590000</v>
      </c>
      <c r="M317" s="7">
        <v>1250.3</v>
      </c>
      <c r="N317" s="5">
        <v>33400000</v>
      </c>
      <c r="O317" s="5">
        <v>36400000</v>
      </c>
      <c r="P317" s="3">
        <v>0.97916666666666663</v>
      </c>
    </row>
    <row r="318" spans="1:16" x14ac:dyDescent="0.25">
      <c r="A318" s="2">
        <v>42920</v>
      </c>
      <c r="B318" s="2">
        <v>42832</v>
      </c>
      <c r="C318" t="str">
        <f>+"Tuáº§n "&amp;WEEKNUM(B318)</f>
        <v>Tuáº§n 14</v>
      </c>
      <c r="D318" t="s">
        <v>21</v>
      </c>
      <c r="E318" t="s">
        <v>17</v>
      </c>
      <c r="F318" s="5">
        <v>33000000</v>
      </c>
      <c r="G318" s="5">
        <v>36000000</v>
      </c>
      <c r="H318" s="5">
        <f>+(M318*26000)/0.829426</f>
        <v>39318516.660919718</v>
      </c>
      <c r="I318" s="5">
        <f>+G318-H318</f>
        <v>-3318516.6609197184</v>
      </c>
      <c r="J318" s="5">
        <v>3000000</v>
      </c>
      <c r="K318" s="5">
        <v>3300000</v>
      </c>
      <c r="L318" s="5">
        <v>3600000</v>
      </c>
      <c r="M318" s="7">
        <v>1254.3</v>
      </c>
      <c r="N318" s="5">
        <v>33500000</v>
      </c>
      <c r="O318" s="5">
        <v>36500000</v>
      </c>
      <c r="P318" s="3">
        <v>0.97916666666666663</v>
      </c>
    </row>
    <row r="319" spans="1:16" x14ac:dyDescent="0.25">
      <c r="A319" s="2">
        <v>43012</v>
      </c>
      <c r="B319" s="2">
        <v>42835</v>
      </c>
      <c r="C319" t="str">
        <f>+"Tuáº§n "&amp;WEEKNUM(B319)</f>
        <v>Tuáº§n 15</v>
      </c>
      <c r="D319" t="s">
        <v>16</v>
      </c>
      <c r="E319" t="s">
        <v>17</v>
      </c>
      <c r="F319" s="5">
        <v>33000000</v>
      </c>
      <c r="G319" s="5">
        <v>36000000</v>
      </c>
      <c r="H319" s="5">
        <f>+(M319*26000)/0.829426</f>
        <v>39218206.325820506</v>
      </c>
      <c r="I319" s="5">
        <f>+G319-H319</f>
        <v>-3218206.3258205056</v>
      </c>
      <c r="J319" s="5">
        <v>3000000</v>
      </c>
      <c r="K319" s="5">
        <v>3300000</v>
      </c>
      <c r="L319" s="5">
        <v>3600000</v>
      </c>
      <c r="M319" s="7">
        <v>1251.0999999999999</v>
      </c>
      <c r="N319" s="5">
        <v>33500000</v>
      </c>
      <c r="O319" s="5">
        <v>36500000</v>
      </c>
      <c r="P319" s="3">
        <v>0.97916666666666663</v>
      </c>
    </row>
    <row r="320" spans="1:16" x14ac:dyDescent="0.25">
      <c r="A320" s="2">
        <v>43043</v>
      </c>
      <c r="B320" s="2">
        <v>42836</v>
      </c>
      <c r="C320" t="str">
        <f>+"Tuáº§n "&amp;WEEKNUM(B320)</f>
        <v>Tuáº§n 15</v>
      </c>
      <c r="D320" t="s">
        <v>18</v>
      </c>
      <c r="E320" t="s">
        <v>17</v>
      </c>
      <c r="F320" s="5">
        <v>33500000</v>
      </c>
      <c r="G320" s="5">
        <v>36500000</v>
      </c>
      <c r="H320" s="5">
        <f>+(M320*26000)/0.829426</f>
        <v>39848280.618162438</v>
      </c>
      <c r="I320" s="5">
        <f>+G320-H320</f>
        <v>-3348280.6181624383</v>
      </c>
      <c r="J320" s="5">
        <v>3000000</v>
      </c>
      <c r="K320" s="5">
        <v>3350000</v>
      </c>
      <c r="L320" s="5">
        <v>3650000</v>
      </c>
      <c r="M320" s="7">
        <v>1271.2</v>
      </c>
      <c r="N320" s="5">
        <v>34000000</v>
      </c>
      <c r="O320" s="5">
        <v>37000000</v>
      </c>
      <c r="P320" s="3">
        <v>0.97916666666666663</v>
      </c>
    </row>
    <row r="321" spans="1:16" x14ac:dyDescent="0.25">
      <c r="A321" s="2">
        <v>43073</v>
      </c>
      <c r="B321" s="2">
        <v>42837</v>
      </c>
      <c r="C321" t="str">
        <f>+"Tuáº§n "&amp;WEEKNUM(B321)</f>
        <v>Tuáº§n 15</v>
      </c>
      <c r="D321" t="s">
        <v>19</v>
      </c>
      <c r="E321" t="s">
        <v>17</v>
      </c>
      <c r="F321" s="5">
        <v>33600000</v>
      </c>
      <c r="G321" s="5">
        <v>36600000</v>
      </c>
      <c r="H321" s="5">
        <f>+(M321*26000)/0.829426</f>
        <v>39976803.235008307</v>
      </c>
      <c r="I321" s="5">
        <f>+G321-H321</f>
        <v>-3376803.2350083068</v>
      </c>
      <c r="J321" s="5">
        <v>3000000</v>
      </c>
      <c r="K321" s="5">
        <v>3360000</v>
      </c>
      <c r="L321" s="5">
        <v>3660000</v>
      </c>
      <c r="M321" s="7">
        <v>1275.3</v>
      </c>
      <c r="N321" s="5">
        <v>34100000</v>
      </c>
      <c r="O321" s="5">
        <v>37100000</v>
      </c>
      <c r="P321" s="3">
        <v>0.97916666666666663</v>
      </c>
    </row>
    <row r="322" spans="1:16" x14ac:dyDescent="0.25">
      <c r="A322" t="s">
        <v>212</v>
      </c>
      <c r="B322" s="2">
        <v>42838</v>
      </c>
      <c r="C322" t="str">
        <f>+"Tuáº§n "&amp;WEEKNUM(B322)</f>
        <v>Tuáº§n 15</v>
      </c>
      <c r="D322" t="s">
        <v>20</v>
      </c>
      <c r="E322" t="s">
        <v>17</v>
      </c>
      <c r="F322" s="5">
        <v>34000000</v>
      </c>
      <c r="G322" s="5">
        <v>37000000</v>
      </c>
      <c r="H322" s="5">
        <f>+(M322*26000)/0.829426</f>
        <v>40309081.220024452</v>
      </c>
      <c r="I322" s="5">
        <f>+G322-H322</f>
        <v>-3309081.2200244516</v>
      </c>
      <c r="J322" s="5">
        <v>3000000</v>
      </c>
      <c r="K322" s="5">
        <v>3400000</v>
      </c>
      <c r="L322" s="5">
        <v>3700000</v>
      </c>
      <c r="M322" s="7">
        <v>1285.9000000000001</v>
      </c>
      <c r="N322" s="5">
        <v>34500000</v>
      </c>
      <c r="O322" s="5">
        <v>37500000</v>
      </c>
      <c r="P322" s="3">
        <v>0.97916666666666663</v>
      </c>
    </row>
    <row r="323" spans="1:16" x14ac:dyDescent="0.25">
      <c r="A323" t="s">
        <v>213</v>
      </c>
      <c r="B323" s="2">
        <v>42842</v>
      </c>
      <c r="C323" t="str">
        <f>+"Tuáº§n "&amp;WEEKNUM(B323)</f>
        <v>Tuáº§n 16</v>
      </c>
      <c r="D323" t="s">
        <v>16</v>
      </c>
      <c r="E323" t="s">
        <v>17</v>
      </c>
      <c r="F323" s="5">
        <v>34100000</v>
      </c>
      <c r="G323" s="5">
        <v>37100000</v>
      </c>
      <c r="H323" s="5">
        <f>+(M323*26000)/0.829426</f>
        <v>40418795.649039216</v>
      </c>
      <c r="I323" s="5">
        <f>+G323-H323</f>
        <v>-3318795.6490392163</v>
      </c>
      <c r="J323" s="5">
        <v>3000000</v>
      </c>
      <c r="K323" s="5">
        <v>3410000</v>
      </c>
      <c r="L323" s="5">
        <v>3710000</v>
      </c>
      <c r="M323" s="7">
        <v>1289.4000000000001</v>
      </c>
      <c r="N323" s="5">
        <v>34600000</v>
      </c>
      <c r="O323" s="5">
        <v>37600000</v>
      </c>
      <c r="P323" s="3">
        <v>0.97916666666666663</v>
      </c>
    </row>
    <row r="324" spans="1:16" x14ac:dyDescent="0.25">
      <c r="A324" t="s">
        <v>214</v>
      </c>
      <c r="B324" s="2">
        <v>42843</v>
      </c>
      <c r="C324" t="str">
        <f>+"Tuáº§n "&amp;WEEKNUM(B324)</f>
        <v>Tuáº§n 16</v>
      </c>
      <c r="D324" t="s">
        <v>18</v>
      </c>
      <c r="E324" t="s">
        <v>17</v>
      </c>
      <c r="F324" s="5">
        <v>34100000</v>
      </c>
      <c r="G324" s="5">
        <v>37100000</v>
      </c>
      <c r="H324" s="5">
        <f>+(M324*26000)/0.829426</f>
        <v>40490893.702391773</v>
      </c>
      <c r="I324" s="5">
        <f>+G324-H324</f>
        <v>-3390893.7023917735</v>
      </c>
      <c r="J324" s="5">
        <v>3000000</v>
      </c>
      <c r="K324" s="5">
        <v>3410000</v>
      </c>
      <c r="L324" s="5">
        <v>3710000</v>
      </c>
      <c r="M324" s="7">
        <v>1291.7</v>
      </c>
      <c r="N324" s="5">
        <v>34600000</v>
      </c>
      <c r="O324" s="5">
        <v>37600000</v>
      </c>
      <c r="P324" s="3">
        <v>0.97916666666666663</v>
      </c>
    </row>
    <row r="325" spans="1:16" x14ac:dyDescent="0.25">
      <c r="A325" t="s">
        <v>215</v>
      </c>
      <c r="B325" s="2">
        <v>42844</v>
      </c>
      <c r="C325" t="str">
        <f>+"Tuáº§n "&amp;WEEKNUM(B325)</f>
        <v>Tuáº§n 16</v>
      </c>
      <c r="D325" t="s">
        <v>19</v>
      </c>
      <c r="E325" t="s">
        <v>17</v>
      </c>
      <c r="F325" s="5">
        <v>33800000</v>
      </c>
      <c r="G325" s="5">
        <v>36800000</v>
      </c>
      <c r="H325" s="5">
        <f>+(M325*26000)/0.829426</f>
        <v>40168019.811291188</v>
      </c>
      <c r="I325" s="5">
        <f>+G325-H325</f>
        <v>-3368019.811291188</v>
      </c>
      <c r="J325" s="5">
        <v>3000000</v>
      </c>
      <c r="K325" s="5">
        <v>3380000</v>
      </c>
      <c r="L325" s="5">
        <v>3680000</v>
      </c>
      <c r="M325" s="7">
        <v>1281.4000000000001</v>
      </c>
      <c r="N325" s="5">
        <v>34300000</v>
      </c>
      <c r="O325" s="5">
        <v>37300000</v>
      </c>
      <c r="P325" s="3">
        <v>0.97916666666666663</v>
      </c>
    </row>
    <row r="326" spans="1:16" x14ac:dyDescent="0.25">
      <c r="A326" t="s">
        <v>216</v>
      </c>
      <c r="B326" s="2">
        <v>42845</v>
      </c>
      <c r="C326" t="str">
        <f>+"Tuáº§n "&amp;WEEKNUM(B326)</f>
        <v>Tuáº§n 16</v>
      </c>
      <c r="D326" t="s">
        <v>20</v>
      </c>
      <c r="E326" t="s">
        <v>17</v>
      </c>
      <c r="F326" s="5">
        <v>33800000</v>
      </c>
      <c r="G326" s="5">
        <v>36800000</v>
      </c>
      <c r="H326" s="5">
        <f>+(M326*26000)/0.829426</f>
        <v>40183693.301150441</v>
      </c>
      <c r="I326" s="5">
        <f>+G326-H326</f>
        <v>-3383693.3011504412</v>
      </c>
      <c r="J326" s="5">
        <v>3000000</v>
      </c>
      <c r="K326" s="5">
        <v>3380000</v>
      </c>
      <c r="L326" s="5">
        <v>3680000</v>
      </c>
      <c r="M326" s="7">
        <v>1281.9000000000001</v>
      </c>
      <c r="N326" s="5">
        <v>34300000</v>
      </c>
      <c r="O326" s="5">
        <v>37300000</v>
      </c>
      <c r="P326" s="3">
        <v>0.97916666666666663</v>
      </c>
    </row>
    <row r="327" spans="1:16" x14ac:dyDescent="0.25">
      <c r="A327" t="s">
        <v>217</v>
      </c>
      <c r="B327" s="2">
        <v>42846</v>
      </c>
      <c r="C327" t="str">
        <f>+"Tuáº§n "&amp;WEEKNUM(B327)</f>
        <v>Tuáº§n 16</v>
      </c>
      <c r="D327" t="s">
        <v>21</v>
      </c>
      <c r="E327" t="s">
        <v>17</v>
      </c>
      <c r="F327" s="5">
        <v>34000000</v>
      </c>
      <c r="G327" s="5">
        <v>37000000</v>
      </c>
      <c r="H327" s="5">
        <f>+(M327*26000)/0.829426</f>
        <v>40356101.689602211</v>
      </c>
      <c r="I327" s="5">
        <f>+G327-H327</f>
        <v>-3356101.6896022111</v>
      </c>
      <c r="J327" s="5">
        <v>3000000</v>
      </c>
      <c r="K327" s="5">
        <v>3400000</v>
      </c>
      <c r="L327" s="5">
        <v>3700000</v>
      </c>
      <c r="M327" s="7">
        <v>1287.4000000000001</v>
      </c>
      <c r="N327" s="5">
        <v>34500000</v>
      </c>
      <c r="O327" s="5">
        <v>37500000</v>
      </c>
      <c r="P327" s="3">
        <v>0.97916666666666663</v>
      </c>
    </row>
    <row r="328" spans="1:16" x14ac:dyDescent="0.25">
      <c r="A328" t="s">
        <v>218</v>
      </c>
      <c r="B328" s="2">
        <v>42849</v>
      </c>
      <c r="C328" t="str">
        <f>+"Tuáº§n "&amp;WEEKNUM(B328)</f>
        <v>Tuáº§n 17</v>
      </c>
      <c r="D328" t="s">
        <v>16</v>
      </c>
      <c r="E328" t="s">
        <v>17</v>
      </c>
      <c r="F328" s="5">
        <v>33700000</v>
      </c>
      <c r="G328" s="5">
        <v>36700000</v>
      </c>
      <c r="H328" s="5">
        <f>+(M328*26000)/0.829426</f>
        <v>39992476.72486756</v>
      </c>
      <c r="I328" s="5">
        <f>+G328-H328</f>
        <v>-3292476.72486756</v>
      </c>
      <c r="J328" s="5">
        <v>3000000</v>
      </c>
      <c r="K328" s="5">
        <v>3370000</v>
      </c>
      <c r="L328" s="5">
        <v>3670000</v>
      </c>
      <c r="M328" s="7">
        <v>1275.8</v>
      </c>
      <c r="N328" s="5">
        <v>34200000</v>
      </c>
      <c r="O328" s="5">
        <v>37200000</v>
      </c>
      <c r="P328" s="3">
        <v>0.97916666666666663</v>
      </c>
    </row>
    <row r="329" spans="1:16" x14ac:dyDescent="0.25">
      <c r="A329" t="s">
        <v>219</v>
      </c>
      <c r="B329" s="2">
        <v>42850</v>
      </c>
      <c r="C329" t="str">
        <f>+"Tuáº§n "&amp;WEEKNUM(B329)</f>
        <v>Tuáº§n 17</v>
      </c>
      <c r="D329" t="s">
        <v>18</v>
      </c>
      <c r="E329" t="s">
        <v>17</v>
      </c>
      <c r="F329" s="5">
        <v>33400000</v>
      </c>
      <c r="G329" s="5">
        <v>36400000</v>
      </c>
      <c r="H329" s="5">
        <f>+(M329*26000)/0.829426</f>
        <v>39672737.53173881</v>
      </c>
      <c r="I329" s="5">
        <f>+G329-H329</f>
        <v>-3272737.5317388102</v>
      </c>
      <c r="J329" s="5">
        <v>3000000</v>
      </c>
      <c r="K329" s="5">
        <v>3340000</v>
      </c>
      <c r="L329" s="5">
        <v>3640000</v>
      </c>
      <c r="M329" s="7">
        <v>1265.5999999999999</v>
      </c>
      <c r="N329" s="5">
        <v>33900000</v>
      </c>
      <c r="O329" s="5">
        <v>36900000</v>
      </c>
      <c r="P329" s="3">
        <v>0.97916666666666663</v>
      </c>
    </row>
    <row r="330" spans="1:16" x14ac:dyDescent="0.25">
      <c r="A330" t="s">
        <v>220</v>
      </c>
      <c r="B330" s="2">
        <v>42851</v>
      </c>
      <c r="C330" t="str">
        <f>+"Tuáº§n "&amp;WEEKNUM(B330)</f>
        <v>Tuáº§n 17</v>
      </c>
      <c r="D330" t="s">
        <v>19</v>
      </c>
      <c r="E330" t="s">
        <v>17</v>
      </c>
      <c r="F330" s="5">
        <v>33300000</v>
      </c>
      <c r="G330" s="5">
        <v>36300000</v>
      </c>
      <c r="H330" s="5">
        <f>+(M330*26000)/0.829426</f>
        <v>39563023.102724046</v>
      </c>
      <c r="I330" s="5">
        <f>+G330-H330</f>
        <v>-3263023.1027240455</v>
      </c>
      <c r="J330" s="5">
        <v>3000000</v>
      </c>
      <c r="K330" s="5">
        <v>3330000</v>
      </c>
      <c r="L330" s="5">
        <v>3630000</v>
      </c>
      <c r="M330" s="7">
        <v>1262.0999999999999</v>
      </c>
      <c r="N330" s="5">
        <v>33800000</v>
      </c>
      <c r="O330" s="5">
        <v>36800000</v>
      </c>
      <c r="P330" s="3">
        <v>0.97916666666666663</v>
      </c>
    </row>
    <row r="331" spans="1:16" x14ac:dyDescent="0.25">
      <c r="A331" t="s">
        <v>221</v>
      </c>
      <c r="B331" s="2">
        <v>42852</v>
      </c>
      <c r="C331" t="str">
        <f>+"Tuáº§n "&amp;WEEKNUM(B331)</f>
        <v>Tuáº§n 17</v>
      </c>
      <c r="D331" t="s">
        <v>20</v>
      </c>
      <c r="E331" t="s">
        <v>17</v>
      </c>
      <c r="F331" s="5">
        <v>33300000</v>
      </c>
      <c r="G331" s="5">
        <v>36300000</v>
      </c>
      <c r="H331" s="5">
        <f>+(M331*26000)/0.829426</f>
        <v>39613178.270273656</v>
      </c>
      <c r="I331" s="5">
        <f>+G331-H331</f>
        <v>-3313178.2702736557</v>
      </c>
      <c r="J331" s="5">
        <v>3000000</v>
      </c>
      <c r="K331" s="5">
        <v>3330000</v>
      </c>
      <c r="L331" s="5">
        <v>3630000</v>
      </c>
      <c r="M331" s="7">
        <v>1263.7</v>
      </c>
      <c r="N331" s="5">
        <v>33800000</v>
      </c>
      <c r="O331" s="5">
        <v>36800000</v>
      </c>
      <c r="P331" s="3">
        <v>0.97916666666666663</v>
      </c>
    </row>
    <row r="332" spans="1:16" x14ac:dyDescent="0.25">
      <c r="A332" t="s">
        <v>222</v>
      </c>
      <c r="B332" s="2">
        <v>42853</v>
      </c>
      <c r="C332" t="str">
        <f>+"Tuáº§n "&amp;WEEKNUM(B332)</f>
        <v>Tuáº§n 17</v>
      </c>
      <c r="D332" t="s">
        <v>21</v>
      </c>
      <c r="E332" t="s">
        <v>17</v>
      </c>
      <c r="F332" s="5">
        <v>33400000</v>
      </c>
      <c r="G332" s="5">
        <v>36400000</v>
      </c>
      <c r="H332" s="5">
        <f>+(M332*26000)/0.829426</f>
        <v>39688411.021598063</v>
      </c>
      <c r="I332" s="5">
        <f>+G332-H332</f>
        <v>-3288411.0215980634</v>
      </c>
      <c r="J332" s="5">
        <v>3000000</v>
      </c>
      <c r="K332" s="5">
        <v>3340000</v>
      </c>
      <c r="L332" s="5">
        <v>3640000</v>
      </c>
      <c r="M332" s="7">
        <v>1266.0999999999999</v>
      </c>
      <c r="N332" s="5">
        <v>33900000</v>
      </c>
      <c r="O332" s="5">
        <v>36900000</v>
      </c>
      <c r="P332" s="3">
        <v>0.97916666666666663</v>
      </c>
    </row>
    <row r="333" spans="1:16" x14ac:dyDescent="0.25">
      <c r="A333" s="2">
        <v>42740</v>
      </c>
      <c r="B333" s="2">
        <v>42856</v>
      </c>
      <c r="C333" t="str">
        <f>+"Tuáº§n "&amp;WEEKNUM(B333)</f>
        <v>Tuáº§n 18</v>
      </c>
      <c r="D333" t="s">
        <v>16</v>
      </c>
      <c r="E333" t="s">
        <v>17</v>
      </c>
      <c r="F333" s="5">
        <v>33000000</v>
      </c>
      <c r="G333" s="5">
        <v>36000000</v>
      </c>
      <c r="H333" s="5">
        <f>+(M333*26000)/0.829426</f>
        <v>39287169.68120122</v>
      </c>
      <c r="I333" s="5">
        <f>+G333-H333</f>
        <v>-3287169.6812012196</v>
      </c>
      <c r="J333" s="5">
        <v>3000000</v>
      </c>
      <c r="K333" s="5">
        <v>3300000</v>
      </c>
      <c r="L333" s="5">
        <v>3600000</v>
      </c>
      <c r="M333" s="7">
        <v>1253.3</v>
      </c>
      <c r="N333" s="5">
        <v>33500000</v>
      </c>
      <c r="O333" s="5">
        <v>36500000</v>
      </c>
      <c r="P333" s="3">
        <v>0.97916666666666663</v>
      </c>
    </row>
    <row r="334" spans="1:16" x14ac:dyDescent="0.25">
      <c r="A334" s="2">
        <v>42771</v>
      </c>
      <c r="B334" s="2">
        <v>42857</v>
      </c>
      <c r="C334" t="str">
        <f>+"Tuáº§n "&amp;WEEKNUM(B334)</f>
        <v>Tuáº§n 18</v>
      </c>
      <c r="D334" t="s">
        <v>18</v>
      </c>
      <c r="E334" t="s">
        <v>17</v>
      </c>
      <c r="F334" s="5">
        <v>33100000</v>
      </c>
      <c r="G334" s="5">
        <v>36100000</v>
      </c>
      <c r="H334" s="5">
        <f>+(M334*26000)/0.829426</f>
        <v>39343594.244694516</v>
      </c>
      <c r="I334" s="5">
        <f>+G334-H334</f>
        <v>-3243594.2446945161</v>
      </c>
      <c r="J334" s="5">
        <v>3000000</v>
      </c>
      <c r="K334" s="5">
        <v>3310000</v>
      </c>
      <c r="L334" s="5">
        <v>3610000</v>
      </c>
      <c r="M334" s="7">
        <v>1255.0999999999999</v>
      </c>
      <c r="N334" s="5">
        <v>33600000</v>
      </c>
      <c r="O334" s="5">
        <v>36600000</v>
      </c>
      <c r="P334" s="3">
        <v>0.97916666666666663</v>
      </c>
    </row>
    <row r="335" spans="1:16" x14ac:dyDescent="0.25">
      <c r="A335" s="2">
        <v>42799</v>
      </c>
      <c r="B335" s="2">
        <v>42858</v>
      </c>
      <c r="C335" t="str">
        <f>+"Tuáº§n "&amp;WEEKNUM(B335)</f>
        <v>Tuáº§n 18</v>
      </c>
      <c r="D335" t="s">
        <v>19</v>
      </c>
      <c r="E335" t="s">
        <v>17</v>
      </c>
      <c r="F335" s="5">
        <v>32800000</v>
      </c>
      <c r="G335" s="5">
        <v>35800000</v>
      </c>
      <c r="H335" s="5">
        <f>+(M335*26000)/0.829426</f>
        <v>39070875.521143541</v>
      </c>
      <c r="I335" s="5">
        <f>+G335-H335</f>
        <v>-3270875.5211435407</v>
      </c>
      <c r="J335" s="5">
        <v>3000000</v>
      </c>
      <c r="K335" s="5">
        <v>3280000</v>
      </c>
      <c r="L335" s="5">
        <v>3580000</v>
      </c>
      <c r="M335" s="7">
        <v>1246.4000000000001</v>
      </c>
      <c r="N335" s="5">
        <v>33300000</v>
      </c>
      <c r="O335" s="5">
        <v>36300000</v>
      </c>
      <c r="P335" s="3">
        <v>0.97916666666666663</v>
      </c>
    </row>
    <row r="336" spans="1:16" x14ac:dyDescent="0.25">
      <c r="A336" s="2">
        <v>42830</v>
      </c>
      <c r="B336" s="2">
        <v>42859</v>
      </c>
      <c r="C336" t="str">
        <f>+"Tuáº§n "&amp;WEEKNUM(B336)</f>
        <v>Tuáº§n 18</v>
      </c>
      <c r="D336" t="s">
        <v>20</v>
      </c>
      <c r="E336" t="s">
        <v>17</v>
      </c>
      <c r="F336" s="5">
        <v>32200000</v>
      </c>
      <c r="G336" s="5">
        <v>35200000</v>
      </c>
      <c r="H336" s="5">
        <f>+(M336*26000)/0.829426</f>
        <v>38447070.624745309</v>
      </c>
      <c r="I336" s="5">
        <f>+G336-H336</f>
        <v>-3247070.6247453094</v>
      </c>
      <c r="J336" s="5">
        <v>3000000</v>
      </c>
      <c r="K336" s="5">
        <v>3220000</v>
      </c>
      <c r="L336" s="5">
        <v>3520000</v>
      </c>
      <c r="M336" s="7">
        <v>1226.5</v>
      </c>
      <c r="N336" s="5">
        <v>32700000</v>
      </c>
      <c r="O336" s="5">
        <v>35700000</v>
      </c>
      <c r="P336" s="3">
        <v>0.97916666666666663</v>
      </c>
    </row>
    <row r="337" spans="1:16" x14ac:dyDescent="0.25">
      <c r="A337" s="2">
        <v>42860</v>
      </c>
      <c r="B337" s="2">
        <v>42860</v>
      </c>
      <c r="C337" t="str">
        <f>+"Tuáº§n "&amp;WEEKNUM(B337)</f>
        <v>Tuáº§n 18</v>
      </c>
      <c r="D337" t="s">
        <v>21</v>
      </c>
      <c r="E337" t="s">
        <v>17</v>
      </c>
      <c r="F337" s="5">
        <v>32200000</v>
      </c>
      <c r="G337" s="5">
        <v>35200000</v>
      </c>
      <c r="H337" s="5">
        <f>+(M337*26000)/0.829426</f>
        <v>38393780.759223849</v>
      </c>
      <c r="I337" s="5">
        <f>+G337-H337</f>
        <v>-3193780.7592238486</v>
      </c>
      <c r="J337" s="5">
        <v>3000000</v>
      </c>
      <c r="K337" s="5">
        <v>3220000</v>
      </c>
      <c r="L337" s="5">
        <v>3520000</v>
      </c>
      <c r="M337" s="7">
        <v>1224.8</v>
      </c>
      <c r="N337" s="5">
        <v>32700000</v>
      </c>
      <c r="O337" s="5">
        <v>35700000</v>
      </c>
      <c r="P337" s="3">
        <v>0.97916666666666663</v>
      </c>
    </row>
    <row r="338" spans="1:16" x14ac:dyDescent="0.25">
      <c r="A338" s="2">
        <v>42952</v>
      </c>
      <c r="B338" s="2">
        <v>42863</v>
      </c>
      <c r="C338" t="str">
        <f>+"Tuáº§n "&amp;WEEKNUM(B338)</f>
        <v>Tuáº§n 19</v>
      </c>
      <c r="D338" t="s">
        <v>16</v>
      </c>
      <c r="E338" t="s">
        <v>17</v>
      </c>
      <c r="F338" s="5">
        <v>32200000</v>
      </c>
      <c r="G338" s="5">
        <v>35200000</v>
      </c>
      <c r="H338" s="5">
        <f>+(M338*26000)/0.829426</f>
        <v>38409454.249083102</v>
      </c>
      <c r="I338" s="5">
        <f>+G338-H338</f>
        <v>-3209454.2490831017</v>
      </c>
      <c r="J338" s="5">
        <v>3000000</v>
      </c>
      <c r="K338" s="5">
        <v>3220000</v>
      </c>
      <c r="L338" s="5">
        <v>3520000</v>
      </c>
      <c r="M338" s="7">
        <v>1225.3</v>
      </c>
      <c r="N338" s="5">
        <v>32700000</v>
      </c>
      <c r="O338" s="5">
        <v>35700000</v>
      </c>
      <c r="P338" s="3">
        <v>0.97916666666666663</v>
      </c>
    </row>
    <row r="339" spans="1:16" x14ac:dyDescent="0.25">
      <c r="A339" s="2">
        <v>42983</v>
      </c>
      <c r="B339" s="2">
        <v>42864</v>
      </c>
      <c r="C339" t="str">
        <f>+"Tuáº§n "&amp;WEEKNUM(B339)</f>
        <v>Tuáº§n 19</v>
      </c>
      <c r="D339" t="s">
        <v>18</v>
      </c>
      <c r="E339" t="s">
        <v>17</v>
      </c>
      <c r="F339" s="5">
        <v>31900000</v>
      </c>
      <c r="G339" s="5">
        <v>34900000</v>
      </c>
      <c r="H339" s="5">
        <f>+(M339*26000)/0.829426</f>
        <v>38064637.472179554</v>
      </c>
      <c r="I339" s="5">
        <f>+G339-H339</f>
        <v>-3164637.4721795544</v>
      </c>
      <c r="J339" s="5">
        <v>3000000</v>
      </c>
      <c r="K339" s="5">
        <v>3190000</v>
      </c>
      <c r="L339" s="5">
        <v>3490000</v>
      </c>
      <c r="M339" s="7">
        <v>1214.3</v>
      </c>
      <c r="N339" s="5">
        <v>32400000</v>
      </c>
      <c r="O339" s="5">
        <v>35400000</v>
      </c>
      <c r="P339" s="3">
        <v>0.97916666666666663</v>
      </c>
    </row>
    <row r="340" spans="1:16" x14ac:dyDescent="0.25">
      <c r="A340" s="2">
        <v>43013</v>
      </c>
      <c r="B340" s="2">
        <v>42865</v>
      </c>
      <c r="C340" t="str">
        <f>+"Tuáº§n "&amp;WEEKNUM(B340)</f>
        <v>Tuáº§n 19</v>
      </c>
      <c r="D340" t="s">
        <v>19</v>
      </c>
      <c r="E340" t="s">
        <v>17</v>
      </c>
      <c r="F340" s="5">
        <v>32000000</v>
      </c>
      <c r="G340" s="5">
        <v>35000000</v>
      </c>
      <c r="H340" s="5">
        <f>+(M340*26000)/0.829426</f>
        <v>38158678.411335066</v>
      </c>
      <c r="I340" s="5">
        <f>+G340-H340</f>
        <v>-3158678.411335066</v>
      </c>
      <c r="J340" s="5">
        <v>3000000</v>
      </c>
      <c r="K340" s="5">
        <v>3200000</v>
      </c>
      <c r="L340" s="5">
        <v>3500000</v>
      </c>
      <c r="M340" s="7">
        <v>1217.3</v>
      </c>
      <c r="N340" s="5">
        <v>32500000</v>
      </c>
      <c r="O340" s="5">
        <v>35500000</v>
      </c>
      <c r="P340" s="3">
        <v>0.97916666666666663</v>
      </c>
    </row>
    <row r="341" spans="1:16" x14ac:dyDescent="0.25">
      <c r="A341" s="2">
        <v>43044</v>
      </c>
      <c r="B341" s="2">
        <v>42866</v>
      </c>
      <c r="C341" t="str">
        <f>+"Tuáº§n "&amp;WEEKNUM(B341)</f>
        <v>Tuáº§n 19</v>
      </c>
      <c r="D341" t="s">
        <v>20</v>
      </c>
      <c r="E341" t="s">
        <v>17</v>
      </c>
      <c r="F341" s="5">
        <v>32100000</v>
      </c>
      <c r="G341" s="5">
        <v>35100000</v>
      </c>
      <c r="H341" s="5">
        <f>+(M341*26000)/0.829426</f>
        <v>38327952.101814993</v>
      </c>
      <c r="I341" s="5">
        <f>+G341-H341</f>
        <v>-3227952.1018149927</v>
      </c>
      <c r="J341" s="5">
        <v>3000000</v>
      </c>
      <c r="K341" s="5">
        <v>3210000</v>
      </c>
      <c r="L341" s="5">
        <v>3510000</v>
      </c>
      <c r="M341" s="7">
        <v>1222.7</v>
      </c>
      <c r="N341" s="5">
        <v>32600000</v>
      </c>
      <c r="O341" s="5">
        <v>35600000</v>
      </c>
      <c r="P341" s="3">
        <v>0.97916666666666663</v>
      </c>
    </row>
    <row r="342" spans="1:16" x14ac:dyDescent="0.25">
      <c r="A342" s="2">
        <v>43074</v>
      </c>
      <c r="B342" s="2">
        <v>42867</v>
      </c>
      <c r="C342" t="str">
        <f>+"Tuáº§n "&amp;WEEKNUM(B342)</f>
        <v>Tuáº§n 19</v>
      </c>
      <c r="D342" t="s">
        <v>21</v>
      </c>
      <c r="E342" t="s">
        <v>17</v>
      </c>
      <c r="F342" s="5">
        <v>32200000</v>
      </c>
      <c r="G342" s="5">
        <v>35200000</v>
      </c>
      <c r="H342" s="5">
        <f>+(M342*26000)/0.829426</f>
        <v>38437666.530829757</v>
      </c>
      <c r="I342" s="5">
        <f>+G342-H342</f>
        <v>-3237666.5308297575</v>
      </c>
      <c r="J342" s="5">
        <v>3000000</v>
      </c>
      <c r="K342" s="5">
        <v>3220000</v>
      </c>
      <c r="L342" s="5">
        <v>3520000</v>
      </c>
      <c r="M342" s="7">
        <v>1226.2</v>
      </c>
      <c r="N342" s="5">
        <v>32700000</v>
      </c>
      <c r="O342" s="5">
        <v>35700000</v>
      </c>
      <c r="P342" s="3">
        <v>0.97916666666666663</v>
      </c>
    </row>
    <row r="343" spans="1:16" x14ac:dyDescent="0.25">
      <c r="A343" t="s">
        <v>223</v>
      </c>
      <c r="B343" s="2">
        <v>42870</v>
      </c>
      <c r="C343" t="str">
        <f>+"Tuáº§n "&amp;WEEKNUM(B343)</f>
        <v>Tuáº§n 20</v>
      </c>
      <c r="D343" t="s">
        <v>16</v>
      </c>
      <c r="E343" t="s">
        <v>17</v>
      </c>
      <c r="F343" s="5">
        <v>32300000</v>
      </c>
      <c r="G343" s="5">
        <v>35300000</v>
      </c>
      <c r="H343" s="5">
        <f>+(M343*26000)/0.829426</f>
        <v>38512899.282154158</v>
      </c>
      <c r="I343" s="5">
        <f>+G343-H343</f>
        <v>-3212899.2821541578</v>
      </c>
      <c r="J343" s="5">
        <v>3000000</v>
      </c>
      <c r="K343" s="5">
        <v>3230000</v>
      </c>
      <c r="L343" s="5">
        <v>3530000</v>
      </c>
      <c r="M343" s="7">
        <v>1228.5999999999999</v>
      </c>
      <c r="N343" s="5">
        <v>32800000</v>
      </c>
      <c r="O343" s="5">
        <v>35800000</v>
      </c>
      <c r="P343" s="3">
        <v>0.97916666666666663</v>
      </c>
    </row>
    <row r="344" spans="1:16" x14ac:dyDescent="0.25">
      <c r="A344" t="s">
        <v>224</v>
      </c>
      <c r="B344" s="2">
        <v>42871</v>
      </c>
      <c r="C344" t="str">
        <f>+"Tuáº§n "&amp;WEEKNUM(B344)</f>
        <v>Tuáº§n 20</v>
      </c>
      <c r="D344" t="s">
        <v>18</v>
      </c>
      <c r="E344" t="s">
        <v>17</v>
      </c>
      <c r="F344" s="5">
        <v>32500000</v>
      </c>
      <c r="G344" s="5">
        <v>35500000</v>
      </c>
      <c r="H344" s="5">
        <f>+(M344*26000)/0.829426</f>
        <v>38713519.952352591</v>
      </c>
      <c r="I344" s="5">
        <f>+G344-H344</f>
        <v>-3213519.9523525909</v>
      </c>
      <c r="J344" s="5">
        <v>3000000</v>
      </c>
      <c r="K344" s="5">
        <v>3250000</v>
      </c>
      <c r="L344" s="5">
        <v>3550000</v>
      </c>
      <c r="M344" s="7">
        <v>1235</v>
      </c>
      <c r="N344" s="5">
        <v>33000000</v>
      </c>
      <c r="O344" s="5">
        <v>36000000</v>
      </c>
      <c r="P344" s="3">
        <v>0.97916666666666663</v>
      </c>
    </row>
    <row r="345" spans="1:16" x14ac:dyDescent="0.25">
      <c r="A345" t="s">
        <v>225</v>
      </c>
      <c r="B345" s="2">
        <v>42872</v>
      </c>
      <c r="C345" t="str">
        <f>+"Tuáº§n "&amp;WEEKNUM(B345)</f>
        <v>Tuáº§n 20</v>
      </c>
      <c r="D345" t="s">
        <v>19</v>
      </c>
      <c r="E345" t="s">
        <v>17</v>
      </c>
      <c r="F345" s="5">
        <v>33100000</v>
      </c>
      <c r="G345" s="5">
        <v>36100000</v>
      </c>
      <c r="H345" s="5">
        <f>+(M345*26000)/0.829426</f>
        <v>39418826.996018931</v>
      </c>
      <c r="I345" s="5">
        <f>+G345-H345</f>
        <v>-3318826.9960189313</v>
      </c>
      <c r="J345" s="5">
        <v>3000000</v>
      </c>
      <c r="K345" s="5">
        <v>3310000</v>
      </c>
      <c r="L345" s="5">
        <v>3610000</v>
      </c>
      <c r="M345" s="7">
        <v>1257.5</v>
      </c>
      <c r="N345" s="5">
        <v>33600000</v>
      </c>
      <c r="O345" s="5">
        <v>36600000</v>
      </c>
      <c r="P345" s="3">
        <v>0.97916666666666663</v>
      </c>
    </row>
    <row r="346" spans="1:16" x14ac:dyDescent="0.25">
      <c r="A346" t="s">
        <v>226</v>
      </c>
      <c r="B346" s="2">
        <v>42873</v>
      </c>
      <c r="C346" t="str">
        <f>+"Tuáº§n "&amp;WEEKNUM(B346)</f>
        <v>Tuáº§n 20</v>
      </c>
      <c r="D346" t="s">
        <v>20</v>
      </c>
      <c r="E346" t="s">
        <v>17</v>
      </c>
      <c r="F346" s="5">
        <v>33000000</v>
      </c>
      <c r="G346" s="5">
        <v>36000000</v>
      </c>
      <c r="H346" s="5">
        <f>+(M346*26000)/0.829426</f>
        <v>39237014.513651609</v>
      </c>
      <c r="I346" s="5">
        <f>+G346-H346</f>
        <v>-3237014.5136516094</v>
      </c>
      <c r="J346" s="5">
        <v>3000000</v>
      </c>
      <c r="K346" s="5">
        <v>3300000</v>
      </c>
      <c r="L346" s="5">
        <v>3600000</v>
      </c>
      <c r="M346" s="7">
        <v>1251.7</v>
      </c>
      <c r="N346" s="5">
        <v>33500000</v>
      </c>
      <c r="O346" s="5">
        <v>36500000</v>
      </c>
      <c r="P346" s="3">
        <v>0.97916666666666663</v>
      </c>
    </row>
    <row r="347" spans="1:16" x14ac:dyDescent="0.25">
      <c r="A347" t="s">
        <v>227</v>
      </c>
      <c r="B347" s="2">
        <v>42874</v>
      </c>
      <c r="C347" t="str">
        <f>+"Tuáº§n "&amp;WEEKNUM(B347)</f>
        <v>Tuáº§n 20</v>
      </c>
      <c r="D347" t="s">
        <v>21</v>
      </c>
      <c r="E347" t="s">
        <v>17</v>
      </c>
      <c r="F347" s="5">
        <v>33000000</v>
      </c>
      <c r="G347" s="5">
        <v>36000000</v>
      </c>
      <c r="H347" s="5">
        <f>+(M347*26000)/0.829426</f>
        <v>39268361.493370116</v>
      </c>
      <c r="I347" s="5">
        <f>+G347-H347</f>
        <v>-3268361.4933701158</v>
      </c>
      <c r="J347" s="5">
        <v>3000000</v>
      </c>
      <c r="K347" s="5">
        <v>3300000</v>
      </c>
      <c r="L347" s="5">
        <v>3600000</v>
      </c>
      <c r="M347" s="7">
        <v>1252.7</v>
      </c>
      <c r="N347" s="5">
        <v>33500000</v>
      </c>
      <c r="O347" s="5">
        <v>36500000</v>
      </c>
      <c r="P347" s="3">
        <v>0.97916666666666663</v>
      </c>
    </row>
    <row r="348" spans="1:16" x14ac:dyDescent="0.25">
      <c r="A348" t="s">
        <v>228</v>
      </c>
      <c r="B348" s="2">
        <v>42877</v>
      </c>
      <c r="C348" t="str">
        <f>+"Tuáº§n "&amp;WEEKNUM(B348)</f>
        <v>Tuáº§n 21</v>
      </c>
      <c r="D348" t="s">
        <v>16</v>
      </c>
      <c r="E348" t="s">
        <v>17</v>
      </c>
      <c r="F348" s="5">
        <v>33200000</v>
      </c>
      <c r="G348" s="5">
        <v>36200000</v>
      </c>
      <c r="H348" s="5">
        <f>+(M348*26000)/0.829426</f>
        <v>39519137.331118144</v>
      </c>
      <c r="I348" s="5">
        <f>+G348-H348</f>
        <v>-3319137.3311181441</v>
      </c>
      <c r="J348" s="5">
        <v>3000000</v>
      </c>
      <c r="K348" s="5">
        <v>3320000</v>
      </c>
      <c r="L348" s="5">
        <v>3620000</v>
      </c>
      <c r="M348" s="7">
        <v>1260.7</v>
      </c>
      <c r="N348" s="5">
        <v>33700000</v>
      </c>
      <c r="O348" s="5">
        <v>36700000</v>
      </c>
      <c r="P348" s="3">
        <v>0.97916666666666663</v>
      </c>
    </row>
    <row r="349" spans="1:16" x14ac:dyDescent="0.25">
      <c r="A349" t="s">
        <v>229</v>
      </c>
      <c r="B349" s="2">
        <v>42878</v>
      </c>
      <c r="C349" t="str">
        <f>+"Tuáº§n "&amp;WEEKNUM(B349)</f>
        <v>Tuáº§n 21</v>
      </c>
      <c r="D349" t="s">
        <v>18</v>
      </c>
      <c r="E349" t="s">
        <v>17</v>
      </c>
      <c r="F349" s="5">
        <v>33100000</v>
      </c>
      <c r="G349" s="5">
        <v>36100000</v>
      </c>
      <c r="H349" s="5">
        <f>+(M349*26000)/0.829426</f>
        <v>39334190.150778972</v>
      </c>
      <c r="I349" s="5">
        <f>+G349-H349</f>
        <v>-3234190.1507789716</v>
      </c>
      <c r="J349" s="5">
        <v>3000000</v>
      </c>
      <c r="K349" s="5">
        <v>3310000</v>
      </c>
      <c r="L349" s="5">
        <v>3610000</v>
      </c>
      <c r="M349" s="7">
        <v>1254.8</v>
      </c>
      <c r="N349" s="5">
        <v>33600000</v>
      </c>
      <c r="O349" s="5">
        <v>36600000</v>
      </c>
      <c r="P349" s="3">
        <v>0.97916666666666663</v>
      </c>
    </row>
    <row r="350" spans="1:16" x14ac:dyDescent="0.25">
      <c r="A350" t="s">
        <v>230</v>
      </c>
      <c r="B350" s="2">
        <v>42879</v>
      </c>
      <c r="C350" t="str">
        <f>+"Tuáº§n "&amp;WEEKNUM(B350)</f>
        <v>Tuáº§n 21</v>
      </c>
      <c r="D350" t="s">
        <v>19</v>
      </c>
      <c r="E350" t="s">
        <v>17</v>
      </c>
      <c r="F350" s="5">
        <v>33000000</v>
      </c>
      <c r="G350" s="5">
        <v>36000000</v>
      </c>
      <c r="H350" s="5">
        <f>+(M350*26000)/0.829426</f>
        <v>39258957.399454564</v>
      </c>
      <c r="I350" s="5">
        <f>+G350-H350</f>
        <v>-3258957.3994545639</v>
      </c>
      <c r="J350" s="5">
        <v>3000000</v>
      </c>
      <c r="K350" s="5">
        <v>3300000</v>
      </c>
      <c r="L350" s="5">
        <v>3600000</v>
      </c>
      <c r="M350" s="7">
        <v>1252.4000000000001</v>
      </c>
      <c r="N350" s="5">
        <v>33500000</v>
      </c>
      <c r="O350" s="5">
        <v>36500000</v>
      </c>
      <c r="P350" s="3">
        <v>0.97916666666666663</v>
      </c>
    </row>
    <row r="351" spans="1:16" x14ac:dyDescent="0.25">
      <c r="A351" t="s">
        <v>231</v>
      </c>
      <c r="B351" s="2">
        <v>42880</v>
      </c>
      <c r="C351" t="str">
        <f>+"Tuáº§n "&amp;WEEKNUM(B351)</f>
        <v>Tuáº§n 21</v>
      </c>
      <c r="D351" t="s">
        <v>20</v>
      </c>
      <c r="E351" t="s">
        <v>17</v>
      </c>
      <c r="F351" s="5">
        <v>33100000</v>
      </c>
      <c r="G351" s="5">
        <v>36100000</v>
      </c>
      <c r="H351" s="5">
        <f>+(M351*26000)/0.829426</f>
        <v>39365537.130497478</v>
      </c>
      <c r="I351" s="5">
        <f>+G351-H351</f>
        <v>-3265537.1304974779</v>
      </c>
      <c r="J351" s="5">
        <v>3000000</v>
      </c>
      <c r="K351" s="5">
        <v>3310000</v>
      </c>
      <c r="L351" s="5">
        <v>3610000</v>
      </c>
      <c r="M351" s="7">
        <v>1255.8</v>
      </c>
      <c r="N351" s="5">
        <v>33600000</v>
      </c>
      <c r="O351" s="5">
        <v>36600000</v>
      </c>
      <c r="P351" s="3">
        <v>0.97916666666666663</v>
      </c>
    </row>
    <row r="352" spans="1:16" x14ac:dyDescent="0.25">
      <c r="A352" t="s">
        <v>232</v>
      </c>
      <c r="B352" s="2">
        <v>42881</v>
      </c>
      <c r="C352" t="str">
        <f>+"Tuáº§n "&amp;WEEKNUM(B352)</f>
        <v>Tuáº§n 21</v>
      </c>
      <c r="D352" t="s">
        <v>21</v>
      </c>
      <c r="E352" t="s">
        <v>17</v>
      </c>
      <c r="F352" s="5">
        <v>33400000</v>
      </c>
      <c r="G352" s="5">
        <v>36400000</v>
      </c>
      <c r="H352" s="5">
        <f>+(M352*26000)/0.829426</f>
        <v>39735431.491175823</v>
      </c>
      <c r="I352" s="5">
        <f>+G352-H352</f>
        <v>-3335431.4911758229</v>
      </c>
      <c r="J352" s="5">
        <v>3000000</v>
      </c>
      <c r="K352" s="5">
        <v>3340000</v>
      </c>
      <c r="L352" s="5">
        <v>3640000</v>
      </c>
      <c r="M352" s="7">
        <v>1267.5999999999999</v>
      </c>
      <c r="N352" s="5">
        <v>33900000</v>
      </c>
      <c r="O352" s="5">
        <v>36900000</v>
      </c>
      <c r="P352" s="3">
        <v>0.97916666666666663</v>
      </c>
    </row>
    <row r="353" spans="1:16" x14ac:dyDescent="0.25">
      <c r="A353" t="s">
        <v>233</v>
      </c>
      <c r="B353" s="2">
        <v>42885</v>
      </c>
      <c r="C353" t="str">
        <f>+"Tuáº§n "&amp;WEEKNUM(B353)</f>
        <v>Tuáº§n 22</v>
      </c>
      <c r="D353" t="s">
        <v>18</v>
      </c>
      <c r="E353" t="s">
        <v>17</v>
      </c>
      <c r="F353" s="5">
        <v>33300000</v>
      </c>
      <c r="G353" s="5">
        <v>36300000</v>
      </c>
      <c r="H353" s="5">
        <f>+(M353*26000)/0.829426</f>
        <v>39563023.102724046</v>
      </c>
      <c r="I353" s="5">
        <f>+G353-H353</f>
        <v>-3263023.1027240455</v>
      </c>
      <c r="J353" s="5">
        <v>3000000</v>
      </c>
      <c r="K353" s="5">
        <v>3330000</v>
      </c>
      <c r="L353" s="5">
        <v>3630000</v>
      </c>
      <c r="M353" s="7">
        <v>1262.0999999999999</v>
      </c>
      <c r="N353" s="5">
        <v>33800000</v>
      </c>
      <c r="O353" s="5">
        <v>36800000</v>
      </c>
      <c r="P353" s="3">
        <v>0.97916666666666663</v>
      </c>
    </row>
    <row r="354" spans="1:16" x14ac:dyDescent="0.25">
      <c r="A354" t="s">
        <v>234</v>
      </c>
      <c r="B354" s="2">
        <v>42886</v>
      </c>
      <c r="C354" t="str">
        <f>+"Tuáº§n "&amp;WEEKNUM(B354)</f>
        <v>Tuáº§n 22</v>
      </c>
      <c r="D354" t="s">
        <v>19</v>
      </c>
      <c r="E354" t="s">
        <v>17</v>
      </c>
      <c r="F354" s="5">
        <v>33600000</v>
      </c>
      <c r="G354" s="5">
        <v>36600000</v>
      </c>
      <c r="H354" s="5">
        <f>+(M354*26000)/0.829426</f>
        <v>39873358.201937243</v>
      </c>
      <c r="I354" s="5">
        <f>+G354-H354</f>
        <v>-3273358.2019372433</v>
      </c>
      <c r="J354" s="5">
        <v>3000000</v>
      </c>
      <c r="K354" s="5">
        <v>3360000</v>
      </c>
      <c r="L354" s="5">
        <v>3660000</v>
      </c>
      <c r="M354" s="7">
        <v>1272</v>
      </c>
      <c r="N354" s="5">
        <v>34100000</v>
      </c>
      <c r="O354" s="5">
        <v>37100000</v>
      </c>
      <c r="P354" s="3">
        <v>0.97916666666666663</v>
      </c>
    </row>
    <row r="355" spans="1:16" x14ac:dyDescent="0.25">
      <c r="A355" s="2">
        <v>42741</v>
      </c>
      <c r="B355" s="2">
        <v>42887</v>
      </c>
      <c r="C355" t="str">
        <f>+"Tuáº§n "&amp;WEEKNUM(B355)</f>
        <v>Tuáº§n 22</v>
      </c>
      <c r="D355" t="s">
        <v>20</v>
      </c>
      <c r="E355" t="s">
        <v>17</v>
      </c>
      <c r="F355" s="5">
        <v>33400000</v>
      </c>
      <c r="G355" s="5">
        <v>36400000</v>
      </c>
      <c r="H355" s="5">
        <f>+(M355*26000)/0.829426</f>
        <v>39716623.303344727</v>
      </c>
      <c r="I355" s="5">
        <f>+G355-H355</f>
        <v>-3316623.3033447266</v>
      </c>
      <c r="J355" s="5">
        <v>3000000</v>
      </c>
      <c r="K355" s="5">
        <v>3340000</v>
      </c>
      <c r="L355" s="5">
        <v>3640000</v>
      </c>
      <c r="M355" s="7">
        <v>1267</v>
      </c>
      <c r="N355" s="5">
        <v>33900000</v>
      </c>
      <c r="O355" s="5">
        <v>36900000</v>
      </c>
      <c r="P355" s="3">
        <v>0.97916666666666663</v>
      </c>
    </row>
    <row r="356" spans="1:16" x14ac:dyDescent="0.25">
      <c r="A356" s="2">
        <v>42772</v>
      </c>
      <c r="B356" s="2">
        <v>42888</v>
      </c>
      <c r="C356" t="str">
        <f>+"Tuáº§n "&amp;WEEKNUM(B356)</f>
        <v>Tuáº§n 22</v>
      </c>
      <c r="D356" t="s">
        <v>21</v>
      </c>
      <c r="E356" t="s">
        <v>17</v>
      </c>
      <c r="F356" s="5">
        <v>33700000</v>
      </c>
      <c r="G356" s="5">
        <v>36700000</v>
      </c>
      <c r="H356" s="5">
        <f>+(M356*26000)/0.829426</f>
        <v>40023823.704586066</v>
      </c>
      <c r="I356" s="5">
        <f>+G356-H356</f>
        <v>-3323823.7045860663</v>
      </c>
      <c r="J356" s="5">
        <v>3000000</v>
      </c>
      <c r="K356" s="5">
        <v>3370000</v>
      </c>
      <c r="L356" s="5">
        <v>3670000</v>
      </c>
      <c r="M356" s="7">
        <v>1276.8</v>
      </c>
      <c r="N356" s="5">
        <v>34200000</v>
      </c>
      <c r="O356" s="5">
        <v>37200000</v>
      </c>
      <c r="P356" s="3">
        <v>0.97916666666666663</v>
      </c>
    </row>
    <row r="357" spans="1:16" x14ac:dyDescent="0.25">
      <c r="A357" s="2">
        <v>42861</v>
      </c>
      <c r="B357" s="2">
        <v>42891</v>
      </c>
      <c r="C357" t="str">
        <f>+"Tuáº§n "&amp;WEEKNUM(B357)</f>
        <v>Tuáº§n 23</v>
      </c>
      <c r="D357" t="s">
        <v>16</v>
      </c>
      <c r="E357" t="s">
        <v>17</v>
      </c>
      <c r="F357" s="5">
        <v>33800000</v>
      </c>
      <c r="G357" s="5">
        <v>36800000</v>
      </c>
      <c r="H357" s="5">
        <f>+(M357*26000)/0.829426</f>
        <v>40102191.153882325</v>
      </c>
      <c r="I357" s="5">
        <f>+G357-H357</f>
        <v>-3302191.1538823247</v>
      </c>
      <c r="J357" s="5">
        <v>3000000</v>
      </c>
      <c r="K357" s="5">
        <v>3380000</v>
      </c>
      <c r="L357" s="5">
        <v>3680000</v>
      </c>
      <c r="M357" s="7">
        <v>1279.3</v>
      </c>
      <c r="N357" s="5">
        <v>34300000</v>
      </c>
      <c r="O357" s="5">
        <v>37300000</v>
      </c>
      <c r="P357" s="3">
        <v>0.97916666666666663</v>
      </c>
    </row>
    <row r="358" spans="1:16" x14ac:dyDescent="0.25">
      <c r="A358" s="2">
        <v>42892</v>
      </c>
      <c r="B358" s="2">
        <v>42892</v>
      </c>
      <c r="C358" t="str">
        <f>+"Tuáº§n "&amp;WEEKNUM(B358)</f>
        <v>Tuáº§n 23</v>
      </c>
      <c r="D358" t="s">
        <v>18</v>
      </c>
      <c r="E358" t="s">
        <v>17</v>
      </c>
      <c r="F358" s="5">
        <v>34200000</v>
      </c>
      <c r="G358" s="5">
        <v>37200000</v>
      </c>
      <c r="H358" s="5">
        <f>+(M358*26000)/0.829426</f>
        <v>40575530.547631733</v>
      </c>
      <c r="I358" s="5">
        <f>+G358-H358</f>
        <v>-3375530.5476317331</v>
      </c>
      <c r="J358" s="5">
        <v>3000000</v>
      </c>
      <c r="K358" s="5">
        <v>3420000</v>
      </c>
      <c r="L358" s="5">
        <v>3720000</v>
      </c>
      <c r="M358" s="7">
        <v>1294.4000000000001</v>
      </c>
      <c r="N358" s="5">
        <v>34700000</v>
      </c>
      <c r="O358" s="5">
        <v>37700000</v>
      </c>
      <c r="P358" s="3">
        <v>0.97916666666666663</v>
      </c>
    </row>
    <row r="359" spans="1:16" x14ac:dyDescent="0.25">
      <c r="A359" s="2">
        <v>42922</v>
      </c>
      <c r="B359" s="2">
        <v>42893</v>
      </c>
      <c r="C359" t="str">
        <f>+"Tuáº§n "&amp;WEEKNUM(B359)</f>
        <v>Tuáº§n 23</v>
      </c>
      <c r="D359" t="s">
        <v>19</v>
      </c>
      <c r="E359" t="s">
        <v>17</v>
      </c>
      <c r="F359" s="5">
        <v>34100000</v>
      </c>
      <c r="G359" s="5">
        <v>37100000</v>
      </c>
      <c r="H359" s="5">
        <f>+(M359*26000)/0.829426</f>
        <v>40440738.534842163</v>
      </c>
      <c r="I359" s="5">
        <f>+G359-H359</f>
        <v>-3340738.5348421633</v>
      </c>
      <c r="J359" s="5">
        <v>3000000</v>
      </c>
      <c r="K359" s="5">
        <v>3410000</v>
      </c>
      <c r="L359" s="5">
        <v>3710000</v>
      </c>
      <c r="M359" s="7">
        <v>1290.0999999999999</v>
      </c>
      <c r="N359" s="5">
        <v>34600000</v>
      </c>
      <c r="O359" s="5">
        <v>37600000</v>
      </c>
      <c r="P359" s="3">
        <v>0.97916666666666663</v>
      </c>
    </row>
    <row r="360" spans="1:16" x14ac:dyDescent="0.25">
      <c r="A360" s="2">
        <v>42953</v>
      </c>
      <c r="B360" s="2">
        <v>42894</v>
      </c>
      <c r="C360" t="str">
        <f>+"Tuáº§n "&amp;WEEKNUM(B360)</f>
        <v>Tuáº§n 23</v>
      </c>
      <c r="D360" t="s">
        <v>20</v>
      </c>
      <c r="E360" t="s">
        <v>17</v>
      </c>
      <c r="F360" s="5">
        <v>33700000</v>
      </c>
      <c r="G360" s="5">
        <v>36700000</v>
      </c>
      <c r="H360" s="5">
        <f>+(M360*26000)/0.829426</f>
        <v>40008150.214726813</v>
      </c>
      <c r="I360" s="5">
        <f>+G360-H360</f>
        <v>-3308150.2147268131</v>
      </c>
      <c r="J360" s="5">
        <v>3000000</v>
      </c>
      <c r="K360" s="5">
        <v>3370000</v>
      </c>
      <c r="L360" s="5">
        <v>3670000</v>
      </c>
      <c r="M360" s="7">
        <v>1276.3</v>
      </c>
      <c r="N360" s="5">
        <v>34200000</v>
      </c>
      <c r="O360" s="5">
        <v>37200000</v>
      </c>
      <c r="P360" s="3">
        <v>0.97916666666666663</v>
      </c>
    </row>
    <row r="361" spans="1:16" x14ac:dyDescent="0.25">
      <c r="A361" s="2">
        <v>42984</v>
      </c>
      <c r="B361" s="2">
        <v>42895</v>
      </c>
      <c r="C361" t="str">
        <f>+"Tuáº§n "&amp;WEEKNUM(B361)</f>
        <v>Tuáº§n 23</v>
      </c>
      <c r="D361" t="s">
        <v>21</v>
      </c>
      <c r="E361" t="s">
        <v>17</v>
      </c>
      <c r="F361" s="5">
        <v>33500000</v>
      </c>
      <c r="G361" s="5">
        <v>36500000</v>
      </c>
      <c r="H361" s="5">
        <f>+(M361*26000)/0.829426</f>
        <v>39763643.772922479</v>
      </c>
      <c r="I361" s="5">
        <f>+G361-H361</f>
        <v>-3263643.7729224786</v>
      </c>
      <c r="J361" s="5">
        <v>3000000</v>
      </c>
      <c r="K361" s="5">
        <v>3350000</v>
      </c>
      <c r="L361" s="5">
        <v>3650000</v>
      </c>
      <c r="M361" s="7">
        <v>1268.5</v>
      </c>
      <c r="N361" s="5">
        <v>34000000</v>
      </c>
      <c r="O361" s="5">
        <v>37000000</v>
      </c>
      <c r="P361" s="3">
        <v>0.97916666666666663</v>
      </c>
    </row>
    <row r="362" spans="1:16" x14ac:dyDescent="0.25">
      <c r="A362" s="2">
        <v>43075</v>
      </c>
      <c r="B362" s="2">
        <v>42898</v>
      </c>
      <c r="C362" t="str">
        <f>+"Tuáº§n "&amp;WEEKNUM(B362)</f>
        <v>Tuáº§n 24</v>
      </c>
      <c r="D362" t="s">
        <v>16</v>
      </c>
      <c r="E362" t="s">
        <v>17</v>
      </c>
      <c r="F362" s="5">
        <v>33400000</v>
      </c>
      <c r="G362" s="5">
        <v>36400000</v>
      </c>
      <c r="H362" s="5">
        <f>+(M362*26000)/0.829426</f>
        <v>39688411.021598063</v>
      </c>
      <c r="I362" s="5">
        <f>+G362-H362</f>
        <v>-3288411.0215980634</v>
      </c>
      <c r="J362" s="5">
        <v>3000000</v>
      </c>
      <c r="K362" s="5">
        <v>3340000</v>
      </c>
      <c r="L362" s="5">
        <v>3640000</v>
      </c>
      <c r="M362" s="7">
        <v>1266.0999999999999</v>
      </c>
      <c r="N362" s="5">
        <v>33900000</v>
      </c>
      <c r="O362" s="5">
        <v>36900000</v>
      </c>
      <c r="P362" s="3">
        <v>0.97916666666666663</v>
      </c>
    </row>
    <row r="363" spans="1:16" x14ac:dyDescent="0.25">
      <c r="A363" t="s">
        <v>235</v>
      </c>
      <c r="B363" s="2">
        <v>42899</v>
      </c>
      <c r="C363" t="str">
        <f>+"Tuáº§n "&amp;WEEKNUM(B363)</f>
        <v>Tuáº§n 24</v>
      </c>
      <c r="D363" t="s">
        <v>18</v>
      </c>
      <c r="E363" t="s">
        <v>17</v>
      </c>
      <c r="F363" s="5">
        <v>33400000</v>
      </c>
      <c r="G363" s="5">
        <v>36400000</v>
      </c>
      <c r="H363" s="5">
        <f>+(M363*26000)/0.829426</f>
        <v>39679006.927682519</v>
      </c>
      <c r="I363" s="5">
        <f>+G363-H363</f>
        <v>-3279006.927682519</v>
      </c>
      <c r="J363" s="5">
        <v>3000000</v>
      </c>
      <c r="K363" s="5">
        <v>3340000</v>
      </c>
      <c r="L363" s="5">
        <v>3640000</v>
      </c>
      <c r="M363" s="7">
        <v>1265.8</v>
      </c>
      <c r="N363" s="5">
        <v>33900000</v>
      </c>
      <c r="O363" s="5">
        <v>36900000</v>
      </c>
      <c r="P363" s="3">
        <v>0.97916666666666663</v>
      </c>
    </row>
    <row r="364" spans="1:16" x14ac:dyDescent="0.25">
      <c r="A364" t="s">
        <v>236</v>
      </c>
      <c r="B364" s="2">
        <v>42900</v>
      </c>
      <c r="C364" t="str">
        <f>+"Tuáº§n "&amp;WEEKNUM(B364)</f>
        <v>Tuáº§n 24</v>
      </c>
      <c r="D364" t="s">
        <v>19</v>
      </c>
      <c r="E364" t="s">
        <v>17</v>
      </c>
      <c r="F364" s="5">
        <v>33600000</v>
      </c>
      <c r="G364" s="5">
        <v>36600000</v>
      </c>
      <c r="H364" s="5">
        <f>+(M364*26000)/0.829426</f>
        <v>39898435.785712048</v>
      </c>
      <c r="I364" s="5">
        <f>+G364-H364</f>
        <v>-3298435.7857120484</v>
      </c>
      <c r="J364" s="5">
        <v>3000000</v>
      </c>
      <c r="K364" s="5">
        <v>3360000</v>
      </c>
      <c r="L364" s="5">
        <v>3660000</v>
      </c>
      <c r="M364" s="7">
        <v>1272.8</v>
      </c>
      <c r="N364" s="5">
        <v>34100000</v>
      </c>
      <c r="O364" s="5">
        <v>37100000</v>
      </c>
      <c r="P364" s="3">
        <v>0.97916666666666663</v>
      </c>
    </row>
    <row r="365" spans="1:16" x14ac:dyDescent="0.25">
      <c r="A365" t="s">
        <v>237</v>
      </c>
      <c r="B365" s="2">
        <v>42901</v>
      </c>
      <c r="C365" t="str">
        <f>+"Tuáº§n "&amp;WEEKNUM(B365)</f>
        <v>Tuáº§n 24</v>
      </c>
      <c r="D365" t="s">
        <v>20</v>
      </c>
      <c r="E365" t="s">
        <v>17</v>
      </c>
      <c r="F365" s="5">
        <v>33000000</v>
      </c>
      <c r="G365" s="5">
        <v>36000000</v>
      </c>
      <c r="H365" s="5">
        <f>+(M365*26000)/0.829426</f>
        <v>39252688.003510863</v>
      </c>
      <c r="I365" s="5">
        <f>+G365-H365</f>
        <v>-3252688.0035108626</v>
      </c>
      <c r="J365" s="5">
        <v>3000000</v>
      </c>
      <c r="K365" s="5">
        <v>3300000</v>
      </c>
      <c r="L365" s="5">
        <v>3600000</v>
      </c>
      <c r="M365" s="7">
        <v>1252.2</v>
      </c>
      <c r="N365" s="5">
        <v>33500000</v>
      </c>
      <c r="O365" s="5">
        <v>36500000</v>
      </c>
      <c r="P365" s="3">
        <v>0.97916666666666663</v>
      </c>
    </row>
    <row r="366" spans="1:16" x14ac:dyDescent="0.25">
      <c r="A366" t="s">
        <v>238</v>
      </c>
      <c r="B366" s="2">
        <v>42902</v>
      </c>
      <c r="C366" t="str">
        <f>+"Tuáº§n "&amp;WEEKNUM(B366)</f>
        <v>Tuáº§n 24</v>
      </c>
      <c r="D366" t="s">
        <v>21</v>
      </c>
      <c r="E366" t="s">
        <v>17</v>
      </c>
      <c r="F366" s="5">
        <v>33000000</v>
      </c>
      <c r="G366" s="5">
        <v>36000000</v>
      </c>
      <c r="H366" s="5">
        <f>+(M366*26000)/0.829426</f>
        <v>39309112.567004167</v>
      </c>
      <c r="I366" s="5">
        <f>+G366-H366</f>
        <v>-3309112.5670041665</v>
      </c>
      <c r="J366" s="5">
        <v>3000000</v>
      </c>
      <c r="K366" s="5">
        <v>3300000</v>
      </c>
      <c r="L366" s="5">
        <v>3600000</v>
      </c>
      <c r="M366" s="7">
        <v>1254</v>
      </c>
      <c r="N366" s="5">
        <v>33500000</v>
      </c>
      <c r="O366" s="5">
        <v>36500000</v>
      </c>
      <c r="P366" s="3">
        <v>0.97916666666666663</v>
      </c>
    </row>
    <row r="367" spans="1:16" x14ac:dyDescent="0.25">
      <c r="A367" t="s">
        <v>239</v>
      </c>
      <c r="B367" s="2">
        <v>42905</v>
      </c>
      <c r="C367" t="str">
        <f>+"Tuáº§n "&amp;WEEKNUM(B367)</f>
        <v>Tuáº§n 25</v>
      </c>
      <c r="D367" t="s">
        <v>16</v>
      </c>
      <c r="E367" t="s">
        <v>17</v>
      </c>
      <c r="F367" s="5">
        <v>32800000</v>
      </c>
      <c r="G367" s="5">
        <v>35800000</v>
      </c>
      <c r="H367" s="5">
        <f>+(M367*26000)/0.829426</f>
        <v>39001912.165762827</v>
      </c>
      <c r="I367" s="5">
        <f>+G367-H367</f>
        <v>-3201912.1657628268</v>
      </c>
      <c r="J367" s="5">
        <v>3000000</v>
      </c>
      <c r="K367" s="5">
        <v>3280000</v>
      </c>
      <c r="L367" s="5">
        <v>3580000</v>
      </c>
      <c r="M367" s="7">
        <v>1244.2</v>
      </c>
      <c r="N367" s="5">
        <v>33300000</v>
      </c>
      <c r="O367" s="5">
        <v>36300000</v>
      </c>
      <c r="P367" s="3">
        <v>0.97916666666666663</v>
      </c>
    </row>
    <row r="368" spans="1:16" x14ac:dyDescent="0.25">
      <c r="A368" t="s">
        <v>240</v>
      </c>
      <c r="B368" s="2">
        <v>42906</v>
      </c>
      <c r="C368" t="str">
        <f>+"Tuáº§n "&amp;WEEKNUM(B368)</f>
        <v>Tuáº§n 25</v>
      </c>
      <c r="D368" t="s">
        <v>18</v>
      </c>
      <c r="E368" t="s">
        <v>17</v>
      </c>
      <c r="F368" s="5">
        <v>32700000</v>
      </c>
      <c r="G368" s="5">
        <v>35700000</v>
      </c>
      <c r="H368" s="5">
        <f>+(M368*26000)/0.829426</f>
        <v>38901601.830663614</v>
      </c>
      <c r="I368" s="5">
        <f>+G368-H368</f>
        <v>-3201601.830663614</v>
      </c>
      <c r="J368" s="5">
        <v>3000000</v>
      </c>
      <c r="K368" s="5">
        <v>3270000</v>
      </c>
      <c r="L368" s="5">
        <v>3570000</v>
      </c>
      <c r="M368" s="7">
        <v>1241</v>
      </c>
      <c r="N368" s="5">
        <v>33200000</v>
      </c>
      <c r="O368" s="5">
        <v>36200000</v>
      </c>
      <c r="P368" s="3">
        <v>0.97916666666666663</v>
      </c>
    </row>
    <row r="369" spans="1:16" x14ac:dyDescent="0.25">
      <c r="A369" t="s">
        <v>241</v>
      </c>
      <c r="B369" s="2">
        <v>42907</v>
      </c>
      <c r="C369" t="str">
        <f>+"Tuáº§n "&amp;WEEKNUM(B369)</f>
        <v>Tuáº§n 25</v>
      </c>
      <c r="D369" t="s">
        <v>19</v>
      </c>
      <c r="E369" t="s">
        <v>17</v>
      </c>
      <c r="F369" s="5">
        <v>32700000</v>
      </c>
      <c r="G369" s="5">
        <v>35700000</v>
      </c>
      <c r="H369" s="5">
        <f>+(M369*26000)/0.829426</f>
        <v>38976834.581988029</v>
      </c>
      <c r="I369" s="5">
        <f>+G369-H369</f>
        <v>-3276834.5819880292</v>
      </c>
      <c r="J369" s="5">
        <v>3000000</v>
      </c>
      <c r="K369" s="5">
        <v>3270000</v>
      </c>
      <c r="L369" s="5">
        <v>3570000</v>
      </c>
      <c r="M369" s="7">
        <v>1243.4000000000001</v>
      </c>
      <c r="N369" s="5">
        <v>33200000</v>
      </c>
      <c r="O369" s="5">
        <v>36200000</v>
      </c>
      <c r="P369" s="3">
        <v>0.97916666666666663</v>
      </c>
    </row>
    <row r="370" spans="1:16" x14ac:dyDescent="0.25">
      <c r="A370" t="s">
        <v>242</v>
      </c>
      <c r="B370" s="2">
        <v>42908</v>
      </c>
      <c r="C370" t="str">
        <f>+"Tuáº§n "&amp;WEEKNUM(B370)</f>
        <v>Tuáº§n 25</v>
      </c>
      <c r="D370" t="s">
        <v>20</v>
      </c>
      <c r="E370" t="s">
        <v>17</v>
      </c>
      <c r="F370" s="5">
        <v>32900000</v>
      </c>
      <c r="G370" s="5">
        <v>35900000</v>
      </c>
      <c r="H370" s="5">
        <f>+(M370*26000)/0.829426</f>
        <v>39108491.896805741</v>
      </c>
      <c r="I370" s="5">
        <f>+G370-H370</f>
        <v>-3208491.8968057409</v>
      </c>
      <c r="J370" s="5">
        <v>3000000</v>
      </c>
      <c r="K370" s="5">
        <v>3290000</v>
      </c>
      <c r="L370" s="5">
        <v>3590000</v>
      </c>
      <c r="M370" s="7">
        <v>1247.5999999999999</v>
      </c>
      <c r="N370" s="5">
        <v>33400000</v>
      </c>
      <c r="O370" s="5">
        <v>36400000</v>
      </c>
      <c r="P370" s="3">
        <v>0.97916666666666663</v>
      </c>
    </row>
    <row r="371" spans="1:16" x14ac:dyDescent="0.25">
      <c r="A371" t="s">
        <v>243</v>
      </c>
      <c r="B371" s="2">
        <v>42909</v>
      </c>
      <c r="C371" t="str">
        <f>+"Tuáº§n "&amp;WEEKNUM(B371)</f>
        <v>Tuáº§n 25</v>
      </c>
      <c r="D371" t="s">
        <v>21</v>
      </c>
      <c r="E371" t="s">
        <v>17</v>
      </c>
      <c r="F371" s="5">
        <v>33100000</v>
      </c>
      <c r="G371" s="5">
        <v>36100000</v>
      </c>
      <c r="H371" s="5">
        <f>+(M371*26000)/0.829426</f>
        <v>39378075.92238488</v>
      </c>
      <c r="I371" s="5">
        <f>+G371-H371</f>
        <v>-3278075.9223848805</v>
      </c>
      <c r="J371" s="5">
        <v>3000000</v>
      </c>
      <c r="K371" s="5">
        <v>3310000</v>
      </c>
      <c r="L371" s="5">
        <v>3610000</v>
      </c>
      <c r="M371" s="7">
        <v>1256.2</v>
      </c>
      <c r="N371" s="5">
        <v>33600000</v>
      </c>
      <c r="O371" s="5">
        <v>36600000</v>
      </c>
      <c r="P371" s="3">
        <v>0.97916666666666663</v>
      </c>
    </row>
    <row r="372" spans="1:16" x14ac:dyDescent="0.25">
      <c r="A372" t="s">
        <v>244</v>
      </c>
      <c r="B372" s="2">
        <v>42912</v>
      </c>
      <c r="C372" t="str">
        <f>+"Tuáº§n "&amp;WEEKNUM(B372)</f>
        <v>Tuáº§n 26</v>
      </c>
      <c r="D372" t="s">
        <v>16</v>
      </c>
      <c r="E372" t="s">
        <v>17</v>
      </c>
      <c r="F372" s="5">
        <v>32800000</v>
      </c>
      <c r="G372" s="5">
        <v>35800000</v>
      </c>
      <c r="H372" s="5">
        <f>+(M372*26000)/0.829426</f>
        <v>39067740.82317169</v>
      </c>
      <c r="I372" s="5">
        <f>+G372-H372</f>
        <v>-3267740.8231716901</v>
      </c>
      <c r="J372" s="5">
        <v>3000000</v>
      </c>
      <c r="K372" s="5">
        <v>3280000</v>
      </c>
      <c r="L372" s="5">
        <v>3580000</v>
      </c>
      <c r="M372" s="7">
        <v>1246.3</v>
      </c>
      <c r="N372" s="5">
        <v>33300000</v>
      </c>
      <c r="O372" s="5">
        <v>36300000</v>
      </c>
      <c r="P372" s="3">
        <v>0.97916666666666663</v>
      </c>
    </row>
    <row r="373" spans="1:16" x14ac:dyDescent="0.25">
      <c r="A373" t="s">
        <v>245</v>
      </c>
      <c r="B373" s="2">
        <v>42913</v>
      </c>
      <c r="C373" t="str">
        <f>+"Tuáº§n "&amp;WEEKNUM(B373)</f>
        <v>Tuáº§n 26</v>
      </c>
      <c r="D373" t="s">
        <v>18</v>
      </c>
      <c r="E373" t="s">
        <v>17</v>
      </c>
      <c r="F373" s="5">
        <v>32800000</v>
      </c>
      <c r="G373" s="5">
        <v>35800000</v>
      </c>
      <c r="H373" s="5">
        <f>+(M373*26000)/0.829426</f>
        <v>39070875.521143541</v>
      </c>
      <c r="I373" s="5">
        <f>+G373-H373</f>
        <v>-3270875.5211435407</v>
      </c>
      <c r="J373" s="5">
        <v>3000000</v>
      </c>
      <c r="K373" s="5">
        <v>3280000</v>
      </c>
      <c r="L373" s="5">
        <v>3580000</v>
      </c>
      <c r="M373" s="7">
        <v>1246.4000000000001</v>
      </c>
      <c r="N373" s="5">
        <v>33300000</v>
      </c>
      <c r="O373" s="5">
        <v>36300000</v>
      </c>
      <c r="P373" s="3">
        <v>0.97916666666666663</v>
      </c>
    </row>
    <row r="374" spans="1:16" x14ac:dyDescent="0.25">
      <c r="A374" t="s">
        <v>246</v>
      </c>
      <c r="B374" s="2">
        <v>42914</v>
      </c>
      <c r="C374" t="str">
        <f>+"Tuáº§n "&amp;WEEKNUM(B374)</f>
        <v>Tuáº§n 26</v>
      </c>
      <c r="D374" t="s">
        <v>19</v>
      </c>
      <c r="E374" t="s">
        <v>17</v>
      </c>
      <c r="F374" s="5">
        <v>32900000</v>
      </c>
      <c r="G374" s="5">
        <v>35900000</v>
      </c>
      <c r="H374" s="5">
        <f>+(M374*26000)/0.829426</f>
        <v>39121030.688693143</v>
      </c>
      <c r="I374" s="5">
        <f>+G374-H374</f>
        <v>-3221030.6886931434</v>
      </c>
      <c r="J374" s="5">
        <v>3000000</v>
      </c>
      <c r="K374" s="5">
        <v>3290000</v>
      </c>
      <c r="L374" s="5">
        <v>3590000</v>
      </c>
      <c r="M374" s="7">
        <v>1248</v>
      </c>
      <c r="N374" s="5">
        <v>33400000</v>
      </c>
      <c r="O374" s="5">
        <v>36400000</v>
      </c>
      <c r="P374" s="3">
        <v>0.97916666666666663</v>
      </c>
    </row>
    <row r="375" spans="1:16" x14ac:dyDescent="0.25">
      <c r="A375" t="s">
        <v>247</v>
      </c>
      <c r="B375" s="2">
        <v>42915</v>
      </c>
      <c r="C375" t="str">
        <f>+"Tuáº§n "&amp;WEEKNUM(B375)</f>
        <v>Tuáº§n 26</v>
      </c>
      <c r="D375" t="s">
        <v>20</v>
      </c>
      <c r="E375" t="s">
        <v>17</v>
      </c>
      <c r="F375" s="5">
        <v>32800000</v>
      </c>
      <c r="G375" s="5">
        <v>35800000</v>
      </c>
      <c r="H375" s="5">
        <f>+(M375*26000)/0.829426</f>
        <v>39001912.165762827</v>
      </c>
      <c r="I375" s="5">
        <f>+G375-H375</f>
        <v>-3201912.1657628268</v>
      </c>
      <c r="J375" s="5">
        <v>3000000</v>
      </c>
      <c r="K375" s="5">
        <v>3280000</v>
      </c>
      <c r="L375" s="5">
        <v>3580000</v>
      </c>
      <c r="M375" s="7">
        <v>1244.2</v>
      </c>
      <c r="N375" s="5">
        <v>33300000</v>
      </c>
      <c r="O375" s="5">
        <v>36300000</v>
      </c>
      <c r="P375" s="3">
        <v>0.97916666666666663</v>
      </c>
    </row>
    <row r="376" spans="1:16" x14ac:dyDescent="0.25">
      <c r="A376" t="s">
        <v>248</v>
      </c>
      <c r="B376" s="2">
        <v>42916</v>
      </c>
      <c r="C376" t="str">
        <f>+"Tuáº§n "&amp;WEEKNUM(B376)</f>
        <v>Tuáº§n 26</v>
      </c>
      <c r="D376" t="s">
        <v>21</v>
      </c>
      <c r="E376" t="s">
        <v>17</v>
      </c>
      <c r="F376" s="5">
        <v>32700000</v>
      </c>
      <c r="G376" s="5">
        <v>35700000</v>
      </c>
      <c r="H376" s="5">
        <f>+(M376*26000)/0.829426</f>
        <v>38892197.736748062</v>
      </c>
      <c r="I376" s="5">
        <f>+G376-H376</f>
        <v>-3192197.7367480621</v>
      </c>
      <c r="J376" s="5">
        <v>3000000</v>
      </c>
      <c r="K376" s="5">
        <v>3270000</v>
      </c>
      <c r="L376" s="5">
        <v>3570000</v>
      </c>
      <c r="M376" s="7">
        <v>1240.7</v>
      </c>
      <c r="N376" s="5">
        <v>33200000</v>
      </c>
      <c r="O376" s="5">
        <v>36200000</v>
      </c>
      <c r="P376" s="3">
        <v>0.97916666666666663</v>
      </c>
    </row>
    <row r="377" spans="1:16" x14ac:dyDescent="0.25">
      <c r="A377" s="2">
        <v>42801</v>
      </c>
      <c r="B377" s="2">
        <v>42919</v>
      </c>
      <c r="C377" t="str">
        <f>+"Tuáº§n "&amp;WEEKNUM(B377)</f>
        <v>Tuáº§n 27</v>
      </c>
      <c r="D377" t="s">
        <v>16</v>
      </c>
      <c r="E377" t="s">
        <v>17</v>
      </c>
      <c r="F377" s="5">
        <v>32000000</v>
      </c>
      <c r="G377" s="5">
        <v>35000000</v>
      </c>
      <c r="H377" s="5">
        <f>+(M377*26000)/0.829426</f>
        <v>38177486.599166177</v>
      </c>
      <c r="I377" s="5">
        <f>+G377-H377</f>
        <v>-3177486.5991661772</v>
      </c>
      <c r="J377" s="5">
        <v>3000000</v>
      </c>
      <c r="K377" s="5">
        <v>3200000</v>
      </c>
      <c r="L377" s="5">
        <v>3500000</v>
      </c>
      <c r="M377" s="7">
        <v>1217.9000000000001</v>
      </c>
      <c r="N377" s="5">
        <v>32500000</v>
      </c>
      <c r="O377" s="5">
        <v>35500000</v>
      </c>
      <c r="P377" s="3">
        <v>0.97916666666666663</v>
      </c>
    </row>
    <row r="378" spans="1:16" x14ac:dyDescent="0.25">
      <c r="A378" s="2">
        <v>42862</v>
      </c>
      <c r="B378" s="2">
        <v>42921</v>
      </c>
      <c r="C378" t="str">
        <f>+"Tuáº§n "&amp;WEEKNUM(B378)</f>
        <v>Tuáº§n 27</v>
      </c>
      <c r="D378" t="s">
        <v>19</v>
      </c>
      <c r="E378" t="s">
        <v>17</v>
      </c>
      <c r="F378" s="5">
        <v>32100000</v>
      </c>
      <c r="G378" s="5">
        <v>35100000</v>
      </c>
      <c r="H378" s="5">
        <f>+(M378*26000)/0.829426</f>
        <v>38255854.048462436</v>
      </c>
      <c r="I378" s="5">
        <f>+G378-H378</f>
        <v>-3155854.0484624356</v>
      </c>
      <c r="J378" s="5">
        <v>3000000</v>
      </c>
      <c r="K378" s="5">
        <v>3210000</v>
      </c>
      <c r="L378" s="5">
        <v>3510000</v>
      </c>
      <c r="M378" s="7">
        <v>1220.4000000000001</v>
      </c>
      <c r="N378" s="5">
        <v>32600000</v>
      </c>
      <c r="O378" s="5">
        <v>35600000</v>
      </c>
      <c r="P378" s="3">
        <v>0.97916666666666663</v>
      </c>
    </row>
    <row r="379" spans="1:16" x14ac:dyDescent="0.25">
      <c r="A379" s="2">
        <v>42893</v>
      </c>
      <c r="B379" s="2">
        <v>42922</v>
      </c>
      <c r="C379" t="str">
        <f>+"Tuáº§n "&amp;WEEKNUM(B379)</f>
        <v>Tuáº§n 27</v>
      </c>
      <c r="D379" t="s">
        <v>20</v>
      </c>
      <c r="E379" t="s">
        <v>17</v>
      </c>
      <c r="F379" s="5">
        <v>32100000</v>
      </c>
      <c r="G379" s="5">
        <v>35100000</v>
      </c>
      <c r="H379" s="5">
        <f>+(M379*26000)/0.829426</f>
        <v>38312278.61195574</v>
      </c>
      <c r="I379" s="5">
        <f>+G379-H379</f>
        <v>-3212278.6119557396</v>
      </c>
      <c r="J379" s="5">
        <v>3000000</v>
      </c>
      <c r="K379" s="5">
        <v>3210000</v>
      </c>
      <c r="L379" s="5">
        <v>3510000</v>
      </c>
      <c r="M379" s="7">
        <v>1222.2</v>
      </c>
      <c r="N379" s="5">
        <v>32600000</v>
      </c>
      <c r="O379" s="5">
        <v>35600000</v>
      </c>
      <c r="P379" s="3">
        <v>0.97916666666666663</v>
      </c>
    </row>
    <row r="380" spans="1:16" x14ac:dyDescent="0.25">
      <c r="A380" s="2">
        <v>42923</v>
      </c>
      <c r="B380" s="2">
        <v>42923</v>
      </c>
      <c r="C380" t="str">
        <f>+"Tuáº§n "&amp;WEEKNUM(B380)</f>
        <v>Tuáº§n 27</v>
      </c>
      <c r="D380" t="s">
        <v>21</v>
      </c>
      <c r="E380" t="s">
        <v>17</v>
      </c>
      <c r="F380" s="5">
        <v>31700000</v>
      </c>
      <c r="G380" s="5">
        <v>34700000</v>
      </c>
      <c r="H380" s="5">
        <f>+(M380*26000)/0.829426</f>
        <v>37885959.687784076</v>
      </c>
      <c r="I380" s="5">
        <f>+G380-H380</f>
        <v>-3185959.6877840757</v>
      </c>
      <c r="J380" s="5">
        <v>3000000</v>
      </c>
      <c r="K380" s="5">
        <v>3170000</v>
      </c>
      <c r="L380" s="5">
        <v>3470000</v>
      </c>
      <c r="M380" s="7">
        <v>1208.5999999999999</v>
      </c>
      <c r="N380" s="5">
        <v>32200000</v>
      </c>
      <c r="O380" s="5">
        <v>35200000</v>
      </c>
      <c r="P380" s="3">
        <v>0.97916666666666663</v>
      </c>
    </row>
    <row r="381" spans="1:16" x14ac:dyDescent="0.25">
      <c r="A381" s="2">
        <v>43015</v>
      </c>
      <c r="B381" s="2">
        <v>42926</v>
      </c>
      <c r="C381" t="str">
        <f>+"Tuáº§n "&amp;WEEKNUM(B381)</f>
        <v>Tuáº§n 28</v>
      </c>
      <c r="D381" t="s">
        <v>16</v>
      </c>
      <c r="E381" t="s">
        <v>17</v>
      </c>
      <c r="F381" s="5">
        <v>31800000</v>
      </c>
      <c r="G381" s="5">
        <v>34800000</v>
      </c>
      <c r="H381" s="5">
        <f>+(M381*26000)/0.829426</f>
        <v>37995674.11679884</v>
      </c>
      <c r="I381" s="5">
        <f>+G381-H381</f>
        <v>-3195674.1167988405</v>
      </c>
      <c r="J381" s="5">
        <v>3000000</v>
      </c>
      <c r="K381" s="5">
        <v>3180000</v>
      </c>
      <c r="L381" s="5">
        <v>3480000</v>
      </c>
      <c r="M381" s="7">
        <v>1212.0999999999999</v>
      </c>
      <c r="N381" s="5">
        <v>32300000</v>
      </c>
      <c r="O381" s="5">
        <v>35300000</v>
      </c>
      <c r="P381" s="3">
        <v>0.97916666666666663</v>
      </c>
    </row>
    <row r="382" spans="1:16" x14ac:dyDescent="0.25">
      <c r="A382" s="2">
        <v>43046</v>
      </c>
      <c r="B382" s="2">
        <v>42927</v>
      </c>
      <c r="C382" t="str">
        <f>+"Tuáº§n "&amp;WEEKNUM(B382)</f>
        <v>Tuáº§n 28</v>
      </c>
      <c r="D382" t="s">
        <v>18</v>
      </c>
      <c r="E382" t="s">
        <v>17</v>
      </c>
      <c r="F382" s="5">
        <v>31900000</v>
      </c>
      <c r="G382" s="5">
        <v>34900000</v>
      </c>
      <c r="H382" s="5">
        <f>+(M382*26000)/0.829426</f>
        <v>38042694.5863766</v>
      </c>
      <c r="I382" s="5">
        <f>+G382-H382</f>
        <v>-3142694.5863766</v>
      </c>
      <c r="J382" s="5">
        <v>3000000</v>
      </c>
      <c r="K382" s="5">
        <v>3190000</v>
      </c>
      <c r="L382" s="5">
        <v>3490000</v>
      </c>
      <c r="M382" s="7">
        <v>1213.5999999999999</v>
      </c>
      <c r="N382" s="5">
        <v>32400000</v>
      </c>
      <c r="O382" s="5">
        <v>35400000</v>
      </c>
      <c r="P382" s="3">
        <v>0.97916666666666663</v>
      </c>
    </row>
    <row r="383" spans="1:16" x14ac:dyDescent="0.25">
      <c r="A383" s="2">
        <v>43076</v>
      </c>
      <c r="B383" s="2">
        <v>42928</v>
      </c>
      <c r="C383" t="str">
        <f>+"Tuáº§n "&amp;WEEKNUM(B383)</f>
        <v>Tuáº§n 28</v>
      </c>
      <c r="D383" t="s">
        <v>19</v>
      </c>
      <c r="E383" t="s">
        <v>17</v>
      </c>
      <c r="F383" s="5">
        <v>32000000</v>
      </c>
      <c r="G383" s="5">
        <v>35000000</v>
      </c>
      <c r="H383" s="5">
        <f>+(M383*26000)/0.829426</f>
        <v>38183755.995109864</v>
      </c>
      <c r="I383" s="5">
        <f>+G383-H383</f>
        <v>-3183755.9951098636</v>
      </c>
      <c r="J383" s="5">
        <v>3000000</v>
      </c>
      <c r="K383" s="5">
        <v>3200000</v>
      </c>
      <c r="L383" s="5">
        <v>3500000</v>
      </c>
      <c r="M383" s="7">
        <v>1218.0999999999999</v>
      </c>
      <c r="N383" s="5">
        <v>32500000</v>
      </c>
      <c r="O383" s="5">
        <v>35500000</v>
      </c>
      <c r="P383" s="3">
        <v>0.97916666666666663</v>
      </c>
    </row>
    <row r="384" spans="1:16" x14ac:dyDescent="0.25">
      <c r="A384" t="s">
        <v>249</v>
      </c>
      <c r="B384" s="2">
        <v>42929</v>
      </c>
      <c r="C384" t="str">
        <f>+"Tuáº§n "&amp;WEEKNUM(B384)</f>
        <v>Tuáº§n 28</v>
      </c>
      <c r="D384" t="s">
        <v>20</v>
      </c>
      <c r="E384" t="s">
        <v>17</v>
      </c>
      <c r="F384" s="5">
        <v>32000000</v>
      </c>
      <c r="G384" s="5">
        <v>35000000</v>
      </c>
      <c r="H384" s="5">
        <f>+(M384*26000)/0.829426</f>
        <v>38127331.431616567</v>
      </c>
      <c r="I384" s="5">
        <f>+G384-H384</f>
        <v>-3127331.4316165671</v>
      </c>
      <c r="J384" s="5">
        <v>3000000</v>
      </c>
      <c r="K384" s="5">
        <v>3200000</v>
      </c>
      <c r="L384" s="5">
        <v>3500000</v>
      </c>
      <c r="M384" s="7">
        <v>1216.3</v>
      </c>
      <c r="N384" s="5">
        <v>32500000</v>
      </c>
      <c r="O384" s="5">
        <v>35500000</v>
      </c>
      <c r="P384" s="3">
        <v>0.97916666666666663</v>
      </c>
    </row>
    <row r="385" spans="1:16" x14ac:dyDescent="0.25">
      <c r="A385" t="s">
        <v>250</v>
      </c>
      <c r="B385" s="2">
        <v>42930</v>
      </c>
      <c r="C385" t="str">
        <f>+"Tuáº§n "&amp;WEEKNUM(B385)</f>
        <v>Tuáº§n 28</v>
      </c>
      <c r="D385" t="s">
        <v>21</v>
      </c>
      <c r="E385" t="s">
        <v>17</v>
      </c>
      <c r="F385" s="5">
        <v>32200000</v>
      </c>
      <c r="G385" s="5">
        <v>35200000</v>
      </c>
      <c r="H385" s="5">
        <f>+(M385*26000)/0.829426</f>
        <v>38450205.322717153</v>
      </c>
      <c r="I385" s="5">
        <f>+G385-H385</f>
        <v>-3250205.3227171525</v>
      </c>
      <c r="J385" s="5">
        <v>3000000</v>
      </c>
      <c r="K385" s="5">
        <v>3220000</v>
      </c>
      <c r="L385" s="5">
        <v>3520000</v>
      </c>
      <c r="M385" s="7">
        <v>1226.5999999999999</v>
      </c>
      <c r="N385" s="5">
        <v>32700000</v>
      </c>
      <c r="O385" s="5">
        <v>35700000</v>
      </c>
      <c r="P385" s="3">
        <v>0.97916666666666663</v>
      </c>
    </row>
    <row r="386" spans="1:16" x14ac:dyDescent="0.25">
      <c r="A386" t="s">
        <v>251</v>
      </c>
      <c r="B386" s="2">
        <v>42933</v>
      </c>
      <c r="C386" t="str">
        <f>+"Tuáº§n "&amp;WEEKNUM(B386)</f>
        <v>Tuáº§n 29</v>
      </c>
      <c r="D386" t="s">
        <v>16</v>
      </c>
      <c r="E386" t="s">
        <v>17</v>
      </c>
      <c r="F386" s="5">
        <v>32400000</v>
      </c>
      <c r="G386" s="5">
        <v>35400000</v>
      </c>
      <c r="H386" s="5">
        <f>+(M386*26000)/0.829426</f>
        <v>38644556.596971884</v>
      </c>
      <c r="I386" s="5">
        <f>+G386-H386</f>
        <v>-3244556.5969718844</v>
      </c>
      <c r="J386" s="5">
        <v>3000000</v>
      </c>
      <c r="K386" s="5">
        <v>3240000</v>
      </c>
      <c r="L386" s="5">
        <v>3540000</v>
      </c>
      <c r="M386" s="7">
        <v>1232.8</v>
      </c>
      <c r="N386" s="5">
        <v>32900000</v>
      </c>
      <c r="O386" s="5">
        <v>35900000</v>
      </c>
      <c r="P386" s="3">
        <v>0.97916666666666663</v>
      </c>
    </row>
    <row r="387" spans="1:16" x14ac:dyDescent="0.25">
      <c r="A387" t="s">
        <v>252</v>
      </c>
      <c r="B387" s="2">
        <v>42934</v>
      </c>
      <c r="C387" t="str">
        <f>+"Tuáº§n "&amp;WEEKNUM(B387)</f>
        <v>Tuáº§n 29</v>
      </c>
      <c r="D387" t="s">
        <v>18</v>
      </c>
      <c r="E387" t="s">
        <v>17</v>
      </c>
      <c r="F387" s="5">
        <v>32700000</v>
      </c>
      <c r="G387" s="5">
        <v>35700000</v>
      </c>
      <c r="H387" s="5">
        <f>+(M387*26000)/0.829426</f>
        <v>38904736.528635465</v>
      </c>
      <c r="I387" s="5">
        <f>+G387-H387</f>
        <v>-3204736.5286354646</v>
      </c>
      <c r="J387" s="5">
        <v>3000000</v>
      </c>
      <c r="K387" s="5">
        <v>3270000</v>
      </c>
      <c r="L387" s="5">
        <v>3570000</v>
      </c>
      <c r="M387" s="7">
        <v>1241.0999999999999</v>
      </c>
      <c r="N387" s="5">
        <v>33200000</v>
      </c>
      <c r="O387" s="5">
        <v>36200000</v>
      </c>
      <c r="P387" s="3">
        <v>0.97916666666666663</v>
      </c>
    </row>
    <row r="388" spans="1:16" x14ac:dyDescent="0.25">
      <c r="A388" t="s">
        <v>253</v>
      </c>
      <c r="B388" s="2">
        <v>42935</v>
      </c>
      <c r="C388" t="str">
        <f>+"Tuáº§n "&amp;WEEKNUM(B388)</f>
        <v>Tuáº§n 29</v>
      </c>
      <c r="D388" t="s">
        <v>19</v>
      </c>
      <c r="E388" t="s">
        <v>17</v>
      </c>
      <c r="F388" s="5">
        <v>32700000</v>
      </c>
      <c r="G388" s="5">
        <v>35700000</v>
      </c>
      <c r="H388" s="5">
        <f>+(M388*26000)/0.829426</f>
        <v>38907871.226607315</v>
      </c>
      <c r="I388" s="5">
        <f>+G388-H388</f>
        <v>-3207871.2266073152</v>
      </c>
      <c r="J388" s="5">
        <v>3000000</v>
      </c>
      <c r="K388" s="5">
        <v>3270000</v>
      </c>
      <c r="L388" s="5">
        <v>3570000</v>
      </c>
      <c r="M388" s="7">
        <v>1241.2</v>
      </c>
      <c r="N388" s="5">
        <v>33200000</v>
      </c>
      <c r="O388" s="5">
        <v>36200000</v>
      </c>
      <c r="P388" s="3">
        <v>0.97916666666666663</v>
      </c>
    </row>
    <row r="389" spans="1:16" x14ac:dyDescent="0.25">
      <c r="A389" t="s">
        <v>254</v>
      </c>
      <c r="B389" s="2">
        <v>42936</v>
      </c>
      <c r="C389" t="str">
        <f>+"Tuáº§n "&amp;WEEKNUM(B389)</f>
        <v>Tuáº§n 29</v>
      </c>
      <c r="D389" t="s">
        <v>20</v>
      </c>
      <c r="E389" t="s">
        <v>17</v>
      </c>
      <c r="F389" s="5">
        <v>32800000</v>
      </c>
      <c r="G389" s="5">
        <v>35800000</v>
      </c>
      <c r="H389" s="5">
        <f>+(M389*26000)/0.829426</f>
        <v>39020720.353593931</v>
      </c>
      <c r="I389" s="5">
        <f>+G389-H389</f>
        <v>-3220720.3535939306</v>
      </c>
      <c r="J389" s="5">
        <v>3000000</v>
      </c>
      <c r="K389" s="5">
        <v>3280000</v>
      </c>
      <c r="L389" s="5">
        <v>3580000</v>
      </c>
      <c r="M389" s="7">
        <v>1244.8</v>
      </c>
      <c r="N389" s="5">
        <v>33300000</v>
      </c>
      <c r="O389" s="5">
        <v>36300000</v>
      </c>
      <c r="P389" s="3">
        <v>0.97916666666666663</v>
      </c>
    </row>
    <row r="390" spans="1:16" x14ac:dyDescent="0.25">
      <c r="A390" t="s">
        <v>255</v>
      </c>
      <c r="B390" s="2">
        <v>42937</v>
      </c>
      <c r="C390" t="str">
        <f>+"Tuáº§n "&amp;WEEKNUM(B390)</f>
        <v>Tuáº§n 29</v>
      </c>
      <c r="D390" t="s">
        <v>21</v>
      </c>
      <c r="E390" t="s">
        <v>17</v>
      </c>
      <c r="F390" s="5">
        <v>33000000</v>
      </c>
      <c r="G390" s="5">
        <v>36000000</v>
      </c>
      <c r="H390" s="5">
        <f>+(M390*26000)/0.829426</f>
        <v>39318516.660919718</v>
      </c>
      <c r="I390" s="5">
        <f>+G390-H390</f>
        <v>-3318516.6609197184</v>
      </c>
      <c r="J390" s="5">
        <v>3000000</v>
      </c>
      <c r="K390" s="5">
        <v>3300000</v>
      </c>
      <c r="L390" s="5">
        <v>3600000</v>
      </c>
      <c r="M390" s="7">
        <v>1254.3</v>
      </c>
      <c r="N390" s="5">
        <v>33500000</v>
      </c>
      <c r="O390" s="5">
        <v>36500000</v>
      </c>
      <c r="P390" s="3">
        <v>0.97916666666666663</v>
      </c>
    </row>
    <row r="391" spans="1:16" x14ac:dyDescent="0.25">
      <c r="A391" t="s">
        <v>256</v>
      </c>
      <c r="B391" s="2">
        <v>42940</v>
      </c>
      <c r="C391" t="str">
        <f>+"Tuáº§n "&amp;WEEKNUM(B391)</f>
        <v>Tuáº§n 30</v>
      </c>
      <c r="D391" t="s">
        <v>16</v>
      </c>
      <c r="E391" t="s">
        <v>17</v>
      </c>
      <c r="F391" s="5">
        <v>33000000</v>
      </c>
      <c r="G391" s="5">
        <v>36000000</v>
      </c>
      <c r="H391" s="5">
        <f>+(M391*26000)/0.829426</f>
        <v>39305977.869032323</v>
      </c>
      <c r="I391" s="5">
        <f>+G391-H391</f>
        <v>-3305977.8690323234</v>
      </c>
      <c r="J391" s="5">
        <v>3000000</v>
      </c>
      <c r="K391" s="5">
        <v>3300000</v>
      </c>
      <c r="L391" s="5">
        <v>3600000</v>
      </c>
      <c r="M391" s="7">
        <v>1253.9000000000001</v>
      </c>
      <c r="N391" s="5">
        <v>33500000</v>
      </c>
      <c r="O391" s="5">
        <v>36500000</v>
      </c>
      <c r="P391" s="3">
        <v>0.97916666666666663</v>
      </c>
    </row>
    <row r="392" spans="1:16" x14ac:dyDescent="0.25">
      <c r="A392" t="s">
        <v>257</v>
      </c>
      <c r="B392" s="2">
        <v>42941</v>
      </c>
      <c r="C392" t="str">
        <f>+"Tuáº§n "&amp;WEEKNUM(B392)</f>
        <v>Tuáº§n 30</v>
      </c>
      <c r="D392" t="s">
        <v>18</v>
      </c>
      <c r="E392" t="s">
        <v>17</v>
      </c>
      <c r="F392" s="5">
        <v>33000000</v>
      </c>
      <c r="G392" s="5">
        <v>36000000</v>
      </c>
      <c r="H392" s="5">
        <f>+(M392*26000)/0.829426</f>
        <v>39237014.513651609</v>
      </c>
      <c r="I392" s="5">
        <f>+G392-H392</f>
        <v>-3237014.5136516094</v>
      </c>
      <c r="J392" s="5">
        <v>3000000</v>
      </c>
      <c r="K392" s="5">
        <v>3300000</v>
      </c>
      <c r="L392" s="5">
        <v>3600000</v>
      </c>
      <c r="M392" s="7">
        <v>1251.7</v>
      </c>
      <c r="N392" s="5">
        <v>33500000</v>
      </c>
      <c r="O392" s="5">
        <v>36500000</v>
      </c>
      <c r="P392" s="3">
        <v>0.97916666666666663</v>
      </c>
    </row>
    <row r="393" spans="1:16" x14ac:dyDescent="0.25">
      <c r="A393" t="s">
        <v>258</v>
      </c>
      <c r="B393" s="2">
        <v>42942</v>
      </c>
      <c r="C393" t="str">
        <f>+"Tuáº§n "&amp;WEEKNUM(B393)</f>
        <v>Tuáº§n 30</v>
      </c>
      <c r="D393" t="s">
        <v>19</v>
      </c>
      <c r="E393" t="s">
        <v>17</v>
      </c>
      <c r="F393" s="5">
        <v>32900000</v>
      </c>
      <c r="G393" s="5">
        <v>35900000</v>
      </c>
      <c r="H393" s="5">
        <f>+(M393*26000)/0.829426</f>
        <v>39152377.66841165</v>
      </c>
      <c r="I393" s="5">
        <f>+G393-H393</f>
        <v>-3252377.6684116498</v>
      </c>
      <c r="J393" s="5">
        <v>3000000</v>
      </c>
      <c r="K393" s="5">
        <v>3290000</v>
      </c>
      <c r="L393" s="5">
        <v>3590000</v>
      </c>
      <c r="M393" s="7">
        <v>1249</v>
      </c>
      <c r="N393" s="5">
        <v>33400000</v>
      </c>
      <c r="O393" s="5">
        <v>36400000</v>
      </c>
      <c r="P393" s="3">
        <v>0.97916666666666663</v>
      </c>
    </row>
    <row r="394" spans="1:16" x14ac:dyDescent="0.25">
      <c r="A394" t="s">
        <v>259</v>
      </c>
      <c r="B394" s="2">
        <v>42943</v>
      </c>
      <c r="C394" t="str">
        <f>+"Tuáº§n "&amp;WEEKNUM(B394)</f>
        <v>Tuáº§n 30</v>
      </c>
      <c r="D394" t="s">
        <v>20</v>
      </c>
      <c r="E394" t="s">
        <v>17</v>
      </c>
      <c r="F394" s="5">
        <v>33200000</v>
      </c>
      <c r="G394" s="5">
        <v>36200000</v>
      </c>
      <c r="H394" s="5">
        <f>+(M394*26000)/0.829426</f>
        <v>39484655.653427787</v>
      </c>
      <c r="I394" s="5">
        <f>+G394-H394</f>
        <v>-3284655.6534277871</v>
      </c>
      <c r="J394" s="5">
        <v>3000000</v>
      </c>
      <c r="K394" s="5">
        <v>3320000</v>
      </c>
      <c r="L394" s="5">
        <v>3620000</v>
      </c>
      <c r="M394" s="7">
        <v>1259.5999999999999</v>
      </c>
      <c r="N394" s="5">
        <v>33700000</v>
      </c>
      <c r="O394" s="5">
        <v>36700000</v>
      </c>
      <c r="P394" s="3">
        <v>0.97916666666666663</v>
      </c>
    </row>
    <row r="395" spans="1:16" x14ac:dyDescent="0.25">
      <c r="A395" t="s">
        <v>260</v>
      </c>
      <c r="B395" s="2">
        <v>42944</v>
      </c>
      <c r="C395" t="str">
        <f>+"Tuáº§n "&amp;WEEKNUM(B395)</f>
        <v>Tuáº§n 30</v>
      </c>
      <c r="D395" t="s">
        <v>21</v>
      </c>
      <c r="E395" t="s">
        <v>17</v>
      </c>
      <c r="F395" s="5">
        <v>33400000</v>
      </c>
      <c r="G395" s="5">
        <v>36400000</v>
      </c>
      <c r="H395" s="5">
        <f>+(M395*26000)/0.829426</f>
        <v>39760509.074950635</v>
      </c>
      <c r="I395" s="5">
        <f>+G395-H395</f>
        <v>-3360509.0749506354</v>
      </c>
      <c r="J395" s="5">
        <v>3000000</v>
      </c>
      <c r="K395" s="5">
        <v>3340000</v>
      </c>
      <c r="L395" s="5">
        <v>3640000</v>
      </c>
      <c r="M395" s="7">
        <v>1268.4000000000001</v>
      </c>
      <c r="N395" s="5">
        <v>33900000</v>
      </c>
      <c r="O395" s="5">
        <v>36900000</v>
      </c>
      <c r="P395" s="3">
        <v>0.97916666666666663</v>
      </c>
    </row>
    <row r="396" spans="1:16" x14ac:dyDescent="0.25">
      <c r="A396" t="s">
        <v>261</v>
      </c>
      <c r="B396" s="2">
        <v>42947</v>
      </c>
      <c r="C396" t="str">
        <f>+"Tuáº§n "&amp;WEEKNUM(B396)</f>
        <v>Tuáº§n 31</v>
      </c>
      <c r="D396" t="s">
        <v>16</v>
      </c>
      <c r="E396" t="s">
        <v>17</v>
      </c>
      <c r="F396" s="5">
        <v>33400000</v>
      </c>
      <c r="G396" s="5">
        <v>36400000</v>
      </c>
      <c r="H396" s="5">
        <f>+(M396*26000)/0.829426</f>
        <v>39704084.511457317</v>
      </c>
      <c r="I396" s="5">
        <f>+G396-H396</f>
        <v>-3304084.5114573166</v>
      </c>
      <c r="J396" s="5">
        <v>3000000</v>
      </c>
      <c r="K396" s="5">
        <v>3340000</v>
      </c>
      <c r="L396" s="5">
        <v>3640000</v>
      </c>
      <c r="M396" s="7">
        <v>1266.5999999999999</v>
      </c>
      <c r="N396" s="5">
        <v>33900000</v>
      </c>
      <c r="O396" s="5">
        <v>36900000</v>
      </c>
      <c r="P396" s="3">
        <v>0.97916666666666663</v>
      </c>
    </row>
    <row r="397" spans="1:16" x14ac:dyDescent="0.25">
      <c r="A397" s="2">
        <v>42743</v>
      </c>
      <c r="B397" s="2">
        <v>42948</v>
      </c>
      <c r="C397" t="str">
        <f>+"Tuáº§n "&amp;WEEKNUM(B397)</f>
        <v>Tuáº§n 31</v>
      </c>
      <c r="D397" t="s">
        <v>18</v>
      </c>
      <c r="E397" t="s">
        <v>17</v>
      </c>
      <c r="F397" s="5">
        <v>33600000</v>
      </c>
      <c r="G397" s="5">
        <v>36600000</v>
      </c>
      <c r="H397" s="5">
        <f>+(M397*26000)/0.829426</f>
        <v>39892166.38976834</v>
      </c>
      <c r="I397" s="5">
        <f>+G397-H397</f>
        <v>-3292166.3897683397</v>
      </c>
      <c r="J397" s="5">
        <v>3000000</v>
      </c>
      <c r="K397" s="5">
        <v>3360000</v>
      </c>
      <c r="L397" s="5">
        <v>3660000</v>
      </c>
      <c r="M397" s="7">
        <v>1272.5999999999999</v>
      </c>
      <c r="N397" s="5">
        <v>34100000</v>
      </c>
      <c r="O397" s="5">
        <v>37100000</v>
      </c>
      <c r="P397" s="3">
        <v>0.97916666666666663</v>
      </c>
    </row>
    <row r="398" spans="1:16" x14ac:dyDescent="0.25">
      <c r="A398" s="2">
        <v>42774</v>
      </c>
      <c r="B398" s="2">
        <v>42949</v>
      </c>
      <c r="C398" t="str">
        <f>+"Tuáº§n "&amp;WEEKNUM(B398)</f>
        <v>Tuáº§n 31</v>
      </c>
      <c r="D398" t="s">
        <v>19</v>
      </c>
      <c r="E398" t="s">
        <v>17</v>
      </c>
      <c r="F398" s="5">
        <v>33500000</v>
      </c>
      <c r="G398" s="5">
        <v>36500000</v>
      </c>
      <c r="H398" s="5">
        <f>+(M398*26000)/0.829426</f>
        <v>39867088.805993542</v>
      </c>
      <c r="I398" s="5">
        <f>+G398-H398</f>
        <v>-3367088.8059935421</v>
      </c>
      <c r="J398" s="5">
        <v>3000000</v>
      </c>
      <c r="K398" s="5">
        <v>3350000</v>
      </c>
      <c r="L398" s="5">
        <v>3650000</v>
      </c>
      <c r="M398" s="7">
        <v>1271.8</v>
      </c>
      <c r="N398" s="5">
        <v>34000000</v>
      </c>
      <c r="O398" s="5">
        <v>37000000</v>
      </c>
      <c r="P398" s="3">
        <v>0.97916666666666663</v>
      </c>
    </row>
    <row r="399" spans="1:16" x14ac:dyDescent="0.25">
      <c r="A399" s="2">
        <v>42802</v>
      </c>
      <c r="B399" s="2">
        <v>42950</v>
      </c>
      <c r="C399" t="str">
        <f>+"Tuáº§n "&amp;WEEKNUM(B399)</f>
        <v>Tuáº§n 31</v>
      </c>
      <c r="D399" t="s">
        <v>20</v>
      </c>
      <c r="E399" t="s">
        <v>17</v>
      </c>
      <c r="F399" s="5">
        <v>33400000</v>
      </c>
      <c r="G399" s="5">
        <v>36400000</v>
      </c>
      <c r="H399" s="5">
        <f>+(M399*26000)/0.829426</f>
        <v>39741700.887119524</v>
      </c>
      <c r="I399" s="5">
        <f>+G399-H399</f>
        <v>-3341700.8871195242</v>
      </c>
      <c r="J399" s="5">
        <v>3000000</v>
      </c>
      <c r="K399" s="5">
        <v>3340000</v>
      </c>
      <c r="L399" s="5">
        <v>3640000</v>
      </c>
      <c r="M399" s="7">
        <v>1267.8</v>
      </c>
      <c r="N399" s="5">
        <v>33900000</v>
      </c>
      <c r="O399" s="5">
        <v>36900000</v>
      </c>
      <c r="P399" s="3">
        <v>0.97916666666666663</v>
      </c>
    </row>
    <row r="400" spans="1:16" x14ac:dyDescent="0.25">
      <c r="A400" s="2">
        <v>42833</v>
      </c>
      <c r="B400" s="2">
        <v>42951</v>
      </c>
      <c r="C400" t="str">
        <f>+"Tuáº§n "&amp;WEEKNUM(B400)</f>
        <v>Tuáº§n 31</v>
      </c>
      <c r="D400" t="s">
        <v>21</v>
      </c>
      <c r="E400" t="s">
        <v>17</v>
      </c>
      <c r="F400" s="5">
        <v>33200000</v>
      </c>
      <c r="G400" s="5">
        <v>36200000</v>
      </c>
      <c r="H400" s="5">
        <f>+(M400*26000)/0.829426</f>
        <v>39443904.579793736</v>
      </c>
      <c r="I400" s="5">
        <f>+G400-H400</f>
        <v>-3243904.5797937363</v>
      </c>
      <c r="J400" s="5">
        <v>3000000</v>
      </c>
      <c r="K400" s="5">
        <v>3320000</v>
      </c>
      <c r="L400" s="5">
        <v>3620000</v>
      </c>
      <c r="M400" s="7">
        <v>1258.3</v>
      </c>
      <c r="N400" s="5">
        <v>33700000</v>
      </c>
      <c r="O400" s="5">
        <v>36700000</v>
      </c>
      <c r="P400" s="3">
        <v>0.97916666666666663</v>
      </c>
    </row>
    <row r="401" spans="1:16" x14ac:dyDescent="0.25">
      <c r="A401" s="2">
        <v>42924</v>
      </c>
      <c r="B401" s="2">
        <v>42954</v>
      </c>
      <c r="C401" t="str">
        <f>+"Tuáº§n "&amp;WEEKNUM(B401)</f>
        <v>Tuáº§n 32</v>
      </c>
      <c r="D401" t="s">
        <v>16</v>
      </c>
      <c r="E401" t="s">
        <v>17</v>
      </c>
      <c r="F401" s="5">
        <v>33200000</v>
      </c>
      <c r="G401" s="5">
        <v>36200000</v>
      </c>
      <c r="H401" s="5">
        <f>+(M401*26000)/0.829426</f>
        <v>39440769.881821886</v>
      </c>
      <c r="I401" s="5">
        <f>+G401-H401</f>
        <v>-3240769.8818218857</v>
      </c>
      <c r="J401" s="5">
        <v>3000000</v>
      </c>
      <c r="K401" s="5">
        <v>3320000</v>
      </c>
      <c r="L401" s="5">
        <v>3620000</v>
      </c>
      <c r="M401" s="7">
        <v>1258.2</v>
      </c>
      <c r="N401" s="5">
        <v>33700000</v>
      </c>
      <c r="O401" s="5">
        <v>36700000</v>
      </c>
      <c r="P401" s="3">
        <v>0.97916666666666663</v>
      </c>
    </row>
    <row r="402" spans="1:16" x14ac:dyDescent="0.25">
      <c r="A402" s="2">
        <v>42955</v>
      </c>
      <c r="B402" s="2">
        <v>42955</v>
      </c>
      <c r="C402" t="str">
        <f>+"Tuáº§n "&amp;WEEKNUM(B402)</f>
        <v>Tuáº§n 32</v>
      </c>
      <c r="D402" t="s">
        <v>18</v>
      </c>
      <c r="E402" t="s">
        <v>17</v>
      </c>
      <c r="F402" s="5">
        <v>33100000</v>
      </c>
      <c r="G402" s="5">
        <v>36100000</v>
      </c>
      <c r="H402" s="5">
        <f>+(M402*26000)/0.829426</f>
        <v>39384345.318328582</v>
      </c>
      <c r="I402" s="5">
        <f>+G402-H402</f>
        <v>-3284345.3183285818</v>
      </c>
      <c r="J402" s="5">
        <v>3000000</v>
      </c>
      <c r="K402" s="5">
        <v>3310000</v>
      </c>
      <c r="L402" s="5">
        <v>3610000</v>
      </c>
      <c r="M402" s="7">
        <v>1256.4000000000001</v>
      </c>
      <c r="N402" s="5">
        <v>33600000</v>
      </c>
      <c r="O402" s="5">
        <v>36600000</v>
      </c>
      <c r="P402" s="3">
        <v>0.97916666666666663</v>
      </c>
    </row>
    <row r="403" spans="1:16" x14ac:dyDescent="0.25">
      <c r="A403" s="2">
        <v>42986</v>
      </c>
      <c r="B403" s="2">
        <v>42956</v>
      </c>
      <c r="C403" t="str">
        <f>+"Tuáº§n "&amp;WEEKNUM(B403)</f>
        <v>Tuáº§n 32</v>
      </c>
      <c r="D403" t="s">
        <v>19</v>
      </c>
      <c r="E403" t="s">
        <v>17</v>
      </c>
      <c r="F403" s="5">
        <v>33600000</v>
      </c>
      <c r="G403" s="5">
        <v>36600000</v>
      </c>
      <c r="H403" s="5">
        <f>+(M403*26000)/0.829426</f>
        <v>39904705.18165575</v>
      </c>
      <c r="I403" s="5">
        <f>+G403-H403</f>
        <v>-3304705.1816557497</v>
      </c>
      <c r="J403" s="5">
        <v>3000000</v>
      </c>
      <c r="K403" s="5">
        <v>3360000</v>
      </c>
      <c r="L403" s="5">
        <v>3660000</v>
      </c>
      <c r="M403" s="7">
        <v>1273</v>
      </c>
      <c r="N403" s="5">
        <v>34100000</v>
      </c>
      <c r="O403" s="5">
        <v>37100000</v>
      </c>
      <c r="P403" s="3">
        <v>0.97916666666666663</v>
      </c>
    </row>
    <row r="404" spans="1:16" x14ac:dyDescent="0.25">
      <c r="A404" s="2">
        <v>43016</v>
      </c>
      <c r="B404" s="2">
        <v>42957</v>
      </c>
      <c r="C404" t="str">
        <f>+"Tuáº§n "&amp;WEEKNUM(B404)</f>
        <v>Tuáº§n 32</v>
      </c>
      <c r="D404" t="s">
        <v>20</v>
      </c>
      <c r="E404" t="s">
        <v>17</v>
      </c>
      <c r="F404" s="5">
        <v>33900000</v>
      </c>
      <c r="G404" s="5">
        <v>36900000</v>
      </c>
      <c r="H404" s="5">
        <f>+(M404*26000)/0.829426</f>
        <v>40240117.864643745</v>
      </c>
      <c r="I404" s="5">
        <f>+G404-H404</f>
        <v>-3340117.8646437451</v>
      </c>
      <c r="J404" s="5">
        <v>3000000</v>
      </c>
      <c r="K404" s="5">
        <v>3390000</v>
      </c>
      <c r="L404" s="5">
        <v>3690000</v>
      </c>
      <c r="M404" s="7">
        <v>1283.7</v>
      </c>
      <c r="N404" s="5">
        <v>34400000</v>
      </c>
      <c r="O404" s="5">
        <v>37400000</v>
      </c>
      <c r="P404" s="3">
        <v>0.97916666666666663</v>
      </c>
    </row>
    <row r="405" spans="1:16" x14ac:dyDescent="0.25">
      <c r="A405" s="2">
        <v>43047</v>
      </c>
      <c r="B405" s="2">
        <v>42958</v>
      </c>
      <c r="C405" t="str">
        <f>+"Tuáº§n "&amp;WEEKNUM(B405)</f>
        <v>Tuáº§n 32</v>
      </c>
      <c r="D405" t="s">
        <v>21</v>
      </c>
      <c r="E405" t="s">
        <v>17</v>
      </c>
      <c r="F405" s="5">
        <v>34000000</v>
      </c>
      <c r="G405" s="5">
        <v>37000000</v>
      </c>
      <c r="H405" s="5">
        <f>+(M405*26000)/0.829426</f>
        <v>40365505.783517756</v>
      </c>
      <c r="I405" s="5">
        <f>+G405-H405</f>
        <v>-3365505.7835177556</v>
      </c>
      <c r="J405" s="5">
        <v>3000000</v>
      </c>
      <c r="K405" s="5">
        <v>3400000</v>
      </c>
      <c r="L405" s="5">
        <v>3700000</v>
      </c>
      <c r="M405" s="7">
        <v>1287.7</v>
      </c>
      <c r="N405" s="5">
        <v>34500000</v>
      </c>
      <c r="O405" s="5">
        <v>37500000</v>
      </c>
      <c r="P405" s="3">
        <v>0.97916666666666663</v>
      </c>
    </row>
    <row r="406" spans="1:16" x14ac:dyDescent="0.25">
      <c r="A406" t="s">
        <v>262</v>
      </c>
      <c r="B406" s="2">
        <v>42961</v>
      </c>
      <c r="C406" t="str">
        <f>+"Tuáº§n "&amp;WEEKNUM(B406)</f>
        <v>Tuáº§n 33</v>
      </c>
      <c r="D406" t="s">
        <v>16</v>
      </c>
      <c r="E406" t="s">
        <v>17</v>
      </c>
      <c r="F406" s="5">
        <v>33900000</v>
      </c>
      <c r="G406" s="5">
        <v>36900000</v>
      </c>
      <c r="H406" s="5">
        <f>+(M406*26000)/0.829426</f>
        <v>40255791.354502991</v>
      </c>
      <c r="I406" s="5">
        <f>+G406-H406</f>
        <v>-3355791.3545029908</v>
      </c>
      <c r="J406" s="5">
        <v>3000000</v>
      </c>
      <c r="K406" s="5">
        <v>3390000</v>
      </c>
      <c r="L406" s="5">
        <v>3690000</v>
      </c>
      <c r="M406" s="7">
        <v>1284.2</v>
      </c>
      <c r="N406" s="5">
        <v>34400000</v>
      </c>
      <c r="O406" s="5">
        <v>37400000</v>
      </c>
      <c r="P406" s="3">
        <v>0.97916666666666663</v>
      </c>
    </row>
    <row r="407" spans="1:16" x14ac:dyDescent="0.25">
      <c r="A407" t="s">
        <v>263</v>
      </c>
      <c r="B407" s="2">
        <v>42962</v>
      </c>
      <c r="C407" t="str">
        <f>+"Tuáº§n "&amp;WEEKNUM(B407)</f>
        <v>Tuáº§n 33</v>
      </c>
      <c r="D407" t="s">
        <v>18</v>
      </c>
      <c r="E407" t="s">
        <v>17</v>
      </c>
      <c r="F407" s="5">
        <v>33600000</v>
      </c>
      <c r="G407" s="5">
        <v>36600000</v>
      </c>
      <c r="H407" s="5">
        <f>+(M407*26000)/0.829426</f>
        <v>39926648.067458704</v>
      </c>
      <c r="I407" s="5">
        <f>+G407-H407</f>
        <v>-3326648.0674587041</v>
      </c>
      <c r="J407" s="5">
        <v>3000000</v>
      </c>
      <c r="K407" s="5">
        <v>3360000</v>
      </c>
      <c r="L407" s="5">
        <v>3660000</v>
      </c>
      <c r="M407" s="7">
        <v>1273.7</v>
      </c>
      <c r="N407" s="5">
        <v>34100000</v>
      </c>
      <c r="O407" s="5">
        <v>37100000</v>
      </c>
      <c r="P407" s="3">
        <v>0.97916666666666663</v>
      </c>
    </row>
    <row r="408" spans="1:16" x14ac:dyDescent="0.25">
      <c r="A408" t="s">
        <v>264</v>
      </c>
      <c r="B408" s="2">
        <v>42963</v>
      </c>
      <c r="C408" t="str">
        <f>+"Tuáº§n "&amp;WEEKNUM(B408)</f>
        <v>Tuáº§n 33</v>
      </c>
      <c r="D408" t="s">
        <v>19</v>
      </c>
      <c r="E408" t="s">
        <v>17</v>
      </c>
      <c r="F408" s="5">
        <v>33700000</v>
      </c>
      <c r="G408" s="5">
        <v>36700000</v>
      </c>
      <c r="H408" s="5">
        <f>+(M408*26000)/0.829426</f>
        <v>40026958.402557917</v>
      </c>
      <c r="I408" s="5">
        <f>+G408-H408</f>
        <v>-3326958.4025579169</v>
      </c>
      <c r="J408" s="5">
        <v>3000000</v>
      </c>
      <c r="K408" s="5">
        <v>3370000</v>
      </c>
      <c r="L408" s="5">
        <v>3670000</v>
      </c>
      <c r="M408" s="7">
        <v>1276.9000000000001</v>
      </c>
      <c r="N408" s="5">
        <v>34200000</v>
      </c>
      <c r="O408" s="5">
        <v>37200000</v>
      </c>
      <c r="P408" s="3">
        <v>0.97916666666666663</v>
      </c>
    </row>
    <row r="409" spans="1:16" x14ac:dyDescent="0.25">
      <c r="A409" t="s">
        <v>265</v>
      </c>
      <c r="B409" s="2">
        <v>42964</v>
      </c>
      <c r="C409" t="str">
        <f>+"Tuáº§n "&amp;WEEKNUM(B409)</f>
        <v>Tuáº§n 33</v>
      </c>
      <c r="D409" t="s">
        <v>20</v>
      </c>
      <c r="E409" t="s">
        <v>17</v>
      </c>
      <c r="F409" s="5">
        <v>34000000</v>
      </c>
      <c r="G409" s="5">
        <v>37000000</v>
      </c>
      <c r="H409" s="5">
        <f>+(M409*26000)/0.829426</f>
        <v>40324754.709883705</v>
      </c>
      <c r="I409" s="5">
        <f>+G409-H409</f>
        <v>-3324754.7098837048</v>
      </c>
      <c r="J409" s="5">
        <v>3000000</v>
      </c>
      <c r="K409" s="5">
        <v>3400000</v>
      </c>
      <c r="L409" s="5">
        <v>3700000</v>
      </c>
      <c r="M409" s="7">
        <v>1286.4000000000001</v>
      </c>
      <c r="N409" s="5">
        <v>34500000</v>
      </c>
      <c r="O409" s="5">
        <v>37500000</v>
      </c>
      <c r="P409" s="3">
        <v>0.97916666666666663</v>
      </c>
    </row>
    <row r="410" spans="1:16" x14ac:dyDescent="0.25">
      <c r="A410" t="s">
        <v>266</v>
      </c>
      <c r="B410" s="2">
        <v>42965</v>
      </c>
      <c r="C410" t="str">
        <f>+"Tuáº§n "&amp;WEEKNUM(B410)</f>
        <v>Tuáº§n 33</v>
      </c>
      <c r="D410" t="s">
        <v>21</v>
      </c>
      <c r="E410" t="s">
        <v>17</v>
      </c>
      <c r="F410" s="5">
        <v>33900000</v>
      </c>
      <c r="G410" s="5">
        <v>36900000</v>
      </c>
      <c r="H410" s="5">
        <f>+(M410*26000)/0.829426</f>
        <v>40302811.82408075</v>
      </c>
      <c r="I410" s="5">
        <f>+G410-H410</f>
        <v>-3402811.8240807503</v>
      </c>
      <c r="J410" s="5">
        <v>3000000</v>
      </c>
      <c r="K410" s="5">
        <v>3390000</v>
      </c>
      <c r="L410" s="5">
        <v>3690000</v>
      </c>
      <c r="M410" s="7">
        <v>1285.7</v>
      </c>
      <c r="N410" s="5">
        <v>34400000</v>
      </c>
      <c r="O410" s="5">
        <v>37400000</v>
      </c>
      <c r="P410" s="3">
        <v>0.97916666666666663</v>
      </c>
    </row>
    <row r="411" spans="1:16" x14ac:dyDescent="0.25">
      <c r="A411" t="s">
        <v>267</v>
      </c>
      <c r="B411" s="2">
        <v>42968</v>
      </c>
      <c r="C411" t="str">
        <f>+"Tuáº§n "&amp;WEEKNUM(B411)</f>
        <v>Tuáº§n 34</v>
      </c>
      <c r="D411" t="s">
        <v>16</v>
      </c>
      <c r="E411" t="s">
        <v>17</v>
      </c>
      <c r="F411" s="5">
        <v>34100000</v>
      </c>
      <c r="G411" s="5">
        <v>37100000</v>
      </c>
      <c r="H411" s="5">
        <f>+(M411*26000)/0.829426</f>
        <v>40462681.420645118</v>
      </c>
      <c r="I411" s="5">
        <f>+G411-H411</f>
        <v>-3362681.4206451178</v>
      </c>
      <c r="J411" s="5">
        <v>3000000</v>
      </c>
      <c r="K411" s="5">
        <v>3410000</v>
      </c>
      <c r="L411" s="5">
        <v>3710000</v>
      </c>
      <c r="M411" s="7">
        <v>1290.8</v>
      </c>
      <c r="N411" s="5">
        <v>34600000</v>
      </c>
      <c r="O411" s="5">
        <v>37600000</v>
      </c>
      <c r="P411" s="3">
        <v>0.97916666666666663</v>
      </c>
    </row>
    <row r="412" spans="1:16" x14ac:dyDescent="0.25">
      <c r="A412" t="s">
        <v>268</v>
      </c>
      <c r="B412" s="2">
        <v>42969</v>
      </c>
      <c r="C412" t="str">
        <f>+"Tuáº§n "&amp;WEEKNUM(B412)</f>
        <v>Tuáº§n 34</v>
      </c>
      <c r="D412" t="s">
        <v>18</v>
      </c>
      <c r="E412" t="s">
        <v>17</v>
      </c>
      <c r="F412" s="5">
        <v>33900000</v>
      </c>
      <c r="G412" s="5">
        <v>36900000</v>
      </c>
      <c r="H412" s="5">
        <f>+(M412*26000)/0.829426</f>
        <v>40284003.636249647</v>
      </c>
      <c r="I412" s="5">
        <f>+G412-H412</f>
        <v>-3384003.6362496465</v>
      </c>
      <c r="J412" s="5">
        <v>3000000</v>
      </c>
      <c r="K412" s="5">
        <v>3390000</v>
      </c>
      <c r="L412" s="5">
        <v>3690000</v>
      </c>
      <c r="M412" s="7">
        <v>1285.0999999999999</v>
      </c>
      <c r="N412" s="5">
        <v>34400000</v>
      </c>
      <c r="O412" s="5">
        <v>37400000</v>
      </c>
      <c r="P412" s="3">
        <v>0.97916666666666663</v>
      </c>
    </row>
    <row r="413" spans="1:16" x14ac:dyDescent="0.25">
      <c r="A413" t="s">
        <v>269</v>
      </c>
      <c r="B413" s="2">
        <v>42970</v>
      </c>
      <c r="C413" t="str">
        <f>+"Tuáº§n "&amp;WEEKNUM(B413)</f>
        <v>Tuáº§n 34</v>
      </c>
      <c r="D413" t="s">
        <v>19</v>
      </c>
      <c r="E413" t="s">
        <v>17</v>
      </c>
      <c r="F413" s="5">
        <v>34000000</v>
      </c>
      <c r="G413" s="5">
        <v>37000000</v>
      </c>
      <c r="H413" s="5">
        <f>+(M413*26000)/0.829426</f>
        <v>40403122.159179971</v>
      </c>
      <c r="I413" s="5">
        <f>+G413-H413</f>
        <v>-3403122.1591799706</v>
      </c>
      <c r="J413" s="5">
        <v>3000000</v>
      </c>
      <c r="K413" s="5">
        <v>3400000</v>
      </c>
      <c r="L413" s="5">
        <v>3700000</v>
      </c>
      <c r="M413" s="7">
        <v>1288.9000000000001</v>
      </c>
      <c r="N413" s="5">
        <v>34500000</v>
      </c>
      <c r="O413" s="5">
        <v>37500000</v>
      </c>
      <c r="P413" s="3">
        <v>0.97916666666666663</v>
      </c>
    </row>
    <row r="414" spans="1:16" x14ac:dyDescent="0.25">
      <c r="A414" t="s">
        <v>270</v>
      </c>
      <c r="B414" s="2">
        <v>42971</v>
      </c>
      <c r="C414" t="str">
        <f>+"Tuáº§n "&amp;WEEKNUM(B414)</f>
        <v>Tuáº§n 34</v>
      </c>
      <c r="D414" t="s">
        <v>20</v>
      </c>
      <c r="E414" t="s">
        <v>17</v>
      </c>
      <c r="F414" s="5">
        <v>34000000</v>
      </c>
      <c r="G414" s="5">
        <v>37000000</v>
      </c>
      <c r="H414" s="5">
        <f>+(M414*26000)/0.829426</f>
        <v>40327889.407855555</v>
      </c>
      <c r="I414" s="5">
        <f>+G414-H414</f>
        <v>-3327889.4078555554</v>
      </c>
      <c r="J414" s="5">
        <v>3000000</v>
      </c>
      <c r="K414" s="5">
        <v>3400000</v>
      </c>
      <c r="L414" s="5">
        <v>3700000</v>
      </c>
      <c r="M414" s="7">
        <v>1286.5</v>
      </c>
      <c r="N414" s="5">
        <v>34500000</v>
      </c>
      <c r="O414" s="5">
        <v>37500000</v>
      </c>
      <c r="P414" s="3">
        <v>0.97916666666666663</v>
      </c>
    </row>
    <row r="415" spans="1:16" x14ac:dyDescent="0.25">
      <c r="A415" t="s">
        <v>271</v>
      </c>
      <c r="B415" s="2">
        <v>42972</v>
      </c>
      <c r="C415" t="str">
        <f>+"Tuáº§n "&amp;WEEKNUM(B415)</f>
        <v>Tuáº§n 34</v>
      </c>
      <c r="D415" t="s">
        <v>21</v>
      </c>
      <c r="E415" t="s">
        <v>17</v>
      </c>
      <c r="F415" s="5">
        <v>34100000</v>
      </c>
      <c r="G415" s="5">
        <v>37100000</v>
      </c>
      <c r="H415" s="5">
        <f>+(M415*26000)/0.829426</f>
        <v>40515971.286166579</v>
      </c>
      <c r="I415" s="5">
        <f>+G415-H415</f>
        <v>-3415971.2861665785</v>
      </c>
      <c r="J415" s="5">
        <v>3000000</v>
      </c>
      <c r="K415" s="5">
        <v>3410000</v>
      </c>
      <c r="L415" s="5">
        <v>3710000</v>
      </c>
      <c r="M415" s="7">
        <v>1292.5</v>
      </c>
      <c r="N415" s="5">
        <v>34600000</v>
      </c>
      <c r="O415" s="5">
        <v>37600000</v>
      </c>
      <c r="P415" s="3">
        <v>0.97916666666666663</v>
      </c>
    </row>
    <row r="416" spans="1:16" x14ac:dyDescent="0.25">
      <c r="A416" t="s">
        <v>272</v>
      </c>
      <c r="B416" s="2">
        <v>42975</v>
      </c>
      <c r="C416" t="str">
        <f>+"Tuáº§n "&amp;WEEKNUM(B416)</f>
        <v>Tuáº§n 35</v>
      </c>
      <c r="D416" t="s">
        <v>16</v>
      </c>
      <c r="E416" t="s">
        <v>17</v>
      </c>
      <c r="F416" s="5">
        <v>34600000</v>
      </c>
      <c r="G416" s="5">
        <v>37600000</v>
      </c>
      <c r="H416" s="5">
        <f>+(M416*26000)/0.829426</f>
        <v>41055139.33732485</v>
      </c>
      <c r="I416" s="5">
        <f>+G416-H416</f>
        <v>-3455139.3373248503</v>
      </c>
      <c r="J416" s="5">
        <v>3000000</v>
      </c>
      <c r="K416" s="5">
        <v>3460000</v>
      </c>
      <c r="L416" s="5">
        <v>3760000</v>
      </c>
      <c r="M416" s="7">
        <v>1309.7</v>
      </c>
      <c r="N416" s="5">
        <v>35100000</v>
      </c>
      <c r="O416" s="5">
        <v>38100000</v>
      </c>
      <c r="P416" s="3">
        <v>0.97916666666666663</v>
      </c>
    </row>
    <row r="417" spans="1:16" x14ac:dyDescent="0.25">
      <c r="A417" t="s">
        <v>273</v>
      </c>
      <c r="B417" s="2">
        <v>42976</v>
      </c>
      <c r="C417" t="str">
        <f>+"Tuáº§n "&amp;WEEKNUM(B417)</f>
        <v>Tuáº§n 35</v>
      </c>
      <c r="D417" t="s">
        <v>18</v>
      </c>
      <c r="E417" t="s">
        <v>17</v>
      </c>
      <c r="F417" s="5">
        <v>34700000</v>
      </c>
      <c r="G417" s="5">
        <v>37700000</v>
      </c>
      <c r="H417" s="5">
        <f>+(M417*26000)/0.829426</f>
        <v>41161719.068367764</v>
      </c>
      <c r="I417" s="5">
        <f>+G417-H417</f>
        <v>-3461719.0683677644</v>
      </c>
      <c r="J417" s="5">
        <v>3000000</v>
      </c>
      <c r="K417" s="5">
        <v>3470000</v>
      </c>
      <c r="L417" s="5">
        <v>3770000</v>
      </c>
      <c r="M417" s="7">
        <v>1313.1</v>
      </c>
      <c r="N417" s="5">
        <v>35200000</v>
      </c>
      <c r="O417" s="5">
        <v>38200000</v>
      </c>
      <c r="P417" s="3">
        <v>0.97916666666666663</v>
      </c>
    </row>
    <row r="418" spans="1:16" x14ac:dyDescent="0.25">
      <c r="A418" t="s">
        <v>274</v>
      </c>
      <c r="B418" s="2">
        <v>42977</v>
      </c>
      <c r="C418" t="str">
        <f>+"Tuáº§n "&amp;WEEKNUM(B418)</f>
        <v>Tuáº§n 35</v>
      </c>
      <c r="D418" t="s">
        <v>19</v>
      </c>
      <c r="E418" t="s">
        <v>17</v>
      </c>
      <c r="F418" s="5">
        <v>34600000</v>
      </c>
      <c r="G418" s="5">
        <v>37600000</v>
      </c>
      <c r="H418" s="5">
        <f>+(M418*26000)/0.829426</f>
        <v>41004984.16977524</v>
      </c>
      <c r="I418" s="5">
        <f>+G418-H418</f>
        <v>-3404984.1697752401</v>
      </c>
      <c r="J418" s="5">
        <v>3000000</v>
      </c>
      <c r="K418" s="5">
        <v>3460000</v>
      </c>
      <c r="L418" s="5">
        <v>3760000</v>
      </c>
      <c r="M418" s="7">
        <v>1308.0999999999999</v>
      </c>
      <c r="N418" s="5">
        <v>35100000</v>
      </c>
      <c r="O418" s="5">
        <v>38100000</v>
      </c>
      <c r="P418" s="3">
        <v>0.97916666666666663</v>
      </c>
    </row>
    <row r="419" spans="1:16" x14ac:dyDescent="0.25">
      <c r="A419" t="s">
        <v>275</v>
      </c>
      <c r="B419" s="2">
        <v>42978</v>
      </c>
      <c r="C419" t="str">
        <f>+"Tuáº§n "&amp;WEEKNUM(B419)</f>
        <v>Tuáº§n 35</v>
      </c>
      <c r="D419" t="s">
        <v>20</v>
      </c>
      <c r="E419" t="s">
        <v>17</v>
      </c>
      <c r="F419" s="5">
        <v>34800000</v>
      </c>
      <c r="G419" s="5">
        <v>37800000</v>
      </c>
      <c r="H419" s="5">
        <f>+(M419*26000)/0.829426</f>
        <v>41258894.705495127</v>
      </c>
      <c r="I419" s="5">
        <f>+G419-H419</f>
        <v>-3458894.7054951265</v>
      </c>
      <c r="J419" s="5">
        <v>3000000</v>
      </c>
      <c r="K419" s="5">
        <v>3480000</v>
      </c>
      <c r="L419" s="5">
        <v>3780000</v>
      </c>
      <c r="M419" s="7">
        <v>1316.2</v>
      </c>
      <c r="N419" s="5">
        <v>35300000</v>
      </c>
      <c r="O419" s="5">
        <v>38300000</v>
      </c>
      <c r="P419" s="3">
        <v>0.97916666666666663</v>
      </c>
    </row>
    <row r="420" spans="1:16" x14ac:dyDescent="0.25">
      <c r="A420" s="2">
        <v>42744</v>
      </c>
      <c r="B420" s="2">
        <v>42979</v>
      </c>
      <c r="C420" t="str">
        <f>+"Tuáº§n "&amp;WEEKNUM(B420)</f>
        <v>Tuáº§n 35</v>
      </c>
      <c r="D420" t="s">
        <v>21</v>
      </c>
      <c r="E420" t="s">
        <v>17</v>
      </c>
      <c r="F420" s="5">
        <v>35100000</v>
      </c>
      <c r="G420" s="5">
        <v>38100000</v>
      </c>
      <c r="H420" s="5">
        <f>+(M420*26000)/0.829426</f>
        <v>41519074.637158707</v>
      </c>
      <c r="I420" s="5">
        <f>+G420-H420</f>
        <v>-3419074.6371587068</v>
      </c>
      <c r="J420" s="5">
        <v>3000000</v>
      </c>
      <c r="K420" s="5">
        <v>3510000</v>
      </c>
      <c r="L420" s="5">
        <v>3810000</v>
      </c>
      <c r="M420" s="7">
        <v>1324.5</v>
      </c>
      <c r="N420" s="5">
        <v>35600000</v>
      </c>
      <c r="O420" s="5">
        <v>38600000</v>
      </c>
      <c r="P420" s="3">
        <v>0.97916666666666663</v>
      </c>
    </row>
    <row r="421" spans="1:16" x14ac:dyDescent="0.25">
      <c r="A421" s="2">
        <v>42864</v>
      </c>
      <c r="B421" s="2">
        <v>42983</v>
      </c>
      <c r="C421" t="str">
        <f>+"Tuáº§n "&amp;WEEKNUM(B421)</f>
        <v>Tuáº§n 36</v>
      </c>
      <c r="D421" t="s">
        <v>18</v>
      </c>
      <c r="E421" t="s">
        <v>17</v>
      </c>
      <c r="F421" s="5">
        <v>35500000</v>
      </c>
      <c r="G421" s="5">
        <v>38500000</v>
      </c>
      <c r="H421" s="5">
        <f>+(M421*26000)/0.829426</f>
        <v>41979875.23902072</v>
      </c>
      <c r="I421" s="5">
        <f>+G421-H421</f>
        <v>-3479875.2390207201</v>
      </c>
      <c r="J421" s="5">
        <v>3000000</v>
      </c>
      <c r="K421" s="5">
        <v>3550000</v>
      </c>
      <c r="L421" s="5">
        <v>3850000</v>
      </c>
      <c r="M421" s="7">
        <v>1339.2</v>
      </c>
      <c r="N421" s="5">
        <v>36000000</v>
      </c>
      <c r="O421" s="5">
        <v>39000000</v>
      </c>
      <c r="P421" s="3">
        <v>0.97916666666666663</v>
      </c>
    </row>
    <row r="422" spans="1:16" x14ac:dyDescent="0.25">
      <c r="A422" s="2">
        <v>42895</v>
      </c>
      <c r="B422" s="2">
        <v>42984</v>
      </c>
      <c r="C422" t="str">
        <f>+"Tuáº§n "&amp;WEEKNUM(B422)</f>
        <v>Tuáº§n 36</v>
      </c>
      <c r="D422" t="s">
        <v>19</v>
      </c>
      <c r="E422" t="s">
        <v>17</v>
      </c>
      <c r="F422" s="5">
        <v>35300000</v>
      </c>
      <c r="G422" s="5">
        <v>38300000</v>
      </c>
      <c r="H422" s="5">
        <f>+(M422*26000)/0.829426</f>
        <v>41813736.246512651</v>
      </c>
      <c r="I422" s="5">
        <f>+G422-H422</f>
        <v>-3513736.2465126514</v>
      </c>
      <c r="J422" s="5">
        <v>3000000</v>
      </c>
      <c r="K422" s="5">
        <v>3530000</v>
      </c>
      <c r="L422" s="5">
        <v>3830000</v>
      </c>
      <c r="M422" s="7">
        <v>1333.9</v>
      </c>
      <c r="N422" s="5">
        <v>35800000</v>
      </c>
      <c r="O422" s="5">
        <v>38800000</v>
      </c>
      <c r="P422" s="3">
        <v>0.97916666666666663</v>
      </c>
    </row>
    <row r="423" spans="1:16" x14ac:dyDescent="0.25">
      <c r="A423" s="2">
        <v>42925</v>
      </c>
      <c r="B423" s="2">
        <v>42985</v>
      </c>
      <c r="C423" t="str">
        <f>+"Tuáº§n "&amp;WEEKNUM(B423)</f>
        <v>Tuáº§n 36</v>
      </c>
      <c r="D423" t="s">
        <v>20</v>
      </c>
      <c r="E423" t="s">
        <v>17</v>
      </c>
      <c r="F423" s="5">
        <v>35700000</v>
      </c>
      <c r="G423" s="5">
        <v>38700000</v>
      </c>
      <c r="H423" s="5">
        <f>+(M423*26000)/0.829426</f>
        <v>42164822.419359893</v>
      </c>
      <c r="I423" s="5">
        <f>+G423-H423</f>
        <v>-3464822.4193598926</v>
      </c>
      <c r="J423" s="5">
        <v>3000000</v>
      </c>
      <c r="K423" s="5">
        <v>3570000</v>
      </c>
      <c r="L423" s="5">
        <v>3870000</v>
      </c>
      <c r="M423" s="7">
        <v>1345.1</v>
      </c>
      <c r="N423" s="5">
        <v>36200000</v>
      </c>
      <c r="O423" s="5">
        <v>39200000</v>
      </c>
      <c r="P423" s="3">
        <v>0.97916666666666663</v>
      </c>
    </row>
    <row r="424" spans="1:16" x14ac:dyDescent="0.25">
      <c r="A424" s="2">
        <v>42956</v>
      </c>
      <c r="B424" s="2">
        <v>42986</v>
      </c>
      <c r="C424" t="str">
        <f>+"Tuáº§n "&amp;WEEKNUM(B424)</f>
        <v>Tuáº§n 36</v>
      </c>
      <c r="D424" t="s">
        <v>21</v>
      </c>
      <c r="E424" t="s">
        <v>17</v>
      </c>
      <c r="F424" s="5">
        <v>35700000</v>
      </c>
      <c r="G424" s="5">
        <v>38700000</v>
      </c>
      <c r="H424" s="5">
        <f>+(M424*26000)/0.829426</f>
        <v>42193034.701106548</v>
      </c>
      <c r="I424" s="5">
        <f>+G424-H424</f>
        <v>-3493034.7011065483</v>
      </c>
      <c r="J424" s="5">
        <v>3000000</v>
      </c>
      <c r="K424" s="5">
        <v>3570000</v>
      </c>
      <c r="L424" s="5">
        <v>3870000</v>
      </c>
      <c r="M424" s="7">
        <v>1346</v>
      </c>
      <c r="N424" s="5">
        <v>36200000</v>
      </c>
      <c r="O424" s="5">
        <v>39200000</v>
      </c>
      <c r="P424" s="3">
        <v>0.97916666666666663</v>
      </c>
    </row>
    <row r="425" spans="1:16" x14ac:dyDescent="0.25">
      <c r="A425" s="2">
        <v>43048</v>
      </c>
      <c r="B425" s="2">
        <v>42989</v>
      </c>
      <c r="C425" t="str">
        <f>+"Tuáº§n "&amp;WEEKNUM(B425)</f>
        <v>Tuáº§n 37</v>
      </c>
      <c r="D425" t="s">
        <v>16</v>
      </c>
      <c r="E425" t="s">
        <v>17</v>
      </c>
      <c r="F425" s="5">
        <v>35200000</v>
      </c>
      <c r="G425" s="5">
        <v>38200000</v>
      </c>
      <c r="H425" s="5">
        <f>+(M425*26000)/0.829426</f>
        <v>41722830.005328983</v>
      </c>
      <c r="I425" s="5">
        <f>+G425-H425</f>
        <v>-3522830.0053289831</v>
      </c>
      <c r="J425" s="5">
        <v>3000000</v>
      </c>
      <c r="K425" s="5">
        <v>3520000</v>
      </c>
      <c r="L425" s="5">
        <v>3820000</v>
      </c>
      <c r="M425" s="7">
        <v>1331</v>
      </c>
      <c r="N425" s="5">
        <v>35700000</v>
      </c>
      <c r="O425" s="5">
        <v>38700000</v>
      </c>
      <c r="P425" s="3">
        <v>0.97916666666666663</v>
      </c>
    </row>
    <row r="426" spans="1:16" x14ac:dyDescent="0.25">
      <c r="A426" s="2">
        <v>43078</v>
      </c>
      <c r="B426" s="2">
        <v>42990</v>
      </c>
      <c r="C426" t="str">
        <f>+"Tuáº§n "&amp;WEEKNUM(B426)</f>
        <v>Tuáº§n 37</v>
      </c>
      <c r="D426" t="s">
        <v>18</v>
      </c>
      <c r="E426" t="s">
        <v>17</v>
      </c>
      <c r="F426" s="5">
        <v>35200000</v>
      </c>
      <c r="G426" s="5">
        <v>38200000</v>
      </c>
      <c r="H426" s="5">
        <f>+(M426*26000)/0.829426</f>
        <v>41628789.066173472</v>
      </c>
      <c r="I426" s="5">
        <f>+G426-H426</f>
        <v>-3428789.0661734715</v>
      </c>
      <c r="J426" s="5">
        <v>3000000</v>
      </c>
      <c r="K426" s="5">
        <v>3520000</v>
      </c>
      <c r="L426" s="5">
        <v>3820000</v>
      </c>
      <c r="M426" s="7">
        <v>1328</v>
      </c>
      <c r="N426" s="5">
        <v>35700000</v>
      </c>
      <c r="O426" s="5">
        <v>38700000</v>
      </c>
      <c r="P426" s="3">
        <v>0.97916666666666663</v>
      </c>
    </row>
    <row r="427" spans="1:16" x14ac:dyDescent="0.25">
      <c r="A427" t="s">
        <v>276</v>
      </c>
      <c r="B427" s="2">
        <v>42991</v>
      </c>
      <c r="C427" t="str">
        <f>+"Tuáº§n "&amp;WEEKNUM(B427)</f>
        <v>Tuáº§n 37</v>
      </c>
      <c r="D427" t="s">
        <v>19</v>
      </c>
      <c r="E427" t="s">
        <v>17</v>
      </c>
      <c r="F427" s="5">
        <v>35000000</v>
      </c>
      <c r="G427" s="5">
        <v>38000000</v>
      </c>
      <c r="H427" s="5">
        <f>+(M427*26000)/0.829426</f>
        <v>41484592.959468357</v>
      </c>
      <c r="I427" s="5">
        <f>+G427-H427</f>
        <v>-3484592.9594683573</v>
      </c>
      <c r="J427" s="5">
        <v>3000000</v>
      </c>
      <c r="K427" s="5">
        <v>3500000</v>
      </c>
      <c r="L427" s="5">
        <v>3800000</v>
      </c>
      <c r="M427" s="7">
        <v>1323.4</v>
      </c>
      <c r="N427" s="5">
        <v>35500000</v>
      </c>
      <c r="O427" s="5">
        <v>38500000</v>
      </c>
      <c r="P427" s="3">
        <v>0.97916666666666663</v>
      </c>
    </row>
    <row r="428" spans="1:16" x14ac:dyDescent="0.25">
      <c r="A428" t="s">
        <v>277</v>
      </c>
      <c r="B428" s="2">
        <v>42992</v>
      </c>
      <c r="C428" t="str">
        <f>+"Tuáº§n "&amp;WEEKNUM(B428)</f>
        <v>Tuáº§n 37</v>
      </c>
      <c r="D428" t="s">
        <v>20</v>
      </c>
      <c r="E428" t="s">
        <v>17</v>
      </c>
      <c r="F428" s="5">
        <v>35100000</v>
      </c>
      <c r="G428" s="5">
        <v>38100000</v>
      </c>
      <c r="H428" s="5">
        <f>+(M428*26000)/0.829426</f>
        <v>41525344.033102408</v>
      </c>
      <c r="I428" s="5">
        <f>+G428-H428</f>
        <v>-3425344.0331024081</v>
      </c>
      <c r="J428" s="5">
        <v>3000000</v>
      </c>
      <c r="K428" s="5">
        <v>3510000</v>
      </c>
      <c r="L428" s="5">
        <v>3810000</v>
      </c>
      <c r="M428" s="7">
        <v>1324.7</v>
      </c>
      <c r="N428" s="5">
        <v>35600000</v>
      </c>
      <c r="O428" s="5">
        <v>38600000</v>
      </c>
      <c r="P428" s="3">
        <v>0.97916666666666663</v>
      </c>
    </row>
    <row r="429" spans="1:16" x14ac:dyDescent="0.25">
      <c r="A429" t="s">
        <v>278</v>
      </c>
      <c r="B429" s="2">
        <v>42993</v>
      </c>
      <c r="C429" t="str">
        <f>+"Tuáº§n "&amp;WEEKNUM(B429)</f>
        <v>Tuáº§n 37</v>
      </c>
      <c r="D429" t="s">
        <v>21</v>
      </c>
      <c r="E429" t="s">
        <v>17</v>
      </c>
      <c r="F429" s="5">
        <v>34900000</v>
      </c>
      <c r="G429" s="5">
        <v>37900000</v>
      </c>
      <c r="H429" s="5">
        <f>+(M429*26000)/0.829426</f>
        <v>41390552.020312846</v>
      </c>
      <c r="I429" s="5">
        <f>+G429-H429</f>
        <v>-3490552.0203128457</v>
      </c>
      <c r="J429" s="5">
        <v>3000000</v>
      </c>
      <c r="K429" s="5">
        <v>3490000</v>
      </c>
      <c r="L429" s="5">
        <v>3790000</v>
      </c>
      <c r="M429" s="7">
        <v>1320.4</v>
      </c>
      <c r="N429" s="5">
        <v>35400000</v>
      </c>
      <c r="O429" s="5">
        <v>38400000</v>
      </c>
      <c r="P429" s="3">
        <v>0.97916666666666663</v>
      </c>
    </row>
    <row r="430" spans="1:16" x14ac:dyDescent="0.25">
      <c r="A430" t="s">
        <v>279</v>
      </c>
      <c r="B430" s="2">
        <v>42996</v>
      </c>
      <c r="C430" t="str">
        <f>+"Tuáº§n "&amp;WEEKNUM(B430)</f>
        <v>Tuáº§n 38</v>
      </c>
      <c r="D430" t="s">
        <v>16</v>
      </c>
      <c r="E430" t="s">
        <v>17</v>
      </c>
      <c r="F430" s="5">
        <v>34500000</v>
      </c>
      <c r="G430" s="5">
        <v>37500000</v>
      </c>
      <c r="H430" s="5">
        <f>+(M430*26000)/0.829426</f>
        <v>40948559.606281936</v>
      </c>
      <c r="I430" s="5">
        <f>+G430-H430</f>
        <v>-3448559.6062819362</v>
      </c>
      <c r="J430" s="5">
        <v>3000000</v>
      </c>
      <c r="K430" s="5">
        <v>3450000</v>
      </c>
      <c r="L430" s="5">
        <v>3750000</v>
      </c>
      <c r="M430" s="7">
        <v>1306.3</v>
      </c>
      <c r="N430" s="5">
        <v>35000000</v>
      </c>
      <c r="O430" s="5">
        <v>38000000</v>
      </c>
      <c r="P430" s="3">
        <v>0.97916666666666663</v>
      </c>
    </row>
    <row r="431" spans="1:16" x14ac:dyDescent="0.25">
      <c r="A431" t="s">
        <v>280</v>
      </c>
      <c r="B431" s="2">
        <v>42997</v>
      </c>
      <c r="C431" t="str">
        <f>+"Tuáº§n "&amp;WEEKNUM(B431)</f>
        <v>Tuáº§n 38</v>
      </c>
      <c r="D431" t="s">
        <v>18</v>
      </c>
      <c r="E431" t="s">
        <v>17</v>
      </c>
      <c r="F431" s="5">
        <v>34500000</v>
      </c>
      <c r="G431" s="5">
        <v>37500000</v>
      </c>
      <c r="H431" s="5">
        <f>+(M431*26000)/0.829426</f>
        <v>40945424.908310086</v>
      </c>
      <c r="I431" s="5">
        <f>+G431-H431</f>
        <v>-3445424.9083100855</v>
      </c>
      <c r="J431" s="5">
        <v>3000000</v>
      </c>
      <c r="K431" s="5">
        <v>3450000</v>
      </c>
      <c r="L431" s="5">
        <v>3750000</v>
      </c>
      <c r="M431" s="7">
        <v>1306.2</v>
      </c>
      <c r="N431" s="5">
        <v>35000000</v>
      </c>
      <c r="O431" s="5">
        <v>38000000</v>
      </c>
      <c r="P431" s="3">
        <v>0.97916666666666663</v>
      </c>
    </row>
    <row r="432" spans="1:16" x14ac:dyDescent="0.25">
      <c r="A432" t="s">
        <v>281</v>
      </c>
      <c r="B432" s="2">
        <v>42998</v>
      </c>
      <c r="C432" t="str">
        <f>+"Tuáº§n "&amp;WEEKNUM(B432)</f>
        <v>Tuáº§n 38</v>
      </c>
      <c r="D432" t="s">
        <v>19</v>
      </c>
      <c r="E432" t="s">
        <v>17</v>
      </c>
      <c r="F432" s="5">
        <v>34700000</v>
      </c>
      <c r="G432" s="5">
        <v>37700000</v>
      </c>
      <c r="H432" s="5">
        <f>+(M432*26000)/0.829426</f>
        <v>41127237.390677407</v>
      </c>
      <c r="I432" s="5">
        <f>+G432-H432</f>
        <v>-3427237.3906774074</v>
      </c>
      <c r="J432" s="5">
        <v>3000000</v>
      </c>
      <c r="K432" s="5">
        <v>3470000</v>
      </c>
      <c r="L432" s="5">
        <v>3770000</v>
      </c>
      <c r="M432" s="7">
        <v>1312</v>
      </c>
      <c r="N432" s="5">
        <v>35200000</v>
      </c>
      <c r="O432" s="5">
        <v>38200000</v>
      </c>
      <c r="P432" s="3">
        <v>0.97916666666666663</v>
      </c>
    </row>
    <row r="433" spans="1:16" x14ac:dyDescent="0.25">
      <c r="A433" t="s">
        <v>282</v>
      </c>
      <c r="B433" s="2">
        <v>42999</v>
      </c>
      <c r="C433" t="str">
        <f>+"Tuáº§n "&amp;WEEKNUM(B433)</f>
        <v>Tuáº§n 38</v>
      </c>
      <c r="D433" t="s">
        <v>20</v>
      </c>
      <c r="E433" t="s">
        <v>17</v>
      </c>
      <c r="F433" s="5">
        <v>34100000</v>
      </c>
      <c r="G433" s="5">
        <v>37100000</v>
      </c>
      <c r="H433" s="5">
        <f>+(M433*26000)/0.829426</f>
        <v>40456412.024701416</v>
      </c>
      <c r="I433" s="5">
        <f>+G433-H433</f>
        <v>-3356412.0247014165</v>
      </c>
      <c r="J433" s="5">
        <v>3000000</v>
      </c>
      <c r="K433" s="5">
        <v>3410000</v>
      </c>
      <c r="L433" s="5">
        <v>3710000</v>
      </c>
      <c r="M433" s="7">
        <v>1290.5999999999999</v>
      </c>
      <c r="N433" s="5">
        <v>34600000</v>
      </c>
      <c r="O433" s="5">
        <v>37600000</v>
      </c>
      <c r="P433" s="3">
        <v>0.97916666666666663</v>
      </c>
    </row>
    <row r="434" spans="1:16" x14ac:dyDescent="0.25">
      <c r="A434" t="s">
        <v>283</v>
      </c>
      <c r="B434" s="2">
        <v>43000</v>
      </c>
      <c r="C434" t="str">
        <f>+"Tuáº§n "&amp;WEEKNUM(B434)</f>
        <v>Tuáº§n 38</v>
      </c>
      <c r="D434" t="s">
        <v>21</v>
      </c>
      <c r="E434" t="s">
        <v>17</v>
      </c>
      <c r="F434" s="5">
        <v>34200000</v>
      </c>
      <c r="G434" s="5">
        <v>37200000</v>
      </c>
      <c r="H434" s="5">
        <f>+(M434*26000)/0.829426</f>
        <v>40541048.869941384</v>
      </c>
      <c r="I434" s="5">
        <f>+G434-H434</f>
        <v>-3341048.8699413836</v>
      </c>
      <c r="J434" s="5">
        <v>3000000</v>
      </c>
      <c r="K434" s="5">
        <v>3420000</v>
      </c>
      <c r="L434" s="5">
        <v>3720000</v>
      </c>
      <c r="M434" s="7">
        <v>1293.3</v>
      </c>
      <c r="N434" s="5">
        <v>34700000</v>
      </c>
      <c r="O434" s="5">
        <v>37700000</v>
      </c>
      <c r="P434" s="3">
        <v>0.97916666666666663</v>
      </c>
    </row>
    <row r="435" spans="1:16" x14ac:dyDescent="0.25">
      <c r="A435" t="s">
        <v>284</v>
      </c>
      <c r="B435" s="2">
        <v>43003</v>
      </c>
      <c r="C435" t="str">
        <f>+"Tuáº§n "&amp;WEEKNUM(B435)</f>
        <v>Tuáº§n 39</v>
      </c>
      <c r="D435" t="s">
        <v>16</v>
      </c>
      <c r="E435" t="s">
        <v>17</v>
      </c>
      <c r="F435" s="5">
        <v>34600000</v>
      </c>
      <c r="G435" s="5">
        <v>37600000</v>
      </c>
      <c r="H435" s="5">
        <f>+(M435*26000)/0.829426</f>
        <v>40964233.096141189</v>
      </c>
      <c r="I435" s="5">
        <f>+G435-H435</f>
        <v>-3364233.0961411893</v>
      </c>
      <c r="J435" s="5">
        <v>3000000</v>
      </c>
      <c r="K435" s="5">
        <v>3460000</v>
      </c>
      <c r="L435" s="5">
        <v>3760000</v>
      </c>
      <c r="M435" s="7">
        <v>1306.8</v>
      </c>
      <c r="N435" s="5">
        <v>35100000</v>
      </c>
      <c r="O435" s="5">
        <v>38100000</v>
      </c>
      <c r="P435" s="3">
        <v>0.97916666666666663</v>
      </c>
    </row>
    <row r="436" spans="1:16" x14ac:dyDescent="0.25">
      <c r="A436" t="s">
        <v>285</v>
      </c>
      <c r="B436" s="2">
        <v>43004</v>
      </c>
      <c r="C436" t="str">
        <f>+"Tuáº§n "&amp;WEEKNUM(B436)</f>
        <v>Tuáº§n 39</v>
      </c>
      <c r="D436" t="s">
        <v>18</v>
      </c>
      <c r="E436" t="s">
        <v>17</v>
      </c>
      <c r="F436" s="5">
        <v>34300000</v>
      </c>
      <c r="G436" s="5">
        <v>37300000</v>
      </c>
      <c r="H436" s="5">
        <f>+(M436*26000)/0.829426</f>
        <v>40657032.69489985</v>
      </c>
      <c r="I436" s="5">
        <f>+G436-H436</f>
        <v>-3357032.6948998496</v>
      </c>
      <c r="J436" s="5">
        <v>3000000</v>
      </c>
      <c r="K436" s="5">
        <v>3430000</v>
      </c>
      <c r="L436" s="5">
        <v>3730000</v>
      </c>
      <c r="M436" s="7">
        <v>1297</v>
      </c>
      <c r="N436" s="5">
        <v>34800000</v>
      </c>
      <c r="O436" s="5">
        <v>37800000</v>
      </c>
      <c r="P436" s="3">
        <v>0.97916666666666663</v>
      </c>
    </row>
    <row r="437" spans="1:16" x14ac:dyDescent="0.25">
      <c r="A437" t="s">
        <v>286</v>
      </c>
      <c r="B437" s="2">
        <v>43005</v>
      </c>
      <c r="C437" t="str">
        <f>+"Tuáº§n "&amp;WEEKNUM(B437)</f>
        <v>Tuáº§n 39</v>
      </c>
      <c r="D437" t="s">
        <v>19</v>
      </c>
      <c r="E437" t="s">
        <v>17</v>
      </c>
      <c r="F437" s="5">
        <v>33900000</v>
      </c>
      <c r="G437" s="5">
        <v>36900000</v>
      </c>
      <c r="H437" s="5">
        <f>+(M437*26000)/0.829426</f>
        <v>40230713.770728193</v>
      </c>
      <c r="I437" s="5">
        <f>+G437-H437</f>
        <v>-3330713.7707281932</v>
      </c>
      <c r="J437" s="5">
        <v>3000000</v>
      </c>
      <c r="K437" s="5">
        <v>3390000</v>
      </c>
      <c r="L437" s="5">
        <v>3690000</v>
      </c>
      <c r="M437" s="7">
        <v>1283.4000000000001</v>
      </c>
      <c r="N437" s="5">
        <v>34400000</v>
      </c>
      <c r="O437" s="5">
        <v>37400000</v>
      </c>
      <c r="P437" s="3">
        <v>0.97916666666666663</v>
      </c>
    </row>
    <row r="438" spans="1:16" x14ac:dyDescent="0.25">
      <c r="A438" t="s">
        <v>287</v>
      </c>
      <c r="B438" s="2">
        <v>43006</v>
      </c>
      <c r="C438" t="str">
        <f>+"Tuáº§n "&amp;WEEKNUM(B438)</f>
        <v>Tuáº§n 39</v>
      </c>
      <c r="D438" t="s">
        <v>20</v>
      </c>
      <c r="E438" t="s">
        <v>17</v>
      </c>
      <c r="F438" s="5">
        <v>33900000</v>
      </c>
      <c r="G438" s="5">
        <v>36900000</v>
      </c>
      <c r="H438" s="5">
        <f>+(M438*26000)/0.829426</f>
        <v>40296542.428137049</v>
      </c>
      <c r="I438" s="5">
        <f>+G438-H438</f>
        <v>-3396542.4281370491</v>
      </c>
      <c r="J438" s="5">
        <v>3000000</v>
      </c>
      <c r="K438" s="5">
        <v>3390000</v>
      </c>
      <c r="L438" s="5">
        <v>3690000</v>
      </c>
      <c r="M438" s="7">
        <v>1285.5</v>
      </c>
      <c r="N438" s="5">
        <v>34400000</v>
      </c>
      <c r="O438" s="5">
        <v>37400000</v>
      </c>
      <c r="P438" s="3">
        <v>0.97916666666666663</v>
      </c>
    </row>
    <row r="439" spans="1:16" x14ac:dyDescent="0.25">
      <c r="A439" t="s">
        <v>288</v>
      </c>
      <c r="B439" s="2">
        <v>43007</v>
      </c>
      <c r="C439" t="str">
        <f>+"Tuáº§n "&amp;WEEKNUM(B439)</f>
        <v>Tuáº§n 39</v>
      </c>
      <c r="D439" t="s">
        <v>21</v>
      </c>
      <c r="E439" t="s">
        <v>17</v>
      </c>
      <c r="F439" s="5">
        <v>33800000</v>
      </c>
      <c r="G439" s="5">
        <v>36800000</v>
      </c>
      <c r="H439" s="5">
        <f>+(M439*26000)/0.829426</f>
        <v>40171154.509263031</v>
      </c>
      <c r="I439" s="5">
        <f>+G439-H439</f>
        <v>-3371154.5092630312</v>
      </c>
      <c r="J439" s="5">
        <v>3000000</v>
      </c>
      <c r="K439" s="5">
        <v>3380000</v>
      </c>
      <c r="L439" s="5">
        <v>3680000</v>
      </c>
      <c r="M439" s="7">
        <v>1281.5</v>
      </c>
      <c r="N439" s="5">
        <v>34300000</v>
      </c>
      <c r="O439" s="5">
        <v>37300000</v>
      </c>
      <c r="P439" s="3">
        <v>0.97916666666666663</v>
      </c>
    </row>
    <row r="440" spans="1:16" x14ac:dyDescent="0.25">
      <c r="A440" s="2">
        <v>42776</v>
      </c>
      <c r="B440" s="2">
        <v>43010</v>
      </c>
      <c r="C440" t="str">
        <f>+"Tuáº§n "&amp;WEEKNUM(B440)</f>
        <v>Tuáº§n 40</v>
      </c>
      <c r="D440" t="s">
        <v>16</v>
      </c>
      <c r="E440" t="s">
        <v>17</v>
      </c>
      <c r="F440" s="5">
        <v>33600000</v>
      </c>
      <c r="G440" s="5">
        <v>36600000</v>
      </c>
      <c r="H440" s="5">
        <f>+(M440*26000)/0.829426</f>
        <v>39895301.087740198</v>
      </c>
      <c r="I440" s="5">
        <f>+G440-H440</f>
        <v>-3295301.0877401978</v>
      </c>
      <c r="J440" s="5">
        <v>3000000</v>
      </c>
      <c r="K440" s="5">
        <v>3360000</v>
      </c>
      <c r="L440" s="5">
        <v>3660000</v>
      </c>
      <c r="M440" s="7">
        <v>1272.7</v>
      </c>
      <c r="N440" s="5">
        <v>34100000</v>
      </c>
      <c r="O440" s="5">
        <v>37100000</v>
      </c>
      <c r="P440" s="3">
        <v>0.97916666666666663</v>
      </c>
    </row>
    <row r="441" spans="1:16" x14ac:dyDescent="0.25">
      <c r="A441" s="2">
        <v>42804</v>
      </c>
      <c r="B441" s="2">
        <v>43011</v>
      </c>
      <c r="C441" t="str">
        <f>+"Tuáº§n "&amp;WEEKNUM(B441)</f>
        <v>Tuáº§n 40</v>
      </c>
      <c r="D441" t="s">
        <v>18</v>
      </c>
      <c r="E441" t="s">
        <v>17</v>
      </c>
      <c r="F441" s="5">
        <v>33500000</v>
      </c>
      <c r="G441" s="5">
        <v>36500000</v>
      </c>
      <c r="H441" s="5">
        <f>+(M441*26000)/0.829426</f>
        <v>39857684.71207799</v>
      </c>
      <c r="I441" s="5">
        <f>+G441-H441</f>
        <v>-3357684.7120779902</v>
      </c>
      <c r="J441" s="5">
        <v>3000000</v>
      </c>
      <c r="K441" s="5">
        <v>3350000</v>
      </c>
      <c r="L441" s="5">
        <v>3650000</v>
      </c>
      <c r="M441" s="7">
        <v>1271.5</v>
      </c>
      <c r="N441" s="5">
        <v>34000000</v>
      </c>
      <c r="O441" s="5">
        <v>37000000</v>
      </c>
      <c r="P441" s="3">
        <v>0.97916666666666663</v>
      </c>
    </row>
    <row r="442" spans="1:16" x14ac:dyDescent="0.25">
      <c r="A442" s="2">
        <v>42835</v>
      </c>
      <c r="B442" s="2">
        <v>43012</v>
      </c>
      <c r="C442" t="str">
        <f>+"Tuáº§n "&amp;WEEKNUM(B442)</f>
        <v>Tuáº§n 40</v>
      </c>
      <c r="D442" t="s">
        <v>19</v>
      </c>
      <c r="E442" t="s">
        <v>17</v>
      </c>
      <c r="F442" s="5">
        <v>33600000</v>
      </c>
      <c r="G442" s="5">
        <v>36600000</v>
      </c>
      <c r="H442" s="5">
        <f>+(M442*26000)/0.829426</f>
        <v>39926648.067458704</v>
      </c>
      <c r="I442" s="5">
        <f>+G442-H442</f>
        <v>-3326648.0674587041</v>
      </c>
      <c r="J442" s="5">
        <v>3000000</v>
      </c>
      <c r="K442" s="5">
        <v>3360000</v>
      </c>
      <c r="L442" s="5">
        <v>3660000</v>
      </c>
      <c r="M442" s="7">
        <v>1273.7</v>
      </c>
      <c r="N442" s="5">
        <v>34100000</v>
      </c>
      <c r="O442" s="5">
        <v>37100000</v>
      </c>
      <c r="P442" s="3">
        <v>0.97916666666666663</v>
      </c>
    </row>
    <row r="443" spans="1:16" x14ac:dyDescent="0.25">
      <c r="A443" s="2">
        <v>42865</v>
      </c>
      <c r="B443" s="2">
        <v>43013</v>
      </c>
      <c r="C443" t="str">
        <f>+"Tuáº§n "&amp;WEEKNUM(B443)</f>
        <v>Tuáº§n 40</v>
      </c>
      <c r="D443" t="s">
        <v>20</v>
      </c>
      <c r="E443" t="s">
        <v>17</v>
      </c>
      <c r="F443" s="5">
        <v>33500000</v>
      </c>
      <c r="G443" s="5">
        <v>36500000</v>
      </c>
      <c r="H443" s="5">
        <f>+(M443*26000)/0.829426</f>
        <v>39807529.544528387</v>
      </c>
      <c r="I443" s="5">
        <f>+G443-H443</f>
        <v>-3307529.5445283875</v>
      </c>
      <c r="J443" s="5">
        <v>3000000</v>
      </c>
      <c r="K443" s="5">
        <v>3350000</v>
      </c>
      <c r="L443" s="5">
        <v>3650000</v>
      </c>
      <c r="M443" s="7">
        <v>1269.9000000000001</v>
      </c>
      <c r="N443" s="5">
        <v>34000000</v>
      </c>
      <c r="O443" s="5">
        <v>37000000</v>
      </c>
      <c r="P443" s="3">
        <v>0.97916666666666663</v>
      </c>
    </row>
    <row r="444" spans="1:16" x14ac:dyDescent="0.25">
      <c r="A444" s="2">
        <v>42896</v>
      </c>
      <c r="B444" s="2">
        <v>43014</v>
      </c>
      <c r="C444" t="str">
        <f>+"Tuáº§n "&amp;WEEKNUM(B444)</f>
        <v>Tuáº§n 40</v>
      </c>
      <c r="D444" t="s">
        <v>21</v>
      </c>
      <c r="E444" t="s">
        <v>17</v>
      </c>
      <c r="F444" s="5">
        <v>33500000</v>
      </c>
      <c r="G444" s="5">
        <v>36500000</v>
      </c>
      <c r="H444" s="5">
        <f>+(M444*26000)/0.829426</f>
        <v>39860819.410049841</v>
      </c>
      <c r="I444" s="5">
        <f>+G444-H444</f>
        <v>-3360819.4100498408</v>
      </c>
      <c r="J444" s="5">
        <v>3000000</v>
      </c>
      <c r="K444" s="5">
        <v>3350000</v>
      </c>
      <c r="L444" s="5">
        <v>3650000</v>
      </c>
      <c r="M444" s="7">
        <v>1271.5999999999999</v>
      </c>
      <c r="N444" s="5">
        <v>34000000</v>
      </c>
      <c r="O444" s="5">
        <v>37000000</v>
      </c>
      <c r="P444" s="3">
        <v>0.97916666666666663</v>
      </c>
    </row>
    <row r="445" spans="1:16" x14ac:dyDescent="0.25">
      <c r="A445" s="2">
        <v>42988</v>
      </c>
      <c r="B445" s="2">
        <v>43017</v>
      </c>
      <c r="C445" t="str">
        <f>+"Tuáº§n "&amp;WEEKNUM(B445)</f>
        <v>Tuáº§n 41</v>
      </c>
      <c r="D445" t="s">
        <v>16</v>
      </c>
      <c r="E445" t="s">
        <v>17</v>
      </c>
      <c r="F445" s="5">
        <v>33800000</v>
      </c>
      <c r="G445" s="5">
        <v>36800000</v>
      </c>
      <c r="H445" s="5">
        <f>+(M445*26000)/0.829426</f>
        <v>40180558.603178583</v>
      </c>
      <c r="I445" s="5">
        <f>+G445-H445</f>
        <v>-3380558.6031785831</v>
      </c>
      <c r="J445" s="5">
        <v>3000000</v>
      </c>
      <c r="K445" s="5">
        <v>3380000</v>
      </c>
      <c r="L445" s="5">
        <v>3680000</v>
      </c>
      <c r="M445" s="7">
        <v>1281.8</v>
      </c>
      <c r="N445" s="5">
        <v>34300000</v>
      </c>
      <c r="O445" s="5">
        <v>37300000</v>
      </c>
      <c r="P445" s="3">
        <v>0.97916666666666663</v>
      </c>
    </row>
    <row r="446" spans="1:16" x14ac:dyDescent="0.25">
      <c r="A446" s="2">
        <v>43018</v>
      </c>
      <c r="B446" s="2">
        <v>43018</v>
      </c>
      <c r="C446" t="str">
        <f>+"Tuáº§n "&amp;WEEKNUM(B446)</f>
        <v>Tuáº§n 41</v>
      </c>
      <c r="D446" t="s">
        <v>18</v>
      </c>
      <c r="E446" t="s">
        <v>17</v>
      </c>
      <c r="F446" s="5">
        <v>34100000</v>
      </c>
      <c r="G446" s="5">
        <v>37100000</v>
      </c>
      <c r="H446" s="5">
        <f>+(M446*26000)/0.829426</f>
        <v>40456412.024701416</v>
      </c>
      <c r="I446" s="5">
        <f>+G446-H446</f>
        <v>-3356412.0247014165</v>
      </c>
      <c r="J446" s="5">
        <v>3000000</v>
      </c>
      <c r="K446" s="5">
        <v>3410000</v>
      </c>
      <c r="L446" s="5">
        <v>3710000</v>
      </c>
      <c r="M446" s="7">
        <v>1290.5999999999999</v>
      </c>
      <c r="N446" s="5">
        <v>34600000</v>
      </c>
      <c r="O446" s="5">
        <v>37600000</v>
      </c>
      <c r="P446" s="3">
        <v>0.97916666666666663</v>
      </c>
    </row>
    <row r="447" spans="1:16" x14ac:dyDescent="0.25">
      <c r="A447" s="2">
        <v>43049</v>
      </c>
      <c r="B447" s="2">
        <v>43019</v>
      </c>
      <c r="C447" t="str">
        <f>+"Tuáº§n "&amp;WEEKNUM(B447)</f>
        <v>Tuáº§n 41</v>
      </c>
      <c r="D447" t="s">
        <v>19</v>
      </c>
      <c r="E447" t="s">
        <v>17</v>
      </c>
      <c r="F447" s="5">
        <v>33900000</v>
      </c>
      <c r="G447" s="5">
        <v>36900000</v>
      </c>
      <c r="H447" s="5">
        <f>+(M447*26000)/0.829426</f>
        <v>40305946.522052601</v>
      </c>
      <c r="I447" s="5">
        <f>+G447-H447</f>
        <v>-3405946.522052601</v>
      </c>
      <c r="J447" s="5">
        <v>3000000</v>
      </c>
      <c r="K447" s="5">
        <v>3390000</v>
      </c>
      <c r="L447" s="5">
        <v>3690000</v>
      </c>
      <c r="M447" s="7">
        <v>1285.8</v>
      </c>
      <c r="N447" s="5">
        <v>34400000</v>
      </c>
      <c r="O447" s="5">
        <v>37400000</v>
      </c>
      <c r="P447" s="3">
        <v>0.97916666666666663</v>
      </c>
    </row>
    <row r="448" spans="1:16" x14ac:dyDescent="0.25">
      <c r="A448" s="2">
        <v>43079</v>
      </c>
      <c r="B448" s="2">
        <v>43020</v>
      </c>
      <c r="C448" t="str">
        <f>+"Tuáº§n "&amp;WEEKNUM(B448)</f>
        <v>Tuáº§n 41</v>
      </c>
      <c r="D448" t="s">
        <v>20</v>
      </c>
      <c r="E448" t="s">
        <v>17</v>
      </c>
      <c r="F448" s="5">
        <v>34200000</v>
      </c>
      <c r="G448" s="5">
        <v>37200000</v>
      </c>
      <c r="H448" s="5">
        <f>+(M448*26000)/0.829426</f>
        <v>40541048.869941384</v>
      </c>
      <c r="I448" s="5">
        <f>+G448-H448</f>
        <v>-3341048.8699413836</v>
      </c>
      <c r="J448" s="5">
        <v>3000000</v>
      </c>
      <c r="K448" s="5">
        <v>3420000</v>
      </c>
      <c r="L448" s="5">
        <v>3720000</v>
      </c>
      <c r="M448" s="7">
        <v>1293.3</v>
      </c>
      <c r="N448" s="5">
        <v>34700000</v>
      </c>
      <c r="O448" s="5">
        <v>37700000</v>
      </c>
      <c r="P448" s="3">
        <v>0.97916666666666663</v>
      </c>
    </row>
    <row r="449" spans="1:16" x14ac:dyDescent="0.25">
      <c r="A449" t="s">
        <v>289</v>
      </c>
      <c r="B449" s="2">
        <v>43021</v>
      </c>
      <c r="C449" t="str">
        <f>+"Tuáº§n "&amp;WEEKNUM(B449)</f>
        <v>Tuáº§n 41</v>
      </c>
      <c r="D449" t="s">
        <v>21</v>
      </c>
      <c r="E449" t="s">
        <v>17</v>
      </c>
      <c r="F449" s="5">
        <v>34400000</v>
      </c>
      <c r="G449" s="5">
        <v>37400000</v>
      </c>
      <c r="H449" s="5">
        <f>+(M449*26000)/0.829426</f>
        <v>40798094.103633113</v>
      </c>
      <c r="I449" s="5">
        <f>+G449-H449</f>
        <v>-3398094.1036331132</v>
      </c>
      <c r="J449" s="5">
        <v>3000000</v>
      </c>
      <c r="K449" s="5">
        <v>3440000</v>
      </c>
      <c r="L449" s="5">
        <v>3740000</v>
      </c>
      <c r="M449" s="7">
        <v>1301.5</v>
      </c>
      <c r="N449" s="5">
        <v>34900000</v>
      </c>
      <c r="O449" s="5">
        <v>37900000</v>
      </c>
      <c r="P449" s="3">
        <v>0.97916666666666663</v>
      </c>
    </row>
    <row r="450" spans="1:16" x14ac:dyDescent="0.25">
      <c r="A450" t="s">
        <v>290</v>
      </c>
      <c r="B450" s="2">
        <v>43024</v>
      </c>
      <c r="C450" t="str">
        <f>+"Tuáº§n "&amp;WEEKNUM(B450)</f>
        <v>Tuáº§n 42</v>
      </c>
      <c r="D450" t="s">
        <v>16</v>
      </c>
      <c r="E450" t="s">
        <v>17</v>
      </c>
      <c r="F450" s="5">
        <v>34400000</v>
      </c>
      <c r="G450" s="5">
        <v>37400000</v>
      </c>
      <c r="H450" s="5">
        <f>+(M450*26000)/0.829426</f>
        <v>40747938.936083511</v>
      </c>
      <c r="I450" s="5">
        <f>+G450-H450</f>
        <v>-3347938.9360835105</v>
      </c>
      <c r="J450" s="5">
        <v>3000000</v>
      </c>
      <c r="K450" s="5">
        <v>3440000</v>
      </c>
      <c r="L450" s="5">
        <v>3740000</v>
      </c>
      <c r="M450" s="7">
        <v>1299.9000000000001</v>
      </c>
      <c r="N450" s="5">
        <v>34900000</v>
      </c>
      <c r="O450" s="5">
        <v>37900000</v>
      </c>
      <c r="P450" s="3">
        <v>0.97916666666666663</v>
      </c>
    </row>
    <row r="451" spans="1:16" x14ac:dyDescent="0.25">
      <c r="A451" t="s">
        <v>291</v>
      </c>
      <c r="B451" s="2">
        <v>43025</v>
      </c>
      <c r="C451" t="str">
        <f>+"Tuáº§n "&amp;WEEKNUM(B451)</f>
        <v>Tuáº§n 42</v>
      </c>
      <c r="D451" t="s">
        <v>18</v>
      </c>
      <c r="E451" t="s">
        <v>17</v>
      </c>
      <c r="F451" s="5">
        <v>33900000</v>
      </c>
      <c r="G451" s="5">
        <v>36900000</v>
      </c>
      <c r="H451" s="5">
        <f>+(M451*26000)/0.829426</f>
        <v>40218174.978840791</v>
      </c>
      <c r="I451" s="5">
        <f>+G451-H451</f>
        <v>-3318174.9788407907</v>
      </c>
      <c r="J451" s="5">
        <v>3000000</v>
      </c>
      <c r="K451" s="5">
        <v>3390000</v>
      </c>
      <c r="L451" s="5">
        <v>3690000</v>
      </c>
      <c r="M451" s="7">
        <v>1283</v>
      </c>
      <c r="N451" s="5">
        <v>34400000</v>
      </c>
      <c r="O451" s="5">
        <v>37400000</v>
      </c>
      <c r="P451" s="3">
        <v>0.97916666666666663</v>
      </c>
    </row>
    <row r="452" spans="1:16" x14ac:dyDescent="0.25">
      <c r="A452" t="s">
        <v>292</v>
      </c>
      <c r="B452" s="2">
        <v>43026</v>
      </c>
      <c r="C452" t="str">
        <f>+"Tuáº§n "&amp;WEEKNUM(B452)</f>
        <v>Tuáº§n 42</v>
      </c>
      <c r="D452" t="s">
        <v>19</v>
      </c>
      <c r="E452" t="s">
        <v>17</v>
      </c>
      <c r="F452" s="5">
        <v>33800000</v>
      </c>
      <c r="G452" s="5">
        <v>36800000</v>
      </c>
      <c r="H452" s="5">
        <f>+(M452*26000)/0.829426</f>
        <v>40120999.341713428</v>
      </c>
      <c r="I452" s="5">
        <f>+G452-H452</f>
        <v>-3320999.3417134285</v>
      </c>
      <c r="J452" s="5">
        <v>3000000</v>
      </c>
      <c r="K452" s="5">
        <v>3380000</v>
      </c>
      <c r="L452" s="5">
        <v>3680000</v>
      </c>
      <c r="M452" s="7">
        <v>1279.9000000000001</v>
      </c>
      <c r="N452" s="5">
        <v>34300000</v>
      </c>
      <c r="O452" s="5">
        <v>37300000</v>
      </c>
      <c r="P452" s="3">
        <v>0.97916666666666663</v>
      </c>
    </row>
    <row r="453" spans="1:16" x14ac:dyDescent="0.25">
      <c r="A453" t="s">
        <v>293</v>
      </c>
      <c r="B453" s="2">
        <v>43027</v>
      </c>
      <c r="C453" t="str">
        <f>+"Tuáº§n "&amp;WEEKNUM(B453)</f>
        <v>Tuáº§n 42</v>
      </c>
      <c r="D453" t="s">
        <v>20</v>
      </c>
      <c r="E453" t="s">
        <v>17</v>
      </c>
      <c r="F453" s="5">
        <v>34000000</v>
      </c>
      <c r="G453" s="5">
        <v>37000000</v>
      </c>
      <c r="H453" s="5">
        <f>+(M453*26000)/0.829426</f>
        <v>40340428.199742958</v>
      </c>
      <c r="I453" s="5">
        <f>+G453-H453</f>
        <v>-3340428.1997429579</v>
      </c>
      <c r="J453" s="5">
        <v>3000000</v>
      </c>
      <c r="K453" s="5">
        <v>3400000</v>
      </c>
      <c r="L453" s="5">
        <v>3700000</v>
      </c>
      <c r="M453" s="7">
        <v>1286.9000000000001</v>
      </c>
      <c r="N453" s="5">
        <v>34500000</v>
      </c>
      <c r="O453" s="5">
        <v>37500000</v>
      </c>
      <c r="P453" s="3">
        <v>0.97916666666666663</v>
      </c>
    </row>
    <row r="454" spans="1:16" x14ac:dyDescent="0.25">
      <c r="A454" t="s">
        <v>294</v>
      </c>
      <c r="B454" s="2">
        <v>43028</v>
      </c>
      <c r="C454" t="str">
        <f>+"Tuáº§n "&amp;WEEKNUM(B454)</f>
        <v>Tuáº§n 42</v>
      </c>
      <c r="D454" t="s">
        <v>21</v>
      </c>
      <c r="E454" t="s">
        <v>17</v>
      </c>
      <c r="F454" s="5">
        <v>33700000</v>
      </c>
      <c r="G454" s="5">
        <v>36700000</v>
      </c>
      <c r="H454" s="5">
        <f>+(M454*26000)/0.829426</f>
        <v>40042631.89241717</v>
      </c>
      <c r="I454" s="5">
        <f>+G454-H454</f>
        <v>-3342631.8924171701</v>
      </c>
      <c r="J454" s="5">
        <v>3000000</v>
      </c>
      <c r="K454" s="5">
        <v>3370000</v>
      </c>
      <c r="L454" s="5">
        <v>3670000</v>
      </c>
      <c r="M454" s="7">
        <v>1277.4000000000001</v>
      </c>
      <c r="N454" s="5">
        <v>34200000</v>
      </c>
      <c r="O454" s="5">
        <v>37200000</v>
      </c>
      <c r="P454" s="3">
        <v>0.97916666666666663</v>
      </c>
    </row>
    <row r="455" spans="1:16" x14ac:dyDescent="0.25">
      <c r="A455" t="s">
        <v>295</v>
      </c>
      <c r="B455" s="2">
        <v>43031</v>
      </c>
      <c r="C455" t="str">
        <f>+"Tuáº§n "&amp;WEEKNUM(B455)</f>
        <v>Tuáº§n 43</v>
      </c>
      <c r="D455" t="s">
        <v>16</v>
      </c>
      <c r="E455" t="s">
        <v>17</v>
      </c>
      <c r="F455" s="5">
        <v>33700000</v>
      </c>
      <c r="G455" s="5">
        <v>36700000</v>
      </c>
      <c r="H455" s="5">
        <f>+(M455*26000)/0.829426</f>
        <v>40052035.986332715</v>
      </c>
      <c r="I455" s="5">
        <f>+G455-H455</f>
        <v>-3352035.9863327146</v>
      </c>
      <c r="J455" s="5">
        <v>3000000</v>
      </c>
      <c r="K455" s="5">
        <v>3370000</v>
      </c>
      <c r="L455" s="5">
        <v>3670000</v>
      </c>
      <c r="M455" s="7">
        <v>1277.7</v>
      </c>
      <c r="N455" s="5">
        <v>34200000</v>
      </c>
      <c r="O455" s="5">
        <v>37200000</v>
      </c>
      <c r="P455" s="3">
        <v>0.97916666666666663</v>
      </c>
    </row>
    <row r="456" spans="1:16" x14ac:dyDescent="0.25">
      <c r="A456" t="s">
        <v>296</v>
      </c>
      <c r="B456" s="2">
        <v>43032</v>
      </c>
      <c r="C456" t="str">
        <f>+"Tuáº§n "&amp;WEEKNUM(B456)</f>
        <v>Tuáº§n 43</v>
      </c>
      <c r="D456" t="s">
        <v>18</v>
      </c>
      <c r="E456" t="s">
        <v>17</v>
      </c>
      <c r="F456" s="5">
        <v>33600000</v>
      </c>
      <c r="G456" s="5">
        <v>36600000</v>
      </c>
      <c r="H456" s="5">
        <f>+(M456*26000)/0.829426</f>
        <v>39967399.141092755</v>
      </c>
      <c r="I456" s="5">
        <f>+G456-H456</f>
        <v>-3367399.1410927549</v>
      </c>
      <c r="J456" s="5">
        <v>3000000</v>
      </c>
      <c r="K456" s="5">
        <v>3360000</v>
      </c>
      <c r="L456" s="5">
        <v>3660000</v>
      </c>
      <c r="M456" s="7">
        <v>1275</v>
      </c>
      <c r="N456" s="5">
        <v>34100000</v>
      </c>
      <c r="O456" s="5">
        <v>37100000</v>
      </c>
      <c r="P456" s="3">
        <v>0.97916666666666663</v>
      </c>
    </row>
    <row r="457" spans="1:16" x14ac:dyDescent="0.25">
      <c r="A457" t="s">
        <v>297</v>
      </c>
      <c r="B457" s="2">
        <v>43033</v>
      </c>
      <c r="C457" t="str">
        <f>+"Tuáº§n "&amp;WEEKNUM(B457)</f>
        <v>Tuáº§n 43</v>
      </c>
      <c r="D457" t="s">
        <v>19</v>
      </c>
      <c r="E457" t="s">
        <v>17</v>
      </c>
      <c r="F457" s="5">
        <v>33700000</v>
      </c>
      <c r="G457" s="5">
        <v>36700000</v>
      </c>
      <c r="H457" s="5">
        <f>+(M457*26000)/0.829426</f>
        <v>39979937.932980165</v>
      </c>
      <c r="I457" s="5">
        <f>+G457-H457</f>
        <v>-3279937.9329801649</v>
      </c>
      <c r="J457" s="5">
        <v>3000000</v>
      </c>
      <c r="K457" s="5">
        <v>3370000</v>
      </c>
      <c r="L457" s="5">
        <v>3670000</v>
      </c>
      <c r="M457" s="7">
        <v>1275.4000000000001</v>
      </c>
      <c r="N457" s="5">
        <v>34200000</v>
      </c>
      <c r="O457" s="5">
        <v>37200000</v>
      </c>
      <c r="P457" s="3">
        <v>0.97916666666666663</v>
      </c>
    </row>
    <row r="458" spans="1:16" x14ac:dyDescent="0.25">
      <c r="A458" t="s">
        <v>298</v>
      </c>
      <c r="B458" s="2">
        <v>43034</v>
      </c>
      <c r="C458" t="str">
        <f>+"Tuáº§n "&amp;WEEKNUM(B458)</f>
        <v>Tuáº§n 43</v>
      </c>
      <c r="D458" t="s">
        <v>20</v>
      </c>
      <c r="E458" t="s">
        <v>17</v>
      </c>
      <c r="F458" s="5">
        <v>33400000</v>
      </c>
      <c r="G458" s="5">
        <v>36400000</v>
      </c>
      <c r="H458" s="5">
        <f>+(M458*26000)/0.829426</f>
        <v>39694680.417541772</v>
      </c>
      <c r="I458" s="5">
        <f>+G458-H458</f>
        <v>-3294680.4175417721</v>
      </c>
      <c r="J458" s="5">
        <v>3000000</v>
      </c>
      <c r="K458" s="5">
        <v>3340000</v>
      </c>
      <c r="L458" s="5">
        <v>3640000</v>
      </c>
      <c r="M458" s="7">
        <v>1266.3</v>
      </c>
      <c r="N458" s="5">
        <v>33900000</v>
      </c>
      <c r="O458" s="5">
        <v>36900000</v>
      </c>
      <c r="P458" s="3">
        <v>0.97916666666666663</v>
      </c>
    </row>
    <row r="459" spans="1:16" x14ac:dyDescent="0.25">
      <c r="A459" t="s">
        <v>299</v>
      </c>
      <c r="B459" s="2">
        <v>43035</v>
      </c>
      <c r="C459" t="str">
        <f>+"Tuáº§n "&amp;WEEKNUM(B459)</f>
        <v>Tuáº§n 43</v>
      </c>
      <c r="D459" t="s">
        <v>21</v>
      </c>
      <c r="E459" t="s">
        <v>17</v>
      </c>
      <c r="F459" s="5">
        <v>33500000</v>
      </c>
      <c r="G459" s="5">
        <v>36500000</v>
      </c>
      <c r="H459" s="5">
        <f>+(M459*26000)/0.829426</f>
        <v>39763643.772922479</v>
      </c>
      <c r="I459" s="5">
        <f>+G459-H459</f>
        <v>-3263643.7729224786</v>
      </c>
      <c r="J459" s="5">
        <v>3000000</v>
      </c>
      <c r="K459" s="5">
        <v>3350000</v>
      </c>
      <c r="L459" s="5">
        <v>3650000</v>
      </c>
      <c r="M459" s="7">
        <v>1268.5</v>
      </c>
      <c r="N459" s="5">
        <v>34000000</v>
      </c>
      <c r="O459" s="5">
        <v>37000000</v>
      </c>
      <c r="P459" s="3">
        <v>0.97916666666666663</v>
      </c>
    </row>
    <row r="460" spans="1:16" x14ac:dyDescent="0.25">
      <c r="A460" t="s">
        <v>300</v>
      </c>
      <c r="B460" s="2">
        <v>43038</v>
      </c>
      <c r="C460" t="str">
        <f>+"Tuáº§n "&amp;WEEKNUM(B460)</f>
        <v>Tuáº§n 44</v>
      </c>
      <c r="D460" t="s">
        <v>16</v>
      </c>
      <c r="E460" t="s">
        <v>17</v>
      </c>
      <c r="F460" s="5">
        <v>33600000</v>
      </c>
      <c r="G460" s="5">
        <v>36600000</v>
      </c>
      <c r="H460" s="5">
        <f>+(M460*26000)/0.829426</f>
        <v>39939186.859346099</v>
      </c>
      <c r="I460" s="5">
        <f>+G460-H460</f>
        <v>-3339186.8593460992</v>
      </c>
      <c r="J460" s="5">
        <v>3000000</v>
      </c>
      <c r="K460" s="5">
        <v>3360000</v>
      </c>
      <c r="L460" s="5">
        <v>3660000</v>
      </c>
      <c r="M460" s="7">
        <v>1274.0999999999999</v>
      </c>
      <c r="N460" s="5">
        <v>34100000</v>
      </c>
      <c r="O460" s="5">
        <v>37100000</v>
      </c>
      <c r="P460" s="3">
        <v>0.97916666666666663</v>
      </c>
    </row>
    <row r="461" spans="1:16" x14ac:dyDescent="0.25">
      <c r="A461" t="s">
        <v>301</v>
      </c>
      <c r="B461" s="2">
        <v>43039</v>
      </c>
      <c r="C461" t="str">
        <f>+"Tuáº§n "&amp;WEEKNUM(B461)</f>
        <v>Tuáº§n 44</v>
      </c>
      <c r="D461" t="s">
        <v>18</v>
      </c>
      <c r="E461" t="s">
        <v>17</v>
      </c>
      <c r="F461" s="5">
        <v>33400000</v>
      </c>
      <c r="G461" s="5">
        <v>36400000</v>
      </c>
      <c r="H461" s="5">
        <f>+(M461*26000)/0.829426</f>
        <v>39716623.303344727</v>
      </c>
      <c r="I461" s="5">
        <f>+G461-H461</f>
        <v>-3316623.3033447266</v>
      </c>
      <c r="J461" s="5">
        <v>3000000</v>
      </c>
      <c r="K461" s="5">
        <v>3340000</v>
      </c>
      <c r="L461" s="5">
        <v>3640000</v>
      </c>
      <c r="M461" s="7">
        <v>1267</v>
      </c>
      <c r="N461" s="5">
        <v>33900000</v>
      </c>
      <c r="O461" s="5">
        <v>36900000</v>
      </c>
      <c r="P461" s="3">
        <v>0.97916666666666663</v>
      </c>
    </row>
    <row r="462" spans="1:16" x14ac:dyDescent="0.25">
      <c r="A462" s="2">
        <v>42746</v>
      </c>
      <c r="B462" s="2">
        <v>43040</v>
      </c>
      <c r="C462" t="str">
        <f>+"Tuáº§n "&amp;WEEKNUM(B462)</f>
        <v>Tuáº§n 44</v>
      </c>
      <c r="D462" t="s">
        <v>19</v>
      </c>
      <c r="E462" t="s">
        <v>17</v>
      </c>
      <c r="F462" s="5">
        <v>33600000</v>
      </c>
      <c r="G462" s="5">
        <v>36600000</v>
      </c>
      <c r="H462" s="5">
        <f>+(M462*26000)/0.829426</f>
        <v>39939186.859346099</v>
      </c>
      <c r="I462" s="5">
        <f>+G462-H462</f>
        <v>-3339186.8593460992</v>
      </c>
      <c r="J462" s="5">
        <v>3000000</v>
      </c>
      <c r="K462" s="5">
        <v>3360000</v>
      </c>
      <c r="L462" s="5">
        <v>3660000</v>
      </c>
      <c r="M462" s="7">
        <v>1274.0999999999999</v>
      </c>
      <c r="N462" s="5">
        <v>34100000</v>
      </c>
      <c r="O462" s="5">
        <v>37100000</v>
      </c>
      <c r="P462" s="3">
        <v>0.97916666666666663</v>
      </c>
    </row>
    <row r="463" spans="1:16" x14ac:dyDescent="0.25">
      <c r="A463" s="2">
        <v>42777</v>
      </c>
      <c r="B463" s="2">
        <v>43041</v>
      </c>
      <c r="C463" t="str">
        <f>+"Tuáº§n "&amp;WEEKNUM(B463)</f>
        <v>Tuáº§n 44</v>
      </c>
      <c r="D463" t="s">
        <v>20</v>
      </c>
      <c r="E463" t="s">
        <v>17</v>
      </c>
      <c r="F463" s="5">
        <v>33600000</v>
      </c>
      <c r="G463" s="5">
        <v>36600000</v>
      </c>
      <c r="H463" s="5">
        <f>+(M463*26000)/0.829426</f>
        <v>39964264.443120912</v>
      </c>
      <c r="I463" s="5">
        <f>+G463-H463</f>
        <v>-3364264.4431209117</v>
      </c>
      <c r="J463" s="5">
        <v>3000000</v>
      </c>
      <c r="K463" s="5">
        <v>3360000</v>
      </c>
      <c r="L463" s="5">
        <v>3660000</v>
      </c>
      <c r="M463" s="7">
        <v>1274.9000000000001</v>
      </c>
      <c r="N463" s="5">
        <v>34100000</v>
      </c>
      <c r="O463" s="5">
        <v>37100000</v>
      </c>
      <c r="P463" s="3">
        <v>0.97916666666666663</v>
      </c>
    </row>
    <row r="464" spans="1:16" x14ac:dyDescent="0.25">
      <c r="A464" s="2">
        <v>42805</v>
      </c>
      <c r="B464" s="2">
        <v>43042</v>
      </c>
      <c r="C464" t="str">
        <f>+"Tuáº§n "&amp;WEEKNUM(B464)</f>
        <v>Tuáº§n 44</v>
      </c>
      <c r="D464" t="s">
        <v>21</v>
      </c>
      <c r="E464" t="s">
        <v>17</v>
      </c>
      <c r="F464" s="5">
        <v>33400000</v>
      </c>
      <c r="G464" s="5">
        <v>36400000</v>
      </c>
      <c r="H464" s="5">
        <f>+(M464*26000)/0.829426</f>
        <v>39700949.813485473</v>
      </c>
      <c r="I464" s="5">
        <f>+G464-H464</f>
        <v>-3300949.8134854734</v>
      </c>
      <c r="J464" s="5">
        <v>3000000</v>
      </c>
      <c r="K464" s="5">
        <v>3340000</v>
      </c>
      <c r="L464" s="5">
        <v>3640000</v>
      </c>
      <c r="M464" s="7">
        <v>1266.5</v>
      </c>
      <c r="N464" s="5">
        <v>33900000</v>
      </c>
      <c r="O464" s="5">
        <v>36900000</v>
      </c>
      <c r="P464" s="3">
        <v>0.97916666666666663</v>
      </c>
    </row>
    <row r="465" spans="1:16" x14ac:dyDescent="0.25">
      <c r="A465" s="2">
        <v>42897</v>
      </c>
      <c r="B465" s="2">
        <v>43045</v>
      </c>
      <c r="C465" t="str">
        <f>+"Tuáº§n "&amp;WEEKNUM(B465)</f>
        <v>Tuáº§n 45</v>
      </c>
      <c r="D465" t="s">
        <v>16</v>
      </c>
      <c r="E465" t="s">
        <v>17</v>
      </c>
      <c r="F465" s="5">
        <v>33800000</v>
      </c>
      <c r="G465" s="5">
        <v>36800000</v>
      </c>
      <c r="H465" s="5">
        <f>+(M465*26000)/0.829426</f>
        <v>40105325.851854175</v>
      </c>
      <c r="I465" s="5">
        <f>+G465-H465</f>
        <v>-3305325.8518541753</v>
      </c>
      <c r="J465" s="5">
        <v>3000000</v>
      </c>
      <c r="K465" s="5">
        <v>3380000</v>
      </c>
      <c r="L465" s="5">
        <v>3680000</v>
      </c>
      <c r="M465" s="7">
        <v>1279.4000000000001</v>
      </c>
      <c r="N465" s="5">
        <v>34300000</v>
      </c>
      <c r="O465" s="5">
        <v>37300000</v>
      </c>
      <c r="P465" s="3">
        <v>0.97916666666666663</v>
      </c>
    </row>
    <row r="466" spans="1:16" x14ac:dyDescent="0.25">
      <c r="A466" s="2">
        <v>42927</v>
      </c>
      <c r="B466" s="2">
        <v>43046</v>
      </c>
      <c r="C466" t="str">
        <f>+"Tuáº§n "&amp;WEEKNUM(B466)</f>
        <v>Tuáº§n 45</v>
      </c>
      <c r="D466" t="s">
        <v>18</v>
      </c>
      <c r="E466" t="s">
        <v>17</v>
      </c>
      <c r="F466" s="5">
        <v>33600000</v>
      </c>
      <c r="G466" s="5">
        <v>36600000</v>
      </c>
      <c r="H466" s="5">
        <f>+(M466*26000)/0.829426</f>
        <v>39926648.067458704</v>
      </c>
      <c r="I466" s="5">
        <f>+G466-H466</f>
        <v>-3326648.0674587041</v>
      </c>
      <c r="J466" s="5">
        <v>3000000</v>
      </c>
      <c r="K466" s="5">
        <v>3360000</v>
      </c>
      <c r="L466" s="5">
        <v>3660000</v>
      </c>
      <c r="M466" s="7">
        <v>1273.7</v>
      </c>
      <c r="N466" s="5">
        <v>34100000</v>
      </c>
      <c r="O466" s="5">
        <v>37100000</v>
      </c>
      <c r="P466" s="3">
        <v>0.97916666666666663</v>
      </c>
    </row>
    <row r="467" spans="1:16" x14ac:dyDescent="0.25">
      <c r="A467" s="2">
        <v>42958</v>
      </c>
      <c r="B467" s="2">
        <v>43047</v>
      </c>
      <c r="C467" t="str">
        <f>+"Tuáº§n "&amp;WEEKNUM(B467)</f>
        <v>Tuáº§n 45</v>
      </c>
      <c r="D467" t="s">
        <v>19</v>
      </c>
      <c r="E467" t="s">
        <v>17</v>
      </c>
      <c r="F467" s="5">
        <v>33800000</v>
      </c>
      <c r="G467" s="5">
        <v>36800000</v>
      </c>
      <c r="H467" s="5">
        <f>+(M467*26000)/0.829426</f>
        <v>40174289.207234882</v>
      </c>
      <c r="I467" s="5">
        <f>+G467-H467</f>
        <v>-3374289.2072348818</v>
      </c>
      <c r="J467" s="5">
        <v>3000000</v>
      </c>
      <c r="K467" s="5">
        <v>3380000</v>
      </c>
      <c r="L467" s="5">
        <v>3680000</v>
      </c>
      <c r="M467" s="7">
        <v>1281.5999999999999</v>
      </c>
      <c r="N467" s="5">
        <v>34300000</v>
      </c>
      <c r="O467" s="5">
        <v>37300000</v>
      </c>
      <c r="P467" s="3">
        <v>0.97916666666666663</v>
      </c>
    </row>
    <row r="468" spans="1:16" x14ac:dyDescent="0.25">
      <c r="A468" s="2">
        <v>42989</v>
      </c>
      <c r="B468" s="2">
        <v>43048</v>
      </c>
      <c r="C468" t="str">
        <f>+"Tuáº§n "&amp;WEEKNUM(B468)</f>
        <v>Tuáº§n 45</v>
      </c>
      <c r="D468" t="s">
        <v>20</v>
      </c>
      <c r="E468" t="s">
        <v>17</v>
      </c>
      <c r="F468" s="5">
        <v>33900000</v>
      </c>
      <c r="G468" s="5">
        <v>36900000</v>
      </c>
      <c r="H468" s="5">
        <f>+(M468*26000)/0.829426</f>
        <v>40299677.126108892</v>
      </c>
      <c r="I468" s="5">
        <f>+G468-H468</f>
        <v>-3399677.1261088923</v>
      </c>
      <c r="J468" s="5">
        <v>3000000</v>
      </c>
      <c r="K468" s="5">
        <v>3390000</v>
      </c>
      <c r="L468" s="5">
        <v>3690000</v>
      </c>
      <c r="M468" s="7">
        <v>1285.5999999999999</v>
      </c>
      <c r="N468" s="5">
        <v>34400000</v>
      </c>
      <c r="O468" s="5">
        <v>37400000</v>
      </c>
      <c r="P468" s="3">
        <v>0.97916666666666663</v>
      </c>
    </row>
    <row r="469" spans="1:16" x14ac:dyDescent="0.25">
      <c r="A469" s="2">
        <v>43019</v>
      </c>
      <c r="B469" s="2">
        <v>43049</v>
      </c>
      <c r="C469" t="str">
        <f>+"Tuáº§n "&amp;WEEKNUM(B469)</f>
        <v>Tuáº§n 45</v>
      </c>
      <c r="D469" t="s">
        <v>21</v>
      </c>
      <c r="E469" t="s">
        <v>17</v>
      </c>
      <c r="F469" s="5">
        <v>33600000</v>
      </c>
      <c r="G469" s="5">
        <v>36600000</v>
      </c>
      <c r="H469" s="5">
        <f>+(M469*26000)/0.829426</f>
        <v>39885896.993824653</v>
      </c>
      <c r="I469" s="5">
        <f>+G469-H469</f>
        <v>-3285896.9938246533</v>
      </c>
      <c r="J469" s="5">
        <v>3000000</v>
      </c>
      <c r="K469" s="5">
        <v>3360000</v>
      </c>
      <c r="L469" s="5">
        <v>3660000</v>
      </c>
      <c r="M469" s="7">
        <v>1272.4000000000001</v>
      </c>
      <c r="N469" s="5">
        <v>34100000</v>
      </c>
      <c r="O469" s="5">
        <v>37100000</v>
      </c>
      <c r="P469" s="3">
        <v>0.97916666666666663</v>
      </c>
    </row>
    <row r="470" spans="1:16" x14ac:dyDescent="0.25">
      <c r="A470" t="s">
        <v>302</v>
      </c>
      <c r="B470" s="2">
        <v>43052</v>
      </c>
      <c r="C470" t="str">
        <f>+"Tuáº§n "&amp;WEEKNUM(B470)</f>
        <v>Tuáº§n 46</v>
      </c>
      <c r="D470" t="s">
        <v>16</v>
      </c>
      <c r="E470" t="s">
        <v>17</v>
      </c>
      <c r="F470" s="5">
        <v>33700000</v>
      </c>
      <c r="G470" s="5">
        <v>36700000</v>
      </c>
      <c r="H470" s="5">
        <f>+(M470*26000)/0.829426</f>
        <v>40039497.194445312</v>
      </c>
      <c r="I470" s="5">
        <f>+G470-H470</f>
        <v>-3339497.194445312</v>
      </c>
      <c r="J470" s="5">
        <v>3000000</v>
      </c>
      <c r="K470" s="5">
        <v>3370000</v>
      </c>
      <c r="L470" s="5">
        <v>3670000</v>
      </c>
      <c r="M470" s="7">
        <v>1277.3</v>
      </c>
      <c r="N470" s="5">
        <v>34200000</v>
      </c>
      <c r="O470" s="5">
        <v>37200000</v>
      </c>
      <c r="P470" s="3">
        <v>0.97916666666666663</v>
      </c>
    </row>
    <row r="471" spans="1:16" x14ac:dyDescent="0.25">
      <c r="A471" t="s">
        <v>303</v>
      </c>
      <c r="B471" s="2">
        <v>43053</v>
      </c>
      <c r="C471" t="str">
        <f>+"Tuáº§n "&amp;WEEKNUM(B471)</f>
        <v>Tuáº§n 46</v>
      </c>
      <c r="D471" t="s">
        <v>18</v>
      </c>
      <c r="E471" t="s">
        <v>17</v>
      </c>
      <c r="F471" s="5">
        <v>33800000</v>
      </c>
      <c r="G471" s="5">
        <v>36800000</v>
      </c>
      <c r="H471" s="5">
        <f>+(M471*26000)/0.829426</f>
        <v>40171154.509263031</v>
      </c>
      <c r="I471" s="5">
        <f>+G471-H471</f>
        <v>-3371154.5092630312</v>
      </c>
      <c r="J471" s="5">
        <v>3000000</v>
      </c>
      <c r="K471" s="5">
        <v>3380000</v>
      </c>
      <c r="L471" s="5">
        <v>3680000</v>
      </c>
      <c r="M471" s="7">
        <v>1281.5</v>
      </c>
      <c r="N471" s="5">
        <v>34300000</v>
      </c>
      <c r="O471" s="5">
        <v>37300000</v>
      </c>
      <c r="P471" s="3">
        <v>0.97916666666666663</v>
      </c>
    </row>
    <row r="472" spans="1:16" x14ac:dyDescent="0.25">
      <c r="A472" t="s">
        <v>304</v>
      </c>
      <c r="B472" s="2">
        <v>43054</v>
      </c>
      <c r="C472" t="str">
        <f>+"Tuáº§n "&amp;WEEKNUM(B472)</f>
        <v>Tuáº§n 46</v>
      </c>
      <c r="D472" t="s">
        <v>19</v>
      </c>
      <c r="E472" t="s">
        <v>17</v>
      </c>
      <c r="F472" s="5">
        <v>33700000</v>
      </c>
      <c r="G472" s="5">
        <v>36700000</v>
      </c>
      <c r="H472" s="5">
        <f>+(M472*26000)/0.829426</f>
        <v>40014419.610670514</v>
      </c>
      <c r="I472" s="5">
        <f>+G472-H472</f>
        <v>-3314419.6106705144</v>
      </c>
      <c r="J472" s="5">
        <v>3000000</v>
      </c>
      <c r="K472" s="5">
        <v>3370000</v>
      </c>
      <c r="L472" s="5">
        <v>3670000</v>
      </c>
      <c r="M472" s="7">
        <v>1276.5</v>
      </c>
      <c r="N472" s="5">
        <v>34200000</v>
      </c>
      <c r="O472" s="5">
        <v>37200000</v>
      </c>
      <c r="P472" s="3">
        <v>0.97916666666666663</v>
      </c>
    </row>
    <row r="473" spans="1:16" x14ac:dyDescent="0.25">
      <c r="A473" t="s">
        <v>305</v>
      </c>
      <c r="B473" s="2">
        <v>43055</v>
      </c>
      <c r="C473" t="str">
        <f>+"Tuáº§n "&amp;WEEKNUM(B473)</f>
        <v>Tuáº§n 46</v>
      </c>
      <c r="D473" t="s">
        <v>20</v>
      </c>
      <c r="E473" t="s">
        <v>17</v>
      </c>
      <c r="F473" s="5">
        <v>33700000</v>
      </c>
      <c r="G473" s="5">
        <v>36700000</v>
      </c>
      <c r="H473" s="5">
        <f>+(M473*26000)/0.829426</f>
        <v>40042631.89241717</v>
      </c>
      <c r="I473" s="5">
        <f>+G473-H473</f>
        <v>-3342631.8924171701</v>
      </c>
      <c r="J473" s="5">
        <v>3000000</v>
      </c>
      <c r="K473" s="5">
        <v>3370000</v>
      </c>
      <c r="L473" s="5">
        <v>3670000</v>
      </c>
      <c r="M473" s="7">
        <v>1277.4000000000001</v>
      </c>
      <c r="N473" s="5">
        <v>34200000</v>
      </c>
      <c r="O473" s="5">
        <v>37200000</v>
      </c>
      <c r="P473" s="3">
        <v>0.97916666666666663</v>
      </c>
    </row>
    <row r="474" spans="1:16" x14ac:dyDescent="0.25">
      <c r="A474" t="s">
        <v>306</v>
      </c>
      <c r="B474" s="2">
        <v>43056</v>
      </c>
      <c r="C474" t="str">
        <f>+"Tuáº§n "&amp;WEEKNUM(B474)</f>
        <v>Tuáº§n 46</v>
      </c>
      <c r="D474" t="s">
        <v>21</v>
      </c>
      <c r="E474" t="s">
        <v>17</v>
      </c>
      <c r="F474" s="5">
        <v>34200000</v>
      </c>
      <c r="G474" s="5">
        <v>37200000</v>
      </c>
      <c r="H474" s="5">
        <f>+(M474*26000)/0.829426</f>
        <v>40619416.319237642</v>
      </c>
      <c r="I474" s="5">
        <f>+G474-H474</f>
        <v>-3419416.319237642</v>
      </c>
      <c r="J474" s="5">
        <v>3000000</v>
      </c>
      <c r="K474" s="5">
        <v>3420000</v>
      </c>
      <c r="L474" s="5">
        <v>3720000</v>
      </c>
      <c r="M474" s="7">
        <v>1295.8</v>
      </c>
      <c r="N474" s="5">
        <v>34700000</v>
      </c>
      <c r="O474" s="5">
        <v>37700000</v>
      </c>
      <c r="P474" s="3">
        <v>0.97916666666666663</v>
      </c>
    </row>
    <row r="475" spans="1:16" x14ac:dyDescent="0.25">
      <c r="A475" t="s">
        <v>307</v>
      </c>
      <c r="B475" s="2">
        <v>43059</v>
      </c>
      <c r="C475" t="str">
        <f>+"Tuáº§n "&amp;WEEKNUM(B475)</f>
        <v>Tuáº§n 47</v>
      </c>
      <c r="D475" t="s">
        <v>16</v>
      </c>
      <c r="E475" t="s">
        <v>17</v>
      </c>
      <c r="F475" s="5">
        <v>33600000</v>
      </c>
      <c r="G475" s="5">
        <v>36600000</v>
      </c>
      <c r="H475" s="5">
        <f>+(M475*26000)/0.829426</f>
        <v>39954860.349205352</v>
      </c>
      <c r="I475" s="5">
        <f>+G475-H475</f>
        <v>-3354860.3492053524</v>
      </c>
      <c r="J475" s="5">
        <v>3000000</v>
      </c>
      <c r="K475" s="5">
        <v>3360000</v>
      </c>
      <c r="L475" s="5">
        <v>3660000</v>
      </c>
      <c r="M475" s="7">
        <v>1274.5999999999999</v>
      </c>
      <c r="N475" s="5">
        <v>34100000</v>
      </c>
      <c r="O475" s="5">
        <v>37100000</v>
      </c>
      <c r="P475" s="3">
        <v>0.97916666666666663</v>
      </c>
    </row>
    <row r="476" spans="1:16" x14ac:dyDescent="0.25">
      <c r="A476" t="s">
        <v>308</v>
      </c>
      <c r="B476" s="2">
        <v>43060</v>
      </c>
      <c r="C476" t="str">
        <f>+"Tuáº§n "&amp;WEEKNUM(B476)</f>
        <v>Tuáº§n 47</v>
      </c>
      <c r="D476" t="s">
        <v>18</v>
      </c>
      <c r="E476" t="s">
        <v>17</v>
      </c>
      <c r="F476" s="5">
        <v>33800000</v>
      </c>
      <c r="G476" s="5">
        <v>36800000</v>
      </c>
      <c r="H476" s="5">
        <f>+(M476*26000)/0.829426</f>
        <v>40158615.717375629</v>
      </c>
      <c r="I476" s="5">
        <f>+G476-H476</f>
        <v>-3358615.7173756287</v>
      </c>
      <c r="J476" s="5">
        <v>3000000</v>
      </c>
      <c r="K476" s="5">
        <v>3380000</v>
      </c>
      <c r="L476" s="5">
        <v>3680000</v>
      </c>
      <c r="M476" s="7">
        <v>1281.0999999999999</v>
      </c>
      <c r="N476" s="5">
        <v>34300000</v>
      </c>
      <c r="O476" s="5">
        <v>37300000</v>
      </c>
      <c r="P476" s="3">
        <v>0.97916666666666663</v>
      </c>
    </row>
    <row r="477" spans="1:16" x14ac:dyDescent="0.25">
      <c r="A477" t="s">
        <v>309</v>
      </c>
      <c r="B477" s="2">
        <v>43061</v>
      </c>
      <c r="C477" t="str">
        <f>+"Tuáº§n "&amp;WEEKNUM(B477)</f>
        <v>Tuáº§n 47</v>
      </c>
      <c r="D477" t="s">
        <v>19</v>
      </c>
      <c r="E477" t="s">
        <v>17</v>
      </c>
      <c r="F477" s="5">
        <v>34100000</v>
      </c>
      <c r="G477" s="5">
        <v>37100000</v>
      </c>
      <c r="H477" s="5">
        <f>+(M477*26000)/0.829426</f>
        <v>40487759.004419923</v>
      </c>
      <c r="I477" s="5">
        <f>+G477-H477</f>
        <v>-3387759.0044199228</v>
      </c>
      <c r="J477" s="5">
        <v>3000000</v>
      </c>
      <c r="K477" s="5">
        <v>3410000</v>
      </c>
      <c r="L477" s="5">
        <v>3710000</v>
      </c>
      <c r="M477" s="7">
        <v>1291.5999999999999</v>
      </c>
      <c r="N477" s="5">
        <v>34600000</v>
      </c>
      <c r="O477" s="5">
        <v>37600000</v>
      </c>
      <c r="P477" s="3">
        <v>0.97916666666666663</v>
      </c>
    </row>
    <row r="478" spans="1:16" x14ac:dyDescent="0.25">
      <c r="A478" t="s">
        <v>310</v>
      </c>
      <c r="B478" s="2">
        <v>43063</v>
      </c>
      <c r="C478" t="str">
        <f>+"Tuáº§n "&amp;WEEKNUM(B478)</f>
        <v>Tuáº§n 47</v>
      </c>
      <c r="D478" t="s">
        <v>21</v>
      </c>
      <c r="E478" t="s">
        <v>17</v>
      </c>
      <c r="F478" s="5">
        <v>34000000</v>
      </c>
      <c r="G478" s="5">
        <v>37000000</v>
      </c>
      <c r="H478" s="5">
        <f>+(M478*26000)/0.829426</f>
        <v>40334158.803799257</v>
      </c>
      <c r="I478" s="5">
        <f>+G478-H478</f>
        <v>-3334158.8037992567</v>
      </c>
      <c r="J478" s="5">
        <v>3000000</v>
      </c>
      <c r="K478" s="5">
        <v>3400000</v>
      </c>
      <c r="L478" s="5">
        <v>3700000</v>
      </c>
      <c r="M478" s="7">
        <v>1286.7</v>
      </c>
      <c r="N478" s="5">
        <v>34500000</v>
      </c>
      <c r="O478" s="5">
        <v>37500000</v>
      </c>
      <c r="P478" s="3">
        <v>0.97916666666666663</v>
      </c>
    </row>
    <row r="479" spans="1:16" x14ac:dyDescent="0.25">
      <c r="A479" t="s">
        <v>311</v>
      </c>
      <c r="B479" s="2">
        <v>43066</v>
      </c>
      <c r="C479" t="str">
        <f>+"Tuáº§n "&amp;WEEKNUM(B479)</f>
        <v>Tuáº§n 48</v>
      </c>
      <c r="D479" t="s">
        <v>16</v>
      </c>
      <c r="E479" t="s">
        <v>17</v>
      </c>
      <c r="F479" s="5">
        <v>34200000</v>
      </c>
      <c r="G479" s="5">
        <v>37200000</v>
      </c>
      <c r="H479" s="5">
        <f>+(M479*26000)/0.829426</f>
        <v>40556722.359800637</v>
      </c>
      <c r="I479" s="5">
        <f>+G479-H479</f>
        <v>-3356722.3598006368</v>
      </c>
      <c r="J479" s="5">
        <v>3000000</v>
      </c>
      <c r="K479" s="5">
        <v>3420000</v>
      </c>
      <c r="L479" s="5">
        <v>3720000</v>
      </c>
      <c r="M479" s="7">
        <v>1293.8</v>
      </c>
      <c r="N479" s="5">
        <v>34700000</v>
      </c>
      <c r="O479" s="5">
        <v>37700000</v>
      </c>
      <c r="P479" s="3">
        <v>0.97916666666666663</v>
      </c>
    </row>
    <row r="480" spans="1:16" x14ac:dyDescent="0.25">
      <c r="A480" t="s">
        <v>312</v>
      </c>
      <c r="B480" s="2">
        <v>43067</v>
      </c>
      <c r="C480" t="str">
        <f>+"Tuáº§n "&amp;WEEKNUM(B480)</f>
        <v>Tuáº§n 48</v>
      </c>
      <c r="D480" t="s">
        <v>18</v>
      </c>
      <c r="E480" t="s">
        <v>17</v>
      </c>
      <c r="F480" s="5">
        <v>34200000</v>
      </c>
      <c r="G480" s="5">
        <v>37200000</v>
      </c>
      <c r="H480" s="5">
        <f>+(M480*26000)/0.829426</f>
        <v>40584934.641547285</v>
      </c>
      <c r="I480" s="5">
        <f>+G480-H480</f>
        <v>-3384934.641547285</v>
      </c>
      <c r="J480" s="5">
        <v>3000000</v>
      </c>
      <c r="K480" s="5">
        <v>3420000</v>
      </c>
      <c r="L480" s="5">
        <v>3720000</v>
      </c>
      <c r="M480" s="7">
        <v>1294.7</v>
      </c>
      <c r="N480" s="5">
        <v>34700000</v>
      </c>
      <c r="O480" s="5">
        <v>37700000</v>
      </c>
      <c r="P480" s="3">
        <v>0.97916666666666663</v>
      </c>
    </row>
    <row r="481" spans="1:16" x14ac:dyDescent="0.25">
      <c r="A481" t="s">
        <v>313</v>
      </c>
      <c r="B481" s="2">
        <v>43068</v>
      </c>
      <c r="C481" t="str">
        <f>+"Tuáº§n "&amp;WEEKNUM(B481)</f>
        <v>Tuáº§n 48</v>
      </c>
      <c r="D481" t="s">
        <v>19</v>
      </c>
      <c r="E481" t="s">
        <v>17</v>
      </c>
      <c r="F481" s="5">
        <v>33800000</v>
      </c>
      <c r="G481" s="5">
        <v>36800000</v>
      </c>
      <c r="H481" s="5">
        <f>+(M481*26000)/0.829426</f>
        <v>40189962.697094128</v>
      </c>
      <c r="I481" s="5">
        <f>+G481-H481</f>
        <v>-3389962.6970941275</v>
      </c>
      <c r="J481" s="5">
        <v>3000000</v>
      </c>
      <c r="K481" s="5">
        <v>3380000</v>
      </c>
      <c r="L481" s="5">
        <v>3680000</v>
      </c>
      <c r="M481" s="7">
        <v>1282.0999999999999</v>
      </c>
      <c r="N481" s="5">
        <v>34300000</v>
      </c>
      <c r="O481" s="5">
        <v>37300000</v>
      </c>
      <c r="P481" s="3">
        <v>0.97916666666666663</v>
      </c>
    </row>
    <row r="482" spans="1:16" x14ac:dyDescent="0.25">
      <c r="A482" t="s">
        <v>314</v>
      </c>
      <c r="B482" s="2">
        <v>43069</v>
      </c>
      <c r="C482" t="str">
        <f>+"Tuáº§n "&amp;WEEKNUM(B482)</f>
        <v>Tuáº§n 48</v>
      </c>
      <c r="D482" t="s">
        <v>20</v>
      </c>
      <c r="E482" t="s">
        <v>17</v>
      </c>
      <c r="F482" s="5">
        <v>33600000</v>
      </c>
      <c r="G482" s="5">
        <v>36600000</v>
      </c>
      <c r="H482" s="5">
        <f>+(M482*26000)/0.829426</f>
        <v>39910974.577599451</v>
      </c>
      <c r="I482" s="5">
        <f>+G482-H482</f>
        <v>-3310974.5775994509</v>
      </c>
      <c r="J482" s="5">
        <v>3000000</v>
      </c>
      <c r="K482" s="5">
        <v>3360000</v>
      </c>
      <c r="L482" s="5">
        <v>3660000</v>
      </c>
      <c r="M482" s="7">
        <v>1273.2</v>
      </c>
      <c r="N482" s="5">
        <v>34100000</v>
      </c>
      <c r="O482" s="5">
        <v>37100000</v>
      </c>
      <c r="P482" s="3">
        <v>0.97916666666666663</v>
      </c>
    </row>
    <row r="483" spans="1:16" x14ac:dyDescent="0.25">
      <c r="A483" s="2">
        <v>42747</v>
      </c>
      <c r="B483" s="2">
        <v>43070</v>
      </c>
      <c r="C483" t="str">
        <f>+"Tuáº§n "&amp;WEEKNUM(B483)</f>
        <v>Tuáº§n 48</v>
      </c>
      <c r="D483" t="s">
        <v>21</v>
      </c>
      <c r="E483" t="s">
        <v>17</v>
      </c>
      <c r="F483" s="5">
        <v>33700000</v>
      </c>
      <c r="G483" s="5">
        <v>36700000</v>
      </c>
      <c r="H483" s="5">
        <f>+(M483*26000)/0.829426</f>
        <v>40086517.664023072</v>
      </c>
      <c r="I483" s="5">
        <f>+G483-H483</f>
        <v>-3386517.6640230715</v>
      </c>
      <c r="J483" s="5">
        <v>3000000</v>
      </c>
      <c r="K483" s="5">
        <v>3370000</v>
      </c>
      <c r="L483" s="5">
        <v>3670000</v>
      </c>
      <c r="M483" s="7">
        <v>1278.8</v>
      </c>
      <c r="N483" s="5">
        <v>34200000</v>
      </c>
      <c r="O483" s="5">
        <v>37200000</v>
      </c>
      <c r="P483" s="3">
        <v>0.97916666666666663</v>
      </c>
    </row>
    <row r="484" spans="1:16" x14ac:dyDescent="0.25">
      <c r="A484" s="2">
        <v>42837</v>
      </c>
      <c r="B484" s="2">
        <v>43073</v>
      </c>
      <c r="C484" t="str">
        <f>+"Tuáº§n "&amp;WEEKNUM(B484)</f>
        <v>Tuáº§n 49</v>
      </c>
      <c r="D484" t="s">
        <v>16</v>
      </c>
      <c r="E484" t="s">
        <v>17</v>
      </c>
      <c r="F484" s="5">
        <v>33600000</v>
      </c>
      <c r="G484" s="5">
        <v>36600000</v>
      </c>
      <c r="H484" s="5">
        <f>+(M484*26000)/0.829426</f>
        <v>39945456.2552898</v>
      </c>
      <c r="I484" s="5">
        <f>+G484-H484</f>
        <v>-3345456.2552898005</v>
      </c>
      <c r="J484" s="5">
        <v>3000000</v>
      </c>
      <c r="K484" s="5">
        <v>3360000</v>
      </c>
      <c r="L484" s="5">
        <v>3660000</v>
      </c>
      <c r="M484" s="7">
        <v>1274.3</v>
      </c>
      <c r="N484" s="5">
        <v>34100000</v>
      </c>
      <c r="O484" s="5">
        <v>37100000</v>
      </c>
      <c r="P484" s="3">
        <v>0.97916666666666663</v>
      </c>
    </row>
    <row r="485" spans="1:16" x14ac:dyDescent="0.25">
      <c r="A485" s="2">
        <v>42867</v>
      </c>
      <c r="B485" s="2">
        <v>43074</v>
      </c>
      <c r="C485" t="str">
        <f>+"Tuáº§n "&amp;WEEKNUM(B485)</f>
        <v>Tuáº§n 49</v>
      </c>
      <c r="D485" t="s">
        <v>18</v>
      </c>
      <c r="E485" t="s">
        <v>17</v>
      </c>
      <c r="F485" s="5">
        <v>33300000</v>
      </c>
      <c r="G485" s="5">
        <v>36300000</v>
      </c>
      <c r="H485" s="5">
        <f>+(M485*26000)/0.829426</f>
        <v>39547349.6128648</v>
      </c>
      <c r="I485" s="5">
        <f>+G485-H485</f>
        <v>-3247349.6128647998</v>
      </c>
      <c r="J485" s="5">
        <v>3000000</v>
      </c>
      <c r="K485" s="5">
        <v>3330000</v>
      </c>
      <c r="L485" s="5">
        <v>3630000</v>
      </c>
      <c r="M485" s="7">
        <v>1261.5999999999999</v>
      </c>
      <c r="N485" s="5">
        <v>33800000</v>
      </c>
      <c r="O485" s="5">
        <v>36800000</v>
      </c>
      <c r="P485" s="3">
        <v>0.97916666666666663</v>
      </c>
    </row>
    <row r="486" spans="1:16" x14ac:dyDescent="0.25">
      <c r="A486" s="2">
        <v>42898</v>
      </c>
      <c r="B486" s="2">
        <v>43075</v>
      </c>
      <c r="C486" t="str">
        <f>+"Tuáº§n "&amp;WEEKNUM(B486)</f>
        <v>Tuáº§n 49</v>
      </c>
      <c r="D486" t="s">
        <v>19</v>
      </c>
      <c r="E486" t="s">
        <v>17</v>
      </c>
      <c r="F486" s="5">
        <v>33300000</v>
      </c>
      <c r="G486" s="5">
        <v>36300000</v>
      </c>
      <c r="H486" s="5">
        <f>+(M486*26000)/0.829426</f>
        <v>39584965.988527007</v>
      </c>
      <c r="I486" s="5">
        <f>+G486-H486</f>
        <v>-3284965.9885270074</v>
      </c>
      <c r="J486" s="5">
        <v>3000000</v>
      </c>
      <c r="K486" s="5">
        <v>3330000</v>
      </c>
      <c r="L486" s="5">
        <v>3630000</v>
      </c>
      <c r="M486" s="7">
        <v>1262.8</v>
      </c>
      <c r="N486" s="5">
        <v>33800000</v>
      </c>
      <c r="O486" s="5">
        <v>36800000</v>
      </c>
      <c r="P486" s="3">
        <v>0.97916666666666663</v>
      </c>
    </row>
    <row r="487" spans="1:16" x14ac:dyDescent="0.25">
      <c r="A487" s="2">
        <v>42928</v>
      </c>
      <c r="B487" s="2">
        <v>43076</v>
      </c>
      <c r="C487" t="str">
        <f>+"Tuáº§n "&amp;WEEKNUM(B487)</f>
        <v>Tuáº§n 49</v>
      </c>
      <c r="D487" t="s">
        <v>20</v>
      </c>
      <c r="E487" t="s">
        <v>17</v>
      </c>
      <c r="F487" s="5">
        <v>32900000</v>
      </c>
      <c r="G487" s="5">
        <v>35900000</v>
      </c>
      <c r="H487" s="5">
        <f>+(M487*26000)/0.829426</f>
        <v>39177455.252186455</v>
      </c>
      <c r="I487" s="5">
        <f>+G487-H487</f>
        <v>-3277455.2521864548</v>
      </c>
      <c r="J487" s="5">
        <v>3000000</v>
      </c>
      <c r="K487" s="5">
        <v>3290000</v>
      </c>
      <c r="L487" s="5">
        <v>3590000</v>
      </c>
      <c r="M487" s="7">
        <v>1249.8</v>
      </c>
      <c r="N487" s="5">
        <v>33400000</v>
      </c>
      <c r="O487" s="5">
        <v>36400000</v>
      </c>
      <c r="P487" s="3">
        <v>0.97916666666666663</v>
      </c>
    </row>
    <row r="488" spans="1:16" x14ac:dyDescent="0.25">
      <c r="A488" s="2">
        <v>42959</v>
      </c>
      <c r="B488" s="2">
        <v>43077</v>
      </c>
      <c r="C488" t="str">
        <f>+"Tuáº§n "&amp;WEEKNUM(B488)</f>
        <v>Tuáº§n 49</v>
      </c>
      <c r="D488" t="s">
        <v>21</v>
      </c>
      <c r="E488" t="s">
        <v>17</v>
      </c>
      <c r="F488" s="5">
        <v>32800000</v>
      </c>
      <c r="G488" s="5">
        <v>35800000</v>
      </c>
      <c r="H488" s="5">
        <f>+(M488*26000)/0.829426</f>
        <v>39033259.145481333</v>
      </c>
      <c r="I488" s="5">
        <f>+G488-H488</f>
        <v>-3233259.1454813331</v>
      </c>
      <c r="J488" s="5">
        <v>3000000</v>
      </c>
      <c r="K488" s="5">
        <v>3280000</v>
      </c>
      <c r="L488" s="5">
        <v>3580000</v>
      </c>
      <c r="M488" s="7">
        <v>1245.2</v>
      </c>
      <c r="N488" s="5">
        <v>33300000</v>
      </c>
      <c r="O488" s="5">
        <v>36300000</v>
      </c>
      <c r="P488" s="3">
        <v>0.97916666666666663</v>
      </c>
    </row>
    <row r="489" spans="1:16" x14ac:dyDescent="0.25">
      <c r="A489" s="2">
        <v>43051</v>
      </c>
      <c r="B489" s="2">
        <v>43080</v>
      </c>
      <c r="C489" t="str">
        <f>+"Tuáº§n "&amp;WEEKNUM(B489)</f>
        <v>Tuáº§n 50</v>
      </c>
      <c r="D489" t="s">
        <v>16</v>
      </c>
      <c r="E489" t="s">
        <v>17</v>
      </c>
      <c r="F489" s="5">
        <v>32700000</v>
      </c>
      <c r="G489" s="5">
        <v>35700000</v>
      </c>
      <c r="H489" s="5">
        <f>+(M489*26000)/0.829426</f>
        <v>38986238.675903574</v>
      </c>
      <c r="I489" s="5">
        <f>+G489-H489</f>
        <v>-3286238.6759035736</v>
      </c>
      <c r="J489" s="5">
        <v>3000000</v>
      </c>
      <c r="K489" s="5">
        <v>3270000</v>
      </c>
      <c r="L489" s="5">
        <v>3570000</v>
      </c>
      <c r="M489" s="7">
        <v>1243.7</v>
      </c>
      <c r="N489" s="5">
        <v>33200000</v>
      </c>
      <c r="O489" s="5">
        <v>36200000</v>
      </c>
      <c r="P489" s="3">
        <v>0.97916666666666663</v>
      </c>
    </row>
    <row r="490" spans="1:16" x14ac:dyDescent="0.25">
      <c r="A490" s="2">
        <v>43081</v>
      </c>
      <c r="B490" s="2">
        <v>43081</v>
      </c>
      <c r="C490" t="str">
        <f>+"Tuáº§n "&amp;WEEKNUM(B490)</f>
        <v>Tuáº§n 50</v>
      </c>
      <c r="D490" t="s">
        <v>18</v>
      </c>
      <c r="E490" t="s">
        <v>17</v>
      </c>
      <c r="F490" s="5">
        <v>32600000</v>
      </c>
      <c r="G490" s="5">
        <v>35600000</v>
      </c>
      <c r="H490" s="5">
        <f>+(M490*26000)/0.829426</f>
        <v>38823234.381367356</v>
      </c>
      <c r="I490" s="5">
        <f>+G490-H490</f>
        <v>-3223234.3813673556</v>
      </c>
      <c r="J490" s="5">
        <v>3000000</v>
      </c>
      <c r="K490" s="5">
        <v>3260000</v>
      </c>
      <c r="L490" s="5">
        <v>3560000</v>
      </c>
      <c r="M490" s="7">
        <v>1238.5</v>
      </c>
      <c r="N490" s="5">
        <v>33100000</v>
      </c>
      <c r="O490" s="5">
        <v>36100000</v>
      </c>
      <c r="P490" s="3">
        <v>0.97916666666666663</v>
      </c>
    </row>
    <row r="491" spans="1:16" x14ac:dyDescent="0.25">
      <c r="A491" t="s">
        <v>315</v>
      </c>
      <c r="B491" s="2">
        <v>43082</v>
      </c>
      <c r="C491" t="str">
        <f>+"Tuáº§n "&amp;WEEKNUM(B491)</f>
        <v>Tuáº§n 50</v>
      </c>
      <c r="D491" t="s">
        <v>19</v>
      </c>
      <c r="E491" t="s">
        <v>17</v>
      </c>
      <c r="F491" s="5">
        <v>32800000</v>
      </c>
      <c r="G491" s="5">
        <v>35800000</v>
      </c>
      <c r="H491" s="5">
        <f>+(M491*26000)/0.829426</f>
        <v>39039528.541425042</v>
      </c>
      <c r="I491" s="5">
        <f>+G491-H491</f>
        <v>-3239528.5414250419</v>
      </c>
      <c r="J491" s="5">
        <v>3000000</v>
      </c>
      <c r="K491" s="5">
        <v>3280000</v>
      </c>
      <c r="L491" s="5">
        <v>3580000</v>
      </c>
      <c r="M491" s="7">
        <v>1245.4000000000001</v>
      </c>
      <c r="N491" s="5">
        <v>33300000</v>
      </c>
      <c r="O491" s="5">
        <v>36300000</v>
      </c>
      <c r="P491" s="3">
        <v>0.97916666666666663</v>
      </c>
    </row>
    <row r="492" spans="1:16" x14ac:dyDescent="0.25">
      <c r="A492" t="s">
        <v>316</v>
      </c>
      <c r="B492" s="2">
        <v>43083</v>
      </c>
      <c r="C492" t="str">
        <f>+"Tuáº§n "&amp;WEEKNUM(B492)</f>
        <v>Tuáº§n 50</v>
      </c>
      <c r="D492" t="s">
        <v>20</v>
      </c>
      <c r="E492" t="s">
        <v>17</v>
      </c>
      <c r="F492" s="5">
        <v>33000000</v>
      </c>
      <c r="G492" s="5">
        <v>36000000</v>
      </c>
      <c r="H492" s="5">
        <f>+(M492*26000)/0.829426</f>
        <v>39302843.171060465</v>
      </c>
      <c r="I492" s="5">
        <f>+G492-H492</f>
        <v>-3302843.1710604653</v>
      </c>
      <c r="J492" s="5">
        <v>3000000</v>
      </c>
      <c r="K492" s="5">
        <v>3300000</v>
      </c>
      <c r="L492" s="5">
        <v>3600000</v>
      </c>
      <c r="M492" s="7">
        <v>1253.8</v>
      </c>
      <c r="N492" s="5">
        <v>33500000</v>
      </c>
      <c r="O492" s="5">
        <v>36500000</v>
      </c>
      <c r="P492" s="3">
        <v>0.97916666666666663</v>
      </c>
    </row>
    <row r="493" spans="1:16" x14ac:dyDescent="0.25">
      <c r="A493" t="s">
        <v>317</v>
      </c>
      <c r="B493" s="2">
        <v>43084</v>
      </c>
      <c r="C493" t="str">
        <f>+"Tuáº§n "&amp;WEEKNUM(B493)</f>
        <v>Tuáº§n 50</v>
      </c>
      <c r="D493" t="s">
        <v>21</v>
      </c>
      <c r="E493" t="s">
        <v>17</v>
      </c>
      <c r="F493" s="5">
        <v>33000000</v>
      </c>
      <c r="G493" s="5">
        <v>36000000</v>
      </c>
      <c r="H493" s="5">
        <f>+(M493*26000)/0.829426</f>
        <v>39318516.660919718</v>
      </c>
      <c r="I493" s="5">
        <f>+G493-H493</f>
        <v>-3318516.6609197184</v>
      </c>
      <c r="J493" s="5">
        <v>3000000</v>
      </c>
      <c r="K493" s="5">
        <v>3300000</v>
      </c>
      <c r="L493" s="5">
        <v>3600000</v>
      </c>
      <c r="M493" s="7">
        <v>1254.3</v>
      </c>
      <c r="N493" s="5">
        <v>33500000</v>
      </c>
      <c r="O493" s="5">
        <v>36500000</v>
      </c>
      <c r="P493" s="3">
        <v>0.97916666666666663</v>
      </c>
    </row>
    <row r="494" spans="1:16" x14ac:dyDescent="0.25">
      <c r="A494" t="s">
        <v>318</v>
      </c>
      <c r="B494" s="2">
        <v>43087</v>
      </c>
      <c r="C494" t="str">
        <f>+"Tuáº§n "&amp;WEEKNUM(B494)</f>
        <v>Tuáº§n 51</v>
      </c>
      <c r="D494" t="s">
        <v>16</v>
      </c>
      <c r="E494" t="s">
        <v>17</v>
      </c>
      <c r="F494" s="5">
        <v>33300000</v>
      </c>
      <c r="G494" s="5">
        <v>36300000</v>
      </c>
      <c r="H494" s="5">
        <f>+(M494*26000)/0.829426</f>
        <v>39566157.800695904</v>
      </c>
      <c r="I494" s="5">
        <f>+G494-H494</f>
        <v>-3266157.8006959036</v>
      </c>
      <c r="J494" s="5">
        <v>3000000</v>
      </c>
      <c r="K494" s="5">
        <v>3330000</v>
      </c>
      <c r="L494" s="5">
        <v>3630000</v>
      </c>
      <c r="M494" s="7">
        <v>1262.2</v>
      </c>
      <c r="N494" s="5">
        <v>33800000</v>
      </c>
      <c r="O494" s="5">
        <v>36800000</v>
      </c>
      <c r="P494" s="3">
        <v>0.97916666666666663</v>
      </c>
    </row>
    <row r="495" spans="1:16" x14ac:dyDescent="0.25">
      <c r="A495" t="s">
        <v>319</v>
      </c>
      <c r="B495" s="2">
        <v>43088</v>
      </c>
      <c r="C495" t="str">
        <f>+"Tuáº§n "&amp;WEEKNUM(B495)</f>
        <v>Tuáº§n 51</v>
      </c>
      <c r="D495" t="s">
        <v>18</v>
      </c>
      <c r="E495" t="s">
        <v>17</v>
      </c>
      <c r="F495" s="5">
        <v>33200000</v>
      </c>
      <c r="G495" s="5">
        <v>36200000</v>
      </c>
      <c r="H495" s="5">
        <f>+(M495*26000)/0.829426</f>
        <v>39519137.331118144</v>
      </c>
      <c r="I495" s="5">
        <f>+G495-H495</f>
        <v>-3319137.3311181441</v>
      </c>
      <c r="J495" s="5">
        <v>3000000</v>
      </c>
      <c r="K495" s="5">
        <v>3320000</v>
      </c>
      <c r="L495" s="5">
        <v>3620000</v>
      </c>
      <c r="M495" s="7">
        <v>1260.7</v>
      </c>
      <c r="N495" s="5">
        <v>33700000</v>
      </c>
      <c r="O495" s="5">
        <v>36700000</v>
      </c>
      <c r="P495" s="3">
        <v>0.97916666666666663</v>
      </c>
    </row>
    <row r="496" spans="1:16" x14ac:dyDescent="0.25">
      <c r="A496" t="s">
        <v>320</v>
      </c>
      <c r="B496" s="2">
        <v>43089</v>
      </c>
      <c r="C496" t="str">
        <f>+"Tuáº§n "&amp;WEEKNUM(B496)</f>
        <v>Tuáº§n 51</v>
      </c>
      <c r="D496" t="s">
        <v>19</v>
      </c>
      <c r="E496" t="s">
        <v>17</v>
      </c>
      <c r="F496" s="5">
        <v>33400000</v>
      </c>
      <c r="G496" s="5">
        <v>36400000</v>
      </c>
      <c r="H496" s="5">
        <f>+(M496*26000)/0.829426</f>
        <v>39688411.021598063</v>
      </c>
      <c r="I496" s="5">
        <f>+G496-H496</f>
        <v>-3288411.0215980634</v>
      </c>
      <c r="J496" s="5">
        <v>3000000</v>
      </c>
      <c r="K496" s="5">
        <v>3340000</v>
      </c>
      <c r="L496" s="5">
        <v>3640000</v>
      </c>
      <c r="M496" s="7">
        <v>1266.0999999999999</v>
      </c>
      <c r="N496" s="5">
        <v>33900000</v>
      </c>
      <c r="O496" s="5">
        <v>36900000</v>
      </c>
      <c r="P496" s="3">
        <v>0.97916666666666663</v>
      </c>
    </row>
    <row r="497" spans="1:16" x14ac:dyDescent="0.25">
      <c r="A497" t="s">
        <v>321</v>
      </c>
      <c r="B497" s="2">
        <v>43090</v>
      </c>
      <c r="C497" t="str">
        <f>+"Tuáº§n "&amp;WEEKNUM(B497)</f>
        <v>Tuáº§n 51</v>
      </c>
      <c r="D497" t="s">
        <v>20</v>
      </c>
      <c r="E497" t="s">
        <v>17</v>
      </c>
      <c r="F497" s="5">
        <v>33400000</v>
      </c>
      <c r="G497" s="5">
        <v>36400000</v>
      </c>
      <c r="H497" s="5">
        <f>+(M497*26000)/0.829426</f>
        <v>39726027.397260271</v>
      </c>
      <c r="I497" s="5">
        <f>+G497-H497</f>
        <v>-3326027.397260271</v>
      </c>
      <c r="J497" s="5">
        <v>3000000</v>
      </c>
      <c r="K497" s="5">
        <v>3340000</v>
      </c>
      <c r="L497" s="5">
        <v>3640000</v>
      </c>
      <c r="M497" s="7">
        <v>1267.3</v>
      </c>
      <c r="N497" s="5">
        <v>33900000</v>
      </c>
      <c r="O497" s="5">
        <v>36900000</v>
      </c>
      <c r="P497" s="3">
        <v>0.97916666666666663</v>
      </c>
    </row>
    <row r="498" spans="1:16" x14ac:dyDescent="0.25">
      <c r="A498" t="s">
        <v>322</v>
      </c>
      <c r="B498" s="2">
        <v>43091</v>
      </c>
      <c r="C498" t="str">
        <f>+"Tuáº§n "&amp;WEEKNUM(B498)</f>
        <v>Tuáº§n 51</v>
      </c>
      <c r="D498" t="s">
        <v>21</v>
      </c>
      <c r="E498" t="s">
        <v>17</v>
      </c>
      <c r="F498" s="5">
        <v>33700000</v>
      </c>
      <c r="G498" s="5">
        <v>36700000</v>
      </c>
      <c r="H498" s="5">
        <f>+(M498*26000)/0.829426</f>
        <v>39979937.932980165</v>
      </c>
      <c r="I498" s="5">
        <f>+G498-H498</f>
        <v>-3279937.9329801649</v>
      </c>
      <c r="J498" s="5">
        <v>3000000</v>
      </c>
      <c r="K498" s="5">
        <v>3370000</v>
      </c>
      <c r="L498" s="5">
        <v>3670000</v>
      </c>
      <c r="M498" s="7">
        <v>1275.4000000000001</v>
      </c>
      <c r="N498" s="5">
        <v>34200000</v>
      </c>
      <c r="O498" s="5">
        <v>37200000</v>
      </c>
      <c r="P498" s="3">
        <v>0.97916666666666663</v>
      </c>
    </row>
    <row r="499" spans="1:16" x14ac:dyDescent="0.25">
      <c r="A499" t="s">
        <v>323</v>
      </c>
      <c r="B499" s="2">
        <v>43095</v>
      </c>
      <c r="C499" t="str">
        <f>+"Tuáº§n "&amp;WEEKNUM(B499)</f>
        <v>Tuáº§n 52</v>
      </c>
      <c r="D499" t="s">
        <v>18</v>
      </c>
      <c r="E499" t="s">
        <v>17</v>
      </c>
      <c r="F499" s="5">
        <v>33900000</v>
      </c>
      <c r="G499" s="5">
        <v>36900000</v>
      </c>
      <c r="H499" s="5">
        <f>+(M499*26000)/0.829426</f>
        <v>40252656.65653114</v>
      </c>
      <c r="I499" s="5">
        <f>+G499-H499</f>
        <v>-3352656.6565311402</v>
      </c>
      <c r="J499" s="5">
        <v>3000000</v>
      </c>
      <c r="K499" s="5">
        <v>3390000</v>
      </c>
      <c r="L499" s="5">
        <v>3690000</v>
      </c>
      <c r="M499" s="7">
        <v>1284.0999999999999</v>
      </c>
      <c r="N499" s="5">
        <v>34400000</v>
      </c>
      <c r="O499" s="5">
        <v>37400000</v>
      </c>
      <c r="P499" s="3">
        <v>0.97916666666666663</v>
      </c>
    </row>
    <row r="500" spans="1:16" x14ac:dyDescent="0.25">
      <c r="A500" t="s">
        <v>324</v>
      </c>
      <c r="B500" s="2">
        <v>43096</v>
      </c>
      <c r="C500" t="str">
        <f>+"Tuáº§n "&amp;WEEKNUM(B500)</f>
        <v>Tuáº§n 52</v>
      </c>
      <c r="D500" t="s">
        <v>19</v>
      </c>
      <c r="E500" t="s">
        <v>17</v>
      </c>
      <c r="F500" s="5">
        <v>34000000</v>
      </c>
      <c r="G500" s="5">
        <v>37000000</v>
      </c>
      <c r="H500" s="5">
        <f>+(M500*26000)/0.829426</f>
        <v>40343562.897714809</v>
      </c>
      <c r="I500" s="5">
        <f>+G500-H500</f>
        <v>-3343562.8977148086</v>
      </c>
      <c r="J500" s="5">
        <v>3000000</v>
      </c>
      <c r="K500" s="5">
        <v>3400000</v>
      </c>
      <c r="L500" s="5">
        <v>3700000</v>
      </c>
      <c r="M500" s="7">
        <v>1287</v>
      </c>
      <c r="N500" s="5">
        <v>34500000</v>
      </c>
      <c r="O500" s="5">
        <v>37500000</v>
      </c>
      <c r="P500" s="3">
        <v>0.97916666666666663</v>
      </c>
    </row>
    <row r="501" spans="1:16" x14ac:dyDescent="0.25">
      <c r="A501" t="s">
        <v>325</v>
      </c>
      <c r="B501" s="2">
        <v>43097</v>
      </c>
      <c r="C501" t="str">
        <f>+"Tuáº§n "&amp;WEEKNUM(B501)</f>
        <v>Tuáº§n 52</v>
      </c>
      <c r="D501" t="s">
        <v>20</v>
      </c>
      <c r="E501" t="s">
        <v>17</v>
      </c>
      <c r="F501" s="5">
        <v>34200000</v>
      </c>
      <c r="G501" s="5">
        <v>37200000</v>
      </c>
      <c r="H501" s="5">
        <f>+(M501*26000)/0.829426</f>
        <v>40566126.453716181</v>
      </c>
      <c r="I501" s="5">
        <f>+G501-H501</f>
        <v>-3366126.4537161812</v>
      </c>
      <c r="J501" s="5">
        <v>3000000</v>
      </c>
      <c r="K501" s="5">
        <v>3420000</v>
      </c>
      <c r="L501" s="5">
        <v>3720000</v>
      </c>
      <c r="M501" s="7">
        <v>1294.0999999999999</v>
      </c>
      <c r="N501" s="5">
        <v>34700000</v>
      </c>
      <c r="O501" s="5">
        <v>37700000</v>
      </c>
      <c r="P501" s="3">
        <v>0.97916666666666663</v>
      </c>
    </row>
    <row r="502" spans="1:16" x14ac:dyDescent="0.25">
      <c r="A502" t="s">
        <v>326</v>
      </c>
      <c r="B502" s="2">
        <v>43098</v>
      </c>
      <c r="C502" t="str">
        <f>+"Tuáº§n "&amp;WEEKNUM(B502)</f>
        <v>Tuáº§n 52</v>
      </c>
      <c r="D502" t="s">
        <v>21</v>
      </c>
      <c r="E502" t="s">
        <v>17</v>
      </c>
      <c r="F502" s="5">
        <v>34500000</v>
      </c>
      <c r="G502" s="5">
        <v>37500000</v>
      </c>
      <c r="H502" s="5">
        <f>+(M502*26000)/0.829426</f>
        <v>40948559.606281936</v>
      </c>
      <c r="I502" s="5">
        <f>+G502-H502</f>
        <v>-3448559.6062819362</v>
      </c>
      <c r="J502" s="5">
        <v>3000000</v>
      </c>
      <c r="K502" s="5">
        <v>3450000</v>
      </c>
      <c r="L502" s="5">
        <v>3750000</v>
      </c>
      <c r="M502" s="7">
        <v>1306.3</v>
      </c>
      <c r="N502" s="5">
        <v>35000000</v>
      </c>
      <c r="O502" s="5">
        <v>38000000</v>
      </c>
      <c r="P502" s="3">
        <v>0.97916666666666663</v>
      </c>
    </row>
    <row r="503" spans="1:16" x14ac:dyDescent="0.25">
      <c r="A503" s="2">
        <v>43132</v>
      </c>
      <c r="B503" s="2">
        <v>43102</v>
      </c>
      <c r="C503" t="str">
        <f>+"Tuáº§n "&amp;WEEKNUM(B503)</f>
        <v>Tuáº§n 1</v>
      </c>
      <c r="D503" t="s">
        <v>18</v>
      </c>
      <c r="E503" t="s">
        <v>17</v>
      </c>
      <c r="F503" s="5">
        <v>35000000</v>
      </c>
      <c r="G503" s="5">
        <v>38000000</v>
      </c>
      <c r="H503" s="5">
        <f>+(M503*26000)/0.829426</f>
        <v>41180527.256198868</v>
      </c>
      <c r="I503" s="5">
        <f>+G503-H503</f>
        <v>-3180527.2561988682</v>
      </c>
      <c r="J503" s="5">
        <v>3000000</v>
      </c>
      <c r="K503" s="5">
        <v>3500000</v>
      </c>
      <c r="L503" s="5">
        <v>3800000</v>
      </c>
      <c r="M503" s="7">
        <v>1313.7</v>
      </c>
      <c r="N503" s="5">
        <v>35500000</v>
      </c>
      <c r="O503" s="5">
        <v>38500000</v>
      </c>
      <c r="P503" s="3">
        <v>0.97916666666666663</v>
      </c>
    </row>
    <row r="504" spans="1:16" x14ac:dyDescent="0.25">
      <c r="A504" s="2">
        <v>43160</v>
      </c>
      <c r="B504" s="2">
        <v>43103</v>
      </c>
      <c r="C504" t="str">
        <f>+"Tuáº§n "&amp;WEEKNUM(B504)</f>
        <v>Tuáº§n 1</v>
      </c>
      <c r="D504" t="s">
        <v>19</v>
      </c>
      <c r="E504" t="s">
        <v>17</v>
      </c>
      <c r="F504" s="5">
        <v>35100000</v>
      </c>
      <c r="G504" s="5">
        <v>38100000</v>
      </c>
      <c r="H504" s="5">
        <f>+(M504*26000)/0.829426</f>
        <v>41258894.705495127</v>
      </c>
      <c r="I504" s="5">
        <f>+G504-H504</f>
        <v>-3158894.7054951265</v>
      </c>
      <c r="J504" s="5">
        <v>3000000</v>
      </c>
      <c r="K504" s="5">
        <v>3510000</v>
      </c>
      <c r="L504" s="5">
        <v>3810000</v>
      </c>
      <c r="M504" s="7">
        <v>1316.2</v>
      </c>
      <c r="N504" s="5">
        <v>35600000</v>
      </c>
      <c r="O504" s="5">
        <v>38600000</v>
      </c>
      <c r="P504" s="3">
        <v>0.97916666666666663</v>
      </c>
    </row>
    <row r="505" spans="1:16" x14ac:dyDescent="0.25">
      <c r="A505" s="2">
        <v>43191</v>
      </c>
      <c r="B505" s="2">
        <v>43104</v>
      </c>
      <c r="C505" t="str">
        <f>+"Tuáº§n "&amp;WEEKNUM(B505)</f>
        <v>Tuáº§n 1</v>
      </c>
      <c r="D505" t="s">
        <v>20</v>
      </c>
      <c r="E505" t="s">
        <v>17</v>
      </c>
      <c r="F505" s="5">
        <v>35200000</v>
      </c>
      <c r="G505" s="5">
        <v>38200000</v>
      </c>
      <c r="H505" s="5">
        <f>+(M505*26000)/0.829426</f>
        <v>41359205.040594339</v>
      </c>
      <c r="I505" s="5">
        <f>+G505-H505</f>
        <v>-3159205.0405943394</v>
      </c>
      <c r="J505" s="5">
        <v>3000000</v>
      </c>
      <c r="K505" s="5">
        <v>3520000</v>
      </c>
      <c r="L505" s="5">
        <v>3820000</v>
      </c>
      <c r="M505" s="7">
        <v>1319.4</v>
      </c>
      <c r="N505" s="5">
        <v>35700000</v>
      </c>
      <c r="O505" s="5">
        <v>38700000</v>
      </c>
      <c r="P505" s="3">
        <v>0.97916666666666663</v>
      </c>
    </row>
    <row r="506" spans="1:16" x14ac:dyDescent="0.25">
      <c r="A506" s="2">
        <v>43221</v>
      </c>
      <c r="B506" s="2">
        <v>43105</v>
      </c>
      <c r="C506" t="str">
        <f>+"Tuáº§n "&amp;WEEKNUM(B506)</f>
        <v>Tuáº§n 1</v>
      </c>
      <c r="D506" t="s">
        <v>21</v>
      </c>
      <c r="E506" t="s">
        <v>17</v>
      </c>
      <c r="F506" s="5">
        <v>35200000</v>
      </c>
      <c r="G506" s="5">
        <v>38200000</v>
      </c>
      <c r="H506" s="5">
        <f>+(M506*26000)/0.829426</f>
        <v>41387417.322340995</v>
      </c>
      <c r="I506" s="5">
        <f>+G506-H506</f>
        <v>-3187417.3223409951</v>
      </c>
      <c r="J506" s="5">
        <v>3000000</v>
      </c>
      <c r="K506" s="5">
        <v>3520000</v>
      </c>
      <c r="L506" s="5">
        <v>3820000</v>
      </c>
      <c r="M506" s="7">
        <v>1320.3</v>
      </c>
      <c r="N506" s="5">
        <v>35700000</v>
      </c>
      <c r="O506" s="5">
        <v>38700000</v>
      </c>
      <c r="P506" s="3">
        <v>0.97916666666666663</v>
      </c>
    </row>
    <row r="507" spans="1:16" x14ac:dyDescent="0.25">
      <c r="A507" s="2">
        <v>43313</v>
      </c>
      <c r="B507" s="2">
        <v>43108</v>
      </c>
      <c r="C507" t="str">
        <f>+"Tuáº§n "&amp;WEEKNUM(B507)</f>
        <v>Tuáº§n 2</v>
      </c>
      <c r="D507" t="s">
        <v>16</v>
      </c>
      <c r="E507" t="s">
        <v>17</v>
      </c>
      <c r="F507" s="5">
        <v>35100000</v>
      </c>
      <c r="G507" s="5">
        <v>38100000</v>
      </c>
      <c r="H507" s="5">
        <f>+(M507*26000)/0.829426</f>
        <v>41334127.456819534</v>
      </c>
      <c r="I507" s="5">
        <f>+G507-H507</f>
        <v>-3234127.4568195343</v>
      </c>
      <c r="J507" s="5">
        <v>3000000</v>
      </c>
      <c r="K507" s="5">
        <v>3510000</v>
      </c>
      <c r="L507" s="5">
        <v>3810000</v>
      </c>
      <c r="M507" s="7">
        <v>1318.6</v>
      </c>
      <c r="N507" s="5">
        <v>35600000</v>
      </c>
      <c r="O507" s="5">
        <v>38600000</v>
      </c>
      <c r="P507" s="3">
        <v>0.97916666666666663</v>
      </c>
    </row>
    <row r="508" spans="1:16" x14ac:dyDescent="0.25">
      <c r="A508" s="2">
        <v>43344</v>
      </c>
      <c r="B508" s="2">
        <v>43109</v>
      </c>
      <c r="C508" t="str">
        <f>+"Tuáº§n "&amp;WEEKNUM(B508)</f>
        <v>Tuáº§n 2</v>
      </c>
      <c r="D508" t="s">
        <v>18</v>
      </c>
      <c r="E508" t="s">
        <v>17</v>
      </c>
      <c r="F508" s="5">
        <v>34900000</v>
      </c>
      <c r="G508" s="5">
        <v>37900000</v>
      </c>
      <c r="H508" s="5">
        <f>+(M508*26000)/0.829426</f>
        <v>41117833.296761855</v>
      </c>
      <c r="I508" s="5">
        <f>+G508-H508</f>
        <v>-3217833.2967618555</v>
      </c>
      <c r="J508" s="5">
        <v>3000000</v>
      </c>
      <c r="K508" s="5">
        <v>3490000</v>
      </c>
      <c r="L508" s="5">
        <v>3790000</v>
      </c>
      <c r="M508" s="7">
        <v>1311.7</v>
      </c>
      <c r="N508" s="5">
        <v>35400000</v>
      </c>
      <c r="O508" s="5">
        <v>38400000</v>
      </c>
      <c r="P508" s="3">
        <v>0.97916666666666663</v>
      </c>
    </row>
    <row r="509" spans="1:16" x14ac:dyDescent="0.25">
      <c r="A509" s="2">
        <v>43374</v>
      </c>
      <c r="B509" s="2">
        <v>43110</v>
      </c>
      <c r="C509" t="str">
        <f>+"Tuáº§n "&amp;WEEKNUM(B509)</f>
        <v>Tuáº§n 2</v>
      </c>
      <c r="D509" t="s">
        <v>19</v>
      </c>
      <c r="E509" t="s">
        <v>17</v>
      </c>
      <c r="F509" s="5">
        <v>35100000</v>
      </c>
      <c r="G509" s="5">
        <v>38100000</v>
      </c>
      <c r="H509" s="5">
        <f>+(M509*26000)/0.829426</f>
        <v>41296511.081157334</v>
      </c>
      <c r="I509" s="5">
        <f>+G509-H509</f>
        <v>-3196511.0811573341</v>
      </c>
      <c r="J509" s="5">
        <v>3000000</v>
      </c>
      <c r="K509" s="5">
        <v>3510000</v>
      </c>
      <c r="L509" s="5">
        <v>3810000</v>
      </c>
      <c r="M509" s="7">
        <v>1317.4</v>
      </c>
      <c r="N509" s="5">
        <v>35600000</v>
      </c>
      <c r="O509" s="5">
        <v>38600000</v>
      </c>
      <c r="P509" s="3">
        <v>0.97916666666666663</v>
      </c>
    </row>
    <row r="510" spans="1:16" x14ac:dyDescent="0.25">
      <c r="A510" s="2">
        <v>43405</v>
      </c>
      <c r="B510" s="2">
        <v>43111</v>
      </c>
      <c r="C510" t="str">
        <f>+"Tuáº§n "&amp;WEEKNUM(B510)</f>
        <v>Tuáº§n 2</v>
      </c>
      <c r="D510" t="s">
        <v>20</v>
      </c>
      <c r="E510" t="s">
        <v>17</v>
      </c>
      <c r="F510" s="5">
        <v>35200000</v>
      </c>
      <c r="G510" s="5">
        <v>38200000</v>
      </c>
      <c r="H510" s="5">
        <f>+(M510*26000)/0.829426</f>
        <v>41396821.416256547</v>
      </c>
      <c r="I510" s="5">
        <f>+G510-H510</f>
        <v>-3196821.416256547</v>
      </c>
      <c r="J510" s="5">
        <v>3000000</v>
      </c>
      <c r="K510" s="5">
        <v>3520000</v>
      </c>
      <c r="L510" s="5">
        <v>3820000</v>
      </c>
      <c r="M510" s="7">
        <v>1320.6</v>
      </c>
      <c r="N510" s="5">
        <v>35700000</v>
      </c>
      <c r="O510" s="5">
        <v>38700000</v>
      </c>
      <c r="P510" s="3">
        <v>0.97916666666666663</v>
      </c>
    </row>
    <row r="511" spans="1:16" x14ac:dyDescent="0.25">
      <c r="A511" s="2">
        <v>43435</v>
      </c>
      <c r="B511" s="2">
        <v>43112</v>
      </c>
      <c r="C511" t="str">
        <f>+"Tuáº§n "&amp;WEEKNUM(B511)</f>
        <v>Tuáº§n 2</v>
      </c>
      <c r="D511" t="s">
        <v>21</v>
      </c>
      <c r="E511" t="s">
        <v>17</v>
      </c>
      <c r="F511" s="5">
        <v>35600000</v>
      </c>
      <c r="G511" s="5">
        <v>38600000</v>
      </c>
      <c r="H511" s="5">
        <f>+(M511*26000)/0.829426</f>
        <v>41798062.756653398</v>
      </c>
      <c r="I511" s="5">
        <f>+G511-H511</f>
        <v>-3198062.7566533983</v>
      </c>
      <c r="J511" s="5">
        <v>3000000</v>
      </c>
      <c r="K511" s="5">
        <v>3560000</v>
      </c>
      <c r="L511" s="5">
        <v>3860000</v>
      </c>
      <c r="M511" s="7">
        <v>1333.4</v>
      </c>
      <c r="N511" s="5">
        <v>36100000</v>
      </c>
      <c r="O511" s="5">
        <v>39100000</v>
      </c>
      <c r="P511" s="3">
        <v>0.97916666666666663</v>
      </c>
    </row>
    <row r="512" spans="1:16" x14ac:dyDescent="0.25">
      <c r="A512" t="s">
        <v>327</v>
      </c>
      <c r="B512" s="2">
        <v>43116</v>
      </c>
      <c r="C512" t="str">
        <f>+"Tuáº§n "&amp;WEEKNUM(B512)</f>
        <v>Tuáº§n 3</v>
      </c>
      <c r="D512" t="s">
        <v>18</v>
      </c>
      <c r="E512" t="s">
        <v>17</v>
      </c>
      <c r="F512" s="5">
        <v>35600000</v>
      </c>
      <c r="G512" s="5">
        <v>38600000</v>
      </c>
      <c r="H512" s="5">
        <f>+(M512*26000)/0.829426</f>
        <v>41860756.716090403</v>
      </c>
      <c r="I512" s="5">
        <f>+G512-H512</f>
        <v>-3260756.7160904035</v>
      </c>
      <c r="J512" s="5">
        <v>3000000</v>
      </c>
      <c r="K512" s="5">
        <v>3560000</v>
      </c>
      <c r="L512" s="5">
        <v>3860000</v>
      </c>
      <c r="M512" s="7">
        <v>1335.4</v>
      </c>
      <c r="N512" s="5">
        <v>36100000</v>
      </c>
      <c r="O512" s="5">
        <v>39100000</v>
      </c>
      <c r="P512" s="3">
        <v>0.97916666666666663</v>
      </c>
    </row>
    <row r="513" spans="1:16" x14ac:dyDescent="0.25">
      <c r="A513" t="s">
        <v>328</v>
      </c>
      <c r="B513" s="2">
        <v>43117</v>
      </c>
      <c r="C513" t="str">
        <f>+"Tuáº§n "&amp;WEEKNUM(B513)</f>
        <v>Tuáº§n 3</v>
      </c>
      <c r="D513" t="s">
        <v>19</v>
      </c>
      <c r="E513" t="s">
        <v>17</v>
      </c>
      <c r="F513" s="5">
        <v>35700000</v>
      </c>
      <c r="G513" s="5">
        <v>38700000</v>
      </c>
      <c r="H513" s="5">
        <f>+(M513*26000)/0.829426</f>
        <v>41942258.863358513</v>
      </c>
      <c r="I513" s="5">
        <f>+G513-H513</f>
        <v>-3242258.8633585125</v>
      </c>
      <c r="J513" s="5">
        <v>3000000</v>
      </c>
      <c r="K513" s="5">
        <v>3570000</v>
      </c>
      <c r="L513" s="5">
        <v>3870000</v>
      </c>
      <c r="M513" s="7">
        <v>1338</v>
      </c>
      <c r="N513" s="5">
        <v>36200000</v>
      </c>
      <c r="O513" s="5">
        <v>39200000</v>
      </c>
      <c r="P513" s="3">
        <v>0.97916666666666663</v>
      </c>
    </row>
    <row r="514" spans="1:16" x14ac:dyDescent="0.25">
      <c r="A514" t="s">
        <v>329</v>
      </c>
      <c r="B514" s="2">
        <v>43118</v>
      </c>
      <c r="C514" t="str">
        <f>+"Tuáº§n "&amp;WEEKNUM(B514)</f>
        <v>Tuáº§n 3</v>
      </c>
      <c r="D514" t="s">
        <v>20</v>
      </c>
      <c r="E514" t="s">
        <v>17</v>
      </c>
      <c r="F514" s="5">
        <v>35400000</v>
      </c>
      <c r="G514" s="5">
        <v>38400000</v>
      </c>
      <c r="H514" s="5">
        <f>+(M514*26000)/0.829426</f>
        <v>41566095.106736466</v>
      </c>
      <c r="I514" s="5">
        <f>+G514-H514</f>
        <v>-3166095.1067364663</v>
      </c>
      <c r="J514" s="5">
        <v>3000000</v>
      </c>
      <c r="K514" s="5">
        <v>3540000</v>
      </c>
      <c r="L514" s="5">
        <v>3840000</v>
      </c>
      <c r="M514" s="7">
        <v>1326</v>
      </c>
      <c r="N514" s="5">
        <v>35900000</v>
      </c>
      <c r="O514" s="5">
        <v>38900000</v>
      </c>
      <c r="P514" s="3">
        <v>0.97916666666666663</v>
      </c>
    </row>
    <row r="515" spans="1:16" x14ac:dyDescent="0.25">
      <c r="A515" t="s">
        <v>330</v>
      </c>
      <c r="B515" s="2">
        <v>43119</v>
      </c>
      <c r="C515" t="str">
        <f>+"Tuáº§n "&amp;WEEKNUM(B515)</f>
        <v>Tuáº§n 3</v>
      </c>
      <c r="D515" t="s">
        <v>21</v>
      </c>
      <c r="E515" t="s">
        <v>17</v>
      </c>
      <c r="F515" s="5">
        <v>35500000</v>
      </c>
      <c r="G515" s="5">
        <v>38500000</v>
      </c>
      <c r="H515" s="5">
        <f>+(M515*26000)/0.829426</f>
        <v>41751042.287075639</v>
      </c>
      <c r="I515" s="5">
        <f>+G515-H515</f>
        <v>-3251042.2870756388</v>
      </c>
      <c r="J515" s="5">
        <v>3000000</v>
      </c>
      <c r="K515" s="5">
        <v>3550000</v>
      </c>
      <c r="L515" s="5">
        <v>3850000</v>
      </c>
      <c r="M515" s="7">
        <v>1331.9</v>
      </c>
      <c r="N515" s="5">
        <v>36000000</v>
      </c>
      <c r="O515" s="5">
        <v>39000000</v>
      </c>
      <c r="P515" s="3">
        <v>0.97916666666666663</v>
      </c>
    </row>
    <row r="516" spans="1:16" x14ac:dyDescent="0.25">
      <c r="A516" t="s">
        <v>331</v>
      </c>
      <c r="B516" s="2">
        <v>43122</v>
      </c>
      <c r="C516" t="str">
        <f>+"Tuáº§n "&amp;WEEKNUM(B516)</f>
        <v>Tuáº§n 4</v>
      </c>
      <c r="D516" t="s">
        <v>16</v>
      </c>
      <c r="E516" t="s">
        <v>17</v>
      </c>
      <c r="F516" s="5">
        <v>35500000</v>
      </c>
      <c r="G516" s="5">
        <v>38500000</v>
      </c>
      <c r="H516" s="5">
        <f>+(M516*26000)/0.829426</f>
        <v>41719695.30735714</v>
      </c>
      <c r="I516" s="5">
        <f>+G516-H516</f>
        <v>-3219695.3073571399</v>
      </c>
      <c r="J516" s="5">
        <v>3000000</v>
      </c>
      <c r="K516" s="5">
        <v>3550000</v>
      </c>
      <c r="L516" s="5">
        <v>3850000</v>
      </c>
      <c r="M516" s="7">
        <v>1330.9</v>
      </c>
      <c r="N516" s="5">
        <v>36000000</v>
      </c>
      <c r="O516" s="5">
        <v>39000000</v>
      </c>
      <c r="P516" s="3">
        <v>0.97916666666666663</v>
      </c>
    </row>
    <row r="517" spans="1:16" x14ac:dyDescent="0.25">
      <c r="A517" t="s">
        <v>332</v>
      </c>
      <c r="B517" s="2">
        <v>43123</v>
      </c>
      <c r="C517" t="str">
        <f>+"Tuáº§n "&amp;WEEKNUM(B517)</f>
        <v>Tuáº§n 4</v>
      </c>
      <c r="D517" t="s">
        <v>18</v>
      </c>
      <c r="E517" t="s">
        <v>17</v>
      </c>
      <c r="F517" s="5">
        <v>35600000</v>
      </c>
      <c r="G517" s="5">
        <v>38600000</v>
      </c>
      <c r="H517" s="5">
        <f>+(M517*26000)/0.829426</f>
        <v>41870160.810005955</v>
      </c>
      <c r="I517" s="5">
        <f>+G517-H517</f>
        <v>-3270160.8100059554</v>
      </c>
      <c r="J517" s="5">
        <v>3000000</v>
      </c>
      <c r="K517" s="5">
        <v>3560000</v>
      </c>
      <c r="L517" s="5">
        <v>3860000</v>
      </c>
      <c r="M517" s="7">
        <v>1335.7</v>
      </c>
      <c r="N517" s="5">
        <v>36100000</v>
      </c>
      <c r="O517" s="5">
        <v>39100000</v>
      </c>
      <c r="P517" s="3">
        <v>0.97916666666666663</v>
      </c>
    </row>
    <row r="518" spans="1:16" x14ac:dyDescent="0.25">
      <c r="A518" t="s">
        <v>333</v>
      </c>
      <c r="B518" s="2">
        <v>43124</v>
      </c>
      <c r="C518" t="str">
        <f>+"Tuáº§n "&amp;WEEKNUM(B518)</f>
        <v>Tuáº§n 4</v>
      </c>
      <c r="D518" t="s">
        <v>19</v>
      </c>
      <c r="E518" t="s">
        <v>17</v>
      </c>
      <c r="F518" s="5">
        <v>36200000</v>
      </c>
      <c r="G518" s="5">
        <v>39200000</v>
      </c>
      <c r="H518" s="5">
        <f>+(M518*26000)/0.829426</f>
        <v>42503369.800319739</v>
      </c>
      <c r="I518" s="5">
        <f>+G518-H518</f>
        <v>-3303369.8003197387</v>
      </c>
      <c r="J518" s="5">
        <v>3000000</v>
      </c>
      <c r="K518" s="5">
        <v>3620000</v>
      </c>
      <c r="L518" s="5">
        <v>3920000</v>
      </c>
      <c r="M518" s="7">
        <v>1355.9</v>
      </c>
      <c r="N518" s="5">
        <v>36700000</v>
      </c>
      <c r="O518" s="5">
        <v>39700000</v>
      </c>
      <c r="P518" s="3">
        <v>0.97916666666666663</v>
      </c>
    </row>
    <row r="519" spans="1:16" x14ac:dyDescent="0.25">
      <c r="A519" t="s">
        <v>334</v>
      </c>
      <c r="B519" s="2">
        <v>43125</v>
      </c>
      <c r="C519" t="str">
        <f>+"Tuáº§n "&amp;WEEKNUM(B519)</f>
        <v>Tuáº§n 4</v>
      </c>
      <c r="D519" t="s">
        <v>20</v>
      </c>
      <c r="E519" t="s">
        <v>17</v>
      </c>
      <c r="F519" s="5">
        <v>36400000</v>
      </c>
      <c r="G519" s="5">
        <v>39400000</v>
      </c>
      <c r="H519" s="5">
        <f>+(M519*26000)/0.829426</f>
        <v>42707125.168490015</v>
      </c>
      <c r="I519" s="5">
        <f>+G519-H519</f>
        <v>-3307125.168490015</v>
      </c>
      <c r="J519" s="5">
        <v>3000000</v>
      </c>
      <c r="K519" s="5">
        <v>3640000</v>
      </c>
      <c r="L519" s="5">
        <v>3940000</v>
      </c>
      <c r="M519" s="7">
        <v>1362.4</v>
      </c>
      <c r="N519" s="5">
        <v>36900000</v>
      </c>
      <c r="O519" s="5">
        <v>39900000</v>
      </c>
      <c r="P519" s="3">
        <v>0.97916666666666663</v>
      </c>
    </row>
    <row r="520" spans="1:16" x14ac:dyDescent="0.25">
      <c r="A520" t="s">
        <v>335</v>
      </c>
      <c r="B520" s="2">
        <v>43126</v>
      </c>
      <c r="C520" t="str">
        <f>+"Tuáº§n "&amp;WEEKNUM(B520)</f>
        <v>Tuáº§n 4</v>
      </c>
      <c r="D520" t="s">
        <v>21</v>
      </c>
      <c r="E520" t="s">
        <v>17</v>
      </c>
      <c r="F520" s="5">
        <v>36100000</v>
      </c>
      <c r="G520" s="5">
        <v>39100000</v>
      </c>
      <c r="H520" s="5">
        <f>+(M520*26000)/0.829426</f>
        <v>42368577.787530169</v>
      </c>
      <c r="I520" s="5">
        <f>+G520-H520</f>
        <v>-3268577.7875301689</v>
      </c>
      <c r="J520" s="5">
        <v>3000000</v>
      </c>
      <c r="K520" s="5">
        <v>3610000</v>
      </c>
      <c r="L520" s="5">
        <v>3910000</v>
      </c>
      <c r="M520" s="7">
        <v>1351.6</v>
      </c>
      <c r="N520" s="5">
        <v>36600000</v>
      </c>
      <c r="O520" s="5">
        <v>39600000</v>
      </c>
      <c r="P520" s="3">
        <v>0.97916666666666663</v>
      </c>
    </row>
    <row r="521" spans="1:16" x14ac:dyDescent="0.25">
      <c r="A521" t="s">
        <v>336</v>
      </c>
      <c r="B521" s="2">
        <v>43130</v>
      </c>
      <c r="C521" t="str">
        <f>+"Tuáº§n "&amp;WEEKNUM(B521)</f>
        <v>Tuáº§n 5</v>
      </c>
      <c r="D521" t="s">
        <v>18</v>
      </c>
      <c r="E521" t="s">
        <v>17</v>
      </c>
      <c r="F521" s="5">
        <v>35600000</v>
      </c>
      <c r="G521" s="5">
        <v>38600000</v>
      </c>
      <c r="H521" s="5">
        <f>+(M521*26000)/0.829426</f>
        <v>41860756.716090403</v>
      </c>
      <c r="I521" s="5">
        <f>+G521-H521</f>
        <v>-3260756.7160904035</v>
      </c>
      <c r="J521" s="5">
        <v>3000000</v>
      </c>
      <c r="K521" s="5">
        <v>3560000</v>
      </c>
      <c r="L521" s="5">
        <v>3860000</v>
      </c>
      <c r="M521" s="7">
        <v>1335.4</v>
      </c>
      <c r="N521" s="5">
        <v>36100000</v>
      </c>
      <c r="O521" s="5">
        <v>39100000</v>
      </c>
      <c r="P521" s="3">
        <v>0.97916666666666663</v>
      </c>
    </row>
    <row r="522" spans="1:16" x14ac:dyDescent="0.25">
      <c r="A522" t="s">
        <v>337</v>
      </c>
      <c r="B522" s="2">
        <v>43131</v>
      </c>
      <c r="C522" t="str">
        <f>+"Tuáº§n "&amp;WEEKNUM(B522)</f>
        <v>Tuáº§n 5</v>
      </c>
      <c r="D522" t="s">
        <v>19</v>
      </c>
      <c r="E522" t="s">
        <v>17</v>
      </c>
      <c r="F522" s="5">
        <v>35700000</v>
      </c>
      <c r="G522" s="5">
        <v>38700000</v>
      </c>
      <c r="H522" s="5">
        <f>+(M522*26000)/0.829426</f>
        <v>41973605.843077019</v>
      </c>
      <c r="I522" s="5">
        <f>+G522-H522</f>
        <v>-3273605.8430770189</v>
      </c>
      <c r="J522" s="5">
        <v>3000000</v>
      </c>
      <c r="K522" s="5">
        <v>3570000</v>
      </c>
      <c r="L522" s="5">
        <v>3870000</v>
      </c>
      <c r="M522" s="7">
        <v>1339</v>
      </c>
      <c r="N522" s="5">
        <v>36200000</v>
      </c>
      <c r="O522" s="5">
        <v>39200000</v>
      </c>
      <c r="P522" s="3">
        <v>0.97916666666666663</v>
      </c>
    </row>
    <row r="523" spans="1:16" x14ac:dyDescent="0.25">
      <c r="A523" s="2">
        <v>43102</v>
      </c>
      <c r="B523" s="2">
        <v>43132</v>
      </c>
      <c r="C523" t="str">
        <f>+"Tuáº§n "&amp;WEEKNUM(B523)</f>
        <v>Tuáº§n 5</v>
      </c>
      <c r="D523" t="s">
        <v>20</v>
      </c>
      <c r="E523" t="s">
        <v>17</v>
      </c>
      <c r="F523" s="5">
        <v>35900000</v>
      </c>
      <c r="G523" s="5">
        <v>38900000</v>
      </c>
      <c r="H523" s="5">
        <f>+(M523*26000)/0.829426</f>
        <v>42139744.835585095</v>
      </c>
      <c r="I523" s="5">
        <f>+G523-H523</f>
        <v>-3239744.835585095</v>
      </c>
      <c r="J523" s="5">
        <v>3000000</v>
      </c>
      <c r="K523" s="5">
        <v>3590000</v>
      </c>
      <c r="L523" s="5">
        <v>3890000</v>
      </c>
      <c r="M523" s="7">
        <v>1344.3</v>
      </c>
      <c r="N523" s="5">
        <v>36400000</v>
      </c>
      <c r="O523" s="5">
        <v>39400000</v>
      </c>
      <c r="P523" s="3">
        <v>0.97916666666666663</v>
      </c>
    </row>
    <row r="524" spans="1:16" x14ac:dyDescent="0.25">
      <c r="A524" s="2">
        <v>43133</v>
      </c>
      <c r="B524" s="2">
        <v>43133</v>
      </c>
      <c r="C524" t="str">
        <f>+"Tuáº§n "&amp;WEEKNUM(B524)</f>
        <v>Tuáº§n 5</v>
      </c>
      <c r="D524" t="s">
        <v>21</v>
      </c>
      <c r="E524" t="s">
        <v>17</v>
      </c>
      <c r="F524" s="5">
        <v>35600000</v>
      </c>
      <c r="G524" s="5">
        <v>38600000</v>
      </c>
      <c r="H524" s="5">
        <f>+(M524*26000)/0.829426</f>
        <v>41807466.85056895</v>
      </c>
      <c r="I524" s="5">
        <f>+G524-H524</f>
        <v>-3207466.8505689502</v>
      </c>
      <c r="J524" s="5">
        <v>3000000</v>
      </c>
      <c r="K524" s="5">
        <v>3560000</v>
      </c>
      <c r="L524" s="5">
        <v>3860000</v>
      </c>
      <c r="M524" s="7">
        <v>1333.7</v>
      </c>
      <c r="N524" s="5">
        <v>36100000</v>
      </c>
      <c r="O524" s="5">
        <v>39100000</v>
      </c>
      <c r="P524" s="3">
        <v>0.97916666666666663</v>
      </c>
    </row>
    <row r="525" spans="1:16" x14ac:dyDescent="0.25">
      <c r="A525" s="2">
        <v>43222</v>
      </c>
      <c r="B525" s="2">
        <v>43136</v>
      </c>
      <c r="C525" t="str">
        <f>+"Tuáº§n "&amp;WEEKNUM(B525)</f>
        <v>Tuáº§n 6</v>
      </c>
      <c r="D525" t="s">
        <v>16</v>
      </c>
      <c r="E525" t="s">
        <v>17</v>
      </c>
      <c r="F525" s="5">
        <v>35600000</v>
      </c>
      <c r="G525" s="5">
        <v>38600000</v>
      </c>
      <c r="H525" s="5">
        <f>+(M525*26000)/0.829426</f>
        <v>41785523.964765996</v>
      </c>
      <c r="I525" s="5">
        <f>+G525-H525</f>
        <v>-3185523.9647659957</v>
      </c>
      <c r="J525" s="5">
        <v>3000000</v>
      </c>
      <c r="K525" s="5">
        <v>3560000</v>
      </c>
      <c r="L525" s="5">
        <v>3860000</v>
      </c>
      <c r="M525" s="7">
        <v>1333</v>
      </c>
      <c r="N525" s="5">
        <v>36100000</v>
      </c>
      <c r="O525" s="5">
        <v>39100000</v>
      </c>
      <c r="P525" s="3">
        <v>0.97916666666666663</v>
      </c>
    </row>
    <row r="526" spans="1:16" x14ac:dyDescent="0.25">
      <c r="A526" s="2">
        <v>43253</v>
      </c>
      <c r="B526" s="2">
        <v>43137</v>
      </c>
      <c r="C526" t="str">
        <f>+"Tuáº§n "&amp;WEEKNUM(B526)</f>
        <v>Tuáº§n 6</v>
      </c>
      <c r="D526" t="s">
        <v>18</v>
      </c>
      <c r="E526" t="s">
        <v>17</v>
      </c>
      <c r="F526" s="5">
        <v>35400000</v>
      </c>
      <c r="G526" s="5">
        <v>38400000</v>
      </c>
      <c r="H526" s="5">
        <f>+(M526*26000)/0.829426</f>
        <v>41569229.804708317</v>
      </c>
      <c r="I526" s="5">
        <f>+G526-H526</f>
        <v>-3169229.8047083169</v>
      </c>
      <c r="J526" s="5">
        <v>3000000</v>
      </c>
      <c r="K526" s="5">
        <v>3540000</v>
      </c>
      <c r="L526" s="5">
        <v>3840000</v>
      </c>
      <c r="M526" s="7">
        <v>1326.1</v>
      </c>
      <c r="N526" s="5">
        <v>35900000</v>
      </c>
      <c r="O526" s="5">
        <v>38900000</v>
      </c>
      <c r="P526" s="3">
        <v>0.97916666666666663</v>
      </c>
    </row>
    <row r="527" spans="1:16" x14ac:dyDescent="0.25">
      <c r="A527" s="2">
        <v>43283</v>
      </c>
      <c r="B527" s="2">
        <v>43138</v>
      </c>
      <c r="C527" t="str">
        <f>+"Tuáº§n "&amp;WEEKNUM(B527)</f>
        <v>Tuáº§n 6</v>
      </c>
      <c r="D527" t="s">
        <v>19</v>
      </c>
      <c r="E527" t="s">
        <v>17</v>
      </c>
      <c r="F527" s="5">
        <v>34900000</v>
      </c>
      <c r="G527" s="5">
        <v>37900000</v>
      </c>
      <c r="H527" s="5">
        <f>+(M527*26000)/0.829426</f>
        <v>41114698.598790005</v>
      </c>
      <c r="I527" s="5">
        <f>+G527-H527</f>
        <v>-3214698.5987900048</v>
      </c>
      <c r="J527" s="5">
        <v>3000000</v>
      </c>
      <c r="K527" s="5">
        <v>3490000</v>
      </c>
      <c r="L527" s="5">
        <v>3790000</v>
      </c>
      <c r="M527" s="7">
        <v>1311.6</v>
      </c>
      <c r="N527" s="5">
        <v>35400000</v>
      </c>
      <c r="O527" s="5">
        <v>38400000</v>
      </c>
      <c r="P527" s="3">
        <v>0.97916666666666663</v>
      </c>
    </row>
    <row r="528" spans="1:16" x14ac:dyDescent="0.25">
      <c r="A528" s="2">
        <v>43314</v>
      </c>
      <c r="B528" s="2">
        <v>43139</v>
      </c>
      <c r="C528" t="str">
        <f>+"Tuáº§n "&amp;WEEKNUM(B528)</f>
        <v>Tuáº§n 6</v>
      </c>
      <c r="D528" t="s">
        <v>20</v>
      </c>
      <c r="E528" t="s">
        <v>17</v>
      </c>
      <c r="F528" s="5">
        <v>35100000</v>
      </c>
      <c r="G528" s="5">
        <v>38100000</v>
      </c>
      <c r="H528" s="5">
        <f>+(M528*26000)/0.829426</f>
        <v>41280837.591298081</v>
      </c>
      <c r="I528" s="5">
        <f>+G528-H528</f>
        <v>-3180837.591298081</v>
      </c>
      <c r="J528" s="5">
        <v>3000000</v>
      </c>
      <c r="K528" s="5">
        <v>3510000</v>
      </c>
      <c r="L528" s="5">
        <v>3810000</v>
      </c>
      <c r="M528" s="7">
        <v>1316.9</v>
      </c>
      <c r="N528" s="5">
        <v>35600000</v>
      </c>
      <c r="O528" s="5">
        <v>38600000</v>
      </c>
      <c r="P528" s="3">
        <v>0.97916666666666663</v>
      </c>
    </row>
    <row r="529" spans="1:16" x14ac:dyDescent="0.25">
      <c r="A529" s="2">
        <v>43345</v>
      </c>
      <c r="B529" s="2">
        <v>43140</v>
      </c>
      <c r="C529" t="str">
        <f>+"Tuáº§n "&amp;WEEKNUM(B529)</f>
        <v>Tuáº§n 6</v>
      </c>
      <c r="D529" t="s">
        <v>21</v>
      </c>
      <c r="E529" t="s">
        <v>17</v>
      </c>
      <c r="F529" s="5">
        <v>35000000</v>
      </c>
      <c r="G529" s="5">
        <v>38000000</v>
      </c>
      <c r="H529" s="5">
        <f>+(M529*26000)/0.829426</f>
        <v>41161719.068367764</v>
      </c>
      <c r="I529" s="5">
        <f>+G529-H529</f>
        <v>-3161719.0683677644</v>
      </c>
      <c r="J529" s="5">
        <v>3000000</v>
      </c>
      <c r="K529" s="5">
        <v>3500000</v>
      </c>
      <c r="L529" s="5">
        <v>3800000</v>
      </c>
      <c r="M529" s="7">
        <v>1313.1</v>
      </c>
      <c r="N529" s="5">
        <v>35500000</v>
      </c>
      <c r="O529" s="5">
        <v>38500000</v>
      </c>
      <c r="P529" s="3">
        <v>0.97916666666666663</v>
      </c>
    </row>
    <row r="530" spans="1:16" x14ac:dyDescent="0.25">
      <c r="A530" s="2">
        <v>43436</v>
      </c>
      <c r="B530" s="2">
        <v>43143</v>
      </c>
      <c r="C530" t="str">
        <f>+"Tuáº§n "&amp;WEEKNUM(B530)</f>
        <v>Tuáº§n 7</v>
      </c>
      <c r="D530" t="s">
        <v>16</v>
      </c>
      <c r="E530" t="s">
        <v>17</v>
      </c>
      <c r="F530" s="5">
        <v>35300000</v>
      </c>
      <c r="G530" s="5">
        <v>38300000</v>
      </c>
      <c r="H530" s="5">
        <f>+(M530*26000)/0.829426</f>
        <v>41509670.543243162</v>
      </c>
      <c r="I530" s="5">
        <f>+G530-H530</f>
        <v>-3209670.5432431623</v>
      </c>
      <c r="J530" s="5">
        <v>3000000</v>
      </c>
      <c r="K530" s="5">
        <v>3530000</v>
      </c>
      <c r="L530" s="5">
        <v>3830000</v>
      </c>
      <c r="M530" s="7">
        <v>1324.2</v>
      </c>
      <c r="N530" s="5">
        <v>35800000</v>
      </c>
      <c r="O530" s="5">
        <v>38800000</v>
      </c>
      <c r="P530" s="3">
        <v>0.97916666666666663</v>
      </c>
    </row>
    <row r="531" spans="1:16" x14ac:dyDescent="0.25">
      <c r="A531" t="s">
        <v>338</v>
      </c>
      <c r="B531" s="2">
        <v>43144</v>
      </c>
      <c r="C531" t="str">
        <f>+"Tuáº§n "&amp;WEEKNUM(B531)</f>
        <v>Tuáº§n 7</v>
      </c>
      <c r="D531" t="s">
        <v>18</v>
      </c>
      <c r="E531" t="s">
        <v>17</v>
      </c>
      <c r="F531" s="5">
        <v>35400000</v>
      </c>
      <c r="G531" s="5">
        <v>38400000</v>
      </c>
      <c r="H531" s="5">
        <f>+(M531*26000)/0.829426</f>
        <v>41631923.764145322</v>
      </c>
      <c r="I531" s="5">
        <f>+G531-H531</f>
        <v>-3231923.7641453221</v>
      </c>
      <c r="J531" s="5">
        <v>3000000</v>
      </c>
      <c r="K531" s="5">
        <v>3540000</v>
      </c>
      <c r="L531" s="5">
        <v>3840000</v>
      </c>
      <c r="M531" s="7">
        <v>1328.1</v>
      </c>
      <c r="N531" s="5">
        <v>35900000</v>
      </c>
      <c r="O531" s="5">
        <v>38900000</v>
      </c>
      <c r="P531" s="3">
        <v>0.97916666666666663</v>
      </c>
    </row>
    <row r="532" spans="1:16" x14ac:dyDescent="0.25">
      <c r="A532" t="s">
        <v>339</v>
      </c>
      <c r="B532" s="2">
        <v>43145</v>
      </c>
      <c r="C532" t="str">
        <f>+"Tuáº§n "&amp;WEEKNUM(B532)</f>
        <v>Tuáº§n 7</v>
      </c>
      <c r="D532" t="s">
        <v>19</v>
      </c>
      <c r="E532" t="s">
        <v>17</v>
      </c>
      <c r="F532" s="5">
        <v>36200000</v>
      </c>
      <c r="G532" s="5">
        <v>39200000</v>
      </c>
      <c r="H532" s="5">
        <f>+(M532*26000)/0.829426</f>
        <v>42490831.008432336</v>
      </c>
      <c r="I532" s="5">
        <f>+G532-H532</f>
        <v>-3290831.0084323362</v>
      </c>
      <c r="J532" s="5">
        <v>3000000</v>
      </c>
      <c r="K532" s="5">
        <v>3620000</v>
      </c>
      <c r="L532" s="5">
        <v>3920000</v>
      </c>
      <c r="M532" s="7">
        <v>1355.5</v>
      </c>
      <c r="N532" s="5">
        <v>36700000</v>
      </c>
      <c r="O532" s="5">
        <v>39700000</v>
      </c>
      <c r="P532" s="3">
        <v>0.97916666666666663</v>
      </c>
    </row>
    <row r="533" spans="1:16" x14ac:dyDescent="0.25">
      <c r="A533" t="s">
        <v>340</v>
      </c>
      <c r="B533" s="2">
        <v>43146</v>
      </c>
      <c r="C533" t="str">
        <f>+"Tuáº§n "&amp;WEEKNUM(B533)</f>
        <v>Tuáº§n 7</v>
      </c>
      <c r="D533" t="s">
        <v>20</v>
      </c>
      <c r="E533" t="s">
        <v>17</v>
      </c>
      <c r="F533" s="5">
        <v>36100000</v>
      </c>
      <c r="G533" s="5">
        <v>39100000</v>
      </c>
      <c r="H533" s="5">
        <f>+(M533*26000)/0.829426</f>
        <v>42384251.277389422</v>
      </c>
      <c r="I533" s="5">
        <f>+G533-H533</f>
        <v>-3284251.2773894221</v>
      </c>
      <c r="J533" s="5">
        <v>3000000</v>
      </c>
      <c r="K533" s="5">
        <v>3610000</v>
      </c>
      <c r="L533" s="5">
        <v>3910000</v>
      </c>
      <c r="M533" s="7">
        <v>1352.1</v>
      </c>
      <c r="N533" s="5">
        <v>36600000</v>
      </c>
      <c r="O533" s="5">
        <v>39600000</v>
      </c>
      <c r="P533" s="3">
        <v>0.97916666666666663</v>
      </c>
    </row>
    <row r="534" spans="1:16" x14ac:dyDescent="0.25">
      <c r="A534" t="s">
        <v>341</v>
      </c>
      <c r="B534" s="2">
        <v>43147</v>
      </c>
      <c r="C534" t="str">
        <f>+"Tuáº§n "&amp;WEEKNUM(B534)</f>
        <v>Tuáº§n 7</v>
      </c>
      <c r="D534" t="s">
        <v>21</v>
      </c>
      <c r="E534" t="s">
        <v>17</v>
      </c>
      <c r="F534" s="5">
        <v>36100000</v>
      </c>
      <c r="G534" s="5">
        <v>39100000</v>
      </c>
      <c r="H534" s="5">
        <f>+(M534*26000)/0.829426</f>
        <v>42418732.955079779</v>
      </c>
      <c r="I534" s="5">
        <f>+G534-H534</f>
        <v>-3318732.955079779</v>
      </c>
      <c r="J534" s="5">
        <v>3000000</v>
      </c>
      <c r="K534" s="5">
        <v>3610000</v>
      </c>
      <c r="L534" s="5">
        <v>3910000</v>
      </c>
      <c r="M534" s="7">
        <v>1353.2</v>
      </c>
      <c r="N534" s="5">
        <v>36600000</v>
      </c>
      <c r="O534" s="5">
        <v>39600000</v>
      </c>
      <c r="P534" s="3">
        <v>0.97916666666666663</v>
      </c>
    </row>
    <row r="535" spans="1:16" x14ac:dyDescent="0.25">
      <c r="A535" t="s">
        <v>342</v>
      </c>
      <c r="B535" s="2">
        <v>43151</v>
      </c>
      <c r="C535" t="str">
        <f>+"Tuáº§n "&amp;WEEKNUM(B535)</f>
        <v>Tuáº§n 8</v>
      </c>
      <c r="D535" t="s">
        <v>18</v>
      </c>
      <c r="E535" t="s">
        <v>17</v>
      </c>
      <c r="F535" s="5">
        <v>35400000</v>
      </c>
      <c r="G535" s="5">
        <v>38400000</v>
      </c>
      <c r="H535" s="5">
        <f>+(M535*26000)/0.829426</f>
        <v>41653866.649948277</v>
      </c>
      <c r="I535" s="5">
        <f>+G535-H535</f>
        <v>-3253866.6499482766</v>
      </c>
      <c r="J535" s="5">
        <v>3000000</v>
      </c>
      <c r="K535" s="5">
        <v>3540000</v>
      </c>
      <c r="L535" s="5">
        <v>3840000</v>
      </c>
      <c r="M535" s="7">
        <v>1328.8</v>
      </c>
      <c r="N535" s="5">
        <v>35900000</v>
      </c>
      <c r="O535" s="5">
        <v>38900000</v>
      </c>
      <c r="P535" s="3">
        <v>0.97916666666666663</v>
      </c>
    </row>
    <row r="536" spans="1:16" x14ac:dyDescent="0.25">
      <c r="A536" t="s">
        <v>343</v>
      </c>
      <c r="B536" s="2">
        <v>43152</v>
      </c>
      <c r="C536" t="str">
        <f>+"Tuáº§n "&amp;WEEKNUM(B536)</f>
        <v>Tuáº§n 8</v>
      </c>
      <c r="D536" t="s">
        <v>19</v>
      </c>
      <c r="E536" t="s">
        <v>17</v>
      </c>
      <c r="F536" s="5">
        <v>35500000</v>
      </c>
      <c r="G536" s="5">
        <v>38500000</v>
      </c>
      <c r="H536" s="5">
        <f>+(M536*26000)/0.829426</f>
        <v>41691483.025610484</v>
      </c>
      <c r="I536" s="5">
        <f>+G536-H536</f>
        <v>-3191483.0256104842</v>
      </c>
      <c r="J536" s="5">
        <v>3000000</v>
      </c>
      <c r="K536" s="5">
        <v>3550000</v>
      </c>
      <c r="L536" s="5">
        <v>3850000</v>
      </c>
      <c r="M536" s="7">
        <v>1330</v>
      </c>
      <c r="N536" s="5">
        <v>36000000</v>
      </c>
      <c r="O536" s="5">
        <v>39000000</v>
      </c>
      <c r="P536" s="3">
        <v>0.97916666666666663</v>
      </c>
    </row>
    <row r="537" spans="1:16" x14ac:dyDescent="0.25">
      <c r="A537" t="s">
        <v>344</v>
      </c>
      <c r="B537" s="2">
        <v>43153</v>
      </c>
      <c r="C537" t="str">
        <f>+"Tuáº§n "&amp;WEEKNUM(B537)</f>
        <v>Tuáº§n 8</v>
      </c>
      <c r="D537" t="s">
        <v>20</v>
      </c>
      <c r="E537" t="s">
        <v>17</v>
      </c>
      <c r="F537" s="5">
        <v>35500000</v>
      </c>
      <c r="G537" s="5">
        <v>38500000</v>
      </c>
      <c r="H537" s="5">
        <f>+(M537*26000)/0.829426</f>
        <v>41710291.213441588</v>
      </c>
      <c r="I537" s="5">
        <f>+G537-H537</f>
        <v>-3210291.213441588</v>
      </c>
      <c r="J537" s="5">
        <v>3000000</v>
      </c>
      <c r="K537" s="5">
        <v>3550000</v>
      </c>
      <c r="L537" s="5">
        <v>3850000</v>
      </c>
      <c r="M537" s="7">
        <v>1330.6</v>
      </c>
      <c r="N537" s="5">
        <v>36000000</v>
      </c>
      <c r="O537" s="5">
        <v>39000000</v>
      </c>
      <c r="P537" s="3">
        <v>0.97916666666666663</v>
      </c>
    </row>
    <row r="538" spans="1:16" x14ac:dyDescent="0.25">
      <c r="A538" t="s">
        <v>345</v>
      </c>
      <c r="B538" s="2">
        <v>43154</v>
      </c>
      <c r="C538" t="str">
        <f>+"Tuáº§n "&amp;WEEKNUM(B538)</f>
        <v>Tuáº§n 8</v>
      </c>
      <c r="D538" t="s">
        <v>21</v>
      </c>
      <c r="E538" t="s">
        <v>17</v>
      </c>
      <c r="F538" s="5">
        <v>35400000</v>
      </c>
      <c r="G538" s="5">
        <v>38400000</v>
      </c>
      <c r="H538" s="5">
        <f>+(M538*26000)/0.829426</f>
        <v>41635058.462117173</v>
      </c>
      <c r="I538" s="5">
        <f>+G538-H538</f>
        <v>-3235058.4621171728</v>
      </c>
      <c r="J538" s="5">
        <v>3000000</v>
      </c>
      <c r="K538" s="5">
        <v>3540000</v>
      </c>
      <c r="L538" s="5">
        <v>3840000</v>
      </c>
      <c r="M538" s="7">
        <v>1328.2</v>
      </c>
      <c r="N538" s="5">
        <v>35900000</v>
      </c>
      <c r="O538" s="5">
        <v>38900000</v>
      </c>
      <c r="P538" s="3">
        <v>0.97916666666666663</v>
      </c>
    </row>
    <row r="539" spans="1:16" x14ac:dyDescent="0.25">
      <c r="A539" t="s">
        <v>346</v>
      </c>
      <c r="B539" s="2">
        <v>43157</v>
      </c>
      <c r="C539" t="str">
        <f>+"Tuáº§n "&amp;WEEKNUM(B539)</f>
        <v>Tuáº§n 9</v>
      </c>
      <c r="D539" t="s">
        <v>16</v>
      </c>
      <c r="E539" t="s">
        <v>17</v>
      </c>
      <c r="F539" s="5">
        <v>35500000</v>
      </c>
      <c r="G539" s="5">
        <v>38500000</v>
      </c>
      <c r="H539" s="5">
        <f>+(M539*26000)/0.829426</f>
        <v>41713425.911413439</v>
      </c>
      <c r="I539" s="5">
        <f>+G539-H539</f>
        <v>-3213425.9114134386</v>
      </c>
      <c r="J539" s="5">
        <v>3000000</v>
      </c>
      <c r="K539" s="5">
        <v>3550000</v>
      </c>
      <c r="L539" s="5">
        <v>3850000</v>
      </c>
      <c r="M539" s="7">
        <v>1330.7</v>
      </c>
      <c r="N539" s="5">
        <v>36000000</v>
      </c>
      <c r="O539" s="5">
        <v>39000000</v>
      </c>
      <c r="P539" s="3">
        <v>0.97916666666666663</v>
      </c>
    </row>
    <row r="540" spans="1:16" x14ac:dyDescent="0.25">
      <c r="A540" t="s">
        <v>347</v>
      </c>
      <c r="B540" s="2">
        <v>43158</v>
      </c>
      <c r="C540" t="str">
        <f>+"Tuáº§n "&amp;WEEKNUM(B540)</f>
        <v>Tuáº§n 9</v>
      </c>
      <c r="D540" t="s">
        <v>18</v>
      </c>
      <c r="E540" t="s">
        <v>17</v>
      </c>
      <c r="F540" s="5">
        <v>35100000</v>
      </c>
      <c r="G540" s="5">
        <v>38100000</v>
      </c>
      <c r="H540" s="5">
        <f>+(M540*26000)/0.829426</f>
        <v>41236951.819692172</v>
      </c>
      <c r="I540" s="5">
        <f>+G540-H540</f>
        <v>-3136951.8196921721</v>
      </c>
      <c r="J540" s="5">
        <v>3000000</v>
      </c>
      <c r="K540" s="5">
        <v>3510000</v>
      </c>
      <c r="L540" s="5">
        <v>3810000</v>
      </c>
      <c r="M540" s="7">
        <v>1315.5</v>
      </c>
      <c r="N540" s="5">
        <v>35600000</v>
      </c>
      <c r="O540" s="5">
        <v>38600000</v>
      </c>
      <c r="P540" s="3">
        <v>0.97916666666666663</v>
      </c>
    </row>
    <row r="541" spans="1:16" x14ac:dyDescent="0.25">
      <c r="A541" t="s">
        <v>348</v>
      </c>
      <c r="B541" s="2">
        <v>43159</v>
      </c>
      <c r="C541" t="str">
        <f>+"Tuáº§n "&amp;WEEKNUM(B541)</f>
        <v>Tuáº§n 9</v>
      </c>
      <c r="D541" t="s">
        <v>19</v>
      </c>
      <c r="E541" t="s">
        <v>17</v>
      </c>
      <c r="F541" s="5">
        <v>35100000</v>
      </c>
      <c r="G541" s="5">
        <v>38100000</v>
      </c>
      <c r="H541" s="5">
        <f>+(M541*26000)/0.829426</f>
        <v>41236951.819692172</v>
      </c>
      <c r="I541" s="5">
        <f>+G541-H541</f>
        <v>-3136951.8196921721</v>
      </c>
      <c r="J541" s="5">
        <v>3000000</v>
      </c>
      <c r="K541" s="5">
        <v>3510000</v>
      </c>
      <c r="L541" s="5">
        <v>3810000</v>
      </c>
      <c r="M541" s="7">
        <v>1315.5</v>
      </c>
      <c r="N541" s="5">
        <v>35600000</v>
      </c>
      <c r="O541" s="5">
        <v>38600000</v>
      </c>
      <c r="P541" s="3">
        <v>0.97916666666666663</v>
      </c>
    </row>
    <row r="542" spans="1:16" x14ac:dyDescent="0.25">
      <c r="A542" s="2">
        <v>43103</v>
      </c>
      <c r="B542" s="2">
        <v>43160</v>
      </c>
      <c r="C542" t="str">
        <f>+"Tuáº§n "&amp;WEEKNUM(B542)</f>
        <v>Tuáº§n 9</v>
      </c>
      <c r="D542" t="s">
        <v>20</v>
      </c>
      <c r="E542" t="s">
        <v>17</v>
      </c>
      <c r="F542" s="5">
        <v>34700000</v>
      </c>
      <c r="G542" s="5">
        <v>37700000</v>
      </c>
      <c r="H542" s="5">
        <f>+(M542*26000)/0.829426</f>
        <v>40841979.875239022</v>
      </c>
      <c r="I542" s="5">
        <f>+G542-H542</f>
        <v>-3141979.8752390221</v>
      </c>
      <c r="J542" s="5">
        <v>3000000</v>
      </c>
      <c r="K542" s="5">
        <v>3470000</v>
      </c>
      <c r="L542" s="5">
        <v>3770000</v>
      </c>
      <c r="M542" s="7">
        <v>1302.9000000000001</v>
      </c>
      <c r="N542" s="5">
        <v>35200000</v>
      </c>
      <c r="O542" s="5">
        <v>38200000</v>
      </c>
      <c r="P542" s="3">
        <v>0.97916666666666663</v>
      </c>
    </row>
    <row r="543" spans="1:16" x14ac:dyDescent="0.25">
      <c r="A543" s="2">
        <v>43134</v>
      </c>
      <c r="B543" s="2">
        <v>43161</v>
      </c>
      <c r="C543" t="str">
        <f>+"Tuáº§n "&amp;WEEKNUM(B543)</f>
        <v>Tuáº§n 9</v>
      </c>
      <c r="D543" t="s">
        <v>21</v>
      </c>
      <c r="E543" t="s">
        <v>17</v>
      </c>
      <c r="F543" s="5">
        <v>35200000</v>
      </c>
      <c r="G543" s="5">
        <v>38200000</v>
      </c>
      <c r="H543" s="5">
        <f>+(M543*26000)/0.829426</f>
        <v>41412494.906115793</v>
      </c>
      <c r="I543" s="5">
        <f>+G543-H543</f>
        <v>-3212494.9061157927</v>
      </c>
      <c r="J543" s="5">
        <v>3000000</v>
      </c>
      <c r="K543" s="5">
        <v>3520000</v>
      </c>
      <c r="L543" s="5">
        <v>3820000</v>
      </c>
      <c r="M543" s="7">
        <v>1321.1</v>
      </c>
      <c r="N543" s="5">
        <v>35700000</v>
      </c>
      <c r="O543" s="5">
        <v>38700000</v>
      </c>
      <c r="P543" s="3">
        <v>0.97916666666666663</v>
      </c>
    </row>
    <row r="544" spans="1:16" x14ac:dyDescent="0.25">
      <c r="A544" s="2">
        <v>43223</v>
      </c>
      <c r="B544" s="2">
        <v>43164</v>
      </c>
      <c r="C544" t="str">
        <f>+"Tuáº§n "&amp;WEEKNUM(B544)</f>
        <v>Tuáº§n 10</v>
      </c>
      <c r="D544" t="s">
        <v>16</v>
      </c>
      <c r="E544" t="s">
        <v>17</v>
      </c>
      <c r="F544" s="5">
        <v>35100000</v>
      </c>
      <c r="G544" s="5">
        <v>38100000</v>
      </c>
      <c r="H544" s="5">
        <f>+(M544*26000)/0.829426</f>
        <v>41318453.966960281</v>
      </c>
      <c r="I544" s="5">
        <f>+G544-H544</f>
        <v>-3218453.9669602811</v>
      </c>
      <c r="J544" s="5">
        <v>3000000</v>
      </c>
      <c r="K544" s="5">
        <v>3510000</v>
      </c>
      <c r="L544" s="5">
        <v>3810000</v>
      </c>
      <c r="M544" s="7">
        <v>1318.1</v>
      </c>
      <c r="N544" s="5">
        <v>35600000</v>
      </c>
      <c r="O544" s="5">
        <v>38600000</v>
      </c>
      <c r="P544" s="3">
        <v>0.97916666666666663</v>
      </c>
    </row>
    <row r="545" spans="1:16" x14ac:dyDescent="0.25">
      <c r="A545" s="2">
        <v>43254</v>
      </c>
      <c r="B545" s="2">
        <v>43165</v>
      </c>
      <c r="C545" t="str">
        <f>+"Tuáº§n "&amp;WEEKNUM(B545)</f>
        <v>Tuáº§n 10</v>
      </c>
      <c r="D545" t="s">
        <v>18</v>
      </c>
      <c r="E545" t="s">
        <v>17</v>
      </c>
      <c r="F545" s="5">
        <v>35600000</v>
      </c>
      <c r="G545" s="5">
        <v>38600000</v>
      </c>
      <c r="H545" s="5">
        <f>+(M545*26000)/0.829426</f>
        <v>41804332.1525971</v>
      </c>
      <c r="I545" s="5">
        <f>+G545-H545</f>
        <v>-3204332.1525970995</v>
      </c>
      <c r="J545" s="5">
        <v>3000000</v>
      </c>
      <c r="K545" s="5">
        <v>3560000</v>
      </c>
      <c r="L545" s="5">
        <v>3860000</v>
      </c>
      <c r="M545" s="7">
        <v>1333.6</v>
      </c>
      <c r="N545" s="5">
        <v>36100000</v>
      </c>
      <c r="O545" s="5">
        <v>39100000</v>
      </c>
      <c r="P545" s="3">
        <v>0.97916666666666663</v>
      </c>
    </row>
    <row r="546" spans="1:16" x14ac:dyDescent="0.25">
      <c r="A546" s="2">
        <v>43284</v>
      </c>
      <c r="B546" s="2">
        <v>43166</v>
      </c>
      <c r="C546" t="str">
        <f>+"Tuáº§n "&amp;WEEKNUM(B546)</f>
        <v>Tuáº§n 10</v>
      </c>
      <c r="D546" t="s">
        <v>19</v>
      </c>
      <c r="E546" t="s">
        <v>17</v>
      </c>
      <c r="F546" s="5">
        <v>35400000</v>
      </c>
      <c r="G546" s="5">
        <v>38400000</v>
      </c>
      <c r="H546" s="5">
        <f>+(M546*26000)/0.829426</f>
        <v>41566095.106736466</v>
      </c>
      <c r="I546" s="5">
        <f>+G546-H546</f>
        <v>-3166095.1067364663</v>
      </c>
      <c r="J546" s="5">
        <v>3000000</v>
      </c>
      <c r="K546" s="5">
        <v>3540000</v>
      </c>
      <c r="L546" s="5">
        <v>3840000</v>
      </c>
      <c r="M546" s="7">
        <v>1326</v>
      </c>
      <c r="N546" s="5">
        <v>35900000</v>
      </c>
      <c r="O546" s="5">
        <v>38900000</v>
      </c>
      <c r="P546" s="3">
        <v>0.97916666666666663</v>
      </c>
    </row>
    <row r="547" spans="1:16" x14ac:dyDescent="0.25">
      <c r="A547" s="2">
        <v>43315</v>
      </c>
      <c r="B547" s="2">
        <v>43167</v>
      </c>
      <c r="C547" t="str">
        <f>+"Tuáº§n "&amp;WEEKNUM(B547)</f>
        <v>Tuáº§n 10</v>
      </c>
      <c r="D547" t="s">
        <v>20</v>
      </c>
      <c r="E547" t="s">
        <v>17</v>
      </c>
      <c r="F547" s="5">
        <v>35200000</v>
      </c>
      <c r="G547" s="5">
        <v>38200000</v>
      </c>
      <c r="H547" s="5">
        <f>+(M547*26000)/0.829426</f>
        <v>41374878.530453593</v>
      </c>
      <c r="I547" s="5">
        <f>+G547-H547</f>
        <v>-3174878.5304535925</v>
      </c>
      <c r="J547" s="5">
        <v>3000000</v>
      </c>
      <c r="K547" s="5">
        <v>3520000</v>
      </c>
      <c r="L547" s="5">
        <v>3820000</v>
      </c>
      <c r="M547" s="7">
        <v>1319.9</v>
      </c>
      <c r="N547" s="5">
        <v>35700000</v>
      </c>
      <c r="O547" s="5">
        <v>38700000</v>
      </c>
      <c r="P547" s="3">
        <v>0.97916666666666663</v>
      </c>
    </row>
    <row r="548" spans="1:16" x14ac:dyDescent="0.25">
      <c r="A548" s="2">
        <v>43346</v>
      </c>
      <c r="B548" s="2">
        <v>43168</v>
      </c>
      <c r="C548" t="str">
        <f>+"Tuáº§n "&amp;WEEKNUM(B548)</f>
        <v>Tuáº§n 10</v>
      </c>
      <c r="D548" t="s">
        <v>21</v>
      </c>
      <c r="E548" t="s">
        <v>17</v>
      </c>
      <c r="F548" s="5">
        <v>35300000</v>
      </c>
      <c r="G548" s="5">
        <v>38300000</v>
      </c>
      <c r="H548" s="5">
        <f>+(M548*26000)/0.829426</f>
        <v>41453245.979749851</v>
      </c>
      <c r="I548" s="5">
        <f>+G548-H548</f>
        <v>-3153245.9797498509</v>
      </c>
      <c r="J548" s="5">
        <v>3000000</v>
      </c>
      <c r="K548" s="5">
        <v>3530000</v>
      </c>
      <c r="L548" s="5">
        <v>3830000</v>
      </c>
      <c r="M548" s="7">
        <v>1322.4</v>
      </c>
      <c r="N548" s="5">
        <v>35800000</v>
      </c>
      <c r="O548" s="5">
        <v>38800000</v>
      </c>
      <c r="P548" s="3">
        <v>0.97916666666666663</v>
      </c>
    </row>
    <row r="549" spans="1:16" x14ac:dyDescent="0.25">
      <c r="A549" s="2">
        <v>43437</v>
      </c>
      <c r="B549" s="2">
        <v>43171</v>
      </c>
      <c r="C549" t="str">
        <f>+"Tuáº§n "&amp;WEEKNUM(B549)</f>
        <v>Tuáº§n 11</v>
      </c>
      <c r="D549" t="s">
        <v>16</v>
      </c>
      <c r="E549" t="s">
        <v>17</v>
      </c>
      <c r="F549" s="5">
        <v>35200000</v>
      </c>
      <c r="G549" s="5">
        <v>38200000</v>
      </c>
      <c r="H549" s="5">
        <f>+(M549*26000)/0.829426</f>
        <v>41359205.040594339</v>
      </c>
      <c r="I549" s="5">
        <f>+G549-H549</f>
        <v>-3159205.0405943394</v>
      </c>
      <c r="J549" s="5">
        <v>3000000</v>
      </c>
      <c r="K549" s="5">
        <v>3520000</v>
      </c>
      <c r="L549" s="5">
        <v>3820000</v>
      </c>
      <c r="M549" s="7">
        <v>1319.4</v>
      </c>
      <c r="N549" s="5">
        <v>35700000</v>
      </c>
      <c r="O549" s="5">
        <v>38700000</v>
      </c>
      <c r="P549" s="3">
        <v>0.97916666666666663</v>
      </c>
    </row>
    <row r="550" spans="1:16" x14ac:dyDescent="0.25">
      <c r="A550" t="s">
        <v>349</v>
      </c>
      <c r="B550" s="2">
        <v>43172</v>
      </c>
      <c r="C550" t="str">
        <f>+"Tuáº§n "&amp;WEEKNUM(B550)</f>
        <v>Tuáº§n 11</v>
      </c>
      <c r="D550" t="s">
        <v>18</v>
      </c>
      <c r="E550" t="s">
        <v>17</v>
      </c>
      <c r="F550" s="5">
        <v>35400000</v>
      </c>
      <c r="G550" s="5">
        <v>38400000</v>
      </c>
      <c r="H550" s="5">
        <f>+(M550*26000)/0.829426</f>
        <v>41562960.408764616</v>
      </c>
      <c r="I550" s="5">
        <f>+G550-H550</f>
        <v>-3162960.4087646157</v>
      </c>
      <c r="J550" s="5">
        <v>3000000</v>
      </c>
      <c r="K550" s="5">
        <v>3540000</v>
      </c>
      <c r="L550" s="5">
        <v>3840000</v>
      </c>
      <c r="M550" s="7">
        <v>1325.9</v>
      </c>
      <c r="N550" s="5">
        <v>35900000</v>
      </c>
      <c r="O550" s="5">
        <v>38900000</v>
      </c>
      <c r="P550" s="3">
        <v>0.97916666666666663</v>
      </c>
    </row>
    <row r="551" spans="1:16" x14ac:dyDescent="0.25">
      <c r="A551" t="s">
        <v>350</v>
      </c>
      <c r="B551" s="2">
        <v>43173</v>
      </c>
      <c r="C551" t="str">
        <f>+"Tuáº§n "&amp;WEEKNUM(B551)</f>
        <v>Tuáº§n 11</v>
      </c>
      <c r="D551" t="s">
        <v>19</v>
      </c>
      <c r="E551" t="s">
        <v>17</v>
      </c>
      <c r="F551" s="5">
        <v>35300000</v>
      </c>
      <c r="G551" s="5">
        <v>38300000</v>
      </c>
      <c r="H551" s="5">
        <f>+(M551*26000)/0.829426</f>
        <v>41515939.939186856</v>
      </c>
      <c r="I551" s="5">
        <f>+G551-H551</f>
        <v>-3215939.9391868562</v>
      </c>
      <c r="J551" s="5">
        <v>3000000</v>
      </c>
      <c r="K551" s="5">
        <v>3530000</v>
      </c>
      <c r="L551" s="5">
        <v>3830000</v>
      </c>
      <c r="M551" s="7">
        <v>1324.4</v>
      </c>
      <c r="N551" s="5">
        <v>35800000</v>
      </c>
      <c r="O551" s="5">
        <v>38800000</v>
      </c>
      <c r="P551" s="3">
        <v>0.97916666666666663</v>
      </c>
    </row>
    <row r="552" spans="1:16" x14ac:dyDescent="0.25">
      <c r="A552" t="s">
        <v>351</v>
      </c>
      <c r="B552" s="2">
        <v>43174</v>
      </c>
      <c r="C552" t="str">
        <f>+"Tuáº§n "&amp;WEEKNUM(B552)</f>
        <v>Tuáº§n 11</v>
      </c>
      <c r="D552" t="s">
        <v>20</v>
      </c>
      <c r="E552" t="s">
        <v>17</v>
      </c>
      <c r="F552" s="5">
        <v>35100000</v>
      </c>
      <c r="G552" s="5">
        <v>38100000</v>
      </c>
      <c r="H552" s="5">
        <f>+(M552*26000)/0.829426</f>
        <v>41277702.89332623</v>
      </c>
      <c r="I552" s="5">
        <f>+G552-H552</f>
        <v>-3177702.8933262303</v>
      </c>
      <c r="J552" s="5">
        <v>3000000</v>
      </c>
      <c r="K552" s="5">
        <v>3510000</v>
      </c>
      <c r="L552" s="5">
        <v>3810000</v>
      </c>
      <c r="M552" s="7">
        <v>1316.8</v>
      </c>
      <c r="N552" s="5">
        <v>35600000</v>
      </c>
      <c r="O552" s="5">
        <v>38600000</v>
      </c>
      <c r="P552" s="3">
        <v>0.97916666666666663</v>
      </c>
    </row>
    <row r="553" spans="1:16" x14ac:dyDescent="0.25">
      <c r="A553" t="s">
        <v>352</v>
      </c>
      <c r="B553" s="2">
        <v>43175</v>
      </c>
      <c r="C553" t="str">
        <f>+"Tuáº§n "&amp;WEEKNUM(B553)</f>
        <v>Tuáº§n 11</v>
      </c>
      <c r="D553" t="s">
        <v>21</v>
      </c>
      <c r="E553" t="s">
        <v>17</v>
      </c>
      <c r="F553" s="5">
        <v>34900000</v>
      </c>
      <c r="G553" s="5">
        <v>37900000</v>
      </c>
      <c r="H553" s="5">
        <f>+(M553*26000)/0.829426</f>
        <v>41105294.504874453</v>
      </c>
      <c r="I553" s="5">
        <f>+G553-H553</f>
        <v>-3205294.5048744529</v>
      </c>
      <c r="J553" s="5">
        <v>3000000</v>
      </c>
      <c r="K553" s="5">
        <v>3490000</v>
      </c>
      <c r="L553" s="5">
        <v>3790000</v>
      </c>
      <c r="M553" s="7">
        <v>1311.3</v>
      </c>
      <c r="N553" s="5">
        <v>35400000</v>
      </c>
      <c r="O553" s="5">
        <v>38400000</v>
      </c>
      <c r="P553" s="3">
        <v>0.97916666666666663</v>
      </c>
    </row>
    <row r="554" spans="1:16" x14ac:dyDescent="0.25">
      <c r="A554" t="s">
        <v>353</v>
      </c>
      <c r="B554" s="2">
        <v>43178</v>
      </c>
      <c r="C554" t="str">
        <f>+"Tuáº§n "&amp;WEEKNUM(B554)</f>
        <v>Tuáº§n 12</v>
      </c>
      <c r="D554" t="s">
        <v>16</v>
      </c>
      <c r="E554" t="s">
        <v>17</v>
      </c>
      <c r="F554" s="5">
        <v>35100000</v>
      </c>
      <c r="G554" s="5">
        <v>38100000</v>
      </c>
      <c r="H554" s="5">
        <f>+(M554*26000)/0.829426</f>
        <v>41277702.89332623</v>
      </c>
      <c r="I554" s="5">
        <f>+G554-H554</f>
        <v>-3177702.8933262303</v>
      </c>
      <c r="J554" s="5">
        <v>3000000</v>
      </c>
      <c r="K554" s="5">
        <v>3510000</v>
      </c>
      <c r="L554" s="5">
        <v>3810000</v>
      </c>
      <c r="M554" s="7">
        <v>1316.8</v>
      </c>
      <c r="N554" s="5">
        <v>35600000</v>
      </c>
      <c r="O554" s="5">
        <v>38600000</v>
      </c>
      <c r="P554" s="3">
        <v>0.97916666666666663</v>
      </c>
    </row>
    <row r="555" spans="1:16" x14ac:dyDescent="0.25">
      <c r="A555" t="s">
        <v>354</v>
      </c>
      <c r="B555" s="2">
        <v>43179</v>
      </c>
      <c r="C555" t="str">
        <f>+"Tuáº§n "&amp;WEEKNUM(B555)</f>
        <v>Tuáº§n 12</v>
      </c>
      <c r="D555" t="s">
        <v>18</v>
      </c>
      <c r="E555" t="s">
        <v>17</v>
      </c>
      <c r="F555" s="5">
        <v>34900000</v>
      </c>
      <c r="G555" s="5">
        <v>37900000</v>
      </c>
      <c r="H555" s="5">
        <f>+(M555*26000)/0.829426</f>
        <v>41099025.108930752</v>
      </c>
      <c r="I555" s="5">
        <f>+G555-H555</f>
        <v>-3199025.1089307517</v>
      </c>
      <c r="J555" s="5">
        <v>3000000</v>
      </c>
      <c r="K555" s="5">
        <v>3490000</v>
      </c>
      <c r="L555" s="5">
        <v>3790000</v>
      </c>
      <c r="M555" s="7">
        <v>1311.1</v>
      </c>
      <c r="N555" s="5">
        <v>35400000</v>
      </c>
      <c r="O555" s="5">
        <v>38400000</v>
      </c>
      <c r="P555" s="3">
        <v>0.97916666666666663</v>
      </c>
    </row>
    <row r="556" spans="1:16" x14ac:dyDescent="0.25">
      <c r="A556" t="s">
        <v>355</v>
      </c>
      <c r="B556" s="2">
        <v>43180</v>
      </c>
      <c r="C556" t="str">
        <f>+"Tuáº§n "&amp;WEEKNUM(B556)</f>
        <v>Tuáº§n 12</v>
      </c>
      <c r="D556" t="s">
        <v>19</v>
      </c>
      <c r="E556" t="s">
        <v>17</v>
      </c>
      <c r="F556" s="5">
        <v>35200000</v>
      </c>
      <c r="G556" s="5">
        <v>38200000</v>
      </c>
      <c r="H556" s="5">
        <f>+(M556*26000)/0.829426</f>
        <v>41399956.114228398</v>
      </c>
      <c r="I556" s="5">
        <f>+G556-H556</f>
        <v>-3199956.1142283976</v>
      </c>
      <c r="J556" s="5">
        <v>3000000</v>
      </c>
      <c r="K556" s="5">
        <v>3520000</v>
      </c>
      <c r="L556" s="5">
        <v>3820000</v>
      </c>
      <c r="M556" s="7">
        <v>1320.7</v>
      </c>
      <c r="N556" s="5">
        <v>35700000</v>
      </c>
      <c r="O556" s="5">
        <v>38700000</v>
      </c>
      <c r="P556" s="3">
        <v>0.97916666666666663</v>
      </c>
    </row>
    <row r="557" spans="1:16" x14ac:dyDescent="0.25">
      <c r="A557" t="s">
        <v>356</v>
      </c>
      <c r="B557" s="2">
        <v>43181</v>
      </c>
      <c r="C557" t="str">
        <f>+"Tuáº§n "&amp;WEEKNUM(B557)</f>
        <v>Tuáº§n 12</v>
      </c>
      <c r="D557" t="s">
        <v>20</v>
      </c>
      <c r="E557" t="s">
        <v>17</v>
      </c>
      <c r="F557" s="5">
        <v>35400000</v>
      </c>
      <c r="G557" s="5">
        <v>38400000</v>
      </c>
      <c r="H557" s="5">
        <f>+(M557*26000)/0.829426</f>
        <v>41584903.29456757</v>
      </c>
      <c r="I557" s="5">
        <f>+G557-H557</f>
        <v>-3184903.2945675701</v>
      </c>
      <c r="J557" s="5">
        <v>3000000</v>
      </c>
      <c r="K557" s="5">
        <v>3540000</v>
      </c>
      <c r="L557" s="5">
        <v>3840000</v>
      </c>
      <c r="M557" s="7">
        <v>1326.6</v>
      </c>
      <c r="N557" s="5">
        <v>35900000</v>
      </c>
      <c r="O557" s="5">
        <v>38900000</v>
      </c>
      <c r="P557" s="3">
        <v>0.97916666666666663</v>
      </c>
    </row>
    <row r="558" spans="1:16" x14ac:dyDescent="0.25">
      <c r="A558" t="s">
        <v>357</v>
      </c>
      <c r="B558" s="2">
        <v>43182</v>
      </c>
      <c r="C558" t="str">
        <f>+"Tuáº§n "&amp;WEEKNUM(B558)</f>
        <v>Tuáº§n 12</v>
      </c>
      <c r="D558" t="s">
        <v>21</v>
      </c>
      <c r="E558" t="s">
        <v>17</v>
      </c>
      <c r="F558" s="5">
        <v>36000000</v>
      </c>
      <c r="G558" s="5">
        <v>39000000</v>
      </c>
      <c r="H558" s="5">
        <f>+(M558*26000)/0.829426</f>
        <v>42296479.734177612</v>
      </c>
      <c r="I558" s="5">
        <f>+G558-H558</f>
        <v>-3296479.7341776118</v>
      </c>
      <c r="J558" s="5">
        <v>3000000</v>
      </c>
      <c r="K558" s="5">
        <v>3600000</v>
      </c>
      <c r="L558" s="5">
        <v>3900000</v>
      </c>
      <c r="M558" s="7">
        <v>1349.3</v>
      </c>
      <c r="N558" s="5">
        <v>36500000</v>
      </c>
      <c r="O558" s="5">
        <v>39500000</v>
      </c>
      <c r="P558" s="3">
        <v>0.97916666666666663</v>
      </c>
    </row>
    <row r="559" spans="1:16" x14ac:dyDescent="0.25">
      <c r="A559" t="s">
        <v>358</v>
      </c>
      <c r="B559" s="2">
        <v>43185</v>
      </c>
      <c r="C559" t="str">
        <f>+"Tuáº§n "&amp;WEEKNUM(B559)</f>
        <v>Tuáº§n 13</v>
      </c>
      <c r="D559" t="s">
        <v>16</v>
      </c>
      <c r="E559" t="s">
        <v>17</v>
      </c>
      <c r="F559" s="5">
        <v>36200000</v>
      </c>
      <c r="G559" s="5">
        <v>39200000</v>
      </c>
      <c r="H559" s="5">
        <f>+(M559*26000)/0.829426</f>
        <v>42456349.330741987</v>
      </c>
      <c r="I559" s="5">
        <f>+G559-H559</f>
        <v>-3256349.3307419866</v>
      </c>
      <c r="J559" s="5">
        <v>3000000</v>
      </c>
      <c r="K559" s="5">
        <v>3620000</v>
      </c>
      <c r="L559" s="5">
        <v>3920000</v>
      </c>
      <c r="M559" s="7">
        <v>1354.4</v>
      </c>
      <c r="N559" s="5">
        <v>36700000</v>
      </c>
      <c r="O559" s="5">
        <v>39700000</v>
      </c>
      <c r="P559" s="3">
        <v>0.97916666666666663</v>
      </c>
    </row>
    <row r="560" spans="1:16" x14ac:dyDescent="0.25">
      <c r="A560" t="s">
        <v>359</v>
      </c>
      <c r="B560" s="2">
        <v>43186</v>
      </c>
      <c r="C560" t="str">
        <f>+"Tuáº§n "&amp;WEEKNUM(B560)</f>
        <v>Tuáº§n 13</v>
      </c>
      <c r="D560" t="s">
        <v>18</v>
      </c>
      <c r="E560" t="s">
        <v>17</v>
      </c>
      <c r="F560" s="5">
        <v>35800000</v>
      </c>
      <c r="G560" s="5">
        <v>38800000</v>
      </c>
      <c r="H560" s="5">
        <f>+(M560*26000)/0.829426</f>
        <v>42045703.896429576</v>
      </c>
      <c r="I560" s="5">
        <f>+G560-H560</f>
        <v>-3245703.896429576</v>
      </c>
      <c r="J560" s="5">
        <v>3000000</v>
      </c>
      <c r="K560" s="5">
        <v>3580000</v>
      </c>
      <c r="L560" s="5">
        <v>3880000</v>
      </c>
      <c r="M560" s="7">
        <v>1341.3</v>
      </c>
      <c r="N560" s="5">
        <v>36300000</v>
      </c>
      <c r="O560" s="5">
        <v>39300000</v>
      </c>
      <c r="P560" s="3">
        <v>0.97916666666666663</v>
      </c>
    </row>
    <row r="561" spans="1:16" x14ac:dyDescent="0.25">
      <c r="A561" t="s">
        <v>360</v>
      </c>
      <c r="B561" s="2">
        <v>43187</v>
      </c>
      <c r="C561" t="str">
        <f>+"Tuáº§n "&amp;WEEKNUM(B561)</f>
        <v>Tuáº§n 13</v>
      </c>
      <c r="D561" t="s">
        <v>19</v>
      </c>
      <c r="E561" t="s">
        <v>17</v>
      </c>
      <c r="F561" s="5">
        <v>35300000</v>
      </c>
      <c r="G561" s="5">
        <v>38300000</v>
      </c>
      <c r="H561" s="5">
        <f>+(M561*26000)/0.829426</f>
        <v>41509670.543243162</v>
      </c>
      <c r="I561" s="5">
        <f>+G561-H561</f>
        <v>-3209670.5432431623</v>
      </c>
      <c r="J561" s="5">
        <v>3000000</v>
      </c>
      <c r="K561" s="5">
        <v>3530000</v>
      </c>
      <c r="L561" s="5">
        <v>3830000</v>
      </c>
      <c r="M561" s="7">
        <v>1324.2</v>
      </c>
      <c r="N561" s="5">
        <v>35800000</v>
      </c>
      <c r="O561" s="5">
        <v>38800000</v>
      </c>
      <c r="P561" s="3">
        <v>0.97916666666666663</v>
      </c>
    </row>
    <row r="562" spans="1:16" x14ac:dyDescent="0.25">
      <c r="A562" t="s">
        <v>361</v>
      </c>
      <c r="B562" s="2">
        <v>43188</v>
      </c>
      <c r="C562" t="str">
        <f>+"Tuáº§n "&amp;WEEKNUM(B562)</f>
        <v>Tuáº§n 13</v>
      </c>
      <c r="D562" t="s">
        <v>20</v>
      </c>
      <c r="E562" t="s">
        <v>17</v>
      </c>
      <c r="F562" s="5">
        <v>35300000</v>
      </c>
      <c r="G562" s="5">
        <v>38300000</v>
      </c>
      <c r="H562" s="5">
        <f>+(M562*26000)/0.829426</f>
        <v>41465784.771637253</v>
      </c>
      <c r="I562" s="5">
        <f>+G562-H562</f>
        <v>-3165784.7716372535</v>
      </c>
      <c r="J562" s="5">
        <v>3000000</v>
      </c>
      <c r="K562" s="5">
        <v>3530000</v>
      </c>
      <c r="L562" s="5">
        <v>3830000</v>
      </c>
      <c r="M562" s="7">
        <v>1322.8</v>
      </c>
      <c r="N562" s="5">
        <v>35800000</v>
      </c>
      <c r="O562" s="5">
        <v>38800000</v>
      </c>
      <c r="P562" s="3">
        <v>0.97916666666666663</v>
      </c>
    </row>
    <row r="563" spans="1:16" x14ac:dyDescent="0.25">
      <c r="A563" s="2">
        <v>43135</v>
      </c>
      <c r="B563" s="2">
        <v>43192</v>
      </c>
      <c r="C563" t="str">
        <f>+"Tuáº§n "&amp;WEEKNUM(B563)</f>
        <v>Tuáº§n 14</v>
      </c>
      <c r="D563" t="s">
        <v>16</v>
      </c>
      <c r="E563" t="s">
        <v>17</v>
      </c>
      <c r="F563" s="5">
        <v>35800000</v>
      </c>
      <c r="G563" s="5">
        <v>38800000</v>
      </c>
      <c r="H563" s="5">
        <f>+(M563*26000)/0.829426</f>
        <v>42070781.480204381</v>
      </c>
      <c r="I563" s="5">
        <f>+G563-H563</f>
        <v>-3270781.480204381</v>
      </c>
      <c r="J563" s="5">
        <v>3000000</v>
      </c>
      <c r="K563" s="5">
        <v>3580000</v>
      </c>
      <c r="L563" s="5">
        <v>3880000</v>
      </c>
      <c r="M563" s="7">
        <v>1342.1</v>
      </c>
      <c r="N563" s="5">
        <v>36300000</v>
      </c>
      <c r="O563" s="5">
        <v>39300000</v>
      </c>
      <c r="P563" s="3">
        <v>0.97916666666666663</v>
      </c>
    </row>
    <row r="564" spans="1:16" x14ac:dyDescent="0.25">
      <c r="A564" s="2">
        <v>43163</v>
      </c>
      <c r="B564" s="2">
        <v>43193</v>
      </c>
      <c r="C564" t="str">
        <f>+"Tuáº§n "&amp;WEEKNUM(B564)</f>
        <v>Tuáº§n 14</v>
      </c>
      <c r="D564" t="s">
        <v>18</v>
      </c>
      <c r="E564" t="s">
        <v>17</v>
      </c>
      <c r="F564" s="5">
        <v>35600000</v>
      </c>
      <c r="G564" s="5">
        <v>38600000</v>
      </c>
      <c r="H564" s="5">
        <f>+(M564*26000)/0.829426</f>
        <v>41779254.568822294</v>
      </c>
      <c r="I564" s="5">
        <f>+G564-H564</f>
        <v>-3179254.5688222945</v>
      </c>
      <c r="J564" s="5">
        <v>3000000</v>
      </c>
      <c r="K564" s="5">
        <v>3560000</v>
      </c>
      <c r="L564" s="5">
        <v>3860000</v>
      </c>
      <c r="M564" s="7">
        <v>1332.8</v>
      </c>
      <c r="N564" s="5">
        <v>36100000</v>
      </c>
      <c r="O564" s="5">
        <v>39100000</v>
      </c>
      <c r="P564" s="3">
        <v>0.97916666666666663</v>
      </c>
    </row>
    <row r="565" spans="1:16" x14ac:dyDescent="0.25">
      <c r="A565" s="2">
        <v>43194</v>
      </c>
      <c r="B565" s="2">
        <v>43194</v>
      </c>
      <c r="C565" t="str">
        <f>+"Tuáº§n "&amp;WEEKNUM(B565)</f>
        <v>Tuáº§n 14</v>
      </c>
      <c r="D565" t="s">
        <v>19</v>
      </c>
      <c r="E565" t="s">
        <v>17</v>
      </c>
      <c r="F565" s="5">
        <v>35600000</v>
      </c>
      <c r="G565" s="5">
        <v>38600000</v>
      </c>
      <c r="H565" s="5">
        <f>+(M565*26000)/0.829426</f>
        <v>41873295.507977806</v>
      </c>
      <c r="I565" s="5">
        <f>+G565-H565</f>
        <v>-3273295.507977806</v>
      </c>
      <c r="J565" s="5">
        <v>3000000</v>
      </c>
      <c r="K565" s="5">
        <v>3560000</v>
      </c>
      <c r="L565" s="5">
        <v>3860000</v>
      </c>
      <c r="M565" s="7">
        <v>1335.8</v>
      </c>
      <c r="N565" s="5">
        <v>36100000</v>
      </c>
      <c r="O565" s="5">
        <v>39100000</v>
      </c>
      <c r="P565" s="3">
        <v>0.97916666666666663</v>
      </c>
    </row>
    <row r="566" spans="1:16" x14ac:dyDescent="0.25">
      <c r="A566" s="2">
        <v>43224</v>
      </c>
      <c r="B566" s="2">
        <v>43195</v>
      </c>
      <c r="C566" t="str">
        <f>+"Tuáº§n "&amp;WEEKNUM(B566)</f>
        <v>Tuáº§n 14</v>
      </c>
      <c r="D566" t="s">
        <v>20</v>
      </c>
      <c r="E566" t="s">
        <v>17</v>
      </c>
      <c r="F566" s="5">
        <v>35300000</v>
      </c>
      <c r="G566" s="5">
        <v>38300000</v>
      </c>
      <c r="H566" s="5">
        <f>+(M566*26000)/0.829426</f>
        <v>41512805.241215006</v>
      </c>
      <c r="I566" s="5">
        <f>+G566-H566</f>
        <v>-3212805.2412150055</v>
      </c>
      <c r="J566" s="5">
        <v>3000000</v>
      </c>
      <c r="K566" s="5">
        <v>3530000</v>
      </c>
      <c r="L566" s="5">
        <v>3830000</v>
      </c>
      <c r="M566" s="7">
        <v>1324.3</v>
      </c>
      <c r="N566" s="5">
        <v>35800000</v>
      </c>
      <c r="O566" s="5">
        <v>38800000</v>
      </c>
      <c r="P566" s="3">
        <v>0.97916666666666663</v>
      </c>
    </row>
    <row r="567" spans="1:16" x14ac:dyDescent="0.25">
      <c r="A567" s="2">
        <v>43255</v>
      </c>
      <c r="B567" s="2">
        <v>43196</v>
      </c>
      <c r="C567" t="str">
        <f>+"Tuáº§n "&amp;WEEKNUM(B567)</f>
        <v>Tuáº§n 14</v>
      </c>
      <c r="D567" t="s">
        <v>21</v>
      </c>
      <c r="E567" t="s">
        <v>17</v>
      </c>
      <c r="F567" s="5">
        <v>35500000</v>
      </c>
      <c r="G567" s="5">
        <v>38500000</v>
      </c>
      <c r="H567" s="5">
        <f>+(M567*26000)/0.829426</f>
        <v>41751042.287075639</v>
      </c>
      <c r="I567" s="5">
        <f>+G567-H567</f>
        <v>-3251042.2870756388</v>
      </c>
      <c r="J567" s="5">
        <v>3000000</v>
      </c>
      <c r="K567" s="5">
        <v>3550000</v>
      </c>
      <c r="L567" s="5">
        <v>3850000</v>
      </c>
      <c r="M567" s="7">
        <v>1331.9</v>
      </c>
      <c r="N567" s="5">
        <v>36000000</v>
      </c>
      <c r="O567" s="5">
        <v>39000000</v>
      </c>
      <c r="P567" s="3">
        <v>0.97916666666666663</v>
      </c>
    </row>
    <row r="568" spans="1:16" x14ac:dyDescent="0.25">
      <c r="A568" s="2">
        <v>43347</v>
      </c>
      <c r="B568" s="2">
        <v>43199</v>
      </c>
      <c r="C568" t="str">
        <f>+"Tuáº§n "&amp;WEEKNUM(B568)</f>
        <v>Tuáº§n 15</v>
      </c>
      <c r="D568" t="s">
        <v>16</v>
      </c>
      <c r="E568" t="s">
        <v>17</v>
      </c>
      <c r="F568" s="5">
        <v>35700000</v>
      </c>
      <c r="G568" s="5">
        <v>38700000</v>
      </c>
      <c r="H568" s="5">
        <f>+(M568*26000)/0.829426</f>
        <v>41888968.997837059</v>
      </c>
      <c r="I568" s="5">
        <f>+G568-H568</f>
        <v>-3188968.9978370592</v>
      </c>
      <c r="J568" s="5">
        <v>3000000</v>
      </c>
      <c r="K568" s="5">
        <v>3570000</v>
      </c>
      <c r="L568" s="5">
        <v>3870000</v>
      </c>
      <c r="M568" s="7">
        <v>1336.3</v>
      </c>
      <c r="N568" s="5">
        <v>36200000</v>
      </c>
      <c r="O568" s="5">
        <v>39200000</v>
      </c>
      <c r="P568" s="3">
        <v>0.97916666666666663</v>
      </c>
    </row>
    <row r="569" spans="1:16" x14ac:dyDescent="0.25">
      <c r="A569" s="2">
        <v>43377</v>
      </c>
      <c r="B569" s="2">
        <v>43200</v>
      </c>
      <c r="C569" t="str">
        <f>+"Tuáº§n "&amp;WEEKNUM(B569)</f>
        <v>Tuáº§n 15</v>
      </c>
      <c r="D569" t="s">
        <v>18</v>
      </c>
      <c r="E569" t="s">
        <v>17</v>
      </c>
      <c r="F569" s="5">
        <v>35800000</v>
      </c>
      <c r="G569" s="5">
        <v>38800000</v>
      </c>
      <c r="H569" s="5">
        <f>+(M569*26000)/0.829426</f>
        <v>42067646.78223253</v>
      </c>
      <c r="I569" s="5">
        <f>+G569-H569</f>
        <v>-3267646.7822325304</v>
      </c>
      <c r="J569" s="5">
        <v>3000000</v>
      </c>
      <c r="K569" s="5">
        <v>3580000</v>
      </c>
      <c r="L569" s="5">
        <v>3880000</v>
      </c>
      <c r="M569" s="7">
        <v>1342</v>
      </c>
      <c r="N569" s="5">
        <v>36300000</v>
      </c>
      <c r="O569" s="5">
        <v>39300000</v>
      </c>
      <c r="P569" s="3">
        <v>0.97916666666666663</v>
      </c>
    </row>
    <row r="570" spans="1:16" x14ac:dyDescent="0.25">
      <c r="A570" s="2">
        <v>43408</v>
      </c>
      <c r="B570" s="2">
        <v>43201</v>
      </c>
      <c r="C570" t="str">
        <f>+"Tuáº§n "&amp;WEEKNUM(B570)</f>
        <v>Tuáº§n 15</v>
      </c>
      <c r="D570" t="s">
        <v>19</v>
      </c>
      <c r="E570" t="s">
        <v>17</v>
      </c>
      <c r="F570" s="5">
        <v>36200000</v>
      </c>
      <c r="G570" s="5">
        <v>39200000</v>
      </c>
      <c r="H570" s="5">
        <f>+(M570*26000)/0.829426</f>
        <v>42522177.988150842</v>
      </c>
      <c r="I570" s="5">
        <f>+G570-H570</f>
        <v>-3322177.9881508425</v>
      </c>
      <c r="J570" s="5">
        <v>3000000</v>
      </c>
      <c r="K570" s="5">
        <v>3620000</v>
      </c>
      <c r="L570" s="5">
        <v>3920000</v>
      </c>
      <c r="M570" s="7">
        <v>1356.5</v>
      </c>
      <c r="N570" s="5">
        <v>36700000</v>
      </c>
      <c r="O570" s="5">
        <v>39700000</v>
      </c>
      <c r="P570" s="3">
        <v>0.97916666666666663</v>
      </c>
    </row>
    <row r="571" spans="1:16" x14ac:dyDescent="0.25">
      <c r="A571" s="2">
        <v>43438</v>
      </c>
      <c r="B571" s="2">
        <v>43202</v>
      </c>
      <c r="C571" t="str">
        <f>+"Tuáº§n "&amp;WEEKNUM(B571)</f>
        <v>Tuáº§n 15</v>
      </c>
      <c r="D571" t="s">
        <v>20</v>
      </c>
      <c r="E571" t="s">
        <v>17</v>
      </c>
      <c r="F571" s="5">
        <v>35700000</v>
      </c>
      <c r="G571" s="5">
        <v>38700000</v>
      </c>
      <c r="H571" s="5">
        <f>+(M571*26000)/0.829426</f>
        <v>41954797.655245915</v>
      </c>
      <c r="I571" s="5">
        <f>+G571-H571</f>
        <v>-3254797.6552459151</v>
      </c>
      <c r="J571" s="5">
        <v>3000000</v>
      </c>
      <c r="K571" s="5">
        <v>3570000</v>
      </c>
      <c r="L571" s="5">
        <v>3870000</v>
      </c>
      <c r="M571" s="7">
        <v>1338.4</v>
      </c>
      <c r="N571" s="5">
        <v>36200000</v>
      </c>
      <c r="O571" s="5">
        <v>39200000</v>
      </c>
      <c r="P571" s="3">
        <v>0.97916666666666663</v>
      </c>
    </row>
    <row r="572" spans="1:16" x14ac:dyDescent="0.25">
      <c r="A572" t="s">
        <v>362</v>
      </c>
      <c r="B572" s="2">
        <v>43203</v>
      </c>
      <c r="C572" t="str">
        <f>+"Tuáº§n "&amp;WEEKNUM(B572)</f>
        <v>Tuáº§n 15</v>
      </c>
      <c r="D572" t="s">
        <v>21</v>
      </c>
      <c r="E572" t="s">
        <v>17</v>
      </c>
      <c r="F572" s="5">
        <v>35900000</v>
      </c>
      <c r="G572" s="5">
        <v>38900000</v>
      </c>
      <c r="H572" s="5">
        <f>+(M572*26000)/0.829426</f>
        <v>42155418.325444341</v>
      </c>
      <c r="I572" s="5">
        <f>+G572-H572</f>
        <v>-3255418.3254443407</v>
      </c>
      <c r="J572" s="5">
        <v>3000000</v>
      </c>
      <c r="K572" s="5">
        <v>3590000</v>
      </c>
      <c r="L572" s="5">
        <v>3890000</v>
      </c>
      <c r="M572" s="7">
        <v>1344.8</v>
      </c>
      <c r="N572" s="5">
        <v>36400000</v>
      </c>
      <c r="O572" s="5">
        <v>39400000</v>
      </c>
      <c r="P572" s="3">
        <v>0.97916666666666663</v>
      </c>
    </row>
    <row r="573" spans="1:16" x14ac:dyDescent="0.25">
      <c r="A573" t="s">
        <v>363</v>
      </c>
      <c r="B573" s="2">
        <v>43206</v>
      </c>
      <c r="C573" t="str">
        <f>+"Tuáº§n "&amp;WEEKNUM(B573)</f>
        <v>Tuáº§n 16</v>
      </c>
      <c r="D573" t="s">
        <v>16</v>
      </c>
      <c r="E573" t="s">
        <v>17</v>
      </c>
      <c r="F573" s="5">
        <v>36000000</v>
      </c>
      <c r="G573" s="5">
        <v>39000000</v>
      </c>
      <c r="H573" s="5">
        <f>+(M573*26000)/0.829426</f>
        <v>42240055.170684308</v>
      </c>
      <c r="I573" s="5">
        <f>+G573-H573</f>
        <v>-3240055.1706843078</v>
      </c>
      <c r="J573" s="5">
        <v>3000000</v>
      </c>
      <c r="K573" s="5">
        <v>3600000</v>
      </c>
      <c r="L573" s="5">
        <v>3900000</v>
      </c>
      <c r="M573" s="7">
        <v>1347.5</v>
      </c>
      <c r="N573" s="5">
        <v>36500000</v>
      </c>
      <c r="O573" s="5">
        <v>39500000</v>
      </c>
      <c r="P573" s="3">
        <v>0.97916666666666663</v>
      </c>
    </row>
    <row r="574" spans="1:16" x14ac:dyDescent="0.25">
      <c r="A574" t="s">
        <v>364</v>
      </c>
      <c r="B574" s="2">
        <v>43207</v>
      </c>
      <c r="C574" t="str">
        <f>+"Tuáº§n "&amp;WEEKNUM(B574)</f>
        <v>Tuáº§n 16</v>
      </c>
      <c r="D574" t="s">
        <v>18</v>
      </c>
      <c r="E574" t="s">
        <v>17</v>
      </c>
      <c r="F574" s="5">
        <v>36000000</v>
      </c>
      <c r="G574" s="5">
        <v>39000000</v>
      </c>
      <c r="H574" s="5">
        <f>+(M574*26000)/0.829426</f>
        <v>42230651.076768756</v>
      </c>
      <c r="I574" s="5">
        <f>+G574-H574</f>
        <v>-3230651.0767687559</v>
      </c>
      <c r="J574" s="5">
        <v>3000000</v>
      </c>
      <c r="K574" s="5">
        <v>3600000</v>
      </c>
      <c r="L574" s="5">
        <v>3900000</v>
      </c>
      <c r="M574" s="7">
        <v>1347.2</v>
      </c>
      <c r="N574" s="5">
        <v>36500000</v>
      </c>
      <c r="O574" s="5">
        <v>39500000</v>
      </c>
      <c r="P574" s="3">
        <v>0.97916666666666663</v>
      </c>
    </row>
    <row r="575" spans="1:16" x14ac:dyDescent="0.25">
      <c r="A575" t="s">
        <v>365</v>
      </c>
      <c r="B575" s="2">
        <v>43208</v>
      </c>
      <c r="C575" t="str">
        <f>+"Tuáº§n "&amp;WEEKNUM(B575)</f>
        <v>Tuáº§n 16</v>
      </c>
      <c r="D575" t="s">
        <v>19</v>
      </c>
      <c r="E575" t="s">
        <v>17</v>
      </c>
      <c r="F575" s="5">
        <v>36100000</v>
      </c>
      <c r="G575" s="5">
        <v>39100000</v>
      </c>
      <c r="H575" s="5">
        <f>+(M575*26000)/0.829426</f>
        <v>42356038.995642766</v>
      </c>
      <c r="I575" s="5">
        <f>+G575-H575</f>
        <v>-3256038.9956427664</v>
      </c>
      <c r="J575" s="5">
        <v>3000000</v>
      </c>
      <c r="K575" s="5">
        <v>3610000</v>
      </c>
      <c r="L575" s="5">
        <v>3910000</v>
      </c>
      <c r="M575" s="7">
        <v>1351.2</v>
      </c>
      <c r="N575" s="5">
        <v>36600000</v>
      </c>
      <c r="O575" s="5">
        <v>39600000</v>
      </c>
      <c r="P575" s="3">
        <v>0.97916666666666663</v>
      </c>
    </row>
    <row r="576" spans="1:16" x14ac:dyDescent="0.25">
      <c r="A576" t="s">
        <v>366</v>
      </c>
      <c r="B576" s="2">
        <v>43209</v>
      </c>
      <c r="C576" t="str">
        <f>+"Tuáº§n "&amp;WEEKNUM(B576)</f>
        <v>Tuáº§n 16</v>
      </c>
      <c r="D576" t="s">
        <v>20</v>
      </c>
      <c r="E576" t="s">
        <v>17</v>
      </c>
      <c r="F576" s="5">
        <v>36000000</v>
      </c>
      <c r="G576" s="5">
        <v>39000000</v>
      </c>
      <c r="H576" s="5">
        <f>+(M576*26000)/0.829426</f>
        <v>42218112.284881353</v>
      </c>
      <c r="I576" s="5">
        <f>+G576-H576</f>
        <v>-3218112.2848813534</v>
      </c>
      <c r="J576" s="5">
        <v>3000000</v>
      </c>
      <c r="K576" s="5">
        <v>3600000</v>
      </c>
      <c r="L576" s="5">
        <v>3900000</v>
      </c>
      <c r="M576" s="7">
        <v>1346.8</v>
      </c>
      <c r="N576" s="5">
        <v>36500000</v>
      </c>
      <c r="O576" s="5">
        <v>39500000</v>
      </c>
      <c r="P576" s="3">
        <v>0.97916666666666663</v>
      </c>
    </row>
    <row r="577" spans="1:16" x14ac:dyDescent="0.25">
      <c r="A577" t="s">
        <v>367</v>
      </c>
      <c r="B577" s="2">
        <v>43210</v>
      </c>
      <c r="C577" t="str">
        <f>+"Tuáº§n "&amp;WEEKNUM(B577)</f>
        <v>Tuáº§n 16</v>
      </c>
      <c r="D577" t="s">
        <v>21</v>
      </c>
      <c r="E577" t="s">
        <v>17</v>
      </c>
      <c r="F577" s="5">
        <v>35700000</v>
      </c>
      <c r="G577" s="5">
        <v>38700000</v>
      </c>
      <c r="H577" s="5">
        <f>+(M577*26000)/0.829426</f>
        <v>41901507.789724462</v>
      </c>
      <c r="I577" s="5">
        <f>+G577-H577</f>
        <v>-3201507.7897244617</v>
      </c>
      <c r="J577" s="5">
        <v>3000000</v>
      </c>
      <c r="K577" s="5">
        <v>3570000</v>
      </c>
      <c r="L577" s="5">
        <v>3870000</v>
      </c>
      <c r="M577" s="7">
        <v>1336.7</v>
      </c>
      <c r="N577" s="5">
        <v>36200000</v>
      </c>
      <c r="O577" s="5">
        <v>39200000</v>
      </c>
      <c r="P577" s="3">
        <v>0.97916666666666663</v>
      </c>
    </row>
    <row r="578" spans="1:16" x14ac:dyDescent="0.25">
      <c r="A578" t="s">
        <v>368</v>
      </c>
      <c r="B578" s="2">
        <v>43213</v>
      </c>
      <c r="C578" t="str">
        <f>+"Tuáº§n "&amp;WEEKNUM(B578)</f>
        <v>Tuáº§n 17</v>
      </c>
      <c r="D578" t="s">
        <v>16</v>
      </c>
      <c r="E578" t="s">
        <v>17</v>
      </c>
      <c r="F578" s="5">
        <v>35300000</v>
      </c>
      <c r="G578" s="5">
        <v>38300000</v>
      </c>
      <c r="H578" s="5">
        <f>+(M578*26000)/0.829426</f>
        <v>41456380.677721702</v>
      </c>
      <c r="I578" s="5">
        <f>+G578-H578</f>
        <v>-3156380.6777217016</v>
      </c>
      <c r="J578" s="5">
        <v>3000000</v>
      </c>
      <c r="K578" s="5">
        <v>3530000</v>
      </c>
      <c r="L578" s="5">
        <v>3830000</v>
      </c>
      <c r="M578" s="7">
        <v>1322.5</v>
      </c>
      <c r="N578" s="5">
        <v>35800000</v>
      </c>
      <c r="O578" s="5">
        <v>38800000</v>
      </c>
      <c r="P578" s="3">
        <v>0.97916666666666663</v>
      </c>
    </row>
    <row r="579" spans="1:16" x14ac:dyDescent="0.25">
      <c r="A579" t="s">
        <v>369</v>
      </c>
      <c r="B579" s="2">
        <v>43214</v>
      </c>
      <c r="C579" t="str">
        <f>+"Tuáº§n "&amp;WEEKNUM(B579)</f>
        <v>Tuáº§n 17</v>
      </c>
      <c r="D579" t="s">
        <v>18</v>
      </c>
      <c r="E579" t="s">
        <v>17</v>
      </c>
      <c r="F579" s="5">
        <v>35500000</v>
      </c>
      <c r="G579" s="5">
        <v>38500000</v>
      </c>
      <c r="H579" s="5">
        <f>+(M579*26000)/0.829426</f>
        <v>41735368.797216386</v>
      </c>
      <c r="I579" s="5">
        <f>+G579-H579</f>
        <v>-3235368.7972163856</v>
      </c>
      <c r="J579" s="5">
        <v>3000000</v>
      </c>
      <c r="K579" s="5">
        <v>3550000</v>
      </c>
      <c r="L579" s="5">
        <v>3850000</v>
      </c>
      <c r="M579" s="7">
        <v>1331.4</v>
      </c>
      <c r="N579" s="5">
        <v>36000000</v>
      </c>
      <c r="O579" s="5">
        <v>39000000</v>
      </c>
      <c r="P579" s="3">
        <v>0.97916666666666663</v>
      </c>
    </row>
    <row r="580" spans="1:16" x14ac:dyDescent="0.25">
      <c r="A580" t="s">
        <v>370</v>
      </c>
      <c r="B580" s="2">
        <v>43215</v>
      </c>
      <c r="C580" t="str">
        <f>+"Tuáº§n "&amp;WEEKNUM(B580)</f>
        <v>Tuáº§n 17</v>
      </c>
      <c r="D580" t="s">
        <v>19</v>
      </c>
      <c r="E580" t="s">
        <v>17</v>
      </c>
      <c r="F580" s="5">
        <v>35200000</v>
      </c>
      <c r="G580" s="5">
        <v>38200000</v>
      </c>
      <c r="H580" s="5">
        <f>+(M580*26000)/0.829426</f>
        <v>41415629.604087643</v>
      </c>
      <c r="I580" s="5">
        <f>+G580-H580</f>
        <v>-3215629.6040876433</v>
      </c>
      <c r="J580" s="5">
        <v>3000000</v>
      </c>
      <c r="K580" s="5">
        <v>3520000</v>
      </c>
      <c r="L580" s="5">
        <v>3820000</v>
      </c>
      <c r="M580" s="7">
        <v>1321.2</v>
      </c>
      <c r="N580" s="5">
        <v>35700000</v>
      </c>
      <c r="O580" s="5">
        <v>38700000</v>
      </c>
      <c r="P580" s="3">
        <v>0.97916666666666663</v>
      </c>
    </row>
    <row r="581" spans="1:16" x14ac:dyDescent="0.25">
      <c r="A581" t="s">
        <v>371</v>
      </c>
      <c r="B581" s="2">
        <v>43216</v>
      </c>
      <c r="C581" t="str">
        <f>+"Tuáº§n "&amp;WEEKNUM(B581)</f>
        <v>Tuáº§n 17</v>
      </c>
      <c r="D581" t="s">
        <v>20</v>
      </c>
      <c r="E581" t="s">
        <v>17</v>
      </c>
      <c r="F581" s="5">
        <v>35100000</v>
      </c>
      <c r="G581" s="5">
        <v>38100000</v>
      </c>
      <c r="H581" s="5">
        <f>+(M581*26000)/0.829426</f>
        <v>41262029.403466977</v>
      </c>
      <c r="I581" s="5">
        <f>+G581-H581</f>
        <v>-3162029.4034669772</v>
      </c>
      <c r="J581" s="5">
        <v>3000000</v>
      </c>
      <c r="K581" s="5">
        <v>3510000</v>
      </c>
      <c r="L581" s="5">
        <v>3810000</v>
      </c>
      <c r="M581" s="7">
        <v>1316.3</v>
      </c>
      <c r="N581" s="5">
        <v>35600000</v>
      </c>
      <c r="O581" s="5">
        <v>38600000</v>
      </c>
      <c r="P581" s="3">
        <v>0.97916666666666663</v>
      </c>
    </row>
    <row r="582" spans="1:16" x14ac:dyDescent="0.25">
      <c r="A582" t="s">
        <v>372</v>
      </c>
      <c r="B582" s="2">
        <v>43217</v>
      </c>
      <c r="C582" t="str">
        <f>+"Tuáº§n "&amp;WEEKNUM(B582)</f>
        <v>Tuáº§n 17</v>
      </c>
      <c r="D582" t="s">
        <v>21</v>
      </c>
      <c r="E582" t="s">
        <v>17</v>
      </c>
      <c r="F582" s="5">
        <v>35200000</v>
      </c>
      <c r="G582" s="5">
        <v>38200000</v>
      </c>
      <c r="H582" s="5">
        <f>+(M582*26000)/0.829426</f>
        <v>41387417.322340995</v>
      </c>
      <c r="I582" s="5">
        <f>+G582-H582</f>
        <v>-3187417.3223409951</v>
      </c>
      <c r="J582" s="5">
        <v>3000000</v>
      </c>
      <c r="K582" s="5">
        <v>3520000</v>
      </c>
      <c r="L582" s="5">
        <v>3820000</v>
      </c>
      <c r="M582" s="7">
        <v>1320.3</v>
      </c>
      <c r="N582" s="5">
        <v>35700000</v>
      </c>
      <c r="O582" s="5">
        <v>38700000</v>
      </c>
      <c r="P582" s="3">
        <v>0.97916666666666663</v>
      </c>
    </row>
    <row r="583" spans="1:16" x14ac:dyDescent="0.25">
      <c r="A583" t="s">
        <v>373</v>
      </c>
      <c r="B583" s="2">
        <v>43220</v>
      </c>
      <c r="C583" t="str">
        <f>+"Tuáº§n "&amp;WEEKNUM(B583)</f>
        <v>Tuáº§n 18</v>
      </c>
      <c r="D583" t="s">
        <v>16</v>
      </c>
      <c r="E583" t="s">
        <v>17</v>
      </c>
      <c r="F583" s="5">
        <v>35100000</v>
      </c>
      <c r="G583" s="5">
        <v>38100000</v>
      </c>
      <c r="H583" s="5">
        <f>+(M583*26000)/0.829426</f>
        <v>41258894.705495127</v>
      </c>
      <c r="I583" s="5">
        <f>+G583-H583</f>
        <v>-3158894.7054951265</v>
      </c>
      <c r="J583" s="5">
        <v>3000000</v>
      </c>
      <c r="K583" s="5">
        <v>3510000</v>
      </c>
      <c r="L583" s="5">
        <v>3810000</v>
      </c>
      <c r="M583" s="7">
        <v>1316.2</v>
      </c>
      <c r="N583" s="5">
        <v>35600000</v>
      </c>
      <c r="O583" s="5">
        <v>38600000</v>
      </c>
      <c r="P583" s="3">
        <v>0.97916666666666663</v>
      </c>
    </row>
    <row r="584" spans="1:16" x14ac:dyDescent="0.25">
      <c r="A584" s="2">
        <v>43105</v>
      </c>
      <c r="B584" s="2">
        <v>43221</v>
      </c>
      <c r="C584" t="str">
        <f>+"Tuáº§n "&amp;WEEKNUM(B584)</f>
        <v>Tuáº§n 18</v>
      </c>
      <c r="D584" t="s">
        <v>18</v>
      </c>
      <c r="E584" t="s">
        <v>17</v>
      </c>
      <c r="F584" s="5">
        <v>34700000</v>
      </c>
      <c r="G584" s="5">
        <v>37700000</v>
      </c>
      <c r="H584" s="5">
        <f>+(M584*26000)/0.829426</f>
        <v>40870192.156985678</v>
      </c>
      <c r="I584" s="5">
        <f>+G584-H584</f>
        <v>-3170192.1569856778</v>
      </c>
      <c r="J584" s="5">
        <v>3000000</v>
      </c>
      <c r="K584" s="5">
        <v>3470000</v>
      </c>
      <c r="L584" s="5">
        <v>3770000</v>
      </c>
      <c r="M584" s="7">
        <v>1303.8</v>
      </c>
      <c r="N584" s="5">
        <v>35200000</v>
      </c>
      <c r="O584" s="5">
        <v>38200000</v>
      </c>
      <c r="P584" s="3">
        <v>0.97916666666666663</v>
      </c>
    </row>
    <row r="585" spans="1:16" x14ac:dyDescent="0.25">
      <c r="A585" s="2">
        <v>43136</v>
      </c>
      <c r="B585" s="2">
        <v>43222</v>
      </c>
      <c r="C585" t="str">
        <f>+"Tuáº§n "&amp;WEEKNUM(B585)</f>
        <v>Tuáº§n 18</v>
      </c>
      <c r="D585" t="s">
        <v>19</v>
      </c>
      <c r="E585" t="s">
        <v>17</v>
      </c>
      <c r="F585" s="5">
        <v>34700000</v>
      </c>
      <c r="G585" s="5">
        <v>37700000</v>
      </c>
      <c r="H585" s="5">
        <f>+(M585*26000)/0.829426</f>
        <v>40832575.78132347</v>
      </c>
      <c r="I585" s="5">
        <f>+G585-H585</f>
        <v>-3132575.7813234702</v>
      </c>
      <c r="J585" s="5">
        <v>3000000</v>
      </c>
      <c r="K585" s="5">
        <v>3470000</v>
      </c>
      <c r="L585" s="5">
        <v>3770000</v>
      </c>
      <c r="M585" s="7">
        <v>1302.5999999999999</v>
      </c>
      <c r="N585" s="5">
        <v>35200000</v>
      </c>
      <c r="O585" s="5">
        <v>38200000</v>
      </c>
      <c r="P585" s="3">
        <v>0.97916666666666663</v>
      </c>
    </row>
    <row r="586" spans="1:16" x14ac:dyDescent="0.25">
      <c r="A586" s="2">
        <v>43164</v>
      </c>
      <c r="B586" s="2">
        <v>43223</v>
      </c>
      <c r="C586" t="str">
        <f>+"Tuáº§n "&amp;WEEKNUM(B586)</f>
        <v>Tuáº§n 18</v>
      </c>
      <c r="D586" t="s">
        <v>20</v>
      </c>
      <c r="E586" t="s">
        <v>17</v>
      </c>
      <c r="F586" s="5">
        <v>34900000</v>
      </c>
      <c r="G586" s="5">
        <v>37900000</v>
      </c>
      <c r="H586" s="5">
        <f>+(M586*26000)/0.829426</f>
        <v>41086486.317043357</v>
      </c>
      <c r="I586" s="5">
        <f>+G586-H586</f>
        <v>-3186486.3170433566</v>
      </c>
      <c r="J586" s="5">
        <v>3000000</v>
      </c>
      <c r="K586" s="5">
        <v>3490000</v>
      </c>
      <c r="L586" s="5">
        <v>3790000</v>
      </c>
      <c r="M586" s="7">
        <v>1310.7</v>
      </c>
      <c r="N586" s="5">
        <v>35400000</v>
      </c>
      <c r="O586" s="5">
        <v>38400000</v>
      </c>
      <c r="P586" s="3">
        <v>0.97916666666666663</v>
      </c>
    </row>
    <row r="587" spans="1:16" x14ac:dyDescent="0.25">
      <c r="A587" s="2">
        <v>43195</v>
      </c>
      <c r="B587" s="2">
        <v>43224</v>
      </c>
      <c r="C587" t="str">
        <f>+"Tuáº§n "&amp;WEEKNUM(B587)</f>
        <v>Tuáº§n 18</v>
      </c>
      <c r="D587" t="s">
        <v>21</v>
      </c>
      <c r="E587" t="s">
        <v>17</v>
      </c>
      <c r="F587" s="5">
        <v>35000000</v>
      </c>
      <c r="G587" s="5">
        <v>38000000</v>
      </c>
      <c r="H587" s="5">
        <f>+(M587*26000)/0.829426</f>
        <v>41149180.276480362</v>
      </c>
      <c r="I587" s="5">
        <f>+G587-H587</f>
        <v>-3149180.2764803618</v>
      </c>
      <c r="J587" s="5">
        <v>3000000</v>
      </c>
      <c r="K587" s="5">
        <v>3500000</v>
      </c>
      <c r="L587" s="5">
        <v>3800000</v>
      </c>
      <c r="M587" s="7">
        <v>1312.7</v>
      </c>
      <c r="N587" s="5">
        <v>35500000</v>
      </c>
      <c r="O587" s="5">
        <v>38500000</v>
      </c>
      <c r="P587" s="3">
        <v>0.97916666666666663</v>
      </c>
    </row>
    <row r="588" spans="1:16" x14ac:dyDescent="0.25">
      <c r="A588" s="2">
        <v>43286</v>
      </c>
      <c r="B588" s="2">
        <v>43227</v>
      </c>
      <c r="C588" t="str">
        <f>+"Tuáº§n "&amp;WEEKNUM(B588)</f>
        <v>Tuáº§n 19</v>
      </c>
      <c r="D588" t="s">
        <v>16</v>
      </c>
      <c r="E588" t="s">
        <v>17</v>
      </c>
      <c r="F588" s="5">
        <v>35000000</v>
      </c>
      <c r="G588" s="5">
        <v>38000000</v>
      </c>
      <c r="H588" s="5">
        <f>+(M588*26000)/0.829426</f>
        <v>41133506.786621109</v>
      </c>
      <c r="I588" s="5">
        <f>+G588-H588</f>
        <v>-3133506.7866211087</v>
      </c>
      <c r="J588" s="5">
        <v>3000000</v>
      </c>
      <c r="K588" s="5">
        <v>3500000</v>
      </c>
      <c r="L588" s="5">
        <v>3800000</v>
      </c>
      <c r="M588" s="7">
        <v>1312.2</v>
      </c>
      <c r="N588" s="5">
        <v>35500000</v>
      </c>
      <c r="O588" s="5">
        <v>38500000</v>
      </c>
      <c r="P588" s="3">
        <v>0.97916666666666663</v>
      </c>
    </row>
    <row r="589" spans="1:16" x14ac:dyDescent="0.25">
      <c r="A589" s="2">
        <v>43317</v>
      </c>
      <c r="B589" s="2">
        <v>43228</v>
      </c>
      <c r="C589" t="str">
        <f>+"Tuáº§n "&amp;WEEKNUM(B589)</f>
        <v>Tuáº§n 19</v>
      </c>
      <c r="D589" t="s">
        <v>18</v>
      </c>
      <c r="E589" t="s">
        <v>17</v>
      </c>
      <c r="F589" s="5">
        <v>35000000</v>
      </c>
      <c r="G589" s="5">
        <v>38000000</v>
      </c>
      <c r="H589" s="5">
        <f>+(M589*26000)/0.829426</f>
        <v>41127237.390677407</v>
      </c>
      <c r="I589" s="5">
        <f>+G589-H589</f>
        <v>-3127237.3906774074</v>
      </c>
      <c r="J589" s="5">
        <v>3000000</v>
      </c>
      <c r="K589" s="5">
        <v>3500000</v>
      </c>
      <c r="L589" s="5">
        <v>3800000</v>
      </c>
      <c r="M589" s="7">
        <v>1312</v>
      </c>
      <c r="N589" s="5">
        <v>35500000</v>
      </c>
      <c r="O589" s="5">
        <v>38500000</v>
      </c>
      <c r="P589" s="3">
        <v>0.97916666666666663</v>
      </c>
    </row>
    <row r="590" spans="1:16" x14ac:dyDescent="0.25">
      <c r="A590" s="2">
        <v>43348</v>
      </c>
      <c r="B590" s="2">
        <v>43229</v>
      </c>
      <c r="C590" t="str">
        <f>+"Tuáº§n "&amp;WEEKNUM(B590)</f>
        <v>Tuáº§n 19</v>
      </c>
      <c r="D590" t="s">
        <v>19</v>
      </c>
      <c r="E590" t="s">
        <v>17</v>
      </c>
      <c r="F590" s="5">
        <v>34900000</v>
      </c>
      <c r="G590" s="5">
        <v>37900000</v>
      </c>
      <c r="H590" s="5">
        <f>+(M590*26000)/0.829426</f>
        <v>41105294.504874453</v>
      </c>
      <c r="I590" s="5">
        <f>+G590-H590</f>
        <v>-3205294.5048744529</v>
      </c>
      <c r="J590" s="5">
        <v>3000000</v>
      </c>
      <c r="K590" s="5">
        <v>3490000</v>
      </c>
      <c r="L590" s="5">
        <v>3790000</v>
      </c>
      <c r="M590" s="7">
        <v>1311.3</v>
      </c>
      <c r="N590" s="5">
        <v>35400000</v>
      </c>
      <c r="O590" s="5">
        <v>38400000</v>
      </c>
      <c r="P590" s="3">
        <v>0.97916666666666663</v>
      </c>
    </row>
    <row r="591" spans="1:16" x14ac:dyDescent="0.25">
      <c r="A591" s="2">
        <v>43378</v>
      </c>
      <c r="B591" s="2">
        <v>43230</v>
      </c>
      <c r="C591" t="str">
        <f>+"Tuáº§n "&amp;WEEKNUM(B591)</f>
        <v>Tuáº§n 19</v>
      </c>
      <c r="D591" t="s">
        <v>20</v>
      </c>
      <c r="E591" t="s">
        <v>17</v>
      </c>
      <c r="F591" s="5">
        <v>35200000</v>
      </c>
      <c r="G591" s="5">
        <v>38200000</v>
      </c>
      <c r="H591" s="5">
        <f>+(M591*26000)/0.829426</f>
        <v>41403090.812200248</v>
      </c>
      <c r="I591" s="5">
        <f>+G591-H591</f>
        <v>-3203090.8122002482</v>
      </c>
      <c r="J591" s="5">
        <v>3000000</v>
      </c>
      <c r="K591" s="5">
        <v>3520000</v>
      </c>
      <c r="L591" s="5">
        <v>3820000</v>
      </c>
      <c r="M591" s="7">
        <v>1320.8</v>
      </c>
      <c r="N591" s="5">
        <v>35700000</v>
      </c>
      <c r="O591" s="5">
        <v>38700000</v>
      </c>
      <c r="P591" s="3">
        <v>0.97916666666666663</v>
      </c>
    </row>
    <row r="592" spans="1:16" x14ac:dyDescent="0.25">
      <c r="A592" s="2">
        <v>43409</v>
      </c>
      <c r="B592" s="2">
        <v>43231</v>
      </c>
      <c r="C592" t="str">
        <f>+"Tuáº§n "&amp;WEEKNUM(B592)</f>
        <v>Tuáº§n 19</v>
      </c>
      <c r="D592" t="s">
        <v>21</v>
      </c>
      <c r="E592" t="s">
        <v>17</v>
      </c>
      <c r="F592" s="5">
        <v>35200000</v>
      </c>
      <c r="G592" s="5">
        <v>38200000</v>
      </c>
      <c r="H592" s="5">
        <f>+(M592*26000)/0.829426</f>
        <v>41346666.248706937</v>
      </c>
      <c r="I592" s="5">
        <f>+G592-H592</f>
        <v>-3146666.2487069368</v>
      </c>
      <c r="J592" s="5">
        <v>3000000</v>
      </c>
      <c r="K592" s="5">
        <v>3520000</v>
      </c>
      <c r="L592" s="5">
        <v>3820000</v>
      </c>
      <c r="M592" s="7">
        <v>1319</v>
      </c>
      <c r="N592" s="5">
        <v>35700000</v>
      </c>
      <c r="O592" s="5">
        <v>38700000</v>
      </c>
      <c r="P592" s="3">
        <v>0.97916666666666663</v>
      </c>
    </row>
    <row r="593" spans="1:16" x14ac:dyDescent="0.25">
      <c r="A593" t="s">
        <v>374</v>
      </c>
      <c r="B593" s="2">
        <v>43234</v>
      </c>
      <c r="C593" t="str">
        <f>+"Tuáº§n "&amp;WEEKNUM(B593)</f>
        <v>Tuáº§n 20</v>
      </c>
      <c r="D593" t="s">
        <v>16</v>
      </c>
      <c r="E593" t="s">
        <v>17</v>
      </c>
      <c r="F593" s="5">
        <v>35100000</v>
      </c>
      <c r="G593" s="5">
        <v>38100000</v>
      </c>
      <c r="H593" s="5">
        <f>+(M593*26000)/0.829426</f>
        <v>41268298.799410678</v>
      </c>
      <c r="I593" s="5">
        <f>+G593-H593</f>
        <v>-3168298.7994106784</v>
      </c>
      <c r="J593" s="5">
        <v>3000000</v>
      </c>
      <c r="K593" s="5">
        <v>3510000</v>
      </c>
      <c r="L593" s="5">
        <v>3810000</v>
      </c>
      <c r="M593" s="7">
        <v>1316.5</v>
      </c>
      <c r="N593" s="5">
        <v>35600000</v>
      </c>
      <c r="O593" s="5">
        <v>38600000</v>
      </c>
      <c r="P593" s="3">
        <v>0.97916666666666663</v>
      </c>
    </row>
    <row r="594" spans="1:16" x14ac:dyDescent="0.25">
      <c r="A594" t="s">
        <v>375</v>
      </c>
      <c r="B594" s="2">
        <v>43235</v>
      </c>
      <c r="C594" t="str">
        <f>+"Tuáº§n "&amp;WEEKNUM(B594)</f>
        <v>Tuáº§n 20</v>
      </c>
      <c r="D594" t="s">
        <v>18</v>
      </c>
      <c r="E594" t="s">
        <v>17</v>
      </c>
      <c r="F594" s="5">
        <v>34300000</v>
      </c>
      <c r="G594" s="5">
        <v>37300000</v>
      </c>
      <c r="H594" s="5">
        <f>+(M594*26000)/0.829426</f>
        <v>40403122.159179971</v>
      </c>
      <c r="I594" s="5">
        <f>+G594-H594</f>
        <v>-3103122.1591799706</v>
      </c>
      <c r="J594" s="5">
        <v>3000000</v>
      </c>
      <c r="K594" s="5">
        <v>3430000</v>
      </c>
      <c r="L594" s="5">
        <v>3730000</v>
      </c>
      <c r="M594" s="7">
        <v>1288.9000000000001</v>
      </c>
      <c r="N594" s="5">
        <v>34800000</v>
      </c>
      <c r="O594" s="5">
        <v>37800000</v>
      </c>
      <c r="P594" s="3">
        <v>0.97916666666666663</v>
      </c>
    </row>
    <row r="595" spans="1:16" x14ac:dyDescent="0.25">
      <c r="A595" t="s">
        <v>376</v>
      </c>
      <c r="B595" s="2">
        <v>43236</v>
      </c>
      <c r="C595" t="str">
        <f>+"Tuáº§n "&amp;WEEKNUM(B595)</f>
        <v>Tuáº§n 20</v>
      </c>
      <c r="D595" t="s">
        <v>19</v>
      </c>
      <c r="E595" t="s">
        <v>17</v>
      </c>
      <c r="F595" s="5">
        <v>34300000</v>
      </c>
      <c r="G595" s="5">
        <v>37300000</v>
      </c>
      <c r="H595" s="5">
        <f>+(M595*26000)/0.829426</f>
        <v>40443873.232814021</v>
      </c>
      <c r="I595" s="5">
        <f>+G595-H595</f>
        <v>-3143873.2328140214</v>
      </c>
      <c r="J595" s="5">
        <v>3000000</v>
      </c>
      <c r="K595" s="5">
        <v>3430000</v>
      </c>
      <c r="L595" s="5">
        <v>3730000</v>
      </c>
      <c r="M595" s="7">
        <v>1290.2</v>
      </c>
      <c r="N595" s="5">
        <v>34800000</v>
      </c>
      <c r="O595" s="5">
        <v>37800000</v>
      </c>
      <c r="P595" s="3">
        <v>0.97916666666666663</v>
      </c>
    </row>
    <row r="596" spans="1:16" x14ac:dyDescent="0.25">
      <c r="A596" t="s">
        <v>377</v>
      </c>
      <c r="B596" s="2">
        <v>43237</v>
      </c>
      <c r="C596" t="str">
        <f>+"Tuáº§n "&amp;WEEKNUM(B596)</f>
        <v>Tuáº§n 20</v>
      </c>
      <c r="D596" t="s">
        <v>20</v>
      </c>
      <c r="E596" t="s">
        <v>17</v>
      </c>
      <c r="F596" s="5">
        <v>34300000</v>
      </c>
      <c r="G596" s="5">
        <v>37300000</v>
      </c>
      <c r="H596" s="5">
        <f>+(M596*26000)/0.829426</f>
        <v>40381179.273377009</v>
      </c>
      <c r="I596" s="5">
        <f>+G596-H596</f>
        <v>-3081179.2733770087</v>
      </c>
      <c r="J596" s="5">
        <v>3000000</v>
      </c>
      <c r="K596" s="5">
        <v>3430000</v>
      </c>
      <c r="L596" s="5">
        <v>3730000</v>
      </c>
      <c r="M596" s="7">
        <v>1288.2</v>
      </c>
      <c r="N596" s="5">
        <v>34800000</v>
      </c>
      <c r="O596" s="5">
        <v>37800000</v>
      </c>
      <c r="P596" s="3">
        <v>0.97916666666666663</v>
      </c>
    </row>
    <row r="597" spans="1:16" x14ac:dyDescent="0.25">
      <c r="A597" t="s">
        <v>378</v>
      </c>
      <c r="B597" s="2">
        <v>43238</v>
      </c>
      <c r="C597" t="str">
        <f>+"Tuáº§n "&amp;WEEKNUM(B597)</f>
        <v>Tuáº§n 20</v>
      </c>
      <c r="D597" t="s">
        <v>21</v>
      </c>
      <c r="E597" t="s">
        <v>17</v>
      </c>
      <c r="F597" s="5">
        <v>34300000</v>
      </c>
      <c r="G597" s="5">
        <v>37300000</v>
      </c>
      <c r="H597" s="5">
        <f>+(M597*26000)/0.829426</f>
        <v>40443873.232814021</v>
      </c>
      <c r="I597" s="5">
        <f>+G597-H597</f>
        <v>-3143873.2328140214</v>
      </c>
      <c r="J597" s="5">
        <v>3000000</v>
      </c>
      <c r="K597" s="5">
        <v>3430000</v>
      </c>
      <c r="L597" s="5">
        <v>3730000</v>
      </c>
      <c r="M597" s="7">
        <v>1290.2</v>
      </c>
      <c r="N597" s="5">
        <v>34800000</v>
      </c>
      <c r="O597" s="5">
        <v>37800000</v>
      </c>
      <c r="P597" s="3">
        <v>0.97916666666666663</v>
      </c>
    </row>
    <row r="598" spans="1:16" x14ac:dyDescent="0.25">
      <c r="A598" t="s">
        <v>379</v>
      </c>
      <c r="B598" s="2">
        <v>43241</v>
      </c>
      <c r="C598" t="str">
        <f>+"Tuáº§n "&amp;WEEKNUM(B598)</f>
        <v>Tuáº§n 21</v>
      </c>
      <c r="D598" t="s">
        <v>16</v>
      </c>
      <c r="E598" t="s">
        <v>17</v>
      </c>
      <c r="F598" s="5">
        <v>34300000</v>
      </c>
      <c r="G598" s="5">
        <v>37300000</v>
      </c>
      <c r="H598" s="5">
        <f>+(M598*26000)/0.829426</f>
        <v>40443873.232814021</v>
      </c>
      <c r="I598" s="5">
        <f>+G598-H598</f>
        <v>-3143873.2328140214</v>
      </c>
      <c r="J598" s="5">
        <v>3000000</v>
      </c>
      <c r="K598" s="5">
        <v>3430000</v>
      </c>
      <c r="L598" s="5">
        <v>3730000</v>
      </c>
      <c r="M598" s="7">
        <v>1290.2</v>
      </c>
      <c r="N598" s="5">
        <v>34800000</v>
      </c>
      <c r="O598" s="5">
        <v>37800000</v>
      </c>
      <c r="P598" s="3">
        <v>0.97916666666666663</v>
      </c>
    </row>
    <row r="599" spans="1:16" x14ac:dyDescent="0.25">
      <c r="A599" t="s">
        <v>380</v>
      </c>
      <c r="B599" s="2">
        <v>43242</v>
      </c>
      <c r="C599" t="str">
        <f>+"Tuáº§n "&amp;WEEKNUM(B599)</f>
        <v>Tuáº§n 21</v>
      </c>
      <c r="D599" t="s">
        <v>18</v>
      </c>
      <c r="E599" t="s">
        <v>17</v>
      </c>
      <c r="F599" s="5">
        <v>34400000</v>
      </c>
      <c r="G599" s="5">
        <v>37400000</v>
      </c>
      <c r="H599" s="5">
        <f>+(M599*26000)/0.829426</f>
        <v>40490893.702391773</v>
      </c>
      <c r="I599" s="5">
        <f>+G599-H599</f>
        <v>-3090893.7023917735</v>
      </c>
      <c r="J599" s="5">
        <v>3000000</v>
      </c>
      <c r="K599" s="5">
        <v>3440000</v>
      </c>
      <c r="L599" s="5">
        <v>3740000</v>
      </c>
      <c r="M599" s="7">
        <v>1291.7</v>
      </c>
      <c r="N599" s="5">
        <v>34900000</v>
      </c>
      <c r="O599" s="5">
        <v>37900000</v>
      </c>
      <c r="P599" s="3">
        <v>0.97916666666666663</v>
      </c>
    </row>
    <row r="600" spans="1:16" x14ac:dyDescent="0.25">
      <c r="A600" t="s">
        <v>381</v>
      </c>
      <c r="B600" s="2">
        <v>43243</v>
      </c>
      <c r="C600" t="str">
        <f>+"Tuáº§n "&amp;WEEKNUM(B600)</f>
        <v>Tuáº§n 21</v>
      </c>
      <c r="D600" t="s">
        <v>19</v>
      </c>
      <c r="E600" t="s">
        <v>17</v>
      </c>
      <c r="F600" s="5">
        <v>34300000</v>
      </c>
      <c r="G600" s="5">
        <v>37300000</v>
      </c>
      <c r="H600" s="5">
        <f>+(M600*26000)/0.829426</f>
        <v>40415660.951067366</v>
      </c>
      <c r="I600" s="5">
        <f>+G600-H600</f>
        <v>-3115660.9510673657</v>
      </c>
      <c r="J600" s="5">
        <v>3000000</v>
      </c>
      <c r="K600" s="5">
        <v>3430000</v>
      </c>
      <c r="L600" s="5">
        <v>3730000</v>
      </c>
      <c r="M600" s="7">
        <v>1289.3</v>
      </c>
      <c r="N600" s="5">
        <v>34800000</v>
      </c>
      <c r="O600" s="5">
        <v>37800000</v>
      </c>
      <c r="P600" s="3">
        <v>0.97916666666666663</v>
      </c>
    </row>
    <row r="601" spans="1:16" x14ac:dyDescent="0.25">
      <c r="A601" t="s">
        <v>382</v>
      </c>
      <c r="B601" s="2">
        <v>43244</v>
      </c>
      <c r="C601" t="str">
        <f>+"Tuáº§n "&amp;WEEKNUM(B601)</f>
        <v>Tuáº§n 21</v>
      </c>
      <c r="D601" t="s">
        <v>20</v>
      </c>
      <c r="E601" t="s">
        <v>17</v>
      </c>
      <c r="F601" s="5">
        <v>34700000</v>
      </c>
      <c r="G601" s="5">
        <v>37700000</v>
      </c>
      <c r="H601" s="5">
        <f>+(M601*26000)/0.829426</f>
        <v>40867057.459013827</v>
      </c>
      <c r="I601" s="5">
        <f>+G601-H601</f>
        <v>-3167057.4590138271</v>
      </c>
      <c r="J601" s="5">
        <v>3000000</v>
      </c>
      <c r="K601" s="5">
        <v>3470000</v>
      </c>
      <c r="L601" s="5">
        <v>3770000</v>
      </c>
      <c r="M601" s="7">
        <v>1303.7</v>
      </c>
      <c r="N601" s="5">
        <v>35200000</v>
      </c>
      <c r="O601" s="5">
        <v>38200000</v>
      </c>
      <c r="P601" s="3">
        <v>0.97916666666666663</v>
      </c>
    </row>
    <row r="602" spans="1:16" x14ac:dyDescent="0.25">
      <c r="A602" t="s">
        <v>383</v>
      </c>
      <c r="B602" s="2">
        <v>43245</v>
      </c>
      <c r="C602" t="str">
        <f>+"Tuáº§n "&amp;WEEKNUM(B602)</f>
        <v>Tuáº§n 21</v>
      </c>
      <c r="D602" t="s">
        <v>21</v>
      </c>
      <c r="E602" t="s">
        <v>17</v>
      </c>
      <c r="F602" s="5">
        <v>34700000</v>
      </c>
      <c r="G602" s="5">
        <v>37700000</v>
      </c>
      <c r="H602" s="5">
        <f>+(M602*26000)/0.829426</f>
        <v>40854518.667126425</v>
      </c>
      <c r="I602" s="5">
        <f>+G602-H602</f>
        <v>-3154518.6671264246</v>
      </c>
      <c r="J602" s="5">
        <v>3000000</v>
      </c>
      <c r="K602" s="5">
        <v>3470000</v>
      </c>
      <c r="L602" s="5">
        <v>3770000</v>
      </c>
      <c r="M602" s="7">
        <v>1303.3</v>
      </c>
      <c r="N602" s="5">
        <v>35200000</v>
      </c>
      <c r="O602" s="5">
        <v>38200000</v>
      </c>
      <c r="P602" s="3">
        <v>0.97916666666666663</v>
      </c>
    </row>
    <row r="603" spans="1:16" x14ac:dyDescent="0.25">
      <c r="A603" t="s">
        <v>384</v>
      </c>
      <c r="B603" s="2">
        <v>43249</v>
      </c>
      <c r="C603" t="str">
        <f>+"Tuáº§n "&amp;WEEKNUM(B603)</f>
        <v>Tuáº§n 22</v>
      </c>
      <c r="D603" t="s">
        <v>18</v>
      </c>
      <c r="E603" t="s">
        <v>17</v>
      </c>
      <c r="F603" s="5">
        <v>34600000</v>
      </c>
      <c r="G603" s="5">
        <v>37600000</v>
      </c>
      <c r="H603" s="5">
        <f>+(M603*26000)/0.829426</f>
        <v>40710322.560421303</v>
      </c>
      <c r="I603" s="5">
        <f>+G603-H603</f>
        <v>-3110322.5604213029</v>
      </c>
      <c r="J603" s="5">
        <v>3000000</v>
      </c>
      <c r="K603" s="5">
        <v>3460000</v>
      </c>
      <c r="L603" s="5">
        <v>3760000</v>
      </c>
      <c r="M603" s="7">
        <v>1298.7</v>
      </c>
      <c r="N603" s="5">
        <v>35100000</v>
      </c>
      <c r="O603" s="5">
        <v>38100000</v>
      </c>
      <c r="P603" s="3">
        <v>0.97916666666666663</v>
      </c>
    </row>
    <row r="604" spans="1:16" x14ac:dyDescent="0.25">
      <c r="A604" t="s">
        <v>385</v>
      </c>
      <c r="B604" s="2">
        <v>43250</v>
      </c>
      <c r="C604" t="str">
        <f>+"Tuáº§n "&amp;WEEKNUM(B604)</f>
        <v>Tuáº§n 22</v>
      </c>
      <c r="D604" t="s">
        <v>19</v>
      </c>
      <c r="E604" t="s">
        <v>17</v>
      </c>
      <c r="F604" s="5">
        <v>34600000</v>
      </c>
      <c r="G604" s="5">
        <v>37600000</v>
      </c>
      <c r="H604" s="5">
        <f>+(M604*26000)/0.829426</f>
        <v>40798094.103633113</v>
      </c>
      <c r="I604" s="5">
        <f>+G604-H604</f>
        <v>-3198094.1036331132</v>
      </c>
      <c r="J604" s="5">
        <v>3000000</v>
      </c>
      <c r="K604" s="5">
        <v>3460000</v>
      </c>
      <c r="L604" s="5">
        <v>3760000</v>
      </c>
      <c r="M604" s="7">
        <v>1301.5</v>
      </c>
      <c r="N604" s="5">
        <v>35100000</v>
      </c>
      <c r="O604" s="5">
        <v>38100000</v>
      </c>
      <c r="P604" s="3">
        <v>0.97916666666666663</v>
      </c>
    </row>
    <row r="605" spans="1:16" x14ac:dyDescent="0.25">
      <c r="A605" t="s">
        <v>386</v>
      </c>
      <c r="B605" s="2">
        <v>43251</v>
      </c>
      <c r="C605" t="str">
        <f>+"Tuáº§n "&amp;WEEKNUM(B605)</f>
        <v>Tuáº§n 22</v>
      </c>
      <c r="D605" t="s">
        <v>20</v>
      </c>
      <c r="E605" t="s">
        <v>17</v>
      </c>
      <c r="F605" s="5">
        <v>34600000</v>
      </c>
      <c r="G605" s="5">
        <v>37600000</v>
      </c>
      <c r="H605" s="5">
        <f>+(M605*26000)/0.829426</f>
        <v>40754208.332027212</v>
      </c>
      <c r="I605" s="5">
        <f>+G605-H605</f>
        <v>-3154208.3320272118</v>
      </c>
      <c r="J605" s="5">
        <v>3000000</v>
      </c>
      <c r="K605" s="5">
        <v>3460000</v>
      </c>
      <c r="L605" s="5">
        <v>3760000</v>
      </c>
      <c r="M605" s="7">
        <v>1300.0999999999999</v>
      </c>
      <c r="N605" s="5">
        <v>35100000</v>
      </c>
      <c r="O605" s="5">
        <v>38100000</v>
      </c>
      <c r="P605" s="3">
        <v>0.97916666666666663</v>
      </c>
    </row>
    <row r="606" spans="1:16" x14ac:dyDescent="0.25">
      <c r="A606" s="2">
        <v>43106</v>
      </c>
      <c r="B606" s="2">
        <v>43252</v>
      </c>
      <c r="C606" t="str">
        <f>+"Tuáº§n "&amp;WEEKNUM(B606)</f>
        <v>Tuáº§n 22</v>
      </c>
      <c r="D606" t="s">
        <v>21</v>
      </c>
      <c r="E606" t="s">
        <v>17</v>
      </c>
      <c r="F606" s="5">
        <v>34500000</v>
      </c>
      <c r="G606" s="5">
        <v>37500000</v>
      </c>
      <c r="H606" s="5">
        <f>+(M606*26000)/0.829426</f>
        <v>40588069.339519136</v>
      </c>
      <c r="I606" s="5">
        <f>+G606-H606</f>
        <v>-3088069.3395191357</v>
      </c>
      <c r="J606" s="5">
        <v>3000000</v>
      </c>
      <c r="K606" s="5">
        <v>3450000</v>
      </c>
      <c r="L606" s="5">
        <v>3750000</v>
      </c>
      <c r="M606" s="7">
        <v>1294.8</v>
      </c>
      <c r="N606" s="5">
        <v>35000000</v>
      </c>
      <c r="O606" s="5">
        <v>38000000</v>
      </c>
      <c r="P606" s="3">
        <v>0.97916666666666663</v>
      </c>
    </row>
    <row r="607" spans="1:16" x14ac:dyDescent="0.25">
      <c r="A607" s="2">
        <v>43196</v>
      </c>
      <c r="B607" s="2">
        <v>43255</v>
      </c>
      <c r="C607" t="str">
        <f>+"Tuáº§n "&amp;WEEKNUM(B607)</f>
        <v>Tuáº§n 23</v>
      </c>
      <c r="D607" t="s">
        <v>16</v>
      </c>
      <c r="E607" t="s">
        <v>17</v>
      </c>
      <c r="F607" s="5">
        <v>34400000</v>
      </c>
      <c r="G607" s="5">
        <v>37400000</v>
      </c>
      <c r="H607" s="5">
        <f>+(M607*26000)/0.829426</f>
        <v>40534779.473997682</v>
      </c>
      <c r="I607" s="5">
        <f>+G607-H607</f>
        <v>-3134779.4739976823</v>
      </c>
      <c r="J607" s="5">
        <v>3000000</v>
      </c>
      <c r="K607" s="5">
        <v>3440000</v>
      </c>
      <c r="L607" s="5">
        <v>3740000</v>
      </c>
      <c r="M607" s="7">
        <v>1293.0999999999999</v>
      </c>
      <c r="N607" s="5">
        <v>34900000</v>
      </c>
      <c r="O607" s="5">
        <v>37900000</v>
      </c>
      <c r="P607" s="3">
        <v>0.97916666666666663</v>
      </c>
    </row>
    <row r="608" spans="1:16" x14ac:dyDescent="0.25">
      <c r="A608" s="2">
        <v>43226</v>
      </c>
      <c r="B608" s="2">
        <v>43256</v>
      </c>
      <c r="C608" t="str">
        <f>+"Tuáº§n "&amp;WEEKNUM(B608)</f>
        <v>Tuáº§n 23</v>
      </c>
      <c r="D608" t="s">
        <v>18</v>
      </c>
      <c r="E608" t="s">
        <v>17</v>
      </c>
      <c r="F608" s="5">
        <v>34500000</v>
      </c>
      <c r="G608" s="5">
        <v>37500000</v>
      </c>
      <c r="H608" s="5">
        <f>+(M608*26000)/0.829426</f>
        <v>40672706.184759095</v>
      </c>
      <c r="I608" s="5">
        <f>+G608-H608</f>
        <v>-3172706.1847590953</v>
      </c>
      <c r="J608" s="5">
        <v>3000000</v>
      </c>
      <c r="K608" s="5">
        <v>3450000</v>
      </c>
      <c r="L608" s="5">
        <v>3750000</v>
      </c>
      <c r="M608" s="7">
        <v>1297.5</v>
      </c>
      <c r="N608" s="5">
        <v>35000000</v>
      </c>
      <c r="O608" s="5">
        <v>38000000</v>
      </c>
      <c r="P608" s="3">
        <v>0.97916666666666663</v>
      </c>
    </row>
    <row r="609" spans="1:16" x14ac:dyDescent="0.25">
      <c r="A609" s="2">
        <v>43257</v>
      </c>
      <c r="B609" s="2">
        <v>43257</v>
      </c>
      <c r="C609" t="str">
        <f>+"Tuáº§n "&amp;WEEKNUM(B609)</f>
        <v>Tuáº§n 23</v>
      </c>
      <c r="D609" t="s">
        <v>19</v>
      </c>
      <c r="E609" t="s">
        <v>17</v>
      </c>
      <c r="F609" s="5">
        <v>34500000</v>
      </c>
      <c r="G609" s="5">
        <v>37500000</v>
      </c>
      <c r="H609" s="5">
        <f>+(M609*26000)/0.829426</f>
        <v>40660167.3928717</v>
      </c>
      <c r="I609" s="5">
        <f>+G609-H609</f>
        <v>-3160167.3928717002</v>
      </c>
      <c r="J609" s="5">
        <v>3000000</v>
      </c>
      <c r="K609" s="5">
        <v>3450000</v>
      </c>
      <c r="L609" s="5">
        <v>3750000</v>
      </c>
      <c r="M609" s="7">
        <v>1297.0999999999999</v>
      </c>
      <c r="N609" s="5">
        <v>35000000</v>
      </c>
      <c r="O609" s="5">
        <v>38000000</v>
      </c>
      <c r="P609" s="3">
        <v>0.97916666666666663</v>
      </c>
    </row>
    <row r="610" spans="1:16" x14ac:dyDescent="0.25">
      <c r="A610" s="2">
        <v>43287</v>
      </c>
      <c r="B610" s="2">
        <v>43258</v>
      </c>
      <c r="C610" t="str">
        <f>+"Tuáº§n "&amp;WEEKNUM(B610)</f>
        <v>Tuáº§n 23</v>
      </c>
      <c r="D610" t="s">
        <v>20</v>
      </c>
      <c r="E610" t="s">
        <v>17</v>
      </c>
      <c r="F610" s="5">
        <v>34600000</v>
      </c>
      <c r="G610" s="5">
        <v>37600000</v>
      </c>
      <c r="H610" s="5">
        <f>+(M610*26000)/0.829426</f>
        <v>40710322.560421303</v>
      </c>
      <c r="I610" s="5">
        <f>+G610-H610</f>
        <v>-3110322.5604213029</v>
      </c>
      <c r="J610" s="5">
        <v>3000000</v>
      </c>
      <c r="K610" s="5">
        <v>3460000</v>
      </c>
      <c r="L610" s="5">
        <v>3760000</v>
      </c>
      <c r="M610" s="7">
        <v>1298.7</v>
      </c>
      <c r="N610" s="5">
        <v>35100000</v>
      </c>
      <c r="O610" s="5">
        <v>38100000</v>
      </c>
      <c r="P610" s="3">
        <v>0.97916666666666663</v>
      </c>
    </row>
    <row r="611" spans="1:16" x14ac:dyDescent="0.25">
      <c r="A611" s="2">
        <v>43318</v>
      </c>
      <c r="B611" s="2">
        <v>43259</v>
      </c>
      <c r="C611" t="str">
        <f>+"Tuáº§n "&amp;WEEKNUM(B611)</f>
        <v>Tuáº§n 23</v>
      </c>
      <c r="D611" t="s">
        <v>21</v>
      </c>
      <c r="E611" t="s">
        <v>17</v>
      </c>
      <c r="F611" s="5">
        <v>34500000</v>
      </c>
      <c r="G611" s="5">
        <v>37500000</v>
      </c>
      <c r="H611" s="5">
        <f>+(M611*26000)/0.829426</f>
        <v>40691514.372590199</v>
      </c>
      <c r="I611" s="5">
        <f>+G611-H611</f>
        <v>-3191514.3725901991</v>
      </c>
      <c r="J611" s="5">
        <v>3000000</v>
      </c>
      <c r="K611" s="5">
        <v>3450000</v>
      </c>
      <c r="L611" s="5">
        <v>3750000</v>
      </c>
      <c r="M611" s="7">
        <v>1298.0999999999999</v>
      </c>
      <c r="N611" s="5">
        <v>35000000</v>
      </c>
      <c r="O611" s="5">
        <v>38000000</v>
      </c>
      <c r="P611" s="3">
        <v>0.97916666666666663</v>
      </c>
    </row>
    <row r="612" spans="1:16" x14ac:dyDescent="0.25">
      <c r="A612" s="2">
        <v>43410</v>
      </c>
      <c r="B612" s="2">
        <v>43262</v>
      </c>
      <c r="C612" t="str">
        <f>+"Tuáº§n "&amp;WEEKNUM(B612)</f>
        <v>Tuáº§n 24</v>
      </c>
      <c r="D612" t="s">
        <v>16</v>
      </c>
      <c r="E612" t="s">
        <v>17</v>
      </c>
      <c r="F612" s="5">
        <v>34600000</v>
      </c>
      <c r="G612" s="5">
        <v>37600000</v>
      </c>
      <c r="H612" s="5">
        <f>+(M612*26000)/0.829426</f>
        <v>40716591.956365004</v>
      </c>
      <c r="I612" s="5">
        <f>+G612-H612</f>
        <v>-3116591.9563650042</v>
      </c>
      <c r="J612" s="5">
        <v>3000000</v>
      </c>
      <c r="K612" s="5">
        <v>3460000</v>
      </c>
      <c r="L612" s="5">
        <v>3760000</v>
      </c>
      <c r="M612" s="7">
        <v>1298.9000000000001</v>
      </c>
      <c r="N612" s="5">
        <v>35100000</v>
      </c>
      <c r="O612" s="5">
        <v>38100000</v>
      </c>
      <c r="P612" s="3">
        <v>0.97916666666666663</v>
      </c>
    </row>
    <row r="613" spans="1:16" x14ac:dyDescent="0.25">
      <c r="A613" s="2">
        <v>43440</v>
      </c>
      <c r="B613" s="2">
        <v>43263</v>
      </c>
      <c r="C613" t="str">
        <f>+"Tuáº§n "&amp;WEEKNUM(B613)</f>
        <v>Tuáº§n 24</v>
      </c>
      <c r="D613" t="s">
        <v>18</v>
      </c>
      <c r="E613" t="s">
        <v>17</v>
      </c>
      <c r="F613" s="5">
        <v>34500000</v>
      </c>
      <c r="G613" s="5">
        <v>37500000</v>
      </c>
      <c r="H613" s="5">
        <f>+(M613*26000)/0.829426</f>
        <v>40597473.433434688</v>
      </c>
      <c r="I613" s="5">
        <f>+G613-H613</f>
        <v>-3097473.4334346876</v>
      </c>
      <c r="J613" s="5">
        <v>3000000</v>
      </c>
      <c r="K613" s="5">
        <v>3450000</v>
      </c>
      <c r="L613" s="5">
        <v>3750000</v>
      </c>
      <c r="M613" s="7">
        <v>1295.0999999999999</v>
      </c>
      <c r="N613" s="5">
        <v>35000000</v>
      </c>
      <c r="O613" s="5">
        <v>38000000</v>
      </c>
      <c r="P613" s="3">
        <v>0.97916666666666663</v>
      </c>
    </row>
    <row r="614" spans="1:16" x14ac:dyDescent="0.25">
      <c r="A614" t="s">
        <v>387</v>
      </c>
      <c r="B614" s="2">
        <v>43264</v>
      </c>
      <c r="C614" t="str">
        <f>+"Tuáº§n "&amp;WEEKNUM(B614)</f>
        <v>Tuáº§n 24</v>
      </c>
      <c r="D614" t="s">
        <v>19</v>
      </c>
      <c r="E614" t="s">
        <v>17</v>
      </c>
      <c r="F614" s="5">
        <v>34500000</v>
      </c>
      <c r="G614" s="5">
        <v>37500000</v>
      </c>
      <c r="H614" s="5">
        <f>+(M614*26000)/0.829426</f>
        <v>40653897.996927999</v>
      </c>
      <c r="I614" s="5">
        <f>+G614-H614</f>
        <v>-3153897.996927999</v>
      </c>
      <c r="J614" s="5">
        <v>3000000</v>
      </c>
      <c r="K614" s="5">
        <v>3450000</v>
      </c>
      <c r="L614" s="5">
        <v>3750000</v>
      </c>
      <c r="M614" s="7">
        <v>1296.9000000000001</v>
      </c>
      <c r="N614" s="5">
        <v>35000000</v>
      </c>
      <c r="O614" s="5">
        <v>38000000</v>
      </c>
      <c r="P614" s="3">
        <v>0.97916666666666663</v>
      </c>
    </row>
    <row r="615" spans="1:16" x14ac:dyDescent="0.25">
      <c r="A615" t="s">
        <v>388</v>
      </c>
      <c r="B615" s="2">
        <v>43265</v>
      </c>
      <c r="C615" t="str">
        <f>+"Tuáº§n "&amp;WEEKNUM(B615)</f>
        <v>Tuáº§n 24</v>
      </c>
      <c r="D615" t="s">
        <v>20</v>
      </c>
      <c r="E615" t="s">
        <v>17</v>
      </c>
      <c r="F615" s="5">
        <v>34700000</v>
      </c>
      <c r="G615" s="5">
        <v>37700000</v>
      </c>
      <c r="H615" s="5">
        <f>+(M615*26000)/0.829426</f>
        <v>40876461.552929379</v>
      </c>
      <c r="I615" s="5">
        <f>+G615-H615</f>
        <v>-3176461.552929379</v>
      </c>
      <c r="J615" s="5">
        <v>3000000</v>
      </c>
      <c r="K615" s="5">
        <v>3470000</v>
      </c>
      <c r="L615" s="5">
        <v>3770000</v>
      </c>
      <c r="M615" s="7">
        <v>1304</v>
      </c>
      <c r="N615" s="5">
        <v>35200000</v>
      </c>
      <c r="O615" s="5">
        <v>38200000</v>
      </c>
      <c r="P615" s="3">
        <v>0.97916666666666663</v>
      </c>
    </row>
    <row r="616" spans="1:16" x14ac:dyDescent="0.25">
      <c r="A616" t="s">
        <v>389</v>
      </c>
      <c r="B616" s="2">
        <v>43266</v>
      </c>
      <c r="C616" t="str">
        <f>+"Tuáº§n "&amp;WEEKNUM(B616)</f>
        <v>Tuáº§n 24</v>
      </c>
      <c r="D616" t="s">
        <v>21</v>
      </c>
      <c r="E616" t="s">
        <v>17</v>
      </c>
      <c r="F616" s="5">
        <v>33900000</v>
      </c>
      <c r="G616" s="5">
        <v>36900000</v>
      </c>
      <c r="H616" s="5">
        <f>+(M616*26000)/0.829426</f>
        <v>39954860.349205352</v>
      </c>
      <c r="I616" s="5">
        <f>+G616-H616</f>
        <v>-3054860.3492053524</v>
      </c>
      <c r="J616" s="5">
        <v>3000000</v>
      </c>
      <c r="K616" s="5">
        <v>3390000</v>
      </c>
      <c r="L616" s="5">
        <v>3690000</v>
      </c>
      <c r="M616" s="7">
        <v>1274.5999999999999</v>
      </c>
      <c r="N616" s="5">
        <v>34400000</v>
      </c>
      <c r="O616" s="5">
        <v>37400000</v>
      </c>
      <c r="P616" s="3">
        <v>0.97916666666666663</v>
      </c>
    </row>
    <row r="617" spans="1:16" x14ac:dyDescent="0.25">
      <c r="A617" t="s">
        <v>390</v>
      </c>
      <c r="B617" s="2">
        <v>43269</v>
      </c>
      <c r="C617" t="str">
        <f>+"Tuáº§n "&amp;WEEKNUM(B617)</f>
        <v>Tuáº§n 25</v>
      </c>
      <c r="D617" t="s">
        <v>16</v>
      </c>
      <c r="E617" t="s">
        <v>17</v>
      </c>
      <c r="F617" s="5">
        <v>33900000</v>
      </c>
      <c r="G617" s="5">
        <v>36900000</v>
      </c>
      <c r="H617" s="5">
        <f>+(M617*26000)/0.829426</f>
        <v>40005015.516754963</v>
      </c>
      <c r="I617" s="5">
        <f>+G617-H617</f>
        <v>-3105015.5167549625</v>
      </c>
      <c r="J617" s="5">
        <v>3000000</v>
      </c>
      <c r="K617" s="5">
        <v>3390000</v>
      </c>
      <c r="L617" s="5">
        <v>3690000</v>
      </c>
      <c r="M617" s="7">
        <v>1276.2</v>
      </c>
      <c r="N617" s="5">
        <v>34400000</v>
      </c>
      <c r="O617" s="5">
        <v>37400000</v>
      </c>
      <c r="P617" s="3">
        <v>0.97916666666666663</v>
      </c>
    </row>
    <row r="618" spans="1:16" x14ac:dyDescent="0.25">
      <c r="A618" t="s">
        <v>391</v>
      </c>
      <c r="B618" s="2">
        <v>43270</v>
      </c>
      <c r="C618" t="str">
        <f>+"Tuáº§n "&amp;WEEKNUM(B618)</f>
        <v>Tuáº§n 25</v>
      </c>
      <c r="D618" t="s">
        <v>18</v>
      </c>
      <c r="E618" t="s">
        <v>17</v>
      </c>
      <c r="F618" s="5">
        <v>33900000</v>
      </c>
      <c r="G618" s="5">
        <v>36900000</v>
      </c>
      <c r="H618" s="5">
        <f>+(M618*26000)/0.829426</f>
        <v>39986207.328923851</v>
      </c>
      <c r="I618" s="5">
        <f>+G618-H618</f>
        <v>-3086207.3289238513</v>
      </c>
      <c r="J618" s="5">
        <v>3000000</v>
      </c>
      <c r="K618" s="5">
        <v>3390000</v>
      </c>
      <c r="L618" s="5">
        <v>3690000</v>
      </c>
      <c r="M618" s="7">
        <v>1275.5999999999999</v>
      </c>
      <c r="N618" s="5">
        <v>34400000</v>
      </c>
      <c r="O618" s="5">
        <v>37400000</v>
      </c>
      <c r="P618" s="3">
        <v>0.97916666666666663</v>
      </c>
    </row>
    <row r="619" spans="1:16" x14ac:dyDescent="0.25">
      <c r="A619" t="s">
        <v>392</v>
      </c>
      <c r="B619" s="2">
        <v>43271</v>
      </c>
      <c r="C619" t="str">
        <f>+"Tuáº§n "&amp;WEEKNUM(B619)</f>
        <v>Tuáº§n 25</v>
      </c>
      <c r="D619" t="s">
        <v>19</v>
      </c>
      <c r="E619" t="s">
        <v>17</v>
      </c>
      <c r="F619" s="5">
        <v>33800000</v>
      </c>
      <c r="G619" s="5">
        <v>36800000</v>
      </c>
      <c r="H619" s="5">
        <f>+(M619*26000)/0.829426</f>
        <v>39848280.618162438</v>
      </c>
      <c r="I619" s="5">
        <f>+G619-H619</f>
        <v>-3048280.6181624383</v>
      </c>
      <c r="J619" s="5">
        <v>3000000</v>
      </c>
      <c r="K619" s="5">
        <v>3380000</v>
      </c>
      <c r="L619" s="5">
        <v>3680000</v>
      </c>
      <c r="M619" s="7">
        <v>1271.2</v>
      </c>
      <c r="N619" s="5">
        <v>34300000</v>
      </c>
      <c r="O619" s="5">
        <v>37300000</v>
      </c>
      <c r="P619" s="3">
        <v>0.97916666666666663</v>
      </c>
    </row>
    <row r="620" spans="1:16" x14ac:dyDescent="0.25">
      <c r="A620" t="s">
        <v>393</v>
      </c>
      <c r="B620" s="2">
        <v>43272</v>
      </c>
      <c r="C620" t="str">
        <f>+"Tuáº§n "&amp;WEEKNUM(B620)</f>
        <v>Tuáº§n 25</v>
      </c>
      <c r="D620" t="s">
        <v>20</v>
      </c>
      <c r="E620" t="s">
        <v>17</v>
      </c>
      <c r="F620" s="5">
        <v>33700000</v>
      </c>
      <c r="G620" s="5">
        <v>36700000</v>
      </c>
      <c r="H620" s="5">
        <f>+(M620*26000)/0.829426</f>
        <v>39722892.69928842</v>
      </c>
      <c r="I620" s="5">
        <f>+G620-H620</f>
        <v>-3022892.6992884204</v>
      </c>
      <c r="J620" s="5">
        <v>3000000</v>
      </c>
      <c r="K620" s="5">
        <v>3370000</v>
      </c>
      <c r="L620" s="5">
        <v>3670000</v>
      </c>
      <c r="M620" s="7">
        <v>1267.2</v>
      </c>
      <c r="N620" s="5">
        <v>34200000</v>
      </c>
      <c r="O620" s="5">
        <v>37200000</v>
      </c>
      <c r="P620" s="3">
        <v>0.97916666666666663</v>
      </c>
    </row>
    <row r="621" spans="1:16" x14ac:dyDescent="0.25">
      <c r="A621" t="s">
        <v>394</v>
      </c>
      <c r="B621" s="2">
        <v>43273</v>
      </c>
      <c r="C621" t="str">
        <f>+"Tuáº§n "&amp;WEEKNUM(B621)</f>
        <v>Tuáº§n 25</v>
      </c>
      <c r="D621" t="s">
        <v>21</v>
      </c>
      <c r="E621" t="s">
        <v>17</v>
      </c>
      <c r="F621" s="5">
        <v>33700000</v>
      </c>
      <c r="G621" s="5">
        <v>36700000</v>
      </c>
      <c r="H621" s="5">
        <f>+(M621*26000)/0.829426</f>
        <v>39729162.095232129</v>
      </c>
      <c r="I621" s="5">
        <f>+G621-H621</f>
        <v>-3029162.0952321291</v>
      </c>
      <c r="J621" s="5">
        <v>3000000</v>
      </c>
      <c r="K621" s="5">
        <v>3370000</v>
      </c>
      <c r="L621" s="5">
        <v>3670000</v>
      </c>
      <c r="M621" s="7">
        <v>1267.4000000000001</v>
      </c>
      <c r="N621" s="5">
        <v>34200000</v>
      </c>
      <c r="O621" s="5">
        <v>37200000</v>
      </c>
      <c r="P621" s="3">
        <v>0.97916666666666663</v>
      </c>
    </row>
    <row r="622" spans="1:16" x14ac:dyDescent="0.25">
      <c r="A622" t="s">
        <v>395</v>
      </c>
      <c r="B622" s="2">
        <v>43276</v>
      </c>
      <c r="C622" t="str">
        <f>+"Tuáº§n "&amp;WEEKNUM(B622)</f>
        <v>Tuáº§n 26</v>
      </c>
      <c r="D622" t="s">
        <v>16</v>
      </c>
      <c r="E622" t="s">
        <v>17</v>
      </c>
      <c r="F622" s="5">
        <v>33600000</v>
      </c>
      <c r="G622" s="5">
        <v>36600000</v>
      </c>
      <c r="H622" s="5">
        <f>+(M622*26000)/0.829426</f>
        <v>39672737.53173881</v>
      </c>
      <c r="I622" s="5">
        <f>+G622-H622</f>
        <v>-3072737.5317388102</v>
      </c>
      <c r="J622" s="5">
        <v>3000000</v>
      </c>
      <c r="K622" s="5">
        <v>3360000</v>
      </c>
      <c r="L622" s="5">
        <v>3660000</v>
      </c>
      <c r="M622" s="7">
        <v>1265.5999999999999</v>
      </c>
      <c r="N622" s="5">
        <v>34100000</v>
      </c>
      <c r="O622" s="5">
        <v>37100000</v>
      </c>
      <c r="P622" s="3">
        <v>0.97916666666666663</v>
      </c>
    </row>
    <row r="623" spans="1:16" x14ac:dyDescent="0.25">
      <c r="A623" t="s">
        <v>396</v>
      </c>
      <c r="B623" s="2">
        <v>43277</v>
      </c>
      <c r="C623" t="str">
        <f>+"Tuáº§n "&amp;WEEKNUM(B623)</f>
        <v>Tuáº§n 26</v>
      </c>
      <c r="D623" t="s">
        <v>18</v>
      </c>
      <c r="E623" t="s">
        <v>17</v>
      </c>
      <c r="F623" s="5">
        <v>33300000</v>
      </c>
      <c r="G623" s="5">
        <v>36300000</v>
      </c>
      <c r="H623" s="5">
        <f>+(M623*26000)/0.829426</f>
        <v>39390614.714272276</v>
      </c>
      <c r="I623" s="5">
        <f>+G623-H623</f>
        <v>-3090614.7142722756</v>
      </c>
      <c r="J623" s="5">
        <v>3000000</v>
      </c>
      <c r="K623" s="5">
        <v>3330000</v>
      </c>
      <c r="L623" s="5">
        <v>3630000</v>
      </c>
      <c r="M623" s="7">
        <v>1256.5999999999999</v>
      </c>
      <c r="N623" s="5">
        <v>33800000</v>
      </c>
      <c r="O623" s="5">
        <v>36800000</v>
      </c>
      <c r="P623" s="3">
        <v>0.97916666666666663</v>
      </c>
    </row>
    <row r="624" spans="1:16" x14ac:dyDescent="0.25">
      <c r="A624" t="s">
        <v>397</v>
      </c>
      <c r="B624" s="2">
        <v>43278</v>
      </c>
      <c r="C624" t="str">
        <f>+"Tuáº§n "&amp;WEEKNUM(B624)</f>
        <v>Tuáº§n 26</v>
      </c>
      <c r="D624" t="s">
        <v>19</v>
      </c>
      <c r="E624" t="s">
        <v>17</v>
      </c>
      <c r="F624" s="5">
        <v>33200000</v>
      </c>
      <c r="G624" s="5">
        <v>36200000</v>
      </c>
      <c r="H624" s="5">
        <f>+(M624*26000)/0.829426</f>
        <v>39271496.191341966</v>
      </c>
      <c r="I624" s="5">
        <f>+G624-H624</f>
        <v>-3071496.1913419664</v>
      </c>
      <c r="J624" s="5">
        <v>3000000</v>
      </c>
      <c r="K624" s="5">
        <v>3320000</v>
      </c>
      <c r="L624" s="5">
        <v>3620000</v>
      </c>
      <c r="M624" s="7">
        <v>1252.8</v>
      </c>
      <c r="N624" s="5">
        <v>33700000</v>
      </c>
      <c r="O624" s="5">
        <v>36700000</v>
      </c>
      <c r="P624" s="3">
        <v>0.97916666666666663</v>
      </c>
    </row>
    <row r="625" spans="1:16" x14ac:dyDescent="0.25">
      <c r="A625" t="s">
        <v>398</v>
      </c>
      <c r="B625" s="2">
        <v>43279</v>
      </c>
      <c r="C625" t="str">
        <f>+"Tuáº§n "&amp;WEEKNUM(B625)</f>
        <v>Tuáº§n 26</v>
      </c>
      <c r="D625" t="s">
        <v>20</v>
      </c>
      <c r="E625" t="s">
        <v>17</v>
      </c>
      <c r="F625" s="5">
        <v>33100000</v>
      </c>
      <c r="G625" s="5">
        <v>36100000</v>
      </c>
      <c r="H625" s="5">
        <f>+(M625*26000)/0.829426</f>
        <v>39114761.292749442</v>
      </c>
      <c r="I625" s="5">
        <f>+G625-H625</f>
        <v>-3014761.2927494422</v>
      </c>
      <c r="J625" s="5">
        <v>3000000</v>
      </c>
      <c r="K625" s="5">
        <v>3310000</v>
      </c>
      <c r="L625" s="5">
        <v>3610000</v>
      </c>
      <c r="M625" s="7">
        <v>1247.8</v>
      </c>
      <c r="N625" s="5">
        <v>33600000</v>
      </c>
      <c r="O625" s="5">
        <v>36600000</v>
      </c>
      <c r="P625" s="3">
        <v>0.97916666666666663</v>
      </c>
    </row>
    <row r="626" spans="1:16" x14ac:dyDescent="0.25">
      <c r="A626" t="s">
        <v>399</v>
      </c>
      <c r="B626" s="2">
        <v>43280</v>
      </c>
      <c r="C626" t="str">
        <f>+"Tuáº§n "&amp;WEEKNUM(B626)</f>
        <v>Tuáº§n 26</v>
      </c>
      <c r="D626" t="s">
        <v>21</v>
      </c>
      <c r="E626" t="s">
        <v>17</v>
      </c>
      <c r="F626" s="5">
        <v>33200000</v>
      </c>
      <c r="G626" s="5">
        <v>36200000</v>
      </c>
      <c r="H626" s="5">
        <f>+(M626*26000)/0.829426</f>
        <v>39224475.721764207</v>
      </c>
      <c r="I626" s="5">
        <f>+G626-H626</f>
        <v>-3024475.7217642069</v>
      </c>
      <c r="J626" s="5">
        <v>3000000</v>
      </c>
      <c r="K626" s="5">
        <v>3320000</v>
      </c>
      <c r="L626" s="5">
        <v>3620000</v>
      </c>
      <c r="M626" s="7">
        <v>1251.3</v>
      </c>
      <c r="N626" s="5">
        <v>33700000</v>
      </c>
      <c r="O626" s="5">
        <v>36700000</v>
      </c>
      <c r="P626" s="3">
        <v>0.97916666666666663</v>
      </c>
    </row>
    <row r="627" spans="1:16" x14ac:dyDescent="0.25">
      <c r="A627" s="2">
        <v>43138</v>
      </c>
      <c r="B627" s="2">
        <v>43283</v>
      </c>
      <c r="C627" t="str">
        <f>+"Tuáº§n "&amp;WEEKNUM(B627)</f>
        <v>Tuáº§n 27</v>
      </c>
      <c r="D627" t="s">
        <v>16</v>
      </c>
      <c r="E627" t="s">
        <v>17</v>
      </c>
      <c r="F627" s="5">
        <v>32900000</v>
      </c>
      <c r="G627" s="5">
        <v>35900000</v>
      </c>
      <c r="H627" s="5">
        <f>+(M627*26000)/0.829426</f>
        <v>38863985.455001414</v>
      </c>
      <c r="I627" s="5">
        <f>+G627-H627</f>
        <v>-2963985.4550014138</v>
      </c>
      <c r="J627" s="5">
        <v>3000000</v>
      </c>
      <c r="K627" s="5">
        <v>3290000</v>
      </c>
      <c r="L627" s="5">
        <v>3590000</v>
      </c>
      <c r="M627" s="7">
        <v>1239.8</v>
      </c>
      <c r="N627" s="5">
        <v>33400000</v>
      </c>
      <c r="O627" s="5">
        <v>36400000</v>
      </c>
      <c r="P627" s="3">
        <v>0.97916666666666663</v>
      </c>
    </row>
    <row r="628" spans="1:16" x14ac:dyDescent="0.25">
      <c r="A628" s="2">
        <v>43166</v>
      </c>
      <c r="B628" s="2">
        <v>43284</v>
      </c>
      <c r="C628" t="str">
        <f>+"Tuáº§n "&amp;WEEKNUM(B628)</f>
        <v>Tuáº§n 27</v>
      </c>
      <c r="D628" t="s">
        <v>18</v>
      </c>
      <c r="E628" t="s">
        <v>17</v>
      </c>
      <c r="F628" s="5">
        <v>33200000</v>
      </c>
      <c r="G628" s="5">
        <v>36200000</v>
      </c>
      <c r="H628" s="5">
        <f>+(M628*26000)/0.829426</f>
        <v>39233879.815679751</v>
      </c>
      <c r="I628" s="5">
        <f>+G628-H628</f>
        <v>-3033879.8156797513</v>
      </c>
      <c r="J628" s="5">
        <v>3000000</v>
      </c>
      <c r="K628" s="5">
        <v>3320000</v>
      </c>
      <c r="L628" s="5">
        <v>3620000</v>
      </c>
      <c r="M628" s="7">
        <v>1251.5999999999999</v>
      </c>
      <c r="N628" s="5">
        <v>33700000</v>
      </c>
      <c r="O628" s="5">
        <v>36700000</v>
      </c>
      <c r="P628" s="3">
        <v>0.97916666666666663</v>
      </c>
    </row>
    <row r="629" spans="1:16" x14ac:dyDescent="0.25">
      <c r="A629" s="2">
        <v>43227</v>
      </c>
      <c r="B629" s="2">
        <v>43286</v>
      </c>
      <c r="C629" t="str">
        <f>+"Tuáº§n "&amp;WEEKNUM(B629)</f>
        <v>Tuáº§n 27</v>
      </c>
      <c r="D629" t="s">
        <v>20</v>
      </c>
      <c r="E629" t="s">
        <v>17</v>
      </c>
      <c r="F629" s="5">
        <v>33400000</v>
      </c>
      <c r="G629" s="5">
        <v>36400000</v>
      </c>
      <c r="H629" s="5">
        <f>+(M629*26000)/0.829426</f>
        <v>39412557.60007523</v>
      </c>
      <c r="I629" s="5">
        <f>+G629-H629</f>
        <v>-3012557.60007523</v>
      </c>
      <c r="J629" s="5">
        <v>3000000</v>
      </c>
      <c r="K629" s="5">
        <v>3340000</v>
      </c>
      <c r="L629" s="5">
        <v>3640000</v>
      </c>
      <c r="M629" s="7">
        <v>1257.3</v>
      </c>
      <c r="N629" s="5">
        <v>33900000</v>
      </c>
      <c r="O629" s="5">
        <v>36900000</v>
      </c>
      <c r="P629" s="3">
        <v>0.97916666666666663</v>
      </c>
    </row>
    <row r="630" spans="1:16" x14ac:dyDescent="0.25">
      <c r="A630" s="2">
        <v>43258</v>
      </c>
      <c r="B630" s="2">
        <v>43287</v>
      </c>
      <c r="C630" t="str">
        <f>+"Tuáº§n "&amp;WEEKNUM(B630)</f>
        <v>Tuáº§n 27</v>
      </c>
      <c r="D630" t="s">
        <v>21</v>
      </c>
      <c r="E630" t="s">
        <v>17</v>
      </c>
      <c r="F630" s="5">
        <v>33300000</v>
      </c>
      <c r="G630" s="5">
        <v>36300000</v>
      </c>
      <c r="H630" s="5">
        <f>+(M630*26000)/0.829426</f>
        <v>39318516.660919718</v>
      </c>
      <c r="I630" s="5">
        <f>+G630-H630</f>
        <v>-3018516.6609197184</v>
      </c>
      <c r="J630" s="5">
        <v>3000000</v>
      </c>
      <c r="K630" s="5">
        <v>3330000</v>
      </c>
      <c r="L630" s="5">
        <v>3630000</v>
      </c>
      <c r="M630" s="7">
        <v>1254.3</v>
      </c>
      <c r="N630" s="5">
        <v>33800000</v>
      </c>
      <c r="O630" s="5">
        <v>36800000</v>
      </c>
      <c r="P630" s="3">
        <v>0.97916666666666663</v>
      </c>
    </row>
    <row r="631" spans="1:16" x14ac:dyDescent="0.25">
      <c r="A631" s="2">
        <v>43350</v>
      </c>
      <c r="B631" s="2">
        <v>43290</v>
      </c>
      <c r="C631" t="str">
        <f>+"Tuáº§n "&amp;WEEKNUM(B631)</f>
        <v>Tuáº§n 28</v>
      </c>
      <c r="D631" t="s">
        <v>16</v>
      </c>
      <c r="E631" t="s">
        <v>17</v>
      </c>
      <c r="F631" s="5">
        <v>33400000</v>
      </c>
      <c r="G631" s="5">
        <v>36400000</v>
      </c>
      <c r="H631" s="5">
        <f>+(M631*26000)/0.829426</f>
        <v>39437635.183850035</v>
      </c>
      <c r="I631" s="5">
        <f>+G631-H631</f>
        <v>-3037635.1838500351</v>
      </c>
      <c r="J631" s="5">
        <v>3000000</v>
      </c>
      <c r="K631" s="5">
        <v>3340000</v>
      </c>
      <c r="L631" s="5">
        <v>3640000</v>
      </c>
      <c r="M631" s="7">
        <v>1258.0999999999999</v>
      </c>
      <c r="N631" s="5">
        <v>33900000</v>
      </c>
      <c r="O631" s="5">
        <v>36900000</v>
      </c>
      <c r="P631" s="3">
        <v>0.97916666666666663</v>
      </c>
    </row>
    <row r="632" spans="1:16" x14ac:dyDescent="0.25">
      <c r="A632" s="2">
        <v>43380</v>
      </c>
      <c r="B632" s="2">
        <v>43291</v>
      </c>
      <c r="C632" t="str">
        <f>+"Tuáº§n "&amp;WEEKNUM(B632)</f>
        <v>Tuáº§n 28</v>
      </c>
      <c r="D632" t="s">
        <v>18</v>
      </c>
      <c r="E632" t="s">
        <v>17</v>
      </c>
      <c r="F632" s="5">
        <v>33300000</v>
      </c>
      <c r="G632" s="5">
        <v>36300000</v>
      </c>
      <c r="H632" s="5">
        <f>+(M632*26000)/0.829426</f>
        <v>39302843.171060465</v>
      </c>
      <c r="I632" s="5">
        <f>+G632-H632</f>
        <v>-3002843.1710604653</v>
      </c>
      <c r="J632" s="5">
        <v>3000000</v>
      </c>
      <c r="K632" s="5">
        <v>3330000</v>
      </c>
      <c r="L632" s="5">
        <v>3630000</v>
      </c>
      <c r="M632" s="7">
        <v>1253.8</v>
      </c>
      <c r="N632" s="5">
        <v>33800000</v>
      </c>
      <c r="O632" s="5">
        <v>36800000</v>
      </c>
      <c r="P632" s="3">
        <v>0.97916666666666663</v>
      </c>
    </row>
    <row r="633" spans="1:16" x14ac:dyDescent="0.25">
      <c r="A633" s="2">
        <v>43411</v>
      </c>
      <c r="B633" s="2">
        <v>43292</v>
      </c>
      <c r="C633" t="str">
        <f>+"Tuáº§n "&amp;WEEKNUM(B633)</f>
        <v>Tuáº§n 28</v>
      </c>
      <c r="D633" t="s">
        <v>19</v>
      </c>
      <c r="E633" t="s">
        <v>17</v>
      </c>
      <c r="F633" s="5">
        <v>33000000</v>
      </c>
      <c r="G633" s="5">
        <v>36000000</v>
      </c>
      <c r="H633" s="5">
        <f>+(M633*26000)/0.829426</f>
        <v>38958026.394156925</v>
      </c>
      <c r="I633" s="5">
        <f>+G633-H633</f>
        <v>-2958026.3941569254</v>
      </c>
      <c r="J633" s="5">
        <v>3000000</v>
      </c>
      <c r="K633" s="5">
        <v>3300000</v>
      </c>
      <c r="L633" s="5">
        <v>3600000</v>
      </c>
      <c r="M633" s="7">
        <v>1242.8</v>
      </c>
      <c r="N633" s="5">
        <v>33500000</v>
      </c>
      <c r="O633" s="5">
        <v>36500000</v>
      </c>
      <c r="P633" s="3">
        <v>0.97916666666666663</v>
      </c>
    </row>
    <row r="634" spans="1:16" x14ac:dyDescent="0.25">
      <c r="A634" s="2">
        <v>43441</v>
      </c>
      <c r="B634" s="2">
        <v>43293</v>
      </c>
      <c r="C634" t="str">
        <f>+"Tuáº§n "&amp;WEEKNUM(B634)</f>
        <v>Tuáº§n 28</v>
      </c>
      <c r="D634" t="s">
        <v>20</v>
      </c>
      <c r="E634" t="s">
        <v>17</v>
      </c>
      <c r="F634" s="5">
        <v>33000000</v>
      </c>
      <c r="G634" s="5">
        <v>36000000</v>
      </c>
      <c r="H634" s="5">
        <f>+(M634*26000)/0.829426</f>
        <v>39026989.749537632</v>
      </c>
      <c r="I634" s="5">
        <f>+G634-H634</f>
        <v>-3026989.7495376319</v>
      </c>
      <c r="J634" s="5">
        <v>3000000</v>
      </c>
      <c r="K634" s="5">
        <v>3300000</v>
      </c>
      <c r="L634" s="5">
        <v>3600000</v>
      </c>
      <c r="M634" s="7">
        <v>1245</v>
      </c>
      <c r="N634" s="5">
        <v>33500000</v>
      </c>
      <c r="O634" s="5">
        <v>36500000</v>
      </c>
      <c r="P634" s="3">
        <v>0.97916666666666663</v>
      </c>
    </row>
    <row r="635" spans="1:16" x14ac:dyDescent="0.25">
      <c r="A635" t="s">
        <v>400</v>
      </c>
      <c r="B635" s="2">
        <v>43294</v>
      </c>
      <c r="C635" t="str">
        <f>+"Tuáº§n "&amp;WEEKNUM(B635)</f>
        <v>Tuáº§n 28</v>
      </c>
      <c r="D635" t="s">
        <v>21</v>
      </c>
      <c r="E635" t="s">
        <v>17</v>
      </c>
      <c r="F635" s="5">
        <v>32900000</v>
      </c>
      <c r="G635" s="5">
        <v>35900000</v>
      </c>
      <c r="H635" s="5">
        <f>+(M635*26000)/0.829426</f>
        <v>38857716.059057705</v>
      </c>
      <c r="I635" s="5">
        <f>+G635-H635</f>
        <v>-2957716.0590577051</v>
      </c>
      <c r="J635" s="5">
        <v>3000000</v>
      </c>
      <c r="K635" s="5">
        <v>3290000</v>
      </c>
      <c r="L635" s="5">
        <v>3590000</v>
      </c>
      <c r="M635" s="7">
        <v>1239.5999999999999</v>
      </c>
      <c r="N635" s="5">
        <v>33400000</v>
      </c>
      <c r="O635" s="5">
        <v>36400000</v>
      </c>
      <c r="P635" s="3">
        <v>0.97916666666666663</v>
      </c>
    </row>
    <row r="636" spans="1:16" x14ac:dyDescent="0.25">
      <c r="A636" t="s">
        <v>401</v>
      </c>
      <c r="B636" s="2">
        <v>43297</v>
      </c>
      <c r="C636" t="str">
        <f>+"Tuáº§n "&amp;WEEKNUM(B636)</f>
        <v>Tuáº§n 29</v>
      </c>
      <c r="D636" t="s">
        <v>16</v>
      </c>
      <c r="E636" t="s">
        <v>17</v>
      </c>
      <c r="F636" s="5">
        <v>32800000</v>
      </c>
      <c r="G636" s="5">
        <v>35800000</v>
      </c>
      <c r="H636" s="5">
        <f>+(M636*26000)/0.829426</f>
        <v>38810695.589479946</v>
      </c>
      <c r="I636" s="5">
        <f>+G636-H636</f>
        <v>-3010695.5894799456</v>
      </c>
      <c r="J636" s="5">
        <v>3000000</v>
      </c>
      <c r="K636" s="5">
        <v>3280000</v>
      </c>
      <c r="L636" s="5">
        <v>3580000</v>
      </c>
      <c r="M636" s="7">
        <v>1238.0999999999999</v>
      </c>
      <c r="N636" s="5">
        <v>33300000</v>
      </c>
      <c r="O636" s="5">
        <v>36300000</v>
      </c>
      <c r="P636" s="3">
        <v>0.97916666666666663</v>
      </c>
    </row>
    <row r="637" spans="1:16" x14ac:dyDescent="0.25">
      <c r="A637" t="s">
        <v>402</v>
      </c>
      <c r="B637" s="2">
        <v>43298</v>
      </c>
      <c r="C637" t="str">
        <f>+"Tuáº§n "&amp;WEEKNUM(B637)</f>
        <v>Tuáº§n 29</v>
      </c>
      <c r="D637" t="s">
        <v>18</v>
      </c>
      <c r="E637" t="s">
        <v>17</v>
      </c>
      <c r="F637" s="5">
        <v>32500000</v>
      </c>
      <c r="G637" s="5">
        <v>35500000</v>
      </c>
      <c r="H637" s="5">
        <f>+(M637*26000)/0.829426</f>
        <v>38421993.040970504</v>
      </c>
      <c r="I637" s="5">
        <f>+G637-H637</f>
        <v>-2921993.0409705043</v>
      </c>
      <c r="J637" s="5">
        <v>3000000</v>
      </c>
      <c r="K637" s="5">
        <v>3250000</v>
      </c>
      <c r="L637" s="5">
        <v>3550000</v>
      </c>
      <c r="M637" s="7">
        <v>1225.7</v>
      </c>
      <c r="N637" s="5">
        <v>33000000</v>
      </c>
      <c r="O637" s="5">
        <v>36000000</v>
      </c>
      <c r="P637" s="3">
        <v>0.97916666666666663</v>
      </c>
    </row>
    <row r="638" spans="1:16" x14ac:dyDescent="0.25">
      <c r="A638" t="s">
        <v>403</v>
      </c>
      <c r="B638" s="2">
        <v>43299</v>
      </c>
      <c r="C638" t="str">
        <f>+"Tuáº§n "&amp;WEEKNUM(B638)</f>
        <v>Tuáº§n 29</v>
      </c>
      <c r="D638" t="s">
        <v>19</v>
      </c>
      <c r="E638" t="s">
        <v>17</v>
      </c>
      <c r="F638" s="5">
        <v>32500000</v>
      </c>
      <c r="G638" s="5">
        <v>35500000</v>
      </c>
      <c r="H638" s="5">
        <f>+(M638*26000)/0.829426</f>
        <v>38440801.228801608</v>
      </c>
      <c r="I638" s="5">
        <f>+G638-H638</f>
        <v>-2940801.2288016081</v>
      </c>
      <c r="J638" s="5">
        <v>3000000</v>
      </c>
      <c r="K638" s="5">
        <v>3250000</v>
      </c>
      <c r="L638" s="5">
        <v>3550000</v>
      </c>
      <c r="M638" s="7">
        <v>1226.3</v>
      </c>
      <c r="N638" s="5">
        <v>33000000</v>
      </c>
      <c r="O638" s="5">
        <v>36000000</v>
      </c>
      <c r="P638" s="3">
        <v>0.97916666666666663</v>
      </c>
    </row>
    <row r="639" spans="1:16" x14ac:dyDescent="0.25">
      <c r="A639" t="s">
        <v>404</v>
      </c>
      <c r="B639" s="2">
        <v>43300</v>
      </c>
      <c r="C639" t="str">
        <f>+"Tuáº§n "&amp;WEEKNUM(B639)</f>
        <v>Tuáº§n 29</v>
      </c>
      <c r="D639" t="s">
        <v>20</v>
      </c>
      <c r="E639" t="s">
        <v>17</v>
      </c>
      <c r="F639" s="5">
        <v>32400000</v>
      </c>
      <c r="G639" s="5">
        <v>35400000</v>
      </c>
      <c r="H639" s="5">
        <f>+(M639*26000)/0.829426</f>
        <v>38318548.007899441</v>
      </c>
      <c r="I639" s="5">
        <f>+G639-H639</f>
        <v>-2918548.0078994408</v>
      </c>
      <c r="J639" s="5">
        <v>3000000</v>
      </c>
      <c r="K639" s="5">
        <v>3240000</v>
      </c>
      <c r="L639" s="5">
        <v>3540000</v>
      </c>
      <c r="M639" s="7">
        <v>1222.4000000000001</v>
      </c>
      <c r="N639" s="5">
        <v>32900000</v>
      </c>
      <c r="O639" s="5">
        <v>35900000</v>
      </c>
      <c r="P639" s="3">
        <v>0.97916666666666663</v>
      </c>
    </row>
    <row r="640" spans="1:16" x14ac:dyDescent="0.25">
      <c r="A640" t="s">
        <v>405</v>
      </c>
      <c r="B640" s="2">
        <v>43301</v>
      </c>
      <c r="C640" t="str">
        <f>+"Tuáº§n "&amp;WEEKNUM(B640)</f>
        <v>Tuáº§n 29</v>
      </c>
      <c r="D640" t="s">
        <v>21</v>
      </c>
      <c r="E640" t="s">
        <v>17</v>
      </c>
      <c r="F640" s="5">
        <v>32600000</v>
      </c>
      <c r="G640" s="5">
        <v>35600000</v>
      </c>
      <c r="H640" s="5">
        <f>+(M640*26000)/0.829426</f>
        <v>38541111.563900821</v>
      </c>
      <c r="I640" s="5">
        <f>+G640-H640</f>
        <v>-2941111.5639008209</v>
      </c>
      <c r="J640" s="5">
        <v>3000000</v>
      </c>
      <c r="K640" s="5">
        <v>3260000</v>
      </c>
      <c r="L640" s="5">
        <v>3560000</v>
      </c>
      <c r="M640" s="7">
        <v>1229.5</v>
      </c>
      <c r="N640" s="5">
        <v>33100000</v>
      </c>
      <c r="O640" s="5">
        <v>36100000</v>
      </c>
      <c r="P640" s="3">
        <v>0.97916666666666663</v>
      </c>
    </row>
    <row r="641" spans="1:16" x14ac:dyDescent="0.25">
      <c r="A641" t="s">
        <v>406</v>
      </c>
      <c r="B641" s="2">
        <v>43304</v>
      </c>
      <c r="C641" t="str">
        <f>+"Tuáº§n "&amp;WEEKNUM(B641)</f>
        <v>Tuáº§n 30</v>
      </c>
      <c r="D641" t="s">
        <v>16</v>
      </c>
      <c r="E641" t="s">
        <v>17</v>
      </c>
      <c r="F641" s="5">
        <v>32400000</v>
      </c>
      <c r="G641" s="5">
        <v>35400000</v>
      </c>
      <c r="H641" s="5">
        <f>+(M641*26000)/0.829426</f>
        <v>38368703.175449044</v>
      </c>
      <c r="I641" s="5">
        <f>+G641-H641</f>
        <v>-2968703.1754490435</v>
      </c>
      <c r="J641" s="5">
        <v>3000000</v>
      </c>
      <c r="K641" s="5">
        <v>3240000</v>
      </c>
      <c r="L641" s="5">
        <v>3540000</v>
      </c>
      <c r="M641" s="7">
        <v>1224</v>
      </c>
      <c r="N641" s="5">
        <v>32900000</v>
      </c>
      <c r="O641" s="5">
        <v>35900000</v>
      </c>
      <c r="P641" s="3">
        <v>0.97916666666666663</v>
      </c>
    </row>
    <row r="642" spans="1:16" x14ac:dyDescent="0.25">
      <c r="A642" t="s">
        <v>407</v>
      </c>
      <c r="B642" s="2">
        <v>43305</v>
      </c>
      <c r="C642" t="str">
        <f>+"Tuáº§n "&amp;WEEKNUM(B642)</f>
        <v>Tuáº§n 30</v>
      </c>
      <c r="D642" t="s">
        <v>18</v>
      </c>
      <c r="E642" t="s">
        <v>17</v>
      </c>
      <c r="F642" s="5">
        <v>32400000</v>
      </c>
      <c r="G642" s="5">
        <v>35400000</v>
      </c>
      <c r="H642" s="5">
        <f>+(M642*26000)/0.829426</f>
        <v>38365568.4774772</v>
      </c>
      <c r="I642" s="5">
        <f>+G642-H642</f>
        <v>-2965568.4774772003</v>
      </c>
      <c r="J642" s="5">
        <v>3000000</v>
      </c>
      <c r="K642" s="5">
        <v>3240000</v>
      </c>
      <c r="L642" s="5">
        <v>3540000</v>
      </c>
      <c r="M642" s="7">
        <v>1223.9000000000001</v>
      </c>
      <c r="N642" s="5">
        <v>32900000</v>
      </c>
      <c r="O642" s="5">
        <v>35900000</v>
      </c>
      <c r="P642" s="3">
        <v>0.97916666666666663</v>
      </c>
    </row>
    <row r="643" spans="1:16" x14ac:dyDescent="0.25">
      <c r="A643" t="s">
        <v>408</v>
      </c>
      <c r="B643" s="2">
        <v>43306</v>
      </c>
      <c r="C643" t="str">
        <f>+"Tuáº§n "&amp;WEEKNUM(B643)</f>
        <v>Tuáº§n 30</v>
      </c>
      <c r="D643" t="s">
        <v>19</v>
      </c>
      <c r="E643" t="s">
        <v>17</v>
      </c>
      <c r="F643" s="5">
        <v>32600000</v>
      </c>
      <c r="G643" s="5">
        <v>35600000</v>
      </c>
      <c r="H643" s="5">
        <f>+(M643*26000)/0.829426</f>
        <v>38600670.825365983</v>
      </c>
      <c r="I643" s="5">
        <f>+G643-H643</f>
        <v>-3000670.8253659829</v>
      </c>
      <c r="J643" s="5">
        <v>3000000</v>
      </c>
      <c r="K643" s="5">
        <v>3260000</v>
      </c>
      <c r="L643" s="5">
        <v>3560000</v>
      </c>
      <c r="M643" s="7">
        <v>1231.4000000000001</v>
      </c>
      <c r="N643" s="5">
        <v>33100000</v>
      </c>
      <c r="O643" s="5">
        <v>36100000</v>
      </c>
      <c r="P643" s="3">
        <v>0.97916666666666663</v>
      </c>
    </row>
    <row r="644" spans="1:16" x14ac:dyDescent="0.25">
      <c r="A644" t="s">
        <v>409</v>
      </c>
      <c r="B644" s="2">
        <v>43307</v>
      </c>
      <c r="C644" t="str">
        <f>+"Tuáº§n "&amp;WEEKNUM(B644)</f>
        <v>Tuáº§n 30</v>
      </c>
      <c r="D644" t="s">
        <v>20</v>
      </c>
      <c r="E644" t="s">
        <v>17</v>
      </c>
      <c r="F644" s="5">
        <v>32400000</v>
      </c>
      <c r="G644" s="5">
        <v>35400000</v>
      </c>
      <c r="H644" s="5">
        <f>+(M644*26000)/0.829426</f>
        <v>38409454.249083102</v>
      </c>
      <c r="I644" s="5">
        <f>+G644-H644</f>
        <v>-3009454.2490831017</v>
      </c>
      <c r="J644" s="5">
        <v>3000000</v>
      </c>
      <c r="K644" s="5">
        <v>3240000</v>
      </c>
      <c r="L644" s="5">
        <v>3540000</v>
      </c>
      <c r="M644" s="7">
        <v>1225.3</v>
      </c>
      <c r="N644" s="5">
        <v>32900000</v>
      </c>
      <c r="O644" s="5">
        <v>35900000</v>
      </c>
      <c r="P644" s="3">
        <v>0.97916666666666663</v>
      </c>
    </row>
    <row r="645" spans="1:16" x14ac:dyDescent="0.25">
      <c r="A645" t="s">
        <v>410</v>
      </c>
      <c r="B645" s="2">
        <v>43308</v>
      </c>
      <c r="C645" t="str">
        <f>+"Tuáº§n "&amp;WEEKNUM(B645)</f>
        <v>Tuáº§n 30</v>
      </c>
      <c r="D645" t="s">
        <v>21</v>
      </c>
      <c r="E645" t="s">
        <v>17</v>
      </c>
      <c r="F645" s="5">
        <v>32400000</v>
      </c>
      <c r="G645" s="5">
        <v>35400000</v>
      </c>
      <c r="H645" s="5">
        <f>+(M645*26000)/0.829426</f>
        <v>38324817.403843135</v>
      </c>
      <c r="I645" s="5">
        <f>+G645-H645</f>
        <v>-2924817.4038431346</v>
      </c>
      <c r="J645" s="5">
        <v>3000000</v>
      </c>
      <c r="K645" s="5">
        <v>3240000</v>
      </c>
      <c r="L645" s="5">
        <v>3540000</v>
      </c>
      <c r="M645" s="7">
        <v>1222.5999999999999</v>
      </c>
      <c r="N645" s="5">
        <v>32900000</v>
      </c>
      <c r="O645" s="5">
        <v>35900000</v>
      </c>
      <c r="P645" s="3">
        <v>0.97916666666666663</v>
      </c>
    </row>
    <row r="646" spans="1:16" x14ac:dyDescent="0.25">
      <c r="A646" t="s">
        <v>411</v>
      </c>
      <c r="B646" s="2">
        <v>43311</v>
      </c>
      <c r="C646" t="str">
        <f>+"Tuáº§n "&amp;WEEKNUM(B646)</f>
        <v>Tuáº§n 31</v>
      </c>
      <c r="D646" t="s">
        <v>16</v>
      </c>
      <c r="E646" t="s">
        <v>17</v>
      </c>
      <c r="F646" s="5">
        <v>32300000</v>
      </c>
      <c r="G646" s="5">
        <v>35300000</v>
      </c>
      <c r="H646" s="5">
        <f>+(M646*26000)/0.829426</f>
        <v>38284066.330209084</v>
      </c>
      <c r="I646" s="5">
        <f>+G646-H646</f>
        <v>-2984066.3302090839</v>
      </c>
      <c r="J646" s="5">
        <v>3000000</v>
      </c>
      <c r="K646" s="5">
        <v>3230000</v>
      </c>
      <c r="L646" s="5">
        <v>3530000</v>
      </c>
      <c r="M646" s="7">
        <v>1221.3</v>
      </c>
      <c r="N646" s="5">
        <v>32800000</v>
      </c>
      <c r="O646" s="5">
        <v>35800000</v>
      </c>
      <c r="P646" s="3">
        <v>0.97916666666666663</v>
      </c>
    </row>
    <row r="647" spans="1:16" x14ac:dyDescent="0.25">
      <c r="A647" t="s">
        <v>412</v>
      </c>
      <c r="B647" s="2">
        <v>43312</v>
      </c>
      <c r="C647" t="str">
        <f>+"Tuáº§n "&amp;WEEKNUM(B647)</f>
        <v>Tuáº§n 31</v>
      </c>
      <c r="D647" t="s">
        <v>18</v>
      </c>
      <c r="E647" t="s">
        <v>17</v>
      </c>
      <c r="F647" s="5">
        <v>32400000</v>
      </c>
      <c r="G647" s="5">
        <v>35400000</v>
      </c>
      <c r="H647" s="5">
        <f>+(M647*26000)/0.829426</f>
        <v>38359299.081533492</v>
      </c>
      <c r="I647" s="5">
        <f>+G647-H647</f>
        <v>-2959299.0815334916</v>
      </c>
      <c r="J647" s="5">
        <v>3000000</v>
      </c>
      <c r="K647" s="5">
        <v>3240000</v>
      </c>
      <c r="L647" s="5">
        <v>3540000</v>
      </c>
      <c r="M647" s="7">
        <v>1223.7</v>
      </c>
      <c r="N647" s="5">
        <v>32900000</v>
      </c>
      <c r="O647" s="5">
        <v>35900000</v>
      </c>
      <c r="P647" s="3">
        <v>0.97916666666666663</v>
      </c>
    </row>
    <row r="648" spans="1:16" x14ac:dyDescent="0.25">
      <c r="A648" s="2">
        <v>43108</v>
      </c>
      <c r="B648" s="2">
        <v>43313</v>
      </c>
      <c r="C648" t="str">
        <f>+"Tuáº§n "&amp;WEEKNUM(B648)</f>
        <v>Tuáº§n 31</v>
      </c>
      <c r="D648" t="s">
        <v>19</v>
      </c>
      <c r="E648" t="s">
        <v>17</v>
      </c>
      <c r="F648" s="5">
        <v>32200000</v>
      </c>
      <c r="G648" s="5">
        <v>35200000</v>
      </c>
      <c r="H648" s="5">
        <f>+(M648*26000)/0.829426</f>
        <v>38177486.599166177</v>
      </c>
      <c r="I648" s="5">
        <f>+G648-H648</f>
        <v>-2977486.5991661772</v>
      </c>
      <c r="J648" s="5">
        <v>3000000</v>
      </c>
      <c r="K648" s="5">
        <v>3220000</v>
      </c>
      <c r="L648" s="5">
        <v>3520000</v>
      </c>
      <c r="M648" s="7">
        <v>1217.9000000000001</v>
      </c>
      <c r="N648" s="5">
        <v>32700000</v>
      </c>
      <c r="O648" s="5">
        <v>35700000</v>
      </c>
      <c r="P648" s="3">
        <v>0.97916666666666663</v>
      </c>
    </row>
    <row r="649" spans="1:16" x14ac:dyDescent="0.25">
      <c r="A649" s="2">
        <v>43139</v>
      </c>
      <c r="B649" s="2">
        <v>43314</v>
      </c>
      <c r="C649" t="str">
        <f>+"Tuáº§n "&amp;WEEKNUM(B649)</f>
        <v>Tuáº§n 31</v>
      </c>
      <c r="D649" t="s">
        <v>20</v>
      </c>
      <c r="E649" t="s">
        <v>17</v>
      </c>
      <c r="F649" s="5">
        <v>32000000</v>
      </c>
      <c r="G649" s="5">
        <v>35000000</v>
      </c>
      <c r="H649" s="5">
        <f>+(M649*26000)/0.829426</f>
        <v>37948653.647221088</v>
      </c>
      <c r="I649" s="5">
        <f>+G649-H649</f>
        <v>-2948653.6472210884</v>
      </c>
      <c r="J649" s="5">
        <v>3000000</v>
      </c>
      <c r="K649" s="5">
        <v>3200000</v>
      </c>
      <c r="L649" s="5">
        <v>3500000</v>
      </c>
      <c r="M649" s="7">
        <v>1210.5999999999999</v>
      </c>
      <c r="N649" s="5">
        <v>32500000</v>
      </c>
      <c r="O649" s="5">
        <v>35500000</v>
      </c>
      <c r="P649" s="3">
        <v>0.97916666666666663</v>
      </c>
    </row>
    <row r="650" spans="1:16" x14ac:dyDescent="0.25">
      <c r="A650" s="2">
        <v>43167</v>
      </c>
      <c r="B650" s="2">
        <v>43315</v>
      </c>
      <c r="C650" t="str">
        <f>+"Tuáº§n "&amp;WEEKNUM(B650)</f>
        <v>Tuáº§n 31</v>
      </c>
      <c r="D650" t="s">
        <v>21</v>
      </c>
      <c r="E650" t="s">
        <v>17</v>
      </c>
      <c r="F650" s="5">
        <v>32100000</v>
      </c>
      <c r="G650" s="5">
        <v>35100000</v>
      </c>
      <c r="H650" s="5">
        <f>+(M650*26000)/0.829426</f>
        <v>38061502.774207704</v>
      </c>
      <c r="I650" s="5">
        <f>+G650-H650</f>
        <v>-2961502.7742077038</v>
      </c>
      <c r="J650" s="5">
        <v>3000000</v>
      </c>
      <c r="K650" s="5">
        <v>3210000</v>
      </c>
      <c r="L650" s="5">
        <v>3510000</v>
      </c>
      <c r="M650" s="7">
        <v>1214.2</v>
      </c>
      <c r="N650" s="5">
        <v>32600000</v>
      </c>
      <c r="O650" s="5">
        <v>35600000</v>
      </c>
      <c r="P650" s="3">
        <v>0.97916666666666663</v>
      </c>
    </row>
    <row r="651" spans="1:16" x14ac:dyDescent="0.25">
      <c r="A651" s="2">
        <v>43259</v>
      </c>
      <c r="B651" s="2">
        <v>43318</v>
      </c>
      <c r="C651" t="str">
        <f>+"Tuáº§n "&amp;WEEKNUM(B651)</f>
        <v>Tuáº§n 32</v>
      </c>
      <c r="D651" t="s">
        <v>16</v>
      </c>
      <c r="E651" t="s">
        <v>17</v>
      </c>
      <c r="F651" s="5">
        <v>32000000</v>
      </c>
      <c r="G651" s="5">
        <v>35000000</v>
      </c>
      <c r="H651" s="5">
        <f>+(M651*26000)/0.829426</f>
        <v>37885959.687784076</v>
      </c>
      <c r="I651" s="5">
        <f>+G651-H651</f>
        <v>-2885959.6877840757</v>
      </c>
      <c r="J651" s="5">
        <v>3000000</v>
      </c>
      <c r="K651" s="5">
        <v>3200000</v>
      </c>
      <c r="L651" s="5">
        <v>3500000</v>
      </c>
      <c r="M651" s="7">
        <v>1208.5999999999999</v>
      </c>
      <c r="N651" s="5">
        <v>32500000</v>
      </c>
      <c r="O651" s="5">
        <v>35500000</v>
      </c>
      <c r="P651" s="3">
        <v>0.97916666666666663</v>
      </c>
    </row>
    <row r="652" spans="1:16" x14ac:dyDescent="0.25">
      <c r="A652" s="2">
        <v>43289</v>
      </c>
      <c r="B652" s="2">
        <v>43319</v>
      </c>
      <c r="C652" t="str">
        <f>+"Tuáº§n "&amp;WEEKNUM(B652)</f>
        <v>Tuáº§n 32</v>
      </c>
      <c r="D652" t="s">
        <v>18</v>
      </c>
      <c r="E652" t="s">
        <v>17</v>
      </c>
      <c r="F652" s="5">
        <v>32000000</v>
      </c>
      <c r="G652" s="5">
        <v>35000000</v>
      </c>
      <c r="H652" s="5">
        <f>+(M652*26000)/0.829426</f>
        <v>37917306.667502582</v>
      </c>
      <c r="I652" s="5">
        <f>+G652-H652</f>
        <v>-2917306.6675025821</v>
      </c>
      <c r="J652" s="5">
        <v>3000000</v>
      </c>
      <c r="K652" s="5">
        <v>3200000</v>
      </c>
      <c r="L652" s="5">
        <v>3500000</v>
      </c>
      <c r="M652" s="7">
        <v>1209.5999999999999</v>
      </c>
      <c r="N652" s="5">
        <v>32500000</v>
      </c>
      <c r="O652" s="5">
        <v>35500000</v>
      </c>
      <c r="P652" s="3">
        <v>0.97916666666666663</v>
      </c>
    </row>
    <row r="653" spans="1:16" x14ac:dyDescent="0.25">
      <c r="A653" s="2">
        <v>43320</v>
      </c>
      <c r="B653" s="2">
        <v>43320</v>
      </c>
      <c r="C653" t="str">
        <f>+"Tuáº§n "&amp;WEEKNUM(B653)</f>
        <v>Tuáº§n 32</v>
      </c>
      <c r="D653" t="s">
        <v>19</v>
      </c>
      <c r="E653" t="s">
        <v>17</v>
      </c>
      <c r="F653" s="5">
        <v>32100000</v>
      </c>
      <c r="G653" s="5">
        <v>35100000</v>
      </c>
      <c r="H653" s="5">
        <f>+(M653*26000)/0.829426</f>
        <v>38011347.606658094</v>
      </c>
      <c r="I653" s="5">
        <f>+G653-H653</f>
        <v>-2911347.6066580936</v>
      </c>
      <c r="J653" s="5">
        <v>3000000</v>
      </c>
      <c r="K653" s="5">
        <v>3210000</v>
      </c>
      <c r="L653" s="5">
        <v>3510000</v>
      </c>
      <c r="M653" s="7">
        <v>1212.5999999999999</v>
      </c>
      <c r="N653" s="5">
        <v>32600000</v>
      </c>
      <c r="O653" s="5">
        <v>35600000</v>
      </c>
      <c r="P653" s="3">
        <v>0.97916666666666663</v>
      </c>
    </row>
    <row r="654" spans="1:16" x14ac:dyDescent="0.25">
      <c r="A654" s="2">
        <v>43351</v>
      </c>
      <c r="B654" s="2">
        <v>43321</v>
      </c>
      <c r="C654" t="str">
        <f>+"Tuáº§n "&amp;WEEKNUM(B654)</f>
        <v>Tuáº§n 32</v>
      </c>
      <c r="D654" t="s">
        <v>20</v>
      </c>
      <c r="E654" t="s">
        <v>17</v>
      </c>
      <c r="F654" s="5">
        <v>32100000</v>
      </c>
      <c r="G654" s="5">
        <v>35100000</v>
      </c>
      <c r="H654" s="5">
        <f>+(M654*26000)/0.829426</f>
        <v>37989404.720855147</v>
      </c>
      <c r="I654" s="5">
        <f>+G654-H654</f>
        <v>-2889404.7208551466</v>
      </c>
      <c r="J654" s="5">
        <v>3000000</v>
      </c>
      <c r="K654" s="5">
        <v>3210000</v>
      </c>
      <c r="L654" s="5">
        <v>3510000</v>
      </c>
      <c r="M654" s="7">
        <v>1211.9000000000001</v>
      </c>
      <c r="N654" s="5">
        <v>32600000</v>
      </c>
      <c r="O654" s="5">
        <v>35600000</v>
      </c>
      <c r="P654" s="3">
        <v>0.97916666666666663</v>
      </c>
    </row>
    <row r="655" spans="1:16" x14ac:dyDescent="0.25">
      <c r="A655" s="2">
        <v>43381</v>
      </c>
      <c r="B655" s="2">
        <v>43322</v>
      </c>
      <c r="C655" t="str">
        <f>+"Tuáº§n "&amp;WEEKNUM(B655)</f>
        <v>Tuáº§n 32</v>
      </c>
      <c r="D655" t="s">
        <v>21</v>
      </c>
      <c r="E655" t="s">
        <v>17</v>
      </c>
      <c r="F655" s="5">
        <v>32000000</v>
      </c>
      <c r="G655" s="5">
        <v>35000000</v>
      </c>
      <c r="H655" s="5">
        <f>+(M655*26000)/0.829426</f>
        <v>37964327.137080342</v>
      </c>
      <c r="I655" s="5">
        <f>+G655-H655</f>
        <v>-2964327.1370803416</v>
      </c>
      <c r="J655" s="5">
        <v>3000000</v>
      </c>
      <c r="K655" s="5">
        <v>3200000</v>
      </c>
      <c r="L655" s="5">
        <v>3500000</v>
      </c>
      <c r="M655" s="7">
        <v>1211.0999999999999</v>
      </c>
      <c r="N655" s="5">
        <v>32500000</v>
      </c>
      <c r="O655" s="5">
        <v>35500000</v>
      </c>
      <c r="P655" s="3">
        <v>0.97916666666666663</v>
      </c>
    </row>
    <row r="656" spans="1:16" x14ac:dyDescent="0.25">
      <c r="A656" t="s">
        <v>413</v>
      </c>
      <c r="B656" s="2">
        <v>43325</v>
      </c>
      <c r="C656" t="str">
        <f>+"Tuáº§n "&amp;WEEKNUM(B656)</f>
        <v>Tuáº§n 33</v>
      </c>
      <c r="D656" t="s">
        <v>16</v>
      </c>
      <c r="E656" t="s">
        <v>17</v>
      </c>
      <c r="F656" s="5">
        <v>31500000</v>
      </c>
      <c r="G656" s="5">
        <v>34500000</v>
      </c>
      <c r="H656" s="5">
        <f>+(M656*26000)/0.829426</f>
        <v>37343656.938653961</v>
      </c>
      <c r="I656" s="5">
        <f>+G656-H656</f>
        <v>-2843656.9386539608</v>
      </c>
      <c r="J656" s="5">
        <v>3000000</v>
      </c>
      <c r="K656" s="5">
        <v>3150000</v>
      </c>
      <c r="L656" s="5">
        <v>3450000</v>
      </c>
      <c r="M656" s="7">
        <v>1191.3</v>
      </c>
      <c r="N656" s="5">
        <v>32000000</v>
      </c>
      <c r="O656" s="5">
        <v>35000000</v>
      </c>
      <c r="P656" s="3">
        <v>0.97916666666666663</v>
      </c>
    </row>
    <row r="657" spans="1:16" x14ac:dyDescent="0.25">
      <c r="A657" t="s">
        <v>414</v>
      </c>
      <c r="B657" s="2">
        <v>43326</v>
      </c>
      <c r="C657" t="str">
        <f>+"Tuáº§n "&amp;WEEKNUM(B657)</f>
        <v>Tuáº§n 33</v>
      </c>
      <c r="D657" t="s">
        <v>18</v>
      </c>
      <c r="E657" t="s">
        <v>17</v>
      </c>
      <c r="F657" s="5">
        <v>31500000</v>
      </c>
      <c r="G657" s="5">
        <v>34500000</v>
      </c>
      <c r="H657" s="5">
        <f>+(M657*26000)/0.829426</f>
        <v>37396946.804175414</v>
      </c>
      <c r="I657" s="5">
        <f>+G657-H657</f>
        <v>-2896946.8041754141</v>
      </c>
      <c r="J657" s="5">
        <v>3000000</v>
      </c>
      <c r="K657" s="5">
        <v>3150000</v>
      </c>
      <c r="L657" s="5">
        <v>3450000</v>
      </c>
      <c r="M657" s="7">
        <v>1193</v>
      </c>
      <c r="N657" s="5">
        <v>32000000</v>
      </c>
      <c r="O657" s="5">
        <v>35000000</v>
      </c>
      <c r="P657" s="3">
        <v>0.97916666666666663</v>
      </c>
    </row>
    <row r="658" spans="1:16" x14ac:dyDescent="0.25">
      <c r="A658" t="s">
        <v>415</v>
      </c>
      <c r="B658" s="2">
        <v>43327</v>
      </c>
      <c r="C658" t="str">
        <f>+"Tuáº§n "&amp;WEEKNUM(B658)</f>
        <v>Tuáº§n 33</v>
      </c>
      <c r="D658" t="s">
        <v>19</v>
      </c>
      <c r="E658" t="s">
        <v>17</v>
      </c>
      <c r="F658" s="5">
        <v>31100000</v>
      </c>
      <c r="G658" s="5">
        <v>34100000</v>
      </c>
      <c r="H658" s="5">
        <f>+(M658*26000)/0.829426</f>
        <v>36911068.618538603</v>
      </c>
      <c r="I658" s="5">
        <f>+G658-H658</f>
        <v>-2811068.6185386032</v>
      </c>
      <c r="J658" s="5">
        <v>3000000</v>
      </c>
      <c r="K658" s="5">
        <v>3110000</v>
      </c>
      <c r="L658" s="5">
        <v>3410000</v>
      </c>
      <c r="M658" s="7">
        <v>1177.5</v>
      </c>
      <c r="N658" s="5">
        <v>31600000</v>
      </c>
      <c r="O658" s="5">
        <v>34600000</v>
      </c>
      <c r="P658" s="3">
        <v>0.97916666666666663</v>
      </c>
    </row>
    <row r="659" spans="1:16" x14ac:dyDescent="0.25">
      <c r="A659" t="s">
        <v>416</v>
      </c>
      <c r="B659" s="2">
        <v>43328</v>
      </c>
      <c r="C659" t="str">
        <f>+"Tuáº§n "&amp;WEEKNUM(B659)</f>
        <v>Tuáº§n 33</v>
      </c>
      <c r="D659" t="s">
        <v>20</v>
      </c>
      <c r="E659" t="s">
        <v>17</v>
      </c>
      <c r="F659" s="5">
        <v>31000000</v>
      </c>
      <c r="G659" s="5">
        <v>34000000</v>
      </c>
      <c r="H659" s="5">
        <f>+(M659*26000)/0.829426</f>
        <v>36870317.544904545</v>
      </c>
      <c r="I659" s="5">
        <f>+G659-H659</f>
        <v>-2870317.5449045449</v>
      </c>
      <c r="J659" s="5">
        <v>3000000</v>
      </c>
      <c r="K659" s="5">
        <v>3100000</v>
      </c>
      <c r="L659" s="5">
        <v>3400000</v>
      </c>
      <c r="M659" s="7">
        <v>1176.2</v>
      </c>
      <c r="N659" s="5">
        <v>31500000</v>
      </c>
      <c r="O659" s="5">
        <v>34500000</v>
      </c>
      <c r="P659" s="3">
        <v>0.97916666666666663</v>
      </c>
    </row>
    <row r="660" spans="1:16" x14ac:dyDescent="0.25">
      <c r="A660" t="s">
        <v>417</v>
      </c>
      <c r="B660" s="2">
        <v>43329</v>
      </c>
      <c r="C660" t="str">
        <f>+"Tuáº§n "&amp;WEEKNUM(B660)</f>
        <v>Tuáº§n 33</v>
      </c>
      <c r="D660" t="s">
        <v>21</v>
      </c>
      <c r="E660" t="s">
        <v>17</v>
      </c>
      <c r="F660" s="5">
        <v>31000000</v>
      </c>
      <c r="G660" s="5">
        <v>34000000</v>
      </c>
      <c r="H660" s="5">
        <f>+(M660*26000)/0.829426</f>
        <v>36879721.638820097</v>
      </c>
      <c r="I660" s="5">
        <f>+G660-H660</f>
        <v>-2879721.6388200969</v>
      </c>
      <c r="J660" s="5">
        <v>3000000</v>
      </c>
      <c r="K660" s="5">
        <v>3100000</v>
      </c>
      <c r="L660" s="5">
        <v>3400000</v>
      </c>
      <c r="M660" s="7">
        <v>1176.5</v>
      </c>
      <c r="N660" s="5">
        <v>31500000</v>
      </c>
      <c r="O660" s="5">
        <v>34500000</v>
      </c>
      <c r="P660" s="3">
        <v>0.97916666666666663</v>
      </c>
    </row>
    <row r="661" spans="1:16" x14ac:dyDescent="0.25">
      <c r="A661" t="s">
        <v>418</v>
      </c>
      <c r="B661" s="2">
        <v>43332</v>
      </c>
      <c r="C661" t="str">
        <f>+"Tuáº§n "&amp;WEEKNUM(B661)</f>
        <v>Tuáº§n 34</v>
      </c>
      <c r="D661" t="s">
        <v>16</v>
      </c>
      <c r="E661" t="s">
        <v>17</v>
      </c>
      <c r="F661" s="5">
        <v>31300000</v>
      </c>
      <c r="G661" s="5">
        <v>34300000</v>
      </c>
      <c r="H661" s="5">
        <f>+(M661*26000)/0.829426</f>
        <v>37202595.52992069</v>
      </c>
      <c r="I661" s="5">
        <f>+G661-H661</f>
        <v>-2902595.5299206898</v>
      </c>
      <c r="J661" s="5">
        <v>3000000</v>
      </c>
      <c r="K661" s="5">
        <v>3130000</v>
      </c>
      <c r="L661" s="5">
        <v>3430000</v>
      </c>
      <c r="M661" s="7">
        <v>1186.8</v>
      </c>
      <c r="N661" s="5">
        <v>31800000</v>
      </c>
      <c r="O661" s="5">
        <v>34800000</v>
      </c>
      <c r="P661" s="3">
        <v>0.97916666666666663</v>
      </c>
    </row>
    <row r="662" spans="1:16" x14ac:dyDescent="0.25">
      <c r="A662" t="s">
        <v>419</v>
      </c>
      <c r="B662" s="2">
        <v>43333</v>
      </c>
      <c r="C662" t="str">
        <f>+"Tuáº§n "&amp;WEEKNUM(B662)</f>
        <v>Tuáº§n 34</v>
      </c>
      <c r="D662" t="s">
        <v>18</v>
      </c>
      <c r="E662" t="s">
        <v>17</v>
      </c>
      <c r="F662" s="5">
        <v>31500000</v>
      </c>
      <c r="G662" s="5">
        <v>34500000</v>
      </c>
      <c r="H662" s="5">
        <f>+(M662*26000)/0.829426</f>
        <v>37384408.012288012</v>
      </c>
      <c r="I662" s="5">
        <f>+G662-H662</f>
        <v>-2884408.0122880116</v>
      </c>
      <c r="J662" s="5">
        <v>3000000</v>
      </c>
      <c r="K662" s="5">
        <v>3150000</v>
      </c>
      <c r="L662" s="5">
        <v>3450000</v>
      </c>
      <c r="M662" s="7">
        <v>1192.5999999999999</v>
      </c>
      <c r="N662" s="5">
        <v>32000000</v>
      </c>
      <c r="O662" s="5">
        <v>35000000</v>
      </c>
      <c r="P662" s="3">
        <v>0.97916666666666663</v>
      </c>
    </row>
    <row r="663" spans="1:16" x14ac:dyDescent="0.25">
      <c r="A663" t="s">
        <v>420</v>
      </c>
      <c r="B663" s="2">
        <v>43334</v>
      </c>
      <c r="C663" t="str">
        <f>+"Tuáº§n "&amp;WEEKNUM(B663)</f>
        <v>Tuáº§n 34</v>
      </c>
      <c r="D663" t="s">
        <v>19</v>
      </c>
      <c r="E663" t="s">
        <v>17</v>
      </c>
      <c r="F663" s="5">
        <v>31600000</v>
      </c>
      <c r="G663" s="5">
        <v>34600000</v>
      </c>
      <c r="H663" s="5">
        <f>+(M663*26000)/0.829426</f>
        <v>37500391.837246485</v>
      </c>
      <c r="I663" s="5">
        <f>+G663-H663</f>
        <v>-2900391.8372464851</v>
      </c>
      <c r="J663" s="5">
        <v>3000000</v>
      </c>
      <c r="K663" s="5">
        <v>3160000</v>
      </c>
      <c r="L663" s="5">
        <v>3460000</v>
      </c>
      <c r="M663" s="7">
        <v>1196.3</v>
      </c>
      <c r="N663" s="5">
        <v>32100000</v>
      </c>
      <c r="O663" s="5">
        <v>35100000</v>
      </c>
      <c r="P663" s="3">
        <v>0.97916666666666663</v>
      </c>
    </row>
    <row r="664" spans="1:16" x14ac:dyDescent="0.25">
      <c r="A664" t="s">
        <v>421</v>
      </c>
      <c r="B664" s="2">
        <v>43335</v>
      </c>
      <c r="C664" t="str">
        <f>+"Tuáº§n "&amp;WEEKNUM(B664)</f>
        <v>Tuáº§n 34</v>
      </c>
      <c r="D664" t="s">
        <v>20</v>
      </c>
      <c r="E664" t="s">
        <v>17</v>
      </c>
      <c r="F664" s="5">
        <v>31300000</v>
      </c>
      <c r="G664" s="5">
        <v>34300000</v>
      </c>
      <c r="H664" s="5">
        <f>+(M664*26000)/0.829426</f>
        <v>37208864.925864391</v>
      </c>
      <c r="I664" s="5">
        <f>+G664-H664</f>
        <v>-2908864.925864391</v>
      </c>
      <c r="J664" s="5">
        <v>3000000</v>
      </c>
      <c r="K664" s="5">
        <v>3130000</v>
      </c>
      <c r="L664" s="5">
        <v>3430000</v>
      </c>
      <c r="M664" s="7">
        <v>1187</v>
      </c>
      <c r="N664" s="5">
        <v>31800000</v>
      </c>
      <c r="O664" s="5">
        <v>34800000</v>
      </c>
      <c r="P664" s="3">
        <v>0.97916666666666663</v>
      </c>
    </row>
    <row r="665" spans="1:16" x14ac:dyDescent="0.25">
      <c r="A665" t="s">
        <v>422</v>
      </c>
      <c r="B665" s="2">
        <v>43336</v>
      </c>
      <c r="C665" t="str">
        <f>+"Tuáº§n "&amp;WEEKNUM(B665)</f>
        <v>Tuáº§n 34</v>
      </c>
      <c r="D665" t="s">
        <v>21</v>
      </c>
      <c r="E665" t="s">
        <v>17</v>
      </c>
      <c r="F665" s="5">
        <v>31900000</v>
      </c>
      <c r="G665" s="5">
        <v>34900000</v>
      </c>
      <c r="H665" s="5">
        <f>+(M665*26000)/0.829426</f>
        <v>37813861.634431526</v>
      </c>
      <c r="I665" s="5">
        <f>+G665-H665</f>
        <v>-2913861.6344315261</v>
      </c>
      <c r="J665" s="5">
        <v>3000000</v>
      </c>
      <c r="K665" s="5">
        <v>3190000</v>
      </c>
      <c r="L665" s="5">
        <v>3490000</v>
      </c>
      <c r="M665" s="7">
        <v>1206.3</v>
      </c>
      <c r="N665" s="5">
        <v>32400000</v>
      </c>
      <c r="O665" s="5">
        <v>35400000</v>
      </c>
      <c r="P665" s="3">
        <v>0.97916666666666663</v>
      </c>
    </row>
    <row r="666" spans="1:16" x14ac:dyDescent="0.25">
      <c r="A666" t="s">
        <v>423</v>
      </c>
      <c r="B666" s="2">
        <v>43339</v>
      </c>
      <c r="C666" t="str">
        <f>+"Tuáº§n "&amp;WEEKNUM(B666)</f>
        <v>Tuáº§n 35</v>
      </c>
      <c r="D666" t="s">
        <v>16</v>
      </c>
      <c r="E666" t="s">
        <v>17</v>
      </c>
      <c r="F666" s="5">
        <v>32000000</v>
      </c>
      <c r="G666" s="5">
        <v>35000000</v>
      </c>
      <c r="H666" s="5">
        <f>+(M666*26000)/0.829426</f>
        <v>37898498.479671486</v>
      </c>
      <c r="I666" s="5">
        <f>+G666-H666</f>
        <v>-2898498.4796714857</v>
      </c>
      <c r="J666" s="5">
        <v>3000000</v>
      </c>
      <c r="K666" s="5">
        <v>3200000</v>
      </c>
      <c r="L666" s="5">
        <v>3500000</v>
      </c>
      <c r="M666" s="7">
        <v>1209</v>
      </c>
      <c r="N666" s="5">
        <v>32500000</v>
      </c>
      <c r="O666" s="5">
        <v>35500000</v>
      </c>
      <c r="P666" s="3">
        <v>0.97916666666666663</v>
      </c>
    </row>
    <row r="667" spans="1:16" x14ac:dyDescent="0.25">
      <c r="A667" t="s">
        <v>424</v>
      </c>
      <c r="B667" s="2">
        <v>43340</v>
      </c>
      <c r="C667" t="str">
        <f>+"Tuáº§n "&amp;WEEKNUM(B667)</f>
        <v>Tuáº§n 35</v>
      </c>
      <c r="D667" t="s">
        <v>18</v>
      </c>
      <c r="E667" t="s">
        <v>17</v>
      </c>
      <c r="F667" s="5">
        <v>31900000</v>
      </c>
      <c r="G667" s="5">
        <v>34900000</v>
      </c>
      <c r="H667" s="5">
        <f>+(M667*26000)/0.829426</f>
        <v>37848343.312121883</v>
      </c>
      <c r="I667" s="5">
        <f>+G667-H667</f>
        <v>-2948343.312121883</v>
      </c>
      <c r="J667" s="5">
        <v>3000000</v>
      </c>
      <c r="K667" s="5">
        <v>3190000</v>
      </c>
      <c r="L667" s="5">
        <v>3490000</v>
      </c>
      <c r="M667" s="7">
        <v>1207.4000000000001</v>
      </c>
      <c r="N667" s="5">
        <v>32400000</v>
      </c>
      <c r="O667" s="5">
        <v>35400000</v>
      </c>
      <c r="P667" s="3">
        <v>0.97916666666666663</v>
      </c>
    </row>
    <row r="668" spans="1:16" x14ac:dyDescent="0.25">
      <c r="A668" t="s">
        <v>425</v>
      </c>
      <c r="B668" s="2">
        <v>43341</v>
      </c>
      <c r="C668" t="str">
        <f>+"Tuáº§n "&amp;WEEKNUM(B668)</f>
        <v>Tuáº§n 35</v>
      </c>
      <c r="D668" t="s">
        <v>19</v>
      </c>
      <c r="E668" t="s">
        <v>17</v>
      </c>
      <c r="F668" s="5">
        <v>31800000</v>
      </c>
      <c r="G668" s="5">
        <v>34800000</v>
      </c>
      <c r="H668" s="5">
        <f>+(M668*26000)/0.829426</f>
        <v>37757437.070938215</v>
      </c>
      <c r="I668" s="5">
        <f>+G668-H668</f>
        <v>-2957437.0709382147</v>
      </c>
      <c r="J668" s="5">
        <v>3000000</v>
      </c>
      <c r="K668" s="5">
        <v>3180000</v>
      </c>
      <c r="L668" s="5">
        <v>3480000</v>
      </c>
      <c r="M668" s="7">
        <v>1204.5</v>
      </c>
      <c r="N668" s="5">
        <v>32300000</v>
      </c>
      <c r="O668" s="5">
        <v>35300000</v>
      </c>
      <c r="P668" s="3">
        <v>0.97916666666666663</v>
      </c>
    </row>
    <row r="669" spans="1:16" x14ac:dyDescent="0.25">
      <c r="A669" t="s">
        <v>426</v>
      </c>
      <c r="B669" s="2">
        <v>43342</v>
      </c>
      <c r="C669" t="str">
        <f>+"Tuáº§n "&amp;WEEKNUM(B669)</f>
        <v>Tuáº§n 35</v>
      </c>
      <c r="D669" t="s">
        <v>20</v>
      </c>
      <c r="E669" t="s">
        <v>17</v>
      </c>
      <c r="F669" s="5">
        <v>31600000</v>
      </c>
      <c r="G669" s="5">
        <v>34600000</v>
      </c>
      <c r="H669" s="5">
        <f>+(M669*26000)/0.829426</f>
        <v>37544277.608852386</v>
      </c>
      <c r="I669" s="5">
        <f>+G669-H669</f>
        <v>-2944277.6088523865</v>
      </c>
      <c r="J669" s="5">
        <v>3000000</v>
      </c>
      <c r="K669" s="5">
        <v>3160000</v>
      </c>
      <c r="L669" s="5">
        <v>3460000</v>
      </c>
      <c r="M669" s="7">
        <v>1197.7</v>
      </c>
      <c r="N669" s="5">
        <v>32100000</v>
      </c>
      <c r="O669" s="5">
        <v>35100000</v>
      </c>
      <c r="P669" s="3">
        <v>0.97916666666666663</v>
      </c>
    </row>
    <row r="670" spans="1:16" x14ac:dyDescent="0.25">
      <c r="A670" t="s">
        <v>427</v>
      </c>
      <c r="B670" s="2">
        <v>43343</v>
      </c>
      <c r="C670" t="str">
        <f>+"Tuáº§n "&amp;WEEKNUM(B670)</f>
        <v>Tuáº§n 35</v>
      </c>
      <c r="D670" t="s">
        <v>21</v>
      </c>
      <c r="E670" t="s">
        <v>17</v>
      </c>
      <c r="F670" s="5">
        <v>31700000</v>
      </c>
      <c r="G670" s="5">
        <v>34700000</v>
      </c>
      <c r="H670" s="5">
        <f>+(M670*26000)/0.829426</f>
        <v>37625779.756120495</v>
      </c>
      <c r="I670" s="5">
        <f>+G670-H670</f>
        <v>-2925779.7561204955</v>
      </c>
      <c r="J670" s="5">
        <v>3000000</v>
      </c>
      <c r="K670" s="5">
        <v>3170000</v>
      </c>
      <c r="L670" s="5">
        <v>3470000</v>
      </c>
      <c r="M670" s="7">
        <v>1200.3</v>
      </c>
      <c r="N670" s="5">
        <v>32200000</v>
      </c>
      <c r="O670" s="5">
        <v>35200000</v>
      </c>
      <c r="P670" s="3">
        <v>0.97916666666666663</v>
      </c>
    </row>
    <row r="671" spans="1:16" x14ac:dyDescent="0.25">
      <c r="A671" s="2">
        <v>43199</v>
      </c>
      <c r="B671" s="2">
        <v>43347</v>
      </c>
      <c r="C671" t="str">
        <f>+"Tuáº§n "&amp;WEEKNUM(B671)</f>
        <v>Tuáº§n 36</v>
      </c>
      <c r="D671" t="s">
        <v>18</v>
      </c>
      <c r="E671" t="s">
        <v>17</v>
      </c>
      <c r="F671" s="5">
        <v>31500000</v>
      </c>
      <c r="G671" s="5">
        <v>34500000</v>
      </c>
      <c r="H671" s="5">
        <f>+(M671*26000)/0.829426</f>
        <v>37387542.71025987</v>
      </c>
      <c r="I671" s="5">
        <f>+G671-H671</f>
        <v>-2887542.7102598697</v>
      </c>
      <c r="J671" s="5">
        <v>3000000</v>
      </c>
      <c r="K671" s="5">
        <v>3150000</v>
      </c>
      <c r="L671" s="5">
        <v>3450000</v>
      </c>
      <c r="M671" s="7">
        <v>1192.7</v>
      </c>
      <c r="N671" s="5">
        <v>32000000</v>
      </c>
      <c r="O671" s="5">
        <v>35000000</v>
      </c>
      <c r="P671" s="3">
        <v>0.97916666666666663</v>
      </c>
    </row>
    <row r="672" spans="1:16" x14ac:dyDescent="0.25">
      <c r="A672" s="2">
        <v>43229</v>
      </c>
      <c r="B672" s="2">
        <v>43348</v>
      </c>
      <c r="C672" t="str">
        <f>+"Tuáº§n "&amp;WEEKNUM(B672)</f>
        <v>Tuáº§n 36</v>
      </c>
      <c r="D672" t="s">
        <v>19</v>
      </c>
      <c r="E672" t="s">
        <v>17</v>
      </c>
      <c r="F672" s="5">
        <v>31600000</v>
      </c>
      <c r="G672" s="5">
        <v>34600000</v>
      </c>
      <c r="H672" s="5">
        <f>+(M672*26000)/0.829426</f>
        <v>37456506.065640584</v>
      </c>
      <c r="I672" s="5">
        <f>+G672-H672</f>
        <v>-2856506.0656405836</v>
      </c>
      <c r="J672" s="5">
        <v>3000000</v>
      </c>
      <c r="K672" s="5">
        <v>3160000</v>
      </c>
      <c r="L672" s="5">
        <v>3460000</v>
      </c>
      <c r="M672" s="7">
        <v>1194.9000000000001</v>
      </c>
      <c r="N672" s="5">
        <v>32100000</v>
      </c>
      <c r="O672" s="5">
        <v>35100000</v>
      </c>
      <c r="P672" s="3">
        <v>0.97916666666666663</v>
      </c>
    </row>
    <row r="673" spans="1:16" x14ac:dyDescent="0.25">
      <c r="A673" s="2">
        <v>43260</v>
      </c>
      <c r="B673" s="2">
        <v>43349</v>
      </c>
      <c r="C673" t="str">
        <f>+"Tuáº§n "&amp;WEEKNUM(B673)</f>
        <v>Tuáº§n 36</v>
      </c>
      <c r="D673" t="s">
        <v>20</v>
      </c>
      <c r="E673" t="s">
        <v>17</v>
      </c>
      <c r="F673" s="5">
        <v>31700000</v>
      </c>
      <c r="G673" s="5">
        <v>34700000</v>
      </c>
      <c r="H673" s="5">
        <f>+(M673*26000)/0.829426</f>
        <v>37550547.004796095</v>
      </c>
      <c r="I673" s="5">
        <f>+G673-H673</f>
        <v>-2850547.0047960952</v>
      </c>
      <c r="J673" s="5">
        <v>3000000</v>
      </c>
      <c r="K673" s="5">
        <v>3170000</v>
      </c>
      <c r="L673" s="5">
        <v>3470000</v>
      </c>
      <c r="M673" s="7">
        <v>1197.9000000000001</v>
      </c>
      <c r="N673" s="5">
        <v>32200000</v>
      </c>
      <c r="O673" s="5">
        <v>35200000</v>
      </c>
      <c r="P673" s="3">
        <v>0.97916666666666663</v>
      </c>
    </row>
    <row r="674" spans="1:16" x14ac:dyDescent="0.25">
      <c r="A674" s="2">
        <v>43290</v>
      </c>
      <c r="B674" s="2">
        <v>43350</v>
      </c>
      <c r="C674" t="str">
        <f>+"Tuáº§n "&amp;WEEKNUM(B674)</f>
        <v>Tuáº§n 36</v>
      </c>
      <c r="D674" t="s">
        <v>21</v>
      </c>
      <c r="E674" t="s">
        <v>17</v>
      </c>
      <c r="F674" s="5">
        <v>31500000</v>
      </c>
      <c r="G674" s="5">
        <v>34500000</v>
      </c>
      <c r="H674" s="5">
        <f>+(M674*26000)/0.829426</f>
        <v>37415754.992006518</v>
      </c>
      <c r="I674" s="5">
        <f>+G674-H674</f>
        <v>-2915754.9920065179</v>
      </c>
      <c r="J674" s="5">
        <v>3000000</v>
      </c>
      <c r="K674" s="5">
        <v>3150000</v>
      </c>
      <c r="L674" s="5">
        <v>3450000</v>
      </c>
      <c r="M674" s="7">
        <v>1193.5999999999999</v>
      </c>
      <c r="N674" s="5">
        <v>32000000</v>
      </c>
      <c r="O674" s="5">
        <v>35000000</v>
      </c>
      <c r="P674" s="3">
        <v>0.97916666666666663</v>
      </c>
    </row>
    <row r="675" spans="1:16" x14ac:dyDescent="0.25">
      <c r="A675" s="2">
        <v>43382</v>
      </c>
      <c r="B675" s="2">
        <v>43353</v>
      </c>
      <c r="C675" t="str">
        <f>+"Tuáº§n "&amp;WEEKNUM(B675)</f>
        <v>Tuáº§n 37</v>
      </c>
      <c r="D675" t="s">
        <v>16</v>
      </c>
      <c r="E675" t="s">
        <v>17</v>
      </c>
      <c r="F675" s="5">
        <v>31500000</v>
      </c>
      <c r="G675" s="5">
        <v>34500000</v>
      </c>
      <c r="H675" s="5">
        <f>+(M675*26000)/0.829426</f>
        <v>37396946.804175414</v>
      </c>
      <c r="I675" s="5">
        <f>+G675-H675</f>
        <v>-2896946.8041754141</v>
      </c>
      <c r="J675" s="5">
        <v>3000000</v>
      </c>
      <c r="K675" s="5">
        <v>3150000</v>
      </c>
      <c r="L675" s="5">
        <v>3450000</v>
      </c>
      <c r="M675" s="7">
        <v>1193</v>
      </c>
      <c r="N675" s="5">
        <v>32000000</v>
      </c>
      <c r="O675" s="5">
        <v>35000000</v>
      </c>
      <c r="P675" s="3">
        <v>0.97916666666666663</v>
      </c>
    </row>
    <row r="676" spans="1:16" x14ac:dyDescent="0.25">
      <c r="A676" s="2">
        <v>43413</v>
      </c>
      <c r="B676" s="2">
        <v>43354</v>
      </c>
      <c r="C676" t="str">
        <f>+"Tuáº§n "&amp;WEEKNUM(B676)</f>
        <v>Tuáº§n 37</v>
      </c>
      <c r="D676" t="s">
        <v>18</v>
      </c>
      <c r="E676" t="s">
        <v>17</v>
      </c>
      <c r="F676" s="5">
        <v>31600000</v>
      </c>
      <c r="G676" s="5">
        <v>34600000</v>
      </c>
      <c r="H676" s="5">
        <f>+(M676*26000)/0.829426</f>
        <v>37472179.555499829</v>
      </c>
      <c r="I676" s="5">
        <f>+G676-H676</f>
        <v>-2872179.5554998294</v>
      </c>
      <c r="J676" s="5">
        <v>3000000</v>
      </c>
      <c r="K676" s="5">
        <v>3160000</v>
      </c>
      <c r="L676" s="5">
        <v>3460000</v>
      </c>
      <c r="M676" s="7">
        <v>1195.4000000000001</v>
      </c>
      <c r="N676" s="5">
        <v>32100000</v>
      </c>
      <c r="O676" s="5">
        <v>35100000</v>
      </c>
      <c r="P676" s="3">
        <v>0.97916666666666663</v>
      </c>
    </row>
    <row r="677" spans="1:16" x14ac:dyDescent="0.25">
      <c r="A677" s="2">
        <v>43443</v>
      </c>
      <c r="B677" s="2">
        <v>43355</v>
      </c>
      <c r="C677" t="str">
        <f>+"Tuáº§n "&amp;WEEKNUM(B677)</f>
        <v>Tuáº§n 37</v>
      </c>
      <c r="D677" t="s">
        <v>19</v>
      </c>
      <c r="E677" t="s">
        <v>17</v>
      </c>
      <c r="F677" s="5">
        <v>31800000</v>
      </c>
      <c r="G677" s="5">
        <v>34800000</v>
      </c>
      <c r="H677" s="5">
        <f>+(M677*26000)/0.829426</f>
        <v>37763706.466881916</v>
      </c>
      <c r="I677" s="5">
        <f>+G677-H677</f>
        <v>-2963706.4668819159</v>
      </c>
      <c r="J677" s="5">
        <v>3000000</v>
      </c>
      <c r="K677" s="5">
        <v>3180000</v>
      </c>
      <c r="L677" s="5">
        <v>3480000</v>
      </c>
      <c r="M677" s="7">
        <v>1204.7</v>
      </c>
      <c r="N677" s="5">
        <v>32300000</v>
      </c>
      <c r="O677" s="5">
        <v>35300000</v>
      </c>
      <c r="P677" s="3">
        <v>0.97916666666666663</v>
      </c>
    </row>
    <row r="678" spans="1:16" x14ac:dyDescent="0.25">
      <c r="A678" t="s">
        <v>428</v>
      </c>
      <c r="B678" s="2">
        <v>43356</v>
      </c>
      <c r="C678" t="str">
        <f>+"Tuáº§n "&amp;WEEKNUM(B678)</f>
        <v>Tuáº§n 37</v>
      </c>
      <c r="D678" t="s">
        <v>20</v>
      </c>
      <c r="E678" t="s">
        <v>17</v>
      </c>
      <c r="F678" s="5">
        <v>31800000</v>
      </c>
      <c r="G678" s="5">
        <v>34800000</v>
      </c>
      <c r="H678" s="5">
        <f>+(M678*26000)/0.829426</f>
        <v>37679069.621641956</v>
      </c>
      <c r="I678" s="5">
        <f>+G678-H678</f>
        <v>-2879069.6216419563</v>
      </c>
      <c r="J678" s="5">
        <v>3000000</v>
      </c>
      <c r="K678" s="5">
        <v>3180000</v>
      </c>
      <c r="L678" s="5">
        <v>3480000</v>
      </c>
      <c r="M678" s="7">
        <v>1202</v>
      </c>
      <c r="N678" s="5">
        <v>32300000</v>
      </c>
      <c r="O678" s="5">
        <v>35300000</v>
      </c>
      <c r="P678" s="3">
        <v>0.97916666666666663</v>
      </c>
    </row>
    <row r="679" spans="1:16" x14ac:dyDescent="0.25">
      <c r="A679" t="s">
        <v>429</v>
      </c>
      <c r="B679" s="2">
        <v>43357</v>
      </c>
      <c r="C679" t="str">
        <f>+"Tuáº§n "&amp;WEEKNUM(B679)</f>
        <v>Tuáº§n 37</v>
      </c>
      <c r="D679" t="s">
        <v>21</v>
      </c>
      <c r="E679" t="s">
        <v>17</v>
      </c>
      <c r="F679" s="5">
        <v>31600000</v>
      </c>
      <c r="G679" s="5">
        <v>34600000</v>
      </c>
      <c r="H679" s="5">
        <f>+(M679*26000)/0.829426</f>
        <v>37459640.763612427</v>
      </c>
      <c r="I679" s="5">
        <f>+G679-H679</f>
        <v>-2859640.7636124268</v>
      </c>
      <c r="J679" s="5">
        <v>3000000</v>
      </c>
      <c r="K679" s="5">
        <v>3160000</v>
      </c>
      <c r="L679" s="5">
        <v>3460000</v>
      </c>
      <c r="M679" s="7">
        <v>1195</v>
      </c>
      <c r="N679" s="5">
        <v>32100000</v>
      </c>
      <c r="O679" s="5">
        <v>35100000</v>
      </c>
      <c r="P679" s="3">
        <v>0.97916666666666663</v>
      </c>
    </row>
    <row r="680" spans="1:16" x14ac:dyDescent="0.25">
      <c r="A680" t="s">
        <v>430</v>
      </c>
      <c r="B680" s="2">
        <v>43360</v>
      </c>
      <c r="C680" t="str">
        <f>+"Tuáº§n "&amp;WEEKNUM(B680)</f>
        <v>Tuáº§n 38</v>
      </c>
      <c r="D680" t="s">
        <v>16</v>
      </c>
      <c r="E680" t="s">
        <v>17</v>
      </c>
      <c r="F680" s="5">
        <v>31700000</v>
      </c>
      <c r="G680" s="5">
        <v>34700000</v>
      </c>
      <c r="H680" s="5">
        <f>+(M680*26000)/0.829426</f>
        <v>37606971.568289399</v>
      </c>
      <c r="I680" s="5">
        <f>+G680-H680</f>
        <v>-2906971.5682893991</v>
      </c>
      <c r="J680" s="5">
        <v>3000000</v>
      </c>
      <c r="K680" s="5">
        <v>3170000</v>
      </c>
      <c r="L680" s="5">
        <v>3470000</v>
      </c>
      <c r="M680" s="7">
        <v>1199.7</v>
      </c>
      <c r="N680" s="5">
        <v>32200000</v>
      </c>
      <c r="O680" s="5">
        <v>35200000</v>
      </c>
      <c r="P680" s="3">
        <v>0.97916666666666663</v>
      </c>
    </row>
    <row r="681" spans="1:16" x14ac:dyDescent="0.25">
      <c r="A681" t="s">
        <v>431</v>
      </c>
      <c r="B681" s="2">
        <v>43361</v>
      </c>
      <c r="C681" t="str">
        <f>+"Tuáº§n "&amp;WEEKNUM(B681)</f>
        <v>Tuáº§n 38</v>
      </c>
      <c r="D681" t="s">
        <v>18</v>
      </c>
      <c r="E681" t="s">
        <v>17</v>
      </c>
      <c r="F681" s="5">
        <v>31600000</v>
      </c>
      <c r="G681" s="5">
        <v>34600000</v>
      </c>
      <c r="H681" s="5">
        <f>+(M681*26000)/0.829426</f>
        <v>37516065.327105731</v>
      </c>
      <c r="I681" s="5">
        <f>+G681-H681</f>
        <v>-2916065.3271057308</v>
      </c>
      <c r="J681" s="5">
        <v>3000000</v>
      </c>
      <c r="K681" s="5">
        <v>3160000</v>
      </c>
      <c r="L681" s="5">
        <v>3460000</v>
      </c>
      <c r="M681" s="7">
        <v>1196.8</v>
      </c>
      <c r="N681" s="5">
        <v>32100000</v>
      </c>
      <c r="O681" s="5">
        <v>35100000</v>
      </c>
      <c r="P681" s="3">
        <v>0.97916666666666663</v>
      </c>
    </row>
    <row r="682" spans="1:16" x14ac:dyDescent="0.25">
      <c r="A682" t="s">
        <v>432</v>
      </c>
      <c r="B682" s="2">
        <v>43362</v>
      </c>
      <c r="C682" t="str">
        <f>+"Tuáº§n "&amp;WEEKNUM(B682)</f>
        <v>Tuáº§n 38</v>
      </c>
      <c r="D682" t="s">
        <v>19</v>
      </c>
      <c r="E682" t="s">
        <v>17</v>
      </c>
      <c r="F682" s="5">
        <v>31800000</v>
      </c>
      <c r="G682" s="5">
        <v>34800000</v>
      </c>
      <c r="H682" s="5">
        <f>+(M682*26000)/0.829426</f>
        <v>37685339.017585658</v>
      </c>
      <c r="I682" s="5">
        <f>+G682-H682</f>
        <v>-2885339.0175856575</v>
      </c>
      <c r="J682" s="5">
        <v>3000000</v>
      </c>
      <c r="K682" s="5">
        <v>3180000</v>
      </c>
      <c r="L682" s="5">
        <v>3480000</v>
      </c>
      <c r="M682" s="7">
        <v>1202.2</v>
      </c>
      <c r="N682" s="5">
        <v>32300000</v>
      </c>
      <c r="O682" s="5">
        <v>35300000</v>
      </c>
      <c r="P682" s="3">
        <v>0.97916666666666663</v>
      </c>
    </row>
    <row r="683" spans="1:16" x14ac:dyDescent="0.25">
      <c r="A683" t="s">
        <v>433</v>
      </c>
      <c r="B683" s="2">
        <v>43363</v>
      </c>
      <c r="C683" t="str">
        <f>+"Tuáº§n "&amp;WEEKNUM(B683)</f>
        <v>Tuáº§n 38</v>
      </c>
      <c r="D683" t="s">
        <v>20</v>
      </c>
      <c r="E683" t="s">
        <v>17</v>
      </c>
      <c r="F683" s="5">
        <v>31900000</v>
      </c>
      <c r="G683" s="5">
        <v>34900000</v>
      </c>
      <c r="H683" s="5">
        <f>+(M683*26000)/0.829426</f>
        <v>37810726.936459675</v>
      </c>
      <c r="I683" s="5">
        <f>+G683-H683</f>
        <v>-2910726.9364596754</v>
      </c>
      <c r="J683" s="5">
        <v>3000000</v>
      </c>
      <c r="K683" s="5">
        <v>3190000</v>
      </c>
      <c r="L683" s="5">
        <v>3490000</v>
      </c>
      <c r="M683" s="7">
        <v>1206.2</v>
      </c>
      <c r="N683" s="5">
        <v>32400000</v>
      </c>
      <c r="O683" s="5">
        <v>35400000</v>
      </c>
      <c r="P683" s="3">
        <v>0.97916666666666663</v>
      </c>
    </row>
    <row r="684" spans="1:16" x14ac:dyDescent="0.25">
      <c r="A684" t="s">
        <v>434</v>
      </c>
      <c r="B684" s="2">
        <v>43364</v>
      </c>
      <c r="C684" t="str">
        <f>+"Tuáº§n "&amp;WEEKNUM(B684)</f>
        <v>Tuáº§n 38</v>
      </c>
      <c r="D684" t="s">
        <v>21</v>
      </c>
      <c r="E684" t="s">
        <v>17</v>
      </c>
      <c r="F684" s="5">
        <v>31600000</v>
      </c>
      <c r="G684" s="5">
        <v>34600000</v>
      </c>
      <c r="H684" s="5">
        <f>+(M684*26000)/0.829426</f>
        <v>37497257.139274634</v>
      </c>
      <c r="I684" s="5">
        <f>+G684-H684</f>
        <v>-2897257.1392746344</v>
      </c>
      <c r="J684" s="5">
        <v>3000000</v>
      </c>
      <c r="K684" s="5">
        <v>3160000</v>
      </c>
      <c r="L684" s="5">
        <v>3460000</v>
      </c>
      <c r="M684" s="7">
        <v>1196.2</v>
      </c>
      <c r="N684" s="5">
        <v>32100000</v>
      </c>
      <c r="O684" s="5">
        <v>35100000</v>
      </c>
      <c r="P684" s="3">
        <v>0.97916666666666663</v>
      </c>
    </row>
    <row r="685" spans="1:16" x14ac:dyDescent="0.25">
      <c r="A685" t="s">
        <v>435</v>
      </c>
      <c r="B685" s="2">
        <v>43367</v>
      </c>
      <c r="C685" t="str">
        <f>+"Tuáº§n "&amp;WEEKNUM(B685)</f>
        <v>Tuáº§n 39</v>
      </c>
      <c r="D685" t="s">
        <v>16</v>
      </c>
      <c r="E685" t="s">
        <v>17</v>
      </c>
      <c r="F685" s="5">
        <v>31700000</v>
      </c>
      <c r="G685" s="5">
        <v>34700000</v>
      </c>
      <c r="H685" s="5">
        <f>+(M685*26000)/0.829426</f>
        <v>37594432.776401997</v>
      </c>
      <c r="I685" s="5">
        <f>+G685-H685</f>
        <v>-2894432.7764019966</v>
      </c>
      <c r="J685" s="5">
        <v>3000000</v>
      </c>
      <c r="K685" s="5">
        <v>3170000</v>
      </c>
      <c r="L685" s="5">
        <v>3470000</v>
      </c>
      <c r="M685" s="7">
        <v>1199.3</v>
      </c>
      <c r="N685" s="5">
        <v>32200000</v>
      </c>
      <c r="O685" s="5">
        <v>35200000</v>
      </c>
      <c r="P685" s="3">
        <v>0.97916666666666663</v>
      </c>
    </row>
    <row r="686" spans="1:16" x14ac:dyDescent="0.25">
      <c r="A686" t="s">
        <v>436</v>
      </c>
      <c r="B686" s="2">
        <v>43368</v>
      </c>
      <c r="C686" t="str">
        <f>+"Tuáº§n "&amp;WEEKNUM(B686)</f>
        <v>Tuáº§n 39</v>
      </c>
      <c r="D686" t="s">
        <v>18</v>
      </c>
      <c r="E686" t="s">
        <v>17</v>
      </c>
      <c r="F686" s="5">
        <v>31700000</v>
      </c>
      <c r="G686" s="5">
        <v>34700000</v>
      </c>
      <c r="H686" s="5">
        <f>+(M686*26000)/0.829426</f>
        <v>37616375.662204944</v>
      </c>
      <c r="I686" s="5">
        <f>+G686-H686</f>
        <v>-2916375.6622049436</v>
      </c>
      <c r="J686" s="5">
        <v>3000000</v>
      </c>
      <c r="K686" s="5">
        <v>3170000</v>
      </c>
      <c r="L686" s="5">
        <v>3470000</v>
      </c>
      <c r="M686" s="7">
        <v>1200</v>
      </c>
      <c r="N686" s="5">
        <v>32200000</v>
      </c>
      <c r="O686" s="5">
        <v>35200000</v>
      </c>
      <c r="P686" s="3">
        <v>0.97916666666666663</v>
      </c>
    </row>
    <row r="687" spans="1:16" x14ac:dyDescent="0.25">
      <c r="A687" t="s">
        <v>437</v>
      </c>
      <c r="B687" s="2">
        <v>43369</v>
      </c>
      <c r="C687" t="str">
        <f>+"Tuáº§n "&amp;WEEKNUM(B687)</f>
        <v>Tuáº§n 39</v>
      </c>
      <c r="D687" t="s">
        <v>19</v>
      </c>
      <c r="E687" t="s">
        <v>17</v>
      </c>
      <c r="F687" s="5">
        <v>31500000</v>
      </c>
      <c r="G687" s="5">
        <v>34500000</v>
      </c>
      <c r="H687" s="5">
        <f>+(M687*26000)/0.829426</f>
        <v>37428293.78389392</v>
      </c>
      <c r="I687" s="5">
        <f>+G687-H687</f>
        <v>-2928293.7838939205</v>
      </c>
      <c r="J687" s="5">
        <v>3000000</v>
      </c>
      <c r="K687" s="5">
        <v>3150000</v>
      </c>
      <c r="L687" s="5">
        <v>3450000</v>
      </c>
      <c r="M687" s="7">
        <v>1194</v>
      </c>
      <c r="N687" s="5">
        <v>32000000</v>
      </c>
      <c r="O687" s="5">
        <v>35000000</v>
      </c>
      <c r="P687" s="3">
        <v>0.97916666666666663</v>
      </c>
    </row>
    <row r="688" spans="1:16" x14ac:dyDescent="0.25">
      <c r="A688" t="s">
        <v>438</v>
      </c>
      <c r="B688" s="2">
        <v>43370</v>
      </c>
      <c r="C688" t="str">
        <f>+"Tuáº§n "&amp;WEEKNUM(B688)</f>
        <v>Tuáº§n 39</v>
      </c>
      <c r="D688" t="s">
        <v>20</v>
      </c>
      <c r="E688" t="s">
        <v>17</v>
      </c>
      <c r="F688" s="5">
        <v>31200000</v>
      </c>
      <c r="G688" s="5">
        <v>34200000</v>
      </c>
      <c r="H688" s="5">
        <f>+(M688*26000)/0.829426</f>
        <v>37061534.121187426</v>
      </c>
      <c r="I688" s="5">
        <f>+G688-H688</f>
        <v>-2861534.1211874261</v>
      </c>
      <c r="J688" s="5">
        <v>3000000</v>
      </c>
      <c r="K688" s="5">
        <v>3120000</v>
      </c>
      <c r="L688" s="5">
        <v>3420000</v>
      </c>
      <c r="M688" s="7">
        <v>1182.3</v>
      </c>
      <c r="N688" s="5">
        <v>31700000</v>
      </c>
      <c r="O688" s="5">
        <v>34700000</v>
      </c>
      <c r="P688" s="3">
        <v>0.97916666666666663</v>
      </c>
    </row>
    <row r="689" spans="1:16" x14ac:dyDescent="0.25">
      <c r="A689" t="s">
        <v>439</v>
      </c>
      <c r="B689" s="2">
        <v>43371</v>
      </c>
      <c r="C689" t="str">
        <f>+"Tuáº§n "&amp;WEEKNUM(B689)</f>
        <v>Tuáº§n 39</v>
      </c>
      <c r="D689" t="s">
        <v>21</v>
      </c>
      <c r="E689" t="s">
        <v>17</v>
      </c>
      <c r="F689" s="5">
        <v>31500000</v>
      </c>
      <c r="G689" s="5">
        <v>34500000</v>
      </c>
      <c r="H689" s="5">
        <f>+(M689*26000)/0.829426</f>
        <v>37349926.334597662</v>
      </c>
      <c r="I689" s="5">
        <f>+G689-H689</f>
        <v>-2849926.3345976621</v>
      </c>
      <c r="J689" s="5">
        <v>3000000</v>
      </c>
      <c r="K689" s="5">
        <v>3150000</v>
      </c>
      <c r="L689" s="5">
        <v>3450000</v>
      </c>
      <c r="M689" s="7">
        <v>1191.5</v>
      </c>
      <c r="N689" s="5">
        <v>32000000</v>
      </c>
      <c r="O689" s="5">
        <v>35000000</v>
      </c>
      <c r="P689" s="3">
        <v>0.97916666666666663</v>
      </c>
    </row>
    <row r="690" spans="1:16" x14ac:dyDescent="0.25">
      <c r="A690" s="2">
        <v>43110</v>
      </c>
      <c r="B690" s="2">
        <v>43374</v>
      </c>
      <c r="C690" t="str">
        <f>+"Tuáº§n "&amp;WEEKNUM(B690)</f>
        <v>Tuáº§n 40</v>
      </c>
      <c r="D690" t="s">
        <v>16</v>
      </c>
      <c r="E690" t="s">
        <v>17</v>
      </c>
      <c r="F690" s="5">
        <v>31300000</v>
      </c>
      <c r="G690" s="5">
        <v>34300000</v>
      </c>
      <c r="H690" s="5">
        <f>+(M690*26000)/0.829426</f>
        <v>37211999.623836242</v>
      </c>
      <c r="I690" s="5">
        <f>+G690-H690</f>
        <v>-2911999.6238362417</v>
      </c>
      <c r="J690" s="5">
        <v>3000000</v>
      </c>
      <c r="K690" s="5">
        <v>3130000</v>
      </c>
      <c r="L690" s="5">
        <v>3430000</v>
      </c>
      <c r="M690" s="7">
        <v>1187.0999999999999</v>
      </c>
      <c r="N690" s="5">
        <v>31800000</v>
      </c>
      <c r="O690" s="5">
        <v>34800000</v>
      </c>
      <c r="P690" s="3">
        <v>0.97916666666666663</v>
      </c>
    </row>
    <row r="691" spans="1:16" x14ac:dyDescent="0.25">
      <c r="A691" s="2">
        <v>43141</v>
      </c>
      <c r="B691" s="2">
        <v>43375</v>
      </c>
      <c r="C691" t="str">
        <f>+"Tuáº§n "&amp;WEEKNUM(B691)</f>
        <v>Tuáº§n 40</v>
      </c>
      <c r="D691" t="s">
        <v>18</v>
      </c>
      <c r="E691" t="s">
        <v>17</v>
      </c>
      <c r="F691" s="5">
        <v>31800000</v>
      </c>
      <c r="G691" s="5">
        <v>34800000</v>
      </c>
      <c r="H691" s="5">
        <f>+(M691*26000)/0.829426</f>
        <v>37691608.413529359</v>
      </c>
      <c r="I691" s="5">
        <f>+G691-H691</f>
        <v>-2891608.4135293588</v>
      </c>
      <c r="J691" s="5">
        <v>3000000</v>
      </c>
      <c r="K691" s="5">
        <v>3180000</v>
      </c>
      <c r="L691" s="5">
        <v>3480000</v>
      </c>
      <c r="M691" s="7">
        <v>1202.4000000000001</v>
      </c>
      <c r="N691" s="5">
        <v>32300000</v>
      </c>
      <c r="O691" s="5">
        <v>35300000</v>
      </c>
      <c r="P691" s="3">
        <v>0.97916666666666663</v>
      </c>
    </row>
    <row r="692" spans="1:16" x14ac:dyDescent="0.25">
      <c r="A692" s="2">
        <v>43169</v>
      </c>
      <c r="B692" s="2">
        <v>43376</v>
      </c>
      <c r="C692" t="str">
        <f>+"Tuáº§n "&amp;WEEKNUM(B692)</f>
        <v>Tuáº§n 40</v>
      </c>
      <c r="D692" t="s">
        <v>19</v>
      </c>
      <c r="E692" t="s">
        <v>17</v>
      </c>
      <c r="F692" s="5">
        <v>31700000</v>
      </c>
      <c r="G692" s="5">
        <v>34700000</v>
      </c>
      <c r="H692" s="5">
        <f>+(M692*26000)/0.829426</f>
        <v>37563085.79668349</v>
      </c>
      <c r="I692" s="5">
        <f>+G692-H692</f>
        <v>-2863085.7966834903</v>
      </c>
      <c r="J692" s="5">
        <v>3000000</v>
      </c>
      <c r="K692" s="5">
        <v>3170000</v>
      </c>
      <c r="L692" s="5">
        <v>3470000</v>
      </c>
      <c r="M692" s="7">
        <v>1198.3</v>
      </c>
      <c r="N692" s="5">
        <v>32200000</v>
      </c>
      <c r="O692" s="5">
        <v>35200000</v>
      </c>
      <c r="P692" s="3">
        <v>0.97916666666666663</v>
      </c>
    </row>
    <row r="693" spans="1:16" x14ac:dyDescent="0.25">
      <c r="A693" s="2">
        <v>43200</v>
      </c>
      <c r="B693" s="2">
        <v>43377</v>
      </c>
      <c r="C693" t="str">
        <f>+"Tuáº§n "&amp;WEEKNUM(B693)</f>
        <v>Tuáº§n 40</v>
      </c>
      <c r="D693" t="s">
        <v>20</v>
      </c>
      <c r="E693" t="s">
        <v>17</v>
      </c>
      <c r="F693" s="5">
        <v>31600000</v>
      </c>
      <c r="G693" s="5">
        <v>34600000</v>
      </c>
      <c r="H693" s="5">
        <f>+(M693*26000)/0.829426</f>
        <v>37528604.118993133</v>
      </c>
      <c r="I693" s="5">
        <f>+G693-H693</f>
        <v>-2928604.1189931333</v>
      </c>
      <c r="J693" s="5">
        <v>3000000</v>
      </c>
      <c r="K693" s="5">
        <v>3160000</v>
      </c>
      <c r="L693" s="5">
        <v>3460000</v>
      </c>
      <c r="M693" s="7">
        <v>1197.2</v>
      </c>
      <c r="N693" s="5">
        <v>32100000</v>
      </c>
      <c r="O693" s="5">
        <v>35100000</v>
      </c>
      <c r="P693" s="3">
        <v>0.97916666666666663</v>
      </c>
    </row>
    <row r="694" spans="1:16" x14ac:dyDescent="0.25">
      <c r="A694" s="2">
        <v>43230</v>
      </c>
      <c r="B694" s="2">
        <v>43378</v>
      </c>
      <c r="C694" t="str">
        <f>+"Tuáº§n "&amp;WEEKNUM(B694)</f>
        <v>Tuáº§n 40</v>
      </c>
      <c r="D694" t="s">
        <v>21</v>
      </c>
      <c r="E694" t="s">
        <v>17</v>
      </c>
      <c r="F694" s="5">
        <v>31700000</v>
      </c>
      <c r="G694" s="5">
        <v>34700000</v>
      </c>
      <c r="H694" s="5">
        <f>+(M694*26000)/0.829426</f>
        <v>37653992.037867151</v>
      </c>
      <c r="I694" s="5">
        <f>+G694-H694</f>
        <v>-2953992.0378671512</v>
      </c>
      <c r="J694" s="5">
        <v>3000000</v>
      </c>
      <c r="K694" s="5">
        <v>3170000</v>
      </c>
      <c r="L694" s="5">
        <v>3470000</v>
      </c>
      <c r="M694" s="7">
        <v>1201.2</v>
      </c>
      <c r="N694" s="5">
        <v>32200000</v>
      </c>
      <c r="O694" s="5">
        <v>35200000</v>
      </c>
      <c r="P694" s="3">
        <v>0.97916666666666663</v>
      </c>
    </row>
    <row r="695" spans="1:16" x14ac:dyDescent="0.25">
      <c r="A695" s="2">
        <v>43322</v>
      </c>
      <c r="B695" s="2">
        <v>43381</v>
      </c>
      <c r="C695" t="str">
        <f>+"Tuáº§n "&amp;WEEKNUM(B695)</f>
        <v>Tuáº§n 41</v>
      </c>
      <c r="D695" t="s">
        <v>16</v>
      </c>
      <c r="E695" t="s">
        <v>17</v>
      </c>
      <c r="F695" s="5">
        <v>31300000</v>
      </c>
      <c r="G695" s="5">
        <v>34300000</v>
      </c>
      <c r="H695" s="5">
        <f>+(M695*26000)/0.829426</f>
        <v>37127362.778596289</v>
      </c>
      <c r="I695" s="5">
        <f>+G695-H695</f>
        <v>-2827362.7785962895</v>
      </c>
      <c r="J695" s="5">
        <v>3000000</v>
      </c>
      <c r="K695" s="5">
        <v>3130000</v>
      </c>
      <c r="L695" s="5">
        <v>3430000</v>
      </c>
      <c r="M695" s="7">
        <v>1184.4000000000001</v>
      </c>
      <c r="N695" s="5">
        <v>31800000</v>
      </c>
      <c r="O695" s="5">
        <v>34800000</v>
      </c>
      <c r="P695" s="3">
        <v>0.97916666666666663</v>
      </c>
    </row>
    <row r="696" spans="1:16" x14ac:dyDescent="0.25">
      <c r="A696" s="2">
        <v>43353</v>
      </c>
      <c r="B696" s="2">
        <v>43382</v>
      </c>
      <c r="C696" t="str">
        <f>+"Tuáº§n "&amp;WEEKNUM(B696)</f>
        <v>Tuáº§n 41</v>
      </c>
      <c r="D696" t="s">
        <v>18</v>
      </c>
      <c r="E696" t="s">
        <v>17</v>
      </c>
      <c r="F696" s="5">
        <v>31300000</v>
      </c>
      <c r="G696" s="5">
        <v>34300000</v>
      </c>
      <c r="H696" s="5">
        <f>+(M696*26000)/0.829426</f>
        <v>37215134.321808092</v>
      </c>
      <c r="I696" s="5">
        <f>+G696-H696</f>
        <v>-2915134.3218080923</v>
      </c>
      <c r="J696" s="5">
        <v>3000000</v>
      </c>
      <c r="K696" s="5">
        <v>3130000</v>
      </c>
      <c r="L696" s="5">
        <v>3430000</v>
      </c>
      <c r="M696" s="7">
        <v>1187.2</v>
      </c>
      <c r="N696" s="5">
        <v>31800000</v>
      </c>
      <c r="O696" s="5">
        <v>34800000</v>
      </c>
      <c r="P696" s="3">
        <v>0.97916666666666663</v>
      </c>
    </row>
    <row r="697" spans="1:16" x14ac:dyDescent="0.25">
      <c r="A697" s="2">
        <v>43383</v>
      </c>
      <c r="B697" s="2">
        <v>43383</v>
      </c>
      <c r="C697" t="str">
        <f>+"Tuáº§n "&amp;WEEKNUM(B697)</f>
        <v>Tuáº§n 41</v>
      </c>
      <c r="D697" t="s">
        <v>19</v>
      </c>
      <c r="E697" t="s">
        <v>17</v>
      </c>
      <c r="F697" s="5">
        <v>31400000</v>
      </c>
      <c r="G697" s="5">
        <v>34400000</v>
      </c>
      <c r="H697" s="5">
        <f>+(M697*26000)/0.829426</f>
        <v>37280962.979216956</v>
      </c>
      <c r="I697" s="5">
        <f>+G697-H697</f>
        <v>-2880962.9792169556</v>
      </c>
      <c r="J697" s="5">
        <v>3000000</v>
      </c>
      <c r="K697" s="5">
        <v>3140000</v>
      </c>
      <c r="L697" s="5">
        <v>3440000</v>
      </c>
      <c r="M697" s="7">
        <v>1189.3</v>
      </c>
      <c r="N697" s="5">
        <v>31900000</v>
      </c>
      <c r="O697" s="5">
        <v>34900000</v>
      </c>
      <c r="P697" s="3">
        <v>0.97916666666666663</v>
      </c>
    </row>
    <row r="698" spans="1:16" x14ac:dyDescent="0.25">
      <c r="A698" s="2">
        <v>43414</v>
      </c>
      <c r="B698" s="2">
        <v>43384</v>
      </c>
      <c r="C698" t="str">
        <f>+"Tuáº§n "&amp;WEEKNUM(B698)</f>
        <v>Tuáº§n 41</v>
      </c>
      <c r="D698" t="s">
        <v>20</v>
      </c>
      <c r="E698" t="s">
        <v>17</v>
      </c>
      <c r="F698" s="5">
        <v>32400000</v>
      </c>
      <c r="G698" s="5">
        <v>35400000</v>
      </c>
      <c r="H698" s="5">
        <f>+(M698*26000)/0.829426</f>
        <v>38353029.68558979</v>
      </c>
      <c r="I698" s="5">
        <f>+G698-H698</f>
        <v>-2953029.6855897903</v>
      </c>
      <c r="J698" s="5">
        <v>3000000</v>
      </c>
      <c r="K698" s="5">
        <v>3240000</v>
      </c>
      <c r="L698" s="5">
        <v>3540000</v>
      </c>
      <c r="M698" s="7">
        <v>1223.5</v>
      </c>
      <c r="N698" s="5">
        <v>32900000</v>
      </c>
      <c r="O698" s="5">
        <v>35900000</v>
      </c>
      <c r="P698" s="3">
        <v>0.97916666666666663</v>
      </c>
    </row>
    <row r="699" spans="1:16" x14ac:dyDescent="0.25">
      <c r="A699" s="2">
        <v>43444</v>
      </c>
      <c r="B699" s="2">
        <v>43385</v>
      </c>
      <c r="C699" t="str">
        <f>+"Tuáº§n "&amp;WEEKNUM(B699)</f>
        <v>Tuáº§n 41</v>
      </c>
      <c r="D699" t="s">
        <v>21</v>
      </c>
      <c r="E699" t="s">
        <v>17</v>
      </c>
      <c r="F699" s="5">
        <v>32200000</v>
      </c>
      <c r="G699" s="5">
        <v>35200000</v>
      </c>
      <c r="H699" s="5">
        <f>+(M699*26000)/0.829426</f>
        <v>38183755.995109864</v>
      </c>
      <c r="I699" s="5">
        <f>+G699-H699</f>
        <v>-2983755.9951098636</v>
      </c>
      <c r="J699" s="5">
        <v>3000000</v>
      </c>
      <c r="K699" s="5">
        <v>3220000</v>
      </c>
      <c r="L699" s="5">
        <v>3520000</v>
      </c>
      <c r="M699" s="7">
        <v>1218.0999999999999</v>
      </c>
      <c r="N699" s="5">
        <v>32700000</v>
      </c>
      <c r="O699" s="5">
        <v>35700000</v>
      </c>
      <c r="P699" s="3">
        <v>0.97916666666666663</v>
      </c>
    </row>
    <row r="700" spans="1:16" x14ac:dyDescent="0.25">
      <c r="A700" t="s">
        <v>440</v>
      </c>
      <c r="B700" s="2">
        <v>43388</v>
      </c>
      <c r="C700" t="str">
        <f>+"Tuáº§n "&amp;WEEKNUM(B700)</f>
        <v>Tuáº§n 42</v>
      </c>
      <c r="D700" t="s">
        <v>16</v>
      </c>
      <c r="E700" t="s">
        <v>17</v>
      </c>
      <c r="F700" s="5">
        <v>32500000</v>
      </c>
      <c r="G700" s="5">
        <v>35500000</v>
      </c>
      <c r="H700" s="5">
        <f>+(M700*26000)/0.829426</f>
        <v>38443935.926773459</v>
      </c>
      <c r="I700" s="5">
        <f>+G700-H700</f>
        <v>-2943935.9267734587</v>
      </c>
      <c r="J700" s="5">
        <v>3000000</v>
      </c>
      <c r="K700" s="5">
        <v>3250000</v>
      </c>
      <c r="L700" s="5">
        <v>3550000</v>
      </c>
      <c r="M700" s="7">
        <v>1226.4000000000001</v>
      </c>
      <c r="N700" s="5">
        <v>33000000</v>
      </c>
      <c r="O700" s="5">
        <v>36000000</v>
      </c>
      <c r="P700" s="3">
        <v>0.97916666666666663</v>
      </c>
    </row>
    <row r="701" spans="1:16" x14ac:dyDescent="0.25">
      <c r="A701" t="s">
        <v>441</v>
      </c>
      <c r="B701" s="2">
        <v>43389</v>
      </c>
      <c r="C701" t="str">
        <f>+"Tuáº§n "&amp;WEEKNUM(B701)</f>
        <v>Tuáº§n 42</v>
      </c>
      <c r="D701" t="s">
        <v>18</v>
      </c>
      <c r="E701" t="s">
        <v>17</v>
      </c>
      <c r="F701" s="5">
        <v>32500000</v>
      </c>
      <c r="G701" s="5">
        <v>35500000</v>
      </c>
      <c r="H701" s="5">
        <f>+(M701*26000)/0.829426</f>
        <v>38472148.208520107</v>
      </c>
      <c r="I701" s="5">
        <f>+G701-H701</f>
        <v>-2972148.208520107</v>
      </c>
      <c r="J701" s="5">
        <v>3000000</v>
      </c>
      <c r="K701" s="5">
        <v>3250000</v>
      </c>
      <c r="L701" s="5">
        <v>3550000</v>
      </c>
      <c r="M701" s="7">
        <v>1227.3</v>
      </c>
      <c r="N701" s="5">
        <v>33000000</v>
      </c>
      <c r="O701" s="5">
        <v>36000000</v>
      </c>
      <c r="P701" s="3">
        <v>0.97916666666666663</v>
      </c>
    </row>
    <row r="702" spans="1:16" x14ac:dyDescent="0.25">
      <c r="A702" t="s">
        <v>442</v>
      </c>
      <c r="B702" s="2">
        <v>43390</v>
      </c>
      <c r="C702" t="str">
        <f>+"Tuáº§n "&amp;WEEKNUM(B702)</f>
        <v>Tuáº§n 42</v>
      </c>
      <c r="D702" t="s">
        <v>19</v>
      </c>
      <c r="E702" t="s">
        <v>17</v>
      </c>
      <c r="F702" s="5">
        <v>32400000</v>
      </c>
      <c r="G702" s="5">
        <v>35400000</v>
      </c>
      <c r="H702" s="5">
        <f>+(M702*26000)/0.829426</f>
        <v>38359299.081533492</v>
      </c>
      <c r="I702" s="5">
        <f>+G702-H702</f>
        <v>-2959299.0815334916</v>
      </c>
      <c r="J702" s="5">
        <v>3000000</v>
      </c>
      <c r="K702" s="5">
        <v>3240000</v>
      </c>
      <c r="L702" s="5">
        <v>3540000</v>
      </c>
      <c r="M702" s="7">
        <v>1223.7</v>
      </c>
      <c r="N702" s="5">
        <v>32900000</v>
      </c>
      <c r="O702" s="5">
        <v>35900000</v>
      </c>
      <c r="P702" s="3">
        <v>0.97916666666666663</v>
      </c>
    </row>
    <row r="703" spans="1:16" x14ac:dyDescent="0.25">
      <c r="A703" t="s">
        <v>443</v>
      </c>
      <c r="B703" s="2">
        <v>43391</v>
      </c>
      <c r="C703" t="str">
        <f>+"Tuáº§n "&amp;WEEKNUM(B703)</f>
        <v>Tuáº§n 42</v>
      </c>
      <c r="D703" t="s">
        <v>20</v>
      </c>
      <c r="E703" t="s">
        <v>17</v>
      </c>
      <c r="F703" s="5">
        <v>32500000</v>
      </c>
      <c r="G703" s="5">
        <v>35500000</v>
      </c>
      <c r="H703" s="5">
        <f>+(M703*26000)/0.829426</f>
        <v>38447070.624745309</v>
      </c>
      <c r="I703" s="5">
        <f>+G703-H703</f>
        <v>-2947070.6247453094</v>
      </c>
      <c r="J703" s="5">
        <v>3000000</v>
      </c>
      <c r="K703" s="5">
        <v>3250000</v>
      </c>
      <c r="L703" s="5">
        <v>3550000</v>
      </c>
      <c r="M703" s="7">
        <v>1226.5</v>
      </c>
      <c r="N703" s="5">
        <v>33000000</v>
      </c>
      <c r="O703" s="5">
        <v>36000000</v>
      </c>
      <c r="P703" s="3">
        <v>0.97916666666666663</v>
      </c>
    </row>
    <row r="704" spans="1:16" x14ac:dyDescent="0.25">
      <c r="A704" t="s">
        <v>444</v>
      </c>
      <c r="B704" s="2">
        <v>43392</v>
      </c>
      <c r="C704" t="str">
        <f>+"Tuáº§n "&amp;WEEKNUM(B704)</f>
        <v>Tuáº§n 42</v>
      </c>
      <c r="D704" t="s">
        <v>21</v>
      </c>
      <c r="E704" t="s">
        <v>17</v>
      </c>
      <c r="F704" s="5">
        <v>32400000</v>
      </c>
      <c r="G704" s="5">
        <v>35400000</v>
      </c>
      <c r="H704" s="5">
        <f>+(M704*26000)/0.829426</f>
        <v>38409454.249083102</v>
      </c>
      <c r="I704" s="5">
        <f>+G704-H704</f>
        <v>-3009454.2490831017</v>
      </c>
      <c r="J704" s="5">
        <v>3000000</v>
      </c>
      <c r="K704" s="5">
        <v>3240000</v>
      </c>
      <c r="L704" s="5">
        <v>3540000</v>
      </c>
      <c r="M704" s="7">
        <v>1225.3</v>
      </c>
      <c r="N704" s="5">
        <v>32900000</v>
      </c>
      <c r="O704" s="5">
        <v>35900000</v>
      </c>
      <c r="P704" s="3">
        <v>0.97916666666666663</v>
      </c>
    </row>
    <row r="705" spans="1:16" x14ac:dyDescent="0.25">
      <c r="A705" t="s">
        <v>445</v>
      </c>
      <c r="B705" s="2">
        <v>43395</v>
      </c>
      <c r="C705" t="str">
        <f>+"Tuáº§n "&amp;WEEKNUM(B705)</f>
        <v>Tuáº§n 43</v>
      </c>
      <c r="D705" t="s">
        <v>16</v>
      </c>
      <c r="E705" t="s">
        <v>17</v>
      </c>
      <c r="F705" s="5">
        <v>32300000</v>
      </c>
      <c r="G705" s="5">
        <v>35300000</v>
      </c>
      <c r="H705" s="5">
        <f>+(M705*26000)/0.829426</f>
        <v>38280931.632237233</v>
      </c>
      <c r="I705" s="5">
        <f>+G705-H705</f>
        <v>-2980931.6322372332</v>
      </c>
      <c r="J705" s="5">
        <v>3000000</v>
      </c>
      <c r="K705" s="5">
        <v>3230000</v>
      </c>
      <c r="L705" s="5">
        <v>3530000</v>
      </c>
      <c r="M705" s="7">
        <v>1221.2</v>
      </c>
      <c r="N705" s="5">
        <v>32800000</v>
      </c>
      <c r="O705" s="5">
        <v>35800000</v>
      </c>
      <c r="P705" s="3">
        <v>0.97916666666666663</v>
      </c>
    </row>
    <row r="706" spans="1:16" x14ac:dyDescent="0.25">
      <c r="A706" t="s">
        <v>446</v>
      </c>
      <c r="B706" s="2">
        <v>43396</v>
      </c>
      <c r="C706" t="str">
        <f>+"Tuáº§n "&amp;WEEKNUM(B706)</f>
        <v>Tuáº§n 43</v>
      </c>
      <c r="D706" t="s">
        <v>18</v>
      </c>
      <c r="E706" t="s">
        <v>17</v>
      </c>
      <c r="F706" s="5">
        <v>32700000</v>
      </c>
      <c r="G706" s="5">
        <v>35700000</v>
      </c>
      <c r="H706" s="5">
        <f>+(M706*26000)/0.829426</f>
        <v>38663364.784802988</v>
      </c>
      <c r="I706" s="5">
        <f>+G706-H706</f>
        <v>-2963364.7848029882</v>
      </c>
      <c r="J706" s="5">
        <v>3000000</v>
      </c>
      <c r="K706" s="5">
        <v>3270000</v>
      </c>
      <c r="L706" s="5">
        <v>3570000</v>
      </c>
      <c r="M706" s="7">
        <v>1233.4000000000001</v>
      </c>
      <c r="N706" s="5">
        <v>33200000</v>
      </c>
      <c r="O706" s="5">
        <v>36200000</v>
      </c>
      <c r="P706" s="3">
        <v>0.97916666666666663</v>
      </c>
    </row>
    <row r="707" spans="1:16" x14ac:dyDescent="0.25">
      <c r="A707" t="s">
        <v>447</v>
      </c>
      <c r="B707" s="2">
        <v>43397</v>
      </c>
      <c r="C707" t="str">
        <f>+"Tuáº§n "&amp;WEEKNUM(B707)</f>
        <v>Tuáº§n 43</v>
      </c>
      <c r="D707" t="s">
        <v>19</v>
      </c>
      <c r="E707" t="s">
        <v>17</v>
      </c>
      <c r="F707" s="5">
        <v>32500000</v>
      </c>
      <c r="G707" s="5">
        <v>35500000</v>
      </c>
      <c r="H707" s="5">
        <f>+(M707*26000)/0.829426</f>
        <v>38487821.69837936</v>
      </c>
      <c r="I707" s="5">
        <f>+G707-H707</f>
        <v>-2987821.6983793601</v>
      </c>
      <c r="J707" s="5">
        <v>3000000</v>
      </c>
      <c r="K707" s="5">
        <v>3250000</v>
      </c>
      <c r="L707" s="5">
        <v>3550000</v>
      </c>
      <c r="M707" s="7">
        <v>1227.8</v>
      </c>
      <c r="N707" s="5">
        <v>33000000</v>
      </c>
      <c r="O707" s="5">
        <v>36000000</v>
      </c>
      <c r="P707" s="3">
        <v>0.97916666666666663</v>
      </c>
    </row>
    <row r="708" spans="1:16" x14ac:dyDescent="0.25">
      <c r="A708" t="s">
        <v>448</v>
      </c>
      <c r="B708" s="2">
        <v>43398</v>
      </c>
      <c r="C708" t="str">
        <f>+"Tuáº§n "&amp;WEEKNUM(B708)</f>
        <v>Tuáº§n 43</v>
      </c>
      <c r="D708" t="s">
        <v>20</v>
      </c>
      <c r="E708" t="s">
        <v>17</v>
      </c>
      <c r="F708" s="5">
        <v>32600000</v>
      </c>
      <c r="G708" s="5">
        <v>35600000</v>
      </c>
      <c r="H708" s="5">
        <f>+(M708*26000)/0.829426</f>
        <v>38528572.772013411</v>
      </c>
      <c r="I708" s="5">
        <f>+G708-H708</f>
        <v>-2928572.7720134109</v>
      </c>
      <c r="J708" s="5">
        <v>3000000</v>
      </c>
      <c r="K708" s="5">
        <v>3260000</v>
      </c>
      <c r="L708" s="5">
        <v>3560000</v>
      </c>
      <c r="M708" s="7">
        <v>1229.0999999999999</v>
      </c>
      <c r="N708" s="5">
        <v>33100000</v>
      </c>
      <c r="O708" s="5">
        <v>36100000</v>
      </c>
      <c r="P708" s="3">
        <v>0.97916666666666663</v>
      </c>
    </row>
    <row r="709" spans="1:16" x14ac:dyDescent="0.25">
      <c r="A709" t="s">
        <v>449</v>
      </c>
      <c r="B709" s="2">
        <v>43399</v>
      </c>
      <c r="C709" t="str">
        <f>+"Tuáº§n "&amp;WEEKNUM(B709)</f>
        <v>Tuáº§n 43</v>
      </c>
      <c r="D709" t="s">
        <v>21</v>
      </c>
      <c r="E709" t="s">
        <v>17</v>
      </c>
      <c r="F709" s="5">
        <v>32700000</v>
      </c>
      <c r="G709" s="5">
        <v>35700000</v>
      </c>
      <c r="H709" s="5">
        <f>+(M709*26000)/0.829426</f>
        <v>38635152.503056332</v>
      </c>
      <c r="I709" s="5">
        <f>+G709-H709</f>
        <v>-2935152.5030563325</v>
      </c>
      <c r="J709" s="5">
        <v>3000000</v>
      </c>
      <c r="K709" s="5">
        <v>3270000</v>
      </c>
      <c r="L709" s="5">
        <v>3570000</v>
      </c>
      <c r="M709" s="7">
        <v>1232.5</v>
      </c>
      <c r="N709" s="5">
        <v>33200000</v>
      </c>
      <c r="O709" s="5">
        <v>36200000</v>
      </c>
      <c r="P709" s="3">
        <v>0.97916666666666663</v>
      </c>
    </row>
    <row r="710" spans="1:16" x14ac:dyDescent="0.25">
      <c r="A710" t="s">
        <v>450</v>
      </c>
      <c r="B710" s="2">
        <v>43402</v>
      </c>
      <c r="C710" t="str">
        <f>+"Tuáº§n "&amp;WEEKNUM(B710)</f>
        <v>Tuáº§n 44</v>
      </c>
      <c r="D710" t="s">
        <v>16</v>
      </c>
      <c r="E710" t="s">
        <v>17</v>
      </c>
      <c r="F710" s="5">
        <v>32400000</v>
      </c>
      <c r="G710" s="5">
        <v>35400000</v>
      </c>
      <c r="H710" s="5">
        <f>+(M710*26000)/0.829426</f>
        <v>38384376.665308297</v>
      </c>
      <c r="I710" s="5">
        <f>+G710-H710</f>
        <v>-2984376.6653082967</v>
      </c>
      <c r="J710" s="5">
        <v>3000000</v>
      </c>
      <c r="K710" s="5">
        <v>3240000</v>
      </c>
      <c r="L710" s="5">
        <v>3540000</v>
      </c>
      <c r="M710" s="7">
        <v>1224.5</v>
      </c>
      <c r="N710" s="5">
        <v>32900000</v>
      </c>
      <c r="O710" s="5">
        <v>35900000</v>
      </c>
      <c r="P710" s="3">
        <v>0.97916666666666663</v>
      </c>
    </row>
    <row r="711" spans="1:16" x14ac:dyDescent="0.25">
      <c r="A711" t="s">
        <v>451</v>
      </c>
      <c r="B711" s="2">
        <v>43403</v>
      </c>
      <c r="C711" t="str">
        <f>+"Tuáº§n "&amp;WEEKNUM(B711)</f>
        <v>Tuáº§n 44</v>
      </c>
      <c r="D711" t="s">
        <v>18</v>
      </c>
      <c r="E711" t="s">
        <v>17</v>
      </c>
      <c r="F711" s="5">
        <v>32400000</v>
      </c>
      <c r="G711" s="5">
        <v>35400000</v>
      </c>
      <c r="H711" s="5">
        <f>+(M711*26000)/0.829426</f>
        <v>38324817.403843135</v>
      </c>
      <c r="I711" s="5">
        <f>+G711-H711</f>
        <v>-2924817.4038431346</v>
      </c>
      <c r="J711" s="5">
        <v>3000000</v>
      </c>
      <c r="K711" s="5">
        <v>3240000</v>
      </c>
      <c r="L711" s="5">
        <v>3540000</v>
      </c>
      <c r="M711" s="7">
        <v>1222.5999999999999</v>
      </c>
      <c r="N711" s="5">
        <v>32900000</v>
      </c>
      <c r="O711" s="5">
        <v>35900000</v>
      </c>
      <c r="P711" s="3">
        <v>0.97916666666666663</v>
      </c>
    </row>
    <row r="712" spans="1:16" x14ac:dyDescent="0.25">
      <c r="A712" t="s">
        <v>452</v>
      </c>
      <c r="B712" s="2">
        <v>43404</v>
      </c>
      <c r="C712" t="str">
        <f>+"Tuáº§n "&amp;WEEKNUM(B712)</f>
        <v>Tuáº§n 44</v>
      </c>
      <c r="D712" t="s">
        <v>19</v>
      </c>
      <c r="E712" t="s">
        <v>17</v>
      </c>
      <c r="F712" s="5">
        <v>32100000</v>
      </c>
      <c r="G712" s="5">
        <v>35100000</v>
      </c>
      <c r="H712" s="5">
        <f>+(M712*26000)/0.829426</f>
        <v>38001943.512742549</v>
      </c>
      <c r="I712" s="5">
        <f>+G712-H712</f>
        <v>-2901943.5127425492</v>
      </c>
      <c r="J712" s="5">
        <v>3000000</v>
      </c>
      <c r="K712" s="5">
        <v>3210000</v>
      </c>
      <c r="L712" s="5">
        <v>3510000</v>
      </c>
      <c r="M712" s="7">
        <v>1212.3</v>
      </c>
      <c r="N712" s="5">
        <v>32600000</v>
      </c>
      <c r="O712" s="5">
        <v>35600000</v>
      </c>
      <c r="P712" s="3">
        <v>0.97916666666666663</v>
      </c>
    </row>
    <row r="713" spans="1:16" x14ac:dyDescent="0.25">
      <c r="A713" s="2">
        <v>43111</v>
      </c>
      <c r="B713" s="2">
        <v>43405</v>
      </c>
      <c r="C713" t="str">
        <f>+"Tuáº§n "&amp;WEEKNUM(B713)</f>
        <v>Tuáº§n 44</v>
      </c>
      <c r="D713" t="s">
        <v>20</v>
      </c>
      <c r="E713" t="s">
        <v>17</v>
      </c>
      <c r="F713" s="5">
        <v>32800000</v>
      </c>
      <c r="G713" s="5">
        <v>35800000</v>
      </c>
      <c r="H713" s="5">
        <f>+(M713*26000)/0.829426</f>
        <v>38744866.932071097</v>
      </c>
      <c r="I713" s="5">
        <f>+G713-H713</f>
        <v>-2944866.9320710972</v>
      </c>
      <c r="J713" s="5">
        <v>3000000</v>
      </c>
      <c r="K713" s="5">
        <v>3280000</v>
      </c>
      <c r="L713" s="5">
        <v>3580000</v>
      </c>
      <c r="M713" s="7">
        <v>1236</v>
      </c>
      <c r="N713" s="5">
        <v>33300000</v>
      </c>
      <c r="O713" s="5">
        <v>36300000</v>
      </c>
      <c r="P713" s="3">
        <v>0.97916666666666663</v>
      </c>
    </row>
    <row r="714" spans="1:16" x14ac:dyDescent="0.25">
      <c r="A714" s="2">
        <v>43142</v>
      </c>
      <c r="B714" s="2">
        <v>43406</v>
      </c>
      <c r="C714" t="str">
        <f>+"Tuáº§n "&amp;WEEKNUM(B714)</f>
        <v>Tuáº§n 44</v>
      </c>
      <c r="D714" t="s">
        <v>21</v>
      </c>
      <c r="E714" t="s">
        <v>17</v>
      </c>
      <c r="F714" s="5">
        <v>32600000</v>
      </c>
      <c r="G714" s="5">
        <v>35600000</v>
      </c>
      <c r="H714" s="5">
        <f>+(M714*26000)/0.829426</f>
        <v>38584997.33550673</v>
      </c>
      <c r="I714" s="5">
        <f>+G714-H714</f>
        <v>-2984997.3355067298</v>
      </c>
      <c r="J714" s="5">
        <v>3000000</v>
      </c>
      <c r="K714" s="5">
        <v>3260000</v>
      </c>
      <c r="L714" s="5">
        <v>3560000</v>
      </c>
      <c r="M714" s="7">
        <v>1230.9000000000001</v>
      </c>
      <c r="N714" s="5">
        <v>33100000</v>
      </c>
      <c r="O714" s="5">
        <v>36100000</v>
      </c>
      <c r="P714" s="3">
        <v>0.97916666666666663</v>
      </c>
    </row>
    <row r="715" spans="1:16" x14ac:dyDescent="0.25">
      <c r="A715" s="2">
        <v>43231</v>
      </c>
      <c r="B715" s="2">
        <v>43409</v>
      </c>
      <c r="C715" t="str">
        <f>+"Tuáº§n "&amp;WEEKNUM(B715)</f>
        <v>Tuáº§n 45</v>
      </c>
      <c r="D715" t="s">
        <v>16</v>
      </c>
      <c r="E715" t="s">
        <v>17</v>
      </c>
      <c r="F715" s="5">
        <v>32600000</v>
      </c>
      <c r="G715" s="5">
        <v>35600000</v>
      </c>
      <c r="H715" s="5">
        <f>+(M715*26000)/0.829426</f>
        <v>38550515.657816373</v>
      </c>
      <c r="I715" s="5">
        <f>+G715-H715</f>
        <v>-2950515.6578163728</v>
      </c>
      <c r="J715" s="5">
        <v>3000000</v>
      </c>
      <c r="K715" s="5">
        <v>3260000</v>
      </c>
      <c r="L715" s="5">
        <v>3560000</v>
      </c>
      <c r="M715" s="7">
        <v>1229.8</v>
      </c>
      <c r="N715" s="5">
        <v>33100000</v>
      </c>
      <c r="O715" s="5">
        <v>36100000</v>
      </c>
      <c r="P715" s="3">
        <v>0.97916666666666663</v>
      </c>
    </row>
    <row r="716" spans="1:16" x14ac:dyDescent="0.25">
      <c r="A716" s="2">
        <v>43262</v>
      </c>
      <c r="B716" s="2">
        <v>43410</v>
      </c>
      <c r="C716" t="str">
        <f>+"Tuáº§n "&amp;WEEKNUM(B716)</f>
        <v>Tuáº§n 45</v>
      </c>
      <c r="D716" t="s">
        <v>18</v>
      </c>
      <c r="E716" t="s">
        <v>17</v>
      </c>
      <c r="F716" s="5">
        <v>32400000</v>
      </c>
      <c r="G716" s="5">
        <v>35400000</v>
      </c>
      <c r="H716" s="5">
        <f>+(M716*26000)/0.829426</f>
        <v>38362433.779505342</v>
      </c>
      <c r="I716" s="5">
        <f>+G716-H716</f>
        <v>-2962433.7795053422</v>
      </c>
      <c r="J716" s="5">
        <v>3000000</v>
      </c>
      <c r="K716" s="5">
        <v>3240000</v>
      </c>
      <c r="L716" s="5">
        <v>3540000</v>
      </c>
      <c r="M716" s="7">
        <v>1223.8</v>
      </c>
      <c r="N716" s="5">
        <v>32900000</v>
      </c>
      <c r="O716" s="5">
        <v>35900000</v>
      </c>
      <c r="P716" s="3">
        <v>0.97916666666666663</v>
      </c>
    </row>
    <row r="717" spans="1:16" x14ac:dyDescent="0.25">
      <c r="A717" s="2">
        <v>43292</v>
      </c>
      <c r="B717" s="2">
        <v>43411</v>
      </c>
      <c r="C717" t="str">
        <f>+"Tuáº§n "&amp;WEEKNUM(B717)</f>
        <v>Tuáº§n 45</v>
      </c>
      <c r="D717" t="s">
        <v>19</v>
      </c>
      <c r="E717" t="s">
        <v>17</v>
      </c>
      <c r="F717" s="5">
        <v>32500000</v>
      </c>
      <c r="G717" s="5">
        <v>35500000</v>
      </c>
      <c r="H717" s="5">
        <f>+(M717*26000)/0.829426</f>
        <v>38437666.530829757</v>
      </c>
      <c r="I717" s="5">
        <f>+G717-H717</f>
        <v>-2937666.5308297575</v>
      </c>
      <c r="J717" s="5">
        <v>3000000</v>
      </c>
      <c r="K717" s="5">
        <v>3250000</v>
      </c>
      <c r="L717" s="5">
        <v>3550000</v>
      </c>
      <c r="M717" s="7">
        <v>1226.2</v>
      </c>
      <c r="N717" s="5">
        <v>33000000</v>
      </c>
      <c r="O717" s="5">
        <v>36000000</v>
      </c>
      <c r="P717" s="3">
        <v>0.97916666666666663</v>
      </c>
    </row>
    <row r="718" spans="1:16" x14ac:dyDescent="0.25">
      <c r="A718" s="2">
        <v>43323</v>
      </c>
      <c r="B718" s="2">
        <v>43412</v>
      </c>
      <c r="C718" t="str">
        <f>+"Tuáº§n "&amp;WEEKNUM(B718)</f>
        <v>Tuáº§n 45</v>
      </c>
      <c r="D718" t="s">
        <v>20</v>
      </c>
      <c r="E718" t="s">
        <v>17</v>
      </c>
      <c r="F718" s="5">
        <v>32400000</v>
      </c>
      <c r="G718" s="5">
        <v>35400000</v>
      </c>
      <c r="H718" s="5">
        <f>+(M718*26000)/0.829426</f>
        <v>38334221.497758694</v>
      </c>
      <c r="I718" s="5">
        <f>+G718-H718</f>
        <v>-2934221.497758694</v>
      </c>
      <c r="J718" s="5">
        <v>3000000</v>
      </c>
      <c r="K718" s="5">
        <v>3240000</v>
      </c>
      <c r="L718" s="5">
        <v>3540000</v>
      </c>
      <c r="M718" s="7">
        <v>1222.9000000000001</v>
      </c>
      <c r="N718" s="5">
        <v>32900000</v>
      </c>
      <c r="O718" s="5">
        <v>35900000</v>
      </c>
      <c r="P718" s="3">
        <v>0.97916666666666663</v>
      </c>
    </row>
    <row r="719" spans="1:16" x14ac:dyDescent="0.25">
      <c r="A719" s="2">
        <v>43354</v>
      </c>
      <c r="B719" s="2">
        <v>43413</v>
      </c>
      <c r="C719" t="str">
        <f>+"Tuáº§n "&amp;WEEKNUM(B719)</f>
        <v>Tuáº§n 45</v>
      </c>
      <c r="D719" t="s">
        <v>21</v>
      </c>
      <c r="E719" t="s">
        <v>17</v>
      </c>
      <c r="F719" s="5">
        <v>31900000</v>
      </c>
      <c r="G719" s="5">
        <v>34900000</v>
      </c>
      <c r="H719" s="5">
        <f>+(M719*26000)/0.829426</f>
        <v>37816996.332403377</v>
      </c>
      <c r="I719" s="5">
        <f>+G719-H719</f>
        <v>-2916996.3324033767</v>
      </c>
      <c r="J719" s="5">
        <v>3000000</v>
      </c>
      <c r="K719" s="5">
        <v>3190000</v>
      </c>
      <c r="L719" s="5">
        <v>3490000</v>
      </c>
      <c r="M719" s="7">
        <v>1206.4000000000001</v>
      </c>
      <c r="N719" s="5">
        <v>32400000</v>
      </c>
      <c r="O719" s="5">
        <v>35400000</v>
      </c>
      <c r="P719" s="3">
        <v>0.97916666666666663</v>
      </c>
    </row>
    <row r="720" spans="1:16" x14ac:dyDescent="0.25">
      <c r="A720" s="2">
        <v>43445</v>
      </c>
      <c r="B720" s="2">
        <v>43416</v>
      </c>
      <c r="C720" t="str">
        <f>+"Tuáº§n "&amp;WEEKNUM(B720)</f>
        <v>Tuáº§n 46</v>
      </c>
      <c r="D720" t="s">
        <v>16</v>
      </c>
      <c r="E720" t="s">
        <v>17</v>
      </c>
      <c r="F720" s="5">
        <v>31700000</v>
      </c>
      <c r="G720" s="5">
        <v>34700000</v>
      </c>
      <c r="H720" s="5">
        <f>+(M720*26000)/0.829426</f>
        <v>37657126.735839002</v>
      </c>
      <c r="I720" s="5">
        <f>+G720-H720</f>
        <v>-2957126.7358390018</v>
      </c>
      <c r="J720" s="5">
        <v>3000000</v>
      </c>
      <c r="K720" s="5">
        <v>3170000</v>
      </c>
      <c r="L720" s="5">
        <v>3470000</v>
      </c>
      <c r="M720" s="7">
        <v>1201.3</v>
      </c>
      <c r="N720" s="5">
        <v>32200000</v>
      </c>
      <c r="O720" s="5">
        <v>35200000</v>
      </c>
      <c r="P720" s="3">
        <v>0.97916666666666663</v>
      </c>
    </row>
    <row r="721" spans="1:16" x14ac:dyDescent="0.25">
      <c r="A721" t="s">
        <v>453</v>
      </c>
      <c r="B721" s="2">
        <v>43417</v>
      </c>
      <c r="C721" t="str">
        <f>+"Tuáº§n "&amp;WEEKNUM(B721)</f>
        <v>Tuáº§n 46</v>
      </c>
      <c r="D721" t="s">
        <v>18</v>
      </c>
      <c r="E721" t="s">
        <v>17</v>
      </c>
      <c r="F721" s="5">
        <v>31700000</v>
      </c>
      <c r="G721" s="5">
        <v>34700000</v>
      </c>
      <c r="H721" s="5">
        <f>+(M721*26000)/0.829426</f>
        <v>37591298.078430146</v>
      </c>
      <c r="I721" s="5">
        <f>+G721-H721</f>
        <v>-2891298.078430146</v>
      </c>
      <c r="J721" s="5">
        <v>3000000</v>
      </c>
      <c r="K721" s="5">
        <v>3170000</v>
      </c>
      <c r="L721" s="5">
        <v>3470000</v>
      </c>
      <c r="M721" s="7">
        <v>1199.2</v>
      </c>
      <c r="N721" s="5">
        <v>32200000</v>
      </c>
      <c r="O721" s="5">
        <v>35200000</v>
      </c>
      <c r="P721" s="3">
        <v>0.97916666666666663</v>
      </c>
    </row>
    <row r="722" spans="1:16" x14ac:dyDescent="0.25">
      <c r="A722" t="s">
        <v>454</v>
      </c>
      <c r="B722" s="2">
        <v>43418</v>
      </c>
      <c r="C722" t="str">
        <f>+"Tuáº§n "&amp;WEEKNUM(B722)</f>
        <v>Tuáº§n 46</v>
      </c>
      <c r="D722" t="s">
        <v>19</v>
      </c>
      <c r="E722" t="s">
        <v>17</v>
      </c>
      <c r="F722" s="5">
        <v>31900000</v>
      </c>
      <c r="G722" s="5">
        <v>34900000</v>
      </c>
      <c r="H722" s="5">
        <f>+(M722*26000)/0.829426</f>
        <v>37864016.801981136</v>
      </c>
      <c r="I722" s="5">
        <f>+G722-H722</f>
        <v>-2964016.8019811362</v>
      </c>
      <c r="J722" s="5">
        <v>3000000</v>
      </c>
      <c r="K722" s="5">
        <v>3190000</v>
      </c>
      <c r="L722" s="5">
        <v>3490000</v>
      </c>
      <c r="M722" s="7">
        <v>1207.9000000000001</v>
      </c>
      <c r="N722" s="5">
        <v>32400000</v>
      </c>
      <c r="O722" s="5">
        <v>35400000</v>
      </c>
      <c r="P722" s="3">
        <v>0.97916666666666663</v>
      </c>
    </row>
    <row r="723" spans="1:16" x14ac:dyDescent="0.25">
      <c r="A723" t="s">
        <v>455</v>
      </c>
      <c r="B723" s="2">
        <v>43419</v>
      </c>
      <c r="C723" t="str">
        <f>+"Tuáº§n "&amp;WEEKNUM(B723)</f>
        <v>Tuáº§n 46</v>
      </c>
      <c r="D723" t="s">
        <v>20</v>
      </c>
      <c r="E723" t="s">
        <v>17</v>
      </c>
      <c r="F723" s="5">
        <v>32100000</v>
      </c>
      <c r="G723" s="5">
        <v>35100000</v>
      </c>
      <c r="H723" s="5">
        <f>+(M723*26000)/0.829426</f>
        <v>38017617.002601802</v>
      </c>
      <c r="I723" s="5">
        <f>+G723-H723</f>
        <v>-2917617.0026018023</v>
      </c>
      <c r="J723" s="5">
        <v>3000000</v>
      </c>
      <c r="K723" s="5">
        <v>3210000</v>
      </c>
      <c r="L723" s="5">
        <v>3510000</v>
      </c>
      <c r="M723" s="7">
        <v>1212.8</v>
      </c>
      <c r="N723" s="5">
        <v>32600000</v>
      </c>
      <c r="O723" s="5">
        <v>35600000</v>
      </c>
      <c r="P723" s="3">
        <v>0.97916666666666663</v>
      </c>
    </row>
    <row r="724" spans="1:16" x14ac:dyDescent="0.25">
      <c r="A724" t="s">
        <v>456</v>
      </c>
      <c r="B724" s="2">
        <v>43420</v>
      </c>
      <c r="C724" t="str">
        <f>+"Tuáº§n "&amp;WEEKNUM(B724)</f>
        <v>Tuáº§n 46</v>
      </c>
      <c r="D724" t="s">
        <v>21</v>
      </c>
      <c r="E724" t="s">
        <v>17</v>
      </c>
      <c r="F724" s="5">
        <v>32300000</v>
      </c>
      <c r="G724" s="5">
        <v>35300000</v>
      </c>
      <c r="H724" s="5">
        <f>+(M724*26000)/0.829426</f>
        <v>38268392.840349831</v>
      </c>
      <c r="I724" s="5">
        <f>+G724-H724</f>
        <v>-2968392.8403498307</v>
      </c>
      <c r="J724" s="5">
        <v>3000000</v>
      </c>
      <c r="K724" s="5">
        <v>3230000</v>
      </c>
      <c r="L724" s="5">
        <v>3530000</v>
      </c>
      <c r="M724" s="7">
        <v>1220.8</v>
      </c>
      <c r="N724" s="5">
        <v>32800000</v>
      </c>
      <c r="O724" s="5">
        <v>35800000</v>
      </c>
      <c r="P724" s="3">
        <v>0.97916666666666663</v>
      </c>
    </row>
    <row r="725" spans="1:16" x14ac:dyDescent="0.25">
      <c r="A725" t="s">
        <v>457</v>
      </c>
      <c r="B725" s="2">
        <v>43423</v>
      </c>
      <c r="C725" t="str">
        <f>+"Tuáº§n "&amp;WEEKNUM(B725)</f>
        <v>Tuáº§n 47</v>
      </c>
      <c r="D725" t="s">
        <v>16</v>
      </c>
      <c r="E725" t="s">
        <v>17</v>
      </c>
      <c r="F725" s="5">
        <v>32400000</v>
      </c>
      <c r="G725" s="5">
        <v>35400000</v>
      </c>
      <c r="H725" s="5">
        <f>+(M725*26000)/0.829426</f>
        <v>38340490.893702388</v>
      </c>
      <c r="I725" s="5">
        <f>+G725-H725</f>
        <v>-2940490.8937023878</v>
      </c>
      <c r="J725" s="5">
        <v>3000000</v>
      </c>
      <c r="K725" s="5">
        <v>3240000</v>
      </c>
      <c r="L725" s="5">
        <v>3540000</v>
      </c>
      <c r="M725" s="7">
        <v>1223.0999999999999</v>
      </c>
      <c r="N725" s="5">
        <v>32900000</v>
      </c>
      <c r="O725" s="5">
        <v>35900000</v>
      </c>
      <c r="P725" s="3">
        <v>0.97916666666666663</v>
      </c>
    </row>
    <row r="726" spans="1:16" x14ac:dyDescent="0.25">
      <c r="A726" t="s">
        <v>458</v>
      </c>
      <c r="B726" s="2">
        <v>43424</v>
      </c>
      <c r="C726" t="str">
        <f>+"Tuáº§n "&amp;WEEKNUM(B726)</f>
        <v>Tuáº§n 47</v>
      </c>
      <c r="D726" t="s">
        <v>18</v>
      </c>
      <c r="E726" t="s">
        <v>17</v>
      </c>
      <c r="F726" s="5">
        <v>32300000</v>
      </c>
      <c r="G726" s="5">
        <v>35300000</v>
      </c>
      <c r="H726" s="5">
        <f>+(M726*26000)/0.829426</f>
        <v>38211968.276856527</v>
      </c>
      <c r="I726" s="5">
        <f>+G726-H726</f>
        <v>-2911968.2768565267</v>
      </c>
      <c r="J726" s="5">
        <v>3000000</v>
      </c>
      <c r="K726" s="5">
        <v>3230000</v>
      </c>
      <c r="L726" s="5">
        <v>3530000</v>
      </c>
      <c r="M726" s="7">
        <v>1219</v>
      </c>
      <c r="N726" s="5">
        <v>32800000</v>
      </c>
      <c r="O726" s="5">
        <v>35800000</v>
      </c>
      <c r="P726" s="3">
        <v>0.97916666666666663</v>
      </c>
    </row>
    <row r="727" spans="1:16" x14ac:dyDescent="0.25">
      <c r="A727" t="s">
        <v>459</v>
      </c>
      <c r="B727" s="2">
        <v>43425</v>
      </c>
      <c r="C727" t="str">
        <f>+"Tuáº§n "&amp;WEEKNUM(B727)</f>
        <v>Tuáº§n 47</v>
      </c>
      <c r="D727" t="s">
        <v>19</v>
      </c>
      <c r="E727" t="s">
        <v>17</v>
      </c>
      <c r="F727" s="5">
        <v>32500000</v>
      </c>
      <c r="G727" s="5">
        <v>35500000</v>
      </c>
      <c r="H727" s="5">
        <f>+(M727*26000)/0.829426</f>
        <v>38425127.738942355</v>
      </c>
      <c r="I727" s="5">
        <f>+G727-H727</f>
        <v>-2925127.7389423549</v>
      </c>
      <c r="J727" s="5">
        <v>3000000</v>
      </c>
      <c r="K727" s="5">
        <v>3250000</v>
      </c>
      <c r="L727" s="5">
        <v>3550000</v>
      </c>
      <c r="M727" s="7">
        <v>1225.8</v>
      </c>
      <c r="N727" s="5">
        <v>33000000</v>
      </c>
      <c r="O727" s="5">
        <v>36000000</v>
      </c>
      <c r="P727" s="3">
        <v>0.97916666666666663</v>
      </c>
    </row>
    <row r="728" spans="1:16" x14ac:dyDescent="0.25">
      <c r="A728" t="s">
        <v>460</v>
      </c>
      <c r="B728" s="2">
        <v>43427</v>
      </c>
      <c r="C728" t="str">
        <f>+"Tuáº§n "&amp;WEEKNUM(B728)</f>
        <v>Tuáº§n 47</v>
      </c>
      <c r="D728" t="s">
        <v>21</v>
      </c>
      <c r="E728" t="s">
        <v>17</v>
      </c>
      <c r="F728" s="5">
        <v>32300000</v>
      </c>
      <c r="G728" s="5">
        <v>35300000</v>
      </c>
      <c r="H728" s="5">
        <f>+(M728*26000)/0.829426</f>
        <v>38274662.236293532</v>
      </c>
      <c r="I728" s="5">
        <f>+G728-H728</f>
        <v>-2974662.236293532</v>
      </c>
      <c r="J728" s="5">
        <v>3000000</v>
      </c>
      <c r="K728" s="5">
        <v>3230000</v>
      </c>
      <c r="L728" s="5">
        <v>3530000</v>
      </c>
      <c r="M728" s="7">
        <v>1221</v>
      </c>
      <c r="N728" s="5">
        <v>32800000</v>
      </c>
      <c r="O728" s="5">
        <v>35800000</v>
      </c>
      <c r="P728" s="3">
        <v>0.97916666666666663</v>
      </c>
    </row>
    <row r="729" spans="1:16" x14ac:dyDescent="0.25">
      <c r="A729" t="s">
        <v>461</v>
      </c>
      <c r="B729" s="2">
        <v>43430</v>
      </c>
      <c r="C729" t="str">
        <f>+"Tuáº§n "&amp;WEEKNUM(B729)</f>
        <v>Tuáº§n 48</v>
      </c>
      <c r="D729" t="s">
        <v>16</v>
      </c>
      <c r="E729" t="s">
        <v>17</v>
      </c>
      <c r="F729" s="5">
        <v>32300000</v>
      </c>
      <c r="G729" s="5">
        <v>35300000</v>
      </c>
      <c r="H729" s="5">
        <f>+(M729*26000)/0.829426</f>
        <v>38249584.652518727</v>
      </c>
      <c r="I729" s="5">
        <f>+G729-H729</f>
        <v>-2949584.6525187269</v>
      </c>
      <c r="J729" s="5">
        <v>3000000</v>
      </c>
      <c r="K729" s="5">
        <v>3230000</v>
      </c>
      <c r="L729" s="5">
        <v>3530000</v>
      </c>
      <c r="M729" s="7">
        <v>1220.2</v>
      </c>
      <c r="N729" s="5">
        <v>32800000</v>
      </c>
      <c r="O729" s="5">
        <v>35800000</v>
      </c>
      <c r="P729" s="3">
        <v>0.97916666666666663</v>
      </c>
    </row>
    <row r="730" spans="1:16" x14ac:dyDescent="0.25">
      <c r="A730" t="s">
        <v>462</v>
      </c>
      <c r="B730" s="2">
        <v>43431</v>
      </c>
      <c r="C730" t="str">
        <f>+"Tuáº§n "&amp;WEEKNUM(B730)</f>
        <v>Tuáº§n 48</v>
      </c>
      <c r="D730" t="s">
        <v>18</v>
      </c>
      <c r="E730" t="s">
        <v>17</v>
      </c>
      <c r="F730" s="5">
        <v>32000000</v>
      </c>
      <c r="G730" s="5">
        <v>35000000</v>
      </c>
      <c r="H730" s="5">
        <f>+(M730*26000)/0.829426</f>
        <v>37967461.835052192</v>
      </c>
      <c r="I730" s="5">
        <f>+G730-H730</f>
        <v>-2967461.8350521922</v>
      </c>
      <c r="J730" s="5">
        <v>3000000</v>
      </c>
      <c r="K730" s="5">
        <v>3200000</v>
      </c>
      <c r="L730" s="5">
        <v>3500000</v>
      </c>
      <c r="M730" s="7">
        <v>1211.2</v>
      </c>
      <c r="N730" s="5">
        <v>32500000</v>
      </c>
      <c r="O730" s="5">
        <v>35500000</v>
      </c>
      <c r="P730" s="3">
        <v>0.97916666666666663</v>
      </c>
    </row>
    <row r="731" spans="1:16" x14ac:dyDescent="0.25">
      <c r="A731" t="s">
        <v>463</v>
      </c>
      <c r="B731" s="2">
        <v>43432</v>
      </c>
      <c r="C731" t="str">
        <f>+"Tuáº§n "&amp;WEEKNUM(B731)</f>
        <v>Tuáº§n 48</v>
      </c>
      <c r="D731" t="s">
        <v>19</v>
      </c>
      <c r="E731" t="s">
        <v>17</v>
      </c>
      <c r="F731" s="5">
        <v>32300000</v>
      </c>
      <c r="G731" s="5">
        <v>35300000</v>
      </c>
      <c r="H731" s="5">
        <f>+(M731*26000)/0.829426</f>
        <v>38287201.028180942</v>
      </c>
      <c r="I731" s="5">
        <f>+G731-H731</f>
        <v>-2987201.0281809419</v>
      </c>
      <c r="J731" s="5">
        <v>3000000</v>
      </c>
      <c r="K731" s="5">
        <v>3230000</v>
      </c>
      <c r="L731" s="5">
        <v>3530000</v>
      </c>
      <c r="M731" s="7">
        <v>1221.4000000000001</v>
      </c>
      <c r="N731" s="5">
        <v>32800000</v>
      </c>
      <c r="O731" s="5">
        <v>35800000</v>
      </c>
      <c r="P731" s="3">
        <v>0.97916666666666663</v>
      </c>
    </row>
    <row r="732" spans="1:16" x14ac:dyDescent="0.25">
      <c r="A732" t="s">
        <v>464</v>
      </c>
      <c r="B732" s="2">
        <v>43433</v>
      </c>
      <c r="C732" t="str">
        <f>+"Tuáº§n "&amp;WEEKNUM(B732)</f>
        <v>Tuáº§n 48</v>
      </c>
      <c r="D732" t="s">
        <v>20</v>
      </c>
      <c r="E732" t="s">
        <v>17</v>
      </c>
      <c r="F732" s="5">
        <v>32400000</v>
      </c>
      <c r="G732" s="5">
        <v>35400000</v>
      </c>
      <c r="H732" s="5">
        <f>+(M732*26000)/0.829426</f>
        <v>38371837.873420894</v>
      </c>
      <c r="I732" s="5">
        <f>+G732-H732</f>
        <v>-2971837.8734208941</v>
      </c>
      <c r="J732" s="5">
        <v>3000000</v>
      </c>
      <c r="K732" s="5">
        <v>3240000</v>
      </c>
      <c r="L732" s="5">
        <v>3540000</v>
      </c>
      <c r="M732" s="7">
        <v>1224.0999999999999</v>
      </c>
      <c r="N732" s="5">
        <v>32900000</v>
      </c>
      <c r="O732" s="5">
        <v>35900000</v>
      </c>
      <c r="P732" s="3">
        <v>0.97916666666666663</v>
      </c>
    </row>
    <row r="733" spans="1:16" x14ac:dyDescent="0.25">
      <c r="A733" t="s">
        <v>465</v>
      </c>
      <c r="B733" s="2">
        <v>43434</v>
      </c>
      <c r="C733" t="str">
        <f>+"Tuáº§n "&amp;WEEKNUM(B733)</f>
        <v>Tuáº§n 48</v>
      </c>
      <c r="D733" t="s">
        <v>21</v>
      </c>
      <c r="E733" t="s">
        <v>17</v>
      </c>
      <c r="F733" s="5">
        <v>32300000</v>
      </c>
      <c r="G733" s="5">
        <v>35300000</v>
      </c>
      <c r="H733" s="5">
        <f>+(M733*26000)/0.829426</f>
        <v>38249584.652518727</v>
      </c>
      <c r="I733" s="5">
        <f>+G733-H733</f>
        <v>-2949584.6525187269</v>
      </c>
      <c r="J733" s="5">
        <v>3000000</v>
      </c>
      <c r="K733" s="5">
        <v>3230000</v>
      </c>
      <c r="L733" s="5">
        <v>3530000</v>
      </c>
      <c r="M733" s="7">
        <v>1220.2</v>
      </c>
      <c r="N733" s="5">
        <v>32800000</v>
      </c>
      <c r="O733" s="5">
        <v>35800000</v>
      </c>
      <c r="P733" s="3">
        <v>0.97916666666666663</v>
      </c>
    </row>
    <row r="734" spans="1:16" x14ac:dyDescent="0.25">
      <c r="A734" s="2">
        <v>43171</v>
      </c>
      <c r="B734" s="2">
        <v>43437</v>
      </c>
      <c r="C734" t="str">
        <f>+"Tuáº§n "&amp;WEEKNUM(B734)</f>
        <v>Tuáº§n 49</v>
      </c>
      <c r="D734" t="s">
        <v>16</v>
      </c>
      <c r="E734" t="s">
        <v>17</v>
      </c>
      <c r="F734" s="5">
        <v>32700000</v>
      </c>
      <c r="G734" s="5">
        <v>35700000</v>
      </c>
      <c r="H734" s="5">
        <f>+(M734*26000)/0.829426</f>
        <v>38679038.274662241</v>
      </c>
      <c r="I734" s="5">
        <f>+G734-H734</f>
        <v>-2979038.2746622413</v>
      </c>
      <c r="J734" s="5">
        <v>3000000</v>
      </c>
      <c r="K734" s="5">
        <v>3270000</v>
      </c>
      <c r="L734" s="5">
        <v>3570000</v>
      </c>
      <c r="M734" s="7">
        <v>1233.9000000000001</v>
      </c>
      <c r="N734" s="5">
        <v>33200000</v>
      </c>
      <c r="O734" s="5">
        <v>36200000</v>
      </c>
      <c r="P734" s="3">
        <v>0.97916666666666663</v>
      </c>
    </row>
    <row r="735" spans="1:16" x14ac:dyDescent="0.25">
      <c r="A735" s="2">
        <v>43202</v>
      </c>
      <c r="B735" s="2">
        <v>43438</v>
      </c>
      <c r="C735" t="str">
        <f>+"Tuáº§n "&amp;WEEKNUM(B735)</f>
        <v>Tuáº§n 49</v>
      </c>
      <c r="D735" t="s">
        <v>18</v>
      </c>
      <c r="E735" t="s">
        <v>17</v>
      </c>
      <c r="F735" s="5">
        <v>32900000</v>
      </c>
      <c r="G735" s="5">
        <v>35900000</v>
      </c>
      <c r="H735" s="5">
        <f>+(M735*26000)/0.829426</f>
        <v>38904736.528635465</v>
      </c>
      <c r="I735" s="5">
        <f>+G735-H735</f>
        <v>-3004736.5286354646</v>
      </c>
      <c r="J735" s="5">
        <v>3000000</v>
      </c>
      <c r="K735" s="5">
        <v>3290000</v>
      </c>
      <c r="L735" s="5">
        <v>3590000</v>
      </c>
      <c r="M735" s="7">
        <v>1241.0999999999999</v>
      </c>
      <c r="N735" s="5">
        <v>33400000</v>
      </c>
      <c r="O735" s="5">
        <v>36400000</v>
      </c>
      <c r="P735" s="3">
        <v>0.97916666666666663</v>
      </c>
    </row>
    <row r="736" spans="1:16" x14ac:dyDescent="0.25">
      <c r="A736" s="2">
        <v>43263</v>
      </c>
      <c r="B736" s="2">
        <v>43440</v>
      </c>
      <c r="C736" t="str">
        <f>+"Tuáº§n "&amp;WEEKNUM(B736)</f>
        <v>Tuáº§n 49</v>
      </c>
      <c r="D736" t="s">
        <v>20</v>
      </c>
      <c r="E736" t="s">
        <v>17</v>
      </c>
      <c r="F736" s="5">
        <v>32800000</v>
      </c>
      <c r="G736" s="5">
        <v>35800000</v>
      </c>
      <c r="H736" s="5">
        <f>+(M736*26000)/0.829426</f>
        <v>38810695.589479946</v>
      </c>
      <c r="I736" s="5">
        <f>+G736-H736</f>
        <v>-3010695.5894799456</v>
      </c>
      <c r="J736" s="5">
        <v>3000000</v>
      </c>
      <c r="K736" s="5">
        <v>3280000</v>
      </c>
      <c r="L736" s="5">
        <v>3580000</v>
      </c>
      <c r="M736" s="7">
        <v>1238.0999999999999</v>
      </c>
      <c r="N736" s="5">
        <v>33300000</v>
      </c>
      <c r="O736" s="5">
        <v>36300000</v>
      </c>
      <c r="P736" s="3">
        <v>0.97916666666666663</v>
      </c>
    </row>
    <row r="737" spans="1:16" x14ac:dyDescent="0.25">
      <c r="A737" s="2">
        <v>43293</v>
      </c>
      <c r="B737" s="2">
        <v>43441</v>
      </c>
      <c r="C737" t="str">
        <f>+"Tuáº§n "&amp;WEEKNUM(B737)</f>
        <v>Tuáº§n 49</v>
      </c>
      <c r="D737" t="s">
        <v>21</v>
      </c>
      <c r="E737" t="s">
        <v>17</v>
      </c>
      <c r="F737" s="5">
        <v>33100000</v>
      </c>
      <c r="G737" s="5">
        <v>36100000</v>
      </c>
      <c r="H737" s="5">
        <f>+(M737*26000)/0.829426</f>
        <v>39083414.313030943</v>
      </c>
      <c r="I737" s="5">
        <f>+G737-H737</f>
        <v>-2983414.3130309433</v>
      </c>
      <c r="J737" s="5">
        <v>3000000</v>
      </c>
      <c r="K737" s="5">
        <v>3310000</v>
      </c>
      <c r="L737" s="5">
        <v>3610000</v>
      </c>
      <c r="M737" s="7">
        <v>1246.8</v>
      </c>
      <c r="N737" s="5">
        <v>33600000</v>
      </c>
      <c r="O737" s="5">
        <v>36600000</v>
      </c>
      <c r="P737" s="3">
        <v>0.97916666666666663</v>
      </c>
    </row>
    <row r="738" spans="1:16" x14ac:dyDescent="0.25">
      <c r="A738" s="2">
        <v>43385</v>
      </c>
      <c r="B738" s="2">
        <v>43444</v>
      </c>
      <c r="C738" t="str">
        <f>+"Tuáº§n "&amp;WEEKNUM(B738)</f>
        <v>Tuáº§n 50</v>
      </c>
      <c r="D738" t="s">
        <v>16</v>
      </c>
      <c r="E738" t="s">
        <v>17</v>
      </c>
      <c r="F738" s="5">
        <v>33000000</v>
      </c>
      <c r="G738" s="5">
        <v>36000000</v>
      </c>
      <c r="H738" s="5">
        <f>+(M738*26000)/0.829426</f>
        <v>38986238.675903574</v>
      </c>
      <c r="I738" s="5">
        <f>+G738-H738</f>
        <v>-2986238.6759035736</v>
      </c>
      <c r="J738" s="5">
        <v>3000000</v>
      </c>
      <c r="K738" s="5">
        <v>3300000</v>
      </c>
      <c r="L738" s="5">
        <v>3600000</v>
      </c>
      <c r="M738" s="7">
        <v>1243.7</v>
      </c>
      <c r="N738" s="5">
        <v>33500000</v>
      </c>
      <c r="O738" s="5">
        <v>36500000</v>
      </c>
      <c r="P738" s="3">
        <v>0.97916666666666663</v>
      </c>
    </row>
    <row r="739" spans="1:16" x14ac:dyDescent="0.25">
      <c r="A739" s="2">
        <v>43416</v>
      </c>
      <c r="B739" s="2">
        <v>43445</v>
      </c>
      <c r="C739" t="str">
        <f>+"Tuáº§n "&amp;WEEKNUM(B739)</f>
        <v>Tuáº§n 50</v>
      </c>
      <c r="D739" t="s">
        <v>18</v>
      </c>
      <c r="E739" t="s">
        <v>17</v>
      </c>
      <c r="F739" s="5">
        <v>32900000</v>
      </c>
      <c r="G739" s="5">
        <v>35900000</v>
      </c>
      <c r="H739" s="5">
        <f>+(M739*26000)/0.829426</f>
        <v>38929814.112410277</v>
      </c>
      <c r="I739" s="5">
        <f>+G739-H739</f>
        <v>-3029814.1124102771</v>
      </c>
      <c r="J739" s="5">
        <v>3000000</v>
      </c>
      <c r="K739" s="5">
        <v>3290000</v>
      </c>
      <c r="L739" s="5">
        <v>3590000</v>
      </c>
      <c r="M739" s="7">
        <v>1241.9000000000001</v>
      </c>
      <c r="N739" s="5">
        <v>33400000</v>
      </c>
      <c r="O739" s="5">
        <v>36400000</v>
      </c>
      <c r="P739" s="3">
        <v>0.97916666666666663</v>
      </c>
    </row>
    <row r="740" spans="1:16" x14ac:dyDescent="0.25">
      <c r="A740" s="2">
        <v>43446</v>
      </c>
      <c r="B740" s="2">
        <v>43446</v>
      </c>
      <c r="C740" t="str">
        <f>+"Tuáº§n "&amp;WEEKNUM(B740)</f>
        <v>Tuáº§n 50</v>
      </c>
      <c r="D740" t="s">
        <v>19</v>
      </c>
      <c r="E740" t="s">
        <v>17</v>
      </c>
      <c r="F740" s="5">
        <v>33000000</v>
      </c>
      <c r="G740" s="5">
        <v>36000000</v>
      </c>
      <c r="H740" s="5">
        <f>+(M740*26000)/0.829426</f>
        <v>39008181.561706536</v>
      </c>
      <c r="I740" s="5">
        <f>+G740-H740</f>
        <v>-3008181.5617065355</v>
      </c>
      <c r="J740" s="5">
        <v>3000000</v>
      </c>
      <c r="K740" s="5">
        <v>3300000</v>
      </c>
      <c r="L740" s="5">
        <v>3600000</v>
      </c>
      <c r="M740" s="7">
        <v>1244.4000000000001</v>
      </c>
      <c r="N740" s="5">
        <v>33500000</v>
      </c>
      <c r="O740" s="5">
        <v>36500000</v>
      </c>
      <c r="P740" s="3">
        <v>0.97916666666666663</v>
      </c>
    </row>
    <row r="741" spans="1:16" x14ac:dyDescent="0.25">
      <c r="A741" t="s">
        <v>466</v>
      </c>
      <c r="B741" s="2">
        <v>43447</v>
      </c>
      <c r="C741" t="str">
        <f>+"Tuáº§n "&amp;WEEKNUM(B741)</f>
        <v>Tuáº§n 50</v>
      </c>
      <c r="D741" t="s">
        <v>20</v>
      </c>
      <c r="E741" t="s">
        <v>17</v>
      </c>
      <c r="F741" s="5">
        <v>32900000</v>
      </c>
      <c r="G741" s="5">
        <v>35900000</v>
      </c>
      <c r="H741" s="5">
        <f>+(M741*26000)/0.829426</f>
        <v>38954891.696185075</v>
      </c>
      <c r="I741" s="5">
        <f>+G741-H741</f>
        <v>-3054891.6961850747</v>
      </c>
      <c r="J741" s="5">
        <v>3000000</v>
      </c>
      <c r="K741" s="5">
        <v>3290000</v>
      </c>
      <c r="L741" s="5">
        <v>3590000</v>
      </c>
      <c r="M741" s="7">
        <v>1242.7</v>
      </c>
      <c r="N741" s="5">
        <v>33400000</v>
      </c>
      <c r="O741" s="5">
        <v>36400000</v>
      </c>
      <c r="P741" s="3">
        <v>0.97916666666666663</v>
      </c>
    </row>
    <row r="742" spans="1:16" x14ac:dyDescent="0.25">
      <c r="A742" t="s">
        <v>467</v>
      </c>
      <c r="B742" s="2">
        <v>43448</v>
      </c>
      <c r="C742" t="str">
        <f>+"Tuáº§n "&amp;WEEKNUM(B742)</f>
        <v>Tuáº§n 50</v>
      </c>
      <c r="D742" t="s">
        <v>21</v>
      </c>
      <c r="E742" t="s">
        <v>17</v>
      </c>
      <c r="F742" s="5">
        <v>32800000</v>
      </c>
      <c r="G742" s="5">
        <v>35800000</v>
      </c>
      <c r="H742" s="5">
        <f>+(M742*26000)/0.829426</f>
        <v>38776213.911789596</v>
      </c>
      <c r="I742" s="5">
        <f>+G742-H742</f>
        <v>-2976213.9117895961</v>
      </c>
      <c r="J742" s="5">
        <v>3000000</v>
      </c>
      <c r="K742" s="5">
        <v>3280000</v>
      </c>
      <c r="L742" s="5">
        <v>3580000</v>
      </c>
      <c r="M742" s="7">
        <v>1237</v>
      </c>
      <c r="N742" s="5">
        <v>33300000</v>
      </c>
      <c r="O742" s="5">
        <v>36300000</v>
      </c>
      <c r="P742" s="3">
        <v>0.97916666666666663</v>
      </c>
    </row>
    <row r="743" spans="1:16" x14ac:dyDescent="0.25">
      <c r="A743" t="s">
        <v>468</v>
      </c>
      <c r="B743" s="2">
        <v>43451</v>
      </c>
      <c r="C743" t="str">
        <f>+"Tuáº§n "&amp;WEEKNUM(B743)</f>
        <v>Tuáº§n 51</v>
      </c>
      <c r="D743" t="s">
        <v>16</v>
      </c>
      <c r="E743" t="s">
        <v>17</v>
      </c>
      <c r="F743" s="5">
        <v>33100000</v>
      </c>
      <c r="G743" s="5">
        <v>36100000</v>
      </c>
      <c r="H743" s="5">
        <f>+(M743*26000)/0.829426</f>
        <v>39102222.500862047</v>
      </c>
      <c r="I743" s="5">
        <f>+G743-H743</f>
        <v>-3002222.5008620471</v>
      </c>
      <c r="J743" s="5">
        <v>3000000</v>
      </c>
      <c r="K743" s="5">
        <v>3310000</v>
      </c>
      <c r="L743" s="5">
        <v>3610000</v>
      </c>
      <c r="M743" s="7">
        <v>1247.4000000000001</v>
      </c>
      <c r="N743" s="5">
        <v>33600000</v>
      </c>
      <c r="O743" s="5">
        <v>36600000</v>
      </c>
      <c r="P743" s="3">
        <v>0.97916666666666663</v>
      </c>
    </row>
    <row r="744" spans="1:16" x14ac:dyDescent="0.25">
      <c r="A744" t="s">
        <v>469</v>
      </c>
      <c r="B744" s="2">
        <v>43452</v>
      </c>
      <c r="C744" t="str">
        <f>+"Tuáº§n "&amp;WEEKNUM(B744)</f>
        <v>Tuáº§n 51</v>
      </c>
      <c r="D744" t="s">
        <v>18</v>
      </c>
      <c r="E744" t="s">
        <v>17</v>
      </c>
      <c r="F744" s="5">
        <v>33100000</v>
      </c>
      <c r="G744" s="5">
        <v>36100000</v>
      </c>
      <c r="H744" s="5">
        <f>+(M744*26000)/0.829426</f>
        <v>39158647.064355351</v>
      </c>
      <c r="I744" s="5">
        <f>+G744-H744</f>
        <v>-3058647.064355351</v>
      </c>
      <c r="J744" s="5">
        <v>3000000</v>
      </c>
      <c r="K744" s="5">
        <v>3310000</v>
      </c>
      <c r="L744" s="5">
        <v>3610000</v>
      </c>
      <c r="M744" s="7">
        <v>1249.2</v>
      </c>
      <c r="N744" s="5">
        <v>33600000</v>
      </c>
      <c r="O744" s="5">
        <v>36600000</v>
      </c>
      <c r="P744" s="3">
        <v>0.97916666666666663</v>
      </c>
    </row>
    <row r="745" spans="1:16" x14ac:dyDescent="0.25">
      <c r="A745" t="s">
        <v>470</v>
      </c>
      <c r="B745" s="2">
        <v>43453</v>
      </c>
      <c r="C745" t="str">
        <f>+"Tuáº§n "&amp;WEEKNUM(B745)</f>
        <v>Tuáº§n 51</v>
      </c>
      <c r="D745" t="s">
        <v>19</v>
      </c>
      <c r="E745" t="s">
        <v>17</v>
      </c>
      <c r="F745" s="5">
        <v>33200000</v>
      </c>
      <c r="G745" s="5">
        <v>36200000</v>
      </c>
      <c r="H745" s="5">
        <f>+(M745*26000)/0.829426</f>
        <v>39249553.305539005</v>
      </c>
      <c r="I745" s="5">
        <f>+G745-H745</f>
        <v>-3049553.3055390045</v>
      </c>
      <c r="J745" s="5">
        <v>3000000</v>
      </c>
      <c r="K745" s="5">
        <v>3320000</v>
      </c>
      <c r="L745" s="5">
        <v>3620000</v>
      </c>
      <c r="M745" s="7">
        <v>1252.0999999999999</v>
      </c>
      <c r="N745" s="5">
        <v>33700000</v>
      </c>
      <c r="O745" s="5">
        <v>36700000</v>
      </c>
      <c r="P745" s="3">
        <v>0.97916666666666663</v>
      </c>
    </row>
    <row r="746" spans="1:16" x14ac:dyDescent="0.25">
      <c r="A746" t="s">
        <v>471</v>
      </c>
      <c r="B746" s="2">
        <v>43454</v>
      </c>
      <c r="C746" t="str">
        <f>+"Tuáº§n "&amp;WEEKNUM(B746)</f>
        <v>Tuáº§n 51</v>
      </c>
      <c r="D746" t="s">
        <v>20</v>
      </c>
      <c r="E746" t="s">
        <v>17</v>
      </c>
      <c r="F746" s="5">
        <v>33600000</v>
      </c>
      <c r="G746" s="5">
        <v>36600000</v>
      </c>
      <c r="H746" s="5">
        <f>+(M746*26000)/0.829426</f>
        <v>39610043.572301805</v>
      </c>
      <c r="I746" s="5">
        <f>+G746-H746</f>
        <v>-3010043.572301805</v>
      </c>
      <c r="J746" s="5">
        <v>3000000</v>
      </c>
      <c r="K746" s="5">
        <v>3360000</v>
      </c>
      <c r="L746" s="5">
        <v>3660000</v>
      </c>
      <c r="M746" s="7">
        <v>1263.5999999999999</v>
      </c>
      <c r="N746" s="5">
        <v>34100000</v>
      </c>
      <c r="O746" s="5">
        <v>37100000</v>
      </c>
      <c r="P746" s="3">
        <v>0.97916666666666663</v>
      </c>
    </row>
    <row r="747" spans="1:16" x14ac:dyDescent="0.25">
      <c r="A747" t="s">
        <v>472</v>
      </c>
      <c r="B747" s="2">
        <v>43455</v>
      </c>
      <c r="C747" t="str">
        <f>+"Tuáº§n "&amp;WEEKNUM(B747)</f>
        <v>Tuáº§n 51</v>
      </c>
      <c r="D747" t="s">
        <v>21</v>
      </c>
      <c r="E747" t="s">
        <v>17</v>
      </c>
      <c r="F747" s="5">
        <v>33300000</v>
      </c>
      <c r="G747" s="5">
        <v>36300000</v>
      </c>
      <c r="H747" s="5">
        <f>+(M747*26000)/0.829426</f>
        <v>39302843.171060465</v>
      </c>
      <c r="I747" s="5">
        <f>+G747-H747</f>
        <v>-3002843.1710604653</v>
      </c>
      <c r="J747" s="5">
        <v>3000000</v>
      </c>
      <c r="K747" s="5">
        <v>3330000</v>
      </c>
      <c r="L747" s="5">
        <v>3630000</v>
      </c>
      <c r="M747" s="7">
        <v>1253.8</v>
      </c>
      <c r="N747" s="5">
        <v>33800000</v>
      </c>
      <c r="O747" s="5">
        <v>36800000</v>
      </c>
      <c r="P747" s="3">
        <v>0.97916666666666663</v>
      </c>
    </row>
    <row r="748" spans="1:16" x14ac:dyDescent="0.25">
      <c r="A748" t="s">
        <v>473</v>
      </c>
      <c r="B748" s="2">
        <v>43458</v>
      </c>
      <c r="C748" t="str">
        <f>+"Tuáº§n "&amp;WEEKNUM(B748)</f>
        <v>Tuáº§n 52</v>
      </c>
      <c r="D748" t="s">
        <v>16</v>
      </c>
      <c r="E748" t="s">
        <v>17</v>
      </c>
      <c r="F748" s="5">
        <v>33700000</v>
      </c>
      <c r="G748" s="5">
        <v>36700000</v>
      </c>
      <c r="H748" s="5">
        <f>+(M748*26000)/0.829426</f>
        <v>39732296.793203972</v>
      </c>
      <c r="I748" s="5">
        <f>+G748-H748</f>
        <v>-3032296.7932039723</v>
      </c>
      <c r="J748" s="5">
        <v>3000000</v>
      </c>
      <c r="K748" s="5">
        <v>3370000</v>
      </c>
      <c r="L748" s="5">
        <v>3670000</v>
      </c>
      <c r="M748" s="7">
        <v>1267.5</v>
      </c>
      <c r="N748" s="5">
        <v>34200000</v>
      </c>
      <c r="O748" s="5">
        <v>37200000</v>
      </c>
      <c r="P748" s="3">
        <v>0.97916666666666663</v>
      </c>
    </row>
    <row r="749" spans="1:16" x14ac:dyDescent="0.25">
      <c r="A749" t="s">
        <v>474</v>
      </c>
      <c r="B749" s="2">
        <v>43460</v>
      </c>
      <c r="C749" t="str">
        <f>+"Tuáº§n "&amp;WEEKNUM(B749)</f>
        <v>Tuáº§n 52</v>
      </c>
      <c r="D749" t="s">
        <v>19</v>
      </c>
      <c r="E749" t="s">
        <v>17</v>
      </c>
      <c r="F749" s="5">
        <v>33700000</v>
      </c>
      <c r="G749" s="5">
        <v>36700000</v>
      </c>
      <c r="H749" s="5">
        <f>+(M749*26000)/0.829426</f>
        <v>39785586.658725433</v>
      </c>
      <c r="I749" s="5">
        <f>+G749-H749</f>
        <v>-3085586.6587254331</v>
      </c>
      <c r="J749" s="5">
        <v>3000000</v>
      </c>
      <c r="K749" s="5">
        <v>3370000</v>
      </c>
      <c r="L749" s="5">
        <v>3670000</v>
      </c>
      <c r="M749" s="7">
        <v>1269.2</v>
      </c>
      <c r="N749" s="5">
        <v>34200000</v>
      </c>
      <c r="O749" s="5">
        <v>37200000</v>
      </c>
      <c r="P749" s="3">
        <v>0.97916666666666663</v>
      </c>
    </row>
    <row r="750" spans="1:16" x14ac:dyDescent="0.25">
      <c r="A750" t="s">
        <v>475</v>
      </c>
      <c r="B750" s="2">
        <v>43461</v>
      </c>
      <c r="C750" t="str">
        <f>+"Tuáº§n "&amp;WEEKNUM(B750)</f>
        <v>Tuáº§n 52</v>
      </c>
      <c r="D750" t="s">
        <v>20</v>
      </c>
      <c r="E750" t="s">
        <v>17</v>
      </c>
      <c r="F750" s="5">
        <v>33900000</v>
      </c>
      <c r="G750" s="5">
        <v>36900000</v>
      </c>
      <c r="H750" s="5">
        <f>+(M750*26000)/0.829426</f>
        <v>40039497.194445312</v>
      </c>
      <c r="I750" s="5">
        <f>+G750-H750</f>
        <v>-3139497.194445312</v>
      </c>
      <c r="J750" s="5">
        <v>3000000</v>
      </c>
      <c r="K750" s="5">
        <v>3390000</v>
      </c>
      <c r="L750" s="5">
        <v>3690000</v>
      </c>
      <c r="M750" s="7">
        <v>1277.3</v>
      </c>
      <c r="N750" s="5">
        <v>34400000</v>
      </c>
      <c r="O750" s="5">
        <v>37400000</v>
      </c>
      <c r="P750" s="3">
        <v>0.97916666666666663</v>
      </c>
    </row>
    <row r="751" spans="1:16" x14ac:dyDescent="0.25">
      <c r="A751" t="s">
        <v>476</v>
      </c>
      <c r="B751" s="2">
        <v>43462</v>
      </c>
      <c r="C751" t="str">
        <f>+"Tuáº§n "&amp;WEEKNUM(B751)</f>
        <v>Tuáº§n 52</v>
      </c>
      <c r="D751" t="s">
        <v>21</v>
      </c>
      <c r="E751" t="s">
        <v>17</v>
      </c>
      <c r="F751" s="5">
        <v>34000000</v>
      </c>
      <c r="G751" s="5">
        <v>37000000</v>
      </c>
      <c r="H751" s="5">
        <f>+(M751*26000)/0.829426</f>
        <v>40120999.341713428</v>
      </c>
      <c r="I751" s="5">
        <f>+G751-H751</f>
        <v>-3120999.3417134285</v>
      </c>
      <c r="J751" s="5">
        <v>3000000</v>
      </c>
      <c r="K751" s="5">
        <v>3400000</v>
      </c>
      <c r="L751" s="5">
        <v>3700000</v>
      </c>
      <c r="M751" s="7">
        <v>1279.9000000000001</v>
      </c>
      <c r="N751" s="5">
        <v>34500000</v>
      </c>
      <c r="O751" s="5">
        <v>37500000</v>
      </c>
      <c r="P751" s="3">
        <v>0.97916666666666663</v>
      </c>
    </row>
    <row r="752" spans="1:16" x14ac:dyDescent="0.25">
      <c r="A752" t="s">
        <v>477</v>
      </c>
      <c r="B752" s="2">
        <v>43465</v>
      </c>
      <c r="C752" t="str">
        <f>+"Tuáº§n "&amp;WEEKNUM(B752)</f>
        <v>Tuáº§n 53</v>
      </c>
      <c r="D752" t="s">
        <v>16</v>
      </c>
      <c r="E752" t="s">
        <v>17</v>
      </c>
      <c r="F752" s="5">
        <v>34000000</v>
      </c>
      <c r="G752" s="5">
        <v>37000000</v>
      </c>
      <c r="H752" s="5">
        <f>+(M752*26000)/0.829426</f>
        <v>40070844.174163818</v>
      </c>
      <c r="I752" s="5">
        <f>+G752-H752</f>
        <v>-3070844.1741638184</v>
      </c>
      <c r="J752" s="5">
        <v>3000000</v>
      </c>
      <c r="K752" s="5">
        <v>3400000</v>
      </c>
      <c r="L752" s="5">
        <v>3700000</v>
      </c>
      <c r="M752" s="7">
        <v>1278.3</v>
      </c>
      <c r="N752" s="5">
        <v>34500000</v>
      </c>
      <c r="O752" s="5">
        <v>37500000</v>
      </c>
      <c r="P752" s="3">
        <v>0.97916666666666663</v>
      </c>
    </row>
    <row r="753" spans="1:16" x14ac:dyDescent="0.25">
      <c r="A753" s="2">
        <v>43497</v>
      </c>
      <c r="B753" s="2">
        <v>43467</v>
      </c>
      <c r="C753" t="str">
        <f>+"Tuáº§n "&amp;WEEKNUM(B753)</f>
        <v>Tuáº§n 1</v>
      </c>
      <c r="D753" t="s">
        <v>19</v>
      </c>
      <c r="E753" t="s">
        <v>17</v>
      </c>
      <c r="F753" s="5">
        <v>35000000</v>
      </c>
      <c r="G753" s="5">
        <v>38000000</v>
      </c>
      <c r="H753" s="5">
        <f>+(M753*26000)/0.829426</f>
        <v>40155481.019403778</v>
      </c>
      <c r="I753" s="5">
        <f>+G753-H753</f>
        <v>-2155481.019403778</v>
      </c>
      <c r="J753" s="5">
        <v>3000000</v>
      </c>
      <c r="K753" s="5">
        <v>3500000</v>
      </c>
      <c r="L753" s="5">
        <v>3800000</v>
      </c>
      <c r="M753" s="7">
        <v>1281</v>
      </c>
      <c r="N753" s="5">
        <v>35500000</v>
      </c>
      <c r="O753" s="5">
        <v>38500000</v>
      </c>
      <c r="P753" s="3">
        <v>0.97916666666666663</v>
      </c>
    </row>
    <row r="754" spans="1:16" x14ac:dyDescent="0.25">
      <c r="A754" s="2">
        <v>43525</v>
      </c>
      <c r="B754" s="2">
        <v>43468</v>
      </c>
      <c r="C754" t="str">
        <f>+"Tuáº§n "&amp;WEEKNUM(B754)</f>
        <v>Tuáº§n 1</v>
      </c>
      <c r="D754" t="s">
        <v>20</v>
      </c>
      <c r="E754" t="s">
        <v>17</v>
      </c>
      <c r="F754" s="5">
        <v>35300000</v>
      </c>
      <c r="G754" s="5">
        <v>38300000</v>
      </c>
      <c r="H754" s="5">
        <f>+(M754*26000)/0.829426</f>
        <v>40494028.400363624</v>
      </c>
      <c r="I754" s="5">
        <f>+G754-H754</f>
        <v>-2194028.4003636241</v>
      </c>
      <c r="J754" s="5">
        <v>3000000</v>
      </c>
      <c r="K754" s="5">
        <v>3530000</v>
      </c>
      <c r="L754" s="5">
        <v>3830000</v>
      </c>
      <c r="M754" s="7">
        <v>1291.8</v>
      </c>
      <c r="N754" s="5">
        <v>35800000</v>
      </c>
      <c r="O754" s="5">
        <v>38800000</v>
      </c>
      <c r="P754" s="3">
        <v>0.97916666666666663</v>
      </c>
    </row>
    <row r="755" spans="1:16" x14ac:dyDescent="0.25">
      <c r="A755" s="2">
        <v>43556</v>
      </c>
      <c r="B755" s="2">
        <v>43469</v>
      </c>
      <c r="C755" t="str">
        <f>+"Tuáº§n "&amp;WEEKNUM(B755)</f>
        <v>Tuáº§n 1</v>
      </c>
      <c r="D755" t="s">
        <v>21</v>
      </c>
      <c r="E755" t="s">
        <v>17</v>
      </c>
      <c r="F755" s="5">
        <v>35000000</v>
      </c>
      <c r="G755" s="5">
        <v>38000000</v>
      </c>
      <c r="H755" s="5">
        <f>+(M755*26000)/0.829426</f>
        <v>40208770.884925239</v>
      </c>
      <c r="I755" s="5">
        <f>+G755-H755</f>
        <v>-2208770.8849252388</v>
      </c>
      <c r="J755" s="5">
        <v>3000000</v>
      </c>
      <c r="K755" s="5">
        <v>3500000</v>
      </c>
      <c r="L755" s="5">
        <v>3800000</v>
      </c>
      <c r="M755" s="7">
        <v>1282.7</v>
      </c>
      <c r="N755" s="5">
        <v>35500000</v>
      </c>
      <c r="O755" s="5">
        <v>38500000</v>
      </c>
      <c r="P755" s="3">
        <v>0.97916666666666663</v>
      </c>
    </row>
    <row r="756" spans="1:16" x14ac:dyDescent="0.25">
      <c r="A756" s="2">
        <v>43647</v>
      </c>
      <c r="B756" s="2">
        <v>43472</v>
      </c>
      <c r="C756" t="str">
        <f>+"Tuáº§n "&amp;WEEKNUM(B756)</f>
        <v>Tuáº§n 2</v>
      </c>
      <c r="D756" t="s">
        <v>16</v>
      </c>
      <c r="E756" t="s">
        <v>17</v>
      </c>
      <c r="F756" s="5">
        <v>35200000</v>
      </c>
      <c r="G756" s="5">
        <v>38200000</v>
      </c>
      <c r="H756" s="5">
        <f>+(M756*26000)/0.829426</f>
        <v>40337293.501771107</v>
      </c>
      <c r="I756" s="5">
        <f>+G756-H756</f>
        <v>-2137293.5017711073</v>
      </c>
      <c r="J756" s="5">
        <v>3000000</v>
      </c>
      <c r="K756" s="5">
        <v>3520000</v>
      </c>
      <c r="L756" s="5">
        <v>3820000</v>
      </c>
      <c r="M756" s="7">
        <v>1286.8</v>
      </c>
      <c r="N756" s="5">
        <v>35700000</v>
      </c>
      <c r="O756" s="5">
        <v>38700000</v>
      </c>
      <c r="P756" s="3">
        <v>0.97916666666666663</v>
      </c>
    </row>
    <row r="757" spans="1:16" x14ac:dyDescent="0.25">
      <c r="A757" s="2">
        <v>43678</v>
      </c>
      <c r="B757" s="2">
        <v>43473</v>
      </c>
      <c r="C757" t="str">
        <f>+"Tuáº§n "&amp;WEEKNUM(B757)</f>
        <v>Tuáº§n 2</v>
      </c>
      <c r="D757" t="s">
        <v>18</v>
      </c>
      <c r="E757" t="s">
        <v>17</v>
      </c>
      <c r="F757" s="5">
        <v>35000000</v>
      </c>
      <c r="G757" s="5">
        <v>38000000</v>
      </c>
      <c r="H757" s="5">
        <f>+(M757*26000)/0.829426</f>
        <v>40224444.374784492</v>
      </c>
      <c r="I757" s="5">
        <f>+G757-H757</f>
        <v>-2224444.374784492</v>
      </c>
      <c r="J757" s="5">
        <v>3000000</v>
      </c>
      <c r="K757" s="5">
        <v>3500000</v>
      </c>
      <c r="L757" s="5">
        <v>3800000</v>
      </c>
      <c r="M757" s="7">
        <v>1283.2</v>
      </c>
      <c r="N757" s="5">
        <v>35500000</v>
      </c>
      <c r="O757" s="5">
        <v>38500000</v>
      </c>
      <c r="P757" s="3">
        <v>0.97916666666666663</v>
      </c>
    </row>
    <row r="758" spans="1:16" x14ac:dyDescent="0.25">
      <c r="A758" s="2">
        <v>43709</v>
      </c>
      <c r="B758" s="2">
        <v>43474</v>
      </c>
      <c r="C758" t="str">
        <f>+"Tuáº§n "&amp;WEEKNUM(B758)</f>
        <v>Tuáº§n 2</v>
      </c>
      <c r="D758" t="s">
        <v>19</v>
      </c>
      <c r="E758" t="s">
        <v>17</v>
      </c>
      <c r="F758" s="5">
        <v>35200000</v>
      </c>
      <c r="G758" s="5">
        <v>38200000</v>
      </c>
      <c r="H758" s="5">
        <f>+(M758*26000)/0.829426</f>
        <v>40415660.951067366</v>
      </c>
      <c r="I758" s="5">
        <f>+G758-H758</f>
        <v>-2215660.9510673657</v>
      </c>
      <c r="J758" s="5">
        <v>3000000</v>
      </c>
      <c r="K758" s="5">
        <v>3520000</v>
      </c>
      <c r="L758" s="5">
        <v>3820000</v>
      </c>
      <c r="M758" s="7">
        <v>1289.3</v>
      </c>
      <c r="N758" s="5">
        <v>35700000</v>
      </c>
      <c r="O758" s="5">
        <v>38700000</v>
      </c>
      <c r="P758" s="3">
        <v>0.97916666666666663</v>
      </c>
    </row>
    <row r="759" spans="1:16" x14ac:dyDescent="0.25">
      <c r="A759" s="2">
        <v>43739</v>
      </c>
      <c r="B759" s="2">
        <v>43475</v>
      </c>
      <c r="C759" t="str">
        <f>+"Tuáº§n "&amp;WEEKNUM(B759)</f>
        <v>Tuáº§n 2</v>
      </c>
      <c r="D759" t="s">
        <v>20</v>
      </c>
      <c r="E759" t="s">
        <v>17</v>
      </c>
      <c r="F759" s="5">
        <v>35100000</v>
      </c>
      <c r="G759" s="5">
        <v>38100000</v>
      </c>
      <c r="H759" s="5">
        <f>+(M759*26000)/0.829426</f>
        <v>40271464.844362244</v>
      </c>
      <c r="I759" s="5">
        <f>+G759-H759</f>
        <v>-2171464.844362244</v>
      </c>
      <c r="J759" s="5">
        <v>3000000</v>
      </c>
      <c r="K759" s="5">
        <v>3510000</v>
      </c>
      <c r="L759" s="5">
        <v>3810000</v>
      </c>
      <c r="M759" s="7">
        <v>1284.7</v>
      </c>
      <c r="N759" s="5">
        <v>35600000</v>
      </c>
      <c r="O759" s="5">
        <v>38600000</v>
      </c>
      <c r="P759" s="3">
        <v>0.97916666666666663</v>
      </c>
    </row>
    <row r="760" spans="1:16" x14ac:dyDescent="0.25">
      <c r="A760" s="2">
        <v>43770</v>
      </c>
      <c r="B760" s="2">
        <v>43476</v>
      </c>
      <c r="C760" t="str">
        <f>+"Tuáº§n "&amp;WEEKNUM(B760)</f>
        <v>Tuáº§n 2</v>
      </c>
      <c r="D760" t="s">
        <v>21</v>
      </c>
      <c r="E760" t="s">
        <v>17</v>
      </c>
      <c r="F760" s="5">
        <v>35200000</v>
      </c>
      <c r="G760" s="5">
        <v>38200000</v>
      </c>
      <c r="H760" s="5">
        <f>+(M760*26000)/0.829426</f>
        <v>40346697.595686652</v>
      </c>
      <c r="I760" s="5">
        <f>+G760-H760</f>
        <v>-2146697.5956866518</v>
      </c>
      <c r="J760" s="5">
        <v>3000000</v>
      </c>
      <c r="K760" s="5">
        <v>3520000</v>
      </c>
      <c r="L760" s="5">
        <v>3820000</v>
      </c>
      <c r="M760" s="7">
        <v>1287.0999999999999</v>
      </c>
      <c r="N760" s="5">
        <v>35700000</v>
      </c>
      <c r="O760" s="5">
        <v>38700000</v>
      </c>
      <c r="P760" s="3">
        <v>0.97916666666666663</v>
      </c>
    </row>
    <row r="761" spans="1:16" x14ac:dyDescent="0.25">
      <c r="A761" t="s">
        <v>478</v>
      </c>
      <c r="B761" s="2">
        <v>43479</v>
      </c>
      <c r="C761" t="str">
        <f>+"Tuáº§n "&amp;WEEKNUM(B761)</f>
        <v>Tuáº§n 3</v>
      </c>
      <c r="D761" t="s">
        <v>16</v>
      </c>
      <c r="E761" t="s">
        <v>17</v>
      </c>
      <c r="F761" s="5">
        <v>35200000</v>
      </c>
      <c r="G761" s="5">
        <v>38200000</v>
      </c>
      <c r="H761" s="5">
        <f>+(M761*26000)/0.829426</f>
        <v>40409391.555123657</v>
      </c>
      <c r="I761" s="5">
        <f>+G761-H761</f>
        <v>-2209391.555123657</v>
      </c>
      <c r="J761" s="5">
        <v>3000000</v>
      </c>
      <c r="K761" s="5">
        <v>3520000</v>
      </c>
      <c r="L761" s="5">
        <v>3820000</v>
      </c>
      <c r="M761" s="7">
        <v>1289.0999999999999</v>
      </c>
      <c r="N761" s="5">
        <v>35700000</v>
      </c>
      <c r="O761" s="5">
        <v>38700000</v>
      </c>
      <c r="P761" s="3">
        <v>0.97916666666666663</v>
      </c>
    </row>
    <row r="762" spans="1:16" x14ac:dyDescent="0.25">
      <c r="A762" t="s">
        <v>479</v>
      </c>
      <c r="B762" s="2">
        <v>43480</v>
      </c>
      <c r="C762" t="str">
        <f>+"Tuáº§n "&amp;WEEKNUM(B762)</f>
        <v>Tuáº§n 3</v>
      </c>
      <c r="D762" t="s">
        <v>18</v>
      </c>
      <c r="E762" t="s">
        <v>17</v>
      </c>
      <c r="F762" s="5">
        <v>35100000</v>
      </c>
      <c r="G762" s="5">
        <v>38100000</v>
      </c>
      <c r="H762" s="5">
        <f>+(M762*26000)/0.829426</f>
        <v>40318485.313940004</v>
      </c>
      <c r="I762" s="5">
        <f>+G762-H762</f>
        <v>-2218485.3139400035</v>
      </c>
      <c r="J762" s="5">
        <v>3000000</v>
      </c>
      <c r="K762" s="5">
        <v>3510000</v>
      </c>
      <c r="L762" s="5">
        <v>3810000</v>
      </c>
      <c r="M762" s="7">
        <v>1286.2</v>
      </c>
      <c r="N762" s="5">
        <v>35600000</v>
      </c>
      <c r="O762" s="5">
        <v>38600000</v>
      </c>
      <c r="P762" s="3">
        <v>0.97916666666666663</v>
      </c>
    </row>
    <row r="763" spans="1:16" x14ac:dyDescent="0.25">
      <c r="A763" t="s">
        <v>480</v>
      </c>
      <c r="B763" s="2">
        <v>43481</v>
      </c>
      <c r="C763" t="str">
        <f>+"Tuáº§n "&amp;WEEKNUM(B763)</f>
        <v>Tuáº§n 3</v>
      </c>
      <c r="D763" t="s">
        <v>19</v>
      </c>
      <c r="E763" t="s">
        <v>17</v>
      </c>
      <c r="F763" s="5">
        <v>35300000</v>
      </c>
      <c r="G763" s="5">
        <v>38300000</v>
      </c>
      <c r="H763" s="5">
        <f>+(M763*26000)/0.829426</f>
        <v>40487759.004419923</v>
      </c>
      <c r="I763" s="5">
        <f>+G763-H763</f>
        <v>-2187759.0044199228</v>
      </c>
      <c r="J763" s="5">
        <v>3000000</v>
      </c>
      <c r="K763" s="5">
        <v>3530000</v>
      </c>
      <c r="L763" s="5">
        <v>3830000</v>
      </c>
      <c r="M763" s="7">
        <v>1291.5999999999999</v>
      </c>
      <c r="N763" s="5">
        <v>35800000</v>
      </c>
      <c r="O763" s="5">
        <v>38800000</v>
      </c>
      <c r="P763" s="3">
        <v>0.97916666666666663</v>
      </c>
    </row>
    <row r="764" spans="1:16" x14ac:dyDescent="0.25">
      <c r="A764" t="s">
        <v>481</v>
      </c>
      <c r="B764" s="2">
        <v>43482</v>
      </c>
      <c r="C764" t="str">
        <f>+"Tuáº§n "&amp;WEEKNUM(B764)</f>
        <v>Tuáº§n 3</v>
      </c>
      <c r="D764" t="s">
        <v>20</v>
      </c>
      <c r="E764" t="s">
        <v>17</v>
      </c>
      <c r="F764" s="5">
        <v>35300000</v>
      </c>
      <c r="G764" s="5">
        <v>38300000</v>
      </c>
      <c r="H764" s="5">
        <f>+(M764*26000)/0.829426</f>
        <v>40468950.816588819</v>
      </c>
      <c r="I764" s="5">
        <f>+G764-H764</f>
        <v>-2168950.816588819</v>
      </c>
      <c r="J764" s="5">
        <v>3000000</v>
      </c>
      <c r="K764" s="5">
        <v>3530000</v>
      </c>
      <c r="L764" s="5">
        <v>3830000</v>
      </c>
      <c r="M764" s="7">
        <v>1291</v>
      </c>
      <c r="N764" s="5">
        <v>35800000</v>
      </c>
      <c r="O764" s="5">
        <v>38800000</v>
      </c>
      <c r="P764" s="3">
        <v>0.97916666666666663</v>
      </c>
    </row>
    <row r="765" spans="1:16" x14ac:dyDescent="0.25">
      <c r="A765" t="s">
        <v>482</v>
      </c>
      <c r="B765" s="2">
        <v>43483</v>
      </c>
      <c r="C765" t="str">
        <f>+"Tuáº§n "&amp;WEEKNUM(B765)</f>
        <v>Tuáº§n 3</v>
      </c>
      <c r="D765" t="s">
        <v>21</v>
      </c>
      <c r="E765" t="s">
        <v>17</v>
      </c>
      <c r="F765" s="5">
        <v>35000000</v>
      </c>
      <c r="G765" s="5">
        <v>38000000</v>
      </c>
      <c r="H765" s="5">
        <f>+(M765*26000)/0.829426</f>
        <v>40164885.11331933</v>
      </c>
      <c r="I765" s="5">
        <f>+G765-H765</f>
        <v>-2164885.1133193299</v>
      </c>
      <c r="J765" s="5">
        <v>3000000</v>
      </c>
      <c r="K765" s="5">
        <v>3500000</v>
      </c>
      <c r="L765" s="5">
        <v>3800000</v>
      </c>
      <c r="M765" s="7">
        <v>1281.3</v>
      </c>
      <c r="N765" s="5">
        <v>35500000</v>
      </c>
      <c r="O765" s="5">
        <v>38500000</v>
      </c>
      <c r="P765" s="3">
        <v>0.97916666666666663</v>
      </c>
    </row>
    <row r="766" spans="1:16" x14ac:dyDescent="0.25">
      <c r="A766" t="s">
        <v>483</v>
      </c>
      <c r="B766" s="2">
        <v>43487</v>
      </c>
      <c r="C766" t="str">
        <f>+"Tuáº§n "&amp;WEEKNUM(B766)</f>
        <v>Tuáº§n 4</v>
      </c>
      <c r="D766" t="s">
        <v>18</v>
      </c>
      <c r="E766" t="s">
        <v>17</v>
      </c>
      <c r="F766" s="5">
        <v>35000000</v>
      </c>
      <c r="G766" s="5">
        <v>38000000</v>
      </c>
      <c r="H766" s="5">
        <f>+(M766*26000)/0.829426</f>
        <v>40202501.488981538</v>
      </c>
      <c r="I766" s="5">
        <f>+G766-H766</f>
        <v>-2202501.4889815375</v>
      </c>
      <c r="J766" s="5">
        <v>3000000</v>
      </c>
      <c r="K766" s="5">
        <v>3500000</v>
      </c>
      <c r="L766" s="5">
        <v>3800000</v>
      </c>
      <c r="M766" s="7">
        <v>1282.5</v>
      </c>
      <c r="N766" s="5">
        <v>35500000</v>
      </c>
      <c r="O766" s="5">
        <v>38500000</v>
      </c>
      <c r="P766" s="3">
        <v>0.97916666666666663</v>
      </c>
    </row>
    <row r="767" spans="1:16" x14ac:dyDescent="0.25">
      <c r="A767" t="s">
        <v>484</v>
      </c>
      <c r="B767" s="2">
        <v>43488</v>
      </c>
      <c r="C767" t="str">
        <f>+"Tuáº§n "&amp;WEEKNUM(B767)</f>
        <v>Tuáº§n 4</v>
      </c>
      <c r="D767" t="s">
        <v>19</v>
      </c>
      <c r="E767" t="s">
        <v>17</v>
      </c>
      <c r="F767" s="5">
        <v>35000000</v>
      </c>
      <c r="G767" s="5">
        <v>38000000</v>
      </c>
      <c r="H767" s="5">
        <f>+(M767*26000)/0.829426</f>
        <v>40221309.676812634</v>
      </c>
      <c r="I767" s="5">
        <f>+G767-H767</f>
        <v>-2221309.6768126339</v>
      </c>
      <c r="J767" s="5">
        <v>3000000</v>
      </c>
      <c r="K767" s="5">
        <v>3500000</v>
      </c>
      <c r="L767" s="5">
        <v>3800000</v>
      </c>
      <c r="M767" s="7">
        <v>1283.0999999999999</v>
      </c>
      <c r="N767" s="5">
        <v>35500000</v>
      </c>
      <c r="O767" s="5">
        <v>38500000</v>
      </c>
      <c r="P767" s="3">
        <v>0.97916666666666663</v>
      </c>
    </row>
    <row r="768" spans="1:16" x14ac:dyDescent="0.25">
      <c r="A768" t="s">
        <v>485</v>
      </c>
      <c r="B768" s="2">
        <v>43489</v>
      </c>
      <c r="C768" t="str">
        <f>+"Tuáº§n "&amp;WEEKNUM(B768)</f>
        <v>Tuáº§n 4</v>
      </c>
      <c r="D768" t="s">
        <v>20</v>
      </c>
      <c r="E768" t="s">
        <v>17</v>
      </c>
      <c r="F768" s="5">
        <v>34900000</v>
      </c>
      <c r="G768" s="5">
        <v>37900000</v>
      </c>
      <c r="H768" s="5">
        <f>+(M768*26000)/0.829426</f>
        <v>40095921.757938616</v>
      </c>
      <c r="I768" s="5">
        <f>+G768-H768</f>
        <v>-2195921.757938616</v>
      </c>
      <c r="J768" s="5">
        <v>3000000</v>
      </c>
      <c r="K768" s="5">
        <v>3490000</v>
      </c>
      <c r="L768" s="5">
        <v>3790000</v>
      </c>
      <c r="M768" s="7">
        <v>1279.0999999999999</v>
      </c>
      <c r="N768" s="5">
        <v>35400000</v>
      </c>
      <c r="O768" s="5">
        <v>38400000</v>
      </c>
      <c r="P768" s="3">
        <v>0.97916666666666663</v>
      </c>
    </row>
    <row r="769" spans="1:16" x14ac:dyDescent="0.25">
      <c r="A769" t="s">
        <v>486</v>
      </c>
      <c r="B769" s="2">
        <v>43490</v>
      </c>
      <c r="C769" t="str">
        <f>+"Tuáº§n "&amp;WEEKNUM(B769)</f>
        <v>Tuáº§n 4</v>
      </c>
      <c r="D769" t="s">
        <v>21</v>
      </c>
      <c r="E769" t="s">
        <v>17</v>
      </c>
      <c r="F769" s="5">
        <v>35500000</v>
      </c>
      <c r="G769" s="5">
        <v>38500000</v>
      </c>
      <c r="H769" s="5">
        <f>+(M769*26000)/0.829426</f>
        <v>40669571.486787245</v>
      </c>
      <c r="I769" s="5">
        <f>+G769-H769</f>
        <v>-2169571.4867872447</v>
      </c>
      <c r="J769" s="5">
        <v>3000000</v>
      </c>
      <c r="K769" s="5">
        <v>3550000</v>
      </c>
      <c r="L769" s="5">
        <v>3850000</v>
      </c>
      <c r="M769" s="7">
        <v>1297.4000000000001</v>
      </c>
      <c r="N769" s="5">
        <v>36000000</v>
      </c>
      <c r="O769" s="5">
        <v>39000000</v>
      </c>
      <c r="P769" s="3">
        <v>0.97916666666666663</v>
      </c>
    </row>
    <row r="770" spans="1:16" x14ac:dyDescent="0.25">
      <c r="A770" t="s">
        <v>487</v>
      </c>
      <c r="B770" s="2">
        <v>43493</v>
      </c>
      <c r="C770" t="str">
        <f>+"Tuáº§n "&amp;WEEKNUM(B770)</f>
        <v>Tuáº§n 5</v>
      </c>
      <c r="D770" t="s">
        <v>16</v>
      </c>
      <c r="E770" t="s">
        <v>17</v>
      </c>
      <c r="F770" s="5">
        <v>35600000</v>
      </c>
      <c r="G770" s="5">
        <v>38600000</v>
      </c>
      <c r="H770" s="5">
        <f>+(M770*26000)/0.829426</f>
        <v>40826306.385379769</v>
      </c>
      <c r="I770" s="5">
        <f>+G770-H770</f>
        <v>-2226306.3853797689</v>
      </c>
      <c r="J770" s="5">
        <v>3000000</v>
      </c>
      <c r="K770" s="5">
        <v>3560000</v>
      </c>
      <c r="L770" s="5">
        <v>3860000</v>
      </c>
      <c r="M770" s="7">
        <v>1302.4000000000001</v>
      </c>
      <c r="N770" s="5">
        <v>36100000</v>
      </c>
      <c r="O770" s="5">
        <v>39100000</v>
      </c>
      <c r="P770" s="3">
        <v>0.97916666666666663</v>
      </c>
    </row>
    <row r="771" spans="1:16" x14ac:dyDescent="0.25">
      <c r="A771" t="s">
        <v>488</v>
      </c>
      <c r="B771" s="2">
        <v>43494</v>
      </c>
      <c r="C771" t="str">
        <f>+"Tuáº§n "&amp;WEEKNUM(B771)</f>
        <v>Tuáº§n 5</v>
      </c>
      <c r="D771" t="s">
        <v>18</v>
      </c>
      <c r="E771" t="s">
        <v>17</v>
      </c>
      <c r="F771" s="5">
        <v>35800000</v>
      </c>
      <c r="G771" s="5">
        <v>38800000</v>
      </c>
      <c r="H771" s="5">
        <f>+(M771*26000)/0.829426</f>
        <v>41008118.867747091</v>
      </c>
      <c r="I771" s="5">
        <f>+G771-H771</f>
        <v>-2208118.8677470908</v>
      </c>
      <c r="J771" s="5">
        <v>3000000</v>
      </c>
      <c r="K771" s="5">
        <v>3580000</v>
      </c>
      <c r="L771" s="5">
        <v>3880000</v>
      </c>
      <c r="M771" s="7">
        <v>1308.2</v>
      </c>
      <c r="N771" s="5">
        <v>36300000</v>
      </c>
      <c r="O771" s="5">
        <v>39300000</v>
      </c>
      <c r="P771" s="3">
        <v>0.97916666666666663</v>
      </c>
    </row>
    <row r="772" spans="1:16" x14ac:dyDescent="0.25">
      <c r="A772" t="s">
        <v>489</v>
      </c>
      <c r="B772" s="2">
        <v>43495</v>
      </c>
      <c r="C772" t="str">
        <f>+"Tuáº§n "&amp;WEEKNUM(B772)</f>
        <v>Tuáº§n 5</v>
      </c>
      <c r="D772" t="s">
        <v>19</v>
      </c>
      <c r="E772" t="s">
        <v>17</v>
      </c>
      <c r="F772" s="5">
        <v>35800000</v>
      </c>
      <c r="G772" s="5">
        <v>38800000</v>
      </c>
      <c r="H772" s="5">
        <f>+(M772*26000)/0.829426</f>
        <v>41061408.733268552</v>
      </c>
      <c r="I772" s="5">
        <f>+G772-H772</f>
        <v>-2261408.7332685515</v>
      </c>
      <c r="J772" s="5">
        <v>3000000</v>
      </c>
      <c r="K772" s="5">
        <v>3580000</v>
      </c>
      <c r="L772" s="5">
        <v>3880000</v>
      </c>
      <c r="M772" s="7">
        <v>1309.9000000000001</v>
      </c>
      <c r="N772" s="5">
        <v>36300000</v>
      </c>
      <c r="O772" s="5">
        <v>39300000</v>
      </c>
      <c r="P772" s="3">
        <v>0.97916666666666663</v>
      </c>
    </row>
    <row r="773" spans="1:16" x14ac:dyDescent="0.25">
      <c r="A773" t="s">
        <v>490</v>
      </c>
      <c r="B773" s="2">
        <v>43496</v>
      </c>
      <c r="C773" t="str">
        <f>+"Tuáº§n "&amp;WEEKNUM(B773)</f>
        <v>Tuáº§n 5</v>
      </c>
      <c r="D773" t="s">
        <v>20</v>
      </c>
      <c r="E773" t="s">
        <v>17</v>
      </c>
      <c r="F773" s="5">
        <v>36100000</v>
      </c>
      <c r="G773" s="5">
        <v>39100000</v>
      </c>
      <c r="H773" s="5">
        <f>+(M773*26000)/0.829426</f>
        <v>41368609.134509891</v>
      </c>
      <c r="I773" s="5">
        <f>+G773-H773</f>
        <v>-2268609.1345098913</v>
      </c>
      <c r="J773" s="5">
        <v>3000000</v>
      </c>
      <c r="K773" s="5">
        <v>3610000</v>
      </c>
      <c r="L773" s="5">
        <v>3910000</v>
      </c>
      <c r="M773" s="7">
        <v>1319.7</v>
      </c>
      <c r="N773" s="5">
        <v>36600000</v>
      </c>
      <c r="O773" s="5">
        <v>39600000</v>
      </c>
      <c r="P773" s="3">
        <v>0.97916666666666663</v>
      </c>
    </row>
    <row r="774" spans="1:16" x14ac:dyDescent="0.25">
      <c r="A774" s="2">
        <v>43467</v>
      </c>
      <c r="B774" s="2">
        <v>43497</v>
      </c>
      <c r="C774" t="str">
        <f>+"Tuáº§n "&amp;WEEKNUM(B774)</f>
        <v>Tuáº§n 5</v>
      </c>
      <c r="D774" t="s">
        <v>21</v>
      </c>
      <c r="E774" t="s">
        <v>17</v>
      </c>
      <c r="F774" s="5">
        <v>36000000</v>
      </c>
      <c r="G774" s="5">
        <v>39000000</v>
      </c>
      <c r="H774" s="5">
        <f>+(M774*26000)/0.829426</f>
        <v>41280837.591298081</v>
      </c>
      <c r="I774" s="5">
        <f>+G774-H774</f>
        <v>-2280837.591298081</v>
      </c>
      <c r="J774" s="5">
        <v>3000000</v>
      </c>
      <c r="K774" s="5">
        <v>3600000</v>
      </c>
      <c r="L774" s="5">
        <v>3900000</v>
      </c>
      <c r="M774" s="7">
        <v>1316.9</v>
      </c>
      <c r="N774" s="5">
        <v>36500000</v>
      </c>
      <c r="O774" s="5">
        <v>39500000</v>
      </c>
      <c r="P774" s="3">
        <v>0.97916666666666663</v>
      </c>
    </row>
    <row r="775" spans="1:16" x14ac:dyDescent="0.25">
      <c r="A775" s="2">
        <v>43557</v>
      </c>
      <c r="B775" s="2">
        <v>43500</v>
      </c>
      <c r="C775" t="str">
        <f>+"Tuáº§n "&amp;WEEKNUM(B775)</f>
        <v>Tuáº§n 6</v>
      </c>
      <c r="D775" t="s">
        <v>16</v>
      </c>
      <c r="E775" t="s">
        <v>17</v>
      </c>
      <c r="F775" s="5">
        <v>36000000</v>
      </c>
      <c r="G775" s="5">
        <v>39000000</v>
      </c>
      <c r="H775" s="5">
        <f>+(M775*26000)/0.829426</f>
        <v>41199335.444029965</v>
      </c>
      <c r="I775" s="5">
        <f>+G775-H775</f>
        <v>-2199335.4440299645</v>
      </c>
      <c r="J775" s="5">
        <v>3000000</v>
      </c>
      <c r="K775" s="5">
        <v>3600000</v>
      </c>
      <c r="L775" s="5">
        <v>3900000</v>
      </c>
      <c r="M775" s="7">
        <v>1314.3</v>
      </c>
      <c r="N775" s="5">
        <v>36500000</v>
      </c>
      <c r="O775" s="5">
        <v>39500000</v>
      </c>
      <c r="P775" s="3">
        <v>0.97916666666666663</v>
      </c>
    </row>
    <row r="776" spans="1:16" x14ac:dyDescent="0.25">
      <c r="A776" s="2">
        <v>43587</v>
      </c>
      <c r="B776" s="2">
        <v>43501</v>
      </c>
      <c r="C776" t="str">
        <f>+"Tuáº§n "&amp;WEEKNUM(B776)</f>
        <v>Tuáº§n 6</v>
      </c>
      <c r="D776" t="s">
        <v>18</v>
      </c>
      <c r="E776" t="s">
        <v>17</v>
      </c>
      <c r="F776" s="5">
        <v>36000000</v>
      </c>
      <c r="G776" s="5">
        <v>39000000</v>
      </c>
      <c r="H776" s="5">
        <f>+(M776*26000)/0.829426</f>
        <v>41196200.746058114</v>
      </c>
      <c r="I776" s="5">
        <f>+G776-H776</f>
        <v>-2196200.7460581139</v>
      </c>
      <c r="J776" s="5">
        <v>3000000</v>
      </c>
      <c r="K776" s="5">
        <v>3600000</v>
      </c>
      <c r="L776" s="5">
        <v>3900000</v>
      </c>
      <c r="M776" s="7">
        <v>1314.2</v>
      </c>
      <c r="N776" s="5">
        <v>36500000</v>
      </c>
      <c r="O776" s="5">
        <v>39500000</v>
      </c>
      <c r="P776" s="3">
        <v>0.97916666666666663</v>
      </c>
    </row>
    <row r="777" spans="1:16" x14ac:dyDescent="0.25">
      <c r="A777" s="2">
        <v>43618</v>
      </c>
      <c r="B777" s="2">
        <v>43502</v>
      </c>
      <c r="C777" t="str">
        <f>+"Tuáº§n "&amp;WEEKNUM(B777)</f>
        <v>Tuáº§n 6</v>
      </c>
      <c r="D777" t="s">
        <v>19</v>
      </c>
      <c r="E777" t="s">
        <v>17</v>
      </c>
      <c r="F777" s="5">
        <v>35800000</v>
      </c>
      <c r="G777" s="5">
        <v>38800000</v>
      </c>
      <c r="H777" s="5">
        <f>+(M777*26000)/0.829426</f>
        <v>41048869.941381149</v>
      </c>
      <c r="I777" s="5">
        <f>+G777-H777</f>
        <v>-2248869.941381149</v>
      </c>
      <c r="J777" s="5">
        <v>3000000</v>
      </c>
      <c r="K777" s="5">
        <v>3580000</v>
      </c>
      <c r="L777" s="5">
        <v>3880000</v>
      </c>
      <c r="M777" s="7">
        <v>1309.5</v>
      </c>
      <c r="N777" s="5">
        <v>36300000</v>
      </c>
      <c r="O777" s="5">
        <v>39300000</v>
      </c>
      <c r="P777" s="3">
        <v>0.97916666666666663</v>
      </c>
    </row>
    <row r="778" spans="1:16" x14ac:dyDescent="0.25">
      <c r="A778" s="2">
        <v>43648</v>
      </c>
      <c r="B778" s="2">
        <v>43503</v>
      </c>
      <c r="C778" t="str">
        <f>+"Tuáº§n "&amp;WEEKNUM(B778)</f>
        <v>Tuáº§n 6</v>
      </c>
      <c r="D778" t="s">
        <v>20</v>
      </c>
      <c r="E778" t="s">
        <v>17</v>
      </c>
      <c r="F778" s="5">
        <v>35800000</v>
      </c>
      <c r="G778" s="5">
        <v>38800000</v>
      </c>
      <c r="H778" s="5">
        <f>+(M778*26000)/0.829426</f>
        <v>41045735.243409298</v>
      </c>
      <c r="I778" s="5">
        <f>+G778-H778</f>
        <v>-2245735.2434092984</v>
      </c>
      <c r="J778" s="5">
        <v>3000000</v>
      </c>
      <c r="K778" s="5">
        <v>3580000</v>
      </c>
      <c r="L778" s="5">
        <v>3880000</v>
      </c>
      <c r="M778" s="7">
        <v>1309.4000000000001</v>
      </c>
      <c r="N778" s="5">
        <v>36300000</v>
      </c>
      <c r="O778" s="5">
        <v>39300000</v>
      </c>
      <c r="P778" s="3">
        <v>0.97916666666666663</v>
      </c>
    </row>
    <row r="779" spans="1:16" x14ac:dyDescent="0.25">
      <c r="A779" s="2">
        <v>43679</v>
      </c>
      <c r="B779" s="2">
        <v>43504</v>
      </c>
      <c r="C779" t="str">
        <f>+"Tuáº§n "&amp;WEEKNUM(B779)</f>
        <v>Tuáº§n 6</v>
      </c>
      <c r="D779" t="s">
        <v>21</v>
      </c>
      <c r="E779" t="s">
        <v>17</v>
      </c>
      <c r="F779" s="5">
        <v>36000000</v>
      </c>
      <c r="G779" s="5">
        <v>39000000</v>
      </c>
      <c r="H779" s="5">
        <f>+(M779*26000)/0.829426</f>
        <v>41180527.256198868</v>
      </c>
      <c r="I779" s="5">
        <f>+G779-H779</f>
        <v>-2180527.2561988682</v>
      </c>
      <c r="J779" s="5">
        <v>3000000</v>
      </c>
      <c r="K779" s="5">
        <v>3600000</v>
      </c>
      <c r="L779" s="5">
        <v>3900000</v>
      </c>
      <c r="M779" s="7">
        <v>1313.7</v>
      </c>
      <c r="N779" s="5">
        <v>36500000</v>
      </c>
      <c r="O779" s="5">
        <v>39500000</v>
      </c>
      <c r="P779" s="3">
        <v>0.97916666666666663</v>
      </c>
    </row>
    <row r="780" spans="1:16" x14ac:dyDescent="0.25">
      <c r="A780" s="2">
        <v>43771</v>
      </c>
      <c r="B780" s="2">
        <v>43507</v>
      </c>
      <c r="C780" t="str">
        <f>+"Tuáº§n "&amp;WEEKNUM(B780)</f>
        <v>Tuáº§n 7</v>
      </c>
      <c r="D780" t="s">
        <v>16</v>
      </c>
      <c r="E780" t="s">
        <v>17</v>
      </c>
      <c r="F780" s="5">
        <v>35800000</v>
      </c>
      <c r="G780" s="5">
        <v>38800000</v>
      </c>
      <c r="H780" s="5">
        <f>+(M780*26000)/0.829426</f>
        <v>40970502.492084891</v>
      </c>
      <c r="I780" s="5">
        <f>+G780-H780</f>
        <v>-2170502.4920848906</v>
      </c>
      <c r="J780" s="5">
        <v>3000000</v>
      </c>
      <c r="K780" s="5">
        <v>3580000</v>
      </c>
      <c r="L780" s="5">
        <v>3880000</v>
      </c>
      <c r="M780" s="7">
        <v>1307</v>
      </c>
      <c r="N780" s="5">
        <v>36300000</v>
      </c>
      <c r="O780" s="5">
        <v>39300000</v>
      </c>
      <c r="P780" s="3">
        <v>0.97916666666666663</v>
      </c>
    </row>
    <row r="781" spans="1:16" x14ac:dyDescent="0.25">
      <c r="A781" s="2">
        <v>43801</v>
      </c>
      <c r="B781" s="2">
        <v>43508</v>
      </c>
      <c r="C781" t="str">
        <f>+"Tuáº§n "&amp;WEEKNUM(B781)</f>
        <v>Tuáº§n 7</v>
      </c>
      <c r="D781" t="s">
        <v>18</v>
      </c>
      <c r="E781" t="s">
        <v>17</v>
      </c>
      <c r="F781" s="5">
        <v>35800000</v>
      </c>
      <c r="G781" s="5">
        <v>38800000</v>
      </c>
      <c r="H781" s="5">
        <f>+(M781*26000)/0.829426</f>
        <v>41039465.847465597</v>
      </c>
      <c r="I781" s="5">
        <f>+G781-H781</f>
        <v>-2239465.8474655971</v>
      </c>
      <c r="J781" s="5">
        <v>3000000</v>
      </c>
      <c r="K781" s="5">
        <v>3580000</v>
      </c>
      <c r="L781" s="5">
        <v>3880000</v>
      </c>
      <c r="M781" s="7">
        <v>1309.2</v>
      </c>
      <c r="N781" s="5">
        <v>36300000</v>
      </c>
      <c r="O781" s="5">
        <v>39300000</v>
      </c>
      <c r="P781" s="3">
        <v>0.97916666666666663</v>
      </c>
    </row>
    <row r="782" spans="1:16" x14ac:dyDescent="0.25">
      <c r="A782" t="s">
        <v>491</v>
      </c>
      <c r="B782" s="2">
        <v>43509</v>
      </c>
      <c r="C782" t="str">
        <f>+"Tuáº§n "&amp;WEEKNUM(B782)</f>
        <v>Tuáº§n 7</v>
      </c>
      <c r="D782" t="s">
        <v>19</v>
      </c>
      <c r="E782" t="s">
        <v>17</v>
      </c>
      <c r="F782" s="5">
        <v>35900000</v>
      </c>
      <c r="G782" s="5">
        <v>38900000</v>
      </c>
      <c r="H782" s="5">
        <f>+(M782*26000)/0.829426</f>
        <v>41089621.0150152</v>
      </c>
      <c r="I782" s="5">
        <f>+G782-H782</f>
        <v>-2189621.0150151998</v>
      </c>
      <c r="J782" s="5">
        <v>3000000</v>
      </c>
      <c r="K782" s="5">
        <v>3590000</v>
      </c>
      <c r="L782" s="5">
        <v>3890000</v>
      </c>
      <c r="M782" s="7">
        <v>1310.8</v>
      </c>
      <c r="N782" s="5">
        <v>36400000</v>
      </c>
      <c r="O782" s="5">
        <v>39400000</v>
      </c>
      <c r="P782" s="3">
        <v>0.97916666666666663</v>
      </c>
    </row>
    <row r="783" spans="1:16" x14ac:dyDescent="0.25">
      <c r="A783" t="s">
        <v>492</v>
      </c>
      <c r="B783" s="2">
        <v>43510</v>
      </c>
      <c r="C783" t="str">
        <f>+"Tuáº§n "&amp;WEEKNUM(B783)</f>
        <v>Tuáº§n 7</v>
      </c>
      <c r="D783" t="s">
        <v>20</v>
      </c>
      <c r="E783" t="s">
        <v>17</v>
      </c>
      <c r="F783" s="5">
        <v>35800000</v>
      </c>
      <c r="G783" s="5">
        <v>38800000</v>
      </c>
      <c r="H783" s="5">
        <f>+(M783*26000)/0.829426</f>
        <v>41058274.035296701</v>
      </c>
      <c r="I783" s="5">
        <f>+G783-H783</f>
        <v>-2258274.0352967009</v>
      </c>
      <c r="J783" s="5">
        <v>3000000</v>
      </c>
      <c r="K783" s="5">
        <v>3580000</v>
      </c>
      <c r="L783" s="5">
        <v>3880000</v>
      </c>
      <c r="M783" s="7">
        <v>1309.8</v>
      </c>
      <c r="N783" s="5">
        <v>36300000</v>
      </c>
      <c r="O783" s="5">
        <v>39300000</v>
      </c>
      <c r="P783" s="3">
        <v>0.97916666666666663</v>
      </c>
    </row>
    <row r="784" spans="1:16" x14ac:dyDescent="0.25">
      <c r="A784" t="s">
        <v>493</v>
      </c>
      <c r="B784" s="2">
        <v>43511</v>
      </c>
      <c r="C784" t="str">
        <f>+"Tuáº§n "&amp;WEEKNUM(B784)</f>
        <v>Tuáº§n 7</v>
      </c>
      <c r="D784" t="s">
        <v>21</v>
      </c>
      <c r="E784" t="s">
        <v>17</v>
      </c>
      <c r="F784" s="5">
        <v>36100000</v>
      </c>
      <c r="G784" s="5">
        <v>39100000</v>
      </c>
      <c r="H784" s="5">
        <f>+(M784*26000)/0.829426</f>
        <v>41318453.966960281</v>
      </c>
      <c r="I784" s="5">
        <f>+G784-H784</f>
        <v>-2218453.9669602811</v>
      </c>
      <c r="J784" s="5">
        <v>3000000</v>
      </c>
      <c r="K784" s="5">
        <v>3610000</v>
      </c>
      <c r="L784" s="5">
        <v>3910000</v>
      </c>
      <c r="M784" s="7">
        <v>1318.1</v>
      </c>
      <c r="N784" s="5">
        <v>36600000</v>
      </c>
      <c r="O784" s="5">
        <v>39600000</v>
      </c>
      <c r="P784" s="3">
        <v>0.97916666666666663</v>
      </c>
    </row>
    <row r="785" spans="1:16" x14ac:dyDescent="0.25">
      <c r="A785" t="s">
        <v>494</v>
      </c>
      <c r="B785" s="2">
        <v>43515</v>
      </c>
      <c r="C785" t="str">
        <f>+"Tuáº§n "&amp;WEEKNUM(B785)</f>
        <v>Tuáº§n 8</v>
      </c>
      <c r="D785" t="s">
        <v>18</v>
      </c>
      <c r="E785" t="s">
        <v>17</v>
      </c>
      <c r="F785" s="5">
        <v>36700000</v>
      </c>
      <c r="G785" s="5">
        <v>39700000</v>
      </c>
      <c r="H785" s="5">
        <f>+(M785*26000)/0.829426</f>
        <v>42008087.520767376</v>
      </c>
      <c r="I785" s="5">
        <f>+G785-H785</f>
        <v>-2308087.5207673758</v>
      </c>
      <c r="J785" s="5">
        <v>3000000</v>
      </c>
      <c r="K785" s="5">
        <v>3670000</v>
      </c>
      <c r="L785" s="5">
        <v>3970000</v>
      </c>
      <c r="M785" s="7">
        <v>1340.1</v>
      </c>
      <c r="N785" s="5">
        <v>37200000</v>
      </c>
      <c r="O785" s="5">
        <v>40200000</v>
      </c>
      <c r="P785" s="3">
        <v>0.97916666666666663</v>
      </c>
    </row>
    <row r="786" spans="1:16" x14ac:dyDescent="0.25">
      <c r="A786" t="s">
        <v>495</v>
      </c>
      <c r="B786" s="2">
        <v>43516</v>
      </c>
      <c r="C786" t="str">
        <f>+"Tuáº§n "&amp;WEEKNUM(B786)</f>
        <v>Tuáº§n 8</v>
      </c>
      <c r="D786" t="s">
        <v>19</v>
      </c>
      <c r="E786" t="s">
        <v>17</v>
      </c>
      <c r="F786" s="5">
        <v>36800000</v>
      </c>
      <c r="G786" s="5">
        <v>39800000</v>
      </c>
      <c r="H786" s="5">
        <f>+(M786*26000)/0.829426</f>
        <v>42108397.855866589</v>
      </c>
      <c r="I786" s="5">
        <f>+G786-H786</f>
        <v>-2308397.8558665887</v>
      </c>
      <c r="J786" s="5">
        <v>3000000</v>
      </c>
      <c r="K786" s="5">
        <v>3680000</v>
      </c>
      <c r="L786" s="5">
        <v>3980000</v>
      </c>
      <c r="M786" s="7">
        <v>1343.3</v>
      </c>
      <c r="N786" s="5">
        <v>37300000</v>
      </c>
      <c r="O786" s="5">
        <v>40300000</v>
      </c>
      <c r="P786" s="3">
        <v>0.97916666666666663</v>
      </c>
    </row>
    <row r="787" spans="1:16" x14ac:dyDescent="0.25">
      <c r="A787" t="s">
        <v>496</v>
      </c>
      <c r="B787" s="2">
        <v>43517</v>
      </c>
      <c r="C787" t="str">
        <f>+"Tuáº§n "&amp;WEEKNUM(B787)</f>
        <v>Tuáº§n 8</v>
      </c>
      <c r="D787" t="s">
        <v>20</v>
      </c>
      <c r="E787" t="s">
        <v>17</v>
      </c>
      <c r="F787" s="5">
        <v>36200000</v>
      </c>
      <c r="G787" s="5">
        <v>39200000</v>
      </c>
      <c r="H787" s="5">
        <f>+(M787*26000)/0.829426</f>
        <v>41487727.657440208</v>
      </c>
      <c r="I787" s="5">
        <f>+G787-H787</f>
        <v>-2287727.6574402079</v>
      </c>
      <c r="J787" s="5">
        <v>3000000</v>
      </c>
      <c r="K787" s="5">
        <v>3620000</v>
      </c>
      <c r="L787" s="5">
        <v>3920000</v>
      </c>
      <c r="M787" s="7">
        <v>1323.5</v>
      </c>
      <c r="N787" s="5">
        <v>36700000</v>
      </c>
      <c r="O787" s="5">
        <v>39700000</v>
      </c>
      <c r="P787" s="3">
        <v>0.97916666666666663</v>
      </c>
    </row>
    <row r="788" spans="1:16" x14ac:dyDescent="0.25">
      <c r="A788" t="s">
        <v>497</v>
      </c>
      <c r="B788" s="2">
        <v>43518</v>
      </c>
      <c r="C788" t="str">
        <f>+"Tuáº§n "&amp;WEEKNUM(B788)</f>
        <v>Tuáº§n 8</v>
      </c>
      <c r="D788" t="s">
        <v>21</v>
      </c>
      <c r="E788" t="s">
        <v>17</v>
      </c>
      <c r="F788" s="5">
        <v>36400000</v>
      </c>
      <c r="G788" s="5">
        <v>39400000</v>
      </c>
      <c r="H788" s="5">
        <f>+(M788*26000)/0.829426</f>
        <v>41666405.441835679</v>
      </c>
      <c r="I788" s="5">
        <f>+G788-H788</f>
        <v>-2266405.4418356791</v>
      </c>
      <c r="J788" s="5">
        <v>3000000</v>
      </c>
      <c r="K788" s="5">
        <v>3640000</v>
      </c>
      <c r="L788" s="5">
        <v>3940000</v>
      </c>
      <c r="M788" s="7">
        <v>1329.2</v>
      </c>
      <c r="N788" s="5">
        <v>36900000</v>
      </c>
      <c r="O788" s="5">
        <v>39900000</v>
      </c>
      <c r="P788" s="3">
        <v>0.97916666666666663</v>
      </c>
    </row>
    <row r="789" spans="1:16" x14ac:dyDescent="0.25">
      <c r="A789" t="s">
        <v>498</v>
      </c>
      <c r="B789" s="2">
        <v>43521</v>
      </c>
      <c r="C789" t="str">
        <f>+"Tuáº§n "&amp;WEEKNUM(B789)</f>
        <v>Tuáº§n 9</v>
      </c>
      <c r="D789" t="s">
        <v>16</v>
      </c>
      <c r="E789" t="s">
        <v>17</v>
      </c>
      <c r="F789" s="5">
        <v>36300000</v>
      </c>
      <c r="G789" s="5">
        <v>39300000</v>
      </c>
      <c r="H789" s="5">
        <f>+(M789*26000)/0.829426</f>
        <v>41562960.408764616</v>
      </c>
      <c r="I789" s="5">
        <f>+G789-H789</f>
        <v>-2262960.4087646157</v>
      </c>
      <c r="J789" s="5">
        <v>3000000</v>
      </c>
      <c r="K789" s="5">
        <v>3630000</v>
      </c>
      <c r="L789" s="5">
        <v>3930000</v>
      </c>
      <c r="M789" s="7">
        <v>1325.9</v>
      </c>
      <c r="N789" s="5">
        <v>36800000</v>
      </c>
      <c r="O789" s="5">
        <v>39800000</v>
      </c>
      <c r="P789" s="3">
        <v>0.97916666666666663</v>
      </c>
    </row>
    <row r="790" spans="1:16" x14ac:dyDescent="0.25">
      <c r="A790" t="s">
        <v>499</v>
      </c>
      <c r="B790" s="2">
        <v>43522</v>
      </c>
      <c r="C790" t="str">
        <f>+"Tuáº§n "&amp;WEEKNUM(B790)</f>
        <v>Tuáº§n 9</v>
      </c>
      <c r="D790" t="s">
        <v>18</v>
      </c>
      <c r="E790" t="s">
        <v>17</v>
      </c>
      <c r="F790" s="5">
        <v>36300000</v>
      </c>
      <c r="G790" s="5">
        <v>39300000</v>
      </c>
      <c r="H790" s="5">
        <f>+(M790*26000)/0.829426</f>
        <v>41537882.824989811</v>
      </c>
      <c r="I790" s="5">
        <f>+G790-H790</f>
        <v>-2237882.8249898106</v>
      </c>
      <c r="J790" s="5">
        <v>3000000</v>
      </c>
      <c r="K790" s="5">
        <v>3630000</v>
      </c>
      <c r="L790" s="5">
        <v>3930000</v>
      </c>
      <c r="M790" s="7">
        <v>1325.1</v>
      </c>
      <c r="N790" s="5">
        <v>36800000</v>
      </c>
      <c r="O790" s="5">
        <v>39800000</v>
      </c>
      <c r="P790" s="3">
        <v>0.97916666666666663</v>
      </c>
    </row>
    <row r="791" spans="1:16" x14ac:dyDescent="0.25">
      <c r="A791" t="s">
        <v>500</v>
      </c>
      <c r="B791" s="2">
        <v>43523</v>
      </c>
      <c r="C791" t="str">
        <f>+"Tuáº§n "&amp;WEEKNUM(B791)</f>
        <v>Tuáº§n 9</v>
      </c>
      <c r="D791" t="s">
        <v>19</v>
      </c>
      <c r="E791" t="s">
        <v>17</v>
      </c>
      <c r="F791" s="5">
        <v>36100000</v>
      </c>
      <c r="G791" s="5">
        <v>39100000</v>
      </c>
      <c r="H791" s="5">
        <f>+(M791*26000)/0.829426</f>
        <v>41305915.175072879</v>
      </c>
      <c r="I791" s="5">
        <f>+G791-H791</f>
        <v>-2205915.1750728786</v>
      </c>
      <c r="J791" s="5">
        <v>3000000</v>
      </c>
      <c r="K791" s="5">
        <v>3610000</v>
      </c>
      <c r="L791" s="5">
        <v>3910000</v>
      </c>
      <c r="M791" s="7">
        <v>1317.7</v>
      </c>
      <c r="N791" s="5">
        <v>36600000</v>
      </c>
      <c r="O791" s="5">
        <v>39600000</v>
      </c>
      <c r="P791" s="3">
        <v>0.97916666666666663</v>
      </c>
    </row>
    <row r="792" spans="1:16" x14ac:dyDescent="0.25">
      <c r="A792" t="s">
        <v>501</v>
      </c>
      <c r="B792" s="2">
        <v>43524</v>
      </c>
      <c r="C792" t="str">
        <f>+"Tuáº§n "&amp;WEEKNUM(B792)</f>
        <v>Tuáº§n 9</v>
      </c>
      <c r="D792" t="s">
        <v>20</v>
      </c>
      <c r="E792" t="s">
        <v>17</v>
      </c>
      <c r="F792" s="5">
        <v>35900000</v>
      </c>
      <c r="G792" s="5">
        <v>38900000</v>
      </c>
      <c r="H792" s="5">
        <f>+(M792*26000)/0.829426</f>
        <v>41152314.974452212</v>
      </c>
      <c r="I792" s="5">
        <f>+G792-H792</f>
        <v>-2252314.9744522125</v>
      </c>
      <c r="J792" s="5">
        <v>3000000</v>
      </c>
      <c r="K792" s="5">
        <v>3590000</v>
      </c>
      <c r="L792" s="5">
        <v>3890000</v>
      </c>
      <c r="M792" s="7">
        <v>1312.8</v>
      </c>
      <c r="N792" s="5">
        <v>36400000</v>
      </c>
      <c r="O792" s="5">
        <v>39400000</v>
      </c>
      <c r="P792" s="3">
        <v>0.97916666666666663</v>
      </c>
    </row>
    <row r="793" spans="1:16" x14ac:dyDescent="0.25">
      <c r="A793" s="2">
        <v>43468</v>
      </c>
      <c r="B793" s="2">
        <v>43525</v>
      </c>
      <c r="C793" t="str">
        <f>+"Tuáº§n "&amp;WEEKNUM(B793)</f>
        <v>Tuáº§n 9</v>
      </c>
      <c r="D793" t="s">
        <v>21</v>
      </c>
      <c r="E793" t="s">
        <v>17</v>
      </c>
      <c r="F793" s="5">
        <v>35400000</v>
      </c>
      <c r="G793" s="5">
        <v>38400000</v>
      </c>
      <c r="H793" s="5">
        <f>+(M793*26000)/0.829426</f>
        <v>40638224.507068746</v>
      </c>
      <c r="I793" s="5">
        <f>+G793-H793</f>
        <v>-2238224.5070687458</v>
      </c>
      <c r="J793" s="5">
        <v>3000000</v>
      </c>
      <c r="K793" s="5">
        <v>3540000</v>
      </c>
      <c r="L793" s="5">
        <v>3840000</v>
      </c>
      <c r="M793" s="7">
        <v>1296.4000000000001</v>
      </c>
      <c r="N793" s="5">
        <v>35900000</v>
      </c>
      <c r="O793" s="5">
        <v>38900000</v>
      </c>
      <c r="P793" s="3">
        <v>0.97916666666666663</v>
      </c>
    </row>
    <row r="794" spans="1:16" x14ac:dyDescent="0.25">
      <c r="A794" s="2">
        <v>43558</v>
      </c>
      <c r="B794" s="2">
        <v>43528</v>
      </c>
      <c r="C794" t="str">
        <f>+"Tuáº§n "&amp;WEEKNUM(B794)</f>
        <v>Tuáº§n 10</v>
      </c>
      <c r="D794" t="s">
        <v>16</v>
      </c>
      <c r="E794" t="s">
        <v>17</v>
      </c>
      <c r="F794" s="5">
        <v>35100000</v>
      </c>
      <c r="G794" s="5">
        <v>38100000</v>
      </c>
      <c r="H794" s="5">
        <f>+(M794*26000)/0.829426</f>
        <v>40274599.542334095</v>
      </c>
      <c r="I794" s="5">
        <f>+G794-H794</f>
        <v>-2174599.5423340946</v>
      </c>
      <c r="J794" s="5">
        <v>3000000</v>
      </c>
      <c r="K794" s="5">
        <v>3510000</v>
      </c>
      <c r="L794" s="5">
        <v>3810000</v>
      </c>
      <c r="M794" s="7">
        <v>1284.8</v>
      </c>
      <c r="N794" s="5">
        <v>35600000</v>
      </c>
      <c r="O794" s="5">
        <v>38600000</v>
      </c>
      <c r="P794" s="3">
        <v>0.97916666666666663</v>
      </c>
    </row>
    <row r="795" spans="1:16" x14ac:dyDescent="0.25">
      <c r="A795" s="2">
        <v>43588</v>
      </c>
      <c r="B795" s="2">
        <v>43529</v>
      </c>
      <c r="C795" t="str">
        <f>+"Tuáº§n "&amp;WEEKNUM(B795)</f>
        <v>Tuáº§n 10</v>
      </c>
      <c r="D795" t="s">
        <v>18</v>
      </c>
      <c r="E795" t="s">
        <v>17</v>
      </c>
      <c r="F795" s="5">
        <v>35000000</v>
      </c>
      <c r="G795" s="5">
        <v>38000000</v>
      </c>
      <c r="H795" s="5">
        <f>+(M795*26000)/0.829426</f>
        <v>40186827.999122284</v>
      </c>
      <c r="I795" s="5">
        <f>+G795-H795</f>
        <v>-2186827.9991222844</v>
      </c>
      <c r="J795" s="5">
        <v>3000000</v>
      </c>
      <c r="K795" s="5">
        <v>3500000</v>
      </c>
      <c r="L795" s="5">
        <v>3800000</v>
      </c>
      <c r="M795" s="7">
        <v>1282</v>
      </c>
      <c r="N795" s="5">
        <v>35500000</v>
      </c>
      <c r="O795" s="5">
        <v>38500000</v>
      </c>
      <c r="P795" s="3">
        <v>0.97916666666666663</v>
      </c>
    </row>
    <row r="796" spans="1:16" x14ac:dyDescent="0.25">
      <c r="A796" s="2">
        <v>43619</v>
      </c>
      <c r="B796" s="2">
        <v>43530</v>
      </c>
      <c r="C796" t="str">
        <f>+"Tuáº§n "&amp;WEEKNUM(B796)</f>
        <v>Tuáº§n 10</v>
      </c>
      <c r="D796" t="s">
        <v>19</v>
      </c>
      <c r="E796" t="s">
        <v>17</v>
      </c>
      <c r="F796" s="5">
        <v>35100000</v>
      </c>
      <c r="G796" s="5">
        <v>38100000</v>
      </c>
      <c r="H796" s="5">
        <f>+(M796*26000)/0.829426</f>
        <v>40277734.240305953</v>
      </c>
      <c r="I796" s="5">
        <f>+G796-H796</f>
        <v>-2177734.2403059527</v>
      </c>
      <c r="J796" s="5">
        <v>3000000</v>
      </c>
      <c r="K796" s="5">
        <v>3510000</v>
      </c>
      <c r="L796" s="5">
        <v>3810000</v>
      </c>
      <c r="M796" s="7">
        <v>1284.9000000000001</v>
      </c>
      <c r="N796" s="5">
        <v>35600000</v>
      </c>
      <c r="O796" s="5">
        <v>38600000</v>
      </c>
      <c r="P796" s="3">
        <v>0.97916666666666663</v>
      </c>
    </row>
    <row r="797" spans="1:16" x14ac:dyDescent="0.25">
      <c r="A797" s="2">
        <v>43649</v>
      </c>
      <c r="B797" s="2">
        <v>43531</v>
      </c>
      <c r="C797" t="str">
        <f>+"Tuáº§n "&amp;WEEKNUM(B797)</f>
        <v>Tuáº§n 10</v>
      </c>
      <c r="D797" t="s">
        <v>20</v>
      </c>
      <c r="E797" t="s">
        <v>17</v>
      </c>
      <c r="F797" s="5">
        <v>35100000</v>
      </c>
      <c r="G797" s="5">
        <v>38100000</v>
      </c>
      <c r="H797" s="5">
        <f>+(M797*26000)/0.829426</f>
        <v>40243252.562615596</v>
      </c>
      <c r="I797" s="5">
        <f>+G797-H797</f>
        <v>-2143252.5626155958</v>
      </c>
      <c r="J797" s="5">
        <v>3000000</v>
      </c>
      <c r="K797" s="5">
        <v>3510000</v>
      </c>
      <c r="L797" s="5">
        <v>3810000</v>
      </c>
      <c r="M797" s="7">
        <v>1283.8</v>
      </c>
      <c r="N797" s="5">
        <v>35600000</v>
      </c>
      <c r="O797" s="5">
        <v>38600000</v>
      </c>
      <c r="P797" s="3">
        <v>0.97916666666666663</v>
      </c>
    </row>
    <row r="798" spans="1:16" x14ac:dyDescent="0.25">
      <c r="A798" s="2">
        <v>43680</v>
      </c>
      <c r="B798" s="2">
        <v>43532</v>
      </c>
      <c r="C798" t="str">
        <f>+"Tuáº§n "&amp;WEEKNUM(B798)</f>
        <v>Tuáº§n 10</v>
      </c>
      <c r="D798" t="s">
        <v>21</v>
      </c>
      <c r="E798" t="s">
        <v>17</v>
      </c>
      <c r="F798" s="5">
        <v>35500000</v>
      </c>
      <c r="G798" s="5">
        <v>38500000</v>
      </c>
      <c r="H798" s="5">
        <f>+(M798*26000)/0.829426</f>
        <v>40657032.69489985</v>
      </c>
      <c r="I798" s="5">
        <f>+G798-H798</f>
        <v>-2157032.6948998496</v>
      </c>
      <c r="J798" s="5">
        <v>3000000</v>
      </c>
      <c r="K798" s="5">
        <v>3550000</v>
      </c>
      <c r="L798" s="5">
        <v>3850000</v>
      </c>
      <c r="M798" s="7">
        <v>1297</v>
      </c>
      <c r="N798" s="5">
        <v>36000000</v>
      </c>
      <c r="O798" s="5">
        <v>39000000</v>
      </c>
      <c r="P798" s="3">
        <v>0.97916666666666663</v>
      </c>
    </row>
    <row r="799" spans="1:16" x14ac:dyDescent="0.25">
      <c r="A799" s="2">
        <v>43772</v>
      </c>
      <c r="B799" s="2">
        <v>43535</v>
      </c>
      <c r="C799" t="str">
        <f>+"Tuáº§n "&amp;WEEKNUM(B799)</f>
        <v>Tuáº§n 11</v>
      </c>
      <c r="D799" t="s">
        <v>16</v>
      </c>
      <c r="E799" t="s">
        <v>17</v>
      </c>
      <c r="F799" s="5">
        <v>35200000</v>
      </c>
      <c r="G799" s="5">
        <v>38200000</v>
      </c>
      <c r="H799" s="5">
        <f>+(M799*26000)/0.829426</f>
        <v>40399987.461208113</v>
      </c>
      <c r="I799" s="5">
        <f>+G799-H799</f>
        <v>-2199987.4612081125</v>
      </c>
      <c r="J799" s="5">
        <v>3000000</v>
      </c>
      <c r="K799" s="5">
        <v>3520000</v>
      </c>
      <c r="L799" s="5">
        <v>3820000</v>
      </c>
      <c r="M799" s="7">
        <v>1288.8</v>
      </c>
      <c r="N799" s="5">
        <v>35700000</v>
      </c>
      <c r="O799" s="5">
        <v>38700000</v>
      </c>
      <c r="P799" s="3">
        <v>0.97916666666666663</v>
      </c>
    </row>
    <row r="800" spans="1:16" x14ac:dyDescent="0.25">
      <c r="A800" s="2">
        <v>43802</v>
      </c>
      <c r="B800" s="2">
        <v>43536</v>
      </c>
      <c r="C800" t="str">
        <f>+"Tuáº§n "&amp;WEEKNUM(B800)</f>
        <v>Tuáº§n 11</v>
      </c>
      <c r="D800" t="s">
        <v>18</v>
      </c>
      <c r="E800" t="s">
        <v>17</v>
      </c>
      <c r="F800" s="5">
        <v>35400000</v>
      </c>
      <c r="G800" s="5">
        <v>38400000</v>
      </c>
      <c r="H800" s="5">
        <f>+(M800*26000)/0.829426</f>
        <v>40635089.809096895</v>
      </c>
      <c r="I800" s="5">
        <f>+G800-H800</f>
        <v>-2235089.8090968952</v>
      </c>
      <c r="J800" s="5">
        <v>3000000</v>
      </c>
      <c r="K800" s="5">
        <v>3540000</v>
      </c>
      <c r="L800" s="5">
        <v>3840000</v>
      </c>
      <c r="M800" s="7">
        <v>1296.3</v>
      </c>
      <c r="N800" s="5">
        <v>35900000</v>
      </c>
      <c r="O800" s="5">
        <v>38900000</v>
      </c>
      <c r="P800" s="3">
        <v>0.97916666666666663</v>
      </c>
    </row>
    <row r="801" spans="1:16" x14ac:dyDescent="0.25">
      <c r="A801" t="s">
        <v>502</v>
      </c>
      <c r="B801" s="2">
        <v>43537</v>
      </c>
      <c r="C801" t="str">
        <f>+"Tuáº§n "&amp;WEEKNUM(B801)</f>
        <v>Tuáº§n 11</v>
      </c>
      <c r="D801" t="s">
        <v>19</v>
      </c>
      <c r="E801" t="s">
        <v>17</v>
      </c>
      <c r="F801" s="5">
        <v>35800000</v>
      </c>
      <c r="G801" s="5">
        <v>38800000</v>
      </c>
      <c r="H801" s="5">
        <f>+(M801*26000)/0.829426</f>
        <v>40986175.981944136</v>
      </c>
      <c r="I801" s="5">
        <f>+G801-H801</f>
        <v>-2186175.9819441363</v>
      </c>
      <c r="J801" s="5">
        <v>3000000</v>
      </c>
      <c r="K801" s="5">
        <v>3580000</v>
      </c>
      <c r="L801" s="5">
        <v>3880000</v>
      </c>
      <c r="M801" s="7">
        <v>1307.5</v>
      </c>
      <c r="N801" s="5">
        <v>36300000</v>
      </c>
      <c r="O801" s="5">
        <v>39300000</v>
      </c>
      <c r="P801" s="3">
        <v>0.97916666666666663</v>
      </c>
    </row>
    <row r="802" spans="1:16" x14ac:dyDescent="0.25">
      <c r="A802" t="s">
        <v>503</v>
      </c>
      <c r="B802" s="2">
        <v>43538</v>
      </c>
      <c r="C802" t="str">
        <f>+"Tuáº§n "&amp;WEEKNUM(B802)</f>
        <v>Tuáº§n 11</v>
      </c>
      <c r="D802" t="s">
        <v>20</v>
      </c>
      <c r="E802" t="s">
        <v>17</v>
      </c>
      <c r="F802" s="5">
        <v>35300000</v>
      </c>
      <c r="G802" s="5">
        <v>38300000</v>
      </c>
      <c r="H802" s="5">
        <f>+(M802*26000)/0.829426</f>
        <v>40544183.567913234</v>
      </c>
      <c r="I802" s="5">
        <f>+G802-H802</f>
        <v>-2244183.5679132342</v>
      </c>
      <c r="J802" s="5">
        <v>3000000</v>
      </c>
      <c r="K802" s="5">
        <v>3530000</v>
      </c>
      <c r="L802" s="5">
        <v>3830000</v>
      </c>
      <c r="M802" s="7">
        <v>1293.4000000000001</v>
      </c>
      <c r="N802" s="5">
        <v>35800000</v>
      </c>
      <c r="O802" s="5">
        <v>38800000</v>
      </c>
      <c r="P802" s="3">
        <v>0.97916666666666663</v>
      </c>
    </row>
    <row r="803" spans="1:16" x14ac:dyDescent="0.25">
      <c r="A803" t="s">
        <v>504</v>
      </c>
      <c r="B803" s="2">
        <v>43539</v>
      </c>
      <c r="C803" t="str">
        <f>+"Tuáº§n "&amp;WEEKNUM(B803)</f>
        <v>Tuáº§n 11</v>
      </c>
      <c r="D803" t="s">
        <v>21</v>
      </c>
      <c r="E803" t="s">
        <v>17</v>
      </c>
      <c r="F803" s="5">
        <v>35600000</v>
      </c>
      <c r="G803" s="5">
        <v>38600000</v>
      </c>
      <c r="H803" s="5">
        <f>+(M803*26000)/0.829426</f>
        <v>40807498.197548665</v>
      </c>
      <c r="I803" s="5">
        <f>+G803-H803</f>
        <v>-2207498.1975486651</v>
      </c>
      <c r="J803" s="5">
        <v>3000000</v>
      </c>
      <c r="K803" s="5">
        <v>3560000</v>
      </c>
      <c r="L803" s="5">
        <v>3860000</v>
      </c>
      <c r="M803" s="7">
        <v>1301.8</v>
      </c>
      <c r="N803" s="5">
        <v>36100000</v>
      </c>
      <c r="O803" s="5">
        <v>39100000</v>
      </c>
      <c r="P803" s="3">
        <v>0.97916666666666663</v>
      </c>
    </row>
    <row r="804" spans="1:16" x14ac:dyDescent="0.25">
      <c r="A804" t="s">
        <v>505</v>
      </c>
      <c r="B804" s="2">
        <v>43542</v>
      </c>
      <c r="C804" t="str">
        <f>+"Tuáº§n "&amp;WEEKNUM(B804)</f>
        <v>Tuáº§n 12</v>
      </c>
      <c r="D804" t="s">
        <v>16</v>
      </c>
      <c r="E804" t="s">
        <v>17</v>
      </c>
      <c r="F804" s="5">
        <v>35600000</v>
      </c>
      <c r="G804" s="5">
        <v>38600000</v>
      </c>
      <c r="H804" s="5">
        <f>+(M804*26000)/0.829426</f>
        <v>40760477.727970913</v>
      </c>
      <c r="I804" s="5">
        <f>+G804-H804</f>
        <v>-2160477.7279709131</v>
      </c>
      <c r="J804" s="5">
        <v>3000000</v>
      </c>
      <c r="K804" s="5">
        <v>3560000</v>
      </c>
      <c r="L804" s="5">
        <v>3860000</v>
      </c>
      <c r="M804" s="7">
        <v>1300.3</v>
      </c>
      <c r="N804" s="5">
        <v>36100000</v>
      </c>
      <c r="O804" s="5">
        <v>39100000</v>
      </c>
      <c r="P804" s="3">
        <v>0.97916666666666663</v>
      </c>
    </row>
    <row r="805" spans="1:16" x14ac:dyDescent="0.25">
      <c r="A805" t="s">
        <v>506</v>
      </c>
      <c r="B805" s="2">
        <v>43543</v>
      </c>
      <c r="C805" t="str">
        <f>+"Tuáº§n "&amp;WEEKNUM(B805)</f>
        <v>Tuáº§n 12</v>
      </c>
      <c r="D805" t="s">
        <v>18</v>
      </c>
      <c r="E805" t="s">
        <v>17</v>
      </c>
      <c r="F805" s="5">
        <v>35700000</v>
      </c>
      <c r="G805" s="5">
        <v>38700000</v>
      </c>
      <c r="H805" s="5">
        <f>+(M805*26000)/0.829426</f>
        <v>40907808.532647878</v>
      </c>
      <c r="I805" s="5">
        <f>+G805-H805</f>
        <v>-2207808.5326478779</v>
      </c>
      <c r="J805" s="5">
        <v>3000000</v>
      </c>
      <c r="K805" s="5">
        <v>3570000</v>
      </c>
      <c r="L805" s="5">
        <v>3870000</v>
      </c>
      <c r="M805" s="7">
        <v>1305</v>
      </c>
      <c r="N805" s="5">
        <v>36200000</v>
      </c>
      <c r="O805" s="5">
        <v>39200000</v>
      </c>
      <c r="P805" s="3">
        <v>0.97916666666666663</v>
      </c>
    </row>
    <row r="806" spans="1:16" x14ac:dyDescent="0.25">
      <c r="A806" t="s">
        <v>507</v>
      </c>
      <c r="B806" s="2">
        <v>43544</v>
      </c>
      <c r="C806" t="str">
        <f>+"Tuáº§n "&amp;WEEKNUM(B806)</f>
        <v>Tuáº§n 12</v>
      </c>
      <c r="D806" t="s">
        <v>19</v>
      </c>
      <c r="E806" t="s">
        <v>17</v>
      </c>
      <c r="F806" s="5">
        <v>35600000</v>
      </c>
      <c r="G806" s="5">
        <v>38600000</v>
      </c>
      <c r="H806" s="5">
        <f>+(M806*26000)/0.829426</f>
        <v>40766747.123914614</v>
      </c>
      <c r="I806" s="5">
        <f>+G806-H806</f>
        <v>-2166747.1239146143</v>
      </c>
      <c r="J806" s="5">
        <v>3000000</v>
      </c>
      <c r="K806" s="5">
        <v>3560000</v>
      </c>
      <c r="L806" s="5">
        <v>3860000</v>
      </c>
      <c r="M806" s="7">
        <v>1300.5</v>
      </c>
      <c r="N806" s="5">
        <v>36100000</v>
      </c>
      <c r="O806" s="5">
        <v>39100000</v>
      </c>
      <c r="P806" s="3">
        <v>0.97916666666666663</v>
      </c>
    </row>
    <row r="807" spans="1:16" x14ac:dyDescent="0.25">
      <c r="A807" t="s">
        <v>508</v>
      </c>
      <c r="B807" s="2">
        <v>43545</v>
      </c>
      <c r="C807" t="str">
        <f>+"Tuáº§n "&amp;WEEKNUM(B807)</f>
        <v>Tuáº§n 12</v>
      </c>
      <c r="D807" t="s">
        <v>20</v>
      </c>
      <c r="E807" t="s">
        <v>17</v>
      </c>
      <c r="F807" s="5">
        <v>35700000</v>
      </c>
      <c r="G807" s="5">
        <v>38700000</v>
      </c>
      <c r="H807" s="5">
        <f>+(M807*26000)/0.829426</f>
        <v>40942290.210338235</v>
      </c>
      <c r="I807" s="5">
        <f>+G807-H807</f>
        <v>-2242290.2103382349</v>
      </c>
      <c r="J807" s="5">
        <v>3000000</v>
      </c>
      <c r="K807" s="5">
        <v>3570000</v>
      </c>
      <c r="L807" s="5">
        <v>3870000</v>
      </c>
      <c r="M807" s="7">
        <v>1306.0999999999999</v>
      </c>
      <c r="N807" s="5">
        <v>36200000</v>
      </c>
      <c r="O807" s="5">
        <v>39200000</v>
      </c>
      <c r="P807" s="3">
        <v>0.97916666666666663</v>
      </c>
    </row>
    <row r="808" spans="1:16" x14ac:dyDescent="0.25">
      <c r="A808" t="s">
        <v>509</v>
      </c>
      <c r="B808" s="2">
        <v>43546</v>
      </c>
      <c r="C808" t="str">
        <f>+"Tuáº§n "&amp;WEEKNUM(B808)</f>
        <v>Tuáº§n 12</v>
      </c>
      <c r="D808" t="s">
        <v>21</v>
      </c>
      <c r="E808" t="s">
        <v>17</v>
      </c>
      <c r="F808" s="5">
        <v>35900000</v>
      </c>
      <c r="G808" s="5">
        <v>38900000</v>
      </c>
      <c r="H808" s="5">
        <f>+(M808*26000)/0.829426</f>
        <v>41114698.598790005</v>
      </c>
      <c r="I808" s="5">
        <f>+G808-H808</f>
        <v>-2214698.5987900048</v>
      </c>
      <c r="J808" s="5">
        <v>3000000</v>
      </c>
      <c r="K808" s="5">
        <v>3590000</v>
      </c>
      <c r="L808" s="5">
        <v>3890000</v>
      </c>
      <c r="M808" s="7">
        <v>1311.6</v>
      </c>
      <c r="N808" s="5">
        <v>36400000</v>
      </c>
      <c r="O808" s="5">
        <v>39400000</v>
      </c>
      <c r="P808" s="3">
        <v>0.97916666666666663</v>
      </c>
    </row>
    <row r="809" spans="1:16" x14ac:dyDescent="0.25">
      <c r="A809" t="s">
        <v>510</v>
      </c>
      <c r="B809" s="2">
        <v>43549</v>
      </c>
      <c r="C809" t="str">
        <f>+"Tuáº§n "&amp;WEEKNUM(B809)</f>
        <v>Tuáº§n 13</v>
      </c>
      <c r="D809" t="s">
        <v>16</v>
      </c>
      <c r="E809" t="s">
        <v>17</v>
      </c>
      <c r="F809" s="5">
        <v>36200000</v>
      </c>
      <c r="G809" s="5">
        <v>39200000</v>
      </c>
      <c r="H809" s="5">
        <f>+(M809*26000)/0.829426</f>
        <v>41437572.489890598</v>
      </c>
      <c r="I809" s="5">
        <f>+G809-H809</f>
        <v>-2237572.4898905978</v>
      </c>
      <c r="J809" s="5">
        <v>3000000</v>
      </c>
      <c r="K809" s="5">
        <v>3620000</v>
      </c>
      <c r="L809" s="5">
        <v>3920000</v>
      </c>
      <c r="M809" s="7">
        <v>1321.9</v>
      </c>
      <c r="N809" s="5">
        <v>36700000</v>
      </c>
      <c r="O809" s="5">
        <v>39700000</v>
      </c>
      <c r="P809" s="3">
        <v>0.97916666666666663</v>
      </c>
    </row>
    <row r="810" spans="1:16" x14ac:dyDescent="0.25">
      <c r="A810" t="s">
        <v>511</v>
      </c>
      <c r="B810" s="2">
        <v>43550</v>
      </c>
      <c r="C810" t="str">
        <f>+"Tuáº§n "&amp;WEEKNUM(B810)</f>
        <v>Tuáº§n 13</v>
      </c>
      <c r="D810" t="s">
        <v>18</v>
      </c>
      <c r="E810" t="s">
        <v>17</v>
      </c>
      <c r="F810" s="5">
        <v>36000000</v>
      </c>
      <c r="G810" s="5">
        <v>39000000</v>
      </c>
      <c r="H810" s="5">
        <f>+(M810*26000)/0.829426</f>
        <v>41199335.444029965</v>
      </c>
      <c r="I810" s="5">
        <f>+G810-H810</f>
        <v>-2199335.4440299645</v>
      </c>
      <c r="J810" s="5">
        <v>3000000</v>
      </c>
      <c r="K810" s="5">
        <v>3600000</v>
      </c>
      <c r="L810" s="5">
        <v>3900000</v>
      </c>
      <c r="M810" s="7">
        <v>1314.3</v>
      </c>
      <c r="N810" s="5">
        <v>36500000</v>
      </c>
      <c r="O810" s="5">
        <v>39500000</v>
      </c>
      <c r="P810" s="3">
        <v>0.97916666666666663</v>
      </c>
    </row>
    <row r="811" spans="1:16" x14ac:dyDescent="0.25">
      <c r="A811" t="s">
        <v>512</v>
      </c>
      <c r="B811" s="2">
        <v>43551</v>
      </c>
      <c r="C811" t="str">
        <f>+"Tuáº§n "&amp;WEEKNUM(B811)</f>
        <v>Tuáº§n 13</v>
      </c>
      <c r="D811" t="s">
        <v>19</v>
      </c>
      <c r="E811" t="s">
        <v>17</v>
      </c>
      <c r="F811" s="5">
        <v>35800000</v>
      </c>
      <c r="G811" s="5">
        <v>38800000</v>
      </c>
      <c r="H811" s="5">
        <f>+(M811*26000)/0.829426</f>
        <v>41061408.733268552</v>
      </c>
      <c r="I811" s="5">
        <f>+G811-H811</f>
        <v>-2261408.7332685515</v>
      </c>
      <c r="J811" s="5">
        <v>3000000</v>
      </c>
      <c r="K811" s="5">
        <v>3580000</v>
      </c>
      <c r="L811" s="5">
        <v>3880000</v>
      </c>
      <c r="M811" s="7">
        <v>1309.9000000000001</v>
      </c>
      <c r="N811" s="5">
        <v>36300000</v>
      </c>
      <c r="O811" s="5">
        <v>39300000</v>
      </c>
      <c r="P811" s="3">
        <v>0.97916666666666663</v>
      </c>
    </row>
    <row r="812" spans="1:16" x14ac:dyDescent="0.25">
      <c r="A812" t="s">
        <v>513</v>
      </c>
      <c r="B812" s="2">
        <v>43552</v>
      </c>
      <c r="C812" t="str">
        <f>+"Tuáº§n "&amp;WEEKNUM(B812)</f>
        <v>Tuáº§n 13</v>
      </c>
      <c r="D812" t="s">
        <v>20</v>
      </c>
      <c r="E812" t="s">
        <v>17</v>
      </c>
      <c r="F812" s="5">
        <v>35200000</v>
      </c>
      <c r="G812" s="5">
        <v>38200000</v>
      </c>
      <c r="H812" s="5">
        <f>+(M812*26000)/0.829426</f>
        <v>40431334.440926619</v>
      </c>
      <c r="I812" s="5">
        <f>+G812-H812</f>
        <v>-2231334.4409266189</v>
      </c>
      <c r="J812" s="5">
        <v>3000000</v>
      </c>
      <c r="K812" s="5">
        <v>3520000</v>
      </c>
      <c r="L812" s="5">
        <v>3820000</v>
      </c>
      <c r="M812" s="7">
        <v>1289.8</v>
      </c>
      <c r="N812" s="5">
        <v>35700000</v>
      </c>
      <c r="O812" s="5">
        <v>38700000</v>
      </c>
      <c r="P812" s="3">
        <v>0.97916666666666663</v>
      </c>
    </row>
    <row r="813" spans="1:16" x14ac:dyDescent="0.25">
      <c r="A813" t="s">
        <v>514</v>
      </c>
      <c r="B813" s="2">
        <v>43553</v>
      </c>
      <c r="C813" t="str">
        <f>+"Tuáº§n "&amp;WEEKNUM(B813)</f>
        <v>Tuáº§n 13</v>
      </c>
      <c r="D813" t="s">
        <v>21</v>
      </c>
      <c r="E813" t="s">
        <v>17</v>
      </c>
      <c r="F813" s="5">
        <v>35300000</v>
      </c>
      <c r="G813" s="5">
        <v>38300000</v>
      </c>
      <c r="H813" s="5">
        <f>+(M813*26000)/0.829426</f>
        <v>40531644.776025832</v>
      </c>
      <c r="I813" s="5">
        <f>+G813-H813</f>
        <v>-2231644.7760258317</v>
      </c>
      <c r="J813" s="5">
        <v>3000000</v>
      </c>
      <c r="K813" s="5">
        <v>3530000</v>
      </c>
      <c r="L813" s="5">
        <v>3830000</v>
      </c>
      <c r="M813" s="7">
        <v>1293</v>
      </c>
      <c r="N813" s="5">
        <v>35800000</v>
      </c>
      <c r="O813" s="5">
        <v>38800000</v>
      </c>
      <c r="P813" s="3">
        <v>0.97916666666666663</v>
      </c>
    </row>
    <row r="814" spans="1:16" x14ac:dyDescent="0.25">
      <c r="A814" s="2">
        <v>43469</v>
      </c>
      <c r="B814" s="2">
        <v>43556</v>
      </c>
      <c r="C814" t="str">
        <f>+"Tuáº§n "&amp;WEEKNUM(B814)</f>
        <v>Tuáº§n 14</v>
      </c>
      <c r="D814" t="s">
        <v>16</v>
      </c>
      <c r="E814" t="s">
        <v>17</v>
      </c>
      <c r="F814" s="5">
        <v>35200000</v>
      </c>
      <c r="G814" s="5">
        <v>38200000</v>
      </c>
      <c r="H814" s="5">
        <f>+(M814*26000)/0.829426</f>
        <v>40387448.669320717</v>
      </c>
      <c r="I814" s="5">
        <f>+G814-H814</f>
        <v>-2187448.6693207175</v>
      </c>
      <c r="J814" s="5">
        <v>3000000</v>
      </c>
      <c r="K814" s="5">
        <v>3520000</v>
      </c>
      <c r="L814" s="5">
        <v>3820000</v>
      </c>
      <c r="M814" s="7">
        <v>1288.4000000000001</v>
      </c>
      <c r="N814" s="5">
        <v>35700000</v>
      </c>
      <c r="O814" s="5">
        <v>38700000</v>
      </c>
      <c r="P814" s="3">
        <v>0.97916666666666663</v>
      </c>
    </row>
    <row r="815" spans="1:16" x14ac:dyDescent="0.25">
      <c r="A815" s="2">
        <v>43500</v>
      </c>
      <c r="B815" s="2">
        <v>43557</v>
      </c>
      <c r="C815" t="str">
        <f>+"Tuáº§n "&amp;WEEKNUM(B815)</f>
        <v>Tuáº§n 14</v>
      </c>
      <c r="D815" t="s">
        <v>18</v>
      </c>
      <c r="E815" t="s">
        <v>17</v>
      </c>
      <c r="F815" s="5">
        <v>35200000</v>
      </c>
      <c r="G815" s="5">
        <v>38200000</v>
      </c>
      <c r="H815" s="5">
        <f>+(M815*26000)/0.829426</f>
        <v>40437603.83687032</v>
      </c>
      <c r="I815" s="5">
        <f>+G815-H815</f>
        <v>-2237603.8368703201</v>
      </c>
      <c r="J815" s="5">
        <v>3000000</v>
      </c>
      <c r="K815" s="5">
        <v>3520000</v>
      </c>
      <c r="L815" s="5">
        <v>3820000</v>
      </c>
      <c r="M815" s="7">
        <v>1290</v>
      </c>
      <c r="N815" s="5">
        <v>35700000</v>
      </c>
      <c r="O815" s="5">
        <v>38700000</v>
      </c>
      <c r="P815" s="3">
        <v>0.97916666666666663</v>
      </c>
    </row>
    <row r="816" spans="1:16" x14ac:dyDescent="0.25">
      <c r="A816" s="2">
        <v>43528</v>
      </c>
      <c r="B816" s="2">
        <v>43558</v>
      </c>
      <c r="C816" t="str">
        <f>+"Tuáº§n "&amp;WEEKNUM(B816)</f>
        <v>Tuáº§n 14</v>
      </c>
      <c r="D816" t="s">
        <v>19</v>
      </c>
      <c r="E816" t="s">
        <v>17</v>
      </c>
      <c r="F816" s="5">
        <v>35200000</v>
      </c>
      <c r="G816" s="5">
        <v>38200000</v>
      </c>
      <c r="H816" s="5">
        <f>+(M816*26000)/0.829426</f>
        <v>40434469.13889847</v>
      </c>
      <c r="I816" s="5">
        <f>+G816-H816</f>
        <v>-2234469.1388984695</v>
      </c>
      <c r="J816" s="5">
        <v>3000000</v>
      </c>
      <c r="K816" s="5">
        <v>3520000</v>
      </c>
      <c r="L816" s="5">
        <v>3820000</v>
      </c>
      <c r="M816" s="7">
        <v>1289.9000000000001</v>
      </c>
      <c r="N816" s="5">
        <v>35700000</v>
      </c>
      <c r="O816" s="5">
        <v>38700000</v>
      </c>
      <c r="P816" s="3">
        <v>0.97916666666666663</v>
      </c>
    </row>
    <row r="817" spans="1:16" x14ac:dyDescent="0.25">
      <c r="A817" s="2">
        <v>43559</v>
      </c>
      <c r="B817" s="2">
        <v>43559</v>
      </c>
      <c r="C817" t="str">
        <f>+"Tuáº§n "&amp;WEEKNUM(B817)</f>
        <v>Tuáº§n 14</v>
      </c>
      <c r="D817" t="s">
        <v>20</v>
      </c>
      <c r="E817" t="s">
        <v>17</v>
      </c>
      <c r="F817" s="5">
        <v>35200000</v>
      </c>
      <c r="G817" s="5">
        <v>38200000</v>
      </c>
      <c r="H817" s="5">
        <f>+(M817*26000)/0.829426</f>
        <v>40406256.857151814</v>
      </c>
      <c r="I817" s="5">
        <f>+G817-H817</f>
        <v>-2206256.8571518138</v>
      </c>
      <c r="J817" s="5">
        <v>3000000</v>
      </c>
      <c r="K817" s="5">
        <v>3520000</v>
      </c>
      <c r="L817" s="5">
        <v>3820000</v>
      </c>
      <c r="M817" s="7">
        <v>1289</v>
      </c>
      <c r="N817" s="5">
        <v>35700000</v>
      </c>
      <c r="O817" s="5">
        <v>38700000</v>
      </c>
      <c r="P817" s="3">
        <v>0.97916666666666663</v>
      </c>
    </row>
    <row r="818" spans="1:16" x14ac:dyDescent="0.25">
      <c r="A818" s="2">
        <v>43589</v>
      </c>
      <c r="B818" s="2">
        <v>43560</v>
      </c>
      <c r="C818" t="str">
        <f>+"Tuáº§n "&amp;WEEKNUM(B818)</f>
        <v>Tuáº§n 14</v>
      </c>
      <c r="D818" t="s">
        <v>21</v>
      </c>
      <c r="E818" t="s">
        <v>17</v>
      </c>
      <c r="F818" s="5">
        <v>35300000</v>
      </c>
      <c r="G818" s="5">
        <v>38300000</v>
      </c>
      <c r="H818" s="5">
        <f>+(M818*26000)/0.829426</f>
        <v>40450142.628757723</v>
      </c>
      <c r="I818" s="5">
        <f>+G818-H818</f>
        <v>-2150142.6287577227</v>
      </c>
      <c r="J818" s="5">
        <v>3000000</v>
      </c>
      <c r="K818" s="5">
        <v>3530000</v>
      </c>
      <c r="L818" s="5">
        <v>3830000</v>
      </c>
      <c r="M818" s="7">
        <v>1290.4000000000001</v>
      </c>
      <c r="N818" s="5">
        <v>35800000</v>
      </c>
      <c r="O818" s="5">
        <v>38800000</v>
      </c>
      <c r="P818" s="3">
        <v>0.97916666666666663</v>
      </c>
    </row>
    <row r="819" spans="1:16" x14ac:dyDescent="0.25">
      <c r="A819" s="2">
        <v>43681</v>
      </c>
      <c r="B819" s="2">
        <v>43563</v>
      </c>
      <c r="C819" t="str">
        <f>+"Tuáº§n "&amp;WEEKNUM(B819)</f>
        <v>Tuáº§n 15</v>
      </c>
      <c r="D819" t="s">
        <v>16</v>
      </c>
      <c r="E819" t="s">
        <v>17</v>
      </c>
      <c r="F819" s="5">
        <v>35500000</v>
      </c>
      <c r="G819" s="5">
        <v>38500000</v>
      </c>
      <c r="H819" s="5">
        <f>+(M819*26000)/0.829426</f>
        <v>40660167.3928717</v>
      </c>
      <c r="I819" s="5">
        <f>+G819-H819</f>
        <v>-2160167.3928717002</v>
      </c>
      <c r="J819" s="5">
        <v>3000000</v>
      </c>
      <c r="K819" s="5">
        <v>3550000</v>
      </c>
      <c r="L819" s="5">
        <v>3850000</v>
      </c>
      <c r="M819" s="7">
        <v>1297.0999999999999</v>
      </c>
      <c r="N819" s="5">
        <v>36000000</v>
      </c>
      <c r="O819" s="5">
        <v>39000000</v>
      </c>
      <c r="P819" s="3">
        <v>0.97916666666666663</v>
      </c>
    </row>
    <row r="820" spans="1:16" x14ac:dyDescent="0.25">
      <c r="A820" s="2">
        <v>43712</v>
      </c>
      <c r="B820" s="2">
        <v>43564</v>
      </c>
      <c r="C820" t="str">
        <f>+"Tuáº§n "&amp;WEEKNUM(B820)</f>
        <v>Tuáº§n 15</v>
      </c>
      <c r="D820" t="s">
        <v>18</v>
      </c>
      <c r="E820" t="s">
        <v>17</v>
      </c>
      <c r="F820" s="5">
        <v>35600000</v>
      </c>
      <c r="G820" s="5">
        <v>38600000</v>
      </c>
      <c r="H820" s="5">
        <f>+(M820*26000)/0.829426</f>
        <v>40860788.063070126</v>
      </c>
      <c r="I820" s="5">
        <f>+G820-H820</f>
        <v>-2260788.0630701259</v>
      </c>
      <c r="J820" s="5">
        <v>3000000</v>
      </c>
      <c r="K820" s="5">
        <v>3560000</v>
      </c>
      <c r="L820" s="5">
        <v>3860000</v>
      </c>
      <c r="M820" s="7">
        <v>1303.5</v>
      </c>
      <c r="N820" s="5">
        <v>36100000</v>
      </c>
      <c r="O820" s="5">
        <v>39100000</v>
      </c>
      <c r="P820" s="3">
        <v>0.97916666666666663</v>
      </c>
    </row>
    <row r="821" spans="1:16" x14ac:dyDescent="0.25">
      <c r="A821" s="2">
        <v>43742</v>
      </c>
      <c r="B821" s="2">
        <v>43565</v>
      </c>
      <c r="C821" t="str">
        <f>+"Tuáº§n "&amp;WEEKNUM(B821)</f>
        <v>Tuáº§n 15</v>
      </c>
      <c r="D821" t="s">
        <v>19</v>
      </c>
      <c r="E821" t="s">
        <v>17</v>
      </c>
      <c r="F821" s="5">
        <v>35800000</v>
      </c>
      <c r="G821" s="5">
        <v>38800000</v>
      </c>
      <c r="H821" s="5">
        <f>+(M821*26000)/0.829426</f>
        <v>41036331.149493746</v>
      </c>
      <c r="I821" s="5">
        <f>+G821-H821</f>
        <v>-2236331.1494937465</v>
      </c>
      <c r="J821" s="5">
        <v>3000000</v>
      </c>
      <c r="K821" s="5">
        <v>3580000</v>
      </c>
      <c r="L821" s="5">
        <v>3880000</v>
      </c>
      <c r="M821" s="7">
        <v>1309.0999999999999</v>
      </c>
      <c r="N821" s="5">
        <v>36300000</v>
      </c>
      <c r="O821" s="5">
        <v>39300000</v>
      </c>
      <c r="P821" s="3">
        <v>0.97916666666666663</v>
      </c>
    </row>
    <row r="822" spans="1:16" x14ac:dyDescent="0.25">
      <c r="A822" s="2">
        <v>43773</v>
      </c>
      <c r="B822" s="2">
        <v>43566</v>
      </c>
      <c r="C822" t="str">
        <f>+"Tuáº§n "&amp;WEEKNUM(B822)</f>
        <v>Tuáº§n 15</v>
      </c>
      <c r="D822" t="s">
        <v>20</v>
      </c>
      <c r="E822" t="s">
        <v>17</v>
      </c>
      <c r="F822" s="5">
        <v>35200000</v>
      </c>
      <c r="G822" s="5">
        <v>38200000</v>
      </c>
      <c r="H822" s="5">
        <f>+(M822*26000)/0.829426</f>
        <v>40393718.065264404</v>
      </c>
      <c r="I822" s="5">
        <f>+G822-H822</f>
        <v>-2193718.0652644038</v>
      </c>
      <c r="J822" s="5">
        <v>3000000</v>
      </c>
      <c r="K822" s="5">
        <v>3520000</v>
      </c>
      <c r="L822" s="5">
        <v>3820000</v>
      </c>
      <c r="M822" s="7">
        <v>1288.5999999999999</v>
      </c>
      <c r="N822" s="5">
        <v>35700000</v>
      </c>
      <c r="O822" s="5">
        <v>38700000</v>
      </c>
      <c r="P822" s="3">
        <v>0.97916666666666663</v>
      </c>
    </row>
    <row r="823" spans="1:16" x14ac:dyDescent="0.25">
      <c r="A823" s="2">
        <v>43803</v>
      </c>
      <c r="B823" s="2">
        <v>43567</v>
      </c>
      <c r="C823" t="str">
        <f>+"Tuáº§n "&amp;WEEKNUM(B823)</f>
        <v>Tuáº§n 15</v>
      </c>
      <c r="D823" t="s">
        <v>21</v>
      </c>
      <c r="E823" t="s">
        <v>17</v>
      </c>
      <c r="F823" s="5">
        <v>35300000</v>
      </c>
      <c r="G823" s="5">
        <v>38300000</v>
      </c>
      <c r="H823" s="5">
        <f>+(M823*26000)/0.829426</f>
        <v>40456412.024701416</v>
      </c>
      <c r="I823" s="5">
        <f>+G823-H823</f>
        <v>-2156412.0247014165</v>
      </c>
      <c r="J823" s="5">
        <v>3000000</v>
      </c>
      <c r="K823" s="5">
        <v>3530000</v>
      </c>
      <c r="L823" s="5">
        <v>3830000</v>
      </c>
      <c r="M823" s="7">
        <v>1290.5999999999999</v>
      </c>
      <c r="N823" s="5">
        <v>35800000</v>
      </c>
      <c r="O823" s="5">
        <v>38800000</v>
      </c>
      <c r="P823" s="3">
        <v>0.97916666666666663</v>
      </c>
    </row>
    <row r="824" spans="1:16" x14ac:dyDescent="0.25">
      <c r="A824" t="s">
        <v>515</v>
      </c>
      <c r="B824" s="2">
        <v>43570</v>
      </c>
      <c r="C824" t="str">
        <f>+"Tuáº§n "&amp;WEEKNUM(B824)</f>
        <v>Tuáº§n 16</v>
      </c>
      <c r="D824" t="s">
        <v>16</v>
      </c>
      <c r="E824" t="s">
        <v>17</v>
      </c>
      <c r="F824" s="5">
        <v>35200000</v>
      </c>
      <c r="G824" s="5">
        <v>38200000</v>
      </c>
      <c r="H824" s="5">
        <f>+(M824*26000)/0.829426</f>
        <v>40337293.501771107</v>
      </c>
      <c r="I824" s="5">
        <f>+G824-H824</f>
        <v>-2137293.5017711073</v>
      </c>
      <c r="J824" s="5">
        <v>3000000</v>
      </c>
      <c r="K824" s="5">
        <v>3520000</v>
      </c>
      <c r="L824" s="5">
        <v>3820000</v>
      </c>
      <c r="M824" s="7">
        <v>1286.8</v>
      </c>
      <c r="N824" s="5">
        <v>35700000</v>
      </c>
      <c r="O824" s="5">
        <v>38700000</v>
      </c>
      <c r="P824" s="3">
        <v>0.97916666666666663</v>
      </c>
    </row>
    <row r="825" spans="1:16" x14ac:dyDescent="0.25">
      <c r="A825" t="s">
        <v>516</v>
      </c>
      <c r="B825" s="2">
        <v>43571</v>
      </c>
      <c r="C825" t="str">
        <f>+"Tuáº§n "&amp;WEEKNUM(B825)</f>
        <v>Tuáº§n 16</v>
      </c>
      <c r="D825" t="s">
        <v>18</v>
      </c>
      <c r="E825" t="s">
        <v>17</v>
      </c>
      <c r="F825" s="5">
        <v>34700000</v>
      </c>
      <c r="G825" s="5">
        <v>37700000</v>
      </c>
      <c r="H825" s="5">
        <f>+(M825*26000)/0.829426</f>
        <v>39892166.38976834</v>
      </c>
      <c r="I825" s="5">
        <f>+G825-H825</f>
        <v>-2192166.3897683397</v>
      </c>
      <c r="J825" s="5">
        <v>3000000</v>
      </c>
      <c r="K825" s="5">
        <v>3470000</v>
      </c>
      <c r="L825" s="5">
        <v>3770000</v>
      </c>
      <c r="M825" s="7">
        <v>1272.5999999999999</v>
      </c>
      <c r="N825" s="5">
        <v>35200000</v>
      </c>
      <c r="O825" s="5">
        <v>38200000</v>
      </c>
      <c r="P825" s="3">
        <v>0.97916666666666663</v>
      </c>
    </row>
    <row r="826" spans="1:16" x14ac:dyDescent="0.25">
      <c r="A826" t="s">
        <v>517</v>
      </c>
      <c r="B826" s="2">
        <v>43572</v>
      </c>
      <c r="C826" t="str">
        <f>+"Tuáº§n "&amp;WEEKNUM(B826)</f>
        <v>Tuáº§n 16</v>
      </c>
      <c r="D826" t="s">
        <v>19</v>
      </c>
      <c r="E826" t="s">
        <v>17</v>
      </c>
      <c r="F826" s="5">
        <v>34700000</v>
      </c>
      <c r="G826" s="5">
        <v>37700000</v>
      </c>
      <c r="H826" s="5">
        <f>+(M826*26000)/0.829426</f>
        <v>39879627.597880945</v>
      </c>
      <c r="I826" s="5">
        <f>+G826-H826</f>
        <v>-2179627.5978809446</v>
      </c>
      <c r="J826" s="5">
        <v>3000000</v>
      </c>
      <c r="K826" s="5">
        <v>3470000</v>
      </c>
      <c r="L826" s="5">
        <v>3770000</v>
      </c>
      <c r="M826" s="7">
        <v>1272.2</v>
      </c>
      <c r="N826" s="5">
        <v>35200000</v>
      </c>
      <c r="O826" s="5">
        <v>38200000</v>
      </c>
      <c r="P826" s="3">
        <v>0.97916666666666663</v>
      </c>
    </row>
    <row r="827" spans="1:16" x14ac:dyDescent="0.25">
      <c r="A827" t="s">
        <v>518</v>
      </c>
      <c r="B827" s="2">
        <v>43573</v>
      </c>
      <c r="C827" t="str">
        <f>+"Tuáº§n "&amp;WEEKNUM(B827)</f>
        <v>Tuáº§n 16</v>
      </c>
      <c r="D827" t="s">
        <v>20</v>
      </c>
      <c r="E827" t="s">
        <v>17</v>
      </c>
      <c r="F827" s="5">
        <v>34700000</v>
      </c>
      <c r="G827" s="5">
        <v>37700000</v>
      </c>
      <c r="H827" s="5">
        <f>+(M827*26000)/0.829426</f>
        <v>39870223.5039654</v>
      </c>
      <c r="I827" s="5">
        <f>+G827-H827</f>
        <v>-2170223.5039654002</v>
      </c>
      <c r="J827" s="5">
        <v>3000000</v>
      </c>
      <c r="K827" s="5">
        <v>3470000</v>
      </c>
      <c r="L827" s="5">
        <v>3770000</v>
      </c>
      <c r="M827" s="7">
        <v>1271.9000000000001</v>
      </c>
      <c r="N827" s="5">
        <v>35200000</v>
      </c>
      <c r="O827" s="5">
        <v>38200000</v>
      </c>
      <c r="P827" s="3">
        <v>0.97916666666666663</v>
      </c>
    </row>
    <row r="828" spans="1:16" x14ac:dyDescent="0.25">
      <c r="A828" t="s">
        <v>519</v>
      </c>
      <c r="B828" s="2">
        <v>43577</v>
      </c>
      <c r="C828" t="str">
        <f>+"Tuáº§n "&amp;WEEKNUM(B828)</f>
        <v>Tuáº§n 17</v>
      </c>
      <c r="D828" t="s">
        <v>16</v>
      </c>
      <c r="E828" t="s">
        <v>17</v>
      </c>
      <c r="F828" s="5">
        <v>34800000</v>
      </c>
      <c r="G828" s="5">
        <v>37800000</v>
      </c>
      <c r="H828" s="5">
        <f>+(M828*26000)/0.829426</f>
        <v>39920378.671515003</v>
      </c>
      <c r="I828" s="5">
        <f>+G828-H828</f>
        <v>-2120378.6715150028</v>
      </c>
      <c r="J828" s="5">
        <v>3000000</v>
      </c>
      <c r="K828" s="5">
        <v>3480000</v>
      </c>
      <c r="L828" s="5">
        <v>3780000</v>
      </c>
      <c r="M828" s="7">
        <v>1273.5</v>
      </c>
      <c r="N828" s="5">
        <v>35300000</v>
      </c>
      <c r="O828" s="5">
        <v>38300000</v>
      </c>
      <c r="P828" s="3">
        <v>0.97916666666666663</v>
      </c>
    </row>
    <row r="829" spans="1:16" x14ac:dyDescent="0.25">
      <c r="A829" t="s">
        <v>520</v>
      </c>
      <c r="B829" s="2">
        <v>43578</v>
      </c>
      <c r="C829" t="str">
        <f>+"Tuáº§n "&amp;WEEKNUM(B829)</f>
        <v>Tuáº§n 17</v>
      </c>
      <c r="D829" t="s">
        <v>18</v>
      </c>
      <c r="E829" t="s">
        <v>17</v>
      </c>
      <c r="F829" s="5">
        <v>34600000</v>
      </c>
      <c r="G829" s="5">
        <v>37600000</v>
      </c>
      <c r="H829" s="5">
        <f>+(M829*26000)/0.829426</f>
        <v>39788721.356697284</v>
      </c>
      <c r="I829" s="5">
        <f>+G829-H829</f>
        <v>-2188721.3566972837</v>
      </c>
      <c r="J829" s="5">
        <v>3000000</v>
      </c>
      <c r="K829" s="5">
        <v>3460000</v>
      </c>
      <c r="L829" s="5">
        <v>3760000</v>
      </c>
      <c r="M829" s="7">
        <v>1269.3</v>
      </c>
      <c r="N829" s="5">
        <v>35100000</v>
      </c>
      <c r="O829" s="5">
        <v>38100000</v>
      </c>
      <c r="P829" s="3">
        <v>0.97916666666666663</v>
      </c>
    </row>
    <row r="830" spans="1:16" x14ac:dyDescent="0.25">
      <c r="A830" t="s">
        <v>521</v>
      </c>
      <c r="B830" s="2">
        <v>43579</v>
      </c>
      <c r="C830" t="str">
        <f>+"Tuáº§n "&amp;WEEKNUM(B830)</f>
        <v>Tuáº§n 17</v>
      </c>
      <c r="D830" t="s">
        <v>19</v>
      </c>
      <c r="E830" t="s">
        <v>17</v>
      </c>
      <c r="F830" s="5">
        <v>34800000</v>
      </c>
      <c r="G830" s="5">
        <v>37800000</v>
      </c>
      <c r="H830" s="5">
        <f>+(M830*26000)/0.829426</f>
        <v>39983072.630952008</v>
      </c>
      <c r="I830" s="5">
        <f>+G830-H830</f>
        <v>-2183072.6309520081</v>
      </c>
      <c r="J830" s="5">
        <v>3000000</v>
      </c>
      <c r="K830" s="5">
        <v>3480000</v>
      </c>
      <c r="L830" s="5">
        <v>3780000</v>
      </c>
      <c r="M830" s="7">
        <v>1275.5</v>
      </c>
      <c r="N830" s="5">
        <v>35300000</v>
      </c>
      <c r="O830" s="5">
        <v>38300000</v>
      </c>
      <c r="P830" s="3">
        <v>0.97916666666666663</v>
      </c>
    </row>
    <row r="831" spans="1:16" x14ac:dyDescent="0.25">
      <c r="A831" t="s">
        <v>522</v>
      </c>
      <c r="B831" s="2">
        <v>43580</v>
      </c>
      <c r="C831" t="str">
        <f>+"Tuáº§n "&amp;WEEKNUM(B831)</f>
        <v>Tuáº§n 17</v>
      </c>
      <c r="D831" t="s">
        <v>20</v>
      </c>
      <c r="E831" t="s">
        <v>17</v>
      </c>
      <c r="F831" s="5">
        <v>34800000</v>
      </c>
      <c r="G831" s="5">
        <v>37800000</v>
      </c>
      <c r="H831" s="5">
        <f>+(M831*26000)/0.829426</f>
        <v>39992476.72486756</v>
      </c>
      <c r="I831" s="5">
        <f>+G831-H831</f>
        <v>-2192476.72486756</v>
      </c>
      <c r="J831" s="5">
        <v>3000000</v>
      </c>
      <c r="K831" s="5">
        <v>3480000</v>
      </c>
      <c r="L831" s="5">
        <v>3780000</v>
      </c>
      <c r="M831" s="7">
        <v>1275.8</v>
      </c>
      <c r="N831" s="5">
        <v>35300000</v>
      </c>
      <c r="O831" s="5">
        <v>38300000</v>
      </c>
      <c r="P831" s="3">
        <v>0.97916666666666663</v>
      </c>
    </row>
    <row r="832" spans="1:16" x14ac:dyDescent="0.25">
      <c r="A832" t="s">
        <v>523</v>
      </c>
      <c r="B832" s="2">
        <v>43581</v>
      </c>
      <c r="C832" t="str">
        <f>+"Tuáº§n "&amp;WEEKNUM(B832)</f>
        <v>Tuáº§n 17</v>
      </c>
      <c r="D832" t="s">
        <v>21</v>
      </c>
      <c r="E832" t="s">
        <v>17</v>
      </c>
      <c r="F832" s="5">
        <v>35100000</v>
      </c>
      <c r="G832" s="5">
        <v>38100000</v>
      </c>
      <c r="H832" s="5">
        <f>+(M832*26000)/0.829426</f>
        <v>40277734.240305953</v>
      </c>
      <c r="I832" s="5">
        <f>+G832-H832</f>
        <v>-2177734.2403059527</v>
      </c>
      <c r="J832" s="5">
        <v>3000000</v>
      </c>
      <c r="K832" s="5">
        <v>3510000</v>
      </c>
      <c r="L832" s="5">
        <v>3810000</v>
      </c>
      <c r="M832" s="7">
        <v>1284.9000000000001</v>
      </c>
      <c r="N832" s="5">
        <v>35600000</v>
      </c>
      <c r="O832" s="5">
        <v>38600000</v>
      </c>
      <c r="P832" s="3">
        <v>0.97916666666666663</v>
      </c>
    </row>
    <row r="833" spans="1:16" x14ac:dyDescent="0.25">
      <c r="A833" t="s">
        <v>524</v>
      </c>
      <c r="B833" s="2">
        <v>43584</v>
      </c>
      <c r="C833" t="str">
        <f>+"Tuáº§n "&amp;WEEKNUM(B833)</f>
        <v>Tuáº§n 18</v>
      </c>
      <c r="D833" t="s">
        <v>16</v>
      </c>
      <c r="E833" t="s">
        <v>17</v>
      </c>
      <c r="F833" s="5">
        <v>34900000</v>
      </c>
      <c r="G833" s="5">
        <v>37900000</v>
      </c>
      <c r="H833" s="5">
        <f>+(M833*26000)/0.829426</f>
        <v>40080248.268079363</v>
      </c>
      <c r="I833" s="5">
        <f>+G833-H833</f>
        <v>-2180248.2680793628</v>
      </c>
      <c r="J833" s="5">
        <v>3000000</v>
      </c>
      <c r="K833" s="5">
        <v>3490000</v>
      </c>
      <c r="L833" s="5">
        <v>3790000</v>
      </c>
      <c r="M833" s="7">
        <v>1278.5999999999999</v>
      </c>
      <c r="N833" s="5">
        <v>35400000</v>
      </c>
      <c r="O833" s="5">
        <v>38400000</v>
      </c>
      <c r="P833" s="3">
        <v>0.97916666666666663</v>
      </c>
    </row>
    <row r="834" spans="1:16" x14ac:dyDescent="0.25">
      <c r="A834" t="s">
        <v>525</v>
      </c>
      <c r="B834" s="2">
        <v>43585</v>
      </c>
      <c r="C834" t="str">
        <f>+"Tuáº§n "&amp;WEEKNUM(B834)</f>
        <v>Tuáº§n 18</v>
      </c>
      <c r="D834" t="s">
        <v>18</v>
      </c>
      <c r="E834" t="s">
        <v>17</v>
      </c>
      <c r="F834" s="5">
        <v>35000000</v>
      </c>
      <c r="G834" s="5">
        <v>38000000</v>
      </c>
      <c r="H834" s="5">
        <f>+(M834*26000)/0.829426</f>
        <v>40211905.582897089</v>
      </c>
      <c r="I834" s="5">
        <f>+G834-H834</f>
        <v>-2211905.5828970894</v>
      </c>
      <c r="J834" s="5">
        <v>3000000</v>
      </c>
      <c r="K834" s="5">
        <v>3500000</v>
      </c>
      <c r="L834" s="5">
        <v>3800000</v>
      </c>
      <c r="M834" s="7">
        <v>1282.8</v>
      </c>
      <c r="N834" s="5">
        <v>35500000</v>
      </c>
      <c r="O834" s="5">
        <v>38500000</v>
      </c>
      <c r="P834" s="3">
        <v>0.97916666666666663</v>
      </c>
    </row>
    <row r="835" spans="1:16" x14ac:dyDescent="0.25">
      <c r="A835" s="2">
        <v>43470</v>
      </c>
      <c r="B835" s="2">
        <v>43586</v>
      </c>
      <c r="C835" t="str">
        <f>+"Tuáº§n "&amp;WEEKNUM(B835)</f>
        <v>Tuáº§n 18</v>
      </c>
      <c r="D835" t="s">
        <v>19</v>
      </c>
      <c r="E835" t="s">
        <v>17</v>
      </c>
      <c r="F835" s="5">
        <v>35000000</v>
      </c>
      <c r="G835" s="5">
        <v>38000000</v>
      </c>
      <c r="H835" s="5">
        <f>+(M835*26000)/0.829426</f>
        <v>40168019.811291188</v>
      </c>
      <c r="I835" s="5">
        <f>+G835-H835</f>
        <v>-2168019.811291188</v>
      </c>
      <c r="J835" s="5">
        <v>3000000</v>
      </c>
      <c r="K835" s="5">
        <v>3500000</v>
      </c>
      <c r="L835" s="5">
        <v>3800000</v>
      </c>
      <c r="M835" s="7">
        <v>1281.4000000000001</v>
      </c>
      <c r="N835" s="5">
        <v>35500000</v>
      </c>
      <c r="O835" s="5">
        <v>38500000</v>
      </c>
      <c r="P835" s="3">
        <v>0.97916666666666663</v>
      </c>
    </row>
    <row r="836" spans="1:16" x14ac:dyDescent="0.25">
      <c r="A836" s="2">
        <v>43501</v>
      </c>
      <c r="B836" s="2">
        <v>43587</v>
      </c>
      <c r="C836" t="str">
        <f>+"Tuáº§n "&amp;WEEKNUM(B836)</f>
        <v>Tuáº§n 18</v>
      </c>
      <c r="D836" t="s">
        <v>20</v>
      </c>
      <c r="E836" t="s">
        <v>17</v>
      </c>
      <c r="F836" s="5">
        <v>34600000</v>
      </c>
      <c r="G836" s="5">
        <v>37600000</v>
      </c>
      <c r="H836" s="5">
        <f>+(M836*26000)/0.829426</f>
        <v>39801260.148584686</v>
      </c>
      <c r="I836" s="5">
        <f>+G836-H836</f>
        <v>-2201260.1485846862</v>
      </c>
      <c r="J836" s="5">
        <v>3000000</v>
      </c>
      <c r="K836" s="5">
        <v>3460000</v>
      </c>
      <c r="L836" s="5">
        <v>3760000</v>
      </c>
      <c r="M836" s="7">
        <v>1269.7</v>
      </c>
      <c r="N836" s="5">
        <v>35100000</v>
      </c>
      <c r="O836" s="5">
        <v>38100000</v>
      </c>
      <c r="P836" s="3">
        <v>0.97916666666666663</v>
      </c>
    </row>
    <row r="837" spans="1:16" x14ac:dyDescent="0.25">
      <c r="A837" s="2">
        <v>43529</v>
      </c>
      <c r="B837" s="2">
        <v>43588</v>
      </c>
      <c r="C837" t="str">
        <f>+"Tuáº§n "&amp;WEEKNUM(B837)</f>
        <v>Tuáº§n 18</v>
      </c>
      <c r="D837" t="s">
        <v>21</v>
      </c>
      <c r="E837" t="s">
        <v>17</v>
      </c>
      <c r="F837" s="5">
        <v>34900000</v>
      </c>
      <c r="G837" s="5">
        <v>37900000</v>
      </c>
      <c r="H837" s="5">
        <f>+(M837*26000)/0.829426</f>
        <v>40099056.455910474</v>
      </c>
      <c r="I837" s="5">
        <f>+G837-H837</f>
        <v>-2199056.4559104741</v>
      </c>
      <c r="J837" s="5">
        <v>3000000</v>
      </c>
      <c r="K837" s="5">
        <v>3490000</v>
      </c>
      <c r="L837" s="5">
        <v>3790000</v>
      </c>
      <c r="M837" s="7">
        <v>1279.2</v>
      </c>
      <c r="N837" s="5">
        <v>35400000</v>
      </c>
      <c r="O837" s="5">
        <v>38400000</v>
      </c>
      <c r="P837" s="3">
        <v>0.97916666666666663</v>
      </c>
    </row>
    <row r="838" spans="1:16" x14ac:dyDescent="0.25">
      <c r="A838" s="2">
        <v>43621</v>
      </c>
      <c r="B838" s="2">
        <v>43591</v>
      </c>
      <c r="C838" t="str">
        <f>+"Tuáº§n "&amp;WEEKNUM(B838)</f>
        <v>Tuáº§n 19</v>
      </c>
      <c r="D838" t="s">
        <v>16</v>
      </c>
      <c r="E838" t="s">
        <v>17</v>
      </c>
      <c r="F838" s="5">
        <v>35000000</v>
      </c>
      <c r="G838" s="5">
        <v>38000000</v>
      </c>
      <c r="H838" s="5">
        <f>+(M838*26000)/0.829426</f>
        <v>40177423.905206732</v>
      </c>
      <c r="I838" s="5">
        <f>+G838-H838</f>
        <v>-2177423.9052067325</v>
      </c>
      <c r="J838" s="5">
        <v>3000000</v>
      </c>
      <c r="K838" s="5">
        <v>3500000</v>
      </c>
      <c r="L838" s="5">
        <v>3800000</v>
      </c>
      <c r="M838" s="7">
        <v>1281.7</v>
      </c>
      <c r="N838" s="5">
        <v>35500000</v>
      </c>
      <c r="O838" s="5">
        <v>38500000</v>
      </c>
      <c r="P838" s="3">
        <v>0.97916666666666663</v>
      </c>
    </row>
    <row r="839" spans="1:16" x14ac:dyDescent="0.25">
      <c r="A839" s="2">
        <v>43651</v>
      </c>
      <c r="B839" s="2">
        <v>43592</v>
      </c>
      <c r="C839" t="str">
        <f>+"Tuáº§n "&amp;WEEKNUM(B839)</f>
        <v>Tuáº§n 19</v>
      </c>
      <c r="D839" t="s">
        <v>18</v>
      </c>
      <c r="E839" t="s">
        <v>17</v>
      </c>
      <c r="F839" s="5">
        <v>35100000</v>
      </c>
      <c r="G839" s="5">
        <v>38100000</v>
      </c>
      <c r="H839" s="5">
        <f>+(M839*26000)/0.829426</f>
        <v>40233848.468700044</v>
      </c>
      <c r="I839" s="5">
        <f>+G839-H839</f>
        <v>-2133848.4687000439</v>
      </c>
      <c r="J839" s="5">
        <v>3000000</v>
      </c>
      <c r="K839" s="5">
        <v>3510000</v>
      </c>
      <c r="L839" s="5">
        <v>3810000</v>
      </c>
      <c r="M839" s="7">
        <v>1283.5</v>
      </c>
      <c r="N839" s="5">
        <v>35600000</v>
      </c>
      <c r="O839" s="5">
        <v>38600000</v>
      </c>
      <c r="P839" s="3">
        <v>0.97916666666666663</v>
      </c>
    </row>
    <row r="840" spans="1:16" x14ac:dyDescent="0.25">
      <c r="A840" s="2">
        <v>43682</v>
      </c>
      <c r="B840" s="2">
        <v>43593</v>
      </c>
      <c r="C840" t="str">
        <f>+"Tuáº§n "&amp;WEEKNUM(B840)</f>
        <v>Tuáº§n 19</v>
      </c>
      <c r="D840" t="s">
        <v>19</v>
      </c>
      <c r="E840" t="s">
        <v>17</v>
      </c>
      <c r="F840" s="5">
        <v>34900000</v>
      </c>
      <c r="G840" s="5">
        <v>37900000</v>
      </c>
      <c r="H840" s="5">
        <f>+(M840*26000)/0.829426</f>
        <v>40105325.851854175</v>
      </c>
      <c r="I840" s="5">
        <f>+G840-H840</f>
        <v>-2205325.8518541753</v>
      </c>
      <c r="J840" s="5">
        <v>3000000</v>
      </c>
      <c r="K840" s="5">
        <v>3490000</v>
      </c>
      <c r="L840" s="5">
        <v>3790000</v>
      </c>
      <c r="M840" s="7">
        <v>1279.4000000000001</v>
      </c>
      <c r="N840" s="5">
        <v>35400000</v>
      </c>
      <c r="O840" s="5">
        <v>38400000</v>
      </c>
      <c r="P840" s="3">
        <v>0.97916666666666663</v>
      </c>
    </row>
    <row r="841" spans="1:16" x14ac:dyDescent="0.25">
      <c r="A841" s="2">
        <v>43713</v>
      </c>
      <c r="B841" s="2">
        <v>43594</v>
      </c>
      <c r="C841" t="str">
        <f>+"Tuáº§n "&amp;WEEKNUM(B841)</f>
        <v>Tuáº§n 19</v>
      </c>
      <c r="D841" t="s">
        <v>20</v>
      </c>
      <c r="E841" t="s">
        <v>17</v>
      </c>
      <c r="F841" s="5">
        <v>35100000</v>
      </c>
      <c r="G841" s="5">
        <v>38100000</v>
      </c>
      <c r="H841" s="5">
        <f>+(M841*26000)/0.829426</f>
        <v>40233848.468700044</v>
      </c>
      <c r="I841" s="5">
        <f>+G841-H841</f>
        <v>-2133848.4687000439</v>
      </c>
      <c r="J841" s="5">
        <v>3000000</v>
      </c>
      <c r="K841" s="5">
        <v>3510000</v>
      </c>
      <c r="L841" s="5">
        <v>3810000</v>
      </c>
      <c r="M841" s="7">
        <v>1283.5</v>
      </c>
      <c r="N841" s="5">
        <v>35600000</v>
      </c>
      <c r="O841" s="5">
        <v>38600000</v>
      </c>
      <c r="P841" s="3">
        <v>0.97916666666666663</v>
      </c>
    </row>
    <row r="842" spans="1:16" x14ac:dyDescent="0.25">
      <c r="A842" s="2">
        <v>43743</v>
      </c>
      <c r="B842" s="2">
        <v>43595</v>
      </c>
      <c r="C842" t="str">
        <f>+"Tuáº§n "&amp;WEEKNUM(B842)</f>
        <v>Tuáº§n 19</v>
      </c>
      <c r="D842" t="s">
        <v>21</v>
      </c>
      <c r="E842" t="s">
        <v>17</v>
      </c>
      <c r="F842" s="5">
        <v>35100000</v>
      </c>
      <c r="G842" s="5">
        <v>38100000</v>
      </c>
      <c r="H842" s="5">
        <f>+(M842*26000)/0.829426</f>
        <v>40302811.82408075</v>
      </c>
      <c r="I842" s="5">
        <f>+G842-H842</f>
        <v>-2202811.8240807503</v>
      </c>
      <c r="J842" s="5">
        <v>3000000</v>
      </c>
      <c r="K842" s="5">
        <v>3510000</v>
      </c>
      <c r="L842" s="5">
        <v>3810000</v>
      </c>
      <c r="M842" s="7">
        <v>1285.7</v>
      </c>
      <c r="N842" s="5">
        <v>35600000</v>
      </c>
      <c r="O842" s="5">
        <v>38600000</v>
      </c>
      <c r="P842" s="3">
        <v>0.97916666666666663</v>
      </c>
    </row>
    <row r="843" spans="1:16" x14ac:dyDescent="0.25">
      <c r="A843" t="s">
        <v>526</v>
      </c>
      <c r="B843" s="2">
        <v>43598</v>
      </c>
      <c r="C843" t="str">
        <f>+"Tuáº§n "&amp;WEEKNUM(B843)</f>
        <v>Tuáº§n 20</v>
      </c>
      <c r="D843" t="s">
        <v>16</v>
      </c>
      <c r="E843" t="s">
        <v>17</v>
      </c>
      <c r="F843" s="5">
        <v>35500000</v>
      </c>
      <c r="G843" s="5">
        <v>38500000</v>
      </c>
      <c r="H843" s="5">
        <f>+(M843*26000)/0.829426</f>
        <v>40754208.332027212</v>
      </c>
      <c r="I843" s="5">
        <f>+G843-H843</f>
        <v>-2254208.3320272118</v>
      </c>
      <c r="J843" s="5">
        <v>3000000</v>
      </c>
      <c r="K843" s="5">
        <v>3550000</v>
      </c>
      <c r="L843" s="5">
        <v>3850000</v>
      </c>
      <c r="M843" s="7">
        <v>1300.0999999999999</v>
      </c>
      <c r="N843" s="5">
        <v>36000000</v>
      </c>
      <c r="O843" s="5">
        <v>39000000</v>
      </c>
      <c r="P843" s="3">
        <v>0.97916666666666663</v>
      </c>
    </row>
    <row r="844" spans="1:16" x14ac:dyDescent="0.25">
      <c r="A844" t="s">
        <v>527</v>
      </c>
      <c r="B844" s="2">
        <v>43599</v>
      </c>
      <c r="C844" t="str">
        <f>+"Tuáº§n "&amp;WEEKNUM(B844)</f>
        <v>Tuáº§n 20</v>
      </c>
      <c r="D844" t="s">
        <v>18</v>
      </c>
      <c r="E844" t="s">
        <v>17</v>
      </c>
      <c r="F844" s="5">
        <v>35400000</v>
      </c>
      <c r="G844" s="5">
        <v>38400000</v>
      </c>
      <c r="H844" s="5">
        <f>+(M844*26000)/0.829426</f>
        <v>40584934.641547285</v>
      </c>
      <c r="I844" s="5">
        <f>+G844-H844</f>
        <v>-2184934.641547285</v>
      </c>
      <c r="J844" s="5">
        <v>3000000</v>
      </c>
      <c r="K844" s="5">
        <v>3540000</v>
      </c>
      <c r="L844" s="5">
        <v>3840000</v>
      </c>
      <c r="M844" s="7">
        <v>1294.7</v>
      </c>
      <c r="N844" s="5">
        <v>35900000</v>
      </c>
      <c r="O844" s="5">
        <v>38900000</v>
      </c>
      <c r="P844" s="3">
        <v>0.97916666666666663</v>
      </c>
    </row>
    <row r="845" spans="1:16" x14ac:dyDescent="0.25">
      <c r="A845" t="s">
        <v>528</v>
      </c>
      <c r="B845" s="2">
        <v>43600</v>
      </c>
      <c r="C845" t="str">
        <f>+"Tuáº§n "&amp;WEEKNUM(B845)</f>
        <v>Tuáº§n 20</v>
      </c>
      <c r="D845" t="s">
        <v>19</v>
      </c>
      <c r="E845" t="s">
        <v>17</v>
      </c>
      <c r="F845" s="5">
        <v>35400000</v>
      </c>
      <c r="G845" s="5">
        <v>38400000</v>
      </c>
      <c r="H845" s="5">
        <f>+(M845*26000)/0.829426</f>
        <v>40635089.809096895</v>
      </c>
      <c r="I845" s="5">
        <f>+G845-H845</f>
        <v>-2235089.8090968952</v>
      </c>
      <c r="J845" s="5">
        <v>3000000</v>
      </c>
      <c r="K845" s="5">
        <v>3540000</v>
      </c>
      <c r="L845" s="5">
        <v>3840000</v>
      </c>
      <c r="M845" s="7">
        <v>1296.3</v>
      </c>
      <c r="N845" s="5">
        <v>35900000</v>
      </c>
      <c r="O845" s="5">
        <v>38900000</v>
      </c>
      <c r="P845" s="3">
        <v>0.97916666666666663</v>
      </c>
    </row>
    <row r="846" spans="1:16" x14ac:dyDescent="0.25">
      <c r="A846" t="s">
        <v>529</v>
      </c>
      <c r="B846" s="2">
        <v>43601</v>
      </c>
      <c r="C846" t="str">
        <f>+"Tuáº§n "&amp;WEEKNUM(B846)</f>
        <v>Tuáº§n 20</v>
      </c>
      <c r="D846" t="s">
        <v>20</v>
      </c>
      <c r="E846" t="s">
        <v>17</v>
      </c>
      <c r="F846" s="5">
        <v>35100000</v>
      </c>
      <c r="G846" s="5">
        <v>38100000</v>
      </c>
      <c r="H846" s="5">
        <f>+(M846*26000)/0.829426</f>
        <v>40280868.938277796</v>
      </c>
      <c r="I846" s="5">
        <f>+G846-H846</f>
        <v>-2180868.9382777959</v>
      </c>
      <c r="J846" s="5">
        <v>3000000</v>
      </c>
      <c r="K846" s="5">
        <v>3510000</v>
      </c>
      <c r="L846" s="5">
        <v>3810000</v>
      </c>
      <c r="M846" s="7">
        <v>1285</v>
      </c>
      <c r="N846" s="5">
        <v>35600000</v>
      </c>
      <c r="O846" s="5">
        <v>38600000</v>
      </c>
      <c r="P846" s="3">
        <v>0.97916666666666663</v>
      </c>
    </row>
    <row r="847" spans="1:16" x14ac:dyDescent="0.25">
      <c r="A847" t="s">
        <v>530</v>
      </c>
      <c r="B847" s="2">
        <v>43602</v>
      </c>
      <c r="C847" t="str">
        <f>+"Tuáº§n "&amp;WEEKNUM(B847)</f>
        <v>Tuáº§n 20</v>
      </c>
      <c r="D847" t="s">
        <v>21</v>
      </c>
      <c r="E847" t="s">
        <v>17</v>
      </c>
      <c r="F847" s="5">
        <v>34800000</v>
      </c>
      <c r="G847" s="5">
        <v>37800000</v>
      </c>
      <c r="H847" s="5">
        <f>+(M847*26000)/0.829426</f>
        <v>39951725.651233502</v>
      </c>
      <c r="I847" s="5">
        <f>+G847-H847</f>
        <v>-2151725.6512335017</v>
      </c>
      <c r="J847" s="5">
        <v>3000000</v>
      </c>
      <c r="K847" s="5">
        <v>3480000</v>
      </c>
      <c r="L847" s="5">
        <v>3780000</v>
      </c>
      <c r="M847" s="7">
        <v>1274.5</v>
      </c>
      <c r="N847" s="5">
        <v>35300000</v>
      </c>
      <c r="O847" s="5">
        <v>38300000</v>
      </c>
      <c r="P847" s="3">
        <v>0.97916666666666663</v>
      </c>
    </row>
    <row r="848" spans="1:16" x14ac:dyDescent="0.25">
      <c r="A848" t="s">
        <v>531</v>
      </c>
      <c r="B848" s="2">
        <v>43605</v>
      </c>
      <c r="C848" t="str">
        <f>+"Tuáº§n "&amp;WEEKNUM(B848)</f>
        <v>Tuáº§n 21</v>
      </c>
      <c r="D848" t="s">
        <v>16</v>
      </c>
      <c r="E848" t="s">
        <v>17</v>
      </c>
      <c r="F848" s="5">
        <v>34800000</v>
      </c>
      <c r="G848" s="5">
        <v>37800000</v>
      </c>
      <c r="H848" s="5">
        <f>+(M848*26000)/0.829426</f>
        <v>40001880.818783104</v>
      </c>
      <c r="I848" s="5">
        <f>+G848-H848</f>
        <v>-2201880.8187831044</v>
      </c>
      <c r="J848" s="5">
        <v>3000000</v>
      </c>
      <c r="K848" s="5">
        <v>3480000</v>
      </c>
      <c r="L848" s="5">
        <v>3780000</v>
      </c>
      <c r="M848" s="7">
        <v>1276.0999999999999</v>
      </c>
      <c r="N848" s="5">
        <v>35300000</v>
      </c>
      <c r="O848" s="5">
        <v>38300000</v>
      </c>
      <c r="P848" s="3">
        <v>0.97916666666666663</v>
      </c>
    </row>
    <row r="849" spans="1:16" x14ac:dyDescent="0.25">
      <c r="A849" t="s">
        <v>532</v>
      </c>
      <c r="B849" s="2">
        <v>43606</v>
      </c>
      <c r="C849" t="str">
        <f>+"Tuáº§n "&amp;WEEKNUM(B849)</f>
        <v>Tuáº§n 21</v>
      </c>
      <c r="D849" t="s">
        <v>18</v>
      </c>
      <c r="E849" t="s">
        <v>17</v>
      </c>
      <c r="F849" s="5">
        <v>34700000</v>
      </c>
      <c r="G849" s="5">
        <v>37700000</v>
      </c>
      <c r="H849" s="5">
        <f>+(M849*26000)/0.829426</f>
        <v>39873358.201937243</v>
      </c>
      <c r="I849" s="5">
        <f>+G849-H849</f>
        <v>-2173358.2019372433</v>
      </c>
      <c r="J849" s="5">
        <v>3000000</v>
      </c>
      <c r="K849" s="5">
        <v>3470000</v>
      </c>
      <c r="L849" s="5">
        <v>3770000</v>
      </c>
      <c r="M849" s="7">
        <v>1272</v>
      </c>
      <c r="N849" s="5">
        <v>35200000</v>
      </c>
      <c r="O849" s="5">
        <v>38200000</v>
      </c>
      <c r="P849" s="3">
        <v>0.97916666666666663</v>
      </c>
    </row>
    <row r="850" spans="1:16" x14ac:dyDescent="0.25">
      <c r="A850" t="s">
        <v>533</v>
      </c>
      <c r="B850" s="2">
        <v>43607</v>
      </c>
      <c r="C850" t="str">
        <f>+"Tuáº§n "&amp;WEEKNUM(B850)</f>
        <v>Tuáº§n 21</v>
      </c>
      <c r="D850" t="s">
        <v>19</v>
      </c>
      <c r="E850" t="s">
        <v>17</v>
      </c>
      <c r="F850" s="5">
        <v>34800000</v>
      </c>
      <c r="G850" s="5">
        <v>37800000</v>
      </c>
      <c r="H850" s="5">
        <f>+(M850*26000)/0.829426</f>
        <v>39923513.369486846</v>
      </c>
      <c r="I850" s="5">
        <f>+G850-H850</f>
        <v>-2123513.369486846</v>
      </c>
      <c r="J850" s="5">
        <v>3000000</v>
      </c>
      <c r="K850" s="5">
        <v>3480000</v>
      </c>
      <c r="L850" s="5">
        <v>3780000</v>
      </c>
      <c r="M850" s="7">
        <v>1273.5999999999999</v>
      </c>
      <c r="N850" s="5">
        <v>35300000</v>
      </c>
      <c r="O850" s="5">
        <v>38300000</v>
      </c>
      <c r="P850" s="3">
        <v>0.97916666666666663</v>
      </c>
    </row>
    <row r="851" spans="1:16" x14ac:dyDescent="0.25">
      <c r="A851" t="s">
        <v>534</v>
      </c>
      <c r="B851" s="2">
        <v>43608</v>
      </c>
      <c r="C851" t="str">
        <f>+"Tuáº§n "&amp;WEEKNUM(B851)</f>
        <v>Tuáº§n 21</v>
      </c>
      <c r="D851" t="s">
        <v>20</v>
      </c>
      <c r="E851" t="s">
        <v>17</v>
      </c>
      <c r="F851" s="5">
        <v>35100000</v>
      </c>
      <c r="G851" s="5">
        <v>38100000</v>
      </c>
      <c r="H851" s="5">
        <f>+(M851*26000)/0.829426</f>
        <v>40274599.542334095</v>
      </c>
      <c r="I851" s="5">
        <f>+G851-H851</f>
        <v>-2174599.5423340946</v>
      </c>
      <c r="J851" s="5">
        <v>3000000</v>
      </c>
      <c r="K851" s="5">
        <v>3510000</v>
      </c>
      <c r="L851" s="5">
        <v>3810000</v>
      </c>
      <c r="M851" s="7">
        <v>1284.8</v>
      </c>
      <c r="N851" s="5">
        <v>35600000</v>
      </c>
      <c r="O851" s="5">
        <v>38600000</v>
      </c>
      <c r="P851" s="3">
        <v>0.97916666666666663</v>
      </c>
    </row>
    <row r="852" spans="1:16" x14ac:dyDescent="0.25">
      <c r="A852" t="s">
        <v>535</v>
      </c>
      <c r="B852" s="2">
        <v>43609</v>
      </c>
      <c r="C852" t="str">
        <f>+"Tuáº§n "&amp;WEEKNUM(B852)</f>
        <v>Tuáº§n 21</v>
      </c>
      <c r="D852" t="s">
        <v>21</v>
      </c>
      <c r="E852" t="s">
        <v>17</v>
      </c>
      <c r="F852" s="5">
        <v>35000000</v>
      </c>
      <c r="G852" s="5">
        <v>38000000</v>
      </c>
      <c r="H852" s="5">
        <f>+(M852*26000)/0.829426</f>
        <v>40218174.978840791</v>
      </c>
      <c r="I852" s="5">
        <f>+G852-H852</f>
        <v>-2218174.9788407907</v>
      </c>
      <c r="J852" s="5">
        <v>3000000</v>
      </c>
      <c r="K852" s="5">
        <v>3500000</v>
      </c>
      <c r="L852" s="5">
        <v>3800000</v>
      </c>
      <c r="M852" s="7">
        <v>1283</v>
      </c>
      <c r="N852" s="5">
        <v>35500000</v>
      </c>
      <c r="O852" s="5">
        <v>38500000</v>
      </c>
      <c r="P852" s="3">
        <v>0.97916666666666663</v>
      </c>
    </row>
    <row r="853" spans="1:16" x14ac:dyDescent="0.25">
      <c r="A853" t="s">
        <v>536</v>
      </c>
      <c r="B853" s="2">
        <v>43613</v>
      </c>
      <c r="C853" t="str">
        <f>+"Tuáº§n "&amp;WEEKNUM(B853)</f>
        <v>Tuáº§n 22</v>
      </c>
      <c r="D853" t="s">
        <v>18</v>
      </c>
      <c r="E853" t="s">
        <v>17</v>
      </c>
      <c r="F853" s="5">
        <v>34800000</v>
      </c>
      <c r="G853" s="5">
        <v>37800000</v>
      </c>
      <c r="H853" s="5">
        <f>+(M853*26000)/0.829426</f>
        <v>40014419.610670514</v>
      </c>
      <c r="I853" s="5">
        <f>+G853-H853</f>
        <v>-2214419.6106705144</v>
      </c>
      <c r="J853" s="5">
        <v>3000000</v>
      </c>
      <c r="K853" s="5">
        <v>3480000</v>
      </c>
      <c r="L853" s="5">
        <v>3780000</v>
      </c>
      <c r="M853" s="7">
        <v>1276.5</v>
      </c>
      <c r="N853" s="5">
        <v>35300000</v>
      </c>
      <c r="O853" s="5">
        <v>38300000</v>
      </c>
      <c r="P853" s="3">
        <v>0.97916666666666663</v>
      </c>
    </row>
    <row r="854" spans="1:16" x14ac:dyDescent="0.25">
      <c r="A854" t="s">
        <v>537</v>
      </c>
      <c r="B854" s="2">
        <v>43614</v>
      </c>
      <c r="C854" t="str">
        <f>+"Tuáº§n "&amp;WEEKNUM(B854)</f>
        <v>Tuáº§n 22</v>
      </c>
      <c r="D854" t="s">
        <v>19</v>
      </c>
      <c r="E854" t="s">
        <v>17</v>
      </c>
      <c r="F854" s="5">
        <v>35000000</v>
      </c>
      <c r="G854" s="5">
        <v>38000000</v>
      </c>
      <c r="H854" s="5">
        <f>+(M854*26000)/0.829426</f>
        <v>40142942.227516375</v>
      </c>
      <c r="I854" s="5">
        <f>+G854-H854</f>
        <v>-2142942.2275163755</v>
      </c>
      <c r="J854" s="5">
        <v>3000000</v>
      </c>
      <c r="K854" s="5">
        <v>3500000</v>
      </c>
      <c r="L854" s="5">
        <v>3800000</v>
      </c>
      <c r="M854" s="7">
        <v>1280.5999999999999</v>
      </c>
      <c r="N854" s="5">
        <v>35500000</v>
      </c>
      <c r="O854" s="5">
        <v>38500000</v>
      </c>
      <c r="P854" s="3">
        <v>0.97916666666666663</v>
      </c>
    </row>
    <row r="855" spans="1:16" x14ac:dyDescent="0.25">
      <c r="A855" t="s">
        <v>538</v>
      </c>
      <c r="B855" s="2">
        <v>43615</v>
      </c>
      <c r="C855" t="str">
        <f>+"Tuáº§n "&amp;WEEKNUM(B855)</f>
        <v>Tuáº§n 22</v>
      </c>
      <c r="D855" t="s">
        <v>20</v>
      </c>
      <c r="E855" t="s">
        <v>17</v>
      </c>
      <c r="F855" s="5">
        <v>35200000</v>
      </c>
      <c r="G855" s="5">
        <v>38200000</v>
      </c>
      <c r="H855" s="5">
        <f>+(M855*26000)/0.829426</f>
        <v>40346697.595686652</v>
      </c>
      <c r="I855" s="5">
        <f>+G855-H855</f>
        <v>-2146697.5956866518</v>
      </c>
      <c r="J855" s="5">
        <v>3000000</v>
      </c>
      <c r="K855" s="5">
        <v>3520000</v>
      </c>
      <c r="L855" s="5">
        <v>3820000</v>
      </c>
      <c r="M855" s="7">
        <v>1287.0999999999999</v>
      </c>
      <c r="N855" s="5">
        <v>35700000</v>
      </c>
      <c r="O855" s="5">
        <v>38700000</v>
      </c>
      <c r="P855" s="3">
        <v>0.97916666666666663</v>
      </c>
    </row>
    <row r="856" spans="1:16" x14ac:dyDescent="0.25">
      <c r="A856" t="s">
        <v>539</v>
      </c>
      <c r="B856" s="2">
        <v>43616</v>
      </c>
      <c r="C856" t="str">
        <f>+"Tuáº§n "&amp;WEEKNUM(B856)</f>
        <v>Tuáº§n 22</v>
      </c>
      <c r="D856" t="s">
        <v>21</v>
      </c>
      <c r="E856" t="s">
        <v>17</v>
      </c>
      <c r="F856" s="5">
        <v>35700000</v>
      </c>
      <c r="G856" s="5">
        <v>38700000</v>
      </c>
      <c r="H856" s="5">
        <f>+(M856*26000)/0.829426</f>
        <v>40932886.116422683</v>
      </c>
      <c r="I856" s="5">
        <f>+G856-H856</f>
        <v>-2232886.116422683</v>
      </c>
      <c r="J856" s="5">
        <v>3000000</v>
      </c>
      <c r="K856" s="5">
        <v>3570000</v>
      </c>
      <c r="L856" s="5">
        <v>3870000</v>
      </c>
      <c r="M856" s="7">
        <v>1305.8</v>
      </c>
      <c r="N856" s="5">
        <v>36200000</v>
      </c>
      <c r="O856" s="5">
        <v>39200000</v>
      </c>
      <c r="P856" s="3">
        <v>0.97916666666666663</v>
      </c>
    </row>
    <row r="857" spans="1:16" x14ac:dyDescent="0.25">
      <c r="A857" s="2">
        <v>43530</v>
      </c>
      <c r="B857" s="2">
        <v>43619</v>
      </c>
      <c r="C857" t="str">
        <f>+"Tuáº§n "&amp;WEEKNUM(B857)</f>
        <v>Tuáº§n 23</v>
      </c>
      <c r="D857" t="s">
        <v>16</v>
      </c>
      <c r="E857" t="s">
        <v>17</v>
      </c>
      <c r="F857" s="5">
        <v>36200000</v>
      </c>
      <c r="G857" s="5">
        <v>39200000</v>
      </c>
      <c r="H857" s="5">
        <f>+(M857*26000)/0.829426</f>
        <v>41462650.073665403</v>
      </c>
      <c r="I857" s="5">
        <f>+G857-H857</f>
        <v>-2262650.0736654028</v>
      </c>
      <c r="J857" s="5">
        <v>3000000</v>
      </c>
      <c r="K857" s="5">
        <v>3620000</v>
      </c>
      <c r="L857" s="5">
        <v>3920000</v>
      </c>
      <c r="M857" s="7">
        <v>1322.7</v>
      </c>
      <c r="N857" s="5">
        <v>36700000</v>
      </c>
      <c r="O857" s="5">
        <v>39700000</v>
      </c>
      <c r="P857" s="3">
        <v>0.97916666666666663</v>
      </c>
    </row>
    <row r="858" spans="1:16" x14ac:dyDescent="0.25">
      <c r="A858" s="2">
        <v>43561</v>
      </c>
      <c r="B858" s="2">
        <v>43620</v>
      </c>
      <c r="C858" t="str">
        <f>+"Tuáº§n "&amp;WEEKNUM(B858)</f>
        <v>Tuáº§n 23</v>
      </c>
      <c r="D858" t="s">
        <v>18</v>
      </c>
      <c r="E858" t="s">
        <v>17</v>
      </c>
      <c r="F858" s="5">
        <v>36200000</v>
      </c>
      <c r="G858" s="5">
        <v>39200000</v>
      </c>
      <c r="H858" s="5">
        <f>+(M858*26000)/0.829426</f>
        <v>41484592.959468357</v>
      </c>
      <c r="I858" s="5">
        <f>+G858-H858</f>
        <v>-2284592.9594683573</v>
      </c>
      <c r="J858" s="5">
        <v>3000000</v>
      </c>
      <c r="K858" s="5">
        <v>3620000</v>
      </c>
      <c r="L858" s="5">
        <v>3920000</v>
      </c>
      <c r="M858" s="7">
        <v>1323.4</v>
      </c>
      <c r="N858" s="5">
        <v>36700000</v>
      </c>
      <c r="O858" s="5">
        <v>39700000</v>
      </c>
      <c r="P858" s="3">
        <v>0.97916666666666663</v>
      </c>
    </row>
    <row r="859" spans="1:16" x14ac:dyDescent="0.25">
      <c r="A859" s="2">
        <v>43591</v>
      </c>
      <c r="B859" s="2">
        <v>43621</v>
      </c>
      <c r="C859" t="str">
        <f>+"Tuáº§n "&amp;WEEKNUM(B859)</f>
        <v>Tuáº§n 23</v>
      </c>
      <c r="D859" t="s">
        <v>19</v>
      </c>
      <c r="E859" t="s">
        <v>17</v>
      </c>
      <c r="F859" s="5">
        <v>36400000</v>
      </c>
      <c r="G859" s="5">
        <v>39400000</v>
      </c>
      <c r="H859" s="5">
        <f>+(M859*26000)/0.829426</f>
        <v>41638193.160089023</v>
      </c>
      <c r="I859" s="5">
        <f>+G859-H859</f>
        <v>-2238193.1600890234</v>
      </c>
      <c r="J859" s="5">
        <v>3000000</v>
      </c>
      <c r="K859" s="5">
        <v>3640000</v>
      </c>
      <c r="L859" s="5">
        <v>3940000</v>
      </c>
      <c r="M859" s="7">
        <v>1328.3</v>
      </c>
      <c r="N859" s="5">
        <v>36900000</v>
      </c>
      <c r="O859" s="5">
        <v>39900000</v>
      </c>
      <c r="P859" s="3">
        <v>0.97916666666666663</v>
      </c>
    </row>
    <row r="860" spans="1:16" x14ac:dyDescent="0.25">
      <c r="A860" s="2">
        <v>43622</v>
      </c>
      <c r="B860" s="2">
        <v>43622</v>
      </c>
      <c r="C860" t="str">
        <f>+"Tuáº§n "&amp;WEEKNUM(B860)</f>
        <v>Tuáº§n 23</v>
      </c>
      <c r="D860" t="s">
        <v>20</v>
      </c>
      <c r="E860" t="s">
        <v>17</v>
      </c>
      <c r="F860" s="5">
        <v>36700000</v>
      </c>
      <c r="G860" s="5">
        <v>39700000</v>
      </c>
      <c r="H860" s="5">
        <f>+(M860*26000)/0.829426</f>
        <v>41929720.071471117</v>
      </c>
      <c r="I860" s="5">
        <f>+G860-H860</f>
        <v>-2229720.0714711174</v>
      </c>
      <c r="J860" s="5">
        <v>3000000</v>
      </c>
      <c r="K860" s="5">
        <v>3670000</v>
      </c>
      <c r="L860" s="5">
        <v>3970000</v>
      </c>
      <c r="M860" s="7">
        <v>1337.6</v>
      </c>
      <c r="N860" s="5">
        <v>37200000</v>
      </c>
      <c r="O860" s="5">
        <v>40200000</v>
      </c>
      <c r="P860" s="3">
        <v>0.97916666666666663</v>
      </c>
    </row>
    <row r="861" spans="1:16" x14ac:dyDescent="0.25">
      <c r="A861" s="2">
        <v>43652</v>
      </c>
      <c r="B861" s="2">
        <v>43623</v>
      </c>
      <c r="C861" t="str">
        <f>+"Tuáº§n "&amp;WEEKNUM(B861)</f>
        <v>Tuáº§n 23</v>
      </c>
      <c r="D861" t="s">
        <v>21</v>
      </c>
      <c r="E861" t="s">
        <v>17</v>
      </c>
      <c r="F861" s="5">
        <v>36800000</v>
      </c>
      <c r="G861" s="5">
        <v>39800000</v>
      </c>
      <c r="H861" s="5">
        <f>+(M861*26000)/0.829426</f>
        <v>42042569.198457725</v>
      </c>
      <c r="I861" s="5">
        <f>+G861-H861</f>
        <v>-2242569.1984577253</v>
      </c>
      <c r="J861" s="5">
        <v>3000000</v>
      </c>
      <c r="K861" s="5">
        <v>3680000</v>
      </c>
      <c r="L861" s="5">
        <v>3980000</v>
      </c>
      <c r="M861" s="7">
        <v>1341.2</v>
      </c>
      <c r="N861" s="5">
        <v>37300000</v>
      </c>
      <c r="O861" s="5">
        <v>40300000</v>
      </c>
      <c r="P861" s="3">
        <v>0.97916666666666663</v>
      </c>
    </row>
    <row r="862" spans="1:16" x14ac:dyDescent="0.25">
      <c r="A862" s="2">
        <v>43744</v>
      </c>
      <c r="B862" s="2">
        <v>43626</v>
      </c>
      <c r="C862" t="str">
        <f>+"Tuáº§n "&amp;WEEKNUM(B862)</f>
        <v>Tuáº§n 24</v>
      </c>
      <c r="D862" t="s">
        <v>16</v>
      </c>
      <c r="E862" t="s">
        <v>17</v>
      </c>
      <c r="F862" s="5">
        <v>36300000</v>
      </c>
      <c r="G862" s="5">
        <v>39300000</v>
      </c>
      <c r="H862" s="5">
        <f>+(M862*26000)/0.829426</f>
        <v>41525344.033102408</v>
      </c>
      <c r="I862" s="5">
        <f>+G862-H862</f>
        <v>-2225344.0331024081</v>
      </c>
      <c r="J862" s="5">
        <v>3000000</v>
      </c>
      <c r="K862" s="5">
        <v>3630000</v>
      </c>
      <c r="L862" s="5">
        <v>3930000</v>
      </c>
      <c r="M862" s="7">
        <v>1324.7</v>
      </c>
      <c r="N862" s="5">
        <v>36800000</v>
      </c>
      <c r="O862" s="5">
        <v>39800000</v>
      </c>
      <c r="P862" s="3">
        <v>0.97916666666666663</v>
      </c>
    </row>
    <row r="863" spans="1:16" x14ac:dyDescent="0.25">
      <c r="A863" s="2">
        <v>43775</v>
      </c>
      <c r="B863" s="2">
        <v>43627</v>
      </c>
      <c r="C863" t="str">
        <f>+"Tuáº§n "&amp;WEEKNUM(B863)</f>
        <v>Tuáº§n 24</v>
      </c>
      <c r="D863" t="s">
        <v>18</v>
      </c>
      <c r="E863" t="s">
        <v>17</v>
      </c>
      <c r="F863" s="5">
        <v>36300000</v>
      </c>
      <c r="G863" s="5">
        <v>39300000</v>
      </c>
      <c r="H863" s="5">
        <f>+(M863*26000)/0.829426</f>
        <v>41578633.898623869</v>
      </c>
      <c r="I863" s="5">
        <f>+G863-H863</f>
        <v>-2278633.8986238688</v>
      </c>
      <c r="J863" s="5">
        <v>3000000</v>
      </c>
      <c r="K863" s="5">
        <v>3630000</v>
      </c>
      <c r="L863" s="5">
        <v>3930000</v>
      </c>
      <c r="M863" s="7">
        <v>1326.4</v>
      </c>
      <c r="N863" s="5">
        <v>36800000</v>
      </c>
      <c r="O863" s="5">
        <v>39800000</v>
      </c>
      <c r="P863" s="3">
        <v>0.97916666666666663</v>
      </c>
    </row>
    <row r="864" spans="1:16" x14ac:dyDescent="0.25">
      <c r="A864" s="2">
        <v>43805</v>
      </c>
      <c r="B864" s="2">
        <v>43628</v>
      </c>
      <c r="C864" t="str">
        <f>+"Tuáº§n "&amp;WEEKNUM(B864)</f>
        <v>Tuáº§n 24</v>
      </c>
      <c r="D864" t="s">
        <v>19</v>
      </c>
      <c r="E864" t="s">
        <v>17</v>
      </c>
      <c r="F864" s="5">
        <v>36500000</v>
      </c>
      <c r="G864" s="5">
        <v>39500000</v>
      </c>
      <c r="H864" s="5">
        <f>+(M864*26000)/0.829426</f>
        <v>41751042.287075639</v>
      </c>
      <c r="I864" s="5">
        <f>+G864-H864</f>
        <v>-2251042.2870756388</v>
      </c>
      <c r="J864" s="5">
        <v>3000000</v>
      </c>
      <c r="K864" s="5">
        <v>3650000</v>
      </c>
      <c r="L864" s="5">
        <v>3950000</v>
      </c>
      <c r="M864" s="7">
        <v>1331.9</v>
      </c>
      <c r="N864" s="5">
        <v>37000000</v>
      </c>
      <c r="O864" s="5">
        <v>40000000</v>
      </c>
      <c r="P864" s="3">
        <v>0.97916666666666663</v>
      </c>
    </row>
    <row r="865" spans="1:16" x14ac:dyDescent="0.25">
      <c r="A865" t="s">
        <v>540</v>
      </c>
      <c r="B865" s="2">
        <v>43629</v>
      </c>
      <c r="C865" t="str">
        <f>+"Tuáº§n "&amp;WEEKNUM(B865)</f>
        <v>Tuáº§n 24</v>
      </c>
      <c r="D865" t="s">
        <v>20</v>
      </c>
      <c r="E865" t="s">
        <v>17</v>
      </c>
      <c r="F865" s="5">
        <v>36700000</v>
      </c>
      <c r="G865" s="5">
        <v>39700000</v>
      </c>
      <c r="H865" s="5">
        <f>+(M865*26000)/0.829426</f>
        <v>41979875.23902072</v>
      </c>
      <c r="I865" s="5">
        <f>+G865-H865</f>
        <v>-2279875.2390207201</v>
      </c>
      <c r="J865" s="5">
        <v>3000000</v>
      </c>
      <c r="K865" s="5">
        <v>3670000</v>
      </c>
      <c r="L865" s="5">
        <v>3970000</v>
      </c>
      <c r="M865" s="7">
        <v>1339.2</v>
      </c>
      <c r="N865" s="5">
        <v>37200000</v>
      </c>
      <c r="O865" s="5">
        <v>40200000</v>
      </c>
      <c r="P865" s="3">
        <v>0.97916666666666663</v>
      </c>
    </row>
    <row r="866" spans="1:16" x14ac:dyDescent="0.25">
      <c r="A866" t="s">
        <v>541</v>
      </c>
      <c r="B866" s="2">
        <v>43630</v>
      </c>
      <c r="C866" t="str">
        <f>+"Tuáº§n "&amp;WEEKNUM(B866)</f>
        <v>Tuáº§n 24</v>
      </c>
      <c r="D866" t="s">
        <v>21</v>
      </c>
      <c r="E866" t="s">
        <v>17</v>
      </c>
      <c r="F866" s="5">
        <v>36700000</v>
      </c>
      <c r="G866" s="5">
        <v>39700000</v>
      </c>
      <c r="H866" s="5">
        <f>+(M866*26000)/0.829426</f>
        <v>42008087.520767376</v>
      </c>
      <c r="I866" s="5">
        <f>+G866-H866</f>
        <v>-2308087.5207673758</v>
      </c>
      <c r="J866" s="5">
        <v>3000000</v>
      </c>
      <c r="K866" s="5">
        <v>3670000</v>
      </c>
      <c r="L866" s="5">
        <v>3970000</v>
      </c>
      <c r="M866" s="7">
        <v>1340.1</v>
      </c>
      <c r="N866" s="5">
        <v>37200000</v>
      </c>
      <c r="O866" s="5">
        <v>40200000</v>
      </c>
      <c r="P866" s="3">
        <v>0.97916666666666663</v>
      </c>
    </row>
    <row r="867" spans="1:16" x14ac:dyDescent="0.25">
      <c r="A867" t="s">
        <v>542</v>
      </c>
      <c r="B867" s="2">
        <v>43633</v>
      </c>
      <c r="C867" t="str">
        <f>+"Tuáº§n "&amp;WEEKNUM(B867)</f>
        <v>Tuáº§n 25</v>
      </c>
      <c r="D867" t="s">
        <v>16</v>
      </c>
      <c r="E867" t="s">
        <v>17</v>
      </c>
      <c r="F867" s="5">
        <v>36700000</v>
      </c>
      <c r="G867" s="5">
        <v>39700000</v>
      </c>
      <c r="H867" s="5">
        <f>+(M867*26000)/0.829426</f>
        <v>41964201.749161467</v>
      </c>
      <c r="I867" s="5">
        <f>+G867-H867</f>
        <v>-2264201.749161467</v>
      </c>
      <c r="J867" s="5">
        <v>3000000</v>
      </c>
      <c r="K867" s="5">
        <v>3670000</v>
      </c>
      <c r="L867" s="5">
        <v>3970000</v>
      </c>
      <c r="M867" s="7">
        <v>1338.7</v>
      </c>
      <c r="N867" s="5">
        <v>37200000</v>
      </c>
      <c r="O867" s="5">
        <v>40200000</v>
      </c>
      <c r="P867" s="3">
        <v>0.97916666666666663</v>
      </c>
    </row>
    <row r="868" spans="1:16" x14ac:dyDescent="0.25">
      <c r="A868" t="s">
        <v>543</v>
      </c>
      <c r="B868" s="2">
        <v>43634</v>
      </c>
      <c r="C868" t="str">
        <f>+"Tuáº§n "&amp;WEEKNUM(B868)</f>
        <v>Tuáº§n 25</v>
      </c>
      <c r="D868" t="s">
        <v>18</v>
      </c>
      <c r="E868" t="s">
        <v>17</v>
      </c>
      <c r="F868" s="5">
        <v>36900000</v>
      </c>
      <c r="G868" s="5">
        <v>39900000</v>
      </c>
      <c r="H868" s="5">
        <f>+(M868*26000)/0.829426</f>
        <v>42211842.888937652</v>
      </c>
      <c r="I868" s="5">
        <f>+G868-H868</f>
        <v>-2311842.8889376521</v>
      </c>
      <c r="J868" s="5">
        <v>3000000</v>
      </c>
      <c r="K868" s="5">
        <v>3690000</v>
      </c>
      <c r="L868" s="5">
        <v>3990000</v>
      </c>
      <c r="M868" s="7">
        <v>1346.6</v>
      </c>
      <c r="N868" s="5">
        <v>37400000</v>
      </c>
      <c r="O868" s="5">
        <v>40400000</v>
      </c>
      <c r="P868" s="3">
        <v>0.97916666666666663</v>
      </c>
    </row>
    <row r="869" spans="1:16" x14ac:dyDescent="0.25">
      <c r="A869" t="s">
        <v>544</v>
      </c>
      <c r="B869" s="2">
        <v>43635</v>
      </c>
      <c r="C869" t="str">
        <f>+"Tuáº§n "&amp;WEEKNUM(B869)</f>
        <v>Tuáº§n 25</v>
      </c>
      <c r="D869" t="s">
        <v>19</v>
      </c>
      <c r="E869" t="s">
        <v>17</v>
      </c>
      <c r="F869" s="5">
        <v>36900000</v>
      </c>
      <c r="G869" s="5">
        <v>39900000</v>
      </c>
      <c r="H869" s="5">
        <f>+(M869*26000)/0.829426</f>
        <v>42149148.929500639</v>
      </c>
      <c r="I869" s="5">
        <f>+G869-H869</f>
        <v>-2249148.9295006394</v>
      </c>
      <c r="J869" s="5">
        <v>3000000</v>
      </c>
      <c r="K869" s="5">
        <v>3690000</v>
      </c>
      <c r="L869" s="5">
        <v>3990000</v>
      </c>
      <c r="M869" s="7">
        <v>1344.6</v>
      </c>
      <c r="N869" s="5">
        <v>37400000</v>
      </c>
      <c r="O869" s="5">
        <v>40400000</v>
      </c>
      <c r="P869" s="3">
        <v>0.97916666666666663</v>
      </c>
    </row>
    <row r="870" spans="1:16" x14ac:dyDescent="0.25">
      <c r="A870" t="s">
        <v>545</v>
      </c>
      <c r="B870" s="2">
        <v>43636</v>
      </c>
      <c r="C870" t="str">
        <f>+"Tuáº§n "&amp;WEEKNUM(B870)</f>
        <v>Tuáº§n 25</v>
      </c>
      <c r="D870" t="s">
        <v>20</v>
      </c>
      <c r="E870" t="s">
        <v>17</v>
      </c>
      <c r="F870" s="5">
        <v>38300000</v>
      </c>
      <c r="G870" s="5">
        <v>41300000</v>
      </c>
      <c r="H870" s="5">
        <f>+(M870*26000)/0.829426</f>
        <v>43663208.049904391</v>
      </c>
      <c r="I870" s="5">
        <f>+G870-H870</f>
        <v>-2363208.0499043912</v>
      </c>
      <c r="J870" s="5">
        <v>3000000</v>
      </c>
      <c r="K870" s="5">
        <v>3830000</v>
      </c>
      <c r="L870" s="5">
        <v>4130000</v>
      </c>
      <c r="M870" s="7">
        <v>1392.9</v>
      </c>
      <c r="N870" s="5">
        <v>38800000</v>
      </c>
      <c r="O870" s="5">
        <v>41800000</v>
      </c>
      <c r="P870" s="3">
        <v>0.97916666666666663</v>
      </c>
    </row>
    <row r="871" spans="1:16" x14ac:dyDescent="0.25">
      <c r="A871" t="s">
        <v>546</v>
      </c>
      <c r="B871" s="2">
        <v>43637</v>
      </c>
      <c r="C871" t="str">
        <f>+"Tuáº§n "&amp;WEEKNUM(B871)</f>
        <v>Tuáº§n 25</v>
      </c>
      <c r="D871" t="s">
        <v>21</v>
      </c>
      <c r="E871" t="s">
        <v>17</v>
      </c>
      <c r="F871" s="5">
        <v>38400000</v>
      </c>
      <c r="G871" s="5">
        <v>41400000</v>
      </c>
      <c r="H871" s="5">
        <f>+(M871*26000)/0.829426</f>
        <v>43766653.082975455</v>
      </c>
      <c r="I871" s="5">
        <f>+G871-H871</f>
        <v>-2366653.0829754546</v>
      </c>
      <c r="J871" s="5">
        <v>3000000</v>
      </c>
      <c r="K871" s="5">
        <v>3840000</v>
      </c>
      <c r="L871" s="5">
        <v>4140000</v>
      </c>
      <c r="M871" s="7">
        <v>1396.2</v>
      </c>
      <c r="N871" s="5">
        <v>38900000</v>
      </c>
      <c r="O871" s="5">
        <v>41900000</v>
      </c>
      <c r="P871" s="3">
        <v>0.97916666666666663</v>
      </c>
    </row>
    <row r="872" spans="1:16" x14ac:dyDescent="0.25">
      <c r="A872" t="s">
        <v>547</v>
      </c>
      <c r="B872" s="2">
        <v>43640</v>
      </c>
      <c r="C872" t="str">
        <f>+"Tuáº§n "&amp;WEEKNUM(B872)</f>
        <v>Tuáº§n 26</v>
      </c>
      <c r="D872" t="s">
        <v>16</v>
      </c>
      <c r="E872" t="s">
        <v>17</v>
      </c>
      <c r="F872" s="5">
        <v>38900000</v>
      </c>
      <c r="G872" s="5">
        <v>41900000</v>
      </c>
      <c r="H872" s="5">
        <f>+(M872*26000)/0.829426</f>
        <v>44334033.415880382</v>
      </c>
      <c r="I872" s="5">
        <f>+G872-H872</f>
        <v>-2434033.4158803821</v>
      </c>
      <c r="J872" s="5">
        <v>3000000</v>
      </c>
      <c r="K872" s="5">
        <v>3890000</v>
      </c>
      <c r="L872" s="5">
        <v>4190000</v>
      </c>
      <c r="M872" s="7">
        <v>1414.3</v>
      </c>
      <c r="N872" s="5">
        <v>39400000</v>
      </c>
      <c r="O872" s="5">
        <v>42400000</v>
      </c>
      <c r="P872" s="3">
        <v>0.97916666666666663</v>
      </c>
    </row>
    <row r="873" spans="1:16" x14ac:dyDescent="0.25">
      <c r="A873" t="s">
        <v>548</v>
      </c>
      <c r="B873" s="2">
        <v>43641</v>
      </c>
      <c r="C873" t="str">
        <f>+"Tuáº§n "&amp;WEEKNUM(B873)</f>
        <v>Tuáº§n 26</v>
      </c>
      <c r="D873" t="s">
        <v>18</v>
      </c>
      <c r="E873" t="s">
        <v>17</v>
      </c>
      <c r="F873" s="5">
        <v>39000000</v>
      </c>
      <c r="G873" s="5">
        <v>42000000</v>
      </c>
      <c r="H873" s="5">
        <f>+(M873*26000)/0.829426</f>
        <v>44352841.603711486</v>
      </c>
      <c r="I873" s="5">
        <f>+G873-H873</f>
        <v>-2352841.6037114859</v>
      </c>
      <c r="J873" s="5">
        <v>3000000</v>
      </c>
      <c r="K873" s="5">
        <v>3900000</v>
      </c>
      <c r="L873" s="5">
        <v>4200000</v>
      </c>
      <c r="M873" s="7">
        <v>1414.9</v>
      </c>
      <c r="N873" s="5">
        <v>39500000</v>
      </c>
      <c r="O873" s="5">
        <v>42500000</v>
      </c>
      <c r="P873" s="3">
        <v>0.97916666666666663</v>
      </c>
    </row>
    <row r="874" spans="1:16" x14ac:dyDescent="0.25">
      <c r="A874" t="s">
        <v>549</v>
      </c>
      <c r="B874" s="2">
        <v>43642</v>
      </c>
      <c r="C874" t="str">
        <f>+"Tuáº§n "&amp;WEEKNUM(B874)</f>
        <v>Tuáº§n 26</v>
      </c>
      <c r="D874" t="s">
        <v>19</v>
      </c>
      <c r="E874" t="s">
        <v>17</v>
      </c>
      <c r="F874" s="5">
        <v>38900000</v>
      </c>
      <c r="G874" s="5">
        <v>41900000</v>
      </c>
      <c r="H874" s="5">
        <f>+(M874*26000)/0.829426</f>
        <v>44249396.570640422</v>
      </c>
      <c r="I874" s="5">
        <f>+G874-H874</f>
        <v>-2349396.5706404224</v>
      </c>
      <c r="J874" s="5">
        <v>3000000</v>
      </c>
      <c r="K874" s="5">
        <v>3890000</v>
      </c>
      <c r="L874" s="5">
        <v>4190000</v>
      </c>
      <c r="M874" s="7">
        <v>1411.6</v>
      </c>
      <c r="N874" s="5">
        <v>39400000</v>
      </c>
      <c r="O874" s="5">
        <v>42400000</v>
      </c>
      <c r="P874" s="3">
        <v>0.97916666666666663</v>
      </c>
    </row>
    <row r="875" spans="1:16" x14ac:dyDescent="0.25">
      <c r="A875" t="s">
        <v>550</v>
      </c>
      <c r="B875" s="2">
        <v>43643</v>
      </c>
      <c r="C875" t="str">
        <f>+"Tuáº§n "&amp;WEEKNUM(B875)</f>
        <v>Tuáº§n 26</v>
      </c>
      <c r="D875" t="s">
        <v>20</v>
      </c>
      <c r="E875" t="s">
        <v>17</v>
      </c>
      <c r="F875" s="5">
        <v>38800000</v>
      </c>
      <c r="G875" s="5">
        <v>41800000</v>
      </c>
      <c r="H875" s="5">
        <f>+(M875*26000)/0.829426</f>
        <v>44149086.235541202</v>
      </c>
      <c r="I875" s="5">
        <f>+G875-H875</f>
        <v>-2349086.2355412021</v>
      </c>
      <c r="J875" s="5">
        <v>3000000</v>
      </c>
      <c r="K875" s="5">
        <v>3880000</v>
      </c>
      <c r="L875" s="5">
        <v>4180000</v>
      </c>
      <c r="M875" s="7">
        <v>1408.4</v>
      </c>
      <c r="N875" s="5">
        <v>39300000</v>
      </c>
      <c r="O875" s="5">
        <v>42300000</v>
      </c>
      <c r="P875" s="3">
        <v>0.97916666666666663</v>
      </c>
    </row>
    <row r="876" spans="1:16" x14ac:dyDescent="0.25">
      <c r="A876" t="s">
        <v>551</v>
      </c>
      <c r="B876" s="2">
        <v>43644</v>
      </c>
      <c r="C876" t="str">
        <f>+"Tuáº§n "&amp;WEEKNUM(B876)</f>
        <v>Tuáº§n 26</v>
      </c>
      <c r="D876" t="s">
        <v>21</v>
      </c>
      <c r="E876" t="s">
        <v>17</v>
      </c>
      <c r="F876" s="5">
        <v>38800000</v>
      </c>
      <c r="G876" s="5">
        <v>41800000</v>
      </c>
      <c r="H876" s="5">
        <f>+(M876*26000)/0.829426</f>
        <v>44189837.30917526</v>
      </c>
      <c r="I876" s="5">
        <f>+G876-H876</f>
        <v>-2389837.3091752604</v>
      </c>
      <c r="J876" s="5">
        <v>3000000</v>
      </c>
      <c r="K876" s="5">
        <v>3880000</v>
      </c>
      <c r="L876" s="5">
        <v>4180000</v>
      </c>
      <c r="M876" s="7">
        <v>1409.7</v>
      </c>
      <c r="N876" s="5">
        <v>39300000</v>
      </c>
      <c r="O876" s="5">
        <v>42300000</v>
      </c>
      <c r="P876" s="3">
        <v>0.97916666666666663</v>
      </c>
    </row>
    <row r="877" spans="1:16" x14ac:dyDescent="0.25">
      <c r="A877" s="2">
        <v>43472</v>
      </c>
      <c r="B877" s="2">
        <v>43647</v>
      </c>
      <c r="C877" t="str">
        <f>+"Tuáº§n "&amp;WEEKNUM(B877)</f>
        <v>Tuáº§n 27</v>
      </c>
      <c r="D877" t="s">
        <v>16</v>
      </c>
      <c r="E877" t="s">
        <v>17</v>
      </c>
      <c r="F877" s="5">
        <v>38100000</v>
      </c>
      <c r="G877" s="5">
        <v>41100000</v>
      </c>
      <c r="H877" s="5">
        <f>+(M877*26000)/0.829426</f>
        <v>43434375.09795931</v>
      </c>
      <c r="I877" s="5">
        <f>+G877-H877</f>
        <v>-2334375.0979593098</v>
      </c>
      <c r="J877" s="5">
        <v>3000000</v>
      </c>
      <c r="K877" s="5">
        <v>3810000</v>
      </c>
      <c r="L877" s="5">
        <v>4110000</v>
      </c>
      <c r="M877" s="7">
        <v>1385.6</v>
      </c>
      <c r="N877" s="5">
        <v>38600000</v>
      </c>
      <c r="O877" s="5">
        <v>41600000</v>
      </c>
      <c r="P877" s="3">
        <v>0.97916666666666663</v>
      </c>
    </row>
    <row r="878" spans="1:16" x14ac:dyDescent="0.25">
      <c r="A878" s="2">
        <v>43503</v>
      </c>
      <c r="B878" s="2">
        <v>43648</v>
      </c>
      <c r="C878" t="str">
        <f>+"Tuáº§n "&amp;WEEKNUM(B878)</f>
        <v>Tuáº§n 27</v>
      </c>
      <c r="D878" t="s">
        <v>18</v>
      </c>
      <c r="E878" t="s">
        <v>17</v>
      </c>
      <c r="F878" s="5">
        <v>38600000</v>
      </c>
      <c r="G878" s="5">
        <v>41600000</v>
      </c>
      <c r="H878" s="5">
        <f>+(M878*26000)/0.829426</f>
        <v>44029967.712610893</v>
      </c>
      <c r="I878" s="5">
        <f>+G878-H878</f>
        <v>-2429967.712610893</v>
      </c>
      <c r="J878" s="5">
        <v>3000000</v>
      </c>
      <c r="K878" s="5">
        <v>3860000</v>
      </c>
      <c r="L878" s="5">
        <v>4160000</v>
      </c>
      <c r="M878" s="7">
        <v>1404.6</v>
      </c>
      <c r="N878" s="5">
        <v>39100000</v>
      </c>
      <c r="O878" s="5">
        <v>42100000</v>
      </c>
      <c r="P878" s="3">
        <v>0.97916666666666663</v>
      </c>
    </row>
    <row r="879" spans="1:16" x14ac:dyDescent="0.25">
      <c r="A879" s="2">
        <v>43531</v>
      </c>
      <c r="B879" s="2">
        <v>43649</v>
      </c>
      <c r="C879" t="str">
        <f>+"Tuáº§n "&amp;WEEKNUM(B879)</f>
        <v>Tuáº§n 27</v>
      </c>
      <c r="D879" t="s">
        <v>19</v>
      </c>
      <c r="E879" t="s">
        <v>17</v>
      </c>
      <c r="F879" s="5">
        <v>39000000</v>
      </c>
      <c r="G879" s="5">
        <v>42000000</v>
      </c>
      <c r="H879" s="5">
        <f>+(M879*26000)/0.829426</f>
        <v>44440613.146923296</v>
      </c>
      <c r="I879" s="5">
        <f>+G879-H879</f>
        <v>-2440613.1469232962</v>
      </c>
      <c r="J879" s="5">
        <v>3000000</v>
      </c>
      <c r="K879" s="5">
        <v>3900000</v>
      </c>
      <c r="L879" s="5">
        <v>4200000</v>
      </c>
      <c r="M879" s="7">
        <v>1417.7</v>
      </c>
      <c r="N879" s="5">
        <v>39500000</v>
      </c>
      <c r="O879" s="5">
        <v>42500000</v>
      </c>
      <c r="P879" s="3">
        <v>0.97916666666666663</v>
      </c>
    </row>
    <row r="880" spans="1:16" x14ac:dyDescent="0.25">
      <c r="A880" s="2">
        <v>43592</v>
      </c>
      <c r="B880" s="2">
        <v>43651</v>
      </c>
      <c r="C880" t="str">
        <f>+"Tuáº§n "&amp;WEEKNUM(B880)</f>
        <v>Tuáº§n 27</v>
      </c>
      <c r="D880" t="s">
        <v>21</v>
      </c>
      <c r="E880" t="s">
        <v>17</v>
      </c>
      <c r="F880" s="5">
        <v>38400000</v>
      </c>
      <c r="G880" s="5">
        <v>41400000</v>
      </c>
      <c r="H880" s="5">
        <f>+(M880*26000)/0.829426</f>
        <v>43782326.572834708</v>
      </c>
      <c r="I880" s="5">
        <f>+G880-H880</f>
        <v>-2382326.5728347078</v>
      </c>
      <c r="J880" s="5">
        <v>3000000</v>
      </c>
      <c r="K880" s="5">
        <v>3840000</v>
      </c>
      <c r="L880" s="5">
        <v>4140000</v>
      </c>
      <c r="M880" s="7">
        <v>1396.7</v>
      </c>
      <c r="N880" s="5">
        <v>38900000</v>
      </c>
      <c r="O880" s="5">
        <v>41900000</v>
      </c>
      <c r="P880" s="3">
        <v>0.97916666666666663</v>
      </c>
    </row>
    <row r="881" spans="1:16" x14ac:dyDescent="0.25">
      <c r="A881" s="2">
        <v>43684</v>
      </c>
      <c r="B881" s="2">
        <v>43654</v>
      </c>
      <c r="C881" t="str">
        <f>+"Tuáº§n "&amp;WEEKNUM(B881)</f>
        <v>Tuáº§n 28</v>
      </c>
      <c r="D881" t="s">
        <v>16</v>
      </c>
      <c r="E881" t="s">
        <v>17</v>
      </c>
      <c r="F881" s="5">
        <v>38400000</v>
      </c>
      <c r="G881" s="5">
        <v>41400000</v>
      </c>
      <c r="H881" s="5">
        <f>+(M881*26000)/0.829426</f>
        <v>43791730.66675026</v>
      </c>
      <c r="I881" s="5">
        <f>+G881-H881</f>
        <v>-2391730.6667502597</v>
      </c>
      <c r="J881" s="5">
        <v>3000000</v>
      </c>
      <c r="K881" s="5">
        <v>3840000</v>
      </c>
      <c r="L881" s="5">
        <v>4140000</v>
      </c>
      <c r="M881" s="7">
        <v>1397</v>
      </c>
      <c r="N881" s="5">
        <v>38900000</v>
      </c>
      <c r="O881" s="5">
        <v>41900000</v>
      </c>
      <c r="P881" s="3">
        <v>0.97916666666666663</v>
      </c>
    </row>
    <row r="882" spans="1:16" x14ac:dyDescent="0.25">
      <c r="A882" s="2">
        <v>43715</v>
      </c>
      <c r="B882" s="2">
        <v>43655</v>
      </c>
      <c r="C882" t="str">
        <f>+"Tuáº§n "&amp;WEEKNUM(B882)</f>
        <v>Tuáº§n 28</v>
      </c>
      <c r="D882" t="s">
        <v>18</v>
      </c>
      <c r="E882" t="s">
        <v>17</v>
      </c>
      <c r="F882" s="5">
        <v>38400000</v>
      </c>
      <c r="G882" s="5">
        <v>41400000</v>
      </c>
      <c r="H882" s="5">
        <f>+(M882*26000)/0.829426</f>
        <v>43807404.156609513</v>
      </c>
      <c r="I882" s="5">
        <f>+G882-H882</f>
        <v>-2407404.1566095129</v>
      </c>
      <c r="J882" s="5">
        <v>3000000</v>
      </c>
      <c r="K882" s="5">
        <v>3840000</v>
      </c>
      <c r="L882" s="5">
        <v>4140000</v>
      </c>
      <c r="M882" s="7">
        <v>1397.5</v>
      </c>
      <c r="N882" s="5">
        <v>38900000</v>
      </c>
      <c r="O882" s="5">
        <v>41900000</v>
      </c>
      <c r="P882" s="3">
        <v>0.97916666666666663</v>
      </c>
    </row>
    <row r="883" spans="1:16" x14ac:dyDescent="0.25">
      <c r="A883" s="2">
        <v>43745</v>
      </c>
      <c r="B883" s="2">
        <v>43656</v>
      </c>
      <c r="C883" t="str">
        <f>+"Tuáº§n "&amp;WEEKNUM(B883)</f>
        <v>Tuáº§n 28</v>
      </c>
      <c r="D883" t="s">
        <v>19</v>
      </c>
      <c r="E883" t="s">
        <v>17</v>
      </c>
      <c r="F883" s="5">
        <v>38800000</v>
      </c>
      <c r="G883" s="5">
        <v>41800000</v>
      </c>
      <c r="H883" s="5">
        <f>+(M883*26000)/0.829426</f>
        <v>44202376.101062663</v>
      </c>
      <c r="I883" s="5">
        <f>+G883-H883</f>
        <v>-2402376.1010626629</v>
      </c>
      <c r="J883" s="5">
        <v>3000000</v>
      </c>
      <c r="K883" s="5">
        <v>3880000</v>
      </c>
      <c r="L883" s="5">
        <v>4180000</v>
      </c>
      <c r="M883" s="7">
        <v>1410.1</v>
      </c>
      <c r="N883" s="5">
        <v>39300000</v>
      </c>
      <c r="O883" s="5">
        <v>42300000</v>
      </c>
      <c r="P883" s="3">
        <v>0.97916666666666663</v>
      </c>
    </row>
    <row r="884" spans="1:16" x14ac:dyDescent="0.25">
      <c r="A884" s="2">
        <v>43776</v>
      </c>
      <c r="B884" s="2">
        <v>43657</v>
      </c>
      <c r="C884" t="str">
        <f>+"Tuáº§n "&amp;WEEKNUM(B884)</f>
        <v>Tuáº§n 28</v>
      </c>
      <c r="D884" t="s">
        <v>20</v>
      </c>
      <c r="E884" t="s">
        <v>17</v>
      </c>
      <c r="F884" s="5">
        <v>38600000</v>
      </c>
      <c r="G884" s="5">
        <v>41600000</v>
      </c>
      <c r="H884" s="5">
        <f>+(M884*26000)/0.829426</f>
        <v>44020563.618695341</v>
      </c>
      <c r="I884" s="5">
        <f>+G884-H884</f>
        <v>-2420563.6186953411</v>
      </c>
      <c r="J884" s="5">
        <v>3000000</v>
      </c>
      <c r="K884" s="5">
        <v>3860000</v>
      </c>
      <c r="L884" s="5">
        <v>4160000</v>
      </c>
      <c r="M884" s="7">
        <v>1404.3</v>
      </c>
      <c r="N884" s="5">
        <v>39100000</v>
      </c>
      <c r="O884" s="5">
        <v>42100000</v>
      </c>
      <c r="P884" s="3">
        <v>0.97916666666666663</v>
      </c>
    </row>
    <row r="885" spans="1:16" x14ac:dyDescent="0.25">
      <c r="A885" s="2">
        <v>43806</v>
      </c>
      <c r="B885" s="2">
        <v>43658</v>
      </c>
      <c r="C885" t="str">
        <f>+"Tuáº§n "&amp;WEEKNUM(B885)</f>
        <v>Tuáº§n 28</v>
      </c>
      <c r="D885" t="s">
        <v>21</v>
      </c>
      <c r="E885" t="s">
        <v>17</v>
      </c>
      <c r="F885" s="5">
        <v>38800000</v>
      </c>
      <c r="G885" s="5">
        <v>41800000</v>
      </c>
      <c r="H885" s="5">
        <f>+(M885*26000)/0.829426</f>
        <v>44196106.705118962</v>
      </c>
      <c r="I885" s="5">
        <f>+G885-H885</f>
        <v>-2396106.7051189616</v>
      </c>
      <c r="J885" s="5">
        <v>3000000</v>
      </c>
      <c r="K885" s="5">
        <v>3880000</v>
      </c>
      <c r="L885" s="5">
        <v>4180000</v>
      </c>
      <c r="M885" s="7">
        <v>1409.9</v>
      </c>
      <c r="N885" s="5">
        <v>39300000</v>
      </c>
      <c r="O885" s="5">
        <v>42300000</v>
      </c>
      <c r="P885" s="3">
        <v>0.97916666666666663</v>
      </c>
    </row>
    <row r="886" spans="1:16" x14ac:dyDescent="0.25">
      <c r="A886" t="s">
        <v>552</v>
      </c>
      <c r="B886" s="2">
        <v>43661</v>
      </c>
      <c r="C886" t="str">
        <f>+"Tuáº§n "&amp;WEEKNUM(B886)</f>
        <v>Tuáº§n 29</v>
      </c>
      <c r="D886" t="s">
        <v>16</v>
      </c>
      <c r="E886" t="s">
        <v>17</v>
      </c>
      <c r="F886" s="5">
        <v>38800000</v>
      </c>
      <c r="G886" s="5">
        <v>41800000</v>
      </c>
      <c r="H886" s="5">
        <f>+(M886*26000)/0.829426</f>
        <v>44243127.174696721</v>
      </c>
      <c r="I886" s="5">
        <f>+G886-H886</f>
        <v>-2443127.1746967211</v>
      </c>
      <c r="J886" s="5">
        <v>3000000</v>
      </c>
      <c r="K886" s="5">
        <v>3880000</v>
      </c>
      <c r="L886" s="5">
        <v>4180000</v>
      </c>
      <c r="M886" s="7">
        <v>1411.4</v>
      </c>
      <c r="N886" s="5">
        <v>39300000</v>
      </c>
      <c r="O886" s="5">
        <v>42300000</v>
      </c>
      <c r="P886" s="3">
        <v>0.97916666666666663</v>
      </c>
    </row>
    <row r="887" spans="1:16" x14ac:dyDescent="0.25">
      <c r="A887" t="s">
        <v>553</v>
      </c>
      <c r="B887" s="2">
        <v>43662</v>
      </c>
      <c r="C887" t="str">
        <f>+"Tuáº§n "&amp;WEEKNUM(B887)</f>
        <v>Tuáº§n 29</v>
      </c>
      <c r="D887" t="s">
        <v>18</v>
      </c>
      <c r="E887" t="s">
        <v>17</v>
      </c>
      <c r="F887" s="5">
        <v>38800000</v>
      </c>
      <c r="G887" s="5">
        <v>41800000</v>
      </c>
      <c r="H887" s="5">
        <f>+(M887*26000)/0.829426</f>
        <v>44174163.819316007</v>
      </c>
      <c r="I887" s="5">
        <f>+G887-H887</f>
        <v>-2374163.8193160072</v>
      </c>
      <c r="J887" s="5">
        <v>3000000</v>
      </c>
      <c r="K887" s="5">
        <v>3880000</v>
      </c>
      <c r="L887" s="5">
        <v>4180000</v>
      </c>
      <c r="M887" s="7">
        <v>1409.2</v>
      </c>
      <c r="N887" s="5">
        <v>39300000</v>
      </c>
      <c r="O887" s="5">
        <v>42300000</v>
      </c>
      <c r="P887" s="3">
        <v>0.97916666666666663</v>
      </c>
    </row>
    <row r="888" spans="1:16" x14ac:dyDescent="0.25">
      <c r="A888" t="s">
        <v>554</v>
      </c>
      <c r="B888" s="2">
        <v>43663</v>
      </c>
      <c r="C888" t="str">
        <f>+"Tuáº§n "&amp;WEEKNUM(B888)</f>
        <v>Tuáº§n 29</v>
      </c>
      <c r="D888" t="s">
        <v>19</v>
      </c>
      <c r="E888" t="s">
        <v>17</v>
      </c>
      <c r="F888" s="5">
        <v>39100000</v>
      </c>
      <c r="G888" s="5">
        <v>42100000</v>
      </c>
      <c r="H888" s="5">
        <f>+(M888*26000)/0.829426</f>
        <v>44553462.273909912</v>
      </c>
      <c r="I888" s="5">
        <f>+G888-H888</f>
        <v>-2453462.2739099115</v>
      </c>
      <c r="J888" s="5">
        <v>3000000</v>
      </c>
      <c r="K888" s="5">
        <v>3910000</v>
      </c>
      <c r="L888" s="5">
        <v>4210000</v>
      </c>
      <c r="M888" s="7">
        <v>1421.3</v>
      </c>
      <c r="N888" s="5">
        <v>39600000</v>
      </c>
      <c r="O888" s="5">
        <v>42600000</v>
      </c>
      <c r="P888" s="3">
        <v>0.97916666666666663</v>
      </c>
    </row>
    <row r="889" spans="1:16" x14ac:dyDescent="0.25">
      <c r="A889" t="s">
        <v>555</v>
      </c>
      <c r="B889" s="2">
        <v>43664</v>
      </c>
      <c r="C889" t="str">
        <f>+"Tuáº§n "&amp;WEEKNUM(B889)</f>
        <v>Tuáº§n 29</v>
      </c>
      <c r="D889" t="s">
        <v>20</v>
      </c>
      <c r="E889" t="s">
        <v>17</v>
      </c>
      <c r="F889" s="5">
        <v>39300000</v>
      </c>
      <c r="G889" s="5">
        <v>42300000</v>
      </c>
      <c r="H889" s="5">
        <f>+(M889*26000)/0.829426</f>
        <v>44703927.776558727</v>
      </c>
      <c r="I889" s="5">
        <f>+G889-H889</f>
        <v>-2403927.776558727</v>
      </c>
      <c r="J889" s="5">
        <v>3000000</v>
      </c>
      <c r="K889" s="5">
        <v>3930000</v>
      </c>
      <c r="L889" s="5">
        <v>4230000</v>
      </c>
      <c r="M889" s="7">
        <v>1426.1</v>
      </c>
      <c r="N889" s="5">
        <v>39800000</v>
      </c>
      <c r="O889" s="5">
        <v>42800000</v>
      </c>
      <c r="P889" s="3">
        <v>0.97916666666666663</v>
      </c>
    </row>
    <row r="890" spans="1:16" x14ac:dyDescent="0.25">
      <c r="A890" t="s">
        <v>556</v>
      </c>
      <c r="B890" s="2">
        <v>43665</v>
      </c>
      <c r="C890" t="str">
        <f>+"Tuáº§n "&amp;WEEKNUM(B890)</f>
        <v>Tuáº§n 29</v>
      </c>
      <c r="D890" t="s">
        <v>21</v>
      </c>
      <c r="E890" t="s">
        <v>17</v>
      </c>
      <c r="F890" s="5">
        <v>39300000</v>
      </c>
      <c r="G890" s="5">
        <v>42300000</v>
      </c>
      <c r="H890" s="5">
        <f>+(M890*26000)/0.829426</f>
        <v>44672580.796840228</v>
      </c>
      <c r="I890" s="5">
        <f>+G890-H890</f>
        <v>-2372580.7968402281</v>
      </c>
      <c r="J890" s="5">
        <v>3000000</v>
      </c>
      <c r="K890" s="5">
        <v>3930000</v>
      </c>
      <c r="L890" s="5">
        <v>4230000</v>
      </c>
      <c r="M890" s="7">
        <v>1425.1</v>
      </c>
      <c r="N890" s="5">
        <v>39800000</v>
      </c>
      <c r="O890" s="5">
        <v>42800000</v>
      </c>
      <c r="P890" s="3">
        <v>0.97916666666666663</v>
      </c>
    </row>
    <row r="891" spans="1:16" x14ac:dyDescent="0.25">
      <c r="A891" t="s">
        <v>557</v>
      </c>
      <c r="B891" s="2">
        <v>43668</v>
      </c>
      <c r="C891" t="str">
        <f>+"Tuáº§n "&amp;WEEKNUM(B891)</f>
        <v>Tuáº§n 30</v>
      </c>
      <c r="D891" t="s">
        <v>16</v>
      </c>
      <c r="E891" t="s">
        <v>17</v>
      </c>
      <c r="F891" s="5">
        <v>39300000</v>
      </c>
      <c r="G891" s="5">
        <v>42300000</v>
      </c>
      <c r="H891" s="5">
        <f>+(M891*26000)/0.829426</f>
        <v>44678850.192783922</v>
      </c>
      <c r="I891" s="5">
        <f>+G891-H891</f>
        <v>-2378850.192783922</v>
      </c>
      <c r="J891" s="5">
        <v>3000000</v>
      </c>
      <c r="K891" s="5">
        <v>3930000</v>
      </c>
      <c r="L891" s="5">
        <v>4230000</v>
      </c>
      <c r="M891" s="7">
        <v>1425.3</v>
      </c>
      <c r="N891" s="5">
        <v>39800000</v>
      </c>
      <c r="O891" s="5">
        <v>42800000</v>
      </c>
      <c r="P891" s="3">
        <v>0.97916666666666663</v>
      </c>
    </row>
    <row r="892" spans="1:16" x14ac:dyDescent="0.25">
      <c r="A892" t="s">
        <v>558</v>
      </c>
      <c r="B892" s="2">
        <v>43669</v>
      </c>
      <c r="C892" t="str">
        <f>+"Tuáº§n "&amp;WEEKNUM(B892)</f>
        <v>Tuáº§n 30</v>
      </c>
      <c r="D892" t="s">
        <v>18</v>
      </c>
      <c r="E892" t="s">
        <v>17</v>
      </c>
      <c r="F892" s="5">
        <v>39100000</v>
      </c>
      <c r="G892" s="5">
        <v>42100000</v>
      </c>
      <c r="H892" s="5">
        <f>+(M892*26000)/0.829426</f>
        <v>44515845.898247704</v>
      </c>
      <c r="I892" s="5">
        <f>+G892-H892</f>
        <v>-2415845.8982477039</v>
      </c>
      <c r="J892" s="5">
        <v>3000000</v>
      </c>
      <c r="K892" s="5">
        <v>3910000</v>
      </c>
      <c r="L892" s="5">
        <v>4210000</v>
      </c>
      <c r="M892" s="7">
        <v>1420.1</v>
      </c>
      <c r="N892" s="5">
        <v>39600000</v>
      </c>
      <c r="O892" s="5">
        <v>42600000</v>
      </c>
      <c r="P892" s="3">
        <v>0.97916666666666663</v>
      </c>
    </row>
    <row r="893" spans="1:16" x14ac:dyDescent="0.25">
      <c r="A893" t="s">
        <v>559</v>
      </c>
      <c r="B893" s="2">
        <v>43670</v>
      </c>
      <c r="C893" t="str">
        <f>+"Tuáº§n "&amp;WEEKNUM(B893)</f>
        <v>Tuáº§n 30</v>
      </c>
      <c r="D893" t="s">
        <v>19</v>
      </c>
      <c r="E893" t="s">
        <v>17</v>
      </c>
      <c r="F893" s="5">
        <v>39200000</v>
      </c>
      <c r="G893" s="5">
        <v>42200000</v>
      </c>
      <c r="H893" s="5">
        <f>+(M893*26000)/0.829426</f>
        <v>44600482.743487664</v>
      </c>
      <c r="I893" s="5">
        <f>+G893-H893</f>
        <v>-2400482.7434876636</v>
      </c>
      <c r="J893" s="5">
        <v>3000000</v>
      </c>
      <c r="K893" s="5">
        <v>3920000</v>
      </c>
      <c r="L893" s="5">
        <v>4220000</v>
      </c>
      <c r="M893" s="7">
        <v>1422.8</v>
      </c>
      <c r="N893" s="5">
        <v>39700000</v>
      </c>
      <c r="O893" s="5">
        <v>42700000</v>
      </c>
      <c r="P893" s="3">
        <v>0.97916666666666663</v>
      </c>
    </row>
    <row r="894" spans="1:16" x14ac:dyDescent="0.25">
      <c r="A894" t="s">
        <v>560</v>
      </c>
      <c r="B894" s="2">
        <v>43671</v>
      </c>
      <c r="C894" t="str">
        <f>+"Tuáº§n "&amp;WEEKNUM(B894)</f>
        <v>Tuáº§n 30</v>
      </c>
      <c r="D894" t="s">
        <v>20</v>
      </c>
      <c r="E894" t="s">
        <v>17</v>
      </c>
      <c r="F894" s="5">
        <v>38900000</v>
      </c>
      <c r="G894" s="5">
        <v>41900000</v>
      </c>
      <c r="H894" s="5">
        <f>+(M894*26000)/0.829426</f>
        <v>44321494.62399298</v>
      </c>
      <c r="I894" s="5">
        <f>+G894-H894</f>
        <v>-2421494.6239929795</v>
      </c>
      <c r="J894" s="5">
        <v>3000000</v>
      </c>
      <c r="K894" s="5">
        <v>3890000</v>
      </c>
      <c r="L894" s="5">
        <v>4190000</v>
      </c>
      <c r="M894" s="7">
        <v>1413.9</v>
      </c>
      <c r="N894" s="5">
        <v>39400000</v>
      </c>
      <c r="O894" s="5">
        <v>42400000</v>
      </c>
      <c r="P894" s="3">
        <v>0.97916666666666663</v>
      </c>
    </row>
    <row r="895" spans="1:16" x14ac:dyDescent="0.25">
      <c r="A895" t="s">
        <v>561</v>
      </c>
      <c r="B895" s="2">
        <v>43672</v>
      </c>
      <c r="C895" t="str">
        <f>+"Tuáº§n "&amp;WEEKNUM(B895)</f>
        <v>Tuáº§n 30</v>
      </c>
      <c r="D895" t="s">
        <v>21</v>
      </c>
      <c r="E895" t="s">
        <v>17</v>
      </c>
      <c r="F895" s="5">
        <v>39100000</v>
      </c>
      <c r="G895" s="5">
        <v>42100000</v>
      </c>
      <c r="H895" s="5">
        <f>+(M895*26000)/0.829426</f>
        <v>44465690.730698094</v>
      </c>
      <c r="I895" s="5">
        <f>+G895-H895</f>
        <v>-2365690.7306980938</v>
      </c>
      <c r="J895" s="5">
        <v>3000000</v>
      </c>
      <c r="K895" s="5">
        <v>3910000</v>
      </c>
      <c r="L895" s="5">
        <v>4210000</v>
      </c>
      <c r="M895" s="7">
        <v>1418.5</v>
      </c>
      <c r="N895" s="5">
        <v>39600000</v>
      </c>
      <c r="O895" s="5">
        <v>42600000</v>
      </c>
      <c r="P895" s="3">
        <v>0.97916666666666663</v>
      </c>
    </row>
    <row r="896" spans="1:16" x14ac:dyDescent="0.25">
      <c r="A896" t="s">
        <v>562</v>
      </c>
      <c r="B896" s="2">
        <v>43675</v>
      </c>
      <c r="C896" t="str">
        <f>+"Tuáº§n "&amp;WEEKNUM(B896)</f>
        <v>Tuáº§n 31</v>
      </c>
      <c r="D896" t="s">
        <v>16</v>
      </c>
      <c r="E896" t="s">
        <v>17</v>
      </c>
      <c r="F896" s="5">
        <v>39100000</v>
      </c>
      <c r="G896" s="5">
        <v>42100000</v>
      </c>
      <c r="H896" s="5">
        <f>+(M896*26000)/0.829426</f>
        <v>44500172.408388451</v>
      </c>
      <c r="I896" s="5">
        <f>+G896-H896</f>
        <v>-2400172.4083884507</v>
      </c>
      <c r="J896" s="5">
        <v>3000000</v>
      </c>
      <c r="K896" s="5">
        <v>3910000</v>
      </c>
      <c r="L896" s="5">
        <v>4210000</v>
      </c>
      <c r="M896" s="7">
        <v>1419.6</v>
      </c>
      <c r="N896" s="5">
        <v>39600000</v>
      </c>
      <c r="O896" s="5">
        <v>42600000</v>
      </c>
      <c r="P896" s="3">
        <v>0.97916666666666663</v>
      </c>
    </row>
    <row r="897" spans="1:16" x14ac:dyDescent="0.25">
      <c r="A897" t="s">
        <v>563</v>
      </c>
      <c r="B897" s="2">
        <v>43676</v>
      </c>
      <c r="C897" t="str">
        <f>+"Tuáº§n "&amp;WEEKNUM(B897)</f>
        <v>Tuáº§n 31</v>
      </c>
      <c r="D897" t="s">
        <v>18</v>
      </c>
      <c r="E897" t="s">
        <v>17</v>
      </c>
      <c r="F897" s="5">
        <v>39400000</v>
      </c>
      <c r="G897" s="5">
        <v>42400000</v>
      </c>
      <c r="H897" s="5">
        <f>+(M897*26000)/0.829426</f>
        <v>44816776.903545342</v>
      </c>
      <c r="I897" s="5">
        <f>+G897-H897</f>
        <v>-2416776.9035453424</v>
      </c>
      <c r="J897" s="5">
        <v>3000000</v>
      </c>
      <c r="K897" s="5">
        <v>3940000</v>
      </c>
      <c r="L897" s="5">
        <v>4240000</v>
      </c>
      <c r="M897" s="7">
        <v>1429.7</v>
      </c>
      <c r="N897" s="5">
        <v>39900000</v>
      </c>
      <c r="O897" s="5">
        <v>42900000</v>
      </c>
      <c r="P897" s="3">
        <v>0.97916666666666663</v>
      </c>
    </row>
    <row r="898" spans="1:16" x14ac:dyDescent="0.25">
      <c r="A898" t="s">
        <v>564</v>
      </c>
      <c r="B898" s="2">
        <v>43677</v>
      </c>
      <c r="C898" t="str">
        <f>+"Tuáº§n "&amp;WEEKNUM(B898)</f>
        <v>Tuáº§n 31</v>
      </c>
      <c r="D898" t="s">
        <v>19</v>
      </c>
      <c r="E898" t="s">
        <v>17</v>
      </c>
      <c r="F898" s="5">
        <v>39300000</v>
      </c>
      <c r="G898" s="5">
        <v>42300000</v>
      </c>
      <c r="H898" s="5">
        <f>+(M898*26000)/0.829426</f>
        <v>44703927.776558727</v>
      </c>
      <c r="I898" s="5">
        <f>+G898-H898</f>
        <v>-2403927.776558727</v>
      </c>
      <c r="J898" s="5">
        <v>3000000</v>
      </c>
      <c r="K898" s="5">
        <v>3930000</v>
      </c>
      <c r="L898" s="5">
        <v>4230000</v>
      </c>
      <c r="M898" s="7">
        <v>1426.1</v>
      </c>
      <c r="N898" s="5">
        <v>39800000</v>
      </c>
      <c r="O898" s="5">
        <v>42800000</v>
      </c>
      <c r="P898" s="3">
        <v>0.97916666666666663</v>
      </c>
    </row>
    <row r="899" spans="1:16" x14ac:dyDescent="0.25">
      <c r="A899" s="2">
        <v>43473</v>
      </c>
      <c r="B899" s="2">
        <v>43678</v>
      </c>
      <c r="C899" t="str">
        <f>+"Tuáº§n "&amp;WEEKNUM(B899)</f>
        <v>Tuáº§n 31</v>
      </c>
      <c r="D899" t="s">
        <v>20</v>
      </c>
      <c r="E899" t="s">
        <v>17</v>
      </c>
      <c r="F899" s="5">
        <v>39100000</v>
      </c>
      <c r="G899" s="5">
        <v>42100000</v>
      </c>
      <c r="H899" s="5">
        <f>+(M899*26000)/0.829426</f>
        <v>44540923.482022509</v>
      </c>
      <c r="I899" s="5">
        <f>+G899-H899</f>
        <v>-2440923.482022509</v>
      </c>
      <c r="J899" s="5">
        <v>3000000</v>
      </c>
      <c r="K899" s="5">
        <v>3910000</v>
      </c>
      <c r="L899" s="5">
        <v>4210000</v>
      </c>
      <c r="M899" s="7">
        <v>1420.9</v>
      </c>
      <c r="N899" s="5">
        <v>39600000</v>
      </c>
      <c r="O899" s="5">
        <v>42600000</v>
      </c>
      <c r="P899" s="3">
        <v>0.97916666666666663</v>
      </c>
    </row>
    <row r="900" spans="1:16" x14ac:dyDescent="0.25">
      <c r="A900" s="2">
        <v>43504</v>
      </c>
      <c r="B900" s="2">
        <v>43679</v>
      </c>
      <c r="C900" t="str">
        <f>+"Tuáº§n "&amp;WEEKNUM(B900)</f>
        <v>Tuáº§n 31</v>
      </c>
      <c r="D900" t="s">
        <v>21</v>
      </c>
      <c r="E900" t="s">
        <v>17</v>
      </c>
      <c r="F900" s="5">
        <v>39900000</v>
      </c>
      <c r="G900" s="5">
        <v>42900000</v>
      </c>
      <c r="H900" s="5">
        <f>+(M900*26000)/0.829426</f>
        <v>45315193.881069556</v>
      </c>
      <c r="I900" s="5">
        <f>+G900-H900</f>
        <v>-2415193.8810695559</v>
      </c>
      <c r="J900" s="5">
        <v>3000000</v>
      </c>
      <c r="K900" s="5">
        <v>3990000</v>
      </c>
      <c r="L900" s="5">
        <v>4290000</v>
      </c>
      <c r="M900" s="7">
        <v>1445.6</v>
      </c>
      <c r="N900" s="5">
        <v>40400000</v>
      </c>
      <c r="O900" s="5">
        <v>43400000</v>
      </c>
      <c r="P900" s="3">
        <v>0.97916666666666663</v>
      </c>
    </row>
    <row r="901" spans="1:16" x14ac:dyDescent="0.25">
      <c r="A901" s="2">
        <v>43593</v>
      </c>
      <c r="B901" s="2">
        <v>43682</v>
      </c>
      <c r="C901" t="str">
        <f>+"Tuáº§n "&amp;WEEKNUM(B901)</f>
        <v>Tuáº§n 32</v>
      </c>
      <c r="D901" t="s">
        <v>16</v>
      </c>
      <c r="E901" t="s">
        <v>17</v>
      </c>
      <c r="F901" s="5">
        <v>40400000</v>
      </c>
      <c r="G901" s="5">
        <v>43400000</v>
      </c>
      <c r="H901" s="5">
        <f>+(M901*26000)/0.829426</f>
        <v>45910786.495721139</v>
      </c>
      <c r="I901" s="5">
        <f>+G901-H901</f>
        <v>-2510786.495721139</v>
      </c>
      <c r="J901" s="5">
        <v>3000000</v>
      </c>
      <c r="K901" s="5">
        <v>4040000</v>
      </c>
      <c r="L901" s="5">
        <v>4340000</v>
      </c>
      <c r="M901" s="7">
        <v>1464.6</v>
      </c>
      <c r="N901" s="5">
        <v>40900000</v>
      </c>
      <c r="O901" s="5">
        <v>43900000</v>
      </c>
      <c r="P901" s="3">
        <v>0.97916666666666663</v>
      </c>
    </row>
    <row r="902" spans="1:16" x14ac:dyDescent="0.25">
      <c r="A902" s="2">
        <v>43624</v>
      </c>
      <c r="B902" s="2">
        <v>43683</v>
      </c>
      <c r="C902" t="str">
        <f>+"Tuáº§n "&amp;WEEKNUM(B902)</f>
        <v>Tuáº§n 32</v>
      </c>
      <c r="D902" t="s">
        <v>18</v>
      </c>
      <c r="E902" t="s">
        <v>17</v>
      </c>
      <c r="F902" s="5">
        <v>40700000</v>
      </c>
      <c r="G902" s="5">
        <v>43700000</v>
      </c>
      <c r="H902" s="5">
        <f>+(M902*26000)/0.829426</f>
        <v>46155292.937525466</v>
      </c>
      <c r="I902" s="5">
        <f>+G902-H902</f>
        <v>-2455292.9375254661</v>
      </c>
      <c r="J902" s="5">
        <v>3000000</v>
      </c>
      <c r="K902" s="5">
        <v>4070000</v>
      </c>
      <c r="L902" s="5">
        <v>4370000</v>
      </c>
      <c r="M902" s="7">
        <v>1472.4</v>
      </c>
      <c r="N902" s="5">
        <v>41200000</v>
      </c>
      <c r="O902" s="5">
        <v>44200000</v>
      </c>
      <c r="P902" s="3">
        <v>0.97916666666666663</v>
      </c>
    </row>
    <row r="903" spans="1:16" x14ac:dyDescent="0.25">
      <c r="A903" s="2">
        <v>43654</v>
      </c>
      <c r="B903" s="2">
        <v>43684</v>
      </c>
      <c r="C903" t="str">
        <f>+"Tuáº§n "&amp;WEEKNUM(B903)</f>
        <v>Tuáº§n 32</v>
      </c>
      <c r="D903" t="s">
        <v>19</v>
      </c>
      <c r="E903" t="s">
        <v>17</v>
      </c>
      <c r="F903" s="5">
        <v>41700000</v>
      </c>
      <c r="G903" s="5">
        <v>44700000</v>
      </c>
      <c r="H903" s="5">
        <f>+(M903*26000)/0.829426</f>
        <v>47249302.529701263</v>
      </c>
      <c r="I903" s="5">
        <f>+G903-H903</f>
        <v>-2549302.5297012627</v>
      </c>
      <c r="J903" s="5">
        <v>3000000</v>
      </c>
      <c r="K903" s="5">
        <v>4170000</v>
      </c>
      <c r="L903" s="5">
        <v>4470000</v>
      </c>
      <c r="M903" s="7">
        <v>1507.3</v>
      </c>
      <c r="N903" s="5">
        <v>42200000</v>
      </c>
      <c r="O903" s="5">
        <v>45200000</v>
      </c>
      <c r="P903" s="3">
        <v>0.97916666666666663</v>
      </c>
    </row>
    <row r="904" spans="1:16" x14ac:dyDescent="0.25">
      <c r="A904" s="2">
        <v>43685</v>
      </c>
      <c r="B904" s="2">
        <v>43685</v>
      </c>
      <c r="C904" t="str">
        <f>+"Tuáº§n "&amp;WEEKNUM(B904)</f>
        <v>Tuáº§n 32</v>
      </c>
      <c r="D904" t="s">
        <v>20</v>
      </c>
      <c r="E904" t="s">
        <v>17</v>
      </c>
      <c r="F904" s="5">
        <v>41400000</v>
      </c>
      <c r="G904" s="5">
        <v>44400000</v>
      </c>
      <c r="H904" s="5">
        <f>+(M904*26000)/0.829426</f>
        <v>46948371.524403624</v>
      </c>
      <c r="I904" s="5">
        <f>+G904-H904</f>
        <v>-2548371.5244036242</v>
      </c>
      <c r="J904" s="5">
        <v>3000000</v>
      </c>
      <c r="K904" s="5">
        <v>4140000</v>
      </c>
      <c r="L904" s="5">
        <v>4440000</v>
      </c>
      <c r="M904" s="7">
        <v>1497.7</v>
      </c>
      <c r="N904" s="5">
        <v>41900000</v>
      </c>
      <c r="O904" s="5">
        <v>44900000</v>
      </c>
      <c r="P904" s="3">
        <v>0.97916666666666663</v>
      </c>
    </row>
    <row r="905" spans="1:16" x14ac:dyDescent="0.25">
      <c r="A905" s="2">
        <v>43716</v>
      </c>
      <c r="B905" s="2">
        <v>43686</v>
      </c>
      <c r="C905" t="str">
        <f>+"Tuáº§n "&amp;WEEKNUM(B905)</f>
        <v>Tuáº§n 32</v>
      </c>
      <c r="D905" t="s">
        <v>21</v>
      </c>
      <c r="E905" t="s">
        <v>17</v>
      </c>
      <c r="F905" s="5">
        <v>41400000</v>
      </c>
      <c r="G905" s="5">
        <v>44400000</v>
      </c>
      <c r="H905" s="5">
        <f>+(M905*26000)/0.829426</f>
        <v>46913889.846713267</v>
      </c>
      <c r="I905" s="5">
        <f>+G905-H905</f>
        <v>-2513889.8467132673</v>
      </c>
      <c r="J905" s="5">
        <v>3000000</v>
      </c>
      <c r="K905" s="5">
        <v>4140000</v>
      </c>
      <c r="L905" s="5">
        <v>4440000</v>
      </c>
      <c r="M905" s="7">
        <v>1496.6</v>
      </c>
      <c r="N905" s="5">
        <v>41900000</v>
      </c>
      <c r="O905" s="5">
        <v>44900000</v>
      </c>
      <c r="P905" s="3">
        <v>0.97916666666666663</v>
      </c>
    </row>
    <row r="906" spans="1:16" x14ac:dyDescent="0.25">
      <c r="A906" s="2">
        <v>43807</v>
      </c>
      <c r="B906" s="2">
        <v>43689</v>
      </c>
      <c r="C906" t="str">
        <f>+"Tuáº§n "&amp;WEEKNUM(B906)</f>
        <v>Tuáº§n 33</v>
      </c>
      <c r="D906" t="s">
        <v>16</v>
      </c>
      <c r="E906" t="s">
        <v>17</v>
      </c>
      <c r="F906" s="5">
        <v>41600000</v>
      </c>
      <c r="G906" s="5">
        <v>44600000</v>
      </c>
      <c r="H906" s="5">
        <f>+(M906*26000)/0.829426</f>
        <v>47186608.570264257</v>
      </c>
      <c r="I906" s="5">
        <f>+G906-H906</f>
        <v>-2586608.5702642575</v>
      </c>
      <c r="J906" s="5">
        <v>3000000</v>
      </c>
      <c r="K906" s="5">
        <v>4160000</v>
      </c>
      <c r="L906" s="5">
        <v>4460000</v>
      </c>
      <c r="M906" s="7">
        <v>1505.3</v>
      </c>
      <c r="N906" s="5">
        <v>42100000</v>
      </c>
      <c r="O906" s="5">
        <v>45100000</v>
      </c>
      <c r="P906" s="3">
        <v>0.97916666666666663</v>
      </c>
    </row>
    <row r="907" spans="1:16" x14ac:dyDescent="0.25">
      <c r="A907" t="s">
        <v>565</v>
      </c>
      <c r="B907" s="2">
        <v>43690</v>
      </c>
      <c r="C907" t="str">
        <f>+"Tuáº§n "&amp;WEEKNUM(B907)</f>
        <v>Tuáº§n 33</v>
      </c>
      <c r="D907" t="s">
        <v>18</v>
      </c>
      <c r="E907" t="s">
        <v>17</v>
      </c>
      <c r="F907" s="5">
        <v>41500000</v>
      </c>
      <c r="G907" s="5">
        <v>44500000</v>
      </c>
      <c r="H907" s="5">
        <f>+(M907*26000)/0.829426</f>
        <v>47089432.933136895</v>
      </c>
      <c r="I907" s="5">
        <f>+G907-H907</f>
        <v>-2589432.9331368953</v>
      </c>
      <c r="J907" s="5">
        <v>3000000</v>
      </c>
      <c r="K907" s="5">
        <v>4150000</v>
      </c>
      <c r="L907" s="5">
        <v>4450000</v>
      </c>
      <c r="M907" s="7">
        <v>1502.2</v>
      </c>
      <c r="N907" s="5">
        <v>42000000</v>
      </c>
      <c r="O907" s="5">
        <v>45000000</v>
      </c>
      <c r="P907" s="3">
        <v>0.97916666666666663</v>
      </c>
    </row>
    <row r="908" spans="1:16" x14ac:dyDescent="0.25">
      <c r="A908" t="s">
        <v>566</v>
      </c>
      <c r="B908" s="2">
        <v>43691</v>
      </c>
      <c r="C908" t="str">
        <f>+"Tuáº§n "&amp;WEEKNUM(B908)</f>
        <v>Tuáº§n 33</v>
      </c>
      <c r="D908" t="s">
        <v>19</v>
      </c>
      <c r="E908" t="s">
        <v>17</v>
      </c>
      <c r="F908" s="5">
        <v>41900000</v>
      </c>
      <c r="G908" s="5">
        <v>44900000</v>
      </c>
      <c r="H908" s="5">
        <f>+(M908*26000)/0.829426</f>
        <v>47518886.555280402</v>
      </c>
      <c r="I908" s="5">
        <f>+G908-H908</f>
        <v>-2618886.5552804023</v>
      </c>
      <c r="J908" s="5">
        <v>3000000</v>
      </c>
      <c r="K908" s="5">
        <v>4190000</v>
      </c>
      <c r="L908" s="5">
        <v>4490000</v>
      </c>
      <c r="M908" s="7">
        <v>1515.9</v>
      </c>
      <c r="N908" s="5">
        <v>42400000</v>
      </c>
      <c r="O908" s="5">
        <v>45400000</v>
      </c>
      <c r="P908" s="3">
        <v>0.97916666666666663</v>
      </c>
    </row>
    <row r="909" spans="1:16" x14ac:dyDescent="0.25">
      <c r="A909" t="s">
        <v>567</v>
      </c>
      <c r="B909" s="2">
        <v>43692</v>
      </c>
      <c r="C909" t="str">
        <f>+"Tuáº§n "&amp;WEEKNUM(B909)</f>
        <v>Tuáº§n 33</v>
      </c>
      <c r="D909" t="s">
        <v>20</v>
      </c>
      <c r="E909" t="s">
        <v>17</v>
      </c>
      <c r="F909" s="5">
        <v>42100000</v>
      </c>
      <c r="G909" s="5">
        <v>45100000</v>
      </c>
      <c r="H909" s="5">
        <f>+(M909*26000)/0.829426</f>
        <v>47634870.380238861</v>
      </c>
      <c r="I909" s="5">
        <f>+G909-H909</f>
        <v>-2534870.3802388608</v>
      </c>
      <c r="J909" s="5">
        <v>3000000</v>
      </c>
      <c r="K909" s="5">
        <v>4210000</v>
      </c>
      <c r="L909" s="5">
        <v>4510000</v>
      </c>
      <c r="M909" s="7">
        <v>1519.6</v>
      </c>
      <c r="N909" s="5">
        <v>42600000</v>
      </c>
      <c r="O909" s="5">
        <v>45600000</v>
      </c>
      <c r="P909" s="3">
        <v>0.97916666666666663</v>
      </c>
    </row>
    <row r="910" spans="1:16" x14ac:dyDescent="0.25">
      <c r="A910" t="s">
        <v>568</v>
      </c>
      <c r="B910" s="2">
        <v>43693</v>
      </c>
      <c r="C910" t="str">
        <f>+"Tuáº§n "&amp;WEEKNUM(B910)</f>
        <v>Tuáº§n 33</v>
      </c>
      <c r="D910" t="s">
        <v>21</v>
      </c>
      <c r="E910" t="s">
        <v>17</v>
      </c>
      <c r="F910" s="5">
        <v>41800000</v>
      </c>
      <c r="G910" s="5">
        <v>44800000</v>
      </c>
      <c r="H910" s="5">
        <f>+(M910*26000)/0.829426</f>
        <v>47412306.824237488</v>
      </c>
      <c r="I910" s="5">
        <f>+G910-H910</f>
        <v>-2612306.8242374882</v>
      </c>
      <c r="J910" s="5">
        <v>3000000</v>
      </c>
      <c r="K910" s="5">
        <v>4180000</v>
      </c>
      <c r="L910" s="5">
        <v>4480000</v>
      </c>
      <c r="M910" s="7">
        <v>1512.5</v>
      </c>
      <c r="N910" s="5">
        <v>42300000</v>
      </c>
      <c r="O910" s="5">
        <v>45300000</v>
      </c>
      <c r="P910" s="3">
        <v>0.97916666666666663</v>
      </c>
    </row>
    <row r="911" spans="1:16" x14ac:dyDescent="0.25">
      <c r="A911" t="s">
        <v>569</v>
      </c>
      <c r="B911" s="2">
        <v>43696</v>
      </c>
      <c r="C911" t="str">
        <f>+"Tuáº§n "&amp;WEEKNUM(B911)</f>
        <v>Tuáº§n 34</v>
      </c>
      <c r="D911" t="s">
        <v>16</v>
      </c>
      <c r="E911" t="s">
        <v>17</v>
      </c>
      <c r="F911" s="5">
        <v>41500000</v>
      </c>
      <c r="G911" s="5">
        <v>44500000</v>
      </c>
      <c r="H911" s="5">
        <f>+(M911*26000)/0.829426</f>
        <v>47033008.369643584</v>
      </c>
      <c r="I911" s="5">
        <f>+G911-H911</f>
        <v>-2533008.3696435839</v>
      </c>
      <c r="J911" s="5">
        <v>3000000</v>
      </c>
      <c r="K911" s="5">
        <v>4150000</v>
      </c>
      <c r="L911" s="5">
        <v>4450000</v>
      </c>
      <c r="M911" s="7">
        <v>1500.4</v>
      </c>
      <c r="N911" s="5">
        <v>42000000</v>
      </c>
      <c r="O911" s="5">
        <v>45000000</v>
      </c>
      <c r="P911" s="3">
        <v>0.97916666666666663</v>
      </c>
    </row>
    <row r="912" spans="1:16" x14ac:dyDescent="0.25">
      <c r="A912" t="s">
        <v>570</v>
      </c>
      <c r="B912" s="2">
        <v>43697</v>
      </c>
      <c r="C912" t="str">
        <f>+"Tuáº§n "&amp;WEEKNUM(B912)</f>
        <v>Tuáº§n 34</v>
      </c>
      <c r="D912" t="s">
        <v>18</v>
      </c>
      <c r="E912" t="s">
        <v>17</v>
      </c>
      <c r="F912" s="5">
        <v>41600000</v>
      </c>
      <c r="G912" s="5">
        <v>44600000</v>
      </c>
      <c r="H912" s="5">
        <f>+(M912*26000)/0.829426</f>
        <v>47164665.684461303</v>
      </c>
      <c r="I912" s="5">
        <f>+G912-H912</f>
        <v>-2564665.6844613031</v>
      </c>
      <c r="J912" s="5">
        <v>3000000</v>
      </c>
      <c r="K912" s="5">
        <v>4160000</v>
      </c>
      <c r="L912" s="5">
        <v>4460000</v>
      </c>
      <c r="M912" s="7">
        <v>1504.6</v>
      </c>
      <c r="N912" s="5">
        <v>42100000</v>
      </c>
      <c r="O912" s="5">
        <v>45100000</v>
      </c>
      <c r="P912" s="3">
        <v>0.97916666666666663</v>
      </c>
    </row>
    <row r="913" spans="1:16" x14ac:dyDescent="0.25">
      <c r="A913" t="s">
        <v>571</v>
      </c>
      <c r="B913" s="2">
        <v>43698</v>
      </c>
      <c r="C913" t="str">
        <f>+"Tuáº§n "&amp;WEEKNUM(B913)</f>
        <v>Tuáº§n 34</v>
      </c>
      <c r="D913" t="s">
        <v>19</v>
      </c>
      <c r="E913" t="s">
        <v>17</v>
      </c>
      <c r="F913" s="5">
        <v>41600000</v>
      </c>
      <c r="G913" s="5">
        <v>44600000</v>
      </c>
      <c r="H913" s="5">
        <f>+(M913*26000)/0.829426</f>
        <v>47164665.684461303</v>
      </c>
      <c r="I913" s="5">
        <f>+G913-H913</f>
        <v>-2564665.6844613031</v>
      </c>
      <c r="J913" s="5">
        <v>3000000</v>
      </c>
      <c r="K913" s="5">
        <v>4160000</v>
      </c>
      <c r="L913" s="5">
        <v>4460000</v>
      </c>
      <c r="M913" s="7">
        <v>1504.6</v>
      </c>
      <c r="N913" s="5">
        <v>42100000</v>
      </c>
      <c r="O913" s="5">
        <v>45100000</v>
      </c>
      <c r="P913" s="3">
        <v>0.97916666666666663</v>
      </c>
    </row>
    <row r="914" spans="1:16" x14ac:dyDescent="0.25">
      <c r="A914" t="s">
        <v>572</v>
      </c>
      <c r="B914" s="2">
        <v>43699</v>
      </c>
      <c r="C914" t="str">
        <f>+"Tuáº§n "&amp;WEEKNUM(B914)</f>
        <v>Tuáº§n 34</v>
      </c>
      <c r="D914" t="s">
        <v>20</v>
      </c>
      <c r="E914" t="s">
        <v>17</v>
      </c>
      <c r="F914" s="5">
        <v>41400000</v>
      </c>
      <c r="G914" s="5">
        <v>44400000</v>
      </c>
      <c r="H914" s="5">
        <f>+(M914*26000)/0.829426</f>
        <v>46935832.732516222</v>
      </c>
      <c r="I914" s="5">
        <f>+G914-H914</f>
        <v>-2535832.7325162217</v>
      </c>
      <c r="J914" s="5">
        <v>3000000</v>
      </c>
      <c r="K914" s="5">
        <v>4140000</v>
      </c>
      <c r="L914" s="5">
        <v>4440000</v>
      </c>
      <c r="M914" s="7">
        <v>1497.3</v>
      </c>
      <c r="N914" s="5">
        <v>41900000</v>
      </c>
      <c r="O914" s="5">
        <v>44900000</v>
      </c>
      <c r="P914" s="3">
        <v>0.97916666666666663</v>
      </c>
    </row>
    <row r="915" spans="1:16" x14ac:dyDescent="0.25">
      <c r="A915" t="s">
        <v>573</v>
      </c>
      <c r="B915" s="2">
        <v>43700</v>
      </c>
      <c r="C915" t="str">
        <f>+"Tuáº§n "&amp;WEEKNUM(B915)</f>
        <v>Tuáº§n 34</v>
      </c>
      <c r="D915" t="s">
        <v>21</v>
      </c>
      <c r="E915" t="s">
        <v>17</v>
      </c>
      <c r="F915" s="5">
        <v>42300000</v>
      </c>
      <c r="G915" s="5">
        <v>45300000</v>
      </c>
      <c r="H915" s="5">
        <f>+(M915*26000)/0.829426</f>
        <v>47854299.23826839</v>
      </c>
      <c r="I915" s="5">
        <f>+G915-H915</f>
        <v>-2554299.2382683903</v>
      </c>
      <c r="J915" s="5">
        <v>3000000</v>
      </c>
      <c r="K915" s="5">
        <v>4230000</v>
      </c>
      <c r="L915" s="5">
        <v>4530000</v>
      </c>
      <c r="M915" s="7">
        <v>1526.6</v>
      </c>
      <c r="N915" s="5">
        <v>42800000</v>
      </c>
      <c r="O915" s="5">
        <v>45800000</v>
      </c>
      <c r="P915" s="3">
        <v>0.97916666666666663</v>
      </c>
    </row>
    <row r="916" spans="1:16" x14ac:dyDescent="0.25">
      <c r="A916" t="s">
        <v>574</v>
      </c>
      <c r="B916" s="2">
        <v>43703</v>
      </c>
      <c r="C916" t="str">
        <f>+"Tuáº§n "&amp;WEEKNUM(B916)</f>
        <v>Tuáº§n 35</v>
      </c>
      <c r="D916" t="s">
        <v>16</v>
      </c>
      <c r="E916" t="s">
        <v>17</v>
      </c>
      <c r="F916" s="5">
        <v>42300000</v>
      </c>
      <c r="G916" s="5">
        <v>45300000</v>
      </c>
      <c r="H916" s="5">
        <f>+(M916*26000)/0.829426</f>
        <v>47844895.144352838</v>
      </c>
      <c r="I916" s="5">
        <f>+G916-H916</f>
        <v>-2544895.1443528384</v>
      </c>
      <c r="J916" s="5">
        <v>3000000</v>
      </c>
      <c r="K916" s="5">
        <v>4230000</v>
      </c>
      <c r="L916" s="5">
        <v>4530000</v>
      </c>
      <c r="M916" s="7">
        <v>1526.3</v>
      </c>
      <c r="N916" s="5">
        <v>42800000</v>
      </c>
      <c r="O916" s="5">
        <v>45800000</v>
      </c>
      <c r="P916" s="3">
        <v>0.97916666666666663</v>
      </c>
    </row>
    <row r="917" spans="1:16" x14ac:dyDescent="0.25">
      <c r="A917" t="s">
        <v>575</v>
      </c>
      <c r="B917" s="2">
        <v>43704</v>
      </c>
      <c r="C917" t="str">
        <f>+"Tuáº§n "&amp;WEEKNUM(B917)</f>
        <v>Tuáº§n 35</v>
      </c>
      <c r="D917" t="s">
        <v>18</v>
      </c>
      <c r="E917" t="s">
        <v>17</v>
      </c>
      <c r="F917" s="5">
        <v>42700000</v>
      </c>
      <c r="G917" s="5">
        <v>45700000</v>
      </c>
      <c r="H917" s="5">
        <f>+(M917*26000)/0.829426</f>
        <v>48305695.746214852</v>
      </c>
      <c r="I917" s="5">
        <f>+G917-H917</f>
        <v>-2605695.7462148517</v>
      </c>
      <c r="J917" s="5">
        <v>3000000</v>
      </c>
      <c r="K917" s="5">
        <v>4270000</v>
      </c>
      <c r="L917" s="5">
        <v>4570000</v>
      </c>
      <c r="M917" s="7">
        <v>1541</v>
      </c>
      <c r="N917" s="5">
        <v>43200000</v>
      </c>
      <c r="O917" s="5">
        <v>46200000</v>
      </c>
      <c r="P917" s="3">
        <v>0.97916666666666663</v>
      </c>
    </row>
    <row r="918" spans="1:16" x14ac:dyDescent="0.25">
      <c r="A918" t="s">
        <v>576</v>
      </c>
      <c r="B918" s="2">
        <v>43705</v>
      </c>
      <c r="C918" t="str">
        <f>+"Tuáº§n "&amp;WEEKNUM(B918)</f>
        <v>Tuáº§n 35</v>
      </c>
      <c r="D918" t="s">
        <v>19</v>
      </c>
      <c r="E918" t="s">
        <v>17</v>
      </c>
      <c r="F918" s="5">
        <v>42600000</v>
      </c>
      <c r="G918" s="5">
        <v>45600000</v>
      </c>
      <c r="H918" s="5">
        <f>+(M918*26000)/0.829426</f>
        <v>48205385.411115639</v>
      </c>
      <c r="I918" s="5">
        <f>+G918-H918</f>
        <v>-2605385.4111156389</v>
      </c>
      <c r="J918" s="5">
        <v>3000000</v>
      </c>
      <c r="K918" s="5">
        <v>4260000</v>
      </c>
      <c r="L918" s="5">
        <v>4560000</v>
      </c>
      <c r="M918" s="7">
        <v>1537.8</v>
      </c>
      <c r="N918" s="5">
        <v>43100000</v>
      </c>
      <c r="O918" s="5">
        <v>46100000</v>
      </c>
      <c r="P918" s="3">
        <v>0.97916666666666663</v>
      </c>
    </row>
    <row r="919" spans="1:16" x14ac:dyDescent="0.25">
      <c r="A919" t="s">
        <v>577</v>
      </c>
      <c r="B919" s="2">
        <v>43706</v>
      </c>
      <c r="C919" t="str">
        <f>+"Tuáº§n "&amp;WEEKNUM(B919)</f>
        <v>Tuáº§n 35</v>
      </c>
      <c r="D919" t="s">
        <v>20</v>
      </c>
      <c r="E919" t="s">
        <v>17</v>
      </c>
      <c r="F919" s="5">
        <v>42300000</v>
      </c>
      <c r="G919" s="5">
        <v>45300000</v>
      </c>
      <c r="H919" s="5">
        <f>+(M919*26000)/0.829426</f>
        <v>47851164.54029654</v>
      </c>
      <c r="I919" s="5">
        <f>+G919-H919</f>
        <v>-2551164.5402965397</v>
      </c>
      <c r="J919" s="5">
        <v>3000000</v>
      </c>
      <c r="K919" s="5">
        <v>4230000</v>
      </c>
      <c r="L919" s="5">
        <v>4530000</v>
      </c>
      <c r="M919" s="7">
        <v>1526.5</v>
      </c>
      <c r="N919" s="5">
        <v>42800000</v>
      </c>
      <c r="O919" s="5">
        <v>45800000</v>
      </c>
      <c r="P919" s="3">
        <v>0.97916666666666663</v>
      </c>
    </row>
    <row r="920" spans="1:16" x14ac:dyDescent="0.25">
      <c r="A920" t="s">
        <v>578</v>
      </c>
      <c r="B920" s="2">
        <v>43707</v>
      </c>
      <c r="C920" t="str">
        <f>+"Tuáº§n "&amp;WEEKNUM(B920)</f>
        <v>Tuáº§n 35</v>
      </c>
      <c r="D920" t="s">
        <v>21</v>
      </c>
      <c r="E920" t="s">
        <v>17</v>
      </c>
      <c r="F920" s="5">
        <v>42000000</v>
      </c>
      <c r="G920" s="5">
        <v>45000000</v>
      </c>
      <c r="H920" s="5">
        <f>+(M920*26000)/0.829426</f>
        <v>47619196.890379615</v>
      </c>
      <c r="I920" s="5">
        <f>+G920-H920</f>
        <v>-2619196.8903796151</v>
      </c>
      <c r="J920" s="5">
        <v>3000000</v>
      </c>
      <c r="K920" s="5">
        <v>4200000</v>
      </c>
      <c r="L920" s="5">
        <v>4500000</v>
      </c>
      <c r="M920" s="7">
        <v>1519.1</v>
      </c>
      <c r="N920" s="5">
        <v>42500000</v>
      </c>
      <c r="O920" s="5">
        <v>45500000</v>
      </c>
      <c r="P920" s="3">
        <v>0.97916666666666663</v>
      </c>
    </row>
    <row r="921" spans="1:16" x14ac:dyDescent="0.25">
      <c r="A921" s="2">
        <v>43533</v>
      </c>
      <c r="B921" s="2">
        <v>43711</v>
      </c>
      <c r="C921" t="str">
        <f>+"Tuáº§n "&amp;WEEKNUM(B921)</f>
        <v>Tuáº§n 36</v>
      </c>
      <c r="D921" t="s">
        <v>18</v>
      </c>
      <c r="E921" t="s">
        <v>17</v>
      </c>
      <c r="F921" s="5">
        <v>42800000</v>
      </c>
      <c r="G921" s="5">
        <v>45800000</v>
      </c>
      <c r="H921" s="5">
        <f>+(M921*26000)/0.829426</f>
        <v>48459295.946835525</v>
      </c>
      <c r="I921" s="5">
        <f>+G921-H921</f>
        <v>-2659295.9468355253</v>
      </c>
      <c r="J921" s="5">
        <v>3000000</v>
      </c>
      <c r="K921" s="5">
        <v>4280000</v>
      </c>
      <c r="L921" s="5">
        <v>4580000</v>
      </c>
      <c r="M921" s="7">
        <v>1545.9</v>
      </c>
      <c r="N921" s="5">
        <v>43300000</v>
      </c>
      <c r="O921" s="5">
        <v>46300000</v>
      </c>
      <c r="P921" s="3">
        <v>0.97916666666666663</v>
      </c>
    </row>
    <row r="922" spans="1:16" x14ac:dyDescent="0.25">
      <c r="A922" s="2">
        <v>43564</v>
      </c>
      <c r="B922" s="2">
        <v>43712</v>
      </c>
      <c r="C922" t="str">
        <f>+"Tuáº§n "&amp;WEEKNUM(B922)</f>
        <v>Tuáº§n 36</v>
      </c>
      <c r="D922" t="s">
        <v>19</v>
      </c>
      <c r="E922" t="s">
        <v>17</v>
      </c>
      <c r="F922" s="5">
        <v>43000000</v>
      </c>
      <c r="G922" s="5">
        <v>46000000</v>
      </c>
      <c r="H922" s="5">
        <f>+(M922*26000)/0.829426</f>
        <v>48597222.657596938</v>
      </c>
      <c r="I922" s="5">
        <f>+G922-H922</f>
        <v>-2597222.6575969383</v>
      </c>
      <c r="J922" s="5">
        <v>3000000</v>
      </c>
      <c r="K922" s="5">
        <v>4300000</v>
      </c>
      <c r="L922" s="5">
        <v>4600000</v>
      </c>
      <c r="M922" s="7">
        <v>1550.3</v>
      </c>
      <c r="N922" s="5">
        <v>43500000</v>
      </c>
      <c r="O922" s="5">
        <v>46500000</v>
      </c>
      <c r="P922" s="3">
        <v>0.97916666666666663</v>
      </c>
    </row>
    <row r="923" spans="1:16" x14ac:dyDescent="0.25">
      <c r="A923" s="2">
        <v>43594</v>
      </c>
      <c r="B923" s="2">
        <v>43713</v>
      </c>
      <c r="C923" t="str">
        <f>+"Tuáº§n "&amp;WEEKNUM(B923)</f>
        <v>Tuáº§n 36</v>
      </c>
      <c r="D923" t="s">
        <v>20</v>
      </c>
      <c r="E923" t="s">
        <v>17</v>
      </c>
      <c r="F923" s="5">
        <v>41900000</v>
      </c>
      <c r="G923" s="5">
        <v>44900000</v>
      </c>
      <c r="H923" s="5">
        <f>+(M923*26000)/0.829426</f>
        <v>47503213.065421149</v>
      </c>
      <c r="I923" s="5">
        <f>+G923-H923</f>
        <v>-2603213.0654211491</v>
      </c>
      <c r="J923" s="5">
        <v>3000000</v>
      </c>
      <c r="K923" s="5">
        <v>4190000</v>
      </c>
      <c r="L923" s="5">
        <v>4490000</v>
      </c>
      <c r="M923" s="7">
        <v>1515.4</v>
      </c>
      <c r="N923" s="5">
        <v>42400000</v>
      </c>
      <c r="O923" s="5">
        <v>45400000</v>
      </c>
      <c r="P923" s="3">
        <v>0.97916666666666663</v>
      </c>
    </row>
    <row r="924" spans="1:16" x14ac:dyDescent="0.25">
      <c r="A924" s="2">
        <v>43625</v>
      </c>
      <c r="B924" s="2">
        <v>43714</v>
      </c>
      <c r="C924" t="str">
        <f>+"Tuáº§n "&amp;WEEKNUM(B924)</f>
        <v>Tuáº§n 36</v>
      </c>
      <c r="D924" t="s">
        <v>21</v>
      </c>
      <c r="E924" t="s">
        <v>17</v>
      </c>
      <c r="F924" s="5">
        <v>41700000</v>
      </c>
      <c r="G924" s="5">
        <v>44700000</v>
      </c>
      <c r="H924" s="5">
        <f>+(M924*26000)/0.829426</f>
        <v>47214820.852010906</v>
      </c>
      <c r="I924" s="5">
        <f>+G924-H924</f>
        <v>-2514820.8520109057</v>
      </c>
      <c r="J924" s="5">
        <v>3000000</v>
      </c>
      <c r="K924" s="5">
        <v>4170000</v>
      </c>
      <c r="L924" s="5">
        <v>4470000</v>
      </c>
      <c r="M924" s="7">
        <v>1506.2</v>
      </c>
      <c r="N924" s="5">
        <v>42200000</v>
      </c>
      <c r="O924" s="5">
        <v>45200000</v>
      </c>
      <c r="P924" s="3">
        <v>0.97916666666666663</v>
      </c>
    </row>
    <row r="925" spans="1:16" x14ac:dyDescent="0.25">
      <c r="A925" s="2">
        <v>43717</v>
      </c>
      <c r="B925" s="2">
        <v>43717</v>
      </c>
      <c r="C925" t="str">
        <f>+"Tuáº§n "&amp;WEEKNUM(B925)</f>
        <v>Tuáº§n 37</v>
      </c>
      <c r="D925" t="s">
        <v>16</v>
      </c>
      <c r="E925" t="s">
        <v>17</v>
      </c>
      <c r="F925" s="5">
        <v>41500000</v>
      </c>
      <c r="G925" s="5">
        <v>44500000</v>
      </c>
      <c r="H925" s="5">
        <f>+(M925*26000)/0.829426</f>
        <v>47089432.933136895</v>
      </c>
      <c r="I925" s="5">
        <f>+G925-H925</f>
        <v>-2589432.9331368953</v>
      </c>
      <c r="J925" s="5">
        <v>3000000</v>
      </c>
      <c r="K925" s="5">
        <v>4150000</v>
      </c>
      <c r="L925" s="5">
        <v>4450000</v>
      </c>
      <c r="M925" s="7">
        <v>1502.2</v>
      </c>
      <c r="N925" s="5">
        <v>42000000</v>
      </c>
      <c r="O925" s="5">
        <v>45000000</v>
      </c>
      <c r="P925" s="3">
        <v>0.97916666666666663</v>
      </c>
    </row>
    <row r="926" spans="1:16" x14ac:dyDescent="0.25">
      <c r="A926" s="2">
        <v>43747</v>
      </c>
      <c r="B926" s="2">
        <v>43718</v>
      </c>
      <c r="C926" t="str">
        <f>+"Tuáº§n "&amp;WEEKNUM(B926)</f>
        <v>Tuáº§n 37</v>
      </c>
      <c r="D926" t="s">
        <v>18</v>
      </c>
      <c r="E926" t="s">
        <v>17</v>
      </c>
      <c r="F926" s="5">
        <v>41200000</v>
      </c>
      <c r="G926" s="5">
        <v>44200000</v>
      </c>
      <c r="H926" s="5">
        <f>+(M926*26000)/0.829426</f>
        <v>46716403.874486692</v>
      </c>
      <c r="I926" s="5">
        <f>+G926-H926</f>
        <v>-2516403.8744866922</v>
      </c>
      <c r="J926" s="5">
        <v>3000000</v>
      </c>
      <c r="K926" s="5">
        <v>4120000</v>
      </c>
      <c r="L926" s="5">
        <v>4420000</v>
      </c>
      <c r="M926" s="7">
        <v>1490.3</v>
      </c>
      <c r="N926" s="5">
        <v>41700000</v>
      </c>
      <c r="O926" s="5">
        <v>44700000</v>
      </c>
      <c r="P926" s="3">
        <v>0.97916666666666663</v>
      </c>
    </row>
    <row r="927" spans="1:16" x14ac:dyDescent="0.25">
      <c r="A927" s="2">
        <v>43778</v>
      </c>
      <c r="B927" s="2">
        <v>43719</v>
      </c>
      <c r="C927" t="str">
        <f>+"Tuáº§n "&amp;WEEKNUM(B927)</f>
        <v>Tuáº§n 37</v>
      </c>
      <c r="D927" t="s">
        <v>19</v>
      </c>
      <c r="E927" t="s">
        <v>17</v>
      </c>
      <c r="F927" s="5">
        <v>41300000</v>
      </c>
      <c r="G927" s="5">
        <v>44300000</v>
      </c>
      <c r="H927" s="5">
        <f>+(M927*26000)/0.829426</f>
        <v>46844926.491332561</v>
      </c>
      <c r="I927" s="5">
        <f>+G927-H927</f>
        <v>-2544926.4913325608</v>
      </c>
      <c r="J927" s="5">
        <v>3000000</v>
      </c>
      <c r="K927" s="5">
        <v>4130000</v>
      </c>
      <c r="L927" s="5">
        <v>4430000</v>
      </c>
      <c r="M927" s="7">
        <v>1494.4</v>
      </c>
      <c r="N927" s="5">
        <v>41800000</v>
      </c>
      <c r="O927" s="5">
        <v>44800000</v>
      </c>
      <c r="P927" s="3">
        <v>0.97916666666666663</v>
      </c>
    </row>
    <row r="928" spans="1:16" x14ac:dyDescent="0.25">
      <c r="A928" s="2">
        <v>43808</v>
      </c>
      <c r="B928" s="2">
        <v>43720</v>
      </c>
      <c r="C928" t="str">
        <f>+"Tuáº§n "&amp;WEEKNUM(B928)</f>
        <v>Tuáº§n 37</v>
      </c>
      <c r="D928" t="s">
        <v>20</v>
      </c>
      <c r="E928" t="s">
        <v>17</v>
      </c>
      <c r="F928" s="5">
        <v>41400000</v>
      </c>
      <c r="G928" s="5">
        <v>44400000</v>
      </c>
      <c r="H928" s="5">
        <f>+(M928*26000)/0.829426</f>
        <v>46979718.504122131</v>
      </c>
      <c r="I928" s="5">
        <f>+G928-H928</f>
        <v>-2579718.5041221306</v>
      </c>
      <c r="J928" s="5">
        <v>3000000</v>
      </c>
      <c r="K928" s="5">
        <v>4140000</v>
      </c>
      <c r="L928" s="5">
        <v>4440000</v>
      </c>
      <c r="M928" s="7">
        <v>1498.7</v>
      </c>
      <c r="N928" s="5">
        <v>41900000</v>
      </c>
      <c r="O928" s="5">
        <v>44900000</v>
      </c>
      <c r="P928" s="3">
        <v>0.97916666666666663</v>
      </c>
    </row>
    <row r="929" spans="1:16" x14ac:dyDescent="0.25">
      <c r="A929" t="s">
        <v>579</v>
      </c>
      <c r="B929" s="2">
        <v>43721</v>
      </c>
      <c r="C929" t="str">
        <f>+"Tuáº§n "&amp;WEEKNUM(B929)</f>
        <v>Tuáº§n 37</v>
      </c>
      <c r="D929" t="s">
        <v>21</v>
      </c>
      <c r="E929" t="s">
        <v>17</v>
      </c>
      <c r="F929" s="5">
        <v>41200000</v>
      </c>
      <c r="G929" s="5">
        <v>44200000</v>
      </c>
      <c r="H929" s="5">
        <f>+(M929*26000)/0.829426</f>
        <v>46735212.062317796</v>
      </c>
      <c r="I929" s="5">
        <f>+G929-H929</f>
        <v>-2535212.0623177961</v>
      </c>
      <c r="J929" s="5">
        <v>3000000</v>
      </c>
      <c r="K929" s="5">
        <v>4120000</v>
      </c>
      <c r="L929" s="5">
        <v>4420000</v>
      </c>
      <c r="M929" s="7">
        <v>1490.9</v>
      </c>
      <c r="N929" s="5">
        <v>41700000</v>
      </c>
      <c r="O929" s="5">
        <v>44700000</v>
      </c>
      <c r="P929" s="3">
        <v>0.97916666666666663</v>
      </c>
    </row>
    <row r="930" spans="1:16" x14ac:dyDescent="0.25">
      <c r="A930" t="s">
        <v>580</v>
      </c>
      <c r="B930" s="2">
        <v>43724</v>
      </c>
      <c r="C930" t="str">
        <f>+"Tuáº§n "&amp;WEEKNUM(B930)</f>
        <v>Tuáº§n 38</v>
      </c>
      <c r="D930" t="s">
        <v>16</v>
      </c>
      <c r="E930" t="s">
        <v>17</v>
      </c>
      <c r="F930" s="5">
        <v>41600000</v>
      </c>
      <c r="G930" s="5">
        <v>44600000</v>
      </c>
      <c r="H930" s="5">
        <f>+(M930*26000)/0.829426</f>
        <v>47117645.214883544</v>
      </c>
      <c r="I930" s="5">
        <f>+G930-H930</f>
        <v>-2517645.2148835436</v>
      </c>
      <c r="J930" s="5">
        <v>3000000</v>
      </c>
      <c r="K930" s="5">
        <v>4160000</v>
      </c>
      <c r="L930" s="5">
        <v>4460000</v>
      </c>
      <c r="M930" s="7">
        <v>1503.1</v>
      </c>
      <c r="N930" s="5">
        <v>42100000</v>
      </c>
      <c r="O930" s="5">
        <v>45100000</v>
      </c>
      <c r="P930" s="3">
        <v>0.97916666666666663</v>
      </c>
    </row>
    <row r="931" spans="1:16" x14ac:dyDescent="0.25">
      <c r="A931" t="s">
        <v>581</v>
      </c>
      <c r="B931" s="2">
        <v>43725</v>
      </c>
      <c r="C931" t="str">
        <f>+"Tuáº§n "&amp;WEEKNUM(B931)</f>
        <v>Tuáº§n 38</v>
      </c>
      <c r="D931" t="s">
        <v>18</v>
      </c>
      <c r="E931" t="s">
        <v>17</v>
      </c>
      <c r="F931" s="5">
        <v>41600000</v>
      </c>
      <c r="G931" s="5">
        <v>44600000</v>
      </c>
      <c r="H931" s="5">
        <f>+(M931*26000)/0.829426</f>
        <v>47180339.174320556</v>
      </c>
      <c r="I931" s="5">
        <f>+G931-H931</f>
        <v>-2580339.1743205562</v>
      </c>
      <c r="J931" s="5">
        <v>3000000</v>
      </c>
      <c r="K931" s="5">
        <v>4160000</v>
      </c>
      <c r="L931" s="5">
        <v>4460000</v>
      </c>
      <c r="M931" s="7">
        <v>1505.1</v>
      </c>
      <c r="N931" s="5">
        <v>42100000</v>
      </c>
      <c r="O931" s="5">
        <v>45100000</v>
      </c>
      <c r="P931" s="3">
        <v>0.97916666666666663</v>
      </c>
    </row>
    <row r="932" spans="1:16" x14ac:dyDescent="0.25">
      <c r="A932" t="s">
        <v>582</v>
      </c>
      <c r="B932" s="2">
        <v>43726</v>
      </c>
      <c r="C932" t="str">
        <f>+"Tuáº§n "&amp;WEEKNUM(B932)</f>
        <v>Tuáº§n 38</v>
      </c>
      <c r="D932" t="s">
        <v>19</v>
      </c>
      <c r="E932" t="s">
        <v>17</v>
      </c>
      <c r="F932" s="5">
        <v>41700000</v>
      </c>
      <c r="G932" s="5">
        <v>44700000</v>
      </c>
      <c r="H932" s="5">
        <f>+(M932*26000)/0.829426</f>
        <v>47255571.925644964</v>
      </c>
      <c r="I932" s="5">
        <f>+G932-H932</f>
        <v>-2555571.925644964</v>
      </c>
      <c r="J932" s="5">
        <v>3000000</v>
      </c>
      <c r="K932" s="5">
        <v>4170000</v>
      </c>
      <c r="L932" s="5">
        <v>4470000</v>
      </c>
      <c r="M932" s="7">
        <v>1507.5</v>
      </c>
      <c r="N932" s="5">
        <v>42200000</v>
      </c>
      <c r="O932" s="5">
        <v>45200000</v>
      </c>
      <c r="P932" s="3">
        <v>0.97916666666666663</v>
      </c>
    </row>
    <row r="933" spans="1:16" x14ac:dyDescent="0.25">
      <c r="A933" t="s">
        <v>583</v>
      </c>
      <c r="B933" s="2">
        <v>43727</v>
      </c>
      <c r="C933" t="str">
        <f>+"Tuáº§n "&amp;WEEKNUM(B933)</f>
        <v>Tuáº§n 38</v>
      </c>
      <c r="D933" t="s">
        <v>20</v>
      </c>
      <c r="E933" t="s">
        <v>17</v>
      </c>
      <c r="F933" s="5">
        <v>41400000</v>
      </c>
      <c r="G933" s="5">
        <v>44400000</v>
      </c>
      <c r="H933" s="5">
        <f>+(M933*26000)/0.829426</f>
        <v>46970314.410206579</v>
      </c>
      <c r="I933" s="5">
        <f>+G933-H933</f>
        <v>-2570314.4102065787</v>
      </c>
      <c r="J933" s="5">
        <v>3000000</v>
      </c>
      <c r="K933" s="5">
        <v>4140000</v>
      </c>
      <c r="L933" s="5">
        <v>4440000</v>
      </c>
      <c r="M933" s="7">
        <v>1498.4</v>
      </c>
      <c r="N933" s="5">
        <v>41900000</v>
      </c>
      <c r="O933" s="5">
        <v>44900000</v>
      </c>
      <c r="P933" s="3">
        <v>0.97916666666666663</v>
      </c>
    </row>
    <row r="934" spans="1:16" x14ac:dyDescent="0.25">
      <c r="A934" t="s">
        <v>584</v>
      </c>
      <c r="B934" s="2">
        <v>43728</v>
      </c>
      <c r="C934" t="str">
        <f>+"Tuáº§n "&amp;WEEKNUM(B934)</f>
        <v>Tuáº§n 38</v>
      </c>
      <c r="D934" t="s">
        <v>21</v>
      </c>
      <c r="E934" t="s">
        <v>17</v>
      </c>
      <c r="F934" s="5">
        <v>41700000</v>
      </c>
      <c r="G934" s="5">
        <v>44700000</v>
      </c>
      <c r="H934" s="5">
        <f>+(M934*26000)/0.829426</f>
        <v>47249302.529701263</v>
      </c>
      <c r="I934" s="5">
        <f>+G934-H934</f>
        <v>-2549302.5297012627</v>
      </c>
      <c r="J934" s="5">
        <v>3000000</v>
      </c>
      <c r="K934" s="5">
        <v>4170000</v>
      </c>
      <c r="L934" s="5">
        <v>4470000</v>
      </c>
      <c r="M934" s="7">
        <v>1507.3</v>
      </c>
      <c r="N934" s="5">
        <v>42200000</v>
      </c>
      <c r="O934" s="5">
        <v>45200000</v>
      </c>
      <c r="P934" s="3">
        <v>0.97916666666666663</v>
      </c>
    </row>
    <row r="935" spans="1:16" x14ac:dyDescent="0.25">
      <c r="A935" t="s">
        <v>585</v>
      </c>
      <c r="B935" s="2">
        <v>43731</v>
      </c>
      <c r="C935" t="str">
        <f>+"Tuáº§n "&amp;WEEKNUM(B935)</f>
        <v>Tuáº§n 39</v>
      </c>
      <c r="D935" t="s">
        <v>16</v>
      </c>
      <c r="E935" t="s">
        <v>17</v>
      </c>
      <c r="F935" s="5">
        <v>42200000</v>
      </c>
      <c r="G935" s="5">
        <v>45200000</v>
      </c>
      <c r="H935" s="5">
        <f>+(M935*26000)/0.829426</f>
        <v>47763392.997084729</v>
      </c>
      <c r="I935" s="5">
        <f>+G935-H935</f>
        <v>-2563392.9970847294</v>
      </c>
      <c r="J935" s="5">
        <v>3000000</v>
      </c>
      <c r="K935" s="5">
        <v>4220000</v>
      </c>
      <c r="L935" s="5">
        <v>4520000</v>
      </c>
      <c r="M935" s="7">
        <v>1523.7</v>
      </c>
      <c r="N935" s="5">
        <v>42700000</v>
      </c>
      <c r="O935" s="5">
        <v>45700000</v>
      </c>
      <c r="P935" s="3">
        <v>0.97916666666666663</v>
      </c>
    </row>
    <row r="936" spans="1:16" x14ac:dyDescent="0.25">
      <c r="A936" t="s">
        <v>586</v>
      </c>
      <c r="B936" s="2">
        <v>43732</v>
      </c>
      <c r="C936" t="str">
        <f>+"Tuáº§n "&amp;WEEKNUM(B936)</f>
        <v>Tuáº§n 39</v>
      </c>
      <c r="D936" t="s">
        <v>18</v>
      </c>
      <c r="E936" t="s">
        <v>17</v>
      </c>
      <c r="F936" s="5">
        <v>42400000</v>
      </c>
      <c r="G936" s="5">
        <v>45400000</v>
      </c>
      <c r="H936" s="5">
        <f>+(M936*26000)/0.829426</f>
        <v>48026707.626720168</v>
      </c>
      <c r="I936" s="5">
        <f>+G936-H936</f>
        <v>-2626707.6267201677</v>
      </c>
      <c r="J936" s="5">
        <v>3000000</v>
      </c>
      <c r="K936" s="5">
        <v>4240000</v>
      </c>
      <c r="L936" s="5">
        <v>4540000</v>
      </c>
      <c r="M936" s="7">
        <v>1532.1</v>
      </c>
      <c r="N936" s="5">
        <v>42900000</v>
      </c>
      <c r="O936" s="5">
        <v>45900000</v>
      </c>
      <c r="P936" s="3">
        <v>0.97916666666666663</v>
      </c>
    </row>
    <row r="937" spans="1:16" x14ac:dyDescent="0.25">
      <c r="A937" t="s">
        <v>587</v>
      </c>
      <c r="B937" s="2">
        <v>43733</v>
      </c>
      <c r="C937" t="str">
        <f>+"Tuáº§n "&amp;WEEKNUM(B937)</f>
        <v>Tuáº§n 39</v>
      </c>
      <c r="D937" t="s">
        <v>19</v>
      </c>
      <c r="E937" t="s">
        <v>17</v>
      </c>
      <c r="F937" s="5">
        <v>41600000</v>
      </c>
      <c r="G937" s="5">
        <v>44600000</v>
      </c>
      <c r="H937" s="5">
        <f>+(M937*26000)/0.829426</f>
        <v>47164665.684461303</v>
      </c>
      <c r="I937" s="5">
        <f>+G937-H937</f>
        <v>-2564665.6844613031</v>
      </c>
      <c r="J937" s="5">
        <v>3000000</v>
      </c>
      <c r="K937" s="5">
        <v>4160000</v>
      </c>
      <c r="L937" s="5">
        <v>4460000</v>
      </c>
      <c r="M937" s="7">
        <v>1504.6</v>
      </c>
      <c r="N937" s="5">
        <v>42100000</v>
      </c>
      <c r="O937" s="5">
        <v>45100000</v>
      </c>
      <c r="P937" s="3">
        <v>0.97916666666666663</v>
      </c>
    </row>
    <row r="938" spans="1:16" x14ac:dyDescent="0.25">
      <c r="A938" t="s">
        <v>588</v>
      </c>
      <c r="B938" s="2">
        <v>43734</v>
      </c>
      <c r="C938" t="str">
        <f>+"Tuáº§n "&amp;WEEKNUM(B938)</f>
        <v>Tuáº§n 39</v>
      </c>
      <c r="D938" t="s">
        <v>20</v>
      </c>
      <c r="E938" t="s">
        <v>17</v>
      </c>
      <c r="F938" s="5">
        <v>41700000</v>
      </c>
      <c r="G938" s="5">
        <v>44700000</v>
      </c>
      <c r="H938" s="5">
        <f>+(M938*26000)/0.829426</f>
        <v>47255571.925644964</v>
      </c>
      <c r="I938" s="5">
        <f>+G938-H938</f>
        <v>-2555571.925644964</v>
      </c>
      <c r="J938" s="5">
        <v>3000000</v>
      </c>
      <c r="K938" s="5">
        <v>4170000</v>
      </c>
      <c r="L938" s="5">
        <v>4470000</v>
      </c>
      <c r="M938" s="7">
        <v>1507.5</v>
      </c>
      <c r="N938" s="5">
        <v>42200000</v>
      </c>
      <c r="O938" s="5">
        <v>45200000</v>
      </c>
      <c r="P938" s="3">
        <v>0.97916666666666663</v>
      </c>
    </row>
    <row r="939" spans="1:16" x14ac:dyDescent="0.25">
      <c r="A939" t="s">
        <v>589</v>
      </c>
      <c r="B939" s="2">
        <v>43735</v>
      </c>
      <c r="C939" t="str">
        <f>+"Tuáº§n "&amp;WEEKNUM(B939)</f>
        <v>Tuáº§n 39</v>
      </c>
      <c r="D939" t="s">
        <v>21</v>
      </c>
      <c r="E939" t="s">
        <v>17</v>
      </c>
      <c r="F939" s="5">
        <v>41400000</v>
      </c>
      <c r="G939" s="5">
        <v>44400000</v>
      </c>
      <c r="H939" s="5">
        <f>+(M939*26000)/0.829426</f>
        <v>46992257.296009533</v>
      </c>
      <c r="I939" s="5">
        <f>+G939-H939</f>
        <v>-2592257.2960095331</v>
      </c>
      <c r="J939" s="5">
        <v>3000000</v>
      </c>
      <c r="K939" s="5">
        <v>4140000</v>
      </c>
      <c r="L939" s="5">
        <v>4440000</v>
      </c>
      <c r="M939" s="7">
        <v>1499.1</v>
      </c>
      <c r="N939" s="5">
        <v>41900000</v>
      </c>
      <c r="O939" s="5">
        <v>44900000</v>
      </c>
      <c r="P939" s="3">
        <v>0.97916666666666663</v>
      </c>
    </row>
    <row r="940" spans="1:16" x14ac:dyDescent="0.25">
      <c r="A940" t="s">
        <v>590</v>
      </c>
      <c r="B940" s="2">
        <v>43738</v>
      </c>
      <c r="C940" t="str">
        <f>+"Tuáº§n "&amp;WEEKNUM(B940)</f>
        <v>Tuáº§n 40</v>
      </c>
      <c r="D940" t="s">
        <v>16</v>
      </c>
      <c r="E940" t="s">
        <v>17</v>
      </c>
      <c r="F940" s="5">
        <v>40500000</v>
      </c>
      <c r="G940" s="5">
        <v>43500000</v>
      </c>
      <c r="H940" s="5">
        <f>+(M940*26000)/0.829426</f>
        <v>45945268.173411489</v>
      </c>
      <c r="I940" s="5">
        <f>+G940-H940</f>
        <v>-2445268.1734114885</v>
      </c>
      <c r="J940" s="5">
        <v>3000000</v>
      </c>
      <c r="K940" s="5">
        <v>4050000</v>
      </c>
      <c r="L940" s="5">
        <v>4350000</v>
      </c>
      <c r="M940" s="7">
        <v>1465.7</v>
      </c>
      <c r="N940" s="5">
        <v>41000000</v>
      </c>
      <c r="O940" s="5">
        <v>44000000</v>
      </c>
      <c r="P940" s="3">
        <v>0.97916666666666663</v>
      </c>
    </row>
    <row r="941" spans="1:16" x14ac:dyDescent="0.25">
      <c r="A941" s="2">
        <v>43475</v>
      </c>
      <c r="B941" s="2">
        <v>43739</v>
      </c>
      <c r="C941" t="str">
        <f>+"Tuáº§n "&amp;WEEKNUM(B941)</f>
        <v>Tuáº§n 40</v>
      </c>
      <c r="D941" t="s">
        <v>18</v>
      </c>
      <c r="E941" t="s">
        <v>17</v>
      </c>
      <c r="F941" s="5">
        <v>40900000</v>
      </c>
      <c r="G941" s="5">
        <v>43900000</v>
      </c>
      <c r="H941" s="5">
        <f>+(M941*26000)/0.829426</f>
        <v>46456223.942823112</v>
      </c>
      <c r="I941" s="5">
        <f>+G941-H941</f>
        <v>-2556223.942823112</v>
      </c>
      <c r="J941" s="5">
        <v>3000000</v>
      </c>
      <c r="K941" s="5">
        <v>4090000</v>
      </c>
      <c r="L941" s="5">
        <v>4390000</v>
      </c>
      <c r="M941" s="7">
        <v>1482</v>
      </c>
      <c r="N941" s="5">
        <v>41400000</v>
      </c>
      <c r="O941" s="5">
        <v>44400000</v>
      </c>
      <c r="P941" s="3">
        <v>0.97916666666666663</v>
      </c>
    </row>
    <row r="942" spans="1:16" x14ac:dyDescent="0.25">
      <c r="A942" s="2">
        <v>43506</v>
      </c>
      <c r="B942" s="2">
        <v>43740</v>
      </c>
      <c r="C942" t="str">
        <f>+"Tuáº§n "&amp;WEEKNUM(B942)</f>
        <v>Tuáº§n 40</v>
      </c>
      <c r="D942" t="s">
        <v>19</v>
      </c>
      <c r="E942" t="s">
        <v>17</v>
      </c>
      <c r="F942" s="5">
        <v>41500000</v>
      </c>
      <c r="G942" s="5">
        <v>44500000</v>
      </c>
      <c r="H942" s="5">
        <f>+(M942*26000)/0.829426</f>
        <v>47051816.557474688</v>
      </c>
      <c r="I942" s="5">
        <f>+G942-H942</f>
        <v>-2551816.5574746877</v>
      </c>
      <c r="J942" s="5">
        <v>3000000</v>
      </c>
      <c r="K942" s="5">
        <v>4150000</v>
      </c>
      <c r="L942" s="5">
        <v>4450000</v>
      </c>
      <c r="M942" s="7">
        <v>1501</v>
      </c>
      <c r="N942" s="5">
        <v>42000000</v>
      </c>
      <c r="O942" s="5">
        <v>45000000</v>
      </c>
      <c r="P942" s="3">
        <v>0.97916666666666663</v>
      </c>
    </row>
    <row r="943" spans="1:16" x14ac:dyDescent="0.25">
      <c r="A943" s="2">
        <v>43534</v>
      </c>
      <c r="B943" s="2">
        <v>43741</v>
      </c>
      <c r="C943" t="str">
        <f>+"Tuáº§n "&amp;WEEKNUM(B943)</f>
        <v>Tuáº§n 40</v>
      </c>
      <c r="D943" t="s">
        <v>20</v>
      </c>
      <c r="E943" t="s">
        <v>17</v>
      </c>
      <c r="F943" s="5">
        <v>41700000</v>
      </c>
      <c r="G943" s="5">
        <v>44700000</v>
      </c>
      <c r="H943" s="5">
        <f>+(M943*26000)/0.829426</f>
        <v>47243033.133757561</v>
      </c>
      <c r="I943" s="5">
        <f>+G943-H943</f>
        <v>-2543033.1337575614</v>
      </c>
      <c r="J943" s="5">
        <v>3000000</v>
      </c>
      <c r="K943" s="5">
        <v>4170000</v>
      </c>
      <c r="L943" s="5">
        <v>4470000</v>
      </c>
      <c r="M943" s="7">
        <v>1507.1</v>
      </c>
      <c r="N943" s="5">
        <v>42200000</v>
      </c>
      <c r="O943" s="5">
        <v>45200000</v>
      </c>
      <c r="P943" s="3">
        <v>0.97916666666666663</v>
      </c>
    </row>
    <row r="944" spans="1:16" x14ac:dyDescent="0.25">
      <c r="A944" s="2">
        <v>43565</v>
      </c>
      <c r="B944" s="2">
        <v>43742</v>
      </c>
      <c r="C944" t="str">
        <f>+"Tuáº§n "&amp;WEEKNUM(B944)</f>
        <v>Tuáº§n 40</v>
      </c>
      <c r="D944" t="s">
        <v>21</v>
      </c>
      <c r="E944" t="s">
        <v>17</v>
      </c>
      <c r="F944" s="5">
        <v>41700000</v>
      </c>
      <c r="G944" s="5">
        <v>44700000</v>
      </c>
      <c r="H944" s="5">
        <f>+(M944*26000)/0.829426</f>
        <v>47214820.852010906</v>
      </c>
      <c r="I944" s="5">
        <f>+G944-H944</f>
        <v>-2514820.8520109057</v>
      </c>
      <c r="J944" s="5">
        <v>3000000</v>
      </c>
      <c r="K944" s="5">
        <v>4170000</v>
      </c>
      <c r="L944" s="5">
        <v>4470000</v>
      </c>
      <c r="M944" s="7">
        <v>1506.2</v>
      </c>
      <c r="N944" s="5">
        <v>42200000</v>
      </c>
      <c r="O944" s="5">
        <v>45200000</v>
      </c>
      <c r="P944" s="3">
        <v>0.97916666666666663</v>
      </c>
    </row>
    <row r="945" spans="1:16" x14ac:dyDescent="0.25">
      <c r="A945" s="2">
        <v>43656</v>
      </c>
      <c r="B945" s="2">
        <v>43745</v>
      </c>
      <c r="C945" t="str">
        <f>+"Tuáº§n "&amp;WEEKNUM(B945)</f>
        <v>Tuáº§n 41</v>
      </c>
      <c r="D945" t="s">
        <v>16</v>
      </c>
      <c r="E945" t="s">
        <v>17</v>
      </c>
      <c r="F945" s="5">
        <v>41400000</v>
      </c>
      <c r="G945" s="5">
        <v>44400000</v>
      </c>
      <c r="H945" s="5">
        <f>+(M945*26000)/0.829426</f>
        <v>46948371.524403624</v>
      </c>
      <c r="I945" s="5">
        <f>+G945-H945</f>
        <v>-2548371.5244036242</v>
      </c>
      <c r="J945" s="5">
        <v>3000000</v>
      </c>
      <c r="K945" s="5">
        <v>4140000</v>
      </c>
      <c r="L945" s="5">
        <v>4440000</v>
      </c>
      <c r="M945" s="7">
        <v>1497.7</v>
      </c>
      <c r="N945" s="5">
        <v>41900000</v>
      </c>
      <c r="O945" s="5">
        <v>44900000</v>
      </c>
      <c r="P945" s="3">
        <v>0.97916666666666663</v>
      </c>
    </row>
    <row r="946" spans="1:16" x14ac:dyDescent="0.25">
      <c r="A946" s="2">
        <v>43687</v>
      </c>
      <c r="B946" s="2">
        <v>43746</v>
      </c>
      <c r="C946" t="str">
        <f>+"Tuáº§n "&amp;WEEKNUM(B946)</f>
        <v>Tuáº§n 41</v>
      </c>
      <c r="D946" t="s">
        <v>18</v>
      </c>
      <c r="E946" t="s">
        <v>17</v>
      </c>
      <c r="F946" s="5">
        <v>41400000</v>
      </c>
      <c r="G946" s="5">
        <v>44400000</v>
      </c>
      <c r="H946" s="5">
        <f>+(M946*26000)/0.829426</f>
        <v>46932698.034544371</v>
      </c>
      <c r="I946" s="5">
        <f>+G946-H946</f>
        <v>-2532698.0345443711</v>
      </c>
      <c r="J946" s="5">
        <v>3000000</v>
      </c>
      <c r="K946" s="5">
        <v>4140000</v>
      </c>
      <c r="L946" s="5">
        <v>4440000</v>
      </c>
      <c r="M946" s="7">
        <v>1497.2</v>
      </c>
      <c r="N946" s="5">
        <v>41900000</v>
      </c>
      <c r="O946" s="5">
        <v>44900000</v>
      </c>
      <c r="P946" s="3">
        <v>0.97916666666666663</v>
      </c>
    </row>
    <row r="947" spans="1:16" x14ac:dyDescent="0.25">
      <c r="A947" s="2">
        <v>43718</v>
      </c>
      <c r="B947" s="2">
        <v>43747</v>
      </c>
      <c r="C947" t="str">
        <f>+"Tuáº§n "&amp;WEEKNUM(B947)</f>
        <v>Tuáº§n 41</v>
      </c>
      <c r="D947" t="s">
        <v>19</v>
      </c>
      <c r="E947" t="s">
        <v>17</v>
      </c>
      <c r="F947" s="5">
        <v>41700000</v>
      </c>
      <c r="G947" s="5">
        <v>44700000</v>
      </c>
      <c r="H947" s="5">
        <f>+(M947*26000)/0.829426</f>
        <v>47211686.154039055</v>
      </c>
      <c r="I947" s="5">
        <f>+G947-H947</f>
        <v>-2511686.1540390551</v>
      </c>
      <c r="J947" s="5">
        <v>3000000</v>
      </c>
      <c r="K947" s="5">
        <v>4170000</v>
      </c>
      <c r="L947" s="5">
        <v>4470000</v>
      </c>
      <c r="M947" s="7">
        <v>1506.1</v>
      </c>
      <c r="N947" s="5">
        <v>42200000</v>
      </c>
      <c r="O947" s="5">
        <v>45200000</v>
      </c>
      <c r="P947" s="3">
        <v>0.97916666666666663</v>
      </c>
    </row>
    <row r="948" spans="1:16" x14ac:dyDescent="0.25">
      <c r="A948" s="2">
        <v>43748</v>
      </c>
      <c r="B948" s="2">
        <v>43748</v>
      </c>
      <c r="C948" t="str">
        <f>+"Tuáº§n "&amp;WEEKNUM(B948)</f>
        <v>Tuáº§n 41</v>
      </c>
      <c r="D948" t="s">
        <v>20</v>
      </c>
      <c r="E948" t="s">
        <v>17</v>
      </c>
      <c r="F948" s="5">
        <v>41300000</v>
      </c>
      <c r="G948" s="5">
        <v>44300000</v>
      </c>
      <c r="H948" s="5">
        <f>+(M948*26000)/0.829426</f>
        <v>46857465.283219963</v>
      </c>
      <c r="I948" s="5">
        <f>+G948-H948</f>
        <v>-2557465.2832199633</v>
      </c>
      <c r="J948" s="5">
        <v>3000000</v>
      </c>
      <c r="K948" s="5">
        <v>4130000</v>
      </c>
      <c r="L948" s="5">
        <v>4430000</v>
      </c>
      <c r="M948" s="7">
        <v>1494.8</v>
      </c>
      <c r="N948" s="5">
        <v>41800000</v>
      </c>
      <c r="O948" s="5">
        <v>44800000</v>
      </c>
      <c r="P948" s="3">
        <v>0.97916666666666663</v>
      </c>
    </row>
    <row r="949" spans="1:16" x14ac:dyDescent="0.25">
      <c r="A949" s="2">
        <v>43779</v>
      </c>
      <c r="B949" s="2">
        <v>43749</v>
      </c>
      <c r="C949" t="str">
        <f>+"Tuáº§n "&amp;WEEKNUM(B949)</f>
        <v>Tuáº§n 41</v>
      </c>
      <c r="D949" t="s">
        <v>21</v>
      </c>
      <c r="E949" t="s">
        <v>17</v>
      </c>
      <c r="F949" s="5">
        <v>41000000</v>
      </c>
      <c r="G949" s="5">
        <v>44000000</v>
      </c>
      <c r="H949" s="5">
        <f>+(M949*26000)/0.829426</f>
        <v>46478166.828626059</v>
      </c>
      <c r="I949" s="5">
        <f>+G949-H949</f>
        <v>-2478166.828626059</v>
      </c>
      <c r="J949" s="5">
        <v>3000000</v>
      </c>
      <c r="K949" s="5">
        <v>4100000</v>
      </c>
      <c r="L949" s="5">
        <v>4400000</v>
      </c>
      <c r="M949" s="7">
        <v>1482.7</v>
      </c>
      <c r="N949" s="5">
        <v>41500000</v>
      </c>
      <c r="O949" s="5">
        <v>44500000</v>
      </c>
      <c r="P949" s="3">
        <v>0.97916666666666663</v>
      </c>
    </row>
    <row r="950" spans="1:16" x14ac:dyDescent="0.25">
      <c r="A950" t="s">
        <v>591</v>
      </c>
      <c r="B950" s="2">
        <v>43752</v>
      </c>
      <c r="C950" t="str">
        <f>+"Tuáº§n "&amp;WEEKNUM(B950)</f>
        <v>Tuáº§n 42</v>
      </c>
      <c r="D950" t="s">
        <v>16</v>
      </c>
      <c r="E950" t="s">
        <v>17</v>
      </c>
      <c r="F950" s="5">
        <v>41200000</v>
      </c>
      <c r="G950" s="5">
        <v>44200000</v>
      </c>
      <c r="H950" s="5">
        <f>+(M950*26000)/0.829426</f>
        <v>46760289.646092601</v>
      </c>
      <c r="I950" s="5">
        <f>+G950-H950</f>
        <v>-2560289.6460926011</v>
      </c>
      <c r="J950" s="5">
        <v>3000000</v>
      </c>
      <c r="K950" s="5">
        <v>4120000</v>
      </c>
      <c r="L950" s="5">
        <v>4420000</v>
      </c>
      <c r="M950" s="7">
        <v>1491.7</v>
      </c>
      <c r="N950" s="5">
        <v>41700000</v>
      </c>
      <c r="O950" s="5">
        <v>44700000</v>
      </c>
      <c r="P950" s="3">
        <v>0.97916666666666663</v>
      </c>
    </row>
    <row r="951" spans="1:16" x14ac:dyDescent="0.25">
      <c r="A951" t="s">
        <v>592</v>
      </c>
      <c r="B951" s="2">
        <v>43753</v>
      </c>
      <c r="C951" t="str">
        <f>+"Tuáº§n "&amp;WEEKNUM(B951)</f>
        <v>Tuáº§n 42</v>
      </c>
      <c r="D951" t="s">
        <v>18</v>
      </c>
      <c r="E951" t="s">
        <v>17</v>
      </c>
      <c r="F951" s="5">
        <v>40800000</v>
      </c>
      <c r="G951" s="5">
        <v>43800000</v>
      </c>
      <c r="H951" s="5">
        <f>+(M951*26000)/0.829426</f>
        <v>46318297.232061692</v>
      </c>
      <c r="I951" s="5">
        <f>+G951-H951</f>
        <v>-2518297.2320616916</v>
      </c>
      <c r="J951" s="5">
        <v>3000000</v>
      </c>
      <c r="K951" s="5">
        <v>4080000</v>
      </c>
      <c r="L951" s="5">
        <v>4380000</v>
      </c>
      <c r="M951" s="7">
        <v>1477.6</v>
      </c>
      <c r="N951" s="5">
        <v>41300000</v>
      </c>
      <c r="O951" s="5">
        <v>44300000</v>
      </c>
      <c r="P951" s="3">
        <v>0.97916666666666663</v>
      </c>
    </row>
    <row r="952" spans="1:16" x14ac:dyDescent="0.25">
      <c r="A952" t="s">
        <v>593</v>
      </c>
      <c r="B952" s="2">
        <v>43754</v>
      </c>
      <c r="C952" t="str">
        <f>+"Tuáº§n "&amp;WEEKNUM(B952)</f>
        <v>Tuáº§n 42</v>
      </c>
      <c r="D952" t="s">
        <v>19</v>
      </c>
      <c r="E952" t="s">
        <v>17</v>
      </c>
      <c r="F952" s="5">
        <v>41100000</v>
      </c>
      <c r="G952" s="5">
        <v>44100000</v>
      </c>
      <c r="H952" s="5">
        <f>+(M952*26000)/0.829426</f>
        <v>46644305.821134135</v>
      </c>
      <c r="I952" s="5">
        <f>+G952-H952</f>
        <v>-2544305.8211341351</v>
      </c>
      <c r="J952" s="5">
        <v>3000000</v>
      </c>
      <c r="K952" s="5">
        <v>4110000</v>
      </c>
      <c r="L952" s="5">
        <v>4410000</v>
      </c>
      <c r="M952" s="7">
        <v>1488</v>
      </c>
      <c r="N952" s="5">
        <v>41600000</v>
      </c>
      <c r="O952" s="5">
        <v>44600000</v>
      </c>
      <c r="P952" s="3">
        <v>0.97916666666666663</v>
      </c>
    </row>
    <row r="953" spans="1:16" x14ac:dyDescent="0.25">
      <c r="A953" t="s">
        <v>594</v>
      </c>
      <c r="B953" s="2">
        <v>43755</v>
      </c>
      <c r="C953" t="str">
        <f>+"Tuáº§n "&amp;WEEKNUM(B953)</f>
        <v>Tuáº§n 42</v>
      </c>
      <c r="D953" t="s">
        <v>20</v>
      </c>
      <c r="E953" t="s">
        <v>17</v>
      </c>
      <c r="F953" s="5">
        <v>41200000</v>
      </c>
      <c r="G953" s="5">
        <v>44200000</v>
      </c>
      <c r="H953" s="5">
        <f>+(M953*26000)/0.829426</f>
        <v>46779097.833923705</v>
      </c>
      <c r="I953" s="5">
        <f>+G953-H953</f>
        <v>-2579097.8339237049</v>
      </c>
      <c r="J953" s="5">
        <v>3000000</v>
      </c>
      <c r="K953" s="5">
        <v>4120000</v>
      </c>
      <c r="L953" s="5">
        <v>4420000</v>
      </c>
      <c r="M953" s="7">
        <v>1492.3</v>
      </c>
      <c r="N953" s="5">
        <v>41700000</v>
      </c>
      <c r="O953" s="5">
        <v>44700000</v>
      </c>
      <c r="P953" s="3">
        <v>0.97916666666666663</v>
      </c>
    </row>
    <row r="954" spans="1:16" x14ac:dyDescent="0.25">
      <c r="A954" t="s">
        <v>595</v>
      </c>
      <c r="B954" s="2">
        <v>43756</v>
      </c>
      <c r="C954" t="str">
        <f>+"Tuáº§n "&amp;WEEKNUM(B954)</f>
        <v>Tuáº§n 42</v>
      </c>
      <c r="D954" t="s">
        <v>21</v>
      </c>
      <c r="E954" t="s">
        <v>17</v>
      </c>
      <c r="F954" s="5">
        <v>41100000</v>
      </c>
      <c r="G954" s="5">
        <v>44100000</v>
      </c>
      <c r="H954" s="5">
        <f>+(M954*26000)/0.829426</f>
        <v>46650575.217077836</v>
      </c>
      <c r="I954" s="5">
        <f>+G954-H954</f>
        <v>-2550575.2170778364</v>
      </c>
      <c r="J954" s="5">
        <v>3000000</v>
      </c>
      <c r="K954" s="5">
        <v>4110000</v>
      </c>
      <c r="L954" s="5">
        <v>4410000</v>
      </c>
      <c r="M954" s="7">
        <v>1488.2</v>
      </c>
      <c r="N954" s="5">
        <v>41600000</v>
      </c>
      <c r="O954" s="5">
        <v>44600000</v>
      </c>
      <c r="P954" s="3">
        <v>0.97916666666666663</v>
      </c>
    </row>
    <row r="955" spans="1:16" x14ac:dyDescent="0.25">
      <c r="A955" t="s">
        <v>596</v>
      </c>
      <c r="B955" s="2">
        <v>43759</v>
      </c>
      <c r="C955" t="str">
        <f>+"Tuáº§n "&amp;WEEKNUM(B955)</f>
        <v>Tuáº§n 43</v>
      </c>
      <c r="D955" t="s">
        <v>16</v>
      </c>
      <c r="E955" t="s">
        <v>17</v>
      </c>
      <c r="F955" s="5">
        <v>41000000</v>
      </c>
      <c r="G955" s="5">
        <v>44000000</v>
      </c>
      <c r="H955" s="5">
        <f>+(M955*26000)/0.829426</f>
        <v>46468762.734710515</v>
      </c>
      <c r="I955" s="5">
        <f>+G955-H955</f>
        <v>-2468762.7347105145</v>
      </c>
      <c r="J955" s="5">
        <v>3000000</v>
      </c>
      <c r="K955" s="5">
        <v>4100000</v>
      </c>
      <c r="L955" s="5">
        <v>4400000</v>
      </c>
      <c r="M955" s="7">
        <v>1482.4</v>
      </c>
      <c r="N955" s="5">
        <v>41500000</v>
      </c>
      <c r="O955" s="5">
        <v>44500000</v>
      </c>
      <c r="P955" s="3">
        <v>0.97916666666666663</v>
      </c>
    </row>
    <row r="956" spans="1:16" x14ac:dyDescent="0.25">
      <c r="A956" t="s">
        <v>597</v>
      </c>
      <c r="B956" s="2">
        <v>43760</v>
      </c>
      <c r="C956" t="str">
        <f>+"Tuáº§n "&amp;WEEKNUM(B956)</f>
        <v>Tuáº§n 43</v>
      </c>
      <c r="D956" t="s">
        <v>18</v>
      </c>
      <c r="E956" t="s">
        <v>17</v>
      </c>
      <c r="F956" s="5">
        <v>40900000</v>
      </c>
      <c r="G956" s="5">
        <v>43900000</v>
      </c>
      <c r="H956" s="5">
        <f>+(M956*26000)/0.829426</f>
        <v>46446819.84890756</v>
      </c>
      <c r="I956" s="5">
        <f>+G956-H956</f>
        <v>-2546819.8489075601</v>
      </c>
      <c r="J956" s="5">
        <v>3000000</v>
      </c>
      <c r="K956" s="5">
        <v>4090000</v>
      </c>
      <c r="L956" s="5">
        <v>4390000</v>
      </c>
      <c r="M956" s="7">
        <v>1481.7</v>
      </c>
      <c r="N956" s="5">
        <v>41400000</v>
      </c>
      <c r="O956" s="5">
        <v>44400000</v>
      </c>
      <c r="P956" s="3">
        <v>0.97916666666666663</v>
      </c>
    </row>
    <row r="957" spans="1:16" x14ac:dyDescent="0.25">
      <c r="A957" t="s">
        <v>598</v>
      </c>
      <c r="B957" s="2">
        <v>43761</v>
      </c>
      <c r="C957" t="str">
        <f>+"Tuáº§n "&amp;WEEKNUM(B957)</f>
        <v>Tuáº§n 43</v>
      </c>
      <c r="D957" t="s">
        <v>19</v>
      </c>
      <c r="E957" t="s">
        <v>17</v>
      </c>
      <c r="F957" s="5">
        <v>41200000</v>
      </c>
      <c r="G957" s="5">
        <v>44200000</v>
      </c>
      <c r="H957" s="5">
        <f>+(M957*26000)/0.829426</f>
        <v>46703865.08259929</v>
      </c>
      <c r="I957" s="5">
        <f>+G957-H957</f>
        <v>-2503865.0825992897</v>
      </c>
      <c r="J957" s="5">
        <v>3000000</v>
      </c>
      <c r="K957" s="5">
        <v>4120000</v>
      </c>
      <c r="L957" s="5">
        <v>4420000</v>
      </c>
      <c r="M957" s="7">
        <v>1489.9</v>
      </c>
      <c r="N957" s="5">
        <v>41700000</v>
      </c>
      <c r="O957" s="5">
        <v>44700000</v>
      </c>
      <c r="P957" s="3">
        <v>0.97916666666666663</v>
      </c>
    </row>
    <row r="958" spans="1:16" x14ac:dyDescent="0.25">
      <c r="A958" t="s">
        <v>599</v>
      </c>
      <c r="B958" s="2">
        <v>43762</v>
      </c>
      <c r="C958" t="str">
        <f>+"Tuáº§n "&amp;WEEKNUM(B958)</f>
        <v>Tuáº§n 43</v>
      </c>
      <c r="D958" t="s">
        <v>20</v>
      </c>
      <c r="E958" t="s">
        <v>17</v>
      </c>
      <c r="F958" s="5">
        <v>41400000</v>
      </c>
      <c r="G958" s="5">
        <v>44400000</v>
      </c>
      <c r="H958" s="5">
        <f>+(M958*26000)/0.829426</f>
        <v>46985987.900065832</v>
      </c>
      <c r="I958" s="5">
        <f>+G958-H958</f>
        <v>-2585987.9000658318</v>
      </c>
      <c r="J958" s="5">
        <v>3000000</v>
      </c>
      <c r="K958" s="5">
        <v>4140000</v>
      </c>
      <c r="L958" s="5">
        <v>4440000</v>
      </c>
      <c r="M958" s="7">
        <v>1498.9</v>
      </c>
      <c r="N958" s="5">
        <v>41900000</v>
      </c>
      <c r="O958" s="5">
        <v>44900000</v>
      </c>
      <c r="P958" s="3">
        <v>0.97916666666666663</v>
      </c>
    </row>
    <row r="959" spans="1:16" x14ac:dyDescent="0.25">
      <c r="A959" t="s">
        <v>600</v>
      </c>
      <c r="B959" s="2">
        <v>43763</v>
      </c>
      <c r="C959" t="str">
        <f>+"Tuáº§n "&amp;WEEKNUM(B959)</f>
        <v>Tuáº§n 43</v>
      </c>
      <c r="D959" t="s">
        <v>21</v>
      </c>
      <c r="E959" t="s">
        <v>17</v>
      </c>
      <c r="F959" s="5">
        <v>41500000</v>
      </c>
      <c r="G959" s="5">
        <v>44500000</v>
      </c>
      <c r="H959" s="5">
        <f>+(M959*26000)/0.829426</f>
        <v>47004796.087896928</v>
      </c>
      <c r="I959" s="5">
        <f>+G959-H959</f>
        <v>-2504796.0878969282</v>
      </c>
      <c r="J959" s="5">
        <v>3000000</v>
      </c>
      <c r="K959" s="5">
        <v>4150000</v>
      </c>
      <c r="L959" s="5">
        <v>4450000</v>
      </c>
      <c r="M959" s="7">
        <v>1499.5</v>
      </c>
      <c r="N959" s="5">
        <v>42000000</v>
      </c>
      <c r="O959" s="5">
        <v>45000000</v>
      </c>
      <c r="P959" s="3">
        <v>0.97916666666666663</v>
      </c>
    </row>
    <row r="960" spans="1:16" x14ac:dyDescent="0.25">
      <c r="A960" t="s">
        <v>601</v>
      </c>
      <c r="B960" s="2">
        <v>43766</v>
      </c>
      <c r="C960" t="str">
        <f>+"Tuáº§n "&amp;WEEKNUM(B960)</f>
        <v>Tuáº§n 44</v>
      </c>
      <c r="D960" t="s">
        <v>16</v>
      </c>
      <c r="E960" t="s">
        <v>17</v>
      </c>
      <c r="F960" s="5">
        <v>41200000</v>
      </c>
      <c r="G960" s="5">
        <v>44200000</v>
      </c>
      <c r="H960" s="5">
        <f>+(M960*26000)/0.829426</f>
        <v>46706999.78057114</v>
      </c>
      <c r="I960" s="5">
        <f>+G960-H960</f>
        <v>-2506999.7805711403</v>
      </c>
      <c r="J960" s="5">
        <v>3000000</v>
      </c>
      <c r="K960" s="5">
        <v>4120000</v>
      </c>
      <c r="L960" s="5">
        <v>4420000</v>
      </c>
      <c r="M960" s="7">
        <v>1490</v>
      </c>
      <c r="N960" s="5">
        <v>41700000</v>
      </c>
      <c r="O960" s="5">
        <v>44700000</v>
      </c>
      <c r="P960" s="3">
        <v>0.97916666666666663</v>
      </c>
    </row>
    <row r="961" spans="1:16" x14ac:dyDescent="0.25">
      <c r="A961" t="s">
        <v>602</v>
      </c>
      <c r="B961" s="2">
        <v>43767</v>
      </c>
      <c r="C961" t="str">
        <f>+"Tuáº§n "&amp;WEEKNUM(B961)</f>
        <v>Tuáº§n 44</v>
      </c>
      <c r="D961" t="s">
        <v>18</v>
      </c>
      <c r="E961" t="s">
        <v>17</v>
      </c>
      <c r="F961" s="5">
        <v>41100000</v>
      </c>
      <c r="G961" s="5">
        <v>44100000</v>
      </c>
      <c r="H961" s="5">
        <f>+(M961*26000)/0.829426</f>
        <v>46612958.841415629</v>
      </c>
      <c r="I961" s="5">
        <f>+G961-H961</f>
        <v>-2512958.8414156288</v>
      </c>
      <c r="J961" s="5">
        <v>3000000</v>
      </c>
      <c r="K961" s="5">
        <v>4110000</v>
      </c>
      <c r="L961" s="5">
        <v>4410000</v>
      </c>
      <c r="M961" s="7">
        <v>1487</v>
      </c>
      <c r="N961" s="5">
        <v>41600000</v>
      </c>
      <c r="O961" s="5">
        <v>44600000</v>
      </c>
      <c r="P961" s="3">
        <v>0.97916666666666663</v>
      </c>
    </row>
    <row r="962" spans="1:16" x14ac:dyDescent="0.25">
      <c r="A962" t="s">
        <v>603</v>
      </c>
      <c r="B962" s="2">
        <v>43768</v>
      </c>
      <c r="C962" t="str">
        <f>+"Tuáº§n "&amp;WEEKNUM(B962)</f>
        <v>Tuáº§n 44</v>
      </c>
      <c r="D962" t="s">
        <v>19</v>
      </c>
      <c r="E962" t="s">
        <v>17</v>
      </c>
      <c r="F962" s="5">
        <v>41300000</v>
      </c>
      <c r="G962" s="5">
        <v>44300000</v>
      </c>
      <c r="H962" s="5">
        <f>+(M962*26000)/0.829426</f>
        <v>46807310.115670353</v>
      </c>
      <c r="I962" s="5">
        <f>+G962-H962</f>
        <v>-2507310.1156703532</v>
      </c>
      <c r="J962" s="5">
        <v>3000000</v>
      </c>
      <c r="K962" s="5">
        <v>4130000</v>
      </c>
      <c r="L962" s="5">
        <v>4430000</v>
      </c>
      <c r="M962" s="7">
        <v>1493.2</v>
      </c>
      <c r="N962" s="5">
        <v>41800000</v>
      </c>
      <c r="O962" s="5">
        <v>44800000</v>
      </c>
      <c r="P962" s="3">
        <v>0.97916666666666663</v>
      </c>
    </row>
    <row r="963" spans="1:16" x14ac:dyDescent="0.25">
      <c r="A963" t="s">
        <v>604</v>
      </c>
      <c r="B963" s="2">
        <v>43769</v>
      </c>
      <c r="C963" t="str">
        <f>+"Tuáº§n "&amp;WEEKNUM(B963)</f>
        <v>Tuáº§n 44</v>
      </c>
      <c r="D963" t="s">
        <v>20</v>
      </c>
      <c r="E963" t="s">
        <v>17</v>
      </c>
      <c r="F963" s="5">
        <v>41800000</v>
      </c>
      <c r="G963" s="5">
        <v>44800000</v>
      </c>
      <c r="H963" s="5">
        <f>+(M963*26000)/0.829426</f>
        <v>47377825.146547131</v>
      </c>
      <c r="I963" s="5">
        <f>+G963-H963</f>
        <v>-2577825.1465471312</v>
      </c>
      <c r="J963" s="5">
        <v>3000000</v>
      </c>
      <c r="K963" s="5">
        <v>4180000</v>
      </c>
      <c r="L963" s="5">
        <v>4480000</v>
      </c>
      <c r="M963" s="7">
        <v>1511.4</v>
      </c>
      <c r="N963" s="5">
        <v>42300000</v>
      </c>
      <c r="O963" s="5">
        <v>45300000</v>
      </c>
      <c r="P963" s="3">
        <v>0.97916666666666663</v>
      </c>
    </row>
    <row r="964" spans="1:16" x14ac:dyDescent="0.25">
      <c r="A964" s="2">
        <v>43476</v>
      </c>
      <c r="B964" s="2">
        <v>43770</v>
      </c>
      <c r="C964" t="str">
        <f>+"Tuáº§n "&amp;WEEKNUM(B964)</f>
        <v>Tuáº§n 44</v>
      </c>
      <c r="D964" t="s">
        <v>21</v>
      </c>
      <c r="E964" t="s">
        <v>17</v>
      </c>
      <c r="F964" s="5">
        <v>41700000</v>
      </c>
      <c r="G964" s="5">
        <v>44700000</v>
      </c>
      <c r="H964" s="5">
        <f>+(M964*26000)/0.829426</f>
        <v>47271245.415504217</v>
      </c>
      <c r="I964" s="5">
        <f>+G964-H964</f>
        <v>-2571245.4155042171</v>
      </c>
      <c r="J964" s="5">
        <v>3000000</v>
      </c>
      <c r="K964" s="5">
        <v>4170000</v>
      </c>
      <c r="L964" s="5">
        <v>4470000</v>
      </c>
      <c r="M964" s="7">
        <v>1508</v>
      </c>
      <c r="N964" s="5">
        <v>42200000</v>
      </c>
      <c r="O964" s="5">
        <v>45200000</v>
      </c>
      <c r="P964" s="3">
        <v>0.97916666666666663</v>
      </c>
    </row>
    <row r="965" spans="1:16" x14ac:dyDescent="0.25">
      <c r="A965" s="2">
        <v>43566</v>
      </c>
      <c r="B965" s="2">
        <v>43773</v>
      </c>
      <c r="C965" t="str">
        <f>+"Tuáº§n "&amp;WEEKNUM(B965)</f>
        <v>Tuáº§n 45</v>
      </c>
      <c r="D965" t="s">
        <v>16</v>
      </c>
      <c r="E965" t="s">
        <v>17</v>
      </c>
      <c r="F965" s="5">
        <v>41700000</v>
      </c>
      <c r="G965" s="5">
        <v>44700000</v>
      </c>
      <c r="H965" s="5">
        <f>+(M965*26000)/0.829426</f>
        <v>47271245.415504217</v>
      </c>
      <c r="I965" s="5">
        <f>+G965-H965</f>
        <v>-2571245.4155042171</v>
      </c>
      <c r="J965" s="5">
        <v>3000000</v>
      </c>
      <c r="K965" s="5">
        <v>4170000</v>
      </c>
      <c r="L965" s="5">
        <v>4470000</v>
      </c>
      <c r="M965" s="7">
        <v>1508</v>
      </c>
      <c r="N965" s="5">
        <v>42200000</v>
      </c>
      <c r="O965" s="5">
        <v>45200000</v>
      </c>
      <c r="P965" s="3">
        <v>0.97916666666666663</v>
      </c>
    </row>
    <row r="966" spans="1:16" x14ac:dyDescent="0.25">
      <c r="A966" s="2">
        <v>43596</v>
      </c>
      <c r="B966" s="2">
        <v>43774</v>
      </c>
      <c r="C966" t="str">
        <f>+"Tuáº§n "&amp;WEEKNUM(B966)</f>
        <v>Tuáº§n 45</v>
      </c>
      <c r="D966" t="s">
        <v>18</v>
      </c>
      <c r="E966" t="s">
        <v>17</v>
      </c>
      <c r="F966" s="5">
        <v>40900000</v>
      </c>
      <c r="G966" s="5">
        <v>43900000</v>
      </c>
      <c r="H966" s="5">
        <f>+(M966*26000)/0.829426</f>
        <v>46418607.567160904</v>
      </c>
      <c r="I966" s="5">
        <f>+G966-H966</f>
        <v>-2518607.5671609044</v>
      </c>
      <c r="J966" s="5">
        <v>3000000</v>
      </c>
      <c r="K966" s="5">
        <v>4090000</v>
      </c>
      <c r="L966" s="5">
        <v>4390000</v>
      </c>
      <c r="M966" s="7">
        <v>1480.8</v>
      </c>
      <c r="N966" s="5">
        <v>41400000</v>
      </c>
      <c r="O966" s="5">
        <v>44400000</v>
      </c>
      <c r="P966" s="3">
        <v>0.97916666666666663</v>
      </c>
    </row>
    <row r="967" spans="1:16" x14ac:dyDescent="0.25">
      <c r="A967" s="2">
        <v>43627</v>
      </c>
      <c r="B967" s="2">
        <v>43775</v>
      </c>
      <c r="C967" t="str">
        <f>+"Tuáº§n "&amp;WEEKNUM(B967)</f>
        <v>Tuáº§n 45</v>
      </c>
      <c r="D967" t="s">
        <v>19</v>
      </c>
      <c r="E967" t="s">
        <v>17</v>
      </c>
      <c r="F967" s="5">
        <v>41200000</v>
      </c>
      <c r="G967" s="5">
        <v>44200000</v>
      </c>
      <c r="H967" s="5">
        <f>+(M967*26000)/0.829426</f>
        <v>46713269.176514842</v>
      </c>
      <c r="I967" s="5">
        <f>+G967-H967</f>
        <v>-2513269.1765148416</v>
      </c>
      <c r="J967" s="5">
        <v>3000000</v>
      </c>
      <c r="K967" s="5">
        <v>4120000</v>
      </c>
      <c r="L967" s="5">
        <v>4420000</v>
      </c>
      <c r="M967" s="7">
        <v>1490.2</v>
      </c>
      <c r="N967" s="5">
        <v>41700000</v>
      </c>
      <c r="O967" s="5">
        <v>44700000</v>
      </c>
      <c r="P967" s="3">
        <v>0.97916666666666663</v>
      </c>
    </row>
    <row r="968" spans="1:16" x14ac:dyDescent="0.25">
      <c r="A968" s="2">
        <v>43657</v>
      </c>
      <c r="B968" s="2">
        <v>43776</v>
      </c>
      <c r="C968" t="str">
        <f>+"Tuáº§n "&amp;WEEKNUM(B968)</f>
        <v>Tuáº§n 45</v>
      </c>
      <c r="D968" t="s">
        <v>20</v>
      </c>
      <c r="E968" t="s">
        <v>17</v>
      </c>
      <c r="F968" s="5">
        <v>40400000</v>
      </c>
      <c r="G968" s="5">
        <v>43400000</v>
      </c>
      <c r="H968" s="5">
        <f>+(M968*26000)/0.829426</f>
        <v>45898247.703833736</v>
      </c>
      <c r="I968" s="5">
        <f>+G968-H968</f>
        <v>-2498247.7038337365</v>
      </c>
      <c r="J968" s="5">
        <v>3000000</v>
      </c>
      <c r="K968" s="5">
        <v>4040000</v>
      </c>
      <c r="L968" s="5">
        <v>4340000</v>
      </c>
      <c r="M968" s="7">
        <v>1464.2</v>
      </c>
      <c r="N968" s="5">
        <v>40900000</v>
      </c>
      <c r="O968" s="5">
        <v>43900000</v>
      </c>
      <c r="P968" s="3">
        <v>0.97916666666666663</v>
      </c>
    </row>
    <row r="969" spans="1:16" x14ac:dyDescent="0.25">
      <c r="A969" s="2">
        <v>43688</v>
      </c>
      <c r="B969" s="2">
        <v>43777</v>
      </c>
      <c r="C969" t="str">
        <f>+"Tuáº§n "&amp;WEEKNUM(B969)</f>
        <v>Tuáº§n 45</v>
      </c>
      <c r="D969" t="s">
        <v>21</v>
      </c>
      <c r="E969" t="s">
        <v>17</v>
      </c>
      <c r="F969" s="5">
        <v>40300000</v>
      </c>
      <c r="G969" s="5">
        <v>43300000</v>
      </c>
      <c r="H969" s="5">
        <f>+(M969*26000)/0.829426</f>
        <v>45807341.462650076</v>
      </c>
      <c r="I969" s="5">
        <f>+G969-H969</f>
        <v>-2507341.4626500756</v>
      </c>
      <c r="J969" s="5">
        <v>3000000</v>
      </c>
      <c r="K969" s="5">
        <v>4030000</v>
      </c>
      <c r="L969" s="5">
        <v>4330000</v>
      </c>
      <c r="M969" s="7">
        <v>1461.3</v>
      </c>
      <c r="N969" s="5">
        <v>40800000</v>
      </c>
      <c r="O969" s="5">
        <v>43800000</v>
      </c>
      <c r="P969" s="3">
        <v>0.97916666666666663</v>
      </c>
    </row>
    <row r="970" spans="1:16" x14ac:dyDescent="0.25">
      <c r="A970" s="2">
        <v>43780</v>
      </c>
      <c r="B970" s="2">
        <v>43780</v>
      </c>
      <c r="C970" t="str">
        <f>+"Tuáº§n "&amp;WEEKNUM(B970)</f>
        <v>Tuáº§n 46</v>
      </c>
      <c r="D970" t="s">
        <v>16</v>
      </c>
      <c r="E970" t="s">
        <v>17</v>
      </c>
      <c r="F970" s="5">
        <v>40200000</v>
      </c>
      <c r="G970" s="5">
        <v>43200000</v>
      </c>
      <c r="H970" s="5">
        <f>+(M970*26000)/0.829426</f>
        <v>45625528.980282746</v>
      </c>
      <c r="I970" s="5">
        <f>+G970-H970</f>
        <v>-2425528.9802827463</v>
      </c>
      <c r="J970" s="5">
        <v>3000000</v>
      </c>
      <c r="K970" s="5">
        <v>4020000</v>
      </c>
      <c r="L970" s="5">
        <v>4320000</v>
      </c>
      <c r="M970" s="7">
        <v>1455.5</v>
      </c>
      <c r="N970" s="5">
        <v>40700000</v>
      </c>
      <c r="O970" s="5">
        <v>43700000</v>
      </c>
      <c r="P970" s="3">
        <v>0.97916666666666663</v>
      </c>
    </row>
    <row r="971" spans="1:16" x14ac:dyDescent="0.25">
      <c r="A971" s="2">
        <v>43810</v>
      </c>
      <c r="B971" s="2">
        <v>43781</v>
      </c>
      <c r="C971" t="str">
        <f>+"Tuáº§n "&amp;WEEKNUM(B971)</f>
        <v>Tuáº§n 46</v>
      </c>
      <c r="D971" t="s">
        <v>18</v>
      </c>
      <c r="E971" t="s">
        <v>17</v>
      </c>
      <c r="F971" s="5">
        <v>40100000</v>
      </c>
      <c r="G971" s="5">
        <v>43100000</v>
      </c>
      <c r="H971" s="5">
        <f>+(M971*26000)/0.829426</f>
        <v>45518949.24923984</v>
      </c>
      <c r="I971" s="5">
        <f>+G971-H971</f>
        <v>-2418949.2492398396</v>
      </c>
      <c r="J971" s="5">
        <v>3000000</v>
      </c>
      <c r="K971" s="5">
        <v>4010000</v>
      </c>
      <c r="L971" s="5">
        <v>4310000</v>
      </c>
      <c r="M971" s="7">
        <v>1452.1</v>
      </c>
      <c r="N971" s="5">
        <v>40600000</v>
      </c>
      <c r="O971" s="5">
        <v>43600000</v>
      </c>
      <c r="P971" s="3">
        <v>0.97916666666666663</v>
      </c>
    </row>
    <row r="972" spans="1:16" x14ac:dyDescent="0.25">
      <c r="A972" t="s">
        <v>605</v>
      </c>
      <c r="B972" s="2">
        <v>43782</v>
      </c>
      <c r="C972" t="str">
        <f>+"Tuáº§n "&amp;WEEKNUM(B972)</f>
        <v>Tuáº§n 46</v>
      </c>
      <c r="D972" t="s">
        <v>19</v>
      </c>
      <c r="E972" t="s">
        <v>17</v>
      </c>
      <c r="F972" s="5">
        <v>40300000</v>
      </c>
      <c r="G972" s="5">
        <v>43300000</v>
      </c>
      <c r="H972" s="5">
        <f>+(M972*26000)/0.829426</f>
        <v>45819880.254537478</v>
      </c>
      <c r="I972" s="5">
        <f>+G972-H972</f>
        <v>-2519880.2545374781</v>
      </c>
      <c r="J972" s="5">
        <v>3000000</v>
      </c>
      <c r="K972" s="5">
        <v>4030000</v>
      </c>
      <c r="L972" s="5">
        <v>4330000</v>
      </c>
      <c r="M972" s="7">
        <v>1461.7</v>
      </c>
      <c r="N972" s="5">
        <v>40800000</v>
      </c>
      <c r="O972" s="5">
        <v>43800000</v>
      </c>
      <c r="P972" s="3">
        <v>0.97916666666666663</v>
      </c>
    </row>
    <row r="973" spans="1:16" x14ac:dyDescent="0.25">
      <c r="A973" t="s">
        <v>606</v>
      </c>
      <c r="B973" s="2">
        <v>43783</v>
      </c>
      <c r="C973" t="str">
        <f>+"Tuáº§n "&amp;WEEKNUM(B973)</f>
        <v>Tuáº§n 46</v>
      </c>
      <c r="D973" t="s">
        <v>20</v>
      </c>
      <c r="E973" t="s">
        <v>17</v>
      </c>
      <c r="F973" s="5">
        <v>40600000</v>
      </c>
      <c r="G973" s="5">
        <v>43600000</v>
      </c>
      <c r="H973" s="5">
        <f>+(M973*26000)/0.829426</f>
        <v>46136484.74969437</v>
      </c>
      <c r="I973" s="5">
        <f>+G973-H973</f>
        <v>-2536484.7496943697</v>
      </c>
      <c r="J973" s="5">
        <v>3000000</v>
      </c>
      <c r="K973" s="5">
        <v>4060000</v>
      </c>
      <c r="L973" s="5">
        <v>4360000</v>
      </c>
      <c r="M973" s="7">
        <v>1471.8</v>
      </c>
      <c r="N973" s="5">
        <v>41100000</v>
      </c>
      <c r="O973" s="5">
        <v>44100000</v>
      </c>
      <c r="P973" s="3">
        <v>0.97916666666666663</v>
      </c>
    </row>
    <row r="974" spans="1:16" x14ac:dyDescent="0.25">
      <c r="A974" t="s">
        <v>607</v>
      </c>
      <c r="B974" s="2">
        <v>43784</v>
      </c>
      <c r="C974" t="str">
        <f>+"Tuáº§n "&amp;WEEKNUM(B974)</f>
        <v>Tuáº§n 46</v>
      </c>
      <c r="D974" t="s">
        <v>21</v>
      </c>
      <c r="E974" t="s">
        <v>17</v>
      </c>
      <c r="F974" s="5">
        <v>40500000</v>
      </c>
      <c r="G974" s="5">
        <v>43500000</v>
      </c>
      <c r="H974" s="5">
        <f>+(M974*26000)/0.829426</f>
        <v>45995423.340961099</v>
      </c>
      <c r="I974" s="5">
        <f>+G974-H974</f>
        <v>-2495423.3409610987</v>
      </c>
      <c r="J974" s="5">
        <v>3000000</v>
      </c>
      <c r="K974" s="5">
        <v>4050000</v>
      </c>
      <c r="L974" s="5">
        <v>4350000</v>
      </c>
      <c r="M974" s="7">
        <v>1467.3</v>
      </c>
      <c r="N974" s="5">
        <v>41000000</v>
      </c>
      <c r="O974" s="5">
        <v>44000000</v>
      </c>
      <c r="P974" s="3">
        <v>0.97916666666666663</v>
      </c>
    </row>
    <row r="975" spans="1:16" x14ac:dyDescent="0.25">
      <c r="A975" t="s">
        <v>608</v>
      </c>
      <c r="B975" s="2">
        <v>43787</v>
      </c>
      <c r="C975" t="str">
        <f>+"Tuáº§n "&amp;WEEKNUM(B975)</f>
        <v>Tuáº§n 47</v>
      </c>
      <c r="D975" t="s">
        <v>16</v>
      </c>
      <c r="E975" t="s">
        <v>17</v>
      </c>
      <c r="F975" s="5">
        <v>40600000</v>
      </c>
      <c r="G975" s="5">
        <v>43600000</v>
      </c>
      <c r="H975" s="5">
        <f>+(M975*26000)/0.829426</f>
        <v>46108272.467947714</v>
      </c>
      <c r="I975" s="5">
        <f>+G975-H975</f>
        <v>-2508272.467947714</v>
      </c>
      <c r="J975" s="5">
        <v>3000000</v>
      </c>
      <c r="K975" s="5">
        <v>4060000</v>
      </c>
      <c r="L975" s="5">
        <v>4360000</v>
      </c>
      <c r="M975" s="7">
        <v>1470.9</v>
      </c>
      <c r="N975" s="5">
        <v>41100000</v>
      </c>
      <c r="O975" s="5">
        <v>44100000</v>
      </c>
      <c r="P975" s="3">
        <v>0.97916666666666663</v>
      </c>
    </row>
    <row r="976" spans="1:16" x14ac:dyDescent="0.25">
      <c r="A976" t="s">
        <v>609</v>
      </c>
      <c r="B976" s="2">
        <v>43788</v>
      </c>
      <c r="C976" t="str">
        <f>+"Tuáº§n "&amp;WEEKNUM(B976)</f>
        <v>Tuáº§n 47</v>
      </c>
      <c r="D976" t="s">
        <v>18</v>
      </c>
      <c r="E976" t="s">
        <v>17</v>
      </c>
      <c r="F976" s="5">
        <v>40700000</v>
      </c>
      <c r="G976" s="5">
        <v>43700000</v>
      </c>
      <c r="H976" s="5">
        <f>+(M976*26000)/0.829426</f>
        <v>46183505.219272122</v>
      </c>
      <c r="I976" s="5">
        <f>+G976-H976</f>
        <v>-2483505.2192721218</v>
      </c>
      <c r="J976" s="5">
        <v>3000000</v>
      </c>
      <c r="K976" s="5">
        <v>4070000</v>
      </c>
      <c r="L976" s="5">
        <v>4370000</v>
      </c>
      <c r="M976" s="7">
        <v>1473.3</v>
      </c>
      <c r="N976" s="5">
        <v>41200000</v>
      </c>
      <c r="O976" s="5">
        <v>44200000</v>
      </c>
      <c r="P976" s="3">
        <v>0.97916666666666663</v>
      </c>
    </row>
    <row r="977" spans="1:16" x14ac:dyDescent="0.25">
      <c r="A977" t="s">
        <v>610</v>
      </c>
      <c r="B977" s="2">
        <v>43789</v>
      </c>
      <c r="C977" t="str">
        <f>+"Tuáº§n "&amp;WEEKNUM(B977)</f>
        <v>Tuáº§n 47</v>
      </c>
      <c r="D977" t="s">
        <v>19</v>
      </c>
      <c r="E977" t="s">
        <v>17</v>
      </c>
      <c r="F977" s="5">
        <v>40700000</v>
      </c>
      <c r="G977" s="5">
        <v>43700000</v>
      </c>
      <c r="H977" s="5">
        <f>+(M977*26000)/0.829426</f>
        <v>46183505.219272122</v>
      </c>
      <c r="I977" s="5">
        <f>+G977-H977</f>
        <v>-2483505.2192721218</v>
      </c>
      <c r="J977" s="5">
        <v>3000000</v>
      </c>
      <c r="K977" s="5">
        <v>4070000</v>
      </c>
      <c r="L977" s="5">
        <v>4370000</v>
      </c>
      <c r="M977" s="7">
        <v>1473.3</v>
      </c>
      <c r="N977" s="5">
        <v>41200000</v>
      </c>
      <c r="O977" s="5">
        <v>44200000</v>
      </c>
      <c r="P977" s="3">
        <v>0.97916666666666663</v>
      </c>
    </row>
    <row r="978" spans="1:16" x14ac:dyDescent="0.25">
      <c r="A978" t="s">
        <v>611</v>
      </c>
      <c r="B978" s="2">
        <v>43790</v>
      </c>
      <c r="C978" t="str">
        <f>+"Tuáº§n "&amp;WEEKNUM(B978)</f>
        <v>Tuáº§n 47</v>
      </c>
      <c r="D978" t="s">
        <v>20</v>
      </c>
      <c r="E978" t="s">
        <v>17</v>
      </c>
      <c r="F978" s="5">
        <v>40400000</v>
      </c>
      <c r="G978" s="5">
        <v>43400000</v>
      </c>
      <c r="H978" s="5">
        <f>+(M978*26000)/0.829426</f>
        <v>45863766.02614338</v>
      </c>
      <c r="I978" s="5">
        <f>+G978-H978</f>
        <v>-2463766.0261433795</v>
      </c>
      <c r="J978" s="5">
        <v>3000000</v>
      </c>
      <c r="K978" s="5">
        <v>4040000</v>
      </c>
      <c r="L978" s="5">
        <v>4340000</v>
      </c>
      <c r="M978" s="7">
        <v>1463.1</v>
      </c>
      <c r="N978" s="5">
        <v>40900000</v>
      </c>
      <c r="O978" s="5">
        <v>43900000</v>
      </c>
      <c r="P978" s="3">
        <v>0.97916666666666663</v>
      </c>
    </row>
    <row r="979" spans="1:16" x14ac:dyDescent="0.25">
      <c r="A979" t="s">
        <v>612</v>
      </c>
      <c r="B979" s="2">
        <v>43791</v>
      </c>
      <c r="C979" t="str">
        <f>+"Tuáº§n "&amp;WEEKNUM(B979)</f>
        <v>Tuáº§n 47</v>
      </c>
      <c r="D979" t="s">
        <v>21</v>
      </c>
      <c r="E979" t="s">
        <v>17</v>
      </c>
      <c r="F979" s="5">
        <v>40400000</v>
      </c>
      <c r="G979" s="5">
        <v>43400000</v>
      </c>
      <c r="H979" s="5">
        <f>+(M979*26000)/0.829426</f>
        <v>45863766.02614338</v>
      </c>
      <c r="I979" s="5">
        <f>+G979-H979</f>
        <v>-2463766.0261433795</v>
      </c>
      <c r="J979" s="5">
        <v>3000000</v>
      </c>
      <c r="K979" s="5">
        <v>4040000</v>
      </c>
      <c r="L979" s="5">
        <v>4340000</v>
      </c>
      <c r="M979" s="7">
        <v>1463.1</v>
      </c>
      <c r="N979" s="5">
        <v>40900000</v>
      </c>
      <c r="O979" s="5">
        <v>43900000</v>
      </c>
      <c r="P979" s="3">
        <v>0.97916666666666663</v>
      </c>
    </row>
    <row r="980" spans="1:16" x14ac:dyDescent="0.25">
      <c r="A980" t="s">
        <v>613</v>
      </c>
      <c r="B980" s="2">
        <v>43794</v>
      </c>
      <c r="C980" t="str">
        <f>+"Tuáº§n "&amp;WEEKNUM(B980)</f>
        <v>Tuáº§n 48</v>
      </c>
      <c r="D980" t="s">
        <v>16</v>
      </c>
      <c r="E980" t="s">
        <v>17</v>
      </c>
      <c r="F980" s="5">
        <v>40200000</v>
      </c>
      <c r="G980" s="5">
        <v>43200000</v>
      </c>
      <c r="H980" s="5">
        <f>+(M980*26000)/0.829426</f>
        <v>45660010.657973103</v>
      </c>
      <c r="I980" s="5">
        <f>+G980-H980</f>
        <v>-2460010.6579731032</v>
      </c>
      <c r="J980" s="5">
        <v>3000000</v>
      </c>
      <c r="K980" s="5">
        <v>4020000</v>
      </c>
      <c r="L980" s="5">
        <v>4320000</v>
      </c>
      <c r="M980" s="7">
        <v>1456.6</v>
      </c>
      <c r="N980" s="5">
        <v>40700000</v>
      </c>
      <c r="O980" s="5">
        <v>43700000</v>
      </c>
      <c r="P980" s="3">
        <v>0.97916666666666663</v>
      </c>
    </row>
    <row r="981" spans="1:16" x14ac:dyDescent="0.25">
      <c r="A981" t="s">
        <v>614</v>
      </c>
      <c r="B981" s="2">
        <v>43795</v>
      </c>
      <c r="C981" t="str">
        <f>+"Tuáº§n "&amp;WEEKNUM(B981)</f>
        <v>Tuáº§n 48</v>
      </c>
      <c r="D981" t="s">
        <v>18</v>
      </c>
      <c r="E981" t="s">
        <v>17</v>
      </c>
      <c r="F981" s="5">
        <v>40300000</v>
      </c>
      <c r="G981" s="5">
        <v>43300000</v>
      </c>
      <c r="H981" s="5">
        <f>+(M981*26000)/0.829426</f>
        <v>45760320.993072316</v>
      </c>
      <c r="I981" s="5">
        <f>+G981-H981</f>
        <v>-2460320.9930723161</v>
      </c>
      <c r="J981" s="5">
        <v>3000000</v>
      </c>
      <c r="K981" s="5">
        <v>4030000</v>
      </c>
      <c r="L981" s="5">
        <v>4330000</v>
      </c>
      <c r="M981" s="7">
        <v>1459.8</v>
      </c>
      <c r="N981" s="5">
        <v>40800000</v>
      </c>
      <c r="O981" s="5">
        <v>43800000</v>
      </c>
      <c r="P981" s="3">
        <v>0.97916666666666663</v>
      </c>
    </row>
    <row r="982" spans="1:16" x14ac:dyDescent="0.25">
      <c r="A982" t="s">
        <v>615</v>
      </c>
      <c r="B982" s="2">
        <v>43796</v>
      </c>
      <c r="C982" t="str">
        <f>+"Tuáº§n "&amp;WEEKNUM(B982)</f>
        <v>Tuáº§n 48</v>
      </c>
      <c r="D982" t="s">
        <v>19</v>
      </c>
      <c r="E982" t="s">
        <v>17</v>
      </c>
      <c r="F982" s="5">
        <v>40100000</v>
      </c>
      <c r="G982" s="5">
        <v>43100000</v>
      </c>
      <c r="H982" s="5">
        <f>+(M982*26000)/0.829426</f>
        <v>45559700.32287389</v>
      </c>
      <c r="I982" s="5">
        <f>+G982-H982</f>
        <v>-2459700.3228738904</v>
      </c>
      <c r="J982" s="5">
        <v>3000000</v>
      </c>
      <c r="K982" s="5">
        <v>4010000</v>
      </c>
      <c r="L982" s="5">
        <v>4310000</v>
      </c>
      <c r="M982" s="7">
        <v>1453.4</v>
      </c>
      <c r="N982" s="5">
        <v>40600000</v>
      </c>
      <c r="O982" s="5">
        <v>43600000</v>
      </c>
      <c r="P982" s="3">
        <v>0.97916666666666663</v>
      </c>
    </row>
    <row r="983" spans="1:16" x14ac:dyDescent="0.25">
      <c r="A983" t="s">
        <v>616</v>
      </c>
      <c r="B983" s="2">
        <v>43798</v>
      </c>
      <c r="C983" t="str">
        <f>+"Tuáº§n "&amp;WEEKNUM(B983)</f>
        <v>Tuáº§n 48</v>
      </c>
      <c r="D983" t="s">
        <v>21</v>
      </c>
      <c r="E983" t="s">
        <v>17</v>
      </c>
      <c r="F983" s="5">
        <v>40500000</v>
      </c>
      <c r="G983" s="5">
        <v>43500000</v>
      </c>
      <c r="H983" s="5">
        <f>+(M983*26000)/0.829426</f>
        <v>45942133.475439638</v>
      </c>
      <c r="I983" s="5">
        <f>+G983-H983</f>
        <v>-2442133.4754396379</v>
      </c>
      <c r="J983" s="5">
        <v>3000000</v>
      </c>
      <c r="K983" s="5">
        <v>4050000</v>
      </c>
      <c r="L983" s="5">
        <v>4350000</v>
      </c>
      <c r="M983" s="7">
        <v>1465.6</v>
      </c>
      <c r="N983" s="5">
        <v>41000000</v>
      </c>
      <c r="O983" s="5">
        <v>44000000</v>
      </c>
      <c r="P983" s="3">
        <v>0.97916666666666663</v>
      </c>
    </row>
    <row r="984" spans="1:16" x14ac:dyDescent="0.25">
      <c r="A984" s="2">
        <v>43508</v>
      </c>
      <c r="B984" s="2">
        <v>43801</v>
      </c>
      <c r="C984" t="str">
        <f>+"Tuáº§n "&amp;WEEKNUM(B984)</f>
        <v>Tuáº§n 49</v>
      </c>
      <c r="D984" t="s">
        <v>16</v>
      </c>
      <c r="E984" t="s">
        <v>17</v>
      </c>
      <c r="F984" s="5">
        <v>40400000</v>
      </c>
      <c r="G984" s="5">
        <v>43400000</v>
      </c>
      <c r="H984" s="5">
        <f>+(M984*26000)/0.829426</f>
        <v>45838688.442368574</v>
      </c>
      <c r="I984" s="5">
        <f>+G984-H984</f>
        <v>-2438688.4423685744</v>
      </c>
      <c r="J984" s="5">
        <v>3000000</v>
      </c>
      <c r="K984" s="5">
        <v>4040000</v>
      </c>
      <c r="L984" s="5">
        <v>4340000</v>
      </c>
      <c r="M984" s="7">
        <v>1462.3</v>
      </c>
      <c r="N984" s="5">
        <v>40900000</v>
      </c>
      <c r="O984" s="5">
        <v>43900000</v>
      </c>
      <c r="P984" s="3">
        <v>0.97916666666666663</v>
      </c>
    </row>
    <row r="985" spans="1:16" x14ac:dyDescent="0.25">
      <c r="A985" s="2">
        <v>43536</v>
      </c>
      <c r="B985" s="2">
        <v>43802</v>
      </c>
      <c r="C985" t="str">
        <f>+"Tuáº§n "&amp;WEEKNUM(B985)</f>
        <v>Tuáº§n 49</v>
      </c>
      <c r="D985" t="s">
        <v>18</v>
      </c>
      <c r="E985" t="s">
        <v>17</v>
      </c>
      <c r="F985" s="5">
        <v>40800000</v>
      </c>
      <c r="G985" s="5">
        <v>43800000</v>
      </c>
      <c r="H985" s="5">
        <f>+(M985*26000)/0.829426</f>
        <v>46337105.419892795</v>
      </c>
      <c r="I985" s="5">
        <f>+G985-H985</f>
        <v>-2537105.4198927954</v>
      </c>
      <c r="J985" s="5">
        <v>3000000</v>
      </c>
      <c r="K985" s="5">
        <v>4080000</v>
      </c>
      <c r="L985" s="5">
        <v>4380000</v>
      </c>
      <c r="M985" s="7">
        <v>1478.2</v>
      </c>
      <c r="N985" s="5">
        <v>41300000</v>
      </c>
      <c r="O985" s="5">
        <v>44300000</v>
      </c>
      <c r="P985" s="3">
        <v>0.97916666666666663</v>
      </c>
    </row>
    <row r="986" spans="1:16" x14ac:dyDescent="0.25">
      <c r="A986" s="2">
        <v>43567</v>
      </c>
      <c r="B986" s="2">
        <v>43803</v>
      </c>
      <c r="C986" t="str">
        <f>+"Tuáº§n "&amp;WEEKNUM(B986)</f>
        <v>Tuáº§n 49</v>
      </c>
      <c r="D986" t="s">
        <v>19</v>
      </c>
      <c r="E986" t="s">
        <v>17</v>
      </c>
      <c r="F986" s="5">
        <v>40700000</v>
      </c>
      <c r="G986" s="5">
        <v>43700000</v>
      </c>
      <c r="H986" s="5">
        <f>+(M986*26000)/0.829426</f>
        <v>46205448.105075076</v>
      </c>
      <c r="I986" s="5">
        <f>+G986-H986</f>
        <v>-2505448.1050750762</v>
      </c>
      <c r="J986" s="5">
        <v>3000000</v>
      </c>
      <c r="K986" s="5">
        <v>4070000</v>
      </c>
      <c r="L986" s="5">
        <v>4370000</v>
      </c>
      <c r="M986" s="7">
        <v>1474</v>
      </c>
      <c r="N986" s="5">
        <v>41200000</v>
      </c>
      <c r="O986" s="5">
        <v>44200000</v>
      </c>
      <c r="P986" s="3">
        <v>0.97916666666666663</v>
      </c>
    </row>
    <row r="987" spans="1:16" x14ac:dyDescent="0.25">
      <c r="A987" s="2">
        <v>43597</v>
      </c>
      <c r="B987" s="2">
        <v>43804</v>
      </c>
      <c r="C987" t="str">
        <f>+"Tuáº§n "&amp;WEEKNUM(B987)</f>
        <v>Tuáº§n 49</v>
      </c>
      <c r="D987" t="s">
        <v>20</v>
      </c>
      <c r="E987" t="s">
        <v>17</v>
      </c>
      <c r="F987" s="5">
        <v>40800000</v>
      </c>
      <c r="G987" s="5">
        <v>43800000</v>
      </c>
      <c r="H987" s="5">
        <f>+(M987*26000)/0.829426</f>
        <v>46296354.346258737</v>
      </c>
      <c r="I987" s="5">
        <f>+G987-H987</f>
        <v>-2496354.3462587371</v>
      </c>
      <c r="J987" s="5">
        <v>3000000</v>
      </c>
      <c r="K987" s="5">
        <v>4080000</v>
      </c>
      <c r="L987" s="5">
        <v>4380000</v>
      </c>
      <c r="M987" s="7">
        <v>1476.9</v>
      </c>
      <c r="N987" s="5">
        <v>41300000</v>
      </c>
      <c r="O987" s="5">
        <v>44300000</v>
      </c>
      <c r="P987" s="3">
        <v>0.97916666666666663</v>
      </c>
    </row>
    <row r="988" spans="1:16" x14ac:dyDescent="0.25">
      <c r="A988" s="2">
        <v>43628</v>
      </c>
      <c r="B988" s="2">
        <v>43805</v>
      </c>
      <c r="C988" t="str">
        <f>+"Tuáº§n "&amp;WEEKNUM(B988)</f>
        <v>Tuáº§n 49</v>
      </c>
      <c r="D988" t="s">
        <v>21</v>
      </c>
      <c r="E988" t="s">
        <v>17</v>
      </c>
      <c r="F988" s="5">
        <v>40300000</v>
      </c>
      <c r="G988" s="5">
        <v>43300000</v>
      </c>
      <c r="H988" s="5">
        <f>+(M988*26000)/0.829426</f>
        <v>45738378.107269362</v>
      </c>
      <c r="I988" s="5">
        <f>+G988-H988</f>
        <v>-2438378.1072693616</v>
      </c>
      <c r="J988" s="5">
        <v>3000000</v>
      </c>
      <c r="K988" s="5">
        <v>4030000</v>
      </c>
      <c r="L988" s="5">
        <v>4330000</v>
      </c>
      <c r="M988" s="7">
        <v>1459.1</v>
      </c>
      <c r="N988" s="5">
        <v>40800000</v>
      </c>
      <c r="O988" s="5">
        <v>43800000</v>
      </c>
      <c r="P988" s="3">
        <v>0.97916666666666663</v>
      </c>
    </row>
    <row r="989" spans="1:16" x14ac:dyDescent="0.25">
      <c r="A989" s="2">
        <v>43720</v>
      </c>
      <c r="B989" s="2">
        <v>43808</v>
      </c>
      <c r="C989" t="str">
        <f>+"Tuáº§n "&amp;WEEKNUM(B989)</f>
        <v>Tuáº§n 50</v>
      </c>
      <c r="D989" t="s">
        <v>16</v>
      </c>
      <c r="E989" t="s">
        <v>17</v>
      </c>
      <c r="F989" s="5">
        <v>40300000</v>
      </c>
      <c r="G989" s="5">
        <v>43300000</v>
      </c>
      <c r="H989" s="5">
        <f>+(M989*26000)/0.829426</f>
        <v>45744647.503213063</v>
      </c>
      <c r="I989" s="5">
        <f>+G989-H989</f>
        <v>-2444647.5032130629</v>
      </c>
      <c r="J989" s="5">
        <v>3000000</v>
      </c>
      <c r="K989" s="5">
        <v>4030000</v>
      </c>
      <c r="L989" s="5">
        <v>4330000</v>
      </c>
      <c r="M989" s="7">
        <v>1459.3</v>
      </c>
      <c r="N989" s="5">
        <v>40800000</v>
      </c>
      <c r="O989" s="5">
        <v>43800000</v>
      </c>
      <c r="P989" s="3">
        <v>0.97916666666666663</v>
      </c>
    </row>
    <row r="990" spans="1:16" x14ac:dyDescent="0.25">
      <c r="A990" s="2">
        <v>43750</v>
      </c>
      <c r="B990" s="2">
        <v>43809</v>
      </c>
      <c r="C990" t="str">
        <f>+"Tuáº§n "&amp;WEEKNUM(B990)</f>
        <v>Tuáº§n 50</v>
      </c>
      <c r="D990" t="s">
        <v>18</v>
      </c>
      <c r="E990" t="s">
        <v>17</v>
      </c>
      <c r="F990" s="5">
        <v>40400000</v>
      </c>
      <c r="G990" s="5">
        <v>43400000</v>
      </c>
      <c r="H990" s="5">
        <f>+(M990*26000)/0.829426</f>
        <v>45848092.536284126</v>
      </c>
      <c r="I990" s="5">
        <f>+G990-H990</f>
        <v>-2448092.5362841263</v>
      </c>
      <c r="J990" s="5">
        <v>3000000</v>
      </c>
      <c r="K990" s="5">
        <v>4040000</v>
      </c>
      <c r="L990" s="5">
        <v>4340000</v>
      </c>
      <c r="M990" s="7">
        <v>1462.6</v>
      </c>
      <c r="N990" s="5">
        <v>40900000</v>
      </c>
      <c r="O990" s="5">
        <v>43900000</v>
      </c>
      <c r="P990" s="3">
        <v>0.97916666666666663</v>
      </c>
    </row>
    <row r="991" spans="1:16" x14ac:dyDescent="0.25">
      <c r="A991" s="2">
        <v>43781</v>
      </c>
      <c r="B991" s="2">
        <v>43810</v>
      </c>
      <c r="C991" t="str">
        <f>+"Tuáº§n "&amp;WEEKNUM(B991)</f>
        <v>Tuáº§n 50</v>
      </c>
      <c r="D991" t="s">
        <v>19</v>
      </c>
      <c r="E991" t="s">
        <v>17</v>
      </c>
      <c r="F991" s="5">
        <v>40600000</v>
      </c>
      <c r="G991" s="5">
        <v>43600000</v>
      </c>
      <c r="H991" s="5">
        <f>+(M991*26000)/0.829426</f>
        <v>46061251.998369955</v>
      </c>
      <c r="I991" s="5">
        <f>+G991-H991</f>
        <v>-2461251.9983699545</v>
      </c>
      <c r="J991" s="5">
        <v>3000000</v>
      </c>
      <c r="K991" s="5">
        <v>4060000</v>
      </c>
      <c r="L991" s="5">
        <v>4360000</v>
      </c>
      <c r="M991" s="7">
        <v>1469.4</v>
      </c>
      <c r="N991" s="5">
        <v>41100000</v>
      </c>
      <c r="O991" s="5">
        <v>44100000</v>
      </c>
      <c r="P991" s="3">
        <v>0.97916666666666663</v>
      </c>
    </row>
    <row r="992" spans="1:16" x14ac:dyDescent="0.25">
      <c r="A992" s="2">
        <v>43811</v>
      </c>
      <c r="B992" s="2">
        <v>43811</v>
      </c>
      <c r="C992" t="str">
        <f>+"Tuáº§n "&amp;WEEKNUM(B992)</f>
        <v>Tuáº§n 50</v>
      </c>
      <c r="D992" t="s">
        <v>20</v>
      </c>
      <c r="E992" t="s">
        <v>17</v>
      </c>
      <c r="F992" s="5">
        <v>40500000</v>
      </c>
      <c r="G992" s="5">
        <v>43500000</v>
      </c>
      <c r="H992" s="5">
        <f>+(M992*26000)/0.829426</f>
        <v>45976615.153129995</v>
      </c>
      <c r="I992" s="5">
        <f>+G992-H992</f>
        <v>-2476615.1531299949</v>
      </c>
      <c r="J992" s="5">
        <v>3000000</v>
      </c>
      <c r="K992" s="5">
        <v>4050000</v>
      </c>
      <c r="L992" s="5">
        <v>4350000</v>
      </c>
      <c r="M992" s="7">
        <v>1466.7</v>
      </c>
      <c r="N992" s="5">
        <v>41000000</v>
      </c>
      <c r="O992" s="5">
        <v>44000000</v>
      </c>
      <c r="P992" s="3">
        <v>0.97916666666666663</v>
      </c>
    </row>
    <row r="993" spans="1:16" x14ac:dyDescent="0.25">
      <c r="A993" t="s">
        <v>617</v>
      </c>
      <c r="B993" s="2">
        <v>43812</v>
      </c>
      <c r="C993" t="str">
        <f>+"Tuáº§n "&amp;WEEKNUM(B993)</f>
        <v>Tuáº§n 50</v>
      </c>
      <c r="D993" t="s">
        <v>21</v>
      </c>
      <c r="E993" t="s">
        <v>17</v>
      </c>
      <c r="F993" s="5">
        <v>40800000</v>
      </c>
      <c r="G993" s="5">
        <v>43800000</v>
      </c>
      <c r="H993" s="5">
        <f>+(M993*26000)/0.829426</f>
        <v>46255603.272624686</v>
      </c>
      <c r="I993" s="5">
        <f>+G993-H993</f>
        <v>-2455603.2726246864</v>
      </c>
      <c r="J993" s="5">
        <v>3000000</v>
      </c>
      <c r="K993" s="5">
        <v>4080000</v>
      </c>
      <c r="L993" s="5">
        <v>4380000</v>
      </c>
      <c r="M993" s="7">
        <v>1475.6</v>
      </c>
      <c r="N993" s="5">
        <v>41300000</v>
      </c>
      <c r="O993" s="5">
        <v>44300000</v>
      </c>
      <c r="P993" s="3">
        <v>0.97916666666666663</v>
      </c>
    </row>
    <row r="994" spans="1:16" x14ac:dyDescent="0.25">
      <c r="A994" t="s">
        <v>618</v>
      </c>
      <c r="B994" s="2">
        <v>43815</v>
      </c>
      <c r="C994" t="str">
        <f>+"Tuáº§n "&amp;WEEKNUM(B994)</f>
        <v>Tuáº§n 51</v>
      </c>
      <c r="D994" t="s">
        <v>16</v>
      </c>
      <c r="E994" t="s">
        <v>17</v>
      </c>
      <c r="F994" s="5">
        <v>40700000</v>
      </c>
      <c r="G994" s="5">
        <v>43700000</v>
      </c>
      <c r="H994" s="5">
        <f>+(M994*26000)/0.829426</f>
        <v>46236795.084793583</v>
      </c>
      <c r="I994" s="5">
        <f>+G994-H994</f>
        <v>-2536795.0847935826</v>
      </c>
      <c r="J994" s="5">
        <v>3000000</v>
      </c>
      <c r="K994" s="5">
        <v>4070000</v>
      </c>
      <c r="L994" s="5">
        <v>4370000</v>
      </c>
      <c r="M994" s="7">
        <v>1475</v>
      </c>
      <c r="N994" s="5">
        <v>41200000</v>
      </c>
      <c r="O994" s="5">
        <v>44200000</v>
      </c>
      <c r="P994" s="3">
        <v>0.97916666666666663</v>
      </c>
    </row>
    <row r="995" spans="1:16" x14ac:dyDescent="0.25">
      <c r="A995" t="s">
        <v>619</v>
      </c>
      <c r="B995" s="2">
        <v>43816</v>
      </c>
      <c r="C995" t="str">
        <f>+"Tuáº§n "&amp;WEEKNUM(B995)</f>
        <v>Tuáº§n 51</v>
      </c>
      <c r="D995" t="s">
        <v>18</v>
      </c>
      <c r="E995" t="s">
        <v>17</v>
      </c>
      <c r="F995" s="5">
        <v>40700000</v>
      </c>
      <c r="G995" s="5">
        <v>43700000</v>
      </c>
      <c r="H995" s="5">
        <f>+(M995*26000)/0.829426</f>
        <v>46224256.29290618</v>
      </c>
      <c r="I995" s="5">
        <f>+G995-H995</f>
        <v>-2524256.29290618</v>
      </c>
      <c r="J995" s="5">
        <v>3000000</v>
      </c>
      <c r="K995" s="5">
        <v>4070000</v>
      </c>
      <c r="L995" s="5">
        <v>4370000</v>
      </c>
      <c r="M995" s="7">
        <v>1474.6</v>
      </c>
      <c r="N995" s="5">
        <v>41200000</v>
      </c>
      <c r="O995" s="5">
        <v>44200000</v>
      </c>
      <c r="P995" s="3">
        <v>0.97916666666666663</v>
      </c>
    </row>
    <row r="996" spans="1:16" x14ac:dyDescent="0.25">
      <c r="A996" t="s">
        <v>620</v>
      </c>
      <c r="B996" s="2">
        <v>43817</v>
      </c>
      <c r="C996" t="str">
        <f>+"Tuáº§n "&amp;WEEKNUM(B996)</f>
        <v>Tuáº§n 51</v>
      </c>
      <c r="D996" t="s">
        <v>19</v>
      </c>
      <c r="E996" t="s">
        <v>17</v>
      </c>
      <c r="F996" s="5">
        <v>40700000</v>
      </c>
      <c r="G996" s="5">
        <v>43700000</v>
      </c>
      <c r="H996" s="5">
        <f>+(M996*26000)/0.829426</f>
        <v>46161562.333469167</v>
      </c>
      <c r="I996" s="5">
        <f>+G996-H996</f>
        <v>-2461562.3334691674</v>
      </c>
      <c r="J996" s="5">
        <v>3000000</v>
      </c>
      <c r="K996" s="5">
        <v>4070000</v>
      </c>
      <c r="L996" s="5">
        <v>4370000</v>
      </c>
      <c r="M996" s="7">
        <v>1472.6</v>
      </c>
      <c r="N996" s="5">
        <v>41200000</v>
      </c>
      <c r="O996" s="5">
        <v>44200000</v>
      </c>
      <c r="P996" s="3">
        <v>0.97916666666666663</v>
      </c>
    </row>
    <row r="997" spans="1:16" x14ac:dyDescent="0.25">
      <c r="A997" t="s">
        <v>621</v>
      </c>
      <c r="B997" s="2">
        <v>43818</v>
      </c>
      <c r="C997" t="str">
        <f>+"Tuáº§n "&amp;WEEKNUM(B997)</f>
        <v>Tuáº§n 51</v>
      </c>
      <c r="D997" t="s">
        <v>20</v>
      </c>
      <c r="E997" t="s">
        <v>17</v>
      </c>
      <c r="F997" s="5">
        <v>40800000</v>
      </c>
      <c r="G997" s="5">
        <v>43800000</v>
      </c>
      <c r="H997" s="5">
        <f>+(M997*26000)/0.829426</f>
        <v>46337105.419892795</v>
      </c>
      <c r="I997" s="5">
        <f>+G997-H997</f>
        <v>-2537105.4198927954</v>
      </c>
      <c r="J997" s="5">
        <v>3000000</v>
      </c>
      <c r="K997" s="5">
        <v>4080000</v>
      </c>
      <c r="L997" s="5">
        <v>4380000</v>
      </c>
      <c r="M997" s="7">
        <v>1478.2</v>
      </c>
      <c r="N997" s="5">
        <v>41300000</v>
      </c>
      <c r="O997" s="5">
        <v>44300000</v>
      </c>
      <c r="P997" s="3">
        <v>0.97916666666666663</v>
      </c>
    </row>
    <row r="998" spans="1:16" x14ac:dyDescent="0.25">
      <c r="A998" t="s">
        <v>622</v>
      </c>
      <c r="B998" s="2">
        <v>43819</v>
      </c>
      <c r="C998" t="str">
        <f>+"Tuáº§n "&amp;WEEKNUM(B998)</f>
        <v>Tuáº§n 51</v>
      </c>
      <c r="D998" t="s">
        <v>21</v>
      </c>
      <c r="E998" t="s">
        <v>17</v>
      </c>
      <c r="F998" s="5">
        <v>40700000</v>
      </c>
      <c r="G998" s="5">
        <v>43700000</v>
      </c>
      <c r="H998" s="5">
        <f>+(M998*26000)/0.829426</f>
        <v>46227390.990878031</v>
      </c>
      <c r="I998" s="5">
        <f>+G998-H998</f>
        <v>-2527390.9908780307</v>
      </c>
      <c r="J998" s="5">
        <v>3000000</v>
      </c>
      <c r="K998" s="5">
        <v>4070000</v>
      </c>
      <c r="L998" s="5">
        <v>4370000</v>
      </c>
      <c r="M998" s="7">
        <v>1474.7</v>
      </c>
      <c r="N998" s="5">
        <v>41200000</v>
      </c>
      <c r="O998" s="5">
        <v>44200000</v>
      </c>
      <c r="P998" s="3">
        <v>0.97916666666666663</v>
      </c>
    </row>
    <row r="999" spans="1:16" x14ac:dyDescent="0.25">
      <c r="A999" t="s">
        <v>623</v>
      </c>
      <c r="B999" s="2">
        <v>43822</v>
      </c>
      <c r="C999" t="str">
        <f>+"Tuáº§n "&amp;WEEKNUM(B999)</f>
        <v>Tuáº§n 52</v>
      </c>
      <c r="D999" t="s">
        <v>16</v>
      </c>
      <c r="E999" t="s">
        <v>17</v>
      </c>
      <c r="F999" s="5">
        <v>41000000</v>
      </c>
      <c r="G999" s="5">
        <v>44000000</v>
      </c>
      <c r="H999" s="5">
        <f>+(M999*26000)/0.829426</f>
        <v>46471897.432682358</v>
      </c>
      <c r="I999" s="5">
        <f>+G999-H999</f>
        <v>-2471897.4326823577</v>
      </c>
      <c r="J999" s="5">
        <v>3000000</v>
      </c>
      <c r="K999" s="5">
        <v>4100000</v>
      </c>
      <c r="L999" s="5">
        <v>4400000</v>
      </c>
      <c r="M999" s="7">
        <v>1482.5</v>
      </c>
      <c r="N999" s="5">
        <v>41500000</v>
      </c>
      <c r="O999" s="5">
        <v>44500000</v>
      </c>
      <c r="P999" s="3">
        <v>0.97916666666666663</v>
      </c>
    </row>
    <row r="1000" spans="1:16" x14ac:dyDescent="0.25">
      <c r="A1000" t="s">
        <v>624</v>
      </c>
      <c r="B1000" s="2">
        <v>43823</v>
      </c>
      <c r="C1000" t="str">
        <f>+"Tuáº§n "&amp;WEEKNUM(B1000)</f>
        <v>Tuáº§n 52</v>
      </c>
      <c r="D1000" t="s">
        <v>18</v>
      </c>
      <c r="E1000" t="s">
        <v>17</v>
      </c>
      <c r="F1000" s="5">
        <v>41400000</v>
      </c>
      <c r="G1000" s="5">
        <v>44400000</v>
      </c>
      <c r="H1000" s="5">
        <f>+(M1000*26000)/0.829426</f>
        <v>46992257.296009533</v>
      </c>
      <c r="I1000" s="5">
        <f>+G1000-H1000</f>
        <v>-2592257.2960095331</v>
      </c>
      <c r="J1000" s="5">
        <v>3000000</v>
      </c>
      <c r="K1000" s="5">
        <v>4140000</v>
      </c>
      <c r="L1000" s="5">
        <v>4440000</v>
      </c>
      <c r="M1000" s="7">
        <v>1499.1</v>
      </c>
      <c r="N1000" s="5">
        <v>41900000</v>
      </c>
      <c r="O1000" s="5">
        <v>44900000</v>
      </c>
      <c r="P1000" s="3">
        <v>0.97916666666666663</v>
      </c>
    </row>
    <row r="1001" spans="1:16" x14ac:dyDescent="0.25">
      <c r="A1001" t="s">
        <v>625</v>
      </c>
      <c r="B1001" s="2">
        <v>43825</v>
      </c>
      <c r="C1001" t="str">
        <f>+"Tuáº§n "&amp;WEEKNUM(B1001)</f>
        <v>Tuáº§n 52</v>
      </c>
      <c r="D1001" t="s">
        <v>20</v>
      </c>
      <c r="E1001" t="s">
        <v>17</v>
      </c>
      <c r="F1001" s="5">
        <v>41700000</v>
      </c>
      <c r="G1001" s="5">
        <v>44700000</v>
      </c>
      <c r="H1001" s="5">
        <f>+(M1001*26000)/0.829426</f>
        <v>47311996.489138275</v>
      </c>
      <c r="I1001" s="5">
        <f>+G1001-H1001</f>
        <v>-2611996.4891382754</v>
      </c>
      <c r="J1001" s="5">
        <v>3000000</v>
      </c>
      <c r="K1001" s="5">
        <v>4170000</v>
      </c>
      <c r="L1001" s="5">
        <v>4470000</v>
      </c>
      <c r="M1001" s="7">
        <v>1509.3</v>
      </c>
      <c r="N1001" s="5">
        <v>42200000</v>
      </c>
      <c r="O1001" s="5">
        <v>45200000</v>
      </c>
      <c r="P1001" s="3">
        <v>0.97916666666666663</v>
      </c>
    </row>
    <row r="1002" spans="1:16" x14ac:dyDescent="0.25">
      <c r="A1002" t="s">
        <v>626</v>
      </c>
      <c r="B1002" s="2">
        <v>43826</v>
      </c>
      <c r="C1002" t="str">
        <f>+"Tuáº§n "&amp;WEEKNUM(B1002)</f>
        <v>Tuáº§n 52</v>
      </c>
      <c r="D1002" t="s">
        <v>21</v>
      </c>
      <c r="E1002" t="s">
        <v>17</v>
      </c>
      <c r="F1002" s="5">
        <v>41900000</v>
      </c>
      <c r="G1002" s="5">
        <v>44900000</v>
      </c>
      <c r="H1002" s="5">
        <f>+(M1002*26000)/0.829426</f>
        <v>47453057.897871539</v>
      </c>
      <c r="I1002" s="5">
        <f>+G1002-H1002</f>
        <v>-2553057.897871539</v>
      </c>
      <c r="J1002" s="5">
        <v>3000000</v>
      </c>
      <c r="K1002" s="5">
        <v>4190000</v>
      </c>
      <c r="L1002" s="5">
        <v>4490000</v>
      </c>
      <c r="M1002" s="7">
        <v>1513.8</v>
      </c>
      <c r="N1002" s="5">
        <v>42400000</v>
      </c>
      <c r="O1002" s="5">
        <v>45400000</v>
      </c>
      <c r="P1002" s="3">
        <v>0.97916666666666663</v>
      </c>
    </row>
    <row r="1003" spans="1:16" x14ac:dyDescent="0.25">
      <c r="A1003" t="s">
        <v>627</v>
      </c>
      <c r="B1003" s="2">
        <v>43829</v>
      </c>
      <c r="C1003" t="str">
        <f>+"Tuáº§n "&amp;WEEKNUM(B1003)</f>
        <v>Tuáº§n 53</v>
      </c>
      <c r="D1003" t="s">
        <v>16</v>
      </c>
      <c r="E1003" t="s">
        <v>17</v>
      </c>
      <c r="F1003" s="5">
        <v>41900000</v>
      </c>
      <c r="G1003" s="5">
        <v>44900000</v>
      </c>
      <c r="H1003" s="5">
        <f>+(M1003*26000)/0.829426</f>
        <v>47475000.783674493</v>
      </c>
      <c r="I1003" s="5">
        <f>+G1003-H1003</f>
        <v>-2575000.7836744934</v>
      </c>
      <c r="J1003" s="5">
        <v>3000000</v>
      </c>
      <c r="K1003" s="5">
        <v>4190000</v>
      </c>
      <c r="L1003" s="5">
        <v>4490000</v>
      </c>
      <c r="M1003" s="7">
        <v>1514.5</v>
      </c>
      <c r="N1003" s="5">
        <v>42400000</v>
      </c>
      <c r="O1003" s="5">
        <v>45400000</v>
      </c>
      <c r="P1003" s="3">
        <v>0.97916666666666663</v>
      </c>
    </row>
    <row r="1004" spans="1:16" x14ac:dyDescent="0.25">
      <c r="A1004" t="s">
        <v>628</v>
      </c>
      <c r="B1004" s="2">
        <v>43830</v>
      </c>
      <c r="C1004" t="str">
        <f>+"Tuáº§n "&amp;WEEKNUM(B1004)</f>
        <v>Tuáº§n 53</v>
      </c>
      <c r="D1004" t="s">
        <v>18</v>
      </c>
      <c r="E1004" t="s">
        <v>17</v>
      </c>
      <c r="F1004" s="5">
        <v>42100000</v>
      </c>
      <c r="G1004" s="5">
        <v>45100000</v>
      </c>
      <c r="H1004" s="5">
        <f>+(M1004*26000)/0.829426</f>
        <v>47631735.68226701</v>
      </c>
      <c r="I1004" s="5">
        <f>+G1004-H1004</f>
        <v>-2531735.6822670102</v>
      </c>
      <c r="J1004" s="5">
        <v>3000000</v>
      </c>
      <c r="K1004" s="5">
        <v>4210000</v>
      </c>
      <c r="L1004" s="5">
        <v>4510000</v>
      </c>
      <c r="M1004" s="7">
        <v>1519.5</v>
      </c>
      <c r="N1004" s="5">
        <v>42600000</v>
      </c>
      <c r="O1004" s="5">
        <v>45600000</v>
      </c>
      <c r="P1004" s="3">
        <v>0.97916666666666663</v>
      </c>
    </row>
    <row r="1005" spans="1:16" x14ac:dyDescent="0.25">
      <c r="A1005" s="2">
        <v>43862</v>
      </c>
      <c r="B1005" s="2">
        <v>43832</v>
      </c>
      <c r="C1005" t="str">
        <f>+"Tuáº§n "&amp;WEEKNUM(B1005)</f>
        <v>Tuáº§n 1</v>
      </c>
      <c r="D1005" t="s">
        <v>20</v>
      </c>
      <c r="E1005" t="s">
        <v>17</v>
      </c>
      <c r="F1005" s="5">
        <v>43200000</v>
      </c>
      <c r="G1005" s="5">
        <v>46200000</v>
      </c>
      <c r="H1005" s="5">
        <f>+(M1005*26000)/0.829426</f>
        <v>47788470.580859534</v>
      </c>
      <c r="I1005" s="5">
        <f>+G1005-H1005</f>
        <v>-1588470.5808595344</v>
      </c>
      <c r="J1005" s="5">
        <v>3000000</v>
      </c>
      <c r="K1005" s="5">
        <v>4320000</v>
      </c>
      <c r="L1005" s="5">
        <v>4620000</v>
      </c>
      <c r="M1005" s="7">
        <v>1524.5</v>
      </c>
      <c r="N1005" s="5">
        <v>43700000</v>
      </c>
      <c r="O1005" s="5">
        <v>46700000</v>
      </c>
      <c r="P1005" s="3">
        <v>0.97916666666666663</v>
      </c>
    </row>
    <row r="1006" spans="1:16" x14ac:dyDescent="0.25">
      <c r="A1006" s="2">
        <v>43891</v>
      </c>
      <c r="B1006" s="2">
        <v>43833</v>
      </c>
      <c r="C1006" t="str">
        <f>+"Tuáº§n "&amp;WEEKNUM(B1006)</f>
        <v>Tuáº§n 1</v>
      </c>
      <c r="D1006" t="s">
        <v>21</v>
      </c>
      <c r="E1006" t="s">
        <v>17</v>
      </c>
      <c r="F1006" s="5">
        <v>43900000</v>
      </c>
      <c r="G1006" s="5">
        <v>46900000</v>
      </c>
      <c r="H1006" s="5">
        <f>+(M1006*26000)/0.829426</f>
        <v>48562740.979906589</v>
      </c>
      <c r="I1006" s="5">
        <f>+G1006-H1006</f>
        <v>-1662740.9799065888</v>
      </c>
      <c r="J1006" s="5">
        <v>3000000</v>
      </c>
      <c r="K1006" s="5">
        <v>4390000</v>
      </c>
      <c r="L1006" s="5">
        <v>4690000</v>
      </c>
      <c r="M1006" s="7">
        <v>1549.2</v>
      </c>
      <c r="N1006" s="5">
        <v>44400000</v>
      </c>
      <c r="O1006" s="5">
        <v>47400000</v>
      </c>
      <c r="P1006" s="3">
        <v>0.97916666666666663</v>
      </c>
    </row>
    <row r="1007" spans="1:16" x14ac:dyDescent="0.25">
      <c r="A1007" s="2">
        <v>43983</v>
      </c>
      <c r="B1007" s="2">
        <v>43836</v>
      </c>
      <c r="C1007" t="str">
        <f>+"Tuáº§n "&amp;WEEKNUM(B1007)</f>
        <v>Tuáº§n 2</v>
      </c>
      <c r="D1007" t="s">
        <v>16</v>
      </c>
      <c r="E1007" t="s">
        <v>17</v>
      </c>
      <c r="F1007" s="5">
        <v>44400000</v>
      </c>
      <c r="G1007" s="5">
        <v>47400000</v>
      </c>
      <c r="H1007" s="5">
        <f>+(M1007*26000)/0.829426</f>
        <v>49095639.635121159</v>
      </c>
      <c r="I1007" s="5">
        <f>+G1007-H1007</f>
        <v>-1695639.6351211593</v>
      </c>
      <c r="J1007" s="5">
        <v>3000000</v>
      </c>
      <c r="K1007" s="5">
        <v>4440000</v>
      </c>
      <c r="L1007" s="5">
        <v>4740000</v>
      </c>
      <c r="M1007" s="7">
        <v>1566.2</v>
      </c>
      <c r="N1007" s="5">
        <v>44900000</v>
      </c>
      <c r="O1007" s="5">
        <v>47900000</v>
      </c>
      <c r="P1007" s="3">
        <v>0.97916666666666663</v>
      </c>
    </row>
    <row r="1008" spans="1:16" x14ac:dyDescent="0.25">
      <c r="A1008" s="2">
        <v>44013</v>
      </c>
      <c r="B1008" s="2">
        <v>43837</v>
      </c>
      <c r="C1008" t="str">
        <f>+"Tuáº§n "&amp;WEEKNUM(B1008)</f>
        <v>Tuáº§n 2</v>
      </c>
      <c r="D1008" t="s">
        <v>18</v>
      </c>
      <c r="E1008" t="s">
        <v>17</v>
      </c>
      <c r="F1008" s="5">
        <v>44600000</v>
      </c>
      <c r="G1008" s="5">
        <v>47600000</v>
      </c>
      <c r="H1008" s="5">
        <f>+(M1008*26000)/0.829426</f>
        <v>49271182.72154478</v>
      </c>
      <c r="I1008" s="5">
        <f>+G1008-H1008</f>
        <v>-1671182.7215447798</v>
      </c>
      <c r="J1008" s="5">
        <v>3000000</v>
      </c>
      <c r="K1008" s="5">
        <v>4460000</v>
      </c>
      <c r="L1008" s="5">
        <v>4760000</v>
      </c>
      <c r="M1008" s="7">
        <v>1571.8</v>
      </c>
      <c r="N1008" s="5">
        <v>45100000</v>
      </c>
      <c r="O1008" s="5">
        <v>48100000</v>
      </c>
      <c r="P1008" s="3">
        <v>0.97916666666666663</v>
      </c>
    </row>
    <row r="1009" spans="1:16" x14ac:dyDescent="0.25">
      <c r="A1009" s="2">
        <v>44044</v>
      </c>
      <c r="B1009" s="2">
        <v>43838</v>
      </c>
      <c r="C1009" t="str">
        <f>+"Tuáº§n "&amp;WEEKNUM(B1009)</f>
        <v>Tuáº§n 2</v>
      </c>
      <c r="D1009" t="s">
        <v>19</v>
      </c>
      <c r="E1009" t="s">
        <v>17</v>
      </c>
      <c r="F1009" s="5">
        <v>44100000</v>
      </c>
      <c r="G1009" s="5">
        <v>47100000</v>
      </c>
      <c r="H1009" s="5">
        <f>+(M1009*26000)/0.829426</f>
        <v>48819786.213598318</v>
      </c>
      <c r="I1009" s="5">
        <f>+G1009-H1009</f>
        <v>-1719786.2135983184</v>
      </c>
      <c r="J1009" s="5">
        <v>3000000</v>
      </c>
      <c r="K1009" s="5">
        <v>4410000</v>
      </c>
      <c r="L1009" s="5">
        <v>4710000</v>
      </c>
      <c r="M1009" s="7">
        <v>1557.4</v>
      </c>
      <c r="N1009" s="5">
        <v>44600000</v>
      </c>
      <c r="O1009" s="5">
        <v>47600000</v>
      </c>
      <c r="P1009" s="3">
        <v>0.97916666666666663</v>
      </c>
    </row>
    <row r="1010" spans="1:16" x14ac:dyDescent="0.25">
      <c r="A1010" s="2">
        <v>44075</v>
      </c>
      <c r="B1010" s="2">
        <v>43839</v>
      </c>
      <c r="C1010" t="str">
        <f>+"Tuáº§n "&amp;WEEKNUM(B1010)</f>
        <v>Tuáº§n 2</v>
      </c>
      <c r="D1010" t="s">
        <v>20</v>
      </c>
      <c r="E1010" t="s">
        <v>17</v>
      </c>
      <c r="F1010" s="5">
        <v>44000000</v>
      </c>
      <c r="G1010" s="5">
        <v>47000000</v>
      </c>
      <c r="H1010" s="5">
        <f>+(M1010*26000)/0.829426</f>
        <v>48641108.429202847</v>
      </c>
      <c r="I1010" s="5">
        <f>+G1010-H1010</f>
        <v>-1641108.4292028472</v>
      </c>
      <c r="J1010" s="5">
        <v>3000000</v>
      </c>
      <c r="K1010" s="5">
        <v>4400000</v>
      </c>
      <c r="L1010" s="5">
        <v>4700000</v>
      </c>
      <c r="M1010" s="7">
        <v>1551.7</v>
      </c>
      <c r="N1010" s="5">
        <v>44500000</v>
      </c>
      <c r="O1010" s="5">
        <v>47500000</v>
      </c>
      <c r="P1010" s="3">
        <v>0.97916666666666663</v>
      </c>
    </row>
    <row r="1011" spans="1:16" x14ac:dyDescent="0.25">
      <c r="A1011" s="2">
        <v>44105</v>
      </c>
      <c r="B1011" s="2">
        <v>43840</v>
      </c>
      <c r="C1011" t="str">
        <f>+"Tuáº§n "&amp;WEEKNUM(B1011)</f>
        <v>Tuáº§n 2</v>
      </c>
      <c r="D1011" t="s">
        <v>21</v>
      </c>
      <c r="E1011" t="s">
        <v>17</v>
      </c>
      <c r="F1011" s="5">
        <v>44200000</v>
      </c>
      <c r="G1011" s="5">
        <v>47200000</v>
      </c>
      <c r="H1011" s="5">
        <f>+(M1011*26000)/0.829426</f>
        <v>48822920.911570169</v>
      </c>
      <c r="I1011" s="5">
        <f>+G1011-H1011</f>
        <v>-1622920.911570169</v>
      </c>
      <c r="J1011" s="5">
        <v>3000000</v>
      </c>
      <c r="K1011" s="5">
        <v>4420000</v>
      </c>
      <c r="L1011" s="5">
        <v>4720000</v>
      </c>
      <c r="M1011" s="7">
        <v>1557.5</v>
      </c>
      <c r="N1011" s="5">
        <v>44700000</v>
      </c>
      <c r="O1011" s="5">
        <v>47700000</v>
      </c>
      <c r="P1011" s="3">
        <v>0.97916666666666663</v>
      </c>
    </row>
    <row r="1012" spans="1:16" x14ac:dyDescent="0.25">
      <c r="A1012" t="s">
        <v>629</v>
      </c>
      <c r="B1012" s="2">
        <v>43843</v>
      </c>
      <c r="C1012" t="str">
        <f>+"Tuáº§n "&amp;WEEKNUM(B1012)</f>
        <v>Tuáº§n 3</v>
      </c>
      <c r="D1012" t="s">
        <v>16</v>
      </c>
      <c r="E1012" t="s">
        <v>17</v>
      </c>
      <c r="F1012" s="5">
        <v>43900000</v>
      </c>
      <c r="G1012" s="5">
        <v>46900000</v>
      </c>
      <c r="H1012" s="5">
        <f>+(M1012*26000)/0.829426</f>
        <v>48537663.396131784</v>
      </c>
      <c r="I1012" s="5">
        <f>+G1012-H1012</f>
        <v>-1637663.3961317837</v>
      </c>
      <c r="J1012" s="5">
        <v>3000000</v>
      </c>
      <c r="K1012" s="5">
        <v>4390000</v>
      </c>
      <c r="L1012" s="5">
        <v>4690000</v>
      </c>
      <c r="M1012" s="7">
        <v>1548.4</v>
      </c>
      <c r="N1012" s="5">
        <v>44400000</v>
      </c>
      <c r="O1012" s="5">
        <v>47400000</v>
      </c>
      <c r="P1012" s="3">
        <v>0.97916666666666663</v>
      </c>
    </row>
    <row r="1013" spans="1:16" x14ac:dyDescent="0.25">
      <c r="A1013" t="s">
        <v>630</v>
      </c>
      <c r="B1013" s="2">
        <v>43844</v>
      </c>
      <c r="C1013" t="str">
        <f>+"Tuáº§n "&amp;WEEKNUM(B1013)</f>
        <v>Tuáº§n 3</v>
      </c>
      <c r="D1013" t="s">
        <v>18</v>
      </c>
      <c r="E1013" t="s">
        <v>17</v>
      </c>
      <c r="F1013" s="5">
        <v>43700000</v>
      </c>
      <c r="G1013" s="5">
        <v>46700000</v>
      </c>
      <c r="H1013" s="5">
        <f>+(M1013*26000)/0.829426</f>
        <v>48349581.517820761</v>
      </c>
      <c r="I1013" s="5">
        <f>+G1013-H1013</f>
        <v>-1649581.5178207606</v>
      </c>
      <c r="J1013" s="5">
        <v>3000000</v>
      </c>
      <c r="K1013" s="5">
        <v>4370000</v>
      </c>
      <c r="L1013" s="5">
        <v>4670000</v>
      </c>
      <c r="M1013" s="7">
        <v>1542.4</v>
      </c>
      <c r="N1013" s="5">
        <v>44200000</v>
      </c>
      <c r="O1013" s="5">
        <v>47200000</v>
      </c>
      <c r="P1013" s="3">
        <v>0.97916666666666663</v>
      </c>
    </row>
    <row r="1014" spans="1:16" x14ac:dyDescent="0.25">
      <c r="A1014" t="s">
        <v>631</v>
      </c>
      <c r="B1014" s="2">
        <v>43845</v>
      </c>
      <c r="C1014" t="str">
        <f>+"Tuáº§n "&amp;WEEKNUM(B1014)</f>
        <v>Tuáº§n 3</v>
      </c>
      <c r="D1014" t="s">
        <v>19</v>
      </c>
      <c r="E1014" t="s">
        <v>17</v>
      </c>
      <c r="F1014" s="5">
        <v>44000000</v>
      </c>
      <c r="G1014" s="5">
        <v>47000000</v>
      </c>
      <c r="H1014" s="5">
        <f>+(M1014*26000)/0.829426</f>
        <v>48653647.22109025</v>
      </c>
      <c r="I1014" s="5">
        <f>+G1014-H1014</f>
        <v>-1653647.2210902497</v>
      </c>
      <c r="J1014" s="5">
        <v>3000000</v>
      </c>
      <c r="K1014" s="5">
        <v>4400000</v>
      </c>
      <c r="L1014" s="5">
        <v>4700000</v>
      </c>
      <c r="M1014" s="7">
        <v>1552.1</v>
      </c>
      <c r="N1014" s="5">
        <v>44500000</v>
      </c>
      <c r="O1014" s="5">
        <v>47500000</v>
      </c>
      <c r="P1014" s="3">
        <v>0.97916666666666663</v>
      </c>
    </row>
    <row r="1015" spans="1:16" x14ac:dyDescent="0.25">
      <c r="A1015" t="s">
        <v>632</v>
      </c>
      <c r="B1015" s="2">
        <v>43846</v>
      </c>
      <c r="C1015" t="str">
        <f>+"Tuáº§n "&amp;WEEKNUM(B1015)</f>
        <v>Tuáº§n 3</v>
      </c>
      <c r="D1015" t="s">
        <v>20</v>
      </c>
      <c r="E1015" t="s">
        <v>17</v>
      </c>
      <c r="F1015" s="5">
        <v>43900000</v>
      </c>
      <c r="G1015" s="5">
        <v>46900000</v>
      </c>
      <c r="H1015" s="5">
        <f>+(M1015*26000)/0.829426</f>
        <v>48556471.583962888</v>
      </c>
      <c r="I1015" s="5">
        <f>+G1015-H1015</f>
        <v>-1656471.5839628875</v>
      </c>
      <c r="J1015" s="5">
        <v>3000000</v>
      </c>
      <c r="K1015" s="5">
        <v>4390000</v>
      </c>
      <c r="L1015" s="5">
        <v>4690000</v>
      </c>
      <c r="M1015" s="7">
        <v>1549</v>
      </c>
      <c r="N1015" s="5">
        <v>44400000</v>
      </c>
      <c r="O1015" s="5">
        <v>47400000</v>
      </c>
      <c r="P1015" s="3">
        <v>0.97916666666666663</v>
      </c>
    </row>
    <row r="1016" spans="1:16" x14ac:dyDescent="0.25">
      <c r="A1016" t="s">
        <v>633</v>
      </c>
      <c r="B1016" s="2">
        <v>43847</v>
      </c>
      <c r="C1016" t="str">
        <f>+"Tuáº§n "&amp;WEEKNUM(B1016)</f>
        <v>Tuáº§n 3</v>
      </c>
      <c r="D1016" t="s">
        <v>21</v>
      </c>
      <c r="E1016" t="s">
        <v>17</v>
      </c>
      <c r="F1016" s="5">
        <v>44200000</v>
      </c>
      <c r="G1016" s="5">
        <v>47200000</v>
      </c>
      <c r="H1016" s="5">
        <f>+(M1016*26000)/0.829426</f>
        <v>48863671.985204227</v>
      </c>
      <c r="I1016" s="5">
        <f>+G1016-H1016</f>
        <v>-1663671.9852042273</v>
      </c>
      <c r="J1016" s="5">
        <v>3000000</v>
      </c>
      <c r="K1016" s="5">
        <v>4420000</v>
      </c>
      <c r="L1016" s="5">
        <v>4720000</v>
      </c>
      <c r="M1016" s="7">
        <v>1558.8</v>
      </c>
      <c r="N1016" s="5">
        <v>44700000</v>
      </c>
      <c r="O1016" s="5">
        <v>47700000</v>
      </c>
      <c r="P1016" s="3">
        <v>0.97916666666666663</v>
      </c>
    </row>
    <row r="1017" spans="1:16" x14ac:dyDescent="0.25">
      <c r="A1017" t="s">
        <v>634</v>
      </c>
      <c r="B1017" s="2">
        <v>43851</v>
      </c>
      <c r="C1017" t="str">
        <f>+"Tuáº§n "&amp;WEEKNUM(B1017)</f>
        <v>Tuáº§n 4</v>
      </c>
      <c r="D1017" t="s">
        <v>18</v>
      </c>
      <c r="E1017" t="s">
        <v>17</v>
      </c>
      <c r="F1017" s="5">
        <v>44100000</v>
      </c>
      <c r="G1017" s="5">
        <v>47100000</v>
      </c>
      <c r="H1017" s="5">
        <f>+(M1017*26000)/0.829426</f>
        <v>48788439.23387982</v>
      </c>
      <c r="I1017" s="5">
        <f>+G1017-H1017</f>
        <v>-1688439.2338798195</v>
      </c>
      <c r="J1017" s="5">
        <v>3000000</v>
      </c>
      <c r="K1017" s="5">
        <v>4410000</v>
      </c>
      <c r="L1017" s="5">
        <v>4710000</v>
      </c>
      <c r="M1017" s="7">
        <v>1556.4</v>
      </c>
      <c r="N1017" s="5">
        <v>44600000</v>
      </c>
      <c r="O1017" s="5">
        <v>47600000</v>
      </c>
      <c r="P1017" s="3">
        <v>0.97916666666666663</v>
      </c>
    </row>
    <row r="1018" spans="1:16" x14ac:dyDescent="0.25">
      <c r="A1018" t="s">
        <v>635</v>
      </c>
      <c r="B1018" s="2">
        <v>43852</v>
      </c>
      <c r="C1018" t="str">
        <f>+"Tuáº§n "&amp;WEEKNUM(B1018)</f>
        <v>Tuáº§n 4</v>
      </c>
      <c r="D1018" t="s">
        <v>19</v>
      </c>
      <c r="E1018" t="s">
        <v>17</v>
      </c>
      <c r="F1018" s="5">
        <v>44100000</v>
      </c>
      <c r="G1018" s="5">
        <v>47100000</v>
      </c>
      <c r="H1018" s="5">
        <f>+(M1018*26000)/0.829426</f>
        <v>48753957.556189463</v>
      </c>
      <c r="I1018" s="5">
        <f>+G1018-H1018</f>
        <v>-1653957.5561894625</v>
      </c>
      <c r="J1018" s="5">
        <v>3000000</v>
      </c>
      <c r="K1018" s="5">
        <v>4410000</v>
      </c>
      <c r="L1018" s="5">
        <v>4710000</v>
      </c>
      <c r="M1018" s="7">
        <v>1555.3</v>
      </c>
      <c r="N1018" s="5">
        <v>44600000</v>
      </c>
      <c r="O1018" s="5">
        <v>47600000</v>
      </c>
      <c r="P1018" s="3">
        <v>0.97916666666666663</v>
      </c>
    </row>
    <row r="1019" spans="1:16" x14ac:dyDescent="0.25">
      <c r="A1019" t="s">
        <v>636</v>
      </c>
      <c r="B1019" s="2">
        <v>43853</v>
      </c>
      <c r="C1019" t="str">
        <f>+"Tuáº§n "&amp;WEEKNUM(B1019)</f>
        <v>Tuáº§n 4</v>
      </c>
      <c r="D1019" t="s">
        <v>20</v>
      </c>
      <c r="E1019" t="s">
        <v>17</v>
      </c>
      <c r="F1019" s="5">
        <v>44400000</v>
      </c>
      <c r="G1019" s="5">
        <v>47400000</v>
      </c>
      <c r="H1019" s="5">
        <f>+(M1019*26000)/0.829426</f>
        <v>49045484.467571549</v>
      </c>
      <c r="I1019" s="5">
        <f>+G1019-H1019</f>
        <v>-1645484.4675715491</v>
      </c>
      <c r="J1019" s="5">
        <v>3000000</v>
      </c>
      <c r="K1019" s="5">
        <v>4440000</v>
      </c>
      <c r="L1019" s="5">
        <v>4740000</v>
      </c>
      <c r="M1019" s="7">
        <v>1564.6</v>
      </c>
      <c r="N1019" s="5">
        <v>44900000</v>
      </c>
      <c r="O1019" s="5">
        <v>47900000</v>
      </c>
      <c r="P1019" s="3">
        <v>0.97916666666666663</v>
      </c>
    </row>
    <row r="1020" spans="1:16" x14ac:dyDescent="0.25">
      <c r="A1020" t="s">
        <v>637</v>
      </c>
      <c r="B1020" s="2">
        <v>43854</v>
      </c>
      <c r="C1020" t="str">
        <f>+"Tuáº§n "&amp;WEEKNUM(B1020)</f>
        <v>Tuáº§n 4</v>
      </c>
      <c r="D1020" t="s">
        <v>21</v>
      </c>
      <c r="E1020" t="s">
        <v>17</v>
      </c>
      <c r="F1020" s="5">
        <v>44600000</v>
      </c>
      <c r="G1020" s="5">
        <v>47600000</v>
      </c>
      <c r="H1020" s="5">
        <f>+(M1020*26000)/0.829426</f>
        <v>49249239.835741825</v>
      </c>
      <c r="I1020" s="5">
        <f>+G1020-H1020</f>
        <v>-1649239.8357418254</v>
      </c>
      <c r="J1020" s="5">
        <v>3000000</v>
      </c>
      <c r="K1020" s="5">
        <v>4460000</v>
      </c>
      <c r="L1020" s="5">
        <v>4760000</v>
      </c>
      <c r="M1020" s="7">
        <v>1571.1</v>
      </c>
      <c r="N1020" s="5">
        <v>45100000</v>
      </c>
      <c r="O1020" s="5">
        <v>48100000</v>
      </c>
      <c r="P1020" s="3">
        <v>0.97916666666666663</v>
      </c>
    </row>
    <row r="1021" spans="1:16" x14ac:dyDescent="0.25">
      <c r="A1021" t="s">
        <v>638</v>
      </c>
      <c r="B1021" s="2">
        <v>43857</v>
      </c>
      <c r="C1021" t="str">
        <f>+"Tuáº§n "&amp;WEEKNUM(B1021)</f>
        <v>Tuáº§n 5</v>
      </c>
      <c r="D1021" t="s">
        <v>16</v>
      </c>
      <c r="E1021" t="s">
        <v>17</v>
      </c>
      <c r="F1021" s="5">
        <v>44700000</v>
      </c>
      <c r="G1021" s="5">
        <v>47700000</v>
      </c>
      <c r="H1021" s="5">
        <f>+(M1021*26000)/0.829426</f>
        <v>49427917.620137297</v>
      </c>
      <c r="I1021" s="5">
        <f>+G1021-H1021</f>
        <v>-1727917.6201372966</v>
      </c>
      <c r="J1021" s="5">
        <v>3000000</v>
      </c>
      <c r="K1021" s="5">
        <v>4470000</v>
      </c>
      <c r="L1021" s="5">
        <v>4770000</v>
      </c>
      <c r="M1021" s="7">
        <v>1576.8</v>
      </c>
      <c r="N1021" s="5">
        <v>45200000</v>
      </c>
      <c r="O1021" s="5">
        <v>48200000</v>
      </c>
      <c r="P1021" s="3">
        <v>0.97916666666666663</v>
      </c>
    </row>
    <row r="1022" spans="1:16" x14ac:dyDescent="0.25">
      <c r="A1022" t="s">
        <v>639</v>
      </c>
      <c r="B1022" s="2">
        <v>43858</v>
      </c>
      <c r="C1022" t="str">
        <f>+"Tuáº§n "&amp;WEEKNUM(B1022)</f>
        <v>Tuáº§n 5</v>
      </c>
      <c r="D1022" t="s">
        <v>18</v>
      </c>
      <c r="E1022" t="s">
        <v>17</v>
      </c>
      <c r="F1022" s="5">
        <v>44500000</v>
      </c>
      <c r="G1022" s="5">
        <v>47500000</v>
      </c>
      <c r="H1022" s="5">
        <f>+(M1022*26000)/0.829426</f>
        <v>49189680.574276671</v>
      </c>
      <c r="I1022" s="5">
        <f>+G1022-H1022</f>
        <v>-1689680.5742766708</v>
      </c>
      <c r="J1022" s="5">
        <v>3000000</v>
      </c>
      <c r="K1022" s="5">
        <v>4450000</v>
      </c>
      <c r="L1022" s="5">
        <v>4750000</v>
      </c>
      <c r="M1022" s="7">
        <v>1569.2</v>
      </c>
      <c r="N1022" s="5">
        <v>45000000</v>
      </c>
      <c r="O1022" s="5">
        <v>48000000</v>
      </c>
      <c r="P1022" s="3">
        <v>0.97916666666666663</v>
      </c>
    </row>
    <row r="1023" spans="1:16" x14ac:dyDescent="0.25">
      <c r="A1023" t="s">
        <v>640</v>
      </c>
      <c r="B1023" s="2">
        <v>43859</v>
      </c>
      <c r="C1023" t="str">
        <f>+"Tuáº§n "&amp;WEEKNUM(B1023)</f>
        <v>Tuáº§n 5</v>
      </c>
      <c r="D1023" t="s">
        <v>19</v>
      </c>
      <c r="E1023" t="s">
        <v>17</v>
      </c>
      <c r="F1023" s="5">
        <v>44500000</v>
      </c>
      <c r="G1023" s="5">
        <v>47500000</v>
      </c>
      <c r="H1023" s="5">
        <f>+(M1023*26000)/0.829426</f>
        <v>49208488.762107775</v>
      </c>
      <c r="I1023" s="5">
        <f>+G1023-H1023</f>
        <v>-1708488.7621077746</v>
      </c>
      <c r="J1023" s="5">
        <v>3000000</v>
      </c>
      <c r="K1023" s="5">
        <v>4450000</v>
      </c>
      <c r="L1023" s="5">
        <v>4750000</v>
      </c>
      <c r="M1023" s="7">
        <v>1569.8</v>
      </c>
      <c r="N1023" s="5">
        <v>45000000</v>
      </c>
      <c r="O1023" s="5">
        <v>48000000</v>
      </c>
      <c r="P1023" s="3">
        <v>0.97916666666666663</v>
      </c>
    </row>
    <row r="1024" spans="1:16" x14ac:dyDescent="0.25">
      <c r="A1024" t="s">
        <v>641</v>
      </c>
      <c r="B1024" s="2">
        <v>43860</v>
      </c>
      <c r="C1024" t="str">
        <f>+"Tuáº§n "&amp;WEEKNUM(B1024)</f>
        <v>Tuáº§n 5</v>
      </c>
      <c r="D1024" t="s">
        <v>20</v>
      </c>
      <c r="E1024" t="s">
        <v>17</v>
      </c>
      <c r="F1024" s="5">
        <v>44900000</v>
      </c>
      <c r="G1024" s="5">
        <v>47900000</v>
      </c>
      <c r="H1024" s="5">
        <f>+(M1024*26000)/0.829426</f>
        <v>49637942.384251274</v>
      </c>
      <c r="I1024" s="5">
        <f>+G1024-H1024</f>
        <v>-1737942.3842512742</v>
      </c>
      <c r="J1024" s="5">
        <v>3000000</v>
      </c>
      <c r="K1024" s="5">
        <v>4490000</v>
      </c>
      <c r="L1024" s="5">
        <v>4790000</v>
      </c>
      <c r="M1024" s="7">
        <v>1583.5</v>
      </c>
      <c r="N1024" s="5">
        <v>45400000</v>
      </c>
      <c r="O1024" s="5">
        <v>48400000</v>
      </c>
      <c r="P1024" s="3">
        <v>0.97916666666666663</v>
      </c>
    </row>
    <row r="1025" spans="1:16" x14ac:dyDescent="0.25">
      <c r="A1025" t="s">
        <v>642</v>
      </c>
      <c r="B1025" s="2">
        <v>43861</v>
      </c>
      <c r="C1025" t="str">
        <f>+"Tuáº§n "&amp;WEEKNUM(B1025)</f>
        <v>Tuáº§n 5</v>
      </c>
      <c r="D1025" t="s">
        <v>21</v>
      </c>
      <c r="E1025" t="s">
        <v>17</v>
      </c>
      <c r="F1025" s="5">
        <v>44900000</v>
      </c>
      <c r="G1025" s="5">
        <v>47900000</v>
      </c>
      <c r="H1025" s="5">
        <f>+(M1025*26000)/0.829426</f>
        <v>49619134.196420178</v>
      </c>
      <c r="I1025" s="5">
        <f>+G1025-H1025</f>
        <v>-1719134.1964201778</v>
      </c>
      <c r="J1025" s="5">
        <v>3000000</v>
      </c>
      <c r="K1025" s="5">
        <v>4490000</v>
      </c>
      <c r="L1025" s="5">
        <v>4790000</v>
      </c>
      <c r="M1025" s="7">
        <v>1582.9</v>
      </c>
      <c r="N1025" s="5">
        <v>45400000</v>
      </c>
      <c r="O1025" s="5">
        <v>48400000</v>
      </c>
      <c r="P1025" s="3">
        <v>0.97916666666666663</v>
      </c>
    </row>
    <row r="1026" spans="1:16" x14ac:dyDescent="0.25">
      <c r="A1026" s="2">
        <v>43892</v>
      </c>
      <c r="B1026" s="2">
        <v>43864</v>
      </c>
      <c r="C1026" t="str">
        <f>+"Tuáº§n "&amp;WEEKNUM(B1026)</f>
        <v>Tuáº§n 6</v>
      </c>
      <c r="D1026" t="s">
        <v>16</v>
      </c>
      <c r="E1026" t="s">
        <v>17</v>
      </c>
      <c r="F1026" s="5">
        <v>44700000</v>
      </c>
      <c r="G1026" s="5">
        <v>47700000</v>
      </c>
      <c r="H1026" s="5">
        <f>+(M1026*26000)/0.829426</f>
        <v>49440456.412024699</v>
      </c>
      <c r="I1026" s="5">
        <f>+G1026-H1026</f>
        <v>-1740456.4120246992</v>
      </c>
      <c r="J1026" s="5">
        <v>3000000</v>
      </c>
      <c r="K1026" s="5">
        <v>4470000</v>
      </c>
      <c r="L1026" s="5">
        <v>4770000</v>
      </c>
      <c r="M1026" s="7">
        <v>1577.2</v>
      </c>
      <c r="N1026" s="5">
        <v>45200000</v>
      </c>
      <c r="O1026" s="5">
        <v>48200000</v>
      </c>
      <c r="P1026" s="3">
        <v>0.97916666666666663</v>
      </c>
    </row>
    <row r="1027" spans="1:16" x14ac:dyDescent="0.25">
      <c r="A1027" s="2">
        <v>43923</v>
      </c>
      <c r="B1027" s="2">
        <v>43865</v>
      </c>
      <c r="C1027" t="str">
        <f>+"Tuáº§n "&amp;WEEKNUM(B1027)</f>
        <v>Tuáº§n 6</v>
      </c>
      <c r="D1027" t="s">
        <v>18</v>
      </c>
      <c r="E1027" t="s">
        <v>17</v>
      </c>
      <c r="F1027" s="5">
        <v>43900000</v>
      </c>
      <c r="G1027" s="5">
        <v>46900000</v>
      </c>
      <c r="H1027" s="5">
        <f>+(M1027*26000)/0.829426</f>
        <v>48600357.355568789</v>
      </c>
      <c r="I1027" s="5">
        <f>+G1027-H1027</f>
        <v>-1700357.3555687889</v>
      </c>
      <c r="J1027" s="5">
        <v>3000000</v>
      </c>
      <c r="K1027" s="5">
        <v>4390000</v>
      </c>
      <c r="L1027" s="5">
        <v>4690000</v>
      </c>
      <c r="M1027" s="7">
        <v>1550.4</v>
      </c>
      <c r="N1027" s="5">
        <v>44400000</v>
      </c>
      <c r="O1027" s="5">
        <v>47400000</v>
      </c>
      <c r="P1027" s="3">
        <v>0.97916666666666663</v>
      </c>
    </row>
    <row r="1028" spans="1:16" x14ac:dyDescent="0.25">
      <c r="A1028" s="2">
        <v>43953</v>
      </c>
      <c r="B1028" s="2">
        <v>43866</v>
      </c>
      <c r="C1028" t="str">
        <f>+"Tuáº§n "&amp;WEEKNUM(B1028)</f>
        <v>Tuáº§n 6</v>
      </c>
      <c r="D1028" t="s">
        <v>19</v>
      </c>
      <c r="E1028" t="s">
        <v>17</v>
      </c>
      <c r="F1028" s="5">
        <v>44200000</v>
      </c>
      <c r="G1028" s="5">
        <v>47200000</v>
      </c>
      <c r="H1028" s="5">
        <f>+(M1028*26000)/0.829426</f>
        <v>48832325.005485721</v>
      </c>
      <c r="I1028" s="5">
        <f>+G1028-H1028</f>
        <v>-1632325.0054857209</v>
      </c>
      <c r="J1028" s="5">
        <v>3000000</v>
      </c>
      <c r="K1028" s="5">
        <v>4420000</v>
      </c>
      <c r="L1028" s="5">
        <v>4720000</v>
      </c>
      <c r="M1028" s="7">
        <v>1557.8</v>
      </c>
      <c r="N1028" s="5">
        <v>44700000</v>
      </c>
      <c r="O1028" s="5">
        <v>47700000</v>
      </c>
      <c r="P1028" s="3">
        <v>0.97916666666666663</v>
      </c>
    </row>
    <row r="1029" spans="1:16" x14ac:dyDescent="0.25">
      <c r="A1029" s="2">
        <v>43984</v>
      </c>
      <c r="B1029" s="2">
        <v>43867</v>
      </c>
      <c r="C1029" t="str">
        <f>+"Tuáº§n "&amp;WEEKNUM(B1029)</f>
        <v>Tuáº§n 6</v>
      </c>
      <c r="D1029" t="s">
        <v>20</v>
      </c>
      <c r="E1029" t="s">
        <v>17</v>
      </c>
      <c r="F1029" s="5">
        <v>44400000</v>
      </c>
      <c r="G1029" s="5">
        <v>47400000</v>
      </c>
      <c r="H1029" s="5">
        <f>+(M1029*26000)/0.829426</f>
        <v>49061157.957430802</v>
      </c>
      <c r="I1029" s="5">
        <f>+G1029-H1029</f>
        <v>-1661157.9574308023</v>
      </c>
      <c r="J1029" s="5">
        <v>3000000</v>
      </c>
      <c r="K1029" s="5">
        <v>4440000</v>
      </c>
      <c r="L1029" s="5">
        <v>4740000</v>
      </c>
      <c r="M1029" s="7">
        <v>1565.1</v>
      </c>
      <c r="N1029" s="5">
        <v>44900000</v>
      </c>
      <c r="O1029" s="5">
        <v>47900000</v>
      </c>
      <c r="P1029" s="3">
        <v>0.97916666666666663</v>
      </c>
    </row>
    <row r="1030" spans="1:16" x14ac:dyDescent="0.25">
      <c r="A1030" s="2">
        <v>44014</v>
      </c>
      <c r="B1030" s="2">
        <v>43868</v>
      </c>
      <c r="C1030" t="str">
        <f>+"Tuáº§n "&amp;WEEKNUM(B1030)</f>
        <v>Tuáº§n 6</v>
      </c>
      <c r="D1030" t="s">
        <v>21</v>
      </c>
      <c r="E1030" t="s">
        <v>17</v>
      </c>
      <c r="F1030" s="5">
        <v>44500000</v>
      </c>
      <c r="G1030" s="5">
        <v>47500000</v>
      </c>
      <c r="H1030" s="5">
        <f>+(M1030*26000)/0.829426</f>
        <v>49170872.386445567</v>
      </c>
      <c r="I1030" s="5">
        <f>+G1030-H1030</f>
        <v>-1670872.386445567</v>
      </c>
      <c r="J1030" s="5">
        <v>3000000</v>
      </c>
      <c r="K1030" s="5">
        <v>4450000</v>
      </c>
      <c r="L1030" s="5">
        <v>4750000</v>
      </c>
      <c r="M1030" s="7">
        <v>1568.6</v>
      </c>
      <c r="N1030" s="5">
        <v>45000000</v>
      </c>
      <c r="O1030" s="5">
        <v>48000000</v>
      </c>
      <c r="P1030" s="3">
        <v>0.97916666666666663</v>
      </c>
    </row>
    <row r="1031" spans="1:16" x14ac:dyDescent="0.25">
      <c r="A1031" s="2">
        <v>44106</v>
      </c>
      <c r="B1031" s="2">
        <v>43871</v>
      </c>
      <c r="C1031" t="str">
        <f>+"Tuáº§n "&amp;WEEKNUM(B1031)</f>
        <v>Tuáº§n 7</v>
      </c>
      <c r="D1031" t="s">
        <v>16</v>
      </c>
      <c r="E1031" t="s">
        <v>17</v>
      </c>
      <c r="F1031" s="5">
        <v>44700000</v>
      </c>
      <c r="G1031" s="5">
        <v>47700000</v>
      </c>
      <c r="H1031" s="5">
        <f>+(M1031*26000)/0.829426</f>
        <v>49362088.962728441</v>
      </c>
      <c r="I1031" s="5">
        <f>+G1031-H1031</f>
        <v>-1662088.9627284408</v>
      </c>
      <c r="J1031" s="5">
        <v>3000000</v>
      </c>
      <c r="K1031" s="5">
        <v>4470000</v>
      </c>
      <c r="L1031" s="5">
        <v>4770000</v>
      </c>
      <c r="M1031" s="7">
        <v>1574.7</v>
      </c>
      <c r="N1031" s="5">
        <v>45200000</v>
      </c>
      <c r="O1031" s="5">
        <v>48200000</v>
      </c>
      <c r="P1031" s="3">
        <v>0.97916666666666663</v>
      </c>
    </row>
    <row r="1032" spans="1:16" x14ac:dyDescent="0.25">
      <c r="A1032" s="2">
        <v>44137</v>
      </c>
      <c r="B1032" s="2">
        <v>43872</v>
      </c>
      <c r="C1032" t="str">
        <f>+"Tuáº§n "&amp;WEEKNUM(B1032)</f>
        <v>Tuáº§n 7</v>
      </c>
      <c r="D1032" t="s">
        <v>18</v>
      </c>
      <c r="E1032" t="s">
        <v>17</v>
      </c>
      <c r="F1032" s="5">
        <v>44400000</v>
      </c>
      <c r="G1032" s="5">
        <v>47400000</v>
      </c>
      <c r="H1032" s="5">
        <f>+(M1032*26000)/0.829426</f>
        <v>49076831.447290055</v>
      </c>
      <c r="I1032" s="5">
        <f>+G1032-H1032</f>
        <v>-1676831.4472900555</v>
      </c>
      <c r="J1032" s="5">
        <v>3000000</v>
      </c>
      <c r="K1032" s="5">
        <v>4440000</v>
      </c>
      <c r="L1032" s="5">
        <v>4740000</v>
      </c>
      <c r="M1032" s="7">
        <v>1565.6</v>
      </c>
      <c r="N1032" s="5">
        <v>44900000</v>
      </c>
      <c r="O1032" s="5">
        <v>47900000</v>
      </c>
      <c r="P1032" s="3">
        <v>0.97916666666666663</v>
      </c>
    </row>
    <row r="1033" spans="1:16" x14ac:dyDescent="0.25">
      <c r="A1033" s="2">
        <v>44167</v>
      </c>
      <c r="B1033" s="2">
        <v>43873</v>
      </c>
      <c r="C1033" t="str">
        <f>+"Tuáº§n "&amp;WEEKNUM(B1033)</f>
        <v>Tuáº§n 7</v>
      </c>
      <c r="D1033" t="s">
        <v>19</v>
      </c>
      <c r="E1033" t="s">
        <v>17</v>
      </c>
      <c r="F1033" s="5">
        <v>44500000</v>
      </c>
      <c r="G1033" s="5">
        <v>47500000</v>
      </c>
      <c r="H1033" s="5">
        <f>+(M1033*26000)/0.829426</f>
        <v>49133256.010783359</v>
      </c>
      <c r="I1033" s="5">
        <f>+G1033-H1033</f>
        <v>-1633256.0107833594</v>
      </c>
      <c r="J1033" s="5">
        <v>3000000</v>
      </c>
      <c r="K1033" s="5">
        <v>4450000</v>
      </c>
      <c r="L1033" s="5">
        <v>4750000</v>
      </c>
      <c r="M1033" s="7">
        <v>1567.4</v>
      </c>
      <c r="N1033" s="5">
        <v>45000000</v>
      </c>
      <c r="O1033" s="5">
        <v>48000000</v>
      </c>
      <c r="P1033" s="3">
        <v>0.97916666666666663</v>
      </c>
    </row>
    <row r="1034" spans="1:16" x14ac:dyDescent="0.25">
      <c r="A1034" t="s">
        <v>643</v>
      </c>
      <c r="B1034" s="2">
        <v>43874</v>
      </c>
      <c r="C1034" t="str">
        <f>+"Tuáº§n "&amp;WEEKNUM(B1034)</f>
        <v>Tuáº§n 7</v>
      </c>
      <c r="D1034" t="s">
        <v>20</v>
      </c>
      <c r="E1034" t="s">
        <v>17</v>
      </c>
      <c r="F1034" s="5">
        <v>44700000</v>
      </c>
      <c r="G1034" s="5">
        <v>47700000</v>
      </c>
      <c r="H1034" s="5">
        <f>+(M1034*26000)/0.829426</f>
        <v>49374627.754615843</v>
      </c>
      <c r="I1034" s="5">
        <f>+G1034-H1034</f>
        <v>-1674627.7546158433</v>
      </c>
      <c r="J1034" s="5">
        <v>3000000</v>
      </c>
      <c r="K1034" s="5">
        <v>4470000</v>
      </c>
      <c r="L1034" s="5">
        <v>4770000</v>
      </c>
      <c r="M1034" s="7">
        <v>1575.1</v>
      </c>
      <c r="N1034" s="5">
        <v>45200000</v>
      </c>
      <c r="O1034" s="5">
        <v>48200000</v>
      </c>
      <c r="P1034" s="3">
        <v>0.97916666666666663</v>
      </c>
    </row>
    <row r="1035" spans="1:16" x14ac:dyDescent="0.25">
      <c r="A1035" t="s">
        <v>644</v>
      </c>
      <c r="B1035" s="2">
        <v>43875</v>
      </c>
      <c r="C1035" t="str">
        <f>+"Tuáº§n "&amp;WEEKNUM(B1035)</f>
        <v>Tuáº§n 7</v>
      </c>
      <c r="D1035" t="s">
        <v>21</v>
      </c>
      <c r="E1035" t="s">
        <v>17</v>
      </c>
      <c r="F1035" s="5">
        <v>44900000</v>
      </c>
      <c r="G1035" s="5">
        <v>47900000</v>
      </c>
      <c r="H1035" s="5">
        <f>+(M1035*26000)/0.829426</f>
        <v>49612864.800476477</v>
      </c>
      <c r="I1035" s="5">
        <f>+G1035-H1035</f>
        <v>-1712864.8004764766</v>
      </c>
      <c r="J1035" s="5">
        <v>3000000</v>
      </c>
      <c r="K1035" s="5">
        <v>4490000</v>
      </c>
      <c r="L1035" s="5">
        <v>4790000</v>
      </c>
      <c r="M1035" s="7">
        <v>1582.7</v>
      </c>
      <c r="N1035" s="5">
        <v>45400000</v>
      </c>
      <c r="O1035" s="5">
        <v>48400000</v>
      </c>
      <c r="P1035" s="3">
        <v>0.97916666666666663</v>
      </c>
    </row>
    <row r="1036" spans="1:16" x14ac:dyDescent="0.25">
      <c r="A1036" t="s">
        <v>645</v>
      </c>
      <c r="B1036" s="2">
        <v>43879</v>
      </c>
      <c r="C1036" t="str">
        <f>+"Tuáº§n "&amp;WEEKNUM(B1036)</f>
        <v>Tuáº§n 8</v>
      </c>
      <c r="D1036" t="s">
        <v>18</v>
      </c>
      <c r="E1036" t="s">
        <v>17</v>
      </c>
      <c r="F1036" s="5">
        <v>45400000</v>
      </c>
      <c r="G1036" s="5">
        <v>48400000</v>
      </c>
      <c r="H1036" s="5">
        <f>+(M1036*26000)/0.829426</f>
        <v>50155167.549606599</v>
      </c>
      <c r="I1036" s="5">
        <f>+G1036-H1036</f>
        <v>-1755167.5496065989</v>
      </c>
      <c r="J1036" s="5">
        <v>3000000</v>
      </c>
      <c r="K1036" s="5">
        <v>4540000</v>
      </c>
      <c r="L1036" s="5">
        <v>4840000</v>
      </c>
      <c r="M1036" s="7">
        <v>1600</v>
      </c>
      <c r="N1036" s="5">
        <v>45900000</v>
      </c>
      <c r="O1036" s="5">
        <v>48900000</v>
      </c>
      <c r="P1036" s="3">
        <v>0.97916666666666663</v>
      </c>
    </row>
    <row r="1037" spans="1:16" x14ac:dyDescent="0.25">
      <c r="A1037" t="s">
        <v>646</v>
      </c>
      <c r="B1037" s="2">
        <v>43880</v>
      </c>
      <c r="C1037" t="str">
        <f>+"Tuáº§n "&amp;WEEKNUM(B1037)</f>
        <v>Tuáº§n 8</v>
      </c>
      <c r="D1037" t="s">
        <v>19</v>
      </c>
      <c r="E1037" t="s">
        <v>17</v>
      </c>
      <c r="F1037" s="5">
        <v>45700000</v>
      </c>
      <c r="G1037" s="5">
        <v>48700000</v>
      </c>
      <c r="H1037" s="5">
        <f>+(M1037*26000)/0.829426</f>
        <v>50390269.897495374</v>
      </c>
      <c r="I1037" s="5">
        <f>+G1037-H1037</f>
        <v>-1690269.8974953741</v>
      </c>
      <c r="J1037" s="5">
        <v>3000000</v>
      </c>
      <c r="K1037" s="5">
        <v>4570000</v>
      </c>
      <c r="L1037" s="5">
        <v>4870000</v>
      </c>
      <c r="M1037" s="7">
        <v>1607.5</v>
      </c>
      <c r="N1037" s="5">
        <v>46200000</v>
      </c>
      <c r="O1037" s="5">
        <v>49200000</v>
      </c>
      <c r="P1037" s="3">
        <v>0.97916666666666663</v>
      </c>
    </row>
    <row r="1038" spans="1:16" x14ac:dyDescent="0.25">
      <c r="A1038" t="s">
        <v>647</v>
      </c>
      <c r="B1038" s="2">
        <v>43881</v>
      </c>
      <c r="C1038" t="str">
        <f>+"Tuáº§n "&amp;WEEKNUM(B1038)</f>
        <v>Tuáº§n 8</v>
      </c>
      <c r="D1038" t="s">
        <v>20</v>
      </c>
      <c r="E1038" t="s">
        <v>17</v>
      </c>
      <c r="F1038" s="5">
        <v>45900000</v>
      </c>
      <c r="G1038" s="5">
        <v>48900000</v>
      </c>
      <c r="H1038" s="5">
        <f>+(M1038*26000)/0.829426</f>
        <v>50675527.412933767</v>
      </c>
      <c r="I1038" s="5">
        <f>+G1038-H1038</f>
        <v>-1775527.4129337668</v>
      </c>
      <c r="J1038" s="5">
        <v>3000000</v>
      </c>
      <c r="K1038" s="5">
        <v>4590000</v>
      </c>
      <c r="L1038" s="5">
        <v>4890000</v>
      </c>
      <c r="M1038" s="7">
        <v>1616.6</v>
      </c>
      <c r="N1038" s="5">
        <v>46400000</v>
      </c>
      <c r="O1038" s="5">
        <v>49400000</v>
      </c>
      <c r="P1038" s="3">
        <v>0.97916666666666663</v>
      </c>
    </row>
    <row r="1039" spans="1:16" x14ac:dyDescent="0.25">
      <c r="A1039" t="s">
        <v>648</v>
      </c>
      <c r="B1039" s="2">
        <v>43882</v>
      </c>
      <c r="C1039" t="str">
        <f>+"Tuáº§n "&amp;WEEKNUM(B1039)</f>
        <v>Tuáº§n 8</v>
      </c>
      <c r="D1039" t="s">
        <v>21</v>
      </c>
      <c r="E1039" t="s">
        <v>17</v>
      </c>
      <c r="F1039" s="5">
        <v>46800000</v>
      </c>
      <c r="G1039" s="5">
        <v>49800000</v>
      </c>
      <c r="H1039" s="5">
        <f>+(M1039*26000)/0.829426</f>
        <v>51553242.845051877</v>
      </c>
      <c r="I1039" s="5">
        <f>+G1039-H1039</f>
        <v>-1753242.8450518772</v>
      </c>
      <c r="J1039" s="5">
        <v>3000000</v>
      </c>
      <c r="K1039" s="5">
        <v>4680000</v>
      </c>
      <c r="L1039" s="5">
        <v>4980000</v>
      </c>
      <c r="M1039" s="7">
        <v>1644.6</v>
      </c>
      <c r="N1039" s="5">
        <v>47300000</v>
      </c>
      <c r="O1039" s="5">
        <v>50300000</v>
      </c>
      <c r="P1039" s="3">
        <v>0.97916666666666663</v>
      </c>
    </row>
    <row r="1040" spans="1:16" x14ac:dyDescent="0.25">
      <c r="A1040" t="s">
        <v>649</v>
      </c>
      <c r="B1040" s="2">
        <v>43885</v>
      </c>
      <c r="C1040" t="str">
        <f>+"Tuáº§n "&amp;WEEKNUM(B1040)</f>
        <v>Tuáº§n 9</v>
      </c>
      <c r="D1040" t="s">
        <v>16</v>
      </c>
      <c r="E1040" t="s">
        <v>17</v>
      </c>
      <c r="F1040" s="5">
        <v>47600000</v>
      </c>
      <c r="G1040" s="5">
        <v>50600000</v>
      </c>
      <c r="H1040" s="5">
        <f>+(M1040*26000)/0.829426</f>
        <v>52424688.881226294</v>
      </c>
      <c r="I1040" s="5">
        <f>+G1040-H1040</f>
        <v>-1824688.8812262937</v>
      </c>
      <c r="J1040" s="5">
        <v>3000000</v>
      </c>
      <c r="K1040" s="5">
        <v>4760000</v>
      </c>
      <c r="L1040" s="5">
        <v>5060000</v>
      </c>
      <c r="M1040" s="7">
        <v>1672.4</v>
      </c>
      <c r="N1040" s="5">
        <v>48100000</v>
      </c>
      <c r="O1040" s="5">
        <v>51100000</v>
      </c>
      <c r="P1040" s="3">
        <v>0.97916666666666663</v>
      </c>
    </row>
    <row r="1041" spans="1:16" x14ac:dyDescent="0.25">
      <c r="A1041" t="s">
        <v>650</v>
      </c>
      <c r="B1041" s="2">
        <v>43886</v>
      </c>
      <c r="C1041" t="str">
        <f>+"Tuáº§n "&amp;WEEKNUM(B1041)</f>
        <v>Tuáº§n 9</v>
      </c>
      <c r="D1041" t="s">
        <v>18</v>
      </c>
      <c r="E1041" t="s">
        <v>17</v>
      </c>
      <c r="F1041" s="5">
        <v>46900000</v>
      </c>
      <c r="G1041" s="5">
        <v>49900000</v>
      </c>
      <c r="H1041" s="5">
        <f>+(M1041*26000)/0.829426</f>
        <v>51625340.898404442</v>
      </c>
      <c r="I1041" s="5">
        <f>+G1041-H1041</f>
        <v>-1725340.8984044418</v>
      </c>
      <c r="J1041" s="5">
        <v>3000000</v>
      </c>
      <c r="K1041" s="5">
        <v>4690000</v>
      </c>
      <c r="L1041" s="5">
        <v>4990000</v>
      </c>
      <c r="M1041" s="7">
        <v>1646.9</v>
      </c>
      <c r="N1041" s="5">
        <v>47400000</v>
      </c>
      <c r="O1041" s="5">
        <v>50400000</v>
      </c>
      <c r="P1041" s="3">
        <v>0.97916666666666663</v>
      </c>
    </row>
    <row r="1042" spans="1:16" x14ac:dyDescent="0.25">
      <c r="A1042" t="s">
        <v>651</v>
      </c>
      <c r="B1042" s="2">
        <v>43887</v>
      </c>
      <c r="C1042" t="str">
        <f>+"Tuáº§n "&amp;WEEKNUM(B1042)</f>
        <v>Tuáº§n 9</v>
      </c>
      <c r="D1042" t="s">
        <v>19</v>
      </c>
      <c r="E1042" t="s">
        <v>17</v>
      </c>
      <c r="F1042" s="5">
        <v>46600000</v>
      </c>
      <c r="G1042" s="5">
        <v>49600000</v>
      </c>
      <c r="H1042" s="5">
        <f>+(M1042*26000)/0.829426</f>
        <v>51409046.738346763</v>
      </c>
      <c r="I1042" s="5">
        <f>+G1042-H1042</f>
        <v>-1809046.738346763</v>
      </c>
      <c r="J1042" s="5">
        <v>3000000</v>
      </c>
      <c r="K1042" s="5">
        <v>4660000</v>
      </c>
      <c r="L1042" s="5">
        <v>4960000</v>
      </c>
      <c r="M1042" s="7">
        <v>1640</v>
      </c>
      <c r="N1042" s="5">
        <v>47100000</v>
      </c>
      <c r="O1042" s="5">
        <v>50100000</v>
      </c>
      <c r="P1042" s="3">
        <v>0.97916666666666663</v>
      </c>
    </row>
    <row r="1043" spans="1:16" x14ac:dyDescent="0.25">
      <c r="A1043" t="s">
        <v>652</v>
      </c>
      <c r="B1043" s="2">
        <v>43888</v>
      </c>
      <c r="C1043" t="str">
        <f>+"Tuáº§n "&amp;WEEKNUM(B1043)</f>
        <v>Tuáº§n 9</v>
      </c>
      <c r="D1043" t="s">
        <v>20</v>
      </c>
      <c r="E1043" t="s">
        <v>17</v>
      </c>
      <c r="F1043" s="5">
        <v>46600000</v>
      </c>
      <c r="G1043" s="5">
        <v>49600000</v>
      </c>
      <c r="H1043" s="5">
        <f>+(M1043*26000)/0.829426</f>
        <v>51409046.738346763</v>
      </c>
      <c r="I1043" s="5">
        <f>+G1043-H1043</f>
        <v>-1809046.738346763</v>
      </c>
      <c r="J1043" s="5">
        <v>3000000</v>
      </c>
      <c r="K1043" s="5">
        <v>4660000</v>
      </c>
      <c r="L1043" s="5">
        <v>4960000</v>
      </c>
      <c r="M1043" s="7">
        <v>1640</v>
      </c>
      <c r="N1043" s="5">
        <v>47100000</v>
      </c>
      <c r="O1043" s="5">
        <v>50100000</v>
      </c>
      <c r="P1043" s="3">
        <v>0.97916666666666663</v>
      </c>
    </row>
    <row r="1044" spans="1:16" x14ac:dyDescent="0.25">
      <c r="A1044" t="s">
        <v>653</v>
      </c>
      <c r="B1044" s="2">
        <v>43889</v>
      </c>
      <c r="C1044" t="str">
        <f>+"Tuáº§n "&amp;WEEKNUM(B1044)</f>
        <v>Tuáº§n 9</v>
      </c>
      <c r="D1044" t="s">
        <v>21</v>
      </c>
      <c r="E1044" t="s">
        <v>17</v>
      </c>
      <c r="F1044" s="5">
        <v>44400000</v>
      </c>
      <c r="G1044" s="5">
        <v>47400000</v>
      </c>
      <c r="H1044" s="5">
        <f>+(M1044*26000)/0.829426</f>
        <v>49029810.977712296</v>
      </c>
      <c r="I1044" s="5">
        <f>+G1044-H1044</f>
        <v>-1629810.9777122959</v>
      </c>
      <c r="J1044" s="5">
        <v>3000000</v>
      </c>
      <c r="K1044" s="5">
        <v>4440000</v>
      </c>
      <c r="L1044" s="5">
        <v>4740000</v>
      </c>
      <c r="M1044" s="7">
        <v>1564.1</v>
      </c>
      <c r="N1044" s="5">
        <v>44900000</v>
      </c>
      <c r="O1044" s="5">
        <v>47900000</v>
      </c>
      <c r="P1044" s="3">
        <v>0.97916666666666663</v>
      </c>
    </row>
    <row r="1045" spans="1:16" x14ac:dyDescent="0.25">
      <c r="A1045" s="2">
        <v>43864</v>
      </c>
      <c r="B1045" s="2">
        <v>43892</v>
      </c>
      <c r="C1045" t="str">
        <f>+"Tuáº§n "&amp;WEEKNUM(B1045)</f>
        <v>Tuáº§n 10</v>
      </c>
      <c r="D1045" t="s">
        <v>16</v>
      </c>
      <c r="E1045" t="s">
        <v>17</v>
      </c>
      <c r="F1045" s="5">
        <v>45200000</v>
      </c>
      <c r="G1045" s="5">
        <v>48200000</v>
      </c>
      <c r="H1045" s="5">
        <f>+(M1045*26000)/0.829426</f>
        <v>49913795.805774115</v>
      </c>
      <c r="I1045" s="5">
        <f>+G1045-H1045</f>
        <v>-1713795.805774115</v>
      </c>
      <c r="J1045" s="5">
        <v>3000000</v>
      </c>
      <c r="K1045" s="5">
        <v>4520000</v>
      </c>
      <c r="L1045" s="5">
        <v>4820000</v>
      </c>
      <c r="M1045" s="7">
        <v>1592.3</v>
      </c>
      <c r="N1045" s="5">
        <v>45700000</v>
      </c>
      <c r="O1045" s="5">
        <v>48700000</v>
      </c>
      <c r="P1045" s="3">
        <v>0.97916666666666663</v>
      </c>
    </row>
    <row r="1046" spans="1:16" x14ac:dyDescent="0.25">
      <c r="A1046" s="2">
        <v>43893</v>
      </c>
      <c r="B1046" s="2">
        <v>43893</v>
      </c>
      <c r="C1046" t="str">
        <f>+"Tuáº§n "&amp;WEEKNUM(B1046)</f>
        <v>Tuáº§n 10</v>
      </c>
      <c r="D1046" t="s">
        <v>18</v>
      </c>
      <c r="E1046" t="s">
        <v>17</v>
      </c>
      <c r="F1046" s="5">
        <v>46700000</v>
      </c>
      <c r="G1046" s="5">
        <v>49700000</v>
      </c>
      <c r="H1046" s="5">
        <f>+(M1046*26000)/0.829426</f>
        <v>51474875.395755619</v>
      </c>
      <c r="I1046" s="5">
        <f>+G1046-H1046</f>
        <v>-1774875.3957556188</v>
      </c>
      <c r="J1046" s="5">
        <v>3000000</v>
      </c>
      <c r="K1046" s="5">
        <v>4670000</v>
      </c>
      <c r="L1046" s="5">
        <v>4970000</v>
      </c>
      <c r="M1046" s="7">
        <v>1642.1</v>
      </c>
      <c r="N1046" s="5">
        <v>47200000</v>
      </c>
      <c r="O1046" s="5">
        <v>50200000</v>
      </c>
      <c r="P1046" s="3">
        <v>0.97916666666666663</v>
      </c>
    </row>
    <row r="1047" spans="1:16" x14ac:dyDescent="0.25">
      <c r="A1047" s="2">
        <v>43924</v>
      </c>
      <c r="B1047" s="2">
        <v>43894</v>
      </c>
      <c r="C1047" t="str">
        <f>+"Tuáº§n "&amp;WEEKNUM(B1047)</f>
        <v>Tuáº§n 10</v>
      </c>
      <c r="D1047" t="s">
        <v>19</v>
      </c>
      <c r="E1047" t="s">
        <v>17</v>
      </c>
      <c r="F1047" s="5">
        <v>46700000</v>
      </c>
      <c r="G1047" s="5">
        <v>49700000</v>
      </c>
      <c r="H1047" s="5">
        <f>+(M1047*26000)/0.829426</f>
        <v>51443528.416037112</v>
      </c>
      <c r="I1047" s="5">
        <f>+G1047-H1047</f>
        <v>-1743528.4160371125</v>
      </c>
      <c r="J1047" s="5">
        <v>3000000</v>
      </c>
      <c r="K1047" s="5">
        <v>4670000</v>
      </c>
      <c r="L1047" s="5">
        <v>4970000</v>
      </c>
      <c r="M1047" s="7">
        <v>1641.1</v>
      </c>
      <c r="N1047" s="5">
        <v>47200000</v>
      </c>
      <c r="O1047" s="5">
        <v>50200000</v>
      </c>
      <c r="P1047" s="3">
        <v>0.97916666666666663</v>
      </c>
    </row>
    <row r="1048" spans="1:16" x14ac:dyDescent="0.25">
      <c r="A1048" s="2">
        <v>43954</v>
      </c>
      <c r="B1048" s="2">
        <v>43895</v>
      </c>
      <c r="C1048" t="str">
        <f>+"Tuáº§n "&amp;WEEKNUM(B1048)</f>
        <v>Tuáº§n 10</v>
      </c>
      <c r="D1048" t="s">
        <v>20</v>
      </c>
      <c r="E1048" t="s">
        <v>17</v>
      </c>
      <c r="F1048" s="5">
        <v>47400000</v>
      </c>
      <c r="G1048" s="5">
        <v>50400000</v>
      </c>
      <c r="H1048" s="5">
        <f>+(M1048*26000)/0.829426</f>
        <v>52236607.002915271</v>
      </c>
      <c r="I1048" s="5">
        <f>+G1048-H1048</f>
        <v>-1836607.0029152706</v>
      </c>
      <c r="J1048" s="5">
        <v>3000000</v>
      </c>
      <c r="K1048" s="5">
        <v>4740000</v>
      </c>
      <c r="L1048" s="5">
        <v>5040000</v>
      </c>
      <c r="M1048" s="7">
        <v>1666.4</v>
      </c>
      <c r="N1048" s="5">
        <v>47900000</v>
      </c>
      <c r="O1048" s="5">
        <v>50900000</v>
      </c>
      <c r="P1048" s="3">
        <v>0.97916666666666663</v>
      </c>
    </row>
    <row r="1049" spans="1:16" x14ac:dyDescent="0.25">
      <c r="A1049" s="2">
        <v>43985</v>
      </c>
      <c r="B1049" s="2">
        <v>43896</v>
      </c>
      <c r="C1049" t="str">
        <f>+"Tuáº§n "&amp;WEEKNUM(B1049)</f>
        <v>Tuáº§n 10</v>
      </c>
      <c r="D1049" t="s">
        <v>21</v>
      </c>
      <c r="E1049" t="s">
        <v>17</v>
      </c>
      <c r="F1049" s="5">
        <v>47600000</v>
      </c>
      <c r="G1049" s="5">
        <v>50600000</v>
      </c>
      <c r="H1049" s="5">
        <f>+(M1049*26000)/0.829426</f>
        <v>52374533.713676691</v>
      </c>
      <c r="I1049" s="5">
        <f>+G1049-H1049</f>
        <v>-1774533.7136766911</v>
      </c>
      <c r="J1049" s="5">
        <v>3000000</v>
      </c>
      <c r="K1049" s="5">
        <v>4760000</v>
      </c>
      <c r="L1049" s="5">
        <v>5060000</v>
      </c>
      <c r="M1049" s="7">
        <v>1670.8</v>
      </c>
      <c r="N1049" s="5">
        <v>48100000</v>
      </c>
      <c r="O1049" s="5">
        <v>51100000</v>
      </c>
      <c r="P1049" s="3">
        <v>0.97916666666666663</v>
      </c>
    </row>
    <row r="1050" spans="1:16" x14ac:dyDescent="0.25">
      <c r="A1050" s="2">
        <v>44077</v>
      </c>
      <c r="B1050" s="2">
        <v>43899</v>
      </c>
      <c r="C1050" t="str">
        <f>+"Tuáº§n "&amp;WEEKNUM(B1050)</f>
        <v>Tuáº§n 11</v>
      </c>
      <c r="D1050" t="s">
        <v>16</v>
      </c>
      <c r="E1050" t="s">
        <v>17</v>
      </c>
      <c r="F1050" s="5">
        <v>47700000</v>
      </c>
      <c r="G1050" s="5">
        <v>50700000</v>
      </c>
      <c r="H1050" s="5">
        <f>+(M1050*26000)/0.829426</f>
        <v>52490517.53863515</v>
      </c>
      <c r="I1050" s="5">
        <f>+G1050-H1050</f>
        <v>-1790517.5386351496</v>
      </c>
      <c r="J1050" s="5">
        <v>3000000</v>
      </c>
      <c r="K1050" s="5">
        <v>4770000</v>
      </c>
      <c r="L1050" s="5">
        <v>5070000</v>
      </c>
      <c r="M1050" s="7">
        <v>1674.5</v>
      </c>
      <c r="N1050" s="5">
        <v>48200000</v>
      </c>
      <c r="O1050" s="5">
        <v>51200000</v>
      </c>
      <c r="P1050" s="3">
        <v>0.97916666666666663</v>
      </c>
    </row>
    <row r="1051" spans="1:16" x14ac:dyDescent="0.25">
      <c r="A1051" s="2">
        <v>44107</v>
      </c>
      <c r="B1051" s="2">
        <v>43900</v>
      </c>
      <c r="C1051" t="str">
        <f>+"Tuáº§n "&amp;WEEKNUM(B1051)</f>
        <v>Tuáº§n 11</v>
      </c>
      <c r="D1051" t="s">
        <v>18</v>
      </c>
      <c r="E1051" t="s">
        <v>17</v>
      </c>
      <c r="F1051" s="5">
        <v>47200000</v>
      </c>
      <c r="G1051" s="5">
        <v>50200000</v>
      </c>
      <c r="H1051" s="5">
        <f>+(M1051*26000)/0.829426</f>
        <v>52007774.050970189</v>
      </c>
      <c r="I1051" s="5">
        <f>+G1051-H1051</f>
        <v>-1807774.0509701893</v>
      </c>
      <c r="J1051" s="5">
        <v>3000000</v>
      </c>
      <c r="K1051" s="5">
        <v>4720000</v>
      </c>
      <c r="L1051" s="5">
        <v>5020000</v>
      </c>
      <c r="M1051" s="7">
        <v>1659.1</v>
      </c>
      <c r="N1051" s="5">
        <v>47700000</v>
      </c>
      <c r="O1051" s="5">
        <v>50700000</v>
      </c>
      <c r="P1051" s="3">
        <v>0.97916666666666663</v>
      </c>
    </row>
    <row r="1052" spans="1:16" x14ac:dyDescent="0.25">
      <c r="A1052" s="2">
        <v>44138</v>
      </c>
      <c r="B1052" s="2">
        <v>43901</v>
      </c>
      <c r="C1052" t="str">
        <f>+"Tuáº§n "&amp;WEEKNUM(B1052)</f>
        <v>Tuáº§n 11</v>
      </c>
      <c r="D1052" t="s">
        <v>19</v>
      </c>
      <c r="E1052" t="s">
        <v>17</v>
      </c>
      <c r="F1052" s="5">
        <v>46700000</v>
      </c>
      <c r="G1052" s="5">
        <v>49700000</v>
      </c>
      <c r="H1052" s="5">
        <f>+(M1052*26000)/0.829426</f>
        <v>51452932.509952664</v>
      </c>
      <c r="I1052" s="5">
        <f>+G1052-H1052</f>
        <v>-1752932.5099526644</v>
      </c>
      <c r="J1052" s="5">
        <v>3000000</v>
      </c>
      <c r="K1052" s="5">
        <v>4670000</v>
      </c>
      <c r="L1052" s="5">
        <v>4970000</v>
      </c>
      <c r="M1052" s="7">
        <v>1641.4</v>
      </c>
      <c r="N1052" s="5">
        <v>47200000</v>
      </c>
      <c r="O1052" s="5">
        <v>50200000</v>
      </c>
      <c r="P1052" s="3">
        <v>0.97916666666666663</v>
      </c>
    </row>
    <row r="1053" spans="1:16" x14ac:dyDescent="0.25">
      <c r="A1053" s="2">
        <v>44168</v>
      </c>
      <c r="B1053" s="2">
        <v>43902</v>
      </c>
      <c r="C1053" t="str">
        <f>+"Tuáº§n "&amp;WEEKNUM(B1053)</f>
        <v>Tuáº§n 11</v>
      </c>
      <c r="D1053" t="s">
        <v>20</v>
      </c>
      <c r="E1053" t="s">
        <v>17</v>
      </c>
      <c r="F1053" s="5">
        <v>45100000</v>
      </c>
      <c r="G1053" s="5">
        <v>48100000</v>
      </c>
      <c r="H1053" s="5">
        <f>+(M1053*26000)/0.829426</f>
        <v>49819754.866618603</v>
      </c>
      <c r="I1053" s="5">
        <f>+G1053-H1053</f>
        <v>-1719754.8666186035</v>
      </c>
      <c r="J1053" s="5">
        <v>3000000</v>
      </c>
      <c r="K1053" s="5">
        <v>4510000</v>
      </c>
      <c r="L1053" s="5">
        <v>4810000</v>
      </c>
      <c r="M1053" s="7">
        <v>1589.3</v>
      </c>
      <c r="N1053" s="5">
        <v>45600000</v>
      </c>
      <c r="O1053" s="5">
        <v>48600000</v>
      </c>
      <c r="P1053" s="3">
        <v>0.97916666666666663</v>
      </c>
    </row>
    <row r="1054" spans="1:16" x14ac:dyDescent="0.25">
      <c r="A1054" t="s">
        <v>654</v>
      </c>
      <c r="B1054" s="2">
        <v>43903</v>
      </c>
      <c r="C1054" t="str">
        <f>+"Tuáº§n "&amp;WEEKNUM(B1054)</f>
        <v>Tuáº§n 11</v>
      </c>
      <c r="D1054" t="s">
        <v>21</v>
      </c>
      <c r="E1054" t="s">
        <v>17</v>
      </c>
      <c r="F1054" s="5">
        <v>42900000</v>
      </c>
      <c r="G1054" s="5">
        <v>45900000</v>
      </c>
      <c r="H1054" s="5">
        <f>+(M1054*26000)/0.829426</f>
        <v>47512617.159336701</v>
      </c>
      <c r="I1054" s="5">
        <f>+G1054-H1054</f>
        <v>-1612617.159336701</v>
      </c>
      <c r="J1054" s="5">
        <v>3000000</v>
      </c>
      <c r="K1054" s="5">
        <v>4290000</v>
      </c>
      <c r="L1054" s="5">
        <v>4590000</v>
      </c>
      <c r="M1054" s="7">
        <v>1515.7</v>
      </c>
      <c r="N1054" s="5">
        <v>43400000</v>
      </c>
      <c r="O1054" s="5">
        <v>46400000</v>
      </c>
      <c r="P1054" s="3">
        <v>0.97916666666666663</v>
      </c>
    </row>
    <row r="1055" spans="1:16" x14ac:dyDescent="0.25">
      <c r="A1055" t="s">
        <v>655</v>
      </c>
      <c r="B1055" s="2">
        <v>43906</v>
      </c>
      <c r="C1055" t="str">
        <f>+"Tuáº§n "&amp;WEEKNUM(B1055)</f>
        <v>Tuáº§n 12</v>
      </c>
      <c r="D1055" t="s">
        <v>16</v>
      </c>
      <c r="E1055" t="s">
        <v>17</v>
      </c>
      <c r="F1055" s="5">
        <v>42000000</v>
      </c>
      <c r="G1055" s="5">
        <v>45000000</v>
      </c>
      <c r="H1055" s="5">
        <f>+(M1055*26000)/0.829426</f>
        <v>46578477.163725272</v>
      </c>
      <c r="I1055" s="5">
        <f>+G1055-H1055</f>
        <v>-1578477.1637252718</v>
      </c>
      <c r="J1055" s="5">
        <v>3000000</v>
      </c>
      <c r="K1055" s="5">
        <v>4200000</v>
      </c>
      <c r="L1055" s="5">
        <v>4500000</v>
      </c>
      <c r="M1055" s="7">
        <v>1485.9</v>
      </c>
      <c r="N1055" s="5">
        <v>42500000</v>
      </c>
      <c r="O1055" s="5">
        <v>45500000</v>
      </c>
      <c r="P1055" s="3">
        <v>0.97916666666666663</v>
      </c>
    </row>
    <row r="1056" spans="1:16" x14ac:dyDescent="0.25">
      <c r="A1056" t="s">
        <v>656</v>
      </c>
      <c r="B1056" s="2">
        <v>43907</v>
      </c>
      <c r="C1056" t="str">
        <f>+"Tuáº§n "&amp;WEEKNUM(B1056)</f>
        <v>Tuáº§n 12</v>
      </c>
      <c r="D1056" t="s">
        <v>18</v>
      </c>
      <c r="E1056" t="s">
        <v>17</v>
      </c>
      <c r="F1056" s="5">
        <v>43200000</v>
      </c>
      <c r="G1056" s="5">
        <v>46200000</v>
      </c>
      <c r="H1056" s="5">
        <f>+(M1056*26000)/0.829426</f>
        <v>47801009.372746937</v>
      </c>
      <c r="I1056" s="5">
        <f>+G1056-H1056</f>
        <v>-1601009.372746937</v>
      </c>
      <c r="J1056" s="5">
        <v>3000000</v>
      </c>
      <c r="K1056" s="5">
        <v>4320000</v>
      </c>
      <c r="L1056" s="5">
        <v>4620000</v>
      </c>
      <c r="M1056" s="7">
        <v>1524.9</v>
      </c>
      <c r="N1056" s="5">
        <v>43700000</v>
      </c>
      <c r="O1056" s="5">
        <v>46700000</v>
      </c>
      <c r="P1056" s="3">
        <v>0.97916666666666663</v>
      </c>
    </row>
    <row r="1057" spans="1:16" x14ac:dyDescent="0.25">
      <c r="A1057" t="s">
        <v>657</v>
      </c>
      <c r="B1057" s="2">
        <v>43908</v>
      </c>
      <c r="C1057" t="str">
        <f>+"Tuáº§n "&amp;WEEKNUM(B1057)</f>
        <v>Tuáº§n 12</v>
      </c>
      <c r="D1057" t="s">
        <v>19</v>
      </c>
      <c r="E1057" t="s">
        <v>17</v>
      </c>
      <c r="F1057" s="5">
        <v>41700000</v>
      </c>
      <c r="G1057" s="5">
        <v>44700000</v>
      </c>
      <c r="H1057" s="5">
        <f>+(M1057*26000)/0.829426</f>
        <v>46308893.13814614</v>
      </c>
      <c r="I1057" s="5">
        <f>+G1057-H1057</f>
        <v>-1608893.1381461397</v>
      </c>
      <c r="J1057" s="5">
        <v>3000000</v>
      </c>
      <c r="K1057" s="5">
        <v>4170000</v>
      </c>
      <c r="L1057" s="5">
        <v>4470000</v>
      </c>
      <c r="M1057" s="7">
        <v>1477.3</v>
      </c>
      <c r="N1057" s="5">
        <v>42200000</v>
      </c>
      <c r="O1057" s="5">
        <v>45200000</v>
      </c>
      <c r="P1057" s="3">
        <v>0.97916666666666663</v>
      </c>
    </row>
    <row r="1058" spans="1:16" x14ac:dyDescent="0.25">
      <c r="A1058" t="s">
        <v>658</v>
      </c>
      <c r="B1058" s="2">
        <v>43909</v>
      </c>
      <c r="C1058" t="str">
        <f>+"Tuáº§n "&amp;WEEKNUM(B1058)</f>
        <v>Tuáº§n 12</v>
      </c>
      <c r="D1058" t="s">
        <v>20</v>
      </c>
      <c r="E1058" t="s">
        <v>17</v>
      </c>
      <c r="F1058" s="5">
        <v>41800000</v>
      </c>
      <c r="G1058" s="5">
        <v>44800000</v>
      </c>
      <c r="H1058" s="5">
        <f>+(M1058*26000)/0.829426</f>
        <v>46349644.211780198</v>
      </c>
      <c r="I1058" s="5">
        <f>+G1058-H1058</f>
        <v>-1549644.2117801979</v>
      </c>
      <c r="J1058" s="5">
        <v>3000000</v>
      </c>
      <c r="K1058" s="5">
        <v>4180000</v>
      </c>
      <c r="L1058" s="5">
        <v>4480000</v>
      </c>
      <c r="M1058" s="7">
        <v>1478.6</v>
      </c>
      <c r="N1058" s="5">
        <v>42300000</v>
      </c>
      <c r="O1058" s="5">
        <v>45300000</v>
      </c>
      <c r="P1058" s="3">
        <v>0.97916666666666663</v>
      </c>
    </row>
    <row r="1059" spans="1:16" x14ac:dyDescent="0.25">
      <c r="A1059" t="s">
        <v>659</v>
      </c>
      <c r="B1059" s="2">
        <v>43910</v>
      </c>
      <c r="C1059" t="str">
        <f>+"Tuáº§n "&amp;WEEKNUM(B1059)</f>
        <v>Tuáº§n 12</v>
      </c>
      <c r="D1059" t="s">
        <v>21</v>
      </c>
      <c r="E1059" t="s">
        <v>17</v>
      </c>
      <c r="F1059" s="5">
        <v>41900000</v>
      </c>
      <c r="G1059" s="5">
        <v>44900000</v>
      </c>
      <c r="H1059" s="5">
        <f>+(M1059*26000)/0.829426</f>
        <v>46518917.902260117</v>
      </c>
      <c r="I1059" s="5">
        <f>+G1059-H1059</f>
        <v>-1618917.9022601172</v>
      </c>
      <c r="J1059" s="5">
        <v>3000000</v>
      </c>
      <c r="K1059" s="5">
        <v>4190000</v>
      </c>
      <c r="L1059" s="5">
        <v>4490000</v>
      </c>
      <c r="M1059" s="7">
        <v>1484</v>
      </c>
      <c r="N1059" s="5">
        <v>42400000</v>
      </c>
      <c r="O1059" s="5">
        <v>45400000</v>
      </c>
      <c r="P1059" s="3">
        <v>0.97916666666666663</v>
      </c>
    </row>
    <row r="1060" spans="1:16" x14ac:dyDescent="0.25">
      <c r="A1060" t="s">
        <v>660</v>
      </c>
      <c r="B1060" s="2">
        <v>43913</v>
      </c>
      <c r="C1060" t="str">
        <f>+"Tuáº§n "&amp;WEEKNUM(B1060)</f>
        <v>Tuáº§n 13</v>
      </c>
      <c r="D1060" t="s">
        <v>16</v>
      </c>
      <c r="E1060" t="s">
        <v>17</v>
      </c>
      <c r="F1060" s="5">
        <v>44400000</v>
      </c>
      <c r="G1060" s="5">
        <v>47400000</v>
      </c>
      <c r="H1060" s="5">
        <f>+(M1060*26000)/0.829426</f>
        <v>49120717.218895957</v>
      </c>
      <c r="I1060" s="5">
        <f>+G1060-H1060</f>
        <v>-1720717.2188959569</v>
      </c>
      <c r="J1060" s="5">
        <v>3000000</v>
      </c>
      <c r="K1060" s="5">
        <v>4440000</v>
      </c>
      <c r="L1060" s="5">
        <v>4740000</v>
      </c>
      <c r="M1060" s="7">
        <v>1567</v>
      </c>
      <c r="N1060" s="5">
        <v>44900000</v>
      </c>
      <c r="O1060" s="5">
        <v>47900000</v>
      </c>
      <c r="P1060" s="3">
        <v>0.97916666666666663</v>
      </c>
    </row>
    <row r="1061" spans="1:16" x14ac:dyDescent="0.25">
      <c r="A1061" t="s">
        <v>661</v>
      </c>
      <c r="B1061" s="2">
        <v>43914</v>
      </c>
      <c r="C1061" t="str">
        <f>+"Tuáº§n "&amp;WEEKNUM(B1061)</f>
        <v>Tuáº§n 13</v>
      </c>
      <c r="D1061" t="s">
        <v>18</v>
      </c>
      <c r="E1061" t="s">
        <v>17</v>
      </c>
      <c r="F1061" s="5">
        <v>47300000</v>
      </c>
      <c r="G1061" s="5">
        <v>50300000</v>
      </c>
      <c r="H1061" s="5">
        <f>+(M1061*26000)/0.829426</f>
        <v>52042255.728660546</v>
      </c>
      <c r="I1061" s="5">
        <f>+G1061-H1061</f>
        <v>-1742255.7286605462</v>
      </c>
      <c r="J1061" s="5">
        <v>3000000</v>
      </c>
      <c r="K1061" s="5">
        <v>4730000</v>
      </c>
      <c r="L1061" s="5">
        <v>5030000</v>
      </c>
      <c r="M1061" s="7">
        <v>1660.2</v>
      </c>
      <c r="N1061" s="5">
        <v>47800000</v>
      </c>
      <c r="O1061" s="5">
        <v>50800000</v>
      </c>
      <c r="P1061" s="3">
        <v>0.97916666666666663</v>
      </c>
    </row>
    <row r="1062" spans="1:16" x14ac:dyDescent="0.25">
      <c r="A1062" t="s">
        <v>662</v>
      </c>
      <c r="B1062" s="2">
        <v>43915</v>
      </c>
      <c r="C1062" t="str">
        <f>+"Tuáº§n "&amp;WEEKNUM(B1062)</f>
        <v>Tuáº§n 13</v>
      </c>
      <c r="D1062" t="s">
        <v>19</v>
      </c>
      <c r="E1062" t="s">
        <v>17</v>
      </c>
      <c r="F1062" s="5">
        <v>46400000</v>
      </c>
      <c r="G1062" s="5">
        <v>49400000</v>
      </c>
      <c r="H1062" s="5">
        <f>+(M1062*26000)/0.829426</f>
        <v>51167674.994514279</v>
      </c>
      <c r="I1062" s="5">
        <f>+G1062-H1062</f>
        <v>-1767674.9945142791</v>
      </c>
      <c r="J1062" s="5">
        <v>3000000</v>
      </c>
      <c r="K1062" s="5">
        <v>4640000</v>
      </c>
      <c r="L1062" s="5">
        <v>4940000</v>
      </c>
      <c r="M1062" s="7">
        <v>1632.3</v>
      </c>
      <c r="N1062" s="5">
        <v>46900000</v>
      </c>
      <c r="O1062" s="5">
        <v>49900000</v>
      </c>
      <c r="P1062" s="3">
        <v>0.97916666666666663</v>
      </c>
    </row>
    <row r="1063" spans="1:16" x14ac:dyDescent="0.25">
      <c r="A1063" t="s">
        <v>663</v>
      </c>
      <c r="B1063" s="2">
        <v>43916</v>
      </c>
      <c r="C1063" t="str">
        <f>+"Tuáº§n "&amp;WEEKNUM(B1063)</f>
        <v>Tuáº§n 13</v>
      </c>
      <c r="D1063" t="s">
        <v>20</v>
      </c>
      <c r="E1063" t="s">
        <v>17</v>
      </c>
      <c r="F1063" s="5">
        <v>47000000</v>
      </c>
      <c r="G1063" s="5">
        <v>50000000</v>
      </c>
      <c r="H1063" s="5">
        <f>+(M1063*26000)/0.829426</f>
        <v>51725651.233503655</v>
      </c>
      <c r="I1063" s="5">
        <f>+G1063-H1063</f>
        <v>-1725651.2335036546</v>
      </c>
      <c r="J1063" s="5">
        <v>3000000</v>
      </c>
      <c r="K1063" s="5">
        <v>4700000</v>
      </c>
      <c r="L1063" s="5">
        <v>5000000</v>
      </c>
      <c r="M1063" s="7">
        <v>1650.1</v>
      </c>
      <c r="N1063" s="5">
        <v>47500000</v>
      </c>
      <c r="O1063" s="5">
        <v>50500000</v>
      </c>
      <c r="P1063" s="3">
        <v>0.97916666666666663</v>
      </c>
    </row>
    <row r="1064" spans="1:16" x14ac:dyDescent="0.25">
      <c r="A1064" t="s">
        <v>664</v>
      </c>
      <c r="B1064" s="2">
        <v>43917</v>
      </c>
      <c r="C1064" t="str">
        <f>+"Tuáº§n "&amp;WEEKNUM(B1064)</f>
        <v>Tuáº§n 13</v>
      </c>
      <c r="D1064" t="s">
        <v>21</v>
      </c>
      <c r="E1064" t="s">
        <v>17</v>
      </c>
      <c r="F1064" s="5">
        <v>46200000</v>
      </c>
      <c r="G1064" s="5">
        <v>49200000</v>
      </c>
      <c r="H1064" s="5">
        <f>+(M1064*26000)/0.829426</f>
        <v>50904360.364878841</v>
      </c>
      <c r="I1064" s="5">
        <f>+G1064-H1064</f>
        <v>-1704360.3648788407</v>
      </c>
      <c r="J1064" s="5">
        <v>3000000</v>
      </c>
      <c r="K1064" s="5">
        <v>4620000</v>
      </c>
      <c r="L1064" s="5">
        <v>4920000</v>
      </c>
      <c r="M1064" s="7">
        <v>1623.9</v>
      </c>
      <c r="N1064" s="5">
        <v>46700000</v>
      </c>
      <c r="O1064" s="5">
        <v>49700000</v>
      </c>
      <c r="P1064" s="3">
        <v>0.97916666666666663</v>
      </c>
    </row>
    <row r="1065" spans="1:16" x14ac:dyDescent="0.25">
      <c r="A1065" t="s">
        <v>665</v>
      </c>
      <c r="B1065" s="2">
        <v>43920</v>
      </c>
      <c r="C1065" t="str">
        <f>+"Tuáº§n "&amp;WEEKNUM(B1065)</f>
        <v>Tuáº§n 14</v>
      </c>
      <c r="D1065" t="s">
        <v>16</v>
      </c>
      <c r="E1065" t="s">
        <v>17</v>
      </c>
      <c r="F1065" s="5">
        <v>46100000</v>
      </c>
      <c r="G1065" s="5">
        <v>49100000</v>
      </c>
      <c r="H1065" s="5">
        <f>+(M1065*26000)/0.829426</f>
        <v>50844801.103413686</v>
      </c>
      <c r="I1065" s="5">
        <f>+G1065-H1065</f>
        <v>-1744801.1034136862</v>
      </c>
      <c r="J1065" s="5">
        <v>3000000</v>
      </c>
      <c r="K1065" s="5">
        <v>4610000</v>
      </c>
      <c r="L1065" s="5">
        <v>4910000</v>
      </c>
      <c r="M1065" s="7">
        <v>1622</v>
      </c>
      <c r="N1065" s="5">
        <v>46600000</v>
      </c>
      <c r="O1065" s="5">
        <v>49600000</v>
      </c>
      <c r="P1065" s="3">
        <v>0.97916666666666663</v>
      </c>
    </row>
    <row r="1066" spans="1:16" x14ac:dyDescent="0.25">
      <c r="A1066" t="s">
        <v>666</v>
      </c>
      <c r="B1066" s="2">
        <v>43921</v>
      </c>
      <c r="C1066" t="str">
        <f>+"Tuáº§n "&amp;WEEKNUM(B1066)</f>
        <v>Tuáº§n 14</v>
      </c>
      <c r="D1066" t="s">
        <v>18</v>
      </c>
      <c r="E1066" t="s">
        <v>17</v>
      </c>
      <c r="F1066" s="5">
        <v>44900000</v>
      </c>
      <c r="G1066" s="5">
        <v>47900000</v>
      </c>
      <c r="H1066" s="5">
        <f>+(M1066*26000)/0.829426</f>
        <v>49634807.686279424</v>
      </c>
      <c r="I1066" s="5">
        <f>+G1066-H1066</f>
        <v>-1734807.6862794235</v>
      </c>
      <c r="J1066" s="5">
        <v>3000000</v>
      </c>
      <c r="K1066" s="5">
        <v>4490000</v>
      </c>
      <c r="L1066" s="5">
        <v>4790000</v>
      </c>
      <c r="M1066" s="7">
        <v>1583.4</v>
      </c>
      <c r="N1066" s="5">
        <v>45400000</v>
      </c>
      <c r="O1066" s="5">
        <v>48400000</v>
      </c>
      <c r="P1066" s="3">
        <v>0.97916666666666663</v>
      </c>
    </row>
    <row r="1067" spans="1:16" x14ac:dyDescent="0.25">
      <c r="A1067" s="2">
        <v>43834</v>
      </c>
      <c r="B1067" s="2">
        <v>43922</v>
      </c>
      <c r="C1067" t="str">
        <f>+"Tuáº§n "&amp;WEEKNUM(B1067)</f>
        <v>Tuáº§n 14</v>
      </c>
      <c r="D1067" t="s">
        <v>19</v>
      </c>
      <c r="E1067" t="s">
        <v>17</v>
      </c>
      <c r="F1067" s="5">
        <v>44800000</v>
      </c>
      <c r="G1067" s="5">
        <v>47800000</v>
      </c>
      <c r="H1067" s="5">
        <f>+(M1067*26000)/0.829426</f>
        <v>49471803.391743205</v>
      </c>
      <c r="I1067" s="5">
        <f>+G1067-H1067</f>
        <v>-1671803.3917432055</v>
      </c>
      <c r="J1067" s="5">
        <v>3000000</v>
      </c>
      <c r="K1067" s="5">
        <v>4480000</v>
      </c>
      <c r="L1067" s="5">
        <v>4780000</v>
      </c>
      <c r="M1067" s="7">
        <v>1578.2</v>
      </c>
      <c r="N1067" s="5">
        <v>45300000</v>
      </c>
      <c r="O1067" s="5">
        <v>48300000</v>
      </c>
      <c r="P1067" s="3">
        <v>0.97916666666666663</v>
      </c>
    </row>
    <row r="1068" spans="1:16" x14ac:dyDescent="0.25">
      <c r="A1068" s="2">
        <v>43865</v>
      </c>
      <c r="B1068" s="2">
        <v>43923</v>
      </c>
      <c r="C1068" t="str">
        <f>+"Tuáº§n "&amp;WEEKNUM(B1068)</f>
        <v>Tuáº§n 14</v>
      </c>
      <c r="D1068" t="s">
        <v>20</v>
      </c>
      <c r="E1068" t="s">
        <v>17</v>
      </c>
      <c r="F1068" s="5">
        <v>46200000</v>
      </c>
      <c r="G1068" s="5">
        <v>49200000</v>
      </c>
      <c r="H1068" s="5">
        <f>+(M1068*26000)/0.829426</f>
        <v>50960784.928372152</v>
      </c>
      <c r="I1068" s="5">
        <f>+G1068-H1068</f>
        <v>-1760784.9283721521</v>
      </c>
      <c r="J1068" s="5">
        <v>3000000</v>
      </c>
      <c r="K1068" s="5">
        <v>4620000</v>
      </c>
      <c r="L1068" s="5">
        <v>4920000</v>
      </c>
      <c r="M1068" s="7">
        <v>1625.7</v>
      </c>
      <c r="N1068" s="5">
        <v>46700000</v>
      </c>
      <c r="O1068" s="5">
        <v>49700000</v>
      </c>
      <c r="P1068" s="3">
        <v>0.97916666666666663</v>
      </c>
    </row>
    <row r="1069" spans="1:16" x14ac:dyDescent="0.25">
      <c r="A1069" s="2">
        <v>43894</v>
      </c>
      <c r="B1069" s="2">
        <v>43924</v>
      </c>
      <c r="C1069" t="str">
        <f>+"Tuáº§n "&amp;WEEKNUM(B1069)</f>
        <v>Tuáº§n 14</v>
      </c>
      <c r="D1069" t="s">
        <v>21</v>
      </c>
      <c r="E1069" t="s">
        <v>17</v>
      </c>
      <c r="F1069" s="5">
        <v>46500000</v>
      </c>
      <c r="G1069" s="5">
        <v>49500000</v>
      </c>
      <c r="H1069" s="5">
        <f>+(M1069*26000)/0.829426</f>
        <v>51211560.766120188</v>
      </c>
      <c r="I1069" s="5">
        <f>+G1069-H1069</f>
        <v>-1711560.7661201879</v>
      </c>
      <c r="J1069" s="5">
        <v>3000000</v>
      </c>
      <c r="K1069" s="5">
        <v>4650000</v>
      </c>
      <c r="L1069" s="5">
        <v>4950000</v>
      </c>
      <c r="M1069" s="7">
        <v>1633.7</v>
      </c>
      <c r="N1069" s="5">
        <v>47000000</v>
      </c>
      <c r="O1069" s="5">
        <v>50000000</v>
      </c>
      <c r="P1069" s="3">
        <v>0.97916666666666663</v>
      </c>
    </row>
    <row r="1070" spans="1:16" x14ac:dyDescent="0.25">
      <c r="A1070" s="2">
        <v>43986</v>
      </c>
      <c r="B1070" s="2">
        <v>43927</v>
      </c>
      <c r="C1070" t="str">
        <f>+"Tuáº§n "&amp;WEEKNUM(B1070)</f>
        <v>Tuáº§n 15</v>
      </c>
      <c r="D1070" t="s">
        <v>16</v>
      </c>
      <c r="E1070" t="s">
        <v>17</v>
      </c>
      <c r="F1070" s="5">
        <v>47800000</v>
      </c>
      <c r="G1070" s="5">
        <v>50800000</v>
      </c>
      <c r="H1070" s="5">
        <f>+(M1070*26000)/0.829426</f>
        <v>52568884.987931415</v>
      </c>
      <c r="I1070" s="5">
        <f>+G1070-H1070</f>
        <v>-1768884.9879314154</v>
      </c>
      <c r="J1070" s="5">
        <v>3000000</v>
      </c>
      <c r="K1070" s="5">
        <v>4780000</v>
      </c>
      <c r="L1070" s="5">
        <v>5080000</v>
      </c>
      <c r="M1070" s="7">
        <v>1677</v>
      </c>
      <c r="N1070" s="5">
        <v>48300000</v>
      </c>
      <c r="O1070" s="5">
        <v>51300000</v>
      </c>
      <c r="P1070" s="3">
        <v>0.97916666666666663</v>
      </c>
    </row>
    <row r="1071" spans="1:16" x14ac:dyDescent="0.25">
      <c r="A1071" s="2">
        <v>44016</v>
      </c>
      <c r="B1071" s="2">
        <v>43928</v>
      </c>
      <c r="C1071" t="str">
        <f>+"Tuáº§n "&amp;WEEKNUM(B1071)</f>
        <v>Tuáº§n 15</v>
      </c>
      <c r="D1071" t="s">
        <v>18</v>
      </c>
      <c r="E1071" t="s">
        <v>17</v>
      </c>
      <c r="F1071" s="5">
        <v>47400000</v>
      </c>
      <c r="G1071" s="5">
        <v>50400000</v>
      </c>
      <c r="H1071" s="5">
        <f>+(M1071*26000)/0.829426</f>
        <v>52186451.83536566</v>
      </c>
      <c r="I1071" s="5">
        <f>+G1071-H1071</f>
        <v>-1786451.8353656605</v>
      </c>
      <c r="J1071" s="5">
        <v>3000000</v>
      </c>
      <c r="K1071" s="5">
        <v>4740000</v>
      </c>
      <c r="L1071" s="5">
        <v>5040000</v>
      </c>
      <c r="M1071" s="7">
        <v>1664.8</v>
      </c>
      <c r="N1071" s="5">
        <v>47900000</v>
      </c>
      <c r="O1071" s="5">
        <v>50900000</v>
      </c>
      <c r="P1071" s="3">
        <v>0.97916666666666663</v>
      </c>
    </row>
    <row r="1072" spans="1:16" x14ac:dyDescent="0.25">
      <c r="A1072" s="2">
        <v>44047</v>
      </c>
      <c r="B1072" s="2">
        <v>43929</v>
      </c>
      <c r="C1072" t="str">
        <f>+"Tuáº§n "&amp;WEEKNUM(B1072)</f>
        <v>Tuáº§n 15</v>
      </c>
      <c r="D1072" t="s">
        <v>19</v>
      </c>
      <c r="E1072" t="s">
        <v>17</v>
      </c>
      <c r="F1072" s="5">
        <v>47400000</v>
      </c>
      <c r="G1072" s="5">
        <v>50400000</v>
      </c>
      <c r="H1072" s="5">
        <f>+(M1072*26000)/0.829426</f>
        <v>52205260.023196764</v>
      </c>
      <c r="I1072" s="5">
        <f>+G1072-H1072</f>
        <v>-1805260.0231967643</v>
      </c>
      <c r="J1072" s="5">
        <v>3000000</v>
      </c>
      <c r="K1072" s="5">
        <v>4740000</v>
      </c>
      <c r="L1072" s="5">
        <v>5040000</v>
      </c>
      <c r="M1072" s="7">
        <v>1665.4</v>
      </c>
      <c r="N1072" s="5">
        <v>47900000</v>
      </c>
      <c r="O1072" s="5">
        <v>50900000</v>
      </c>
      <c r="P1072" s="3">
        <v>0.97916666666666663</v>
      </c>
    </row>
    <row r="1073" spans="1:16" x14ac:dyDescent="0.25">
      <c r="A1073" s="2">
        <v>44078</v>
      </c>
      <c r="B1073" s="2">
        <v>43930</v>
      </c>
      <c r="C1073" t="str">
        <f>+"Tuáº§n "&amp;WEEKNUM(B1073)</f>
        <v>Tuáº§n 15</v>
      </c>
      <c r="D1073" t="s">
        <v>20</v>
      </c>
      <c r="E1073" t="s">
        <v>17</v>
      </c>
      <c r="F1073" s="5">
        <v>49600000</v>
      </c>
      <c r="G1073" s="5">
        <v>52600000</v>
      </c>
      <c r="H1073" s="5">
        <f>+(M1073*26000)/0.829426</f>
        <v>54424626.187266856</v>
      </c>
      <c r="I1073" s="5">
        <f>+G1073-H1073</f>
        <v>-1824626.1872668564</v>
      </c>
      <c r="J1073" s="5">
        <v>3000000</v>
      </c>
      <c r="K1073" s="5">
        <v>4960000</v>
      </c>
      <c r="L1073" s="5">
        <v>5260000</v>
      </c>
      <c r="M1073" s="7">
        <v>1736.2</v>
      </c>
      <c r="N1073" s="5">
        <v>50100000</v>
      </c>
      <c r="O1073" s="5">
        <v>53100000</v>
      </c>
      <c r="P1073" s="3">
        <v>0.97916666666666663</v>
      </c>
    </row>
    <row r="1074" spans="1:16" x14ac:dyDescent="0.25">
      <c r="A1074" t="s">
        <v>667</v>
      </c>
      <c r="B1074" s="2">
        <v>43934</v>
      </c>
      <c r="C1074" t="str">
        <f>+"Tuáº§n "&amp;WEEKNUM(B1074)</f>
        <v>Tuáº§n 16</v>
      </c>
      <c r="D1074" t="s">
        <v>16</v>
      </c>
      <c r="E1074" t="s">
        <v>17</v>
      </c>
      <c r="F1074" s="5">
        <v>49800000</v>
      </c>
      <c r="G1074" s="5">
        <v>52800000</v>
      </c>
      <c r="H1074" s="5">
        <f>+(M1074*26000)/0.829426</f>
        <v>54694210.212845996</v>
      </c>
      <c r="I1074" s="5">
        <f>+G1074-H1074</f>
        <v>-1894210.212845996</v>
      </c>
      <c r="J1074" s="5">
        <v>3000000</v>
      </c>
      <c r="K1074" s="5">
        <v>4980000</v>
      </c>
      <c r="L1074" s="5">
        <v>5280000</v>
      </c>
      <c r="M1074" s="7">
        <v>1744.8</v>
      </c>
      <c r="N1074" s="5">
        <v>50300000</v>
      </c>
      <c r="O1074" s="5">
        <v>53300000</v>
      </c>
      <c r="P1074" s="3">
        <v>0.97916666666666663</v>
      </c>
    </row>
    <row r="1075" spans="1:16" x14ac:dyDescent="0.25">
      <c r="A1075" t="s">
        <v>668</v>
      </c>
      <c r="B1075" s="2">
        <v>43935</v>
      </c>
      <c r="C1075" t="str">
        <f>+"Tuáº§n "&amp;WEEKNUM(B1075)</f>
        <v>Tuáº§n 16</v>
      </c>
      <c r="D1075" t="s">
        <v>18</v>
      </c>
      <c r="E1075" t="s">
        <v>17</v>
      </c>
      <c r="F1075" s="5">
        <v>50200000</v>
      </c>
      <c r="G1075" s="5">
        <v>53200000</v>
      </c>
      <c r="H1075" s="5">
        <f>+(M1075*26000)/0.829426</f>
        <v>55067239.271496192</v>
      </c>
      <c r="I1075" s="5">
        <f>+G1075-H1075</f>
        <v>-1867239.2714961916</v>
      </c>
      <c r="J1075" s="5">
        <v>3000000</v>
      </c>
      <c r="K1075" s="5">
        <v>5020000</v>
      </c>
      <c r="L1075" s="5">
        <v>5320000</v>
      </c>
      <c r="M1075" s="7">
        <v>1756.7</v>
      </c>
      <c r="N1075" s="5">
        <v>50700000</v>
      </c>
      <c r="O1075" s="5">
        <v>53700000</v>
      </c>
      <c r="P1075" s="3">
        <v>0.97916666666666663</v>
      </c>
    </row>
    <row r="1076" spans="1:16" x14ac:dyDescent="0.25">
      <c r="A1076" t="s">
        <v>669</v>
      </c>
      <c r="B1076" s="2">
        <v>43936</v>
      </c>
      <c r="C1076" t="str">
        <f>+"Tuáº§n "&amp;WEEKNUM(B1076)</f>
        <v>Tuáº§n 16</v>
      </c>
      <c r="D1076" t="s">
        <v>19</v>
      </c>
      <c r="E1076" t="s">
        <v>17</v>
      </c>
      <c r="F1076" s="5">
        <v>49300000</v>
      </c>
      <c r="G1076" s="5">
        <v>52300000</v>
      </c>
      <c r="H1076" s="5">
        <f>+(M1076*26000)/0.829426</f>
        <v>54142503.369800322</v>
      </c>
      <c r="I1076" s="5">
        <f>+G1076-H1076</f>
        <v>-1842503.3698003218</v>
      </c>
      <c r="J1076" s="5">
        <v>3000000</v>
      </c>
      <c r="K1076" s="5">
        <v>4930000</v>
      </c>
      <c r="L1076" s="5">
        <v>5230000</v>
      </c>
      <c r="M1076" s="7">
        <v>1727.2</v>
      </c>
      <c r="N1076" s="5">
        <v>49800000</v>
      </c>
      <c r="O1076" s="5">
        <v>52800000</v>
      </c>
      <c r="P1076" s="3">
        <v>0.97916666666666663</v>
      </c>
    </row>
    <row r="1077" spans="1:16" x14ac:dyDescent="0.25">
      <c r="A1077" t="s">
        <v>670</v>
      </c>
      <c r="B1077" s="2">
        <v>43937</v>
      </c>
      <c r="C1077" t="str">
        <f>+"Tuáº§n "&amp;WEEKNUM(B1077)</f>
        <v>Tuáº§n 16</v>
      </c>
      <c r="D1077" t="s">
        <v>20</v>
      </c>
      <c r="E1077" t="s">
        <v>17</v>
      </c>
      <c r="F1077" s="5">
        <v>49100000</v>
      </c>
      <c r="G1077" s="5">
        <v>52100000</v>
      </c>
      <c r="H1077" s="5">
        <f>+(M1077*26000)/0.829426</f>
        <v>53929343.907714494</v>
      </c>
      <c r="I1077" s="5">
        <f>+G1077-H1077</f>
        <v>-1829343.9077144936</v>
      </c>
      <c r="J1077" s="5">
        <v>3000000</v>
      </c>
      <c r="K1077" s="5">
        <v>4910000</v>
      </c>
      <c r="L1077" s="5">
        <v>5210000</v>
      </c>
      <c r="M1077" s="7">
        <v>1720.4</v>
      </c>
      <c r="N1077" s="5">
        <v>49600000</v>
      </c>
      <c r="O1077" s="5">
        <v>52600000</v>
      </c>
      <c r="P1077" s="3">
        <v>0.97916666666666663</v>
      </c>
    </row>
    <row r="1078" spans="1:16" x14ac:dyDescent="0.25">
      <c r="A1078" t="s">
        <v>671</v>
      </c>
      <c r="B1078" s="2">
        <v>43938</v>
      </c>
      <c r="C1078" t="str">
        <f>+"Tuáº§n "&amp;WEEKNUM(B1078)</f>
        <v>Tuáº§n 16</v>
      </c>
      <c r="D1078" t="s">
        <v>21</v>
      </c>
      <c r="E1078" t="s">
        <v>17</v>
      </c>
      <c r="F1078" s="5">
        <v>48100000</v>
      </c>
      <c r="G1078" s="5">
        <v>51100000</v>
      </c>
      <c r="H1078" s="5">
        <f>+(M1078*26000)/0.829426</f>
        <v>52951318.140497163</v>
      </c>
      <c r="I1078" s="5">
        <f>+G1078-H1078</f>
        <v>-1851318.1404971629</v>
      </c>
      <c r="J1078" s="5">
        <v>3000000</v>
      </c>
      <c r="K1078" s="5">
        <v>4810000</v>
      </c>
      <c r="L1078" s="5">
        <v>5110000</v>
      </c>
      <c r="M1078" s="7">
        <v>1689.2</v>
      </c>
      <c r="N1078" s="5">
        <v>48600000</v>
      </c>
      <c r="O1078" s="5">
        <v>51600000</v>
      </c>
      <c r="P1078" s="3">
        <v>0.97916666666666663</v>
      </c>
    </row>
    <row r="1079" spans="1:16" x14ac:dyDescent="0.25">
      <c r="A1079" t="s">
        <v>672</v>
      </c>
      <c r="B1079" s="2">
        <v>43941</v>
      </c>
      <c r="C1079" t="str">
        <f>+"Tuáº§n "&amp;WEEKNUM(B1079)</f>
        <v>Tuáº§n 17</v>
      </c>
      <c r="D1079" t="s">
        <v>16</v>
      </c>
      <c r="E1079" t="s">
        <v>17</v>
      </c>
      <c r="F1079" s="5">
        <v>48500000</v>
      </c>
      <c r="G1079" s="5">
        <v>51500000</v>
      </c>
      <c r="H1079" s="5">
        <f>+(M1079*26000)/0.829426</f>
        <v>53340020.689006612</v>
      </c>
      <c r="I1079" s="5">
        <f>+G1079-H1079</f>
        <v>-1840020.6890066117</v>
      </c>
      <c r="J1079" s="5">
        <v>3000000</v>
      </c>
      <c r="K1079" s="5">
        <v>4850000</v>
      </c>
      <c r="L1079" s="5">
        <v>5150000</v>
      </c>
      <c r="M1079" s="7">
        <v>1701.6</v>
      </c>
      <c r="N1079" s="5">
        <v>49000000</v>
      </c>
      <c r="O1079" s="5">
        <v>52000000</v>
      </c>
      <c r="P1079" s="3">
        <v>0.97916666666666663</v>
      </c>
    </row>
    <row r="1080" spans="1:16" x14ac:dyDescent="0.25">
      <c r="A1080" t="s">
        <v>673</v>
      </c>
      <c r="B1080" s="2">
        <v>43942</v>
      </c>
      <c r="C1080" t="str">
        <f>+"Tuáº§n "&amp;WEEKNUM(B1080)</f>
        <v>Tuáº§n 17</v>
      </c>
      <c r="D1080" t="s">
        <v>18</v>
      </c>
      <c r="E1080" t="s">
        <v>17</v>
      </c>
      <c r="F1080" s="5">
        <v>47800000</v>
      </c>
      <c r="G1080" s="5">
        <v>50800000</v>
      </c>
      <c r="H1080" s="5">
        <f>+(M1080*26000)/0.829426</f>
        <v>52606501.363593616</v>
      </c>
      <c r="I1080" s="5">
        <f>+G1080-H1080</f>
        <v>-1806501.3635936156</v>
      </c>
      <c r="J1080" s="5">
        <v>3000000</v>
      </c>
      <c r="K1080" s="5">
        <v>4780000</v>
      </c>
      <c r="L1080" s="5">
        <v>5080000</v>
      </c>
      <c r="M1080" s="7">
        <v>1678.2</v>
      </c>
      <c r="N1080" s="5">
        <v>48300000</v>
      </c>
      <c r="O1080" s="5">
        <v>51300000</v>
      </c>
      <c r="P1080" s="3">
        <v>0.97916666666666663</v>
      </c>
    </row>
    <row r="1081" spans="1:16" x14ac:dyDescent="0.25">
      <c r="A1081" t="s">
        <v>674</v>
      </c>
      <c r="B1081" s="2">
        <v>43943</v>
      </c>
      <c r="C1081" t="str">
        <f>+"Tuáº§n "&amp;WEEKNUM(B1081)</f>
        <v>Tuáº§n 17</v>
      </c>
      <c r="D1081" t="s">
        <v>19</v>
      </c>
      <c r="E1081" t="s">
        <v>17</v>
      </c>
      <c r="F1081" s="5">
        <v>49300000</v>
      </c>
      <c r="G1081" s="5">
        <v>52300000</v>
      </c>
      <c r="H1081" s="5">
        <f>+(M1081*26000)/0.829426</f>
        <v>54189523.839378074</v>
      </c>
      <c r="I1081" s="5">
        <f>+G1081-H1081</f>
        <v>-1889523.8393780738</v>
      </c>
      <c r="J1081" s="5">
        <v>3000000</v>
      </c>
      <c r="K1081" s="5">
        <v>4930000</v>
      </c>
      <c r="L1081" s="5">
        <v>5230000</v>
      </c>
      <c r="M1081" s="7">
        <v>1728.7</v>
      </c>
      <c r="N1081" s="5">
        <v>49800000</v>
      </c>
      <c r="O1081" s="5">
        <v>52800000</v>
      </c>
      <c r="P1081" s="3">
        <v>0.97916666666666663</v>
      </c>
    </row>
    <row r="1082" spans="1:16" x14ac:dyDescent="0.25">
      <c r="A1082" t="s">
        <v>675</v>
      </c>
      <c r="B1082" s="2">
        <v>43944</v>
      </c>
      <c r="C1082" t="str">
        <f>+"Tuáº§n "&amp;WEEKNUM(B1082)</f>
        <v>Tuáº§n 17</v>
      </c>
      <c r="D1082" t="s">
        <v>20</v>
      </c>
      <c r="E1082" t="s">
        <v>17</v>
      </c>
      <c r="F1082" s="5">
        <v>49500000</v>
      </c>
      <c r="G1082" s="5">
        <v>52500000</v>
      </c>
      <c r="H1082" s="5">
        <f>+(M1082*26000)/0.829426</f>
        <v>54333719.946083196</v>
      </c>
      <c r="I1082" s="5">
        <f>+G1082-H1082</f>
        <v>-1833719.9460831955</v>
      </c>
      <c r="J1082" s="5">
        <v>3000000</v>
      </c>
      <c r="K1082" s="5">
        <v>4950000</v>
      </c>
      <c r="L1082" s="5">
        <v>5250000</v>
      </c>
      <c r="M1082" s="7">
        <v>1733.3</v>
      </c>
      <c r="N1082" s="5">
        <v>50000000</v>
      </c>
      <c r="O1082" s="5">
        <v>53000000</v>
      </c>
      <c r="P1082" s="3">
        <v>0.97916666666666663</v>
      </c>
    </row>
    <row r="1083" spans="1:16" x14ac:dyDescent="0.25">
      <c r="A1083" t="s">
        <v>676</v>
      </c>
      <c r="B1083" s="2">
        <v>43945</v>
      </c>
      <c r="C1083" t="str">
        <f>+"Tuáº§n "&amp;WEEKNUM(B1083)</f>
        <v>Tuáº§n 17</v>
      </c>
      <c r="D1083" t="s">
        <v>21</v>
      </c>
      <c r="E1083" t="s">
        <v>17</v>
      </c>
      <c r="F1083" s="5">
        <v>49200000</v>
      </c>
      <c r="G1083" s="5">
        <v>52200000</v>
      </c>
      <c r="H1083" s="5">
        <f>+(M1083*26000)/0.829426</f>
        <v>54026519.544841856</v>
      </c>
      <c r="I1083" s="5">
        <f>+G1083-H1083</f>
        <v>-1826519.5448418558</v>
      </c>
      <c r="J1083" s="5">
        <v>3000000</v>
      </c>
      <c r="K1083" s="5">
        <v>4920000</v>
      </c>
      <c r="L1083" s="5">
        <v>5220000</v>
      </c>
      <c r="M1083" s="7">
        <v>1723.5</v>
      </c>
      <c r="N1083" s="5">
        <v>49700000</v>
      </c>
      <c r="O1083" s="5">
        <v>52700000</v>
      </c>
      <c r="P1083" s="3">
        <v>0.97916666666666663</v>
      </c>
    </row>
    <row r="1084" spans="1:16" x14ac:dyDescent="0.25">
      <c r="A1084" t="s">
        <v>677</v>
      </c>
      <c r="B1084" s="2">
        <v>43948</v>
      </c>
      <c r="C1084" t="str">
        <f>+"Tuáº§n "&amp;WEEKNUM(B1084)</f>
        <v>Tuáº§n 18</v>
      </c>
      <c r="D1084" t="s">
        <v>16</v>
      </c>
      <c r="E1084" t="s">
        <v>17</v>
      </c>
      <c r="F1084" s="5">
        <v>48800000</v>
      </c>
      <c r="G1084" s="5">
        <v>51800000</v>
      </c>
      <c r="H1084" s="5">
        <f>+(M1084*26000)/0.829426</f>
        <v>53662894.580107205</v>
      </c>
      <c r="I1084" s="5">
        <f>+G1084-H1084</f>
        <v>-1862894.5801072046</v>
      </c>
      <c r="J1084" s="5">
        <v>3000000</v>
      </c>
      <c r="K1084" s="5">
        <v>4880000</v>
      </c>
      <c r="L1084" s="5">
        <v>5180000</v>
      </c>
      <c r="M1084" s="7">
        <v>1711.9</v>
      </c>
      <c r="N1084" s="5">
        <v>49300000</v>
      </c>
      <c r="O1084" s="5">
        <v>52300000</v>
      </c>
      <c r="P1084" s="3">
        <v>0.97916666666666663</v>
      </c>
    </row>
    <row r="1085" spans="1:16" x14ac:dyDescent="0.25">
      <c r="A1085" t="s">
        <v>678</v>
      </c>
      <c r="B1085" s="2">
        <v>43949</v>
      </c>
      <c r="C1085" t="str">
        <f>+"Tuáº§n "&amp;WEEKNUM(B1085)</f>
        <v>Tuáº§n 18</v>
      </c>
      <c r="D1085" t="s">
        <v>18</v>
      </c>
      <c r="E1085" t="s">
        <v>17</v>
      </c>
      <c r="F1085" s="5">
        <v>48800000</v>
      </c>
      <c r="G1085" s="5">
        <v>51800000</v>
      </c>
      <c r="H1085" s="5">
        <f>+(M1085*26000)/0.829426</f>
        <v>53619008.808501303</v>
      </c>
      <c r="I1085" s="5">
        <f>+G1085-H1085</f>
        <v>-1819008.8085013032</v>
      </c>
      <c r="J1085" s="5">
        <v>3000000</v>
      </c>
      <c r="K1085" s="5">
        <v>4880000</v>
      </c>
      <c r="L1085" s="5">
        <v>5180000</v>
      </c>
      <c r="M1085" s="7">
        <v>1710.5</v>
      </c>
      <c r="N1085" s="5">
        <v>49300000</v>
      </c>
      <c r="O1085" s="5">
        <v>52300000</v>
      </c>
      <c r="P1085" s="3">
        <v>0.97916666666666663</v>
      </c>
    </row>
    <row r="1086" spans="1:16" x14ac:dyDescent="0.25">
      <c r="A1086" t="s">
        <v>679</v>
      </c>
      <c r="B1086" s="2">
        <v>43950</v>
      </c>
      <c r="C1086" t="str">
        <f>+"Tuáº§n "&amp;WEEKNUM(B1086)</f>
        <v>Tuáº§n 18</v>
      </c>
      <c r="D1086" t="s">
        <v>19</v>
      </c>
      <c r="E1086" t="s">
        <v>17</v>
      </c>
      <c r="F1086" s="5">
        <v>48600000</v>
      </c>
      <c r="G1086" s="5">
        <v>51600000</v>
      </c>
      <c r="H1086" s="5">
        <f>+(M1086*26000)/0.829426</f>
        <v>53396445.252499923</v>
      </c>
      <c r="I1086" s="5">
        <f>+G1086-H1086</f>
        <v>-1796445.2524999231</v>
      </c>
      <c r="J1086" s="5">
        <v>3000000</v>
      </c>
      <c r="K1086" s="5">
        <v>4860000</v>
      </c>
      <c r="L1086" s="5">
        <v>5160000</v>
      </c>
      <c r="M1086" s="7">
        <v>1703.4</v>
      </c>
      <c r="N1086" s="5">
        <v>49100000</v>
      </c>
      <c r="O1086" s="5">
        <v>52100000</v>
      </c>
      <c r="P1086" s="3">
        <v>0.97916666666666663</v>
      </c>
    </row>
    <row r="1087" spans="1:16" x14ac:dyDescent="0.25">
      <c r="A1087" t="s">
        <v>680</v>
      </c>
      <c r="B1087" s="2">
        <v>43951</v>
      </c>
      <c r="C1087" t="str">
        <f>+"Tuáº§n "&amp;WEEKNUM(B1087)</f>
        <v>Tuáº§n 18</v>
      </c>
      <c r="D1087" t="s">
        <v>20</v>
      </c>
      <c r="E1087" t="s">
        <v>17</v>
      </c>
      <c r="F1087" s="5">
        <v>48000000</v>
      </c>
      <c r="G1087" s="5">
        <v>51000000</v>
      </c>
      <c r="H1087" s="5">
        <f>+(M1087*26000)/0.829426</f>
        <v>52794583.241904646</v>
      </c>
      <c r="I1087" s="5">
        <f>+G1087-H1087</f>
        <v>-1794583.2419046462</v>
      </c>
      <c r="J1087" s="5">
        <v>3000000</v>
      </c>
      <c r="K1087" s="5">
        <v>4800000</v>
      </c>
      <c r="L1087" s="5">
        <v>5100000</v>
      </c>
      <c r="M1087" s="7">
        <v>1684.2</v>
      </c>
      <c r="N1087" s="5">
        <v>48500000</v>
      </c>
      <c r="O1087" s="5">
        <v>51500000</v>
      </c>
      <c r="P1087" s="3">
        <v>0.97916666666666663</v>
      </c>
    </row>
    <row r="1088" spans="1:16" x14ac:dyDescent="0.25">
      <c r="A1088" s="2">
        <v>43835</v>
      </c>
      <c r="B1088" s="2">
        <v>43952</v>
      </c>
      <c r="C1088" t="str">
        <f>+"Tuáº§n "&amp;WEEKNUM(B1088)</f>
        <v>Tuáº§n 18</v>
      </c>
      <c r="D1088" t="s">
        <v>21</v>
      </c>
      <c r="E1088" t="s">
        <v>17</v>
      </c>
      <c r="F1088" s="5">
        <v>48300000</v>
      </c>
      <c r="G1088" s="5">
        <v>51300000</v>
      </c>
      <c r="H1088" s="5">
        <f>+(M1088*26000)/0.829426</f>
        <v>53117457.133005232</v>
      </c>
      <c r="I1088" s="5">
        <f>+G1088-H1088</f>
        <v>-1817457.1330052316</v>
      </c>
      <c r="J1088" s="5">
        <v>3000000</v>
      </c>
      <c r="K1088" s="5">
        <v>4830000</v>
      </c>
      <c r="L1088" s="5">
        <v>5130000</v>
      </c>
      <c r="M1088" s="7">
        <v>1694.5</v>
      </c>
      <c r="N1088" s="5">
        <v>48800000</v>
      </c>
      <c r="O1088" s="5">
        <v>51800000</v>
      </c>
      <c r="P1088" s="3">
        <v>0.97916666666666663</v>
      </c>
    </row>
    <row r="1089" spans="1:16" x14ac:dyDescent="0.25">
      <c r="A1089" s="2">
        <v>43926</v>
      </c>
      <c r="B1089" s="2">
        <v>43955</v>
      </c>
      <c r="C1089" t="str">
        <f>+"Tuáº§n "&amp;WEEKNUM(B1089)</f>
        <v>Tuáº§n 19</v>
      </c>
      <c r="D1089" t="s">
        <v>16</v>
      </c>
      <c r="E1089" t="s">
        <v>17</v>
      </c>
      <c r="F1089" s="5">
        <v>48700000</v>
      </c>
      <c r="G1089" s="5">
        <v>51700000</v>
      </c>
      <c r="H1089" s="5">
        <f>+(M1089*26000)/0.829426</f>
        <v>53506159.681514688</v>
      </c>
      <c r="I1089" s="5">
        <f>+G1089-H1089</f>
        <v>-1806159.6815146878</v>
      </c>
      <c r="J1089" s="5">
        <v>3000000</v>
      </c>
      <c r="K1089" s="5">
        <v>4870000</v>
      </c>
      <c r="L1089" s="5">
        <v>5170000</v>
      </c>
      <c r="M1089" s="7">
        <v>1706.9</v>
      </c>
      <c r="N1089" s="5">
        <v>49200000</v>
      </c>
      <c r="O1089" s="5">
        <v>52200000</v>
      </c>
      <c r="P1089" s="3">
        <v>0.97916666666666663</v>
      </c>
    </row>
    <row r="1090" spans="1:16" x14ac:dyDescent="0.25">
      <c r="A1090" s="2">
        <v>43956</v>
      </c>
      <c r="B1090" s="2">
        <v>43956</v>
      </c>
      <c r="C1090" t="str">
        <f>+"Tuáº§n "&amp;WEEKNUM(B1090)</f>
        <v>Tuáº§n 19</v>
      </c>
      <c r="D1090" t="s">
        <v>18</v>
      </c>
      <c r="E1090" t="s">
        <v>17</v>
      </c>
      <c r="F1090" s="5">
        <v>48600000</v>
      </c>
      <c r="G1090" s="5">
        <v>51600000</v>
      </c>
      <c r="H1090" s="5">
        <f>+(M1090*26000)/0.829426</f>
        <v>53427792.232218429</v>
      </c>
      <c r="I1090" s="5">
        <f>+G1090-H1090</f>
        <v>-1827792.2322184294</v>
      </c>
      <c r="J1090" s="5">
        <v>3000000</v>
      </c>
      <c r="K1090" s="5">
        <v>4860000</v>
      </c>
      <c r="L1090" s="5">
        <v>5160000</v>
      </c>
      <c r="M1090" s="7">
        <v>1704.4</v>
      </c>
      <c r="N1090" s="5">
        <v>49100000</v>
      </c>
      <c r="O1090" s="5">
        <v>52100000</v>
      </c>
      <c r="P1090" s="3">
        <v>0.97916666666666663</v>
      </c>
    </row>
    <row r="1091" spans="1:16" x14ac:dyDescent="0.25">
      <c r="A1091" s="2">
        <v>43987</v>
      </c>
      <c r="B1091" s="2">
        <v>43957</v>
      </c>
      <c r="C1091" t="str">
        <f>+"Tuáº§n "&amp;WEEKNUM(B1091)</f>
        <v>Tuáº§n 19</v>
      </c>
      <c r="D1091" t="s">
        <v>19</v>
      </c>
      <c r="E1091" t="s">
        <v>17</v>
      </c>
      <c r="F1091" s="5">
        <v>48000000</v>
      </c>
      <c r="G1091" s="5">
        <v>51000000</v>
      </c>
      <c r="H1091" s="5">
        <f>+(M1091*26000)/0.829426</f>
        <v>52794583.241904646</v>
      </c>
      <c r="I1091" s="5">
        <f>+G1091-H1091</f>
        <v>-1794583.2419046462</v>
      </c>
      <c r="J1091" s="5">
        <v>3000000</v>
      </c>
      <c r="K1091" s="5">
        <v>4800000</v>
      </c>
      <c r="L1091" s="5">
        <v>5100000</v>
      </c>
      <c r="M1091" s="7">
        <v>1684.2</v>
      </c>
      <c r="N1091" s="5">
        <v>48500000</v>
      </c>
      <c r="O1091" s="5">
        <v>51500000</v>
      </c>
      <c r="P1091" s="3">
        <v>0.97916666666666663</v>
      </c>
    </row>
    <row r="1092" spans="1:16" x14ac:dyDescent="0.25">
      <c r="A1092" s="2">
        <v>44017</v>
      </c>
      <c r="B1092" s="2">
        <v>43958</v>
      </c>
      <c r="C1092" t="str">
        <f>+"Tuáº§n "&amp;WEEKNUM(B1092)</f>
        <v>Tuáº§n 19</v>
      </c>
      <c r="D1092" t="s">
        <v>20</v>
      </c>
      <c r="E1092" t="s">
        <v>17</v>
      </c>
      <c r="F1092" s="5">
        <v>49100000</v>
      </c>
      <c r="G1092" s="5">
        <v>52100000</v>
      </c>
      <c r="H1092" s="5">
        <f>+(M1092*26000)/0.829426</f>
        <v>53973229.679320395</v>
      </c>
      <c r="I1092" s="5">
        <f>+G1092-H1092</f>
        <v>-1873229.679320395</v>
      </c>
      <c r="J1092" s="5">
        <v>3000000</v>
      </c>
      <c r="K1092" s="5">
        <v>4910000</v>
      </c>
      <c r="L1092" s="5">
        <v>5210000</v>
      </c>
      <c r="M1092" s="7">
        <v>1721.8</v>
      </c>
      <c r="N1092" s="5">
        <v>49600000</v>
      </c>
      <c r="O1092" s="5">
        <v>52600000</v>
      </c>
      <c r="P1092" s="3">
        <v>0.97916666666666663</v>
      </c>
    </row>
    <row r="1093" spans="1:16" x14ac:dyDescent="0.25">
      <c r="A1093" s="2">
        <v>44048</v>
      </c>
      <c r="B1093" s="2">
        <v>43959</v>
      </c>
      <c r="C1093" t="str">
        <f>+"Tuáº§n "&amp;WEEKNUM(B1093)</f>
        <v>Tuáº§n 19</v>
      </c>
      <c r="D1093" t="s">
        <v>21</v>
      </c>
      <c r="E1093" t="s">
        <v>17</v>
      </c>
      <c r="F1093" s="5">
        <v>48800000</v>
      </c>
      <c r="G1093" s="5">
        <v>51800000</v>
      </c>
      <c r="H1093" s="5">
        <f>+(M1093*26000)/0.829426</f>
        <v>53600200.620670199</v>
      </c>
      <c r="I1093" s="5">
        <f>+G1093-H1093</f>
        <v>-1800200.6206701994</v>
      </c>
      <c r="J1093" s="5">
        <v>3000000</v>
      </c>
      <c r="K1093" s="5">
        <v>4880000</v>
      </c>
      <c r="L1093" s="5">
        <v>5180000</v>
      </c>
      <c r="M1093" s="7">
        <v>1709.9</v>
      </c>
      <c r="N1093" s="5">
        <v>49300000</v>
      </c>
      <c r="O1093" s="5">
        <v>52300000</v>
      </c>
      <c r="P1093" s="3">
        <v>0.97916666666666663</v>
      </c>
    </row>
    <row r="1094" spans="1:16" x14ac:dyDescent="0.25">
      <c r="A1094" s="2">
        <v>44140</v>
      </c>
      <c r="B1094" s="2">
        <v>43962</v>
      </c>
      <c r="C1094" t="str">
        <f>+"Tuáº§n "&amp;WEEKNUM(B1094)</f>
        <v>Tuáº§n 20</v>
      </c>
      <c r="D1094" t="s">
        <v>16</v>
      </c>
      <c r="E1094" t="s">
        <v>17</v>
      </c>
      <c r="F1094" s="5">
        <v>48300000</v>
      </c>
      <c r="G1094" s="5">
        <v>51300000</v>
      </c>
      <c r="H1094" s="5">
        <f>+(M1094*26000)/0.829426</f>
        <v>53142534.716780037</v>
      </c>
      <c r="I1094" s="5">
        <f>+G1094-H1094</f>
        <v>-1842534.7167800367</v>
      </c>
      <c r="J1094" s="5">
        <v>3000000</v>
      </c>
      <c r="K1094" s="5">
        <v>4830000</v>
      </c>
      <c r="L1094" s="5">
        <v>5130000</v>
      </c>
      <c r="M1094" s="7">
        <v>1695.3</v>
      </c>
      <c r="N1094" s="5">
        <v>48800000</v>
      </c>
      <c r="O1094" s="5">
        <v>51800000</v>
      </c>
      <c r="P1094" s="3">
        <v>0.97916666666666663</v>
      </c>
    </row>
    <row r="1095" spans="1:16" x14ac:dyDescent="0.25">
      <c r="A1095" s="2">
        <v>44170</v>
      </c>
      <c r="B1095" s="2">
        <v>43963</v>
      </c>
      <c r="C1095" t="str">
        <f>+"Tuáº§n "&amp;WEEKNUM(B1095)</f>
        <v>Tuáº§n 20</v>
      </c>
      <c r="D1095" t="s">
        <v>18</v>
      </c>
      <c r="E1095" t="s">
        <v>17</v>
      </c>
      <c r="F1095" s="5">
        <v>48600000</v>
      </c>
      <c r="G1095" s="5">
        <v>51600000</v>
      </c>
      <c r="H1095" s="5">
        <f>+(M1095*26000)/0.829426</f>
        <v>53427792.232218429</v>
      </c>
      <c r="I1095" s="5">
        <f>+G1095-H1095</f>
        <v>-1827792.2322184294</v>
      </c>
      <c r="J1095" s="5">
        <v>3000000</v>
      </c>
      <c r="K1095" s="5">
        <v>4860000</v>
      </c>
      <c r="L1095" s="5">
        <v>5160000</v>
      </c>
      <c r="M1095" s="7">
        <v>1704.4</v>
      </c>
      <c r="N1095" s="5">
        <v>49100000</v>
      </c>
      <c r="O1095" s="5">
        <v>52100000</v>
      </c>
      <c r="P1095" s="3">
        <v>0.97916666666666663</v>
      </c>
    </row>
    <row r="1096" spans="1:16" x14ac:dyDescent="0.25">
      <c r="A1096" t="s">
        <v>681</v>
      </c>
      <c r="B1096" s="2">
        <v>43964</v>
      </c>
      <c r="C1096" t="str">
        <f>+"Tuáº§n "&amp;WEEKNUM(B1096)</f>
        <v>Tuáº§n 20</v>
      </c>
      <c r="D1096" t="s">
        <v>19</v>
      </c>
      <c r="E1096" t="s">
        <v>17</v>
      </c>
      <c r="F1096" s="5">
        <v>48900000</v>
      </c>
      <c r="G1096" s="5">
        <v>51900000</v>
      </c>
      <c r="H1096" s="5">
        <f>+(M1096*26000)/0.829426</f>
        <v>53725588.539544217</v>
      </c>
      <c r="I1096" s="5">
        <f>+G1096-H1096</f>
        <v>-1825588.5395442173</v>
      </c>
      <c r="J1096" s="5">
        <v>3000000</v>
      </c>
      <c r="K1096" s="5">
        <v>4890000</v>
      </c>
      <c r="L1096" s="5">
        <v>5190000</v>
      </c>
      <c r="M1096" s="7">
        <v>1713.9</v>
      </c>
      <c r="N1096" s="5">
        <v>49400000</v>
      </c>
      <c r="O1096" s="5">
        <v>52400000</v>
      </c>
      <c r="P1096" s="3">
        <v>0.97916666666666663</v>
      </c>
    </row>
    <row r="1097" spans="1:16" x14ac:dyDescent="0.25">
      <c r="A1097" t="s">
        <v>682</v>
      </c>
      <c r="B1097" s="2">
        <v>43965</v>
      </c>
      <c r="C1097" t="str">
        <f>+"Tuáº§n "&amp;WEEKNUM(B1097)</f>
        <v>Tuáº§n 20</v>
      </c>
      <c r="D1097" t="s">
        <v>20</v>
      </c>
      <c r="E1097" t="s">
        <v>17</v>
      </c>
      <c r="F1097" s="5">
        <v>49600000</v>
      </c>
      <c r="G1097" s="5">
        <v>52600000</v>
      </c>
      <c r="H1097" s="5">
        <f>+(M1097*26000)/0.829426</f>
        <v>54484185.448732018</v>
      </c>
      <c r="I1097" s="5">
        <f>+G1097-H1097</f>
        <v>-1884185.4487320185</v>
      </c>
      <c r="J1097" s="5">
        <v>3000000</v>
      </c>
      <c r="K1097" s="5">
        <v>4960000</v>
      </c>
      <c r="L1097" s="5">
        <v>5260000</v>
      </c>
      <c r="M1097" s="7">
        <v>1738.1</v>
      </c>
      <c r="N1097" s="5">
        <v>50100000</v>
      </c>
      <c r="O1097" s="5">
        <v>53100000</v>
      </c>
      <c r="P1097" s="3">
        <v>0.97916666666666663</v>
      </c>
    </row>
    <row r="1098" spans="1:16" x14ac:dyDescent="0.25">
      <c r="A1098" t="s">
        <v>683</v>
      </c>
      <c r="B1098" s="2">
        <v>43966</v>
      </c>
      <c r="C1098" t="str">
        <f>+"Tuáº§n "&amp;WEEKNUM(B1098)</f>
        <v>Tuáº§n 20</v>
      </c>
      <c r="D1098" t="s">
        <v>21</v>
      </c>
      <c r="E1098" t="s">
        <v>17</v>
      </c>
      <c r="F1098" s="5">
        <v>50100000</v>
      </c>
      <c r="G1098" s="5">
        <v>53100000</v>
      </c>
      <c r="H1098" s="5">
        <f>+(M1098*26000)/0.829426</f>
        <v>54963794.238425128</v>
      </c>
      <c r="I1098" s="5">
        <f>+G1098-H1098</f>
        <v>-1863794.2384251282</v>
      </c>
      <c r="J1098" s="5">
        <v>3000000</v>
      </c>
      <c r="K1098" s="5">
        <v>5010000</v>
      </c>
      <c r="L1098" s="5">
        <v>5310000</v>
      </c>
      <c r="M1098" s="7">
        <v>1753.4</v>
      </c>
      <c r="N1098" s="5">
        <v>50600000</v>
      </c>
      <c r="O1098" s="5">
        <v>53600000</v>
      </c>
      <c r="P1098" s="3">
        <v>0.97916666666666663</v>
      </c>
    </row>
    <row r="1099" spans="1:16" x14ac:dyDescent="0.25">
      <c r="A1099" t="s">
        <v>684</v>
      </c>
      <c r="B1099" s="2">
        <v>43969</v>
      </c>
      <c r="C1099" t="str">
        <f>+"Tuáº§n "&amp;WEEKNUM(B1099)</f>
        <v>Tuáº§n 21</v>
      </c>
      <c r="D1099" t="s">
        <v>16</v>
      </c>
      <c r="E1099" t="s">
        <v>17</v>
      </c>
      <c r="F1099" s="5">
        <v>49400000</v>
      </c>
      <c r="G1099" s="5">
        <v>52400000</v>
      </c>
      <c r="H1099" s="5">
        <f>+(M1099*26000)/0.829426</f>
        <v>54286699.476505436</v>
      </c>
      <c r="I1099" s="5">
        <f>+G1099-H1099</f>
        <v>-1886699.476505436</v>
      </c>
      <c r="J1099" s="5">
        <v>3000000</v>
      </c>
      <c r="K1099" s="5">
        <v>4940000</v>
      </c>
      <c r="L1099" s="5">
        <v>5240000</v>
      </c>
      <c r="M1099" s="7">
        <v>1731.8</v>
      </c>
      <c r="N1099" s="5">
        <v>49900000</v>
      </c>
      <c r="O1099" s="5">
        <v>52900000</v>
      </c>
      <c r="P1099" s="3">
        <v>0.97916666666666663</v>
      </c>
    </row>
    <row r="1100" spans="1:16" x14ac:dyDescent="0.25">
      <c r="A1100" t="s">
        <v>685</v>
      </c>
      <c r="B1100" s="2">
        <v>43970</v>
      </c>
      <c r="C1100" t="str">
        <f>+"Tuáº§n "&amp;WEEKNUM(B1100)</f>
        <v>Tuáº§n 21</v>
      </c>
      <c r="D1100" t="s">
        <v>18</v>
      </c>
      <c r="E1100" t="s">
        <v>17</v>
      </c>
      <c r="F1100" s="5">
        <v>49800000</v>
      </c>
      <c r="G1100" s="5">
        <v>52800000</v>
      </c>
      <c r="H1100" s="5">
        <f>+(M1100*26000)/0.829426</f>
        <v>54675402.025014892</v>
      </c>
      <c r="I1100" s="5">
        <f>+G1100-H1100</f>
        <v>-1875402.0250148922</v>
      </c>
      <c r="J1100" s="5">
        <v>3000000</v>
      </c>
      <c r="K1100" s="5">
        <v>4980000</v>
      </c>
      <c r="L1100" s="5">
        <v>5280000</v>
      </c>
      <c r="M1100" s="7">
        <v>1744.2</v>
      </c>
      <c r="N1100" s="5">
        <v>50300000</v>
      </c>
      <c r="O1100" s="5">
        <v>53300000</v>
      </c>
      <c r="P1100" s="3">
        <v>0.97916666666666663</v>
      </c>
    </row>
    <row r="1101" spans="1:16" x14ac:dyDescent="0.25">
      <c r="A1101" t="s">
        <v>686</v>
      </c>
      <c r="B1101" s="2">
        <v>43971</v>
      </c>
      <c r="C1101" t="str">
        <f>+"Tuáº§n "&amp;WEEKNUM(B1101)</f>
        <v>Tuáº§n 21</v>
      </c>
      <c r="D1101" t="s">
        <v>19</v>
      </c>
      <c r="E1101" t="s">
        <v>17</v>
      </c>
      <c r="F1101" s="5">
        <v>50000000</v>
      </c>
      <c r="G1101" s="5">
        <v>53000000</v>
      </c>
      <c r="H1101" s="5">
        <f>+(M1101*26000)/0.829426</f>
        <v>54876022.695213318</v>
      </c>
      <c r="I1101" s="5">
        <f>+G1101-H1101</f>
        <v>-1876022.6952133179</v>
      </c>
      <c r="J1101" s="5">
        <v>3000000</v>
      </c>
      <c r="K1101" s="5">
        <v>5000000</v>
      </c>
      <c r="L1101" s="5">
        <v>5300000</v>
      </c>
      <c r="M1101" s="7">
        <v>1750.6</v>
      </c>
      <c r="N1101" s="5">
        <v>50500000</v>
      </c>
      <c r="O1101" s="5">
        <v>53500000</v>
      </c>
      <c r="P1101" s="3">
        <v>0.97916666666666663</v>
      </c>
    </row>
    <row r="1102" spans="1:16" x14ac:dyDescent="0.25">
      <c r="A1102" t="s">
        <v>687</v>
      </c>
      <c r="B1102" s="2">
        <v>43972</v>
      </c>
      <c r="C1102" t="str">
        <f>+"Tuáº§n "&amp;WEEKNUM(B1102)</f>
        <v>Tuáº§n 21</v>
      </c>
      <c r="D1102" t="s">
        <v>20</v>
      </c>
      <c r="E1102" t="s">
        <v>17</v>
      </c>
      <c r="F1102" s="5">
        <v>49100000</v>
      </c>
      <c r="G1102" s="5">
        <v>52100000</v>
      </c>
      <c r="H1102" s="5">
        <f>+(M1102*26000)/0.829426</f>
        <v>53932478.605686344</v>
      </c>
      <c r="I1102" s="5">
        <f>+G1102-H1102</f>
        <v>-1832478.6056863442</v>
      </c>
      <c r="J1102" s="5">
        <v>3000000</v>
      </c>
      <c r="K1102" s="5">
        <v>4910000</v>
      </c>
      <c r="L1102" s="5">
        <v>5210000</v>
      </c>
      <c r="M1102" s="7">
        <v>1720.5</v>
      </c>
      <c r="N1102" s="5">
        <v>49600000</v>
      </c>
      <c r="O1102" s="5">
        <v>52600000</v>
      </c>
      <c r="P1102" s="3">
        <v>0.97916666666666663</v>
      </c>
    </row>
    <row r="1103" spans="1:16" x14ac:dyDescent="0.25">
      <c r="A1103" t="s">
        <v>688</v>
      </c>
      <c r="B1103" s="2">
        <v>43973</v>
      </c>
      <c r="C1103" t="str">
        <f>+"Tuáº§n "&amp;WEEKNUM(B1103)</f>
        <v>Tuáº§n 21</v>
      </c>
      <c r="D1103" t="s">
        <v>21</v>
      </c>
      <c r="E1103" t="s">
        <v>17</v>
      </c>
      <c r="F1103" s="5">
        <v>49500000</v>
      </c>
      <c r="G1103" s="5">
        <v>52500000</v>
      </c>
      <c r="H1103" s="5">
        <f>+(M1103*26000)/0.829426</f>
        <v>54374471.019717254</v>
      </c>
      <c r="I1103" s="5">
        <f>+G1103-H1103</f>
        <v>-1874471.0197172537</v>
      </c>
      <c r="J1103" s="5">
        <v>3000000</v>
      </c>
      <c r="K1103" s="5">
        <v>4950000</v>
      </c>
      <c r="L1103" s="5">
        <v>5250000</v>
      </c>
      <c r="M1103" s="7">
        <v>1734.6</v>
      </c>
      <c r="N1103" s="5">
        <v>50000000</v>
      </c>
      <c r="O1103" s="5">
        <v>53000000</v>
      </c>
      <c r="P1103" s="3">
        <v>0.97916666666666663</v>
      </c>
    </row>
    <row r="1104" spans="1:16" x14ac:dyDescent="0.25">
      <c r="A1104" t="s">
        <v>689</v>
      </c>
      <c r="B1104" s="2">
        <v>43977</v>
      </c>
      <c r="C1104" t="str">
        <f>+"Tuáº§n "&amp;WEEKNUM(B1104)</f>
        <v>Tuáº§n 22</v>
      </c>
      <c r="D1104" t="s">
        <v>18</v>
      </c>
      <c r="E1104" t="s">
        <v>17</v>
      </c>
      <c r="F1104" s="5">
        <v>48600000</v>
      </c>
      <c r="G1104" s="5">
        <v>51600000</v>
      </c>
      <c r="H1104" s="5">
        <f>+(M1104*26000)/0.829426</f>
        <v>53440331.024105825</v>
      </c>
      <c r="I1104" s="5">
        <f>+G1104-H1104</f>
        <v>-1840331.0241058245</v>
      </c>
      <c r="J1104" s="5">
        <v>3000000</v>
      </c>
      <c r="K1104" s="5">
        <v>4860000</v>
      </c>
      <c r="L1104" s="5">
        <v>5160000</v>
      </c>
      <c r="M1104" s="7">
        <v>1704.8</v>
      </c>
      <c r="N1104" s="5">
        <v>49100000</v>
      </c>
      <c r="O1104" s="5">
        <v>52100000</v>
      </c>
      <c r="P1104" s="3">
        <v>0.97916666666666663</v>
      </c>
    </row>
    <row r="1105" spans="1:16" x14ac:dyDescent="0.25">
      <c r="A1105" t="s">
        <v>690</v>
      </c>
      <c r="B1105" s="2">
        <v>43978</v>
      </c>
      <c r="C1105" t="str">
        <f>+"Tuáº§n "&amp;WEEKNUM(B1105)</f>
        <v>Tuáº§n 22</v>
      </c>
      <c r="D1105" t="s">
        <v>19</v>
      </c>
      <c r="E1105" t="s">
        <v>17</v>
      </c>
      <c r="F1105" s="5">
        <v>48800000</v>
      </c>
      <c r="G1105" s="5">
        <v>51800000</v>
      </c>
      <c r="H1105" s="5">
        <f>+(M1105*26000)/0.829426</f>
        <v>53612739.412557602</v>
      </c>
      <c r="I1105" s="5">
        <f>+G1105-H1105</f>
        <v>-1812739.4125576019</v>
      </c>
      <c r="J1105" s="5">
        <v>3000000</v>
      </c>
      <c r="K1105" s="5">
        <v>4880000</v>
      </c>
      <c r="L1105" s="5">
        <v>5180000</v>
      </c>
      <c r="M1105" s="7">
        <v>1710.3</v>
      </c>
      <c r="N1105" s="5">
        <v>49300000</v>
      </c>
      <c r="O1105" s="5">
        <v>52300000</v>
      </c>
      <c r="P1105" s="3">
        <v>0.97916666666666663</v>
      </c>
    </row>
    <row r="1106" spans="1:16" x14ac:dyDescent="0.25">
      <c r="A1106" t="s">
        <v>691</v>
      </c>
      <c r="B1106" s="2">
        <v>43979</v>
      </c>
      <c r="C1106" t="str">
        <f>+"Tuáº§n "&amp;WEEKNUM(B1106)</f>
        <v>Tuáº§n 22</v>
      </c>
      <c r="D1106" t="s">
        <v>20</v>
      </c>
      <c r="E1106" t="s">
        <v>17</v>
      </c>
      <c r="F1106" s="5">
        <v>48900000</v>
      </c>
      <c r="G1106" s="5">
        <v>51900000</v>
      </c>
      <c r="H1106" s="5">
        <f>+(M1106*26000)/0.829426</f>
        <v>53706780.351713113</v>
      </c>
      <c r="I1106" s="5">
        <f>+G1106-H1106</f>
        <v>-1806780.3517131135</v>
      </c>
      <c r="J1106" s="5">
        <v>3000000</v>
      </c>
      <c r="K1106" s="5">
        <v>4890000</v>
      </c>
      <c r="L1106" s="5">
        <v>5190000</v>
      </c>
      <c r="M1106" s="7">
        <v>1713.3</v>
      </c>
      <c r="N1106" s="5">
        <v>49400000</v>
      </c>
      <c r="O1106" s="5">
        <v>52400000</v>
      </c>
      <c r="P1106" s="3">
        <v>0.97916666666666663</v>
      </c>
    </row>
    <row r="1107" spans="1:16" x14ac:dyDescent="0.25">
      <c r="A1107" t="s">
        <v>692</v>
      </c>
      <c r="B1107" s="2">
        <v>43980</v>
      </c>
      <c r="C1107" t="str">
        <f>+"Tuáº§n "&amp;WEEKNUM(B1107)</f>
        <v>Tuáº§n 22</v>
      </c>
      <c r="D1107" t="s">
        <v>21</v>
      </c>
      <c r="E1107" t="s">
        <v>17</v>
      </c>
      <c r="F1107" s="5">
        <v>49600000</v>
      </c>
      <c r="G1107" s="5">
        <v>52600000</v>
      </c>
      <c r="H1107" s="5">
        <f>+(M1107*26000)/0.829426</f>
        <v>54446569.073069811</v>
      </c>
      <c r="I1107" s="5">
        <f>+G1107-H1107</f>
        <v>-1846569.0730698109</v>
      </c>
      <c r="J1107" s="5">
        <v>3000000</v>
      </c>
      <c r="K1107" s="5">
        <v>4960000</v>
      </c>
      <c r="L1107" s="5">
        <v>5260000</v>
      </c>
      <c r="M1107" s="7">
        <v>1736.9</v>
      </c>
      <c r="N1107" s="5">
        <v>50100000</v>
      </c>
      <c r="O1107" s="5">
        <v>53100000</v>
      </c>
      <c r="P1107" s="3">
        <v>0.97916666666666663</v>
      </c>
    </row>
    <row r="1108" spans="1:16" x14ac:dyDescent="0.25">
      <c r="A1108" s="2">
        <v>43836</v>
      </c>
      <c r="B1108" s="2">
        <v>43983</v>
      </c>
      <c r="C1108" t="str">
        <f>+"Tuáº§n "&amp;WEEKNUM(B1108)</f>
        <v>Tuáº§n 23</v>
      </c>
      <c r="D1108" t="s">
        <v>16</v>
      </c>
      <c r="E1108" t="s">
        <v>17</v>
      </c>
      <c r="F1108" s="5">
        <v>49600000</v>
      </c>
      <c r="G1108" s="5">
        <v>52600000</v>
      </c>
      <c r="H1108" s="5">
        <f>+(M1108*26000)/0.829426</f>
        <v>54474781.354816467</v>
      </c>
      <c r="I1108" s="5">
        <f>+G1108-H1108</f>
        <v>-1874781.3548164666</v>
      </c>
      <c r="J1108" s="5">
        <v>3000000</v>
      </c>
      <c r="K1108" s="5">
        <v>4960000</v>
      </c>
      <c r="L1108" s="5">
        <v>5260000</v>
      </c>
      <c r="M1108" s="7">
        <v>1737.8</v>
      </c>
      <c r="N1108" s="5">
        <v>50100000</v>
      </c>
      <c r="O1108" s="5">
        <v>53100000</v>
      </c>
      <c r="P1108" s="3">
        <v>0.97916666666666663</v>
      </c>
    </row>
    <row r="1109" spans="1:16" x14ac:dyDescent="0.25">
      <c r="A1109" s="2">
        <v>43867</v>
      </c>
      <c r="B1109" s="2">
        <v>43984</v>
      </c>
      <c r="C1109" t="str">
        <f>+"Tuáº§n "&amp;WEEKNUM(B1109)</f>
        <v>Tuáº§n 23</v>
      </c>
      <c r="D1109" t="s">
        <v>18</v>
      </c>
      <c r="E1109" t="s">
        <v>17</v>
      </c>
      <c r="F1109" s="5">
        <v>49200000</v>
      </c>
      <c r="G1109" s="5">
        <v>52200000</v>
      </c>
      <c r="H1109" s="5">
        <f>+(M1109*26000)/0.829426</f>
        <v>54079809.410363309</v>
      </c>
      <c r="I1109" s="5">
        <f>+G1109-H1109</f>
        <v>-1879809.4103633091</v>
      </c>
      <c r="J1109" s="5">
        <v>3000000</v>
      </c>
      <c r="K1109" s="5">
        <v>4920000</v>
      </c>
      <c r="L1109" s="5">
        <v>5220000</v>
      </c>
      <c r="M1109" s="7">
        <v>1725.2</v>
      </c>
      <c r="N1109" s="5">
        <v>49700000</v>
      </c>
      <c r="O1109" s="5">
        <v>52700000</v>
      </c>
      <c r="P1109" s="3">
        <v>0.97916666666666663</v>
      </c>
    </row>
    <row r="1110" spans="1:16" x14ac:dyDescent="0.25">
      <c r="A1110" s="2">
        <v>43896</v>
      </c>
      <c r="B1110" s="2">
        <v>43985</v>
      </c>
      <c r="C1110" t="str">
        <f>+"Tuáº§n "&amp;WEEKNUM(B1110)</f>
        <v>Tuáº§n 23</v>
      </c>
      <c r="D1110" t="s">
        <v>19</v>
      </c>
      <c r="E1110" t="s">
        <v>17</v>
      </c>
      <c r="F1110" s="5">
        <v>48400000</v>
      </c>
      <c r="G1110" s="5">
        <v>51400000</v>
      </c>
      <c r="H1110" s="5">
        <f>+(M1110*26000)/0.829426</f>
        <v>53220902.166076295</v>
      </c>
      <c r="I1110" s="5">
        <f>+G1110-H1110</f>
        <v>-1820902.1660762951</v>
      </c>
      <c r="J1110" s="5">
        <v>3000000</v>
      </c>
      <c r="K1110" s="5">
        <v>4840000</v>
      </c>
      <c r="L1110" s="5">
        <v>5140000</v>
      </c>
      <c r="M1110" s="7">
        <v>1697.8</v>
      </c>
      <c r="N1110" s="5">
        <v>48900000</v>
      </c>
      <c r="O1110" s="5">
        <v>51900000</v>
      </c>
      <c r="P1110" s="3">
        <v>0.97916666666666663</v>
      </c>
    </row>
    <row r="1111" spans="1:16" x14ac:dyDescent="0.25">
      <c r="A1111" s="2">
        <v>43927</v>
      </c>
      <c r="B1111" s="2">
        <v>43986</v>
      </c>
      <c r="C1111" t="str">
        <f>+"Tuáº§n "&amp;WEEKNUM(B1111)</f>
        <v>Tuáº§n 23</v>
      </c>
      <c r="D1111" t="s">
        <v>20</v>
      </c>
      <c r="E1111" t="s">
        <v>17</v>
      </c>
      <c r="F1111" s="5">
        <v>49000000</v>
      </c>
      <c r="G1111" s="5">
        <v>52000000</v>
      </c>
      <c r="H1111" s="5">
        <f>+(M1111*26000)/0.829426</f>
        <v>53882323.438136734</v>
      </c>
      <c r="I1111" s="5">
        <f>+G1111-H1111</f>
        <v>-1882323.4381367341</v>
      </c>
      <c r="J1111" s="5">
        <v>3000000</v>
      </c>
      <c r="K1111" s="5">
        <v>4900000</v>
      </c>
      <c r="L1111" s="5">
        <v>5200000</v>
      </c>
      <c r="M1111" s="7">
        <v>1718.9</v>
      </c>
      <c r="N1111" s="5">
        <v>49500000</v>
      </c>
      <c r="O1111" s="5">
        <v>52500000</v>
      </c>
      <c r="P1111" s="3">
        <v>0.97916666666666663</v>
      </c>
    </row>
    <row r="1112" spans="1:16" x14ac:dyDescent="0.25">
      <c r="A1112" s="2">
        <v>43957</v>
      </c>
      <c r="B1112" s="2">
        <v>43987</v>
      </c>
      <c r="C1112" t="str">
        <f>+"Tuáº§n "&amp;WEEKNUM(B1112)</f>
        <v>Tuáº§n 23</v>
      </c>
      <c r="D1112" t="s">
        <v>21</v>
      </c>
      <c r="E1112" t="s">
        <v>17</v>
      </c>
      <c r="F1112" s="5">
        <v>47700000</v>
      </c>
      <c r="G1112" s="5">
        <v>50700000</v>
      </c>
      <c r="H1112" s="5">
        <f>+(M1112*26000)/0.829426</f>
        <v>52543807.40415661</v>
      </c>
      <c r="I1112" s="5">
        <f>+G1112-H1112</f>
        <v>-1843807.4041566104</v>
      </c>
      <c r="J1112" s="5">
        <v>3000000</v>
      </c>
      <c r="K1112" s="5">
        <v>4770000</v>
      </c>
      <c r="L1112" s="5">
        <v>5070000</v>
      </c>
      <c r="M1112" s="7">
        <v>1676.2</v>
      </c>
      <c r="N1112" s="5">
        <v>48200000</v>
      </c>
      <c r="O1112" s="5">
        <v>51200000</v>
      </c>
      <c r="P1112" s="3">
        <v>0.97916666666666663</v>
      </c>
    </row>
    <row r="1113" spans="1:16" x14ac:dyDescent="0.25">
      <c r="A1113" s="2">
        <v>44049</v>
      </c>
      <c r="B1113" s="2">
        <v>43990</v>
      </c>
      <c r="C1113" t="str">
        <f>+"Tuáº§n "&amp;WEEKNUM(B1113)</f>
        <v>Tuáº§n 24</v>
      </c>
      <c r="D1113" t="s">
        <v>16</v>
      </c>
      <c r="E1113" t="s">
        <v>17</v>
      </c>
      <c r="F1113" s="5">
        <v>48400000</v>
      </c>
      <c r="G1113" s="5">
        <v>51400000</v>
      </c>
      <c r="H1113" s="5">
        <f>+(M1113*26000)/0.829426</f>
        <v>53236575.655935548</v>
      </c>
      <c r="I1113" s="5">
        <f>+G1113-H1113</f>
        <v>-1836575.6559355482</v>
      </c>
      <c r="J1113" s="5">
        <v>3000000</v>
      </c>
      <c r="K1113" s="5">
        <v>4840000</v>
      </c>
      <c r="L1113" s="5">
        <v>5140000</v>
      </c>
      <c r="M1113" s="7">
        <v>1698.3</v>
      </c>
      <c r="N1113" s="5">
        <v>48900000</v>
      </c>
      <c r="O1113" s="5">
        <v>51900000</v>
      </c>
      <c r="P1113" s="3">
        <v>0.97916666666666663</v>
      </c>
    </row>
    <row r="1114" spans="1:16" x14ac:dyDescent="0.25">
      <c r="A1114" s="2">
        <v>44080</v>
      </c>
      <c r="B1114" s="2">
        <v>43991</v>
      </c>
      <c r="C1114" t="str">
        <f>+"Tuáº§n "&amp;WEEKNUM(B1114)</f>
        <v>Tuáº§n 24</v>
      </c>
      <c r="D1114" t="s">
        <v>18</v>
      </c>
      <c r="E1114" t="s">
        <v>17</v>
      </c>
      <c r="F1114" s="5">
        <v>48900000</v>
      </c>
      <c r="G1114" s="5">
        <v>51900000</v>
      </c>
      <c r="H1114" s="5">
        <f>+(M1114*26000)/0.829426</f>
        <v>53750666.123319015</v>
      </c>
      <c r="I1114" s="5">
        <f>+G1114-H1114</f>
        <v>-1850666.1233190149</v>
      </c>
      <c r="J1114" s="5">
        <v>3000000</v>
      </c>
      <c r="K1114" s="5">
        <v>4890000</v>
      </c>
      <c r="L1114" s="5">
        <v>5190000</v>
      </c>
      <c r="M1114" s="7">
        <v>1714.7</v>
      </c>
      <c r="N1114" s="5">
        <v>49400000</v>
      </c>
      <c r="O1114" s="5">
        <v>52400000</v>
      </c>
      <c r="P1114" s="3">
        <v>0.97916666666666663</v>
      </c>
    </row>
    <row r="1115" spans="1:16" x14ac:dyDescent="0.25">
      <c r="A1115" s="2">
        <v>44110</v>
      </c>
      <c r="B1115" s="2">
        <v>43992</v>
      </c>
      <c r="C1115" t="str">
        <f>+"Tuáº§n "&amp;WEEKNUM(B1115)</f>
        <v>Tuáº§n 24</v>
      </c>
      <c r="D1115" t="s">
        <v>19</v>
      </c>
      <c r="E1115" t="s">
        <v>17</v>
      </c>
      <c r="F1115" s="5">
        <v>48900000</v>
      </c>
      <c r="G1115" s="5">
        <v>51900000</v>
      </c>
      <c r="H1115" s="5">
        <f>+(M1115*26000)/0.829426</f>
        <v>53706780.351713113</v>
      </c>
      <c r="I1115" s="5">
        <f>+G1115-H1115</f>
        <v>-1806780.3517131135</v>
      </c>
      <c r="J1115" s="5">
        <v>3000000</v>
      </c>
      <c r="K1115" s="5">
        <v>4890000</v>
      </c>
      <c r="L1115" s="5">
        <v>5190000</v>
      </c>
      <c r="M1115" s="7">
        <v>1713.3</v>
      </c>
      <c r="N1115" s="5">
        <v>49400000</v>
      </c>
      <c r="O1115" s="5">
        <v>52400000</v>
      </c>
      <c r="P1115" s="3">
        <v>0.97916666666666663</v>
      </c>
    </row>
    <row r="1116" spans="1:16" x14ac:dyDescent="0.25">
      <c r="A1116" s="2">
        <v>44141</v>
      </c>
      <c r="B1116" s="2">
        <v>43993</v>
      </c>
      <c r="C1116" t="str">
        <f>+"Tuáº§n "&amp;WEEKNUM(B1116)</f>
        <v>Tuáº§n 24</v>
      </c>
      <c r="D1116" t="s">
        <v>20</v>
      </c>
      <c r="E1116" t="s">
        <v>17</v>
      </c>
      <c r="F1116" s="5">
        <v>49400000</v>
      </c>
      <c r="G1116" s="5">
        <v>52400000</v>
      </c>
      <c r="H1116" s="5">
        <f>+(M1116*26000)/0.829426</f>
        <v>54292968.872449137</v>
      </c>
      <c r="I1116" s="5">
        <f>+G1116-H1116</f>
        <v>-1892968.8724491373</v>
      </c>
      <c r="J1116" s="5">
        <v>3000000</v>
      </c>
      <c r="K1116" s="5">
        <v>4940000</v>
      </c>
      <c r="L1116" s="5">
        <v>5240000</v>
      </c>
      <c r="M1116" s="7">
        <v>1732</v>
      </c>
      <c r="N1116" s="5">
        <v>49900000</v>
      </c>
      <c r="O1116" s="5">
        <v>52900000</v>
      </c>
      <c r="P1116" s="3">
        <v>0.97916666666666663</v>
      </c>
    </row>
    <row r="1117" spans="1:16" x14ac:dyDescent="0.25">
      <c r="A1117" s="2">
        <v>44171</v>
      </c>
      <c r="B1117" s="2">
        <v>43994</v>
      </c>
      <c r="C1117" t="str">
        <f>+"Tuáº§n "&amp;WEEKNUM(B1117)</f>
        <v>Tuáº§n 24</v>
      </c>
      <c r="D1117" t="s">
        <v>21</v>
      </c>
      <c r="E1117" t="s">
        <v>17</v>
      </c>
      <c r="F1117" s="5">
        <v>49400000</v>
      </c>
      <c r="G1117" s="5">
        <v>52400000</v>
      </c>
      <c r="H1117" s="5">
        <f>+(M1117*26000)/0.829426</f>
        <v>54208332.027209178</v>
      </c>
      <c r="I1117" s="5">
        <f>+G1117-H1117</f>
        <v>-1808332.0272091776</v>
      </c>
      <c r="J1117" s="5">
        <v>3000000</v>
      </c>
      <c r="K1117" s="5">
        <v>4940000</v>
      </c>
      <c r="L1117" s="5">
        <v>5240000</v>
      </c>
      <c r="M1117" s="7">
        <v>1729.3</v>
      </c>
      <c r="N1117" s="5">
        <v>49900000</v>
      </c>
      <c r="O1117" s="5">
        <v>52900000</v>
      </c>
      <c r="P1117" s="3">
        <v>0.97916666666666663</v>
      </c>
    </row>
    <row r="1118" spans="1:16" x14ac:dyDescent="0.25">
      <c r="A1118" t="s">
        <v>693</v>
      </c>
      <c r="B1118" s="2">
        <v>43997</v>
      </c>
      <c r="C1118" t="str">
        <f>+"Tuáº§n "&amp;WEEKNUM(B1118)</f>
        <v>Tuáº§n 25</v>
      </c>
      <c r="D1118" t="s">
        <v>16</v>
      </c>
      <c r="E1118" t="s">
        <v>17</v>
      </c>
      <c r="F1118" s="5">
        <v>49100000</v>
      </c>
      <c r="G1118" s="5">
        <v>52100000</v>
      </c>
      <c r="H1118" s="5">
        <f>+(M1118*26000)/0.829426</f>
        <v>53926209.209742643</v>
      </c>
      <c r="I1118" s="5">
        <f>+G1118-H1118</f>
        <v>-1826209.2097426429</v>
      </c>
      <c r="J1118" s="5">
        <v>3000000</v>
      </c>
      <c r="K1118" s="5">
        <v>4910000</v>
      </c>
      <c r="L1118" s="5">
        <v>5210000</v>
      </c>
      <c r="M1118" s="7">
        <v>1720.3</v>
      </c>
      <c r="N1118" s="5">
        <v>49600000</v>
      </c>
      <c r="O1118" s="5">
        <v>52600000</v>
      </c>
      <c r="P1118" s="3">
        <v>0.97916666666666663</v>
      </c>
    </row>
    <row r="1119" spans="1:16" x14ac:dyDescent="0.25">
      <c r="A1119" t="s">
        <v>694</v>
      </c>
      <c r="B1119" s="2">
        <v>43998</v>
      </c>
      <c r="C1119" t="str">
        <f>+"Tuáº§n "&amp;WEEKNUM(B1119)</f>
        <v>Tuáº§n 25</v>
      </c>
      <c r="D1119" t="s">
        <v>18</v>
      </c>
      <c r="E1119" t="s">
        <v>17</v>
      </c>
      <c r="F1119" s="5">
        <v>49400000</v>
      </c>
      <c r="G1119" s="5">
        <v>52400000</v>
      </c>
      <c r="H1119" s="5">
        <f>+(M1119*26000)/0.829426</f>
        <v>54217736.12112473</v>
      </c>
      <c r="I1119" s="5">
        <f>+G1119-H1119</f>
        <v>-1817736.1211247295</v>
      </c>
      <c r="J1119" s="5">
        <v>3000000</v>
      </c>
      <c r="K1119" s="5">
        <v>4940000</v>
      </c>
      <c r="L1119" s="5">
        <v>5240000</v>
      </c>
      <c r="M1119" s="7">
        <v>1729.6</v>
      </c>
      <c r="N1119" s="5">
        <v>49900000</v>
      </c>
      <c r="O1119" s="5">
        <v>52900000</v>
      </c>
      <c r="P1119" s="3">
        <v>0.97916666666666663</v>
      </c>
    </row>
    <row r="1120" spans="1:16" x14ac:dyDescent="0.25">
      <c r="A1120" t="s">
        <v>695</v>
      </c>
      <c r="B1120" s="2">
        <v>43999</v>
      </c>
      <c r="C1120" t="str">
        <f>+"Tuáº§n "&amp;WEEKNUM(B1120)</f>
        <v>Tuáº§n 25</v>
      </c>
      <c r="D1120" t="s">
        <v>19</v>
      </c>
      <c r="E1120" t="s">
        <v>17</v>
      </c>
      <c r="F1120" s="5">
        <v>49300000</v>
      </c>
      <c r="G1120" s="5">
        <v>52300000</v>
      </c>
      <c r="H1120" s="5">
        <f>+(M1120*26000)/0.829426</f>
        <v>54205197.329237327</v>
      </c>
      <c r="I1120" s="5">
        <f>+G1120-H1120</f>
        <v>-1905197.329237327</v>
      </c>
      <c r="J1120" s="5">
        <v>3000000</v>
      </c>
      <c r="K1120" s="5">
        <v>4930000</v>
      </c>
      <c r="L1120" s="5">
        <v>5230000</v>
      </c>
      <c r="M1120" s="7">
        <v>1729.2</v>
      </c>
      <c r="N1120" s="5">
        <v>49800000</v>
      </c>
      <c r="O1120" s="5">
        <v>52800000</v>
      </c>
      <c r="P1120" s="3">
        <v>0.97916666666666663</v>
      </c>
    </row>
    <row r="1121" spans="1:16" x14ac:dyDescent="0.25">
      <c r="A1121" t="s">
        <v>696</v>
      </c>
      <c r="B1121" s="2">
        <v>44000</v>
      </c>
      <c r="C1121" t="str">
        <f>+"Tuáº§n "&amp;WEEKNUM(B1121)</f>
        <v>Tuáº§n 25</v>
      </c>
      <c r="D1121" t="s">
        <v>20</v>
      </c>
      <c r="E1121" t="s">
        <v>17</v>
      </c>
      <c r="F1121" s="5">
        <v>49200000</v>
      </c>
      <c r="G1121" s="5">
        <v>52200000</v>
      </c>
      <c r="H1121" s="5">
        <f>+(M1121*26000)/0.829426</f>
        <v>54067270.618475907</v>
      </c>
      <c r="I1121" s="5">
        <f>+G1121-H1121</f>
        <v>-1867270.6184759066</v>
      </c>
      <c r="J1121" s="5">
        <v>3000000</v>
      </c>
      <c r="K1121" s="5">
        <v>4920000</v>
      </c>
      <c r="L1121" s="5">
        <v>5220000</v>
      </c>
      <c r="M1121" s="7">
        <v>1724.8</v>
      </c>
      <c r="N1121" s="5">
        <v>49700000</v>
      </c>
      <c r="O1121" s="5">
        <v>52700000</v>
      </c>
      <c r="P1121" s="3">
        <v>0.97916666666666663</v>
      </c>
    </row>
    <row r="1122" spans="1:16" x14ac:dyDescent="0.25">
      <c r="A1122" t="s">
        <v>697</v>
      </c>
      <c r="B1122" s="2">
        <v>44001</v>
      </c>
      <c r="C1122" t="str">
        <f>+"Tuáº§n "&amp;WEEKNUM(B1122)</f>
        <v>Tuáº§n 25</v>
      </c>
      <c r="D1122" t="s">
        <v>21</v>
      </c>
      <c r="E1122" t="s">
        <v>17</v>
      </c>
      <c r="F1122" s="5">
        <v>49900000</v>
      </c>
      <c r="G1122" s="5">
        <v>52900000</v>
      </c>
      <c r="H1122" s="5">
        <f>+(M1122*26000)/0.829426</f>
        <v>54728691.890536346</v>
      </c>
      <c r="I1122" s="5">
        <f>+G1122-H1122</f>
        <v>-1828691.8905363455</v>
      </c>
      <c r="J1122" s="5">
        <v>3000000</v>
      </c>
      <c r="K1122" s="5">
        <v>4990000</v>
      </c>
      <c r="L1122" s="5">
        <v>5290000</v>
      </c>
      <c r="M1122" s="7">
        <v>1745.9</v>
      </c>
      <c r="N1122" s="5">
        <v>50400000</v>
      </c>
      <c r="O1122" s="5">
        <v>53400000</v>
      </c>
      <c r="P1122" s="3">
        <v>0.97916666666666663</v>
      </c>
    </row>
    <row r="1123" spans="1:16" x14ac:dyDescent="0.25">
      <c r="A1123" t="s">
        <v>698</v>
      </c>
      <c r="B1123" s="2">
        <v>44004</v>
      </c>
      <c r="C1123" t="str">
        <f>+"Tuáº§n "&amp;WEEKNUM(B1123)</f>
        <v>Tuáº§n 26</v>
      </c>
      <c r="D1123" t="s">
        <v>16</v>
      </c>
      <c r="E1123" t="s">
        <v>17</v>
      </c>
      <c r="F1123" s="5">
        <v>50200000</v>
      </c>
      <c r="G1123" s="5">
        <v>53200000</v>
      </c>
      <c r="H1123" s="5">
        <f>+(M1123*26000)/0.829426</f>
        <v>55067239.271496192</v>
      </c>
      <c r="I1123" s="5">
        <f>+G1123-H1123</f>
        <v>-1867239.2714961916</v>
      </c>
      <c r="J1123" s="5">
        <v>3000000</v>
      </c>
      <c r="K1123" s="5">
        <v>5020000</v>
      </c>
      <c r="L1123" s="5">
        <v>5320000</v>
      </c>
      <c r="M1123" s="7">
        <v>1756.7</v>
      </c>
      <c r="N1123" s="5">
        <v>50700000</v>
      </c>
      <c r="O1123" s="5">
        <v>53700000</v>
      </c>
      <c r="P1123" s="3">
        <v>0.97916666666666663</v>
      </c>
    </row>
    <row r="1124" spans="1:16" x14ac:dyDescent="0.25">
      <c r="A1124" t="s">
        <v>699</v>
      </c>
      <c r="B1124" s="2">
        <v>44005</v>
      </c>
      <c r="C1124" t="str">
        <f>+"Tuáº§n "&amp;WEEKNUM(B1124)</f>
        <v>Tuáº§n 26</v>
      </c>
      <c r="D1124" t="s">
        <v>18</v>
      </c>
      <c r="E1124" t="s">
        <v>17</v>
      </c>
      <c r="F1124" s="5">
        <v>50600000</v>
      </c>
      <c r="G1124" s="5">
        <v>53600000</v>
      </c>
      <c r="H1124" s="5">
        <f>+(M1124*26000)/0.829426</f>
        <v>55549982.759161152</v>
      </c>
      <c r="I1124" s="5">
        <f>+G1124-H1124</f>
        <v>-1949982.7591611519</v>
      </c>
      <c r="J1124" s="5">
        <v>3000000</v>
      </c>
      <c r="K1124" s="5">
        <v>5060000</v>
      </c>
      <c r="L1124" s="5">
        <v>5360000</v>
      </c>
      <c r="M1124" s="7">
        <v>1772.1</v>
      </c>
      <c r="N1124" s="5">
        <v>51100000</v>
      </c>
      <c r="O1124" s="5">
        <v>54100000</v>
      </c>
      <c r="P1124" s="3">
        <v>0.97916666666666663</v>
      </c>
    </row>
    <row r="1125" spans="1:16" x14ac:dyDescent="0.25">
      <c r="A1125" t="s">
        <v>700</v>
      </c>
      <c r="B1125" s="2">
        <v>44006</v>
      </c>
      <c r="C1125" t="str">
        <f>+"Tuáº§n "&amp;WEEKNUM(B1125)</f>
        <v>Tuáº§n 26</v>
      </c>
      <c r="D1125" t="s">
        <v>19</v>
      </c>
      <c r="E1125" t="s">
        <v>17</v>
      </c>
      <c r="F1125" s="5">
        <v>50500000</v>
      </c>
      <c r="G1125" s="5">
        <v>53500000</v>
      </c>
      <c r="H1125" s="5">
        <f>+(M1125*26000)/0.829426</f>
        <v>55352496.786934577</v>
      </c>
      <c r="I1125" s="5">
        <f>+G1125-H1125</f>
        <v>-1852496.7869345769</v>
      </c>
      <c r="J1125" s="5">
        <v>3000000</v>
      </c>
      <c r="K1125" s="5">
        <v>5050000</v>
      </c>
      <c r="L1125" s="5">
        <v>5350000</v>
      </c>
      <c r="M1125" s="7">
        <v>1765.8</v>
      </c>
      <c r="N1125" s="5">
        <v>51000000</v>
      </c>
      <c r="O1125" s="5">
        <v>54000000</v>
      </c>
      <c r="P1125" s="3">
        <v>0.97916666666666663</v>
      </c>
    </row>
    <row r="1126" spans="1:16" x14ac:dyDescent="0.25">
      <c r="A1126" t="s">
        <v>701</v>
      </c>
      <c r="B1126" s="2">
        <v>44007</v>
      </c>
      <c r="C1126" t="str">
        <f>+"Tuáº§n "&amp;WEEKNUM(B1126)</f>
        <v>Tuáº§n 26</v>
      </c>
      <c r="D1126" t="s">
        <v>20</v>
      </c>
      <c r="E1126" t="s">
        <v>17</v>
      </c>
      <c r="F1126" s="5">
        <v>50300000</v>
      </c>
      <c r="G1126" s="5">
        <v>53300000</v>
      </c>
      <c r="H1126" s="5">
        <f>+(M1126*26000)/0.829426</f>
        <v>55236512.961976111</v>
      </c>
      <c r="I1126" s="5">
        <f>+G1126-H1126</f>
        <v>-1936512.9619761109</v>
      </c>
      <c r="J1126" s="5">
        <v>3000000</v>
      </c>
      <c r="K1126" s="5">
        <v>5030000</v>
      </c>
      <c r="L1126" s="5">
        <v>5330000</v>
      </c>
      <c r="M1126" s="7">
        <v>1762.1</v>
      </c>
      <c r="N1126" s="5">
        <v>50800000</v>
      </c>
      <c r="O1126" s="5">
        <v>53800000</v>
      </c>
      <c r="P1126" s="3">
        <v>0.97916666666666663</v>
      </c>
    </row>
    <row r="1127" spans="1:16" x14ac:dyDescent="0.25">
      <c r="A1127" t="s">
        <v>702</v>
      </c>
      <c r="B1127" s="2">
        <v>44008</v>
      </c>
      <c r="C1127" t="str">
        <f>+"Tuáº§n "&amp;WEEKNUM(B1127)</f>
        <v>Tuáº§n 26</v>
      </c>
      <c r="D1127" t="s">
        <v>21</v>
      </c>
      <c r="E1127" t="s">
        <v>17</v>
      </c>
      <c r="F1127" s="5">
        <v>50700000</v>
      </c>
      <c r="G1127" s="5">
        <v>53700000</v>
      </c>
      <c r="H1127" s="5">
        <f>+(M1127*26000)/0.829426</f>
        <v>55562521.551048554</v>
      </c>
      <c r="I1127" s="5">
        <f>+G1127-H1127</f>
        <v>-1862521.5510485545</v>
      </c>
      <c r="J1127" s="5">
        <v>3000000</v>
      </c>
      <c r="K1127" s="5">
        <v>5070000</v>
      </c>
      <c r="L1127" s="5">
        <v>5370000</v>
      </c>
      <c r="M1127" s="7">
        <v>1772.5</v>
      </c>
      <c r="N1127" s="5">
        <v>51200000</v>
      </c>
      <c r="O1127" s="5">
        <v>54200000</v>
      </c>
      <c r="P1127" s="3">
        <v>0.97916666666666663</v>
      </c>
    </row>
    <row r="1128" spans="1:16" x14ac:dyDescent="0.25">
      <c r="A1128" t="s">
        <v>703</v>
      </c>
      <c r="B1128" s="2">
        <v>44011</v>
      </c>
      <c r="C1128" t="str">
        <f>+"Tuáº§n "&amp;WEEKNUM(B1128)</f>
        <v>Tuáº§n 27</v>
      </c>
      <c r="D1128" t="s">
        <v>16</v>
      </c>
      <c r="E1128" t="s">
        <v>17</v>
      </c>
      <c r="F1128" s="5">
        <v>50700000</v>
      </c>
      <c r="G1128" s="5">
        <v>53700000</v>
      </c>
      <c r="H1128" s="5">
        <f>+(M1128*26000)/0.829426</f>
        <v>55634619.604401119</v>
      </c>
      <c r="I1128" s="5">
        <f>+G1128-H1128</f>
        <v>-1934619.6044011191</v>
      </c>
      <c r="J1128" s="5">
        <v>3000000</v>
      </c>
      <c r="K1128" s="5">
        <v>5070000</v>
      </c>
      <c r="L1128" s="5">
        <v>5370000</v>
      </c>
      <c r="M1128" s="7">
        <v>1774.8</v>
      </c>
      <c r="N1128" s="5">
        <v>51200000</v>
      </c>
      <c r="O1128" s="5">
        <v>54200000</v>
      </c>
      <c r="P1128" s="3">
        <v>0.97916666666666663</v>
      </c>
    </row>
    <row r="1129" spans="1:16" x14ac:dyDescent="0.25">
      <c r="A1129" t="s">
        <v>704</v>
      </c>
      <c r="B1129" s="2">
        <v>44012</v>
      </c>
      <c r="C1129" t="str">
        <f>+"Tuáº§n "&amp;WEEKNUM(B1129)</f>
        <v>Tuáº§n 27</v>
      </c>
      <c r="D1129" t="s">
        <v>18</v>
      </c>
      <c r="E1129" t="s">
        <v>17</v>
      </c>
      <c r="F1129" s="5">
        <v>51300000</v>
      </c>
      <c r="G1129" s="5">
        <v>54300000</v>
      </c>
      <c r="H1129" s="5">
        <f>+(M1129*26000)/0.829426</f>
        <v>56205134.63527789</v>
      </c>
      <c r="I1129" s="5">
        <f>+G1129-H1129</f>
        <v>-1905134.6352778897</v>
      </c>
      <c r="J1129" s="5">
        <v>3000000</v>
      </c>
      <c r="K1129" s="5">
        <v>5130000</v>
      </c>
      <c r="L1129" s="5">
        <v>5430000</v>
      </c>
      <c r="M1129" s="7">
        <v>1793</v>
      </c>
      <c r="N1129" s="5">
        <v>51800000</v>
      </c>
      <c r="O1129" s="5">
        <v>54800000</v>
      </c>
      <c r="P1129" s="3">
        <v>0.97916666666666663</v>
      </c>
    </row>
    <row r="1130" spans="1:16" x14ac:dyDescent="0.25">
      <c r="A1130" s="2">
        <v>43837</v>
      </c>
      <c r="B1130" s="2">
        <v>44013</v>
      </c>
      <c r="C1130" t="str">
        <f>+"Tuáº§n "&amp;WEEKNUM(B1130)</f>
        <v>Tuáº§n 27</v>
      </c>
      <c r="D1130" t="s">
        <v>19</v>
      </c>
      <c r="E1130" t="s">
        <v>17</v>
      </c>
      <c r="F1130" s="5">
        <v>50700000</v>
      </c>
      <c r="G1130" s="5">
        <v>53700000</v>
      </c>
      <c r="H1130" s="5">
        <f>+(M1130*26000)/0.829426</f>
        <v>55584464.436851509</v>
      </c>
      <c r="I1130" s="5">
        <f>+G1130-H1130</f>
        <v>-1884464.4368515089</v>
      </c>
      <c r="J1130" s="5">
        <v>3000000</v>
      </c>
      <c r="K1130" s="5">
        <v>5070000</v>
      </c>
      <c r="L1130" s="5">
        <v>5370000</v>
      </c>
      <c r="M1130" s="7">
        <v>1773.2</v>
      </c>
      <c r="N1130" s="5">
        <v>51200000</v>
      </c>
      <c r="O1130" s="5">
        <v>54200000</v>
      </c>
      <c r="P1130" s="3">
        <v>0.97916666666666663</v>
      </c>
    </row>
    <row r="1131" spans="1:16" x14ac:dyDescent="0.25">
      <c r="A1131" s="2">
        <v>43868</v>
      </c>
      <c r="B1131" s="2">
        <v>44014</v>
      </c>
      <c r="C1131" t="str">
        <f>+"Tuáº§n "&amp;WEEKNUM(B1131)</f>
        <v>Tuáº§n 27</v>
      </c>
      <c r="D1131" t="s">
        <v>20</v>
      </c>
      <c r="E1131" t="s">
        <v>17</v>
      </c>
      <c r="F1131" s="5">
        <v>51000000</v>
      </c>
      <c r="G1131" s="5">
        <v>54000000</v>
      </c>
      <c r="H1131" s="5">
        <f>+(M1131*26000)/0.829426</f>
        <v>55923011.817811355</v>
      </c>
      <c r="I1131" s="5">
        <f>+G1131-H1131</f>
        <v>-1923011.817811355</v>
      </c>
      <c r="J1131" s="5">
        <v>3000000</v>
      </c>
      <c r="K1131" s="5">
        <v>5100000</v>
      </c>
      <c r="L1131" s="5">
        <v>5400000</v>
      </c>
      <c r="M1131" s="7">
        <v>1784</v>
      </c>
      <c r="N1131" s="5">
        <v>51500000</v>
      </c>
      <c r="O1131" s="5">
        <v>54500000</v>
      </c>
      <c r="P1131" s="3">
        <v>0.97916666666666663</v>
      </c>
    </row>
    <row r="1132" spans="1:16" x14ac:dyDescent="0.25">
      <c r="A1132" s="2">
        <v>43989</v>
      </c>
      <c r="B1132" s="2">
        <v>44018</v>
      </c>
      <c r="C1132" t="str">
        <f>+"Tuáº§n "&amp;WEEKNUM(B1132)</f>
        <v>Tuáº§n 28</v>
      </c>
      <c r="D1132" t="s">
        <v>16</v>
      </c>
      <c r="E1132" t="s">
        <v>17</v>
      </c>
      <c r="F1132" s="5">
        <v>51100000</v>
      </c>
      <c r="G1132" s="5">
        <v>54100000</v>
      </c>
      <c r="H1132" s="5">
        <f>+(M1132*26000)/0.829426</f>
        <v>56064073.226544626</v>
      </c>
      <c r="I1132" s="5">
        <f>+G1132-H1132</f>
        <v>-1964073.2265446261</v>
      </c>
      <c r="J1132" s="5">
        <v>3000000</v>
      </c>
      <c r="K1132" s="5">
        <v>5110000</v>
      </c>
      <c r="L1132" s="5">
        <v>5410000</v>
      </c>
      <c r="M1132" s="7">
        <v>1788.5</v>
      </c>
      <c r="N1132" s="5">
        <v>51600000</v>
      </c>
      <c r="O1132" s="5">
        <v>54600000</v>
      </c>
      <c r="P1132" s="3">
        <v>0.97916666666666663</v>
      </c>
    </row>
    <row r="1133" spans="1:16" x14ac:dyDescent="0.25">
      <c r="A1133" s="2">
        <v>44019</v>
      </c>
      <c r="B1133" s="2">
        <v>44019</v>
      </c>
      <c r="C1133" t="str">
        <f>+"Tuáº§n "&amp;WEEKNUM(B1133)</f>
        <v>Tuáº§n 28</v>
      </c>
      <c r="D1133" t="s">
        <v>18</v>
      </c>
      <c r="E1133" t="s">
        <v>17</v>
      </c>
      <c r="F1133" s="5">
        <v>51600000</v>
      </c>
      <c r="G1133" s="5">
        <v>54600000</v>
      </c>
      <c r="H1133" s="5">
        <f>+(M1133*26000)/0.829426</f>
        <v>56556220.808125138</v>
      </c>
      <c r="I1133" s="5">
        <f>+G1133-H1133</f>
        <v>-1956220.8081251383</v>
      </c>
      <c r="J1133" s="5">
        <v>3000000</v>
      </c>
      <c r="K1133" s="5">
        <v>5160000</v>
      </c>
      <c r="L1133" s="5">
        <v>5460000</v>
      </c>
      <c r="M1133" s="7">
        <v>1804.2</v>
      </c>
      <c r="N1133" s="5">
        <v>52100000</v>
      </c>
      <c r="O1133" s="5">
        <v>55100000</v>
      </c>
      <c r="P1133" s="3">
        <v>0.97916666666666663</v>
      </c>
    </row>
    <row r="1134" spans="1:16" x14ac:dyDescent="0.25">
      <c r="A1134" s="2">
        <v>44050</v>
      </c>
      <c r="B1134" s="2">
        <v>44020</v>
      </c>
      <c r="C1134" t="str">
        <f>+"Tuáº§n "&amp;WEEKNUM(B1134)</f>
        <v>Tuáº§n 28</v>
      </c>
      <c r="D1134" t="s">
        <v>19</v>
      </c>
      <c r="E1134" t="s">
        <v>17</v>
      </c>
      <c r="F1134" s="5">
        <v>52000000</v>
      </c>
      <c r="G1134" s="5">
        <v>55000000</v>
      </c>
      <c r="H1134" s="5">
        <f>+(M1134*26000)/0.829426</f>
        <v>56910441.678944238</v>
      </c>
      <c r="I1134" s="5">
        <f>+G1134-H1134</f>
        <v>-1910441.6789442375</v>
      </c>
      <c r="J1134" s="5">
        <v>3000000</v>
      </c>
      <c r="K1134" s="5">
        <v>5200000</v>
      </c>
      <c r="L1134" s="5">
        <v>5500000</v>
      </c>
      <c r="M1134" s="7">
        <v>1815.5</v>
      </c>
      <c r="N1134" s="5">
        <v>52500000</v>
      </c>
      <c r="O1134" s="5">
        <v>55500000</v>
      </c>
      <c r="P1134" s="3">
        <v>0.97916666666666663</v>
      </c>
    </row>
    <row r="1135" spans="1:16" x14ac:dyDescent="0.25">
      <c r="A1135" s="2">
        <v>44081</v>
      </c>
      <c r="B1135" s="2">
        <v>44021</v>
      </c>
      <c r="C1135" t="str">
        <f>+"Tuáº§n "&amp;WEEKNUM(B1135)</f>
        <v>Tuáº§n 28</v>
      </c>
      <c r="D1135" t="s">
        <v>20</v>
      </c>
      <c r="E1135" t="s">
        <v>17</v>
      </c>
      <c r="F1135" s="5">
        <v>51500000</v>
      </c>
      <c r="G1135" s="5">
        <v>54500000</v>
      </c>
      <c r="H1135" s="5">
        <f>+(M1135*26000)/0.829426</f>
        <v>56399485.909532614</v>
      </c>
      <c r="I1135" s="5">
        <f>+G1135-H1135</f>
        <v>-1899485.9095326141</v>
      </c>
      <c r="J1135" s="5">
        <v>3000000</v>
      </c>
      <c r="K1135" s="5">
        <v>5150000</v>
      </c>
      <c r="L1135" s="5">
        <v>5450000</v>
      </c>
      <c r="M1135" s="7">
        <v>1799.2</v>
      </c>
      <c r="N1135" s="5">
        <v>52000000</v>
      </c>
      <c r="O1135" s="5">
        <v>55000000</v>
      </c>
      <c r="P1135" s="3">
        <v>0.97916666666666663</v>
      </c>
    </row>
    <row r="1136" spans="1:16" x14ac:dyDescent="0.25">
      <c r="A1136" s="2">
        <v>44111</v>
      </c>
      <c r="B1136" s="2">
        <v>44022</v>
      </c>
      <c r="C1136" t="str">
        <f>+"Tuáº§n "&amp;WEEKNUM(B1136)</f>
        <v>Tuáº§n 28</v>
      </c>
      <c r="D1136" t="s">
        <v>21</v>
      </c>
      <c r="E1136" t="s">
        <v>17</v>
      </c>
      <c r="F1136" s="5">
        <v>51400000</v>
      </c>
      <c r="G1136" s="5">
        <v>54400000</v>
      </c>
      <c r="H1136" s="5">
        <f>+(M1136*26000)/0.829426</f>
        <v>56368138.929814115</v>
      </c>
      <c r="I1136" s="5">
        <f>+G1136-H1136</f>
        <v>-1968138.9298141152</v>
      </c>
      <c r="J1136" s="5">
        <v>3000000</v>
      </c>
      <c r="K1136" s="5">
        <v>5140000</v>
      </c>
      <c r="L1136" s="5">
        <v>5440000</v>
      </c>
      <c r="M1136" s="7">
        <v>1798.2</v>
      </c>
      <c r="N1136" s="5">
        <v>51900000</v>
      </c>
      <c r="O1136" s="5">
        <v>54900000</v>
      </c>
      <c r="P1136" s="3">
        <v>0.97916666666666663</v>
      </c>
    </row>
    <row r="1137" spans="1:16" x14ac:dyDescent="0.25">
      <c r="A1137" t="s">
        <v>705</v>
      </c>
      <c r="B1137" s="2">
        <v>44025</v>
      </c>
      <c r="C1137" t="str">
        <f>+"Tuáº§n "&amp;WEEKNUM(B1137)</f>
        <v>Tuáº§n 29</v>
      </c>
      <c r="D1137" t="s">
        <v>16</v>
      </c>
      <c r="E1137" t="s">
        <v>17</v>
      </c>
      <c r="F1137" s="5">
        <v>51800000</v>
      </c>
      <c r="G1137" s="5">
        <v>54800000</v>
      </c>
      <c r="H1137" s="5">
        <f>+(M1137*26000)/0.829426</f>
        <v>56769380.270210966</v>
      </c>
      <c r="I1137" s="5">
        <f>+G1137-H1137</f>
        <v>-1969380.2702109665</v>
      </c>
      <c r="J1137" s="5">
        <v>3000000</v>
      </c>
      <c r="K1137" s="5">
        <v>5180000</v>
      </c>
      <c r="L1137" s="5">
        <v>5480000</v>
      </c>
      <c r="M1137" s="7">
        <v>1811</v>
      </c>
      <c r="N1137" s="5">
        <v>52300000</v>
      </c>
      <c r="O1137" s="5">
        <v>55300000</v>
      </c>
      <c r="P1137" s="3">
        <v>0.97916666666666663</v>
      </c>
    </row>
    <row r="1138" spans="1:16" x14ac:dyDescent="0.25">
      <c r="A1138" t="s">
        <v>706</v>
      </c>
      <c r="B1138" s="2">
        <v>44026</v>
      </c>
      <c r="C1138" t="str">
        <f>+"Tuáº§n "&amp;WEEKNUM(B1138)</f>
        <v>Tuáº§n 29</v>
      </c>
      <c r="D1138" t="s">
        <v>18</v>
      </c>
      <c r="E1138" t="s">
        <v>17</v>
      </c>
      <c r="F1138" s="5">
        <v>51800000</v>
      </c>
      <c r="G1138" s="5">
        <v>54800000</v>
      </c>
      <c r="H1138" s="5">
        <f>+(M1138*26000)/0.829426</f>
        <v>56756841.478323564</v>
      </c>
      <c r="I1138" s="5">
        <f>+G1138-H1138</f>
        <v>-1956841.4783235639</v>
      </c>
      <c r="J1138" s="5">
        <v>3000000</v>
      </c>
      <c r="K1138" s="5">
        <v>5180000</v>
      </c>
      <c r="L1138" s="5">
        <v>5480000</v>
      </c>
      <c r="M1138" s="7">
        <v>1810.6</v>
      </c>
      <c r="N1138" s="5">
        <v>52300000</v>
      </c>
      <c r="O1138" s="5">
        <v>55300000</v>
      </c>
      <c r="P1138" s="3">
        <v>0.97916666666666663</v>
      </c>
    </row>
    <row r="1139" spans="1:16" x14ac:dyDescent="0.25">
      <c r="A1139" t="s">
        <v>707</v>
      </c>
      <c r="B1139" s="2">
        <v>44027</v>
      </c>
      <c r="C1139" t="str">
        <f>+"Tuáº§n "&amp;WEEKNUM(B1139)</f>
        <v>Tuáº§n 29</v>
      </c>
      <c r="D1139" t="s">
        <v>19</v>
      </c>
      <c r="E1139" t="s">
        <v>17</v>
      </c>
      <c r="F1139" s="5">
        <v>51800000</v>
      </c>
      <c r="G1139" s="5">
        <v>54800000</v>
      </c>
      <c r="H1139" s="5">
        <f>+(M1139*26000)/0.829426</f>
        <v>56781919.062098369</v>
      </c>
      <c r="I1139" s="5">
        <f>+G1139-H1139</f>
        <v>-1981919.062098369</v>
      </c>
      <c r="J1139" s="5">
        <v>3000000</v>
      </c>
      <c r="K1139" s="5">
        <v>5180000</v>
      </c>
      <c r="L1139" s="5">
        <v>5480000</v>
      </c>
      <c r="M1139" s="7">
        <v>1811.4</v>
      </c>
      <c r="N1139" s="5">
        <v>52300000</v>
      </c>
      <c r="O1139" s="5">
        <v>55300000</v>
      </c>
      <c r="P1139" s="3">
        <v>0.97916666666666663</v>
      </c>
    </row>
    <row r="1140" spans="1:16" x14ac:dyDescent="0.25">
      <c r="A1140" t="s">
        <v>708</v>
      </c>
      <c r="B1140" s="2">
        <v>44028</v>
      </c>
      <c r="C1140" t="str">
        <f>+"Tuáº§n "&amp;WEEKNUM(B1140)</f>
        <v>Tuáº§n 29</v>
      </c>
      <c r="D1140" t="s">
        <v>20</v>
      </c>
      <c r="E1140" t="s">
        <v>17</v>
      </c>
      <c r="F1140" s="5">
        <v>51500000</v>
      </c>
      <c r="G1140" s="5">
        <v>54500000</v>
      </c>
      <c r="H1140" s="5">
        <f>+(M1140*26000)/0.829426</f>
        <v>56383812.419673368</v>
      </c>
      <c r="I1140" s="5">
        <f>+G1140-H1140</f>
        <v>-1883812.4196733683</v>
      </c>
      <c r="J1140" s="5">
        <v>3000000</v>
      </c>
      <c r="K1140" s="5">
        <v>5150000</v>
      </c>
      <c r="L1140" s="5">
        <v>5450000</v>
      </c>
      <c r="M1140" s="7">
        <v>1798.7</v>
      </c>
      <c r="N1140" s="5">
        <v>52000000</v>
      </c>
      <c r="O1140" s="5">
        <v>55000000</v>
      </c>
      <c r="P1140" s="3">
        <v>0.97916666666666663</v>
      </c>
    </row>
    <row r="1141" spans="1:16" x14ac:dyDescent="0.25">
      <c r="A1141" t="s">
        <v>709</v>
      </c>
      <c r="B1141" s="2">
        <v>44029</v>
      </c>
      <c r="C1141" t="str">
        <f>+"Tuáº§n "&amp;WEEKNUM(B1141)</f>
        <v>Tuáº§n 29</v>
      </c>
      <c r="D1141" t="s">
        <v>21</v>
      </c>
      <c r="E1141" t="s">
        <v>17</v>
      </c>
      <c r="F1141" s="5">
        <v>51700000</v>
      </c>
      <c r="G1141" s="5">
        <v>54700000</v>
      </c>
      <c r="H1141" s="5">
        <f>+(M1141*26000)/0.829426</f>
        <v>56684743.424971007</v>
      </c>
      <c r="I1141" s="5">
        <f>+G1141-H1141</f>
        <v>-1984743.4249710068</v>
      </c>
      <c r="J1141" s="5">
        <v>3000000</v>
      </c>
      <c r="K1141" s="5">
        <v>5170000</v>
      </c>
      <c r="L1141" s="5">
        <v>5470000</v>
      </c>
      <c r="M1141" s="7">
        <v>1808.3</v>
      </c>
      <c r="N1141" s="5">
        <v>52200000</v>
      </c>
      <c r="O1141" s="5">
        <v>55200000</v>
      </c>
      <c r="P1141" s="3">
        <v>0.97916666666666663</v>
      </c>
    </row>
    <row r="1142" spans="1:16" x14ac:dyDescent="0.25">
      <c r="A1142" t="s">
        <v>710</v>
      </c>
      <c r="B1142" s="2">
        <v>44032</v>
      </c>
      <c r="C1142" t="str">
        <f>+"Tuáº§n "&amp;WEEKNUM(B1142)</f>
        <v>Tuáº§n 30</v>
      </c>
      <c r="D1142" t="s">
        <v>16</v>
      </c>
      <c r="E1142" t="s">
        <v>17</v>
      </c>
      <c r="F1142" s="5">
        <v>52000000</v>
      </c>
      <c r="G1142" s="5">
        <v>55000000</v>
      </c>
      <c r="H1142" s="5">
        <f>+(M1142*26000)/0.829426</f>
        <v>56922980.470831633</v>
      </c>
      <c r="I1142" s="5">
        <f>+G1142-H1142</f>
        <v>-1922980.4708316326</v>
      </c>
      <c r="J1142" s="5">
        <v>3000000</v>
      </c>
      <c r="K1142" s="5">
        <v>5200000</v>
      </c>
      <c r="L1142" s="5">
        <v>5500000</v>
      </c>
      <c r="M1142" s="7">
        <v>1815.9</v>
      </c>
      <c r="N1142" s="5">
        <v>52500000</v>
      </c>
      <c r="O1142" s="5">
        <v>55500000</v>
      </c>
      <c r="P1142" s="3">
        <v>0.97916666666666663</v>
      </c>
    </row>
    <row r="1143" spans="1:16" x14ac:dyDescent="0.25">
      <c r="A1143" t="s">
        <v>711</v>
      </c>
      <c r="B1143" s="2">
        <v>44033</v>
      </c>
      <c r="C1143" t="str">
        <f>+"Tuáº§n "&amp;WEEKNUM(B1143)</f>
        <v>Tuáº§n 30</v>
      </c>
      <c r="D1143" t="s">
        <v>18</v>
      </c>
      <c r="E1143" t="s">
        <v>17</v>
      </c>
      <c r="F1143" s="5">
        <v>52800000</v>
      </c>
      <c r="G1143" s="5">
        <v>55800000</v>
      </c>
      <c r="H1143" s="5">
        <f>+(M1143*26000)/0.829426</f>
        <v>57753675.433371998</v>
      </c>
      <c r="I1143" s="5">
        <f>+G1143-H1143</f>
        <v>-1953675.4333719984</v>
      </c>
      <c r="J1143" s="5">
        <v>3000000</v>
      </c>
      <c r="K1143" s="5">
        <v>5280000</v>
      </c>
      <c r="L1143" s="5">
        <v>5580000</v>
      </c>
      <c r="M1143" s="7">
        <v>1842.4</v>
      </c>
      <c r="N1143" s="5">
        <v>53300000</v>
      </c>
      <c r="O1143" s="5">
        <v>56300000</v>
      </c>
      <c r="P1143" s="3">
        <v>0.97916666666666663</v>
      </c>
    </row>
    <row r="1144" spans="1:16" x14ac:dyDescent="0.25">
      <c r="A1144" t="s">
        <v>712</v>
      </c>
      <c r="B1144" s="2">
        <v>44034</v>
      </c>
      <c r="C1144" t="str">
        <f>+"Tuáº§n "&amp;WEEKNUM(B1144)</f>
        <v>Tuáº§n 30</v>
      </c>
      <c r="D1144" t="s">
        <v>19</v>
      </c>
      <c r="E1144" t="s">
        <v>17</v>
      </c>
      <c r="F1144" s="5">
        <v>53400000</v>
      </c>
      <c r="G1144" s="5">
        <v>56400000</v>
      </c>
      <c r="H1144" s="5">
        <f>+(M1144*26000)/0.829426</f>
        <v>58433904.893263534</v>
      </c>
      <c r="I1144" s="5">
        <f>+G1144-H1144</f>
        <v>-2033904.8932635337</v>
      </c>
      <c r="J1144" s="5">
        <v>3000000</v>
      </c>
      <c r="K1144" s="5">
        <v>5340000</v>
      </c>
      <c r="L1144" s="5">
        <v>5640000</v>
      </c>
      <c r="M1144" s="7">
        <v>1864.1</v>
      </c>
      <c r="N1144" s="5">
        <v>53900000</v>
      </c>
      <c r="O1144" s="5">
        <v>56900000</v>
      </c>
      <c r="P1144" s="3">
        <v>0.97916666666666663</v>
      </c>
    </row>
    <row r="1145" spans="1:16" x14ac:dyDescent="0.25">
      <c r="A1145" t="s">
        <v>713</v>
      </c>
      <c r="B1145" s="2">
        <v>44035</v>
      </c>
      <c r="C1145" t="str">
        <f>+"Tuáº§n "&amp;WEEKNUM(B1145)</f>
        <v>Tuáº§n 30</v>
      </c>
      <c r="D1145" t="s">
        <v>20</v>
      </c>
      <c r="E1145" t="s">
        <v>17</v>
      </c>
      <c r="F1145" s="5">
        <v>54200000</v>
      </c>
      <c r="G1145" s="5">
        <v>57200000</v>
      </c>
      <c r="H1145" s="5">
        <f>+(M1145*26000)/0.829426</f>
        <v>59217579.38622614</v>
      </c>
      <c r="I1145" s="5">
        <f>+G1145-H1145</f>
        <v>-2017579.38622614</v>
      </c>
      <c r="J1145" s="5">
        <v>3000000</v>
      </c>
      <c r="K1145" s="5">
        <v>5420000</v>
      </c>
      <c r="L1145" s="5">
        <v>5720000</v>
      </c>
      <c r="M1145" s="7">
        <v>1889.1</v>
      </c>
      <c r="N1145" s="5">
        <v>54700000</v>
      </c>
      <c r="O1145" s="5">
        <v>57700000</v>
      </c>
      <c r="P1145" s="3">
        <v>0.97916666666666663</v>
      </c>
    </row>
    <row r="1146" spans="1:16" x14ac:dyDescent="0.25">
      <c r="A1146" t="s">
        <v>714</v>
      </c>
      <c r="B1146" s="2">
        <v>44036</v>
      </c>
      <c r="C1146" t="str">
        <f>+"Tuáº§n "&amp;WEEKNUM(B1146)</f>
        <v>Tuáº§n 30</v>
      </c>
      <c r="D1146" t="s">
        <v>21</v>
      </c>
      <c r="E1146" t="s">
        <v>17</v>
      </c>
      <c r="F1146" s="5">
        <v>54400000</v>
      </c>
      <c r="G1146" s="5">
        <v>57400000</v>
      </c>
      <c r="H1146" s="5">
        <f>+(M1146*26000)/0.829426</f>
        <v>59474624.61991787</v>
      </c>
      <c r="I1146" s="5">
        <f>+G1146-H1146</f>
        <v>-2074624.6199178696</v>
      </c>
      <c r="J1146" s="5">
        <v>3000000</v>
      </c>
      <c r="K1146" s="5">
        <v>5440000</v>
      </c>
      <c r="L1146" s="5">
        <v>5740000</v>
      </c>
      <c r="M1146" s="7">
        <v>1897.3</v>
      </c>
      <c r="N1146" s="5">
        <v>54900000</v>
      </c>
      <c r="O1146" s="5">
        <v>57900000</v>
      </c>
      <c r="P1146" s="3">
        <v>0.97916666666666663</v>
      </c>
    </row>
    <row r="1147" spans="1:16" x14ac:dyDescent="0.25">
      <c r="A1147" t="s">
        <v>715</v>
      </c>
      <c r="B1147" s="2">
        <v>44039</v>
      </c>
      <c r="C1147" t="str">
        <f>+"Tuáº§n "&amp;WEEKNUM(B1147)</f>
        <v>Tuáº§n 31</v>
      </c>
      <c r="D1147" t="s">
        <v>16</v>
      </c>
      <c r="E1147" t="s">
        <v>17</v>
      </c>
      <c r="F1147" s="5">
        <v>55500000</v>
      </c>
      <c r="G1147" s="5">
        <v>58500000</v>
      </c>
      <c r="H1147" s="5">
        <f>+(M1147*26000)/0.829426</f>
        <v>60531017.836431459</v>
      </c>
      <c r="I1147" s="5">
        <f>+G1147-H1147</f>
        <v>-2031017.8364314586</v>
      </c>
      <c r="J1147" s="5">
        <v>3000000</v>
      </c>
      <c r="K1147" s="5">
        <v>5550000</v>
      </c>
      <c r="L1147" s="5">
        <v>5850000</v>
      </c>
      <c r="M1147" s="7">
        <v>1931</v>
      </c>
      <c r="N1147" s="5">
        <v>56000000</v>
      </c>
      <c r="O1147" s="5">
        <v>59000000</v>
      </c>
      <c r="P1147" s="3">
        <v>0.97916666666666663</v>
      </c>
    </row>
    <row r="1148" spans="1:16" x14ac:dyDescent="0.25">
      <c r="A1148" t="s">
        <v>716</v>
      </c>
      <c r="B1148" s="2">
        <v>44040</v>
      </c>
      <c r="C1148" t="str">
        <f>+"Tuáº§n "&amp;WEEKNUM(B1148)</f>
        <v>Tuáº§n 31</v>
      </c>
      <c r="D1148" t="s">
        <v>18</v>
      </c>
      <c r="E1148" t="s">
        <v>17</v>
      </c>
      <c r="F1148" s="5">
        <v>55900000</v>
      </c>
      <c r="G1148" s="5">
        <v>58900000</v>
      </c>
      <c r="H1148" s="5">
        <f>+(M1148*26000)/0.829426</f>
        <v>60960471.458574966</v>
      </c>
      <c r="I1148" s="5">
        <f>+G1148-H1148</f>
        <v>-2060471.4585749656</v>
      </c>
      <c r="J1148" s="5">
        <v>3000000</v>
      </c>
      <c r="K1148" s="5">
        <v>5590000</v>
      </c>
      <c r="L1148" s="5">
        <v>5890000</v>
      </c>
      <c r="M1148" s="7">
        <v>1944.7</v>
      </c>
      <c r="N1148" s="5">
        <v>56400000</v>
      </c>
      <c r="O1148" s="5">
        <v>59400000</v>
      </c>
      <c r="P1148" s="3">
        <v>0.97916666666666663</v>
      </c>
    </row>
    <row r="1149" spans="1:16" x14ac:dyDescent="0.25">
      <c r="A1149" t="s">
        <v>717</v>
      </c>
      <c r="B1149" s="2">
        <v>44041</v>
      </c>
      <c r="C1149" t="str">
        <f>+"Tuáº§n "&amp;WEEKNUM(B1149)</f>
        <v>Tuáº§n 31</v>
      </c>
      <c r="D1149" t="s">
        <v>19</v>
      </c>
      <c r="E1149" t="s">
        <v>17</v>
      </c>
      <c r="F1149" s="5">
        <v>56100000</v>
      </c>
      <c r="G1149" s="5">
        <v>59100000</v>
      </c>
      <c r="H1149" s="5">
        <f>+(M1149*26000)/0.829426</f>
        <v>61236324.880097806</v>
      </c>
      <c r="I1149" s="5">
        <f>+G1149-H1149</f>
        <v>-2136324.8800978065</v>
      </c>
      <c r="J1149" s="5">
        <v>3000000</v>
      </c>
      <c r="K1149" s="5">
        <v>5610000</v>
      </c>
      <c r="L1149" s="5">
        <v>5910000</v>
      </c>
      <c r="M1149" s="7">
        <v>1953.5</v>
      </c>
      <c r="N1149" s="5">
        <v>56600000</v>
      </c>
      <c r="O1149" s="5">
        <v>59600000</v>
      </c>
      <c r="P1149" s="3">
        <v>0.97916666666666663</v>
      </c>
    </row>
    <row r="1150" spans="1:16" x14ac:dyDescent="0.25">
      <c r="A1150" t="s">
        <v>718</v>
      </c>
      <c r="B1150" s="2">
        <v>44042</v>
      </c>
      <c r="C1150" t="str">
        <f>+"Tuáº§n "&amp;WEEKNUM(B1150)</f>
        <v>Tuáº§n 31</v>
      </c>
      <c r="D1150" t="s">
        <v>20</v>
      </c>
      <c r="E1150" t="s">
        <v>17</v>
      </c>
      <c r="F1150" s="5">
        <v>55800000</v>
      </c>
      <c r="G1150" s="5">
        <v>58800000</v>
      </c>
      <c r="H1150" s="5">
        <f>+(M1150*26000)/0.829426</f>
        <v>60885238.707250558</v>
      </c>
      <c r="I1150" s="5">
        <f>+G1150-H1150</f>
        <v>-2085238.7072505578</v>
      </c>
      <c r="J1150" s="5">
        <v>3000000</v>
      </c>
      <c r="K1150" s="5">
        <v>5580000</v>
      </c>
      <c r="L1150" s="5">
        <v>5880000</v>
      </c>
      <c r="M1150" s="7">
        <v>1942.3</v>
      </c>
      <c r="N1150" s="5">
        <v>56300000</v>
      </c>
      <c r="O1150" s="5">
        <v>59300000</v>
      </c>
      <c r="P1150" s="3">
        <v>0.97916666666666663</v>
      </c>
    </row>
    <row r="1151" spans="1:16" x14ac:dyDescent="0.25">
      <c r="A1151" t="s">
        <v>719</v>
      </c>
      <c r="B1151" s="2">
        <v>44043</v>
      </c>
      <c r="C1151" t="str">
        <f>+"Tuáº§n "&amp;WEEKNUM(B1151)</f>
        <v>Tuáº§n 31</v>
      </c>
      <c r="D1151" t="s">
        <v>21</v>
      </c>
      <c r="E1151" t="s">
        <v>17</v>
      </c>
      <c r="F1151" s="5">
        <v>56400000</v>
      </c>
      <c r="G1151" s="5">
        <v>59400000</v>
      </c>
      <c r="H1151" s="5">
        <f>+(M1151*26000)/0.829426</f>
        <v>61527851.791479893</v>
      </c>
      <c r="I1151" s="5">
        <f>+G1151-H1151</f>
        <v>-2127851.791479893</v>
      </c>
      <c r="J1151" s="5">
        <v>3000000</v>
      </c>
      <c r="K1151" s="5">
        <v>5640000</v>
      </c>
      <c r="L1151" s="5">
        <v>5940000</v>
      </c>
      <c r="M1151" s="7">
        <v>1962.8</v>
      </c>
      <c r="N1151" s="5">
        <v>56900000</v>
      </c>
      <c r="O1151" s="5">
        <v>59900000</v>
      </c>
      <c r="P1151" s="3">
        <v>0.97916666666666663</v>
      </c>
    </row>
    <row r="1152" spans="1:16" x14ac:dyDescent="0.25">
      <c r="A1152" s="2">
        <v>43898</v>
      </c>
      <c r="B1152" s="2">
        <v>44046</v>
      </c>
      <c r="C1152" t="str">
        <f>+"Tuáº§n "&amp;WEEKNUM(B1152)</f>
        <v>Tuáº§n 32</v>
      </c>
      <c r="D1152" t="s">
        <v>16</v>
      </c>
      <c r="E1152" t="s">
        <v>17</v>
      </c>
      <c r="F1152" s="5">
        <v>56500000</v>
      </c>
      <c r="G1152" s="5">
        <v>59500000</v>
      </c>
      <c r="H1152" s="5">
        <f>+(M1152*26000)/0.829426</f>
        <v>61628162.126579106</v>
      </c>
      <c r="I1152" s="5">
        <f>+G1152-H1152</f>
        <v>-2128162.1265791059</v>
      </c>
      <c r="J1152" s="5">
        <v>3000000</v>
      </c>
      <c r="K1152" s="5">
        <v>5650000</v>
      </c>
      <c r="L1152" s="5">
        <v>5950000</v>
      </c>
      <c r="M1152" s="7">
        <v>1966</v>
      </c>
      <c r="N1152" s="5">
        <v>57000000</v>
      </c>
      <c r="O1152" s="5">
        <v>60000000</v>
      </c>
      <c r="P1152" s="3">
        <v>0.97916666666666663</v>
      </c>
    </row>
    <row r="1153" spans="1:16" x14ac:dyDescent="0.25">
      <c r="A1153" s="2">
        <v>43929</v>
      </c>
      <c r="B1153" s="2">
        <v>44047</v>
      </c>
      <c r="C1153" t="str">
        <f>+"Tuáº§n "&amp;WEEKNUM(B1153)</f>
        <v>Tuáº§n 32</v>
      </c>
      <c r="D1153" t="s">
        <v>18</v>
      </c>
      <c r="E1153" t="s">
        <v>17</v>
      </c>
      <c r="F1153" s="5">
        <v>57600000</v>
      </c>
      <c r="G1153" s="5">
        <v>60600000</v>
      </c>
      <c r="H1153" s="5">
        <f>+(M1153*26000)/0.829426</f>
        <v>62731575.812670447</v>
      </c>
      <c r="I1153" s="5">
        <f>+G1153-H1153</f>
        <v>-2131575.8126704469</v>
      </c>
      <c r="J1153" s="5">
        <v>3000000</v>
      </c>
      <c r="K1153" s="5">
        <v>5760000</v>
      </c>
      <c r="L1153" s="5">
        <v>6060000</v>
      </c>
      <c r="M1153" s="7">
        <v>2001.2</v>
      </c>
      <c r="N1153" s="5">
        <v>58100000</v>
      </c>
      <c r="O1153" s="5">
        <v>61100000</v>
      </c>
      <c r="P1153" s="3">
        <v>0.97916666666666663</v>
      </c>
    </row>
    <row r="1154" spans="1:16" x14ac:dyDescent="0.25">
      <c r="A1154" s="2">
        <v>43959</v>
      </c>
      <c r="B1154" s="2">
        <v>44048</v>
      </c>
      <c r="C1154" t="str">
        <f>+"Tuáº§n "&amp;WEEKNUM(B1154)</f>
        <v>Tuáº§n 32</v>
      </c>
      <c r="D1154" t="s">
        <v>19</v>
      </c>
      <c r="E1154" t="s">
        <v>17</v>
      </c>
      <c r="F1154" s="5">
        <v>58500000</v>
      </c>
      <c r="G1154" s="5">
        <v>61500000</v>
      </c>
      <c r="H1154" s="5">
        <f>+(M1154*26000)/0.829426</f>
        <v>63668850.506253719</v>
      </c>
      <c r="I1154" s="5">
        <f>+G1154-H1154</f>
        <v>-2168850.5062537193</v>
      </c>
      <c r="J1154" s="5">
        <v>3000000</v>
      </c>
      <c r="K1154" s="5">
        <v>5850000</v>
      </c>
      <c r="L1154" s="5">
        <v>6150000</v>
      </c>
      <c r="M1154" s="7">
        <v>2031.1</v>
      </c>
      <c r="N1154" s="5">
        <v>59000000</v>
      </c>
      <c r="O1154" s="5">
        <v>62000000</v>
      </c>
      <c r="P1154" s="3">
        <v>0.97916666666666663</v>
      </c>
    </row>
    <row r="1155" spans="1:16" x14ac:dyDescent="0.25">
      <c r="A1155" s="2">
        <v>43990</v>
      </c>
      <c r="B1155" s="2">
        <v>44049</v>
      </c>
      <c r="C1155" t="str">
        <f>+"Tuáº§n "&amp;WEEKNUM(B1155)</f>
        <v>Tuáº§n 32</v>
      </c>
      <c r="D1155" t="s">
        <v>20</v>
      </c>
      <c r="E1155" t="s">
        <v>17</v>
      </c>
      <c r="F1155" s="5">
        <v>59100000</v>
      </c>
      <c r="G1155" s="5">
        <v>62100000</v>
      </c>
      <c r="H1155" s="5">
        <f>+(M1155*26000)/0.829426</f>
        <v>64308328.892511204</v>
      </c>
      <c r="I1155" s="5">
        <f>+G1155-H1155</f>
        <v>-2208328.8925112039</v>
      </c>
      <c r="J1155" s="5">
        <v>3000000</v>
      </c>
      <c r="K1155" s="5">
        <v>5910000</v>
      </c>
      <c r="L1155" s="5">
        <v>6210000</v>
      </c>
      <c r="M1155" s="7">
        <v>2051.5</v>
      </c>
      <c r="N1155" s="5">
        <v>59600000</v>
      </c>
      <c r="O1155" s="5">
        <v>62600000</v>
      </c>
      <c r="P1155" s="3">
        <v>0.97916666666666663</v>
      </c>
    </row>
    <row r="1156" spans="1:16" x14ac:dyDescent="0.25">
      <c r="A1156" s="2">
        <v>44020</v>
      </c>
      <c r="B1156" s="2">
        <v>44050</v>
      </c>
      <c r="C1156" t="str">
        <f>+"Tuáº§n "&amp;WEEKNUM(B1156)</f>
        <v>Tuáº§n 32</v>
      </c>
      <c r="D1156" t="s">
        <v>21</v>
      </c>
      <c r="E1156" t="s">
        <v>17</v>
      </c>
      <c r="F1156" s="5">
        <v>57900000</v>
      </c>
      <c r="G1156" s="5">
        <v>60900000</v>
      </c>
      <c r="H1156" s="5">
        <f>+(M1156*26000)/0.829426</f>
        <v>63010563.932165138</v>
      </c>
      <c r="I1156" s="5">
        <f>+G1156-H1156</f>
        <v>-2110563.9321651384</v>
      </c>
      <c r="J1156" s="5">
        <v>3000000</v>
      </c>
      <c r="K1156" s="5">
        <v>5790000</v>
      </c>
      <c r="L1156" s="5">
        <v>6090000</v>
      </c>
      <c r="M1156" s="7">
        <v>2010.1</v>
      </c>
      <c r="N1156" s="5">
        <v>58400000</v>
      </c>
      <c r="O1156" s="5">
        <v>61400000</v>
      </c>
      <c r="P1156" s="3">
        <v>0.97916666666666663</v>
      </c>
    </row>
    <row r="1157" spans="1:16" x14ac:dyDescent="0.25">
      <c r="A1157" s="2">
        <v>44112</v>
      </c>
      <c r="B1157" s="2">
        <v>44053</v>
      </c>
      <c r="C1157" t="str">
        <f>+"Tuáº§n "&amp;WEEKNUM(B1157)</f>
        <v>Tuáº§n 33</v>
      </c>
      <c r="D1157" t="s">
        <v>16</v>
      </c>
      <c r="E1157" t="s">
        <v>17</v>
      </c>
      <c r="F1157" s="5">
        <v>58300000</v>
      </c>
      <c r="G1157" s="5">
        <v>61300000</v>
      </c>
      <c r="H1157" s="5">
        <f>+(M1157*26000)/0.829426</f>
        <v>63458825.742139742</v>
      </c>
      <c r="I1157" s="5">
        <f>+G1157-H1157</f>
        <v>-2158825.7421397418</v>
      </c>
      <c r="J1157" s="5">
        <v>3000000</v>
      </c>
      <c r="K1157" s="5">
        <v>5830000</v>
      </c>
      <c r="L1157" s="5">
        <v>6130000</v>
      </c>
      <c r="M1157" s="7">
        <v>2024.4</v>
      </c>
      <c r="N1157" s="5">
        <v>58800000</v>
      </c>
      <c r="O1157" s="5">
        <v>61800000</v>
      </c>
      <c r="P1157" s="3">
        <v>0.97916666666666663</v>
      </c>
    </row>
    <row r="1158" spans="1:16" x14ac:dyDescent="0.25">
      <c r="A1158" s="2">
        <v>44143</v>
      </c>
      <c r="B1158" s="2">
        <v>44054</v>
      </c>
      <c r="C1158" t="str">
        <f>+"Tuáº§n "&amp;WEEKNUM(B1158)</f>
        <v>Tuáº§n 33</v>
      </c>
      <c r="D1158" t="s">
        <v>18</v>
      </c>
      <c r="E1158" t="s">
        <v>17</v>
      </c>
      <c r="F1158" s="5">
        <v>55500000</v>
      </c>
      <c r="G1158" s="5">
        <v>58500000</v>
      </c>
      <c r="H1158" s="5">
        <f>+(M1158*26000)/0.829426</f>
        <v>60581173.003981069</v>
      </c>
      <c r="I1158" s="5">
        <f>+G1158-H1158</f>
        <v>-2081173.0039810687</v>
      </c>
      <c r="J1158" s="5">
        <v>3000000</v>
      </c>
      <c r="K1158" s="5">
        <v>5550000</v>
      </c>
      <c r="L1158" s="5">
        <v>5850000</v>
      </c>
      <c r="M1158" s="7">
        <v>1932.6</v>
      </c>
      <c r="N1158" s="5">
        <v>56000000</v>
      </c>
      <c r="O1158" s="5">
        <v>59000000</v>
      </c>
      <c r="P1158" s="3">
        <v>0.97916666666666663</v>
      </c>
    </row>
    <row r="1159" spans="1:16" x14ac:dyDescent="0.25">
      <c r="A1159" s="2">
        <v>44173</v>
      </c>
      <c r="B1159" s="2">
        <v>44055</v>
      </c>
      <c r="C1159" t="str">
        <f>+"Tuáº§n "&amp;WEEKNUM(B1159)</f>
        <v>Tuáº§n 33</v>
      </c>
      <c r="D1159" t="s">
        <v>19</v>
      </c>
      <c r="E1159" t="s">
        <v>17</v>
      </c>
      <c r="F1159" s="5">
        <v>55600000</v>
      </c>
      <c r="G1159" s="5">
        <v>58600000</v>
      </c>
      <c r="H1159" s="5">
        <f>+(M1159*26000)/0.829426</f>
        <v>60653271.057333626</v>
      </c>
      <c r="I1159" s="5">
        <f>+G1159-H1159</f>
        <v>-2053271.0573336259</v>
      </c>
      <c r="J1159" s="5">
        <v>3000000</v>
      </c>
      <c r="K1159" s="5">
        <v>5560000</v>
      </c>
      <c r="L1159" s="5">
        <v>5860000</v>
      </c>
      <c r="M1159" s="7">
        <v>1934.9</v>
      </c>
      <c r="N1159" s="5">
        <v>56100000</v>
      </c>
      <c r="O1159" s="5">
        <v>59100000</v>
      </c>
      <c r="P1159" s="3">
        <v>0.97916666666666663</v>
      </c>
    </row>
    <row r="1160" spans="1:16" x14ac:dyDescent="0.25">
      <c r="A1160" t="s">
        <v>720</v>
      </c>
      <c r="B1160" s="2">
        <v>44056</v>
      </c>
      <c r="C1160" t="str">
        <f>+"Tuáº§n "&amp;WEEKNUM(B1160)</f>
        <v>Tuáº§n 33</v>
      </c>
      <c r="D1160" t="s">
        <v>20</v>
      </c>
      <c r="E1160" t="s">
        <v>17</v>
      </c>
      <c r="F1160" s="5">
        <v>56200000</v>
      </c>
      <c r="G1160" s="5">
        <v>59200000</v>
      </c>
      <c r="H1160" s="5">
        <f>+(M1160*26000)/0.829426</f>
        <v>61336635.215197019</v>
      </c>
      <c r="I1160" s="5">
        <f>+G1160-H1160</f>
        <v>-2136635.2151970193</v>
      </c>
      <c r="J1160" s="5">
        <v>3000000</v>
      </c>
      <c r="K1160" s="5">
        <v>5620000</v>
      </c>
      <c r="L1160" s="5">
        <v>5920000</v>
      </c>
      <c r="M1160" s="7">
        <v>1956.7</v>
      </c>
      <c r="N1160" s="5">
        <v>56700000</v>
      </c>
      <c r="O1160" s="5">
        <v>59700000</v>
      </c>
      <c r="P1160" s="3">
        <v>0.97916666666666663</v>
      </c>
    </row>
    <row r="1161" spans="1:16" x14ac:dyDescent="0.25">
      <c r="A1161" t="s">
        <v>721</v>
      </c>
      <c r="B1161" s="2">
        <v>44057</v>
      </c>
      <c r="C1161" t="str">
        <f>+"Tuáº§n "&amp;WEEKNUM(B1161)</f>
        <v>Tuáº§n 33</v>
      </c>
      <c r="D1161" t="s">
        <v>21</v>
      </c>
      <c r="E1161" t="s">
        <v>17</v>
      </c>
      <c r="F1161" s="5">
        <v>55600000</v>
      </c>
      <c r="G1161" s="5">
        <v>58600000</v>
      </c>
      <c r="H1161" s="5">
        <f>+(M1161*26000)/0.829426</f>
        <v>60719099.714742482</v>
      </c>
      <c r="I1161" s="5">
        <f>+G1161-H1161</f>
        <v>-2119099.7147424817</v>
      </c>
      <c r="J1161" s="5">
        <v>3000000</v>
      </c>
      <c r="K1161" s="5">
        <v>5560000</v>
      </c>
      <c r="L1161" s="5">
        <v>5860000</v>
      </c>
      <c r="M1161" s="7">
        <v>1937</v>
      </c>
      <c r="N1161" s="5">
        <v>56100000</v>
      </c>
      <c r="O1161" s="5">
        <v>59100000</v>
      </c>
      <c r="P1161" s="3">
        <v>0.97916666666666663</v>
      </c>
    </row>
    <row r="1162" spans="1:16" x14ac:dyDescent="0.25">
      <c r="A1162" t="s">
        <v>722</v>
      </c>
      <c r="B1162" s="2">
        <v>44060</v>
      </c>
      <c r="C1162" t="str">
        <f>+"Tuáº§n "&amp;WEEKNUM(B1162)</f>
        <v>Tuáº§n 34</v>
      </c>
      <c r="D1162" t="s">
        <v>16</v>
      </c>
      <c r="E1162" t="s">
        <v>17</v>
      </c>
      <c r="F1162" s="5">
        <v>57100000</v>
      </c>
      <c r="G1162" s="5">
        <v>60100000</v>
      </c>
      <c r="H1162" s="5">
        <f>+(M1162*26000)/0.829426</f>
        <v>62223754.741230682</v>
      </c>
      <c r="I1162" s="5">
        <f>+G1162-H1162</f>
        <v>-2123754.7412306815</v>
      </c>
      <c r="J1162" s="5">
        <v>3000000</v>
      </c>
      <c r="K1162" s="5">
        <v>5710000</v>
      </c>
      <c r="L1162" s="5">
        <v>6010000</v>
      </c>
      <c r="M1162" s="7">
        <v>1985</v>
      </c>
      <c r="N1162" s="5">
        <v>57600000</v>
      </c>
      <c r="O1162" s="5">
        <v>60600000</v>
      </c>
      <c r="P1162" s="3">
        <v>0.97916666666666663</v>
      </c>
    </row>
    <row r="1163" spans="1:16" x14ac:dyDescent="0.25">
      <c r="A1163" t="s">
        <v>723</v>
      </c>
      <c r="B1163" s="2">
        <v>44061</v>
      </c>
      <c r="C1163" t="str">
        <f>+"Tuáº§n "&amp;WEEKNUM(B1163)</f>
        <v>Tuáº§n 34</v>
      </c>
      <c r="D1163" t="s">
        <v>18</v>
      </c>
      <c r="E1163" t="s">
        <v>17</v>
      </c>
      <c r="F1163" s="5">
        <v>57500000</v>
      </c>
      <c r="G1163" s="5">
        <v>60500000</v>
      </c>
      <c r="H1163" s="5">
        <f>+(M1163*26000)/0.829426</f>
        <v>62675151.249177143</v>
      </c>
      <c r="I1163" s="5">
        <f>+G1163-H1163</f>
        <v>-2175151.249177143</v>
      </c>
      <c r="J1163" s="5">
        <v>3000000</v>
      </c>
      <c r="K1163" s="5">
        <v>5750000</v>
      </c>
      <c r="L1163" s="5">
        <v>6050000</v>
      </c>
      <c r="M1163" s="7">
        <v>1999.4</v>
      </c>
      <c r="N1163" s="5">
        <v>58000000</v>
      </c>
      <c r="O1163" s="5">
        <v>61000000</v>
      </c>
      <c r="P1163" s="3">
        <v>0.97916666666666663</v>
      </c>
    </row>
    <row r="1164" spans="1:16" x14ac:dyDescent="0.25">
      <c r="A1164" t="s">
        <v>724</v>
      </c>
      <c r="B1164" s="2">
        <v>44062</v>
      </c>
      <c r="C1164" t="str">
        <f>+"Tuáº§n "&amp;WEEKNUM(B1164)</f>
        <v>Tuáº§n 34</v>
      </c>
      <c r="D1164" t="s">
        <v>19</v>
      </c>
      <c r="E1164" t="s">
        <v>17</v>
      </c>
      <c r="F1164" s="5">
        <v>56300000</v>
      </c>
      <c r="G1164" s="5">
        <v>59300000</v>
      </c>
      <c r="H1164" s="5">
        <f>+(M1164*26000)/0.829426</f>
        <v>61399329.174634025</v>
      </c>
      <c r="I1164" s="5">
        <f>+G1164-H1164</f>
        <v>-2099329.1746340245</v>
      </c>
      <c r="J1164" s="5">
        <v>3000000</v>
      </c>
      <c r="K1164" s="5">
        <v>5630000</v>
      </c>
      <c r="L1164" s="5">
        <v>5930000</v>
      </c>
      <c r="M1164" s="7">
        <v>1958.7</v>
      </c>
      <c r="N1164" s="5">
        <v>56800000</v>
      </c>
      <c r="O1164" s="5">
        <v>59800000</v>
      </c>
      <c r="P1164" s="3">
        <v>0.97916666666666663</v>
      </c>
    </row>
    <row r="1165" spans="1:16" x14ac:dyDescent="0.25">
      <c r="A1165" t="s">
        <v>725</v>
      </c>
      <c r="B1165" s="2">
        <v>44063</v>
      </c>
      <c r="C1165" t="str">
        <f>+"Tuáº§n "&amp;WEEKNUM(B1165)</f>
        <v>Tuáº§n 34</v>
      </c>
      <c r="D1165" t="s">
        <v>20</v>
      </c>
      <c r="E1165" t="s">
        <v>17</v>
      </c>
      <c r="F1165" s="5">
        <v>55500000</v>
      </c>
      <c r="G1165" s="5">
        <v>58500000</v>
      </c>
      <c r="H1165" s="5">
        <f>+(M1165*26000)/0.829426</f>
        <v>60618789.379643269</v>
      </c>
      <c r="I1165" s="5">
        <f>+G1165-H1165</f>
        <v>-2118789.3796432689</v>
      </c>
      <c r="J1165" s="5">
        <v>3000000</v>
      </c>
      <c r="K1165" s="5">
        <v>5550000</v>
      </c>
      <c r="L1165" s="5">
        <v>5850000</v>
      </c>
      <c r="M1165" s="7">
        <v>1933.8</v>
      </c>
      <c r="N1165" s="5">
        <v>56000000</v>
      </c>
      <c r="O1165" s="5">
        <v>59000000</v>
      </c>
      <c r="P1165" s="3">
        <v>0.97916666666666663</v>
      </c>
    </row>
    <row r="1166" spans="1:16" x14ac:dyDescent="0.25">
      <c r="A1166" t="s">
        <v>726</v>
      </c>
      <c r="B1166" s="2">
        <v>44064</v>
      </c>
      <c r="C1166" t="str">
        <f>+"Tuáº§n "&amp;WEEKNUM(B1166)</f>
        <v>Tuáº§n 34</v>
      </c>
      <c r="D1166" t="s">
        <v>21</v>
      </c>
      <c r="E1166" t="s">
        <v>17</v>
      </c>
      <c r="F1166" s="5">
        <v>55600000</v>
      </c>
      <c r="G1166" s="5">
        <v>58600000</v>
      </c>
      <c r="H1166" s="5">
        <f>+(M1166*26000)/0.829426</f>
        <v>60643866.963418074</v>
      </c>
      <c r="I1166" s="5">
        <f>+G1166-H1166</f>
        <v>-2043866.963418074</v>
      </c>
      <c r="J1166" s="5">
        <v>3000000</v>
      </c>
      <c r="K1166" s="5">
        <v>5560000</v>
      </c>
      <c r="L1166" s="5">
        <v>5860000</v>
      </c>
      <c r="M1166" s="7">
        <v>1934.6</v>
      </c>
      <c r="N1166" s="5">
        <v>56100000</v>
      </c>
      <c r="O1166" s="5">
        <v>59100000</v>
      </c>
      <c r="P1166" s="3">
        <v>0.97916666666666663</v>
      </c>
    </row>
    <row r="1167" spans="1:16" x14ac:dyDescent="0.25">
      <c r="A1167" t="s">
        <v>727</v>
      </c>
      <c r="B1167" s="2">
        <v>44067</v>
      </c>
      <c r="C1167" t="str">
        <f>+"Tuáº§n "&amp;WEEKNUM(B1167)</f>
        <v>Tuáº§n 35</v>
      </c>
      <c r="D1167" t="s">
        <v>16</v>
      </c>
      <c r="E1167" t="s">
        <v>17</v>
      </c>
      <c r="F1167" s="5">
        <v>55400000</v>
      </c>
      <c r="G1167" s="5">
        <v>58400000</v>
      </c>
      <c r="H1167" s="5">
        <f>+(M1167*26000)/0.829426</f>
        <v>60427572.803360395</v>
      </c>
      <c r="I1167" s="5">
        <f>+G1167-H1167</f>
        <v>-2027572.8033603951</v>
      </c>
      <c r="J1167" s="5">
        <v>3000000</v>
      </c>
      <c r="K1167" s="5">
        <v>5540000</v>
      </c>
      <c r="L1167" s="5">
        <v>5840000</v>
      </c>
      <c r="M1167" s="7">
        <v>1927.7</v>
      </c>
      <c r="N1167" s="5">
        <v>55900000</v>
      </c>
      <c r="O1167" s="5">
        <v>58900000</v>
      </c>
      <c r="P1167" s="3">
        <v>0.97916666666666663</v>
      </c>
    </row>
    <row r="1168" spans="1:16" x14ac:dyDescent="0.25">
      <c r="A1168" t="s">
        <v>728</v>
      </c>
      <c r="B1168" s="2">
        <v>44068</v>
      </c>
      <c r="C1168" t="str">
        <f>+"Tuáº§n "&amp;WEEKNUM(B1168)</f>
        <v>Tuáº§n 35</v>
      </c>
      <c r="D1168" t="s">
        <v>18</v>
      </c>
      <c r="E1168" t="s">
        <v>17</v>
      </c>
      <c r="F1168" s="5">
        <v>54900000</v>
      </c>
      <c r="G1168" s="5">
        <v>57900000</v>
      </c>
      <c r="H1168" s="5">
        <f>+(M1168*26000)/0.829426</f>
        <v>59929155.825836182</v>
      </c>
      <c r="I1168" s="5">
        <f>+G1168-H1168</f>
        <v>-2029155.8258361816</v>
      </c>
      <c r="J1168" s="5">
        <v>3000000</v>
      </c>
      <c r="K1168" s="5">
        <v>5490000</v>
      </c>
      <c r="L1168" s="5">
        <v>5790000</v>
      </c>
      <c r="M1168" s="7">
        <v>1911.8</v>
      </c>
      <c r="N1168" s="5">
        <v>55400000</v>
      </c>
      <c r="O1168" s="5">
        <v>58400000</v>
      </c>
      <c r="P1168" s="3">
        <v>0.97916666666666663</v>
      </c>
    </row>
    <row r="1169" spans="1:16" x14ac:dyDescent="0.25">
      <c r="A1169" t="s">
        <v>729</v>
      </c>
      <c r="B1169" s="2">
        <v>44069</v>
      </c>
      <c r="C1169" t="str">
        <f>+"Tuáº§n "&amp;WEEKNUM(B1169)</f>
        <v>Tuáº§n 35</v>
      </c>
      <c r="D1169" t="s">
        <v>19</v>
      </c>
      <c r="E1169" t="s">
        <v>17</v>
      </c>
      <c r="F1169" s="5">
        <v>55800000</v>
      </c>
      <c r="G1169" s="5">
        <v>58800000</v>
      </c>
      <c r="H1169" s="5">
        <f>+(M1169*26000)/0.829426</f>
        <v>60835083.539700948</v>
      </c>
      <c r="I1169" s="5">
        <f>+G1169-H1169</f>
        <v>-2035083.5397009477</v>
      </c>
      <c r="J1169" s="5">
        <v>3000000</v>
      </c>
      <c r="K1169" s="5">
        <v>5580000</v>
      </c>
      <c r="L1169" s="5">
        <v>5880000</v>
      </c>
      <c r="M1169" s="7">
        <v>1940.7</v>
      </c>
      <c r="N1169" s="5">
        <v>56300000</v>
      </c>
      <c r="O1169" s="5">
        <v>59300000</v>
      </c>
      <c r="P1169" s="3">
        <v>0.97916666666666663</v>
      </c>
    </row>
    <row r="1170" spans="1:16" x14ac:dyDescent="0.25">
      <c r="A1170" t="s">
        <v>730</v>
      </c>
      <c r="B1170" s="2">
        <v>44070</v>
      </c>
      <c r="C1170" t="str">
        <f>+"Tuáº§n "&amp;WEEKNUM(B1170)</f>
        <v>Tuáº§n 35</v>
      </c>
      <c r="D1170" t="s">
        <v>20</v>
      </c>
      <c r="E1170" t="s">
        <v>17</v>
      </c>
      <c r="F1170" s="5">
        <v>55200000</v>
      </c>
      <c r="G1170" s="5">
        <v>58200000</v>
      </c>
      <c r="H1170" s="5">
        <f>+(M1170*26000)/0.829426</f>
        <v>60236356.227077521</v>
      </c>
      <c r="I1170" s="5">
        <f>+G1170-H1170</f>
        <v>-2036356.2270775214</v>
      </c>
      <c r="J1170" s="5">
        <v>3000000</v>
      </c>
      <c r="K1170" s="5">
        <v>5520000</v>
      </c>
      <c r="L1170" s="5">
        <v>5820000</v>
      </c>
      <c r="M1170" s="7">
        <v>1921.6</v>
      </c>
      <c r="N1170" s="5">
        <v>55700000</v>
      </c>
      <c r="O1170" s="5">
        <v>58700000</v>
      </c>
      <c r="P1170" s="3">
        <v>0.97916666666666663</v>
      </c>
    </row>
    <row r="1171" spans="1:16" x14ac:dyDescent="0.25">
      <c r="A1171" t="s">
        <v>731</v>
      </c>
      <c r="B1171" s="2">
        <v>44071</v>
      </c>
      <c r="C1171" t="str">
        <f>+"Tuáº§n "&amp;WEEKNUM(B1171)</f>
        <v>Tuáº§n 35</v>
      </c>
      <c r="D1171" t="s">
        <v>21</v>
      </c>
      <c r="E1171" t="s">
        <v>17</v>
      </c>
      <c r="F1171" s="5">
        <v>56500000</v>
      </c>
      <c r="G1171" s="5">
        <v>59500000</v>
      </c>
      <c r="H1171" s="5">
        <f>+(M1171*26000)/0.829426</f>
        <v>61584276.354973197</v>
      </c>
      <c r="I1171" s="5">
        <f>+G1171-H1171</f>
        <v>-2084276.354973197</v>
      </c>
      <c r="J1171" s="5">
        <v>3000000</v>
      </c>
      <c r="K1171" s="5">
        <v>5650000</v>
      </c>
      <c r="L1171" s="5">
        <v>5950000</v>
      </c>
      <c r="M1171" s="7">
        <v>1964.6</v>
      </c>
      <c r="N1171" s="5">
        <v>57000000</v>
      </c>
      <c r="O1171" s="5">
        <v>60000000</v>
      </c>
      <c r="P1171" s="3">
        <v>0.97916666666666663</v>
      </c>
    </row>
    <row r="1172" spans="1:16" x14ac:dyDescent="0.25">
      <c r="A1172" t="s">
        <v>732</v>
      </c>
      <c r="B1172" s="2">
        <v>44074</v>
      </c>
      <c r="C1172" t="str">
        <f>+"Tuáº§n "&amp;WEEKNUM(B1172)</f>
        <v>Tuáº§n 36</v>
      </c>
      <c r="D1172" t="s">
        <v>16</v>
      </c>
      <c r="E1172" t="s">
        <v>17</v>
      </c>
      <c r="F1172" s="5">
        <v>56600000</v>
      </c>
      <c r="G1172" s="5">
        <v>59600000</v>
      </c>
      <c r="H1172" s="5">
        <f>+(M1172*26000)/0.829426</f>
        <v>61678317.294128709</v>
      </c>
      <c r="I1172" s="5">
        <f>+G1172-H1172</f>
        <v>-2078317.2941287085</v>
      </c>
      <c r="J1172" s="5">
        <v>3000000</v>
      </c>
      <c r="K1172" s="5">
        <v>5660000</v>
      </c>
      <c r="L1172" s="5">
        <v>5960000</v>
      </c>
      <c r="M1172" s="7">
        <v>1967.6</v>
      </c>
      <c r="N1172" s="5">
        <v>57100000</v>
      </c>
      <c r="O1172" s="5">
        <v>60100000</v>
      </c>
      <c r="P1172" s="3">
        <v>0.97916666666666663</v>
      </c>
    </row>
    <row r="1173" spans="1:16" x14ac:dyDescent="0.25">
      <c r="A1173" s="2">
        <v>43839</v>
      </c>
      <c r="B1173" s="2">
        <v>44075</v>
      </c>
      <c r="C1173" t="str">
        <f>+"Tuáº§n "&amp;WEEKNUM(B1173)</f>
        <v>Tuáº§n 36</v>
      </c>
      <c r="D1173" t="s">
        <v>18</v>
      </c>
      <c r="E1173" t="s">
        <v>17</v>
      </c>
      <c r="F1173" s="5">
        <v>56600000</v>
      </c>
      <c r="G1173" s="5">
        <v>59600000</v>
      </c>
      <c r="H1173" s="5">
        <f>+(M1173*26000)/0.829426</f>
        <v>61697125.481959812</v>
      </c>
      <c r="I1173" s="5">
        <f>+G1173-H1173</f>
        <v>-2097125.4819598123</v>
      </c>
      <c r="J1173" s="5">
        <v>3000000</v>
      </c>
      <c r="K1173" s="5">
        <v>5660000</v>
      </c>
      <c r="L1173" s="5">
        <v>5960000</v>
      </c>
      <c r="M1173" s="7">
        <v>1968.2</v>
      </c>
      <c r="N1173" s="5">
        <v>57100000</v>
      </c>
      <c r="O1173" s="5">
        <v>60100000</v>
      </c>
      <c r="P1173" s="3">
        <v>0.97916666666666663</v>
      </c>
    </row>
    <row r="1174" spans="1:16" x14ac:dyDescent="0.25">
      <c r="A1174" s="2">
        <v>43870</v>
      </c>
      <c r="B1174" s="2">
        <v>44076</v>
      </c>
      <c r="C1174" t="str">
        <f>+"Tuáº§n "&amp;WEEKNUM(B1174)</f>
        <v>Tuáº§n 36</v>
      </c>
      <c r="D1174" t="s">
        <v>19</v>
      </c>
      <c r="E1174" t="s">
        <v>17</v>
      </c>
      <c r="F1174" s="5">
        <v>55600000</v>
      </c>
      <c r="G1174" s="5">
        <v>58600000</v>
      </c>
      <c r="H1174" s="5">
        <f>+(M1174*26000)/0.829426</f>
        <v>60637597.567474373</v>
      </c>
      <c r="I1174" s="5">
        <f>+G1174-H1174</f>
        <v>-2037597.5674743727</v>
      </c>
      <c r="J1174" s="5">
        <v>3000000</v>
      </c>
      <c r="K1174" s="5">
        <v>5560000</v>
      </c>
      <c r="L1174" s="5">
        <v>5860000</v>
      </c>
      <c r="M1174" s="7">
        <v>1934.4</v>
      </c>
      <c r="N1174" s="5">
        <v>56100000</v>
      </c>
      <c r="O1174" s="5">
        <v>59100000</v>
      </c>
      <c r="P1174" s="3">
        <v>0.97916666666666663</v>
      </c>
    </row>
    <row r="1175" spans="1:16" x14ac:dyDescent="0.25">
      <c r="A1175" s="2">
        <v>43899</v>
      </c>
      <c r="B1175" s="2">
        <v>44077</v>
      </c>
      <c r="C1175" t="str">
        <f>+"Tuáº§n "&amp;WEEKNUM(B1175)</f>
        <v>Tuáº§n 36</v>
      </c>
      <c r="D1175" t="s">
        <v>20</v>
      </c>
      <c r="E1175" t="s">
        <v>17</v>
      </c>
      <c r="F1175" s="5">
        <v>55400000</v>
      </c>
      <c r="G1175" s="5">
        <v>58400000</v>
      </c>
      <c r="H1175" s="5">
        <f>+(M1175*26000)/0.829426</f>
        <v>60424438.105388544</v>
      </c>
      <c r="I1175" s="5">
        <f>+G1175-H1175</f>
        <v>-2024438.1053885445</v>
      </c>
      <c r="J1175" s="5">
        <v>3000000</v>
      </c>
      <c r="K1175" s="5">
        <v>5540000</v>
      </c>
      <c r="L1175" s="5">
        <v>5840000</v>
      </c>
      <c r="M1175" s="7">
        <v>1927.6</v>
      </c>
      <c r="N1175" s="5">
        <v>55900000</v>
      </c>
      <c r="O1175" s="5">
        <v>58900000</v>
      </c>
      <c r="P1175" s="3">
        <v>0.97916666666666663</v>
      </c>
    </row>
    <row r="1176" spans="1:16" x14ac:dyDescent="0.25">
      <c r="A1176" s="2">
        <v>43930</v>
      </c>
      <c r="B1176" s="2">
        <v>44078</v>
      </c>
      <c r="C1176" t="str">
        <f>+"Tuáº§n "&amp;WEEKNUM(B1176)</f>
        <v>Tuáº§n 36</v>
      </c>
      <c r="D1176" t="s">
        <v>21</v>
      </c>
      <c r="E1176" t="s">
        <v>17</v>
      </c>
      <c r="F1176" s="5">
        <v>55200000</v>
      </c>
      <c r="G1176" s="5">
        <v>58200000</v>
      </c>
      <c r="H1176" s="5">
        <f>+(M1176*26000)/0.829426</f>
        <v>60308454.280430079</v>
      </c>
      <c r="I1176" s="5">
        <f>+G1176-H1176</f>
        <v>-2108454.2804300785</v>
      </c>
      <c r="J1176" s="5">
        <v>3000000</v>
      </c>
      <c r="K1176" s="5">
        <v>5520000</v>
      </c>
      <c r="L1176" s="5">
        <v>5820000</v>
      </c>
      <c r="M1176" s="7">
        <v>1923.9</v>
      </c>
      <c r="N1176" s="5">
        <v>55700000</v>
      </c>
      <c r="O1176" s="5">
        <v>58700000</v>
      </c>
      <c r="P1176" s="3">
        <v>0.97916666666666663</v>
      </c>
    </row>
    <row r="1177" spans="1:16" x14ac:dyDescent="0.25">
      <c r="A1177" s="2">
        <v>44052</v>
      </c>
      <c r="B1177" s="2">
        <v>44082</v>
      </c>
      <c r="C1177" t="str">
        <f>+"Tuáº§n "&amp;WEEKNUM(B1177)</f>
        <v>Tuáº§n 37</v>
      </c>
      <c r="D1177" t="s">
        <v>18</v>
      </c>
      <c r="E1177" t="s">
        <v>17</v>
      </c>
      <c r="F1177" s="5">
        <v>55500000</v>
      </c>
      <c r="G1177" s="5">
        <v>58500000</v>
      </c>
      <c r="H1177" s="5">
        <f>+(M1177*26000)/0.829426</f>
        <v>60593711.795868471</v>
      </c>
      <c r="I1177" s="5">
        <f>+G1177-H1177</f>
        <v>-2093711.7958684713</v>
      </c>
      <c r="J1177" s="5">
        <v>3000000</v>
      </c>
      <c r="K1177" s="5">
        <v>5550000</v>
      </c>
      <c r="L1177" s="5">
        <v>5850000</v>
      </c>
      <c r="M1177" s="7">
        <v>1933</v>
      </c>
      <c r="N1177" s="5">
        <v>56000000</v>
      </c>
      <c r="O1177" s="5">
        <v>59000000</v>
      </c>
      <c r="P1177" s="3">
        <v>0.97916666666666663</v>
      </c>
    </row>
    <row r="1178" spans="1:16" x14ac:dyDescent="0.25">
      <c r="A1178" s="2">
        <v>44083</v>
      </c>
      <c r="B1178" s="2">
        <v>44083</v>
      </c>
      <c r="C1178" t="str">
        <f>+"Tuáº§n "&amp;WEEKNUM(B1178)</f>
        <v>Tuáº§n 37</v>
      </c>
      <c r="D1178" t="s">
        <v>19</v>
      </c>
      <c r="E1178" t="s">
        <v>17</v>
      </c>
      <c r="F1178" s="5">
        <v>55900000</v>
      </c>
      <c r="G1178" s="5">
        <v>58900000</v>
      </c>
      <c r="H1178" s="5">
        <f>+(M1178*26000)/0.829426</f>
        <v>60960471.458574966</v>
      </c>
      <c r="I1178" s="5">
        <f>+G1178-H1178</f>
        <v>-2060471.4585749656</v>
      </c>
      <c r="J1178" s="5">
        <v>3000000</v>
      </c>
      <c r="K1178" s="5">
        <v>5590000</v>
      </c>
      <c r="L1178" s="5">
        <v>5890000</v>
      </c>
      <c r="M1178" s="7">
        <v>1944.7</v>
      </c>
      <c r="N1178" s="5">
        <v>56400000</v>
      </c>
      <c r="O1178" s="5">
        <v>59400000</v>
      </c>
      <c r="P1178" s="3">
        <v>0.97916666666666663</v>
      </c>
    </row>
    <row r="1179" spans="1:16" x14ac:dyDescent="0.25">
      <c r="A1179" s="2">
        <v>44113</v>
      </c>
      <c r="B1179" s="2">
        <v>44084</v>
      </c>
      <c r="C1179" t="str">
        <f>+"Tuáº§n "&amp;WEEKNUM(B1179)</f>
        <v>Tuáº§n 37</v>
      </c>
      <c r="D1179" t="s">
        <v>20</v>
      </c>
      <c r="E1179" t="s">
        <v>17</v>
      </c>
      <c r="F1179" s="5">
        <v>56200000</v>
      </c>
      <c r="G1179" s="5">
        <v>59200000</v>
      </c>
      <c r="H1179" s="5">
        <f>+(M1179*26000)/0.829426</f>
        <v>61258267.765900753</v>
      </c>
      <c r="I1179" s="5">
        <f>+G1179-H1179</f>
        <v>-2058267.7659007534</v>
      </c>
      <c r="J1179" s="5">
        <v>3000000</v>
      </c>
      <c r="K1179" s="5">
        <v>5620000</v>
      </c>
      <c r="L1179" s="5">
        <v>5920000</v>
      </c>
      <c r="M1179" s="7">
        <v>1954.2</v>
      </c>
      <c r="N1179" s="5">
        <v>56700000</v>
      </c>
      <c r="O1179" s="5">
        <v>59700000</v>
      </c>
      <c r="P1179" s="3">
        <v>0.97916666666666663</v>
      </c>
    </row>
    <row r="1180" spans="1:16" x14ac:dyDescent="0.25">
      <c r="A1180" s="2">
        <v>44144</v>
      </c>
      <c r="B1180" s="2">
        <v>44085</v>
      </c>
      <c r="C1180" t="str">
        <f>+"Tuáº§n "&amp;WEEKNUM(B1180)</f>
        <v>Tuáº§n 37</v>
      </c>
      <c r="D1180" t="s">
        <v>21</v>
      </c>
      <c r="E1180" t="s">
        <v>17</v>
      </c>
      <c r="F1180" s="5">
        <v>55700000</v>
      </c>
      <c r="G1180" s="5">
        <v>58700000</v>
      </c>
      <c r="H1180" s="5">
        <f>+(M1180*26000)/0.829426</f>
        <v>60744177.298517287</v>
      </c>
      <c r="I1180" s="5">
        <f>+G1180-H1180</f>
        <v>-2044177.2985172868</v>
      </c>
      <c r="J1180" s="5">
        <v>3000000</v>
      </c>
      <c r="K1180" s="5">
        <v>5570000</v>
      </c>
      <c r="L1180" s="5">
        <v>5870000</v>
      </c>
      <c r="M1180" s="7">
        <v>1937.8</v>
      </c>
      <c r="N1180" s="5">
        <v>56200000</v>
      </c>
      <c r="O1180" s="5">
        <v>59200000</v>
      </c>
      <c r="P1180" s="3">
        <v>0.97916666666666663</v>
      </c>
    </row>
    <row r="1181" spans="1:16" x14ac:dyDescent="0.25">
      <c r="A1181" t="s">
        <v>733</v>
      </c>
      <c r="B1181" s="2">
        <v>44088</v>
      </c>
      <c r="C1181" t="str">
        <f>+"Tuáº§n "&amp;WEEKNUM(B1181)</f>
        <v>Tuáº§n 38</v>
      </c>
      <c r="D1181" t="s">
        <v>16</v>
      </c>
      <c r="E1181" t="s">
        <v>17</v>
      </c>
      <c r="F1181" s="5">
        <v>56100000</v>
      </c>
      <c r="G1181" s="5">
        <v>59100000</v>
      </c>
      <c r="H1181" s="5">
        <f>+(M1181*26000)/0.829426</f>
        <v>61223786.088210404</v>
      </c>
      <c r="I1181" s="5">
        <f>+G1181-H1181</f>
        <v>-2123786.0882104039</v>
      </c>
      <c r="J1181" s="5">
        <v>3000000</v>
      </c>
      <c r="K1181" s="5">
        <v>5610000</v>
      </c>
      <c r="L1181" s="5">
        <v>5910000</v>
      </c>
      <c r="M1181" s="7">
        <v>1953.1</v>
      </c>
      <c r="N1181" s="5">
        <v>56600000</v>
      </c>
      <c r="O1181" s="5">
        <v>59600000</v>
      </c>
      <c r="P1181" s="3">
        <v>0.97916666666666663</v>
      </c>
    </row>
    <row r="1182" spans="1:16" x14ac:dyDescent="0.25">
      <c r="A1182" t="s">
        <v>734</v>
      </c>
      <c r="B1182" s="2">
        <v>44089</v>
      </c>
      <c r="C1182" t="str">
        <f>+"Tuáº§n "&amp;WEEKNUM(B1182)</f>
        <v>Tuáº§n 38</v>
      </c>
      <c r="D1182" t="s">
        <v>18</v>
      </c>
      <c r="E1182" t="s">
        <v>17</v>
      </c>
      <c r="F1182" s="5">
        <v>56200000</v>
      </c>
      <c r="G1182" s="5">
        <v>59200000</v>
      </c>
      <c r="H1182" s="5">
        <f>+(M1182*26000)/0.829426</f>
        <v>61324096.423309617</v>
      </c>
      <c r="I1182" s="5">
        <f>+G1182-H1182</f>
        <v>-2124096.4233096167</v>
      </c>
      <c r="J1182" s="5">
        <v>3000000</v>
      </c>
      <c r="K1182" s="5">
        <v>5620000</v>
      </c>
      <c r="L1182" s="5">
        <v>5920000</v>
      </c>
      <c r="M1182" s="7">
        <v>1956.3</v>
      </c>
      <c r="N1182" s="5">
        <v>56700000</v>
      </c>
      <c r="O1182" s="5">
        <v>59700000</v>
      </c>
      <c r="P1182" s="3">
        <v>0.97916666666666663</v>
      </c>
    </row>
    <row r="1183" spans="1:16" x14ac:dyDescent="0.25">
      <c r="A1183" t="s">
        <v>735</v>
      </c>
      <c r="B1183" s="2">
        <v>44090</v>
      </c>
      <c r="C1183" t="str">
        <f>+"Tuáº§n "&amp;WEEKNUM(B1183)</f>
        <v>Tuáº§n 38</v>
      </c>
      <c r="D1183" t="s">
        <v>19</v>
      </c>
      <c r="E1183" t="s">
        <v>17</v>
      </c>
      <c r="F1183" s="5">
        <v>56300000</v>
      </c>
      <c r="G1183" s="5">
        <v>59300000</v>
      </c>
      <c r="H1183" s="5">
        <f>+(M1183*26000)/0.829426</f>
        <v>61446349.644211784</v>
      </c>
      <c r="I1183" s="5">
        <f>+G1183-H1183</f>
        <v>-2146349.644211784</v>
      </c>
      <c r="J1183" s="5">
        <v>3000000</v>
      </c>
      <c r="K1183" s="5">
        <v>5630000</v>
      </c>
      <c r="L1183" s="5">
        <v>5930000</v>
      </c>
      <c r="M1183" s="7">
        <v>1960.2</v>
      </c>
      <c r="N1183" s="5">
        <v>56800000</v>
      </c>
      <c r="O1183" s="5">
        <v>59800000</v>
      </c>
      <c r="P1183" s="3">
        <v>0.97916666666666663</v>
      </c>
    </row>
    <row r="1184" spans="1:16" x14ac:dyDescent="0.25">
      <c r="A1184" t="s">
        <v>736</v>
      </c>
      <c r="B1184" s="2">
        <v>44091</v>
      </c>
      <c r="C1184" t="str">
        <f>+"Tuáº§n "&amp;WEEKNUM(B1184)</f>
        <v>Tuáº§n 38</v>
      </c>
      <c r="D1184" t="s">
        <v>20</v>
      </c>
      <c r="E1184" t="s">
        <v>17</v>
      </c>
      <c r="F1184" s="5">
        <v>55700000</v>
      </c>
      <c r="G1184" s="5">
        <v>58700000</v>
      </c>
      <c r="H1184" s="5">
        <f>+(M1184*26000)/0.829426</f>
        <v>60813140.653898001</v>
      </c>
      <c r="I1184" s="5">
        <f>+G1184-H1184</f>
        <v>-2113140.6538980007</v>
      </c>
      <c r="J1184" s="5">
        <v>3000000</v>
      </c>
      <c r="K1184" s="5">
        <v>5570000</v>
      </c>
      <c r="L1184" s="5">
        <v>5870000</v>
      </c>
      <c r="M1184" s="7">
        <v>1940</v>
      </c>
      <c r="N1184" s="5">
        <v>56200000</v>
      </c>
      <c r="O1184" s="5">
        <v>59200000</v>
      </c>
      <c r="P1184" s="3">
        <v>0.97916666666666663</v>
      </c>
    </row>
    <row r="1185" spans="1:16" x14ac:dyDescent="0.25">
      <c r="A1185" t="s">
        <v>737</v>
      </c>
      <c r="B1185" s="2">
        <v>44092</v>
      </c>
      <c r="C1185" t="str">
        <f>+"Tuáº§n "&amp;WEEKNUM(B1185)</f>
        <v>Tuáº§n 38</v>
      </c>
      <c r="D1185" t="s">
        <v>21</v>
      </c>
      <c r="E1185" t="s">
        <v>17</v>
      </c>
      <c r="F1185" s="5">
        <v>56100000</v>
      </c>
      <c r="G1185" s="5">
        <v>59100000</v>
      </c>
      <c r="H1185" s="5">
        <f>+(M1185*26000)/0.829426</f>
        <v>61192439.108491898</v>
      </c>
      <c r="I1185" s="5">
        <f>+G1185-H1185</f>
        <v>-2092439.1084918976</v>
      </c>
      <c r="J1185" s="5">
        <v>3000000</v>
      </c>
      <c r="K1185" s="5">
        <v>5610000</v>
      </c>
      <c r="L1185" s="5">
        <v>5910000</v>
      </c>
      <c r="M1185" s="7">
        <v>1952.1</v>
      </c>
      <c r="N1185" s="5">
        <v>56600000</v>
      </c>
      <c r="O1185" s="5">
        <v>59600000</v>
      </c>
      <c r="P1185" s="3">
        <v>0.97916666666666663</v>
      </c>
    </row>
    <row r="1186" spans="1:16" x14ac:dyDescent="0.25">
      <c r="A1186" t="s">
        <v>738</v>
      </c>
      <c r="B1186" s="2">
        <v>44095</v>
      </c>
      <c r="C1186" t="str">
        <f>+"Tuáº§n "&amp;WEEKNUM(B1186)</f>
        <v>Tuáº§n 39</v>
      </c>
      <c r="D1186" t="s">
        <v>16</v>
      </c>
      <c r="E1186" t="s">
        <v>17</v>
      </c>
      <c r="F1186" s="5">
        <v>54600000</v>
      </c>
      <c r="G1186" s="5">
        <v>57600000</v>
      </c>
      <c r="H1186" s="5">
        <f>+(M1186*26000)/0.829426</f>
        <v>59596877.840820037</v>
      </c>
      <c r="I1186" s="5">
        <f>+G1186-H1186</f>
        <v>-1996877.8408200368</v>
      </c>
      <c r="J1186" s="5">
        <v>3000000</v>
      </c>
      <c r="K1186" s="5">
        <v>5460000</v>
      </c>
      <c r="L1186" s="5">
        <v>5760000</v>
      </c>
      <c r="M1186" s="7">
        <v>1901.2</v>
      </c>
      <c r="N1186" s="5">
        <v>55100000</v>
      </c>
      <c r="O1186" s="5">
        <v>58100000</v>
      </c>
      <c r="P1186" s="3">
        <v>0.97916666666666663</v>
      </c>
    </row>
    <row r="1187" spans="1:16" x14ac:dyDescent="0.25">
      <c r="A1187" t="s">
        <v>739</v>
      </c>
      <c r="B1187" s="2">
        <v>44096</v>
      </c>
      <c r="C1187" t="str">
        <f>+"Tuáº§n "&amp;WEEKNUM(B1187)</f>
        <v>Tuáº§n 39</v>
      </c>
      <c r="D1187" t="s">
        <v>18</v>
      </c>
      <c r="E1187" t="s">
        <v>17</v>
      </c>
      <c r="F1187" s="5">
        <v>54500000</v>
      </c>
      <c r="G1187" s="5">
        <v>57500000</v>
      </c>
      <c r="H1187" s="5">
        <f>+(M1187*26000)/0.829426</f>
        <v>59515375.693551928</v>
      </c>
      <c r="I1187" s="5">
        <f>+G1187-H1187</f>
        <v>-2015375.6935519278</v>
      </c>
      <c r="J1187" s="5">
        <v>3000000</v>
      </c>
      <c r="K1187" s="5">
        <v>5450000</v>
      </c>
      <c r="L1187" s="5">
        <v>5750000</v>
      </c>
      <c r="M1187" s="7">
        <v>1898.6</v>
      </c>
      <c r="N1187" s="5">
        <v>55000000</v>
      </c>
      <c r="O1187" s="5">
        <v>58000000</v>
      </c>
      <c r="P1187" s="3">
        <v>0.97916666666666663</v>
      </c>
    </row>
    <row r="1188" spans="1:16" x14ac:dyDescent="0.25">
      <c r="A1188" t="s">
        <v>740</v>
      </c>
      <c r="B1188" s="2">
        <v>44097</v>
      </c>
      <c r="C1188" t="str">
        <f>+"Tuáº§n "&amp;WEEKNUM(B1188)</f>
        <v>Tuáº§n 39</v>
      </c>
      <c r="D1188" t="s">
        <v>19</v>
      </c>
      <c r="E1188" t="s">
        <v>17</v>
      </c>
      <c r="F1188" s="5">
        <v>53300000</v>
      </c>
      <c r="G1188" s="5">
        <v>56300000</v>
      </c>
      <c r="H1188" s="5">
        <f>+(M1188*26000)/0.829426</f>
        <v>58302247.578445815</v>
      </c>
      <c r="I1188" s="5">
        <f>+G1188-H1188</f>
        <v>-2002247.5784458145</v>
      </c>
      <c r="J1188" s="5">
        <v>3000000</v>
      </c>
      <c r="K1188" s="5">
        <v>5330000</v>
      </c>
      <c r="L1188" s="5">
        <v>5630000</v>
      </c>
      <c r="M1188" s="7">
        <v>1859.9</v>
      </c>
      <c r="N1188" s="5">
        <v>53800000</v>
      </c>
      <c r="O1188" s="5">
        <v>56800000</v>
      </c>
      <c r="P1188" s="3">
        <v>0.97916666666666663</v>
      </c>
    </row>
    <row r="1189" spans="1:16" x14ac:dyDescent="0.25">
      <c r="A1189" t="s">
        <v>741</v>
      </c>
      <c r="B1189" s="2">
        <v>44098</v>
      </c>
      <c r="C1189" t="str">
        <f>+"Tuáº§n "&amp;WEEKNUM(B1189)</f>
        <v>Tuáº§n 39</v>
      </c>
      <c r="D1189" t="s">
        <v>20</v>
      </c>
      <c r="E1189" t="s">
        <v>17</v>
      </c>
      <c r="F1189" s="5">
        <v>53600000</v>
      </c>
      <c r="G1189" s="5">
        <v>56600000</v>
      </c>
      <c r="H1189" s="5">
        <f>+(M1189*26000)/0.829426</f>
        <v>58565562.208081253</v>
      </c>
      <c r="I1189" s="5">
        <f>+G1189-H1189</f>
        <v>-1965562.2080812529</v>
      </c>
      <c r="J1189" s="5">
        <v>3000000</v>
      </c>
      <c r="K1189" s="5">
        <v>5360000</v>
      </c>
      <c r="L1189" s="5">
        <v>5660000</v>
      </c>
      <c r="M1189" s="7">
        <v>1868.3</v>
      </c>
      <c r="N1189" s="5">
        <v>54100000</v>
      </c>
      <c r="O1189" s="5">
        <v>57100000</v>
      </c>
      <c r="P1189" s="3">
        <v>0.97916666666666663</v>
      </c>
    </row>
    <row r="1190" spans="1:16" x14ac:dyDescent="0.25">
      <c r="A1190" t="s">
        <v>742</v>
      </c>
      <c r="B1190" s="2">
        <v>44099</v>
      </c>
      <c r="C1190" t="str">
        <f>+"Tuáº§n "&amp;WEEKNUM(B1190)</f>
        <v>Tuáº§n 39</v>
      </c>
      <c r="D1190" t="s">
        <v>21</v>
      </c>
      <c r="E1190" t="s">
        <v>17</v>
      </c>
      <c r="F1190" s="5">
        <v>53200000</v>
      </c>
      <c r="G1190" s="5">
        <v>56200000</v>
      </c>
      <c r="H1190" s="5">
        <f>+(M1190*26000)/0.829426</f>
        <v>58233284.223065108</v>
      </c>
      <c r="I1190" s="5">
        <f>+G1190-H1190</f>
        <v>-2033284.2230651081</v>
      </c>
      <c r="J1190" s="5">
        <v>3000000</v>
      </c>
      <c r="K1190" s="5">
        <v>5320000</v>
      </c>
      <c r="L1190" s="5">
        <v>5620000</v>
      </c>
      <c r="M1190" s="7">
        <v>1857.7</v>
      </c>
      <c r="N1190" s="5">
        <v>53700000</v>
      </c>
      <c r="O1190" s="5">
        <v>56700000</v>
      </c>
      <c r="P1190" s="3">
        <v>0.97916666666666663</v>
      </c>
    </row>
    <row r="1191" spans="1:16" x14ac:dyDescent="0.25">
      <c r="A1191" t="s">
        <v>743</v>
      </c>
      <c r="B1191" s="2">
        <v>44102</v>
      </c>
      <c r="C1191" t="str">
        <f>+"Tuáº§n "&amp;WEEKNUM(B1191)</f>
        <v>Tuáº§n 40</v>
      </c>
      <c r="D1191" t="s">
        <v>16</v>
      </c>
      <c r="E1191" t="s">
        <v>17</v>
      </c>
      <c r="F1191" s="5">
        <v>53700000</v>
      </c>
      <c r="G1191" s="5">
        <v>56700000</v>
      </c>
      <c r="H1191" s="5">
        <f>+(M1191*26000)/0.829426</f>
        <v>58706623.616814516</v>
      </c>
      <c r="I1191" s="5">
        <f>+G1191-H1191</f>
        <v>-2006623.6168145165</v>
      </c>
      <c r="J1191" s="5">
        <v>3000000</v>
      </c>
      <c r="K1191" s="5">
        <v>5370000</v>
      </c>
      <c r="L1191" s="5">
        <v>5670000</v>
      </c>
      <c r="M1191" s="7">
        <v>1872.8</v>
      </c>
      <c r="N1191" s="5">
        <v>54200000</v>
      </c>
      <c r="O1191" s="5">
        <v>57200000</v>
      </c>
      <c r="P1191" s="3">
        <v>0.97916666666666663</v>
      </c>
    </row>
    <row r="1192" spans="1:16" x14ac:dyDescent="0.25">
      <c r="A1192" t="s">
        <v>744</v>
      </c>
      <c r="B1192" s="2">
        <v>44103</v>
      </c>
      <c r="C1192" t="str">
        <f>+"Tuáº§n "&amp;WEEKNUM(B1192)</f>
        <v>Tuáº§n 40</v>
      </c>
      <c r="D1192" t="s">
        <v>18</v>
      </c>
      <c r="E1192" t="s">
        <v>17</v>
      </c>
      <c r="F1192" s="5">
        <v>54300000</v>
      </c>
      <c r="G1192" s="5">
        <v>57300000</v>
      </c>
      <c r="H1192" s="5">
        <f>+(M1192*26000)/0.829426</f>
        <v>59380583.680762358</v>
      </c>
      <c r="I1192" s="5">
        <f>+G1192-H1192</f>
        <v>-2080583.680762358</v>
      </c>
      <c r="J1192" s="5">
        <v>3000000</v>
      </c>
      <c r="K1192" s="5">
        <v>5430000</v>
      </c>
      <c r="L1192" s="5">
        <v>5730000</v>
      </c>
      <c r="M1192" s="7">
        <v>1894.3</v>
      </c>
      <c r="N1192" s="5">
        <v>54800000</v>
      </c>
      <c r="O1192" s="5">
        <v>57800000</v>
      </c>
      <c r="P1192" s="3">
        <v>0.97916666666666663</v>
      </c>
    </row>
    <row r="1193" spans="1:16" x14ac:dyDescent="0.25">
      <c r="A1193" t="s">
        <v>745</v>
      </c>
      <c r="B1193" s="2">
        <v>44104</v>
      </c>
      <c r="C1193" t="str">
        <f>+"Tuáº§n "&amp;WEEKNUM(B1193)</f>
        <v>Tuáº§n 40</v>
      </c>
      <c r="D1193" t="s">
        <v>19</v>
      </c>
      <c r="E1193" t="s">
        <v>17</v>
      </c>
      <c r="F1193" s="5">
        <v>54100000</v>
      </c>
      <c r="G1193" s="5">
        <v>57100000</v>
      </c>
      <c r="H1193" s="5">
        <f>+(M1193*26000)/0.829426</f>
        <v>59167424.21867653</v>
      </c>
      <c r="I1193" s="5">
        <f>+G1193-H1193</f>
        <v>-2067424.2186765298</v>
      </c>
      <c r="J1193" s="5">
        <v>3000000</v>
      </c>
      <c r="K1193" s="5">
        <v>5410000</v>
      </c>
      <c r="L1193" s="5">
        <v>5710000</v>
      </c>
      <c r="M1193" s="7">
        <v>1887.5</v>
      </c>
      <c r="N1193" s="5">
        <v>54600000</v>
      </c>
      <c r="O1193" s="5">
        <v>57600000</v>
      </c>
      <c r="P1193" s="3">
        <v>0.97916666666666663</v>
      </c>
    </row>
    <row r="1194" spans="1:16" x14ac:dyDescent="0.25">
      <c r="A1194" s="2">
        <v>43840</v>
      </c>
      <c r="B1194" s="2">
        <v>44105</v>
      </c>
      <c r="C1194" t="str">
        <f>+"Tuáº§n "&amp;WEEKNUM(B1194)</f>
        <v>Tuáº§n 40</v>
      </c>
      <c r="D1194" t="s">
        <v>20</v>
      </c>
      <c r="E1194" t="s">
        <v>17</v>
      </c>
      <c r="F1194" s="5">
        <v>54800000</v>
      </c>
      <c r="G1194" s="5">
        <v>57800000</v>
      </c>
      <c r="H1194" s="5">
        <f>+(M1194*26000)/0.829426</f>
        <v>59822576.094793268</v>
      </c>
      <c r="I1194" s="5">
        <f>+G1194-H1194</f>
        <v>-2022576.0947932675</v>
      </c>
      <c r="J1194" s="5">
        <v>3000000</v>
      </c>
      <c r="K1194" s="5">
        <v>5480000</v>
      </c>
      <c r="L1194" s="5">
        <v>5780000</v>
      </c>
      <c r="M1194" s="7">
        <v>1908.4</v>
      </c>
      <c r="N1194" s="5">
        <v>55300000</v>
      </c>
      <c r="O1194" s="5">
        <v>58300000</v>
      </c>
      <c r="P1194" s="3">
        <v>0.97916666666666663</v>
      </c>
    </row>
    <row r="1195" spans="1:16" x14ac:dyDescent="0.25">
      <c r="A1195" s="2">
        <v>43871</v>
      </c>
      <c r="B1195" s="2">
        <v>44106</v>
      </c>
      <c r="C1195" t="str">
        <f>+"Tuáº§n "&amp;WEEKNUM(B1195)</f>
        <v>Tuáº§n 40</v>
      </c>
      <c r="D1195" t="s">
        <v>21</v>
      </c>
      <c r="E1195" t="s">
        <v>17</v>
      </c>
      <c r="F1195" s="5">
        <v>54500000</v>
      </c>
      <c r="G1195" s="5">
        <v>57500000</v>
      </c>
      <c r="H1195" s="5">
        <f>+(M1195*26000)/0.829426</f>
        <v>59565530.86110153</v>
      </c>
      <c r="I1195" s="5">
        <f>+G1195-H1195</f>
        <v>-2065530.8611015305</v>
      </c>
      <c r="J1195" s="5">
        <v>3000000</v>
      </c>
      <c r="K1195" s="5">
        <v>5450000</v>
      </c>
      <c r="L1195" s="5">
        <v>5750000</v>
      </c>
      <c r="M1195" s="7">
        <v>1900.2</v>
      </c>
      <c r="N1195" s="5">
        <v>55000000</v>
      </c>
      <c r="O1195" s="5">
        <v>58000000</v>
      </c>
      <c r="P1195" s="3">
        <v>0.97916666666666663</v>
      </c>
    </row>
    <row r="1196" spans="1:16" x14ac:dyDescent="0.25">
      <c r="A1196" s="2">
        <v>43961</v>
      </c>
      <c r="B1196" s="2">
        <v>44109</v>
      </c>
      <c r="C1196" t="str">
        <f>+"Tuáº§n "&amp;WEEKNUM(B1196)</f>
        <v>Tuáº§n 41</v>
      </c>
      <c r="D1196" t="s">
        <v>16</v>
      </c>
      <c r="E1196" t="s">
        <v>17</v>
      </c>
      <c r="F1196" s="5">
        <v>54900000</v>
      </c>
      <c r="G1196" s="5">
        <v>57900000</v>
      </c>
      <c r="H1196" s="5">
        <f>+(M1196*26000)/0.829426</f>
        <v>59951098.711639136</v>
      </c>
      <c r="I1196" s="5">
        <f>+G1196-H1196</f>
        <v>-2051098.7116391361</v>
      </c>
      <c r="J1196" s="5">
        <v>3000000</v>
      </c>
      <c r="K1196" s="5">
        <v>5490000</v>
      </c>
      <c r="L1196" s="5">
        <v>5790000</v>
      </c>
      <c r="M1196" s="7">
        <v>1912.5</v>
      </c>
      <c r="N1196" s="5">
        <v>55400000</v>
      </c>
      <c r="O1196" s="5">
        <v>58400000</v>
      </c>
      <c r="P1196" s="3">
        <v>0.97916666666666663</v>
      </c>
    </row>
    <row r="1197" spans="1:16" x14ac:dyDescent="0.25">
      <c r="A1197" s="2">
        <v>43992</v>
      </c>
      <c r="B1197" s="2">
        <v>44110</v>
      </c>
      <c r="C1197" t="str">
        <f>+"Tuáº§n "&amp;WEEKNUM(B1197)</f>
        <v>Tuáº§n 41</v>
      </c>
      <c r="D1197" t="s">
        <v>18</v>
      </c>
      <c r="E1197" t="s">
        <v>17</v>
      </c>
      <c r="F1197" s="5">
        <v>54600000</v>
      </c>
      <c r="G1197" s="5">
        <v>57600000</v>
      </c>
      <c r="H1197" s="5">
        <f>+(M1197*26000)/0.829426</f>
        <v>59593743.142848186</v>
      </c>
      <c r="I1197" s="5">
        <f>+G1197-H1197</f>
        <v>-1993743.1428481862</v>
      </c>
      <c r="J1197" s="5">
        <v>3000000</v>
      </c>
      <c r="K1197" s="5">
        <v>5460000</v>
      </c>
      <c r="L1197" s="5">
        <v>5760000</v>
      </c>
      <c r="M1197" s="7">
        <v>1901.1</v>
      </c>
      <c r="N1197" s="5">
        <v>55100000</v>
      </c>
      <c r="O1197" s="5">
        <v>58100000</v>
      </c>
      <c r="P1197" s="3">
        <v>0.97916666666666663</v>
      </c>
    </row>
    <row r="1198" spans="1:16" x14ac:dyDescent="0.25">
      <c r="A1198" s="2">
        <v>44022</v>
      </c>
      <c r="B1198" s="2">
        <v>44111</v>
      </c>
      <c r="C1198" t="str">
        <f>+"Tuáº§n "&amp;WEEKNUM(B1198)</f>
        <v>Tuáº§n 41</v>
      </c>
      <c r="D1198" t="s">
        <v>19</v>
      </c>
      <c r="E1198" t="s">
        <v>17</v>
      </c>
      <c r="F1198" s="5">
        <v>54000000</v>
      </c>
      <c r="G1198" s="5">
        <v>57000000</v>
      </c>
      <c r="H1198" s="5">
        <f>+(M1198*26000)/0.829426</f>
        <v>59045170.997774363</v>
      </c>
      <c r="I1198" s="5">
        <f>+G1198-H1198</f>
        <v>-2045170.9977743626</v>
      </c>
      <c r="J1198" s="5">
        <v>3000000</v>
      </c>
      <c r="K1198" s="5">
        <v>5400000</v>
      </c>
      <c r="L1198" s="5">
        <v>5700000</v>
      </c>
      <c r="M1198" s="7">
        <v>1883.6</v>
      </c>
      <c r="N1198" s="5">
        <v>54500000</v>
      </c>
      <c r="O1198" s="5">
        <v>57500000</v>
      </c>
      <c r="P1198" s="3">
        <v>0.97916666666666663</v>
      </c>
    </row>
    <row r="1199" spans="1:16" x14ac:dyDescent="0.25">
      <c r="A1199" s="2">
        <v>44053</v>
      </c>
      <c r="B1199" s="2">
        <v>44112</v>
      </c>
      <c r="C1199" t="str">
        <f>+"Tuáº§n "&amp;WEEKNUM(B1199)</f>
        <v>Tuáº§n 41</v>
      </c>
      <c r="D1199" t="s">
        <v>20</v>
      </c>
      <c r="E1199" t="s">
        <v>17</v>
      </c>
      <c r="F1199" s="5">
        <v>54200000</v>
      </c>
      <c r="G1199" s="5">
        <v>57200000</v>
      </c>
      <c r="H1199" s="5">
        <f>+(M1199*26000)/0.829426</f>
        <v>59201905.896366887</v>
      </c>
      <c r="I1199" s="5">
        <f>+G1199-H1199</f>
        <v>-2001905.8963668868</v>
      </c>
      <c r="J1199" s="5">
        <v>3000000</v>
      </c>
      <c r="K1199" s="5">
        <v>5420000</v>
      </c>
      <c r="L1199" s="5">
        <v>5720000</v>
      </c>
      <c r="M1199" s="7">
        <v>1888.6</v>
      </c>
      <c r="N1199" s="5">
        <v>54700000</v>
      </c>
      <c r="O1199" s="5">
        <v>57700000</v>
      </c>
      <c r="P1199" s="3">
        <v>0.97916666666666663</v>
      </c>
    </row>
    <row r="1200" spans="1:16" x14ac:dyDescent="0.25">
      <c r="A1200" s="2">
        <v>44084</v>
      </c>
      <c r="B1200" s="2">
        <v>44113</v>
      </c>
      <c r="C1200" t="str">
        <f>+"Tuáº§n "&amp;WEEKNUM(B1200)</f>
        <v>Tuáº§n 41</v>
      </c>
      <c r="D1200" t="s">
        <v>21</v>
      </c>
      <c r="E1200" t="s">
        <v>17</v>
      </c>
      <c r="F1200" s="5">
        <v>55100000</v>
      </c>
      <c r="G1200" s="5">
        <v>58100000</v>
      </c>
      <c r="H1200" s="5">
        <f>+(M1200*26000)/0.829426</f>
        <v>60170527.569668666</v>
      </c>
      <c r="I1200" s="5">
        <f>+G1200-H1200</f>
        <v>-2070527.5696686655</v>
      </c>
      <c r="J1200" s="5">
        <v>3000000</v>
      </c>
      <c r="K1200" s="5">
        <v>5510000</v>
      </c>
      <c r="L1200" s="5">
        <v>5810000</v>
      </c>
      <c r="M1200" s="7">
        <v>1919.5</v>
      </c>
      <c r="N1200" s="5">
        <v>55600000</v>
      </c>
      <c r="O1200" s="5">
        <v>58600000</v>
      </c>
      <c r="P1200" s="3">
        <v>0.97916666666666663</v>
      </c>
    </row>
    <row r="1201" spans="1:16" x14ac:dyDescent="0.25">
      <c r="A1201" s="2">
        <v>44175</v>
      </c>
      <c r="B1201" s="2">
        <v>44116</v>
      </c>
      <c r="C1201" t="str">
        <f>+"Tuáº§n "&amp;WEEKNUM(B1201)</f>
        <v>Tuáº§n 42</v>
      </c>
      <c r="D1201" t="s">
        <v>16</v>
      </c>
      <c r="E1201" t="s">
        <v>17</v>
      </c>
      <c r="F1201" s="5">
        <v>55200000</v>
      </c>
      <c r="G1201" s="5">
        <v>58200000</v>
      </c>
      <c r="H1201" s="5">
        <f>+(M1201*26000)/0.829426</f>
        <v>60264568.508824177</v>
      </c>
      <c r="I1201" s="5">
        <f>+G1201-H1201</f>
        <v>-2064568.5088241771</v>
      </c>
      <c r="J1201" s="5">
        <v>3000000</v>
      </c>
      <c r="K1201" s="5">
        <v>5520000</v>
      </c>
      <c r="L1201" s="5">
        <v>5820000</v>
      </c>
      <c r="M1201" s="7">
        <v>1922.5</v>
      </c>
      <c r="N1201" s="5">
        <v>55700000</v>
      </c>
      <c r="O1201" s="5">
        <v>58700000</v>
      </c>
      <c r="P1201" s="3">
        <v>0.97916666666666663</v>
      </c>
    </row>
    <row r="1202" spans="1:16" x14ac:dyDescent="0.25">
      <c r="A1202" t="s">
        <v>746</v>
      </c>
      <c r="B1202" s="2">
        <v>44117</v>
      </c>
      <c r="C1202" t="str">
        <f>+"Tuáº§n "&amp;WEEKNUM(B1202)</f>
        <v>Tuáº§n 42</v>
      </c>
      <c r="D1202" t="s">
        <v>18</v>
      </c>
      <c r="E1202" t="s">
        <v>17</v>
      </c>
      <c r="F1202" s="5">
        <v>54200000</v>
      </c>
      <c r="G1202" s="5">
        <v>57200000</v>
      </c>
      <c r="H1202" s="5">
        <f>+(M1202*26000)/0.829426</f>
        <v>59198771.198395036</v>
      </c>
      <c r="I1202" s="5">
        <f>+G1202-H1202</f>
        <v>-1998771.1983950362</v>
      </c>
      <c r="J1202" s="5">
        <v>3000000</v>
      </c>
      <c r="K1202" s="5">
        <v>5420000</v>
      </c>
      <c r="L1202" s="5">
        <v>5720000</v>
      </c>
      <c r="M1202" s="7">
        <v>1888.5</v>
      </c>
      <c r="N1202" s="5">
        <v>54700000</v>
      </c>
      <c r="O1202" s="5">
        <v>57700000</v>
      </c>
      <c r="P1202" s="3">
        <v>0.97916666666666663</v>
      </c>
    </row>
    <row r="1203" spans="1:16" x14ac:dyDescent="0.25">
      <c r="A1203" t="s">
        <v>747</v>
      </c>
      <c r="B1203" s="2">
        <v>44118</v>
      </c>
      <c r="C1203" t="str">
        <f>+"Tuáº§n "&amp;WEEKNUM(B1203)</f>
        <v>Tuáº§n 42</v>
      </c>
      <c r="D1203" t="s">
        <v>19</v>
      </c>
      <c r="E1203" t="s">
        <v>17</v>
      </c>
      <c r="F1203" s="5">
        <v>54600000</v>
      </c>
      <c r="G1203" s="5">
        <v>57600000</v>
      </c>
      <c r="H1203" s="5">
        <f>+(M1203*26000)/0.829426</f>
        <v>59600012.538791887</v>
      </c>
      <c r="I1203" s="5">
        <f>+G1203-H1203</f>
        <v>-2000012.5387918875</v>
      </c>
      <c r="J1203" s="5">
        <v>3000000</v>
      </c>
      <c r="K1203" s="5">
        <v>5460000</v>
      </c>
      <c r="L1203" s="5">
        <v>5760000</v>
      </c>
      <c r="M1203" s="7">
        <v>1901.3</v>
      </c>
      <c r="N1203" s="5">
        <v>55100000</v>
      </c>
      <c r="O1203" s="5">
        <v>58100000</v>
      </c>
      <c r="P1203" s="3">
        <v>0.97916666666666663</v>
      </c>
    </row>
    <row r="1204" spans="1:16" x14ac:dyDescent="0.25">
      <c r="A1204" t="s">
        <v>748</v>
      </c>
      <c r="B1204" s="2">
        <v>44119</v>
      </c>
      <c r="C1204" t="str">
        <f>+"Tuáº§n "&amp;WEEKNUM(B1204)</f>
        <v>Tuáº§n 42</v>
      </c>
      <c r="D1204" t="s">
        <v>20</v>
      </c>
      <c r="E1204" t="s">
        <v>17</v>
      </c>
      <c r="F1204" s="5">
        <v>54600000</v>
      </c>
      <c r="G1204" s="5">
        <v>57600000</v>
      </c>
      <c r="H1204" s="5">
        <f>+(M1204*26000)/0.829426</f>
        <v>59659571.800257042</v>
      </c>
      <c r="I1204" s="5">
        <f>+G1204-H1204</f>
        <v>-2059571.8002570421</v>
      </c>
      <c r="J1204" s="5">
        <v>3000000</v>
      </c>
      <c r="K1204" s="5">
        <v>5460000</v>
      </c>
      <c r="L1204" s="5">
        <v>5760000</v>
      </c>
      <c r="M1204" s="7">
        <v>1903.2</v>
      </c>
      <c r="N1204" s="5">
        <v>55100000</v>
      </c>
      <c r="O1204" s="5">
        <v>58100000</v>
      </c>
      <c r="P1204" s="3">
        <v>0.97916666666666663</v>
      </c>
    </row>
    <row r="1205" spans="1:16" x14ac:dyDescent="0.25">
      <c r="A1205" t="s">
        <v>749</v>
      </c>
      <c r="B1205" s="2">
        <v>44120</v>
      </c>
      <c r="C1205" t="str">
        <f>+"Tuáº§n "&amp;WEEKNUM(B1205)</f>
        <v>Tuáº§n 42</v>
      </c>
      <c r="D1205" t="s">
        <v>21</v>
      </c>
      <c r="E1205" t="s">
        <v>17</v>
      </c>
      <c r="F1205" s="5">
        <v>54500000</v>
      </c>
      <c r="G1205" s="5">
        <v>57500000</v>
      </c>
      <c r="H1205" s="5">
        <f>+(M1205*26000)/0.829426</f>
        <v>59584339.048932634</v>
      </c>
      <c r="I1205" s="5">
        <f>+G1205-H1205</f>
        <v>-2084339.0489326343</v>
      </c>
      <c r="J1205" s="5">
        <v>3000000</v>
      </c>
      <c r="K1205" s="5">
        <v>5450000</v>
      </c>
      <c r="L1205" s="5">
        <v>5750000</v>
      </c>
      <c r="M1205" s="7">
        <v>1900.8</v>
      </c>
      <c r="N1205" s="5">
        <v>55000000</v>
      </c>
      <c r="O1205" s="5">
        <v>58000000</v>
      </c>
      <c r="P1205" s="3">
        <v>0.97916666666666663</v>
      </c>
    </row>
    <row r="1206" spans="1:16" x14ac:dyDescent="0.25">
      <c r="A1206" t="s">
        <v>750</v>
      </c>
      <c r="B1206" s="2">
        <v>44123</v>
      </c>
      <c r="C1206" t="str">
        <f>+"Tuáº§n "&amp;WEEKNUM(B1206)</f>
        <v>Tuáº§n 43</v>
      </c>
      <c r="D1206" t="s">
        <v>16</v>
      </c>
      <c r="E1206" t="s">
        <v>17</v>
      </c>
      <c r="F1206" s="5">
        <v>54700000</v>
      </c>
      <c r="G1206" s="5">
        <v>57700000</v>
      </c>
      <c r="H1206" s="5">
        <f>+(M1206*26000)/0.829426</f>
        <v>59759882.135356262</v>
      </c>
      <c r="I1206" s="5">
        <f>+G1206-H1206</f>
        <v>-2059882.1353562623</v>
      </c>
      <c r="J1206" s="5">
        <v>3000000</v>
      </c>
      <c r="K1206" s="5">
        <v>5470000</v>
      </c>
      <c r="L1206" s="5">
        <v>5770000</v>
      </c>
      <c r="M1206" s="7">
        <v>1906.4</v>
      </c>
      <c r="N1206" s="5">
        <v>55200000</v>
      </c>
      <c r="O1206" s="5">
        <v>58200000</v>
      </c>
      <c r="P1206" s="3">
        <v>0.97916666666666663</v>
      </c>
    </row>
    <row r="1207" spans="1:16" x14ac:dyDescent="0.25">
      <c r="A1207" t="s">
        <v>751</v>
      </c>
      <c r="B1207" s="2">
        <v>44124</v>
      </c>
      <c r="C1207" t="str">
        <f>+"Tuáº§n "&amp;WEEKNUM(B1207)</f>
        <v>Tuáº§n 43</v>
      </c>
      <c r="D1207" t="s">
        <v>18</v>
      </c>
      <c r="E1207" t="s">
        <v>17</v>
      </c>
      <c r="F1207" s="5">
        <v>54800000</v>
      </c>
      <c r="G1207" s="5">
        <v>57800000</v>
      </c>
      <c r="H1207" s="5">
        <f>+(M1207*26000)/0.829426</f>
        <v>59885270.054230273</v>
      </c>
      <c r="I1207" s="5">
        <f>+G1207-H1207</f>
        <v>-2085270.0542302728</v>
      </c>
      <c r="J1207" s="5">
        <v>3000000</v>
      </c>
      <c r="K1207" s="5">
        <v>5480000</v>
      </c>
      <c r="L1207" s="5">
        <v>5780000</v>
      </c>
      <c r="M1207" s="7">
        <v>1910.4</v>
      </c>
      <c r="N1207" s="5">
        <v>55300000</v>
      </c>
      <c r="O1207" s="5">
        <v>58300000</v>
      </c>
      <c r="P1207" s="3">
        <v>0.97916666666666663</v>
      </c>
    </row>
    <row r="1208" spans="1:16" x14ac:dyDescent="0.25">
      <c r="A1208" t="s">
        <v>752</v>
      </c>
      <c r="B1208" s="2">
        <v>44125</v>
      </c>
      <c r="C1208" t="str">
        <f>+"Tuáº§n "&amp;WEEKNUM(B1208)</f>
        <v>Tuáº§n 43</v>
      </c>
      <c r="D1208" t="s">
        <v>19</v>
      </c>
      <c r="E1208" t="s">
        <v>17</v>
      </c>
      <c r="F1208" s="5">
        <v>55300000</v>
      </c>
      <c r="G1208" s="5">
        <v>58300000</v>
      </c>
      <c r="H1208" s="5">
        <f>+(M1208*26000)/0.829426</f>
        <v>60330397.166233033</v>
      </c>
      <c r="I1208" s="5">
        <f>+G1208-H1208</f>
        <v>-2030397.1662330329</v>
      </c>
      <c r="J1208" s="5">
        <v>3000000</v>
      </c>
      <c r="K1208" s="5">
        <v>5530000</v>
      </c>
      <c r="L1208" s="5">
        <v>5830000</v>
      </c>
      <c r="M1208" s="7">
        <v>1924.6</v>
      </c>
      <c r="N1208" s="5">
        <v>55800000</v>
      </c>
      <c r="O1208" s="5">
        <v>58800000</v>
      </c>
      <c r="P1208" s="3">
        <v>0.97916666666666663</v>
      </c>
    </row>
    <row r="1209" spans="1:16" x14ac:dyDescent="0.25">
      <c r="A1209" t="s">
        <v>753</v>
      </c>
      <c r="B1209" s="2">
        <v>44126</v>
      </c>
      <c r="C1209" t="str">
        <f>+"Tuáº§n "&amp;WEEKNUM(B1209)</f>
        <v>Tuáº§n 43</v>
      </c>
      <c r="D1209" t="s">
        <v>20</v>
      </c>
      <c r="E1209" t="s">
        <v>17</v>
      </c>
      <c r="F1209" s="5">
        <v>54600000</v>
      </c>
      <c r="G1209" s="5">
        <v>57600000</v>
      </c>
      <c r="H1209" s="5">
        <f>+(M1209*26000)/0.829426</f>
        <v>59593743.142848186</v>
      </c>
      <c r="I1209" s="5">
        <f>+G1209-H1209</f>
        <v>-1993743.1428481862</v>
      </c>
      <c r="J1209" s="5">
        <v>3000000</v>
      </c>
      <c r="K1209" s="5">
        <v>5460000</v>
      </c>
      <c r="L1209" s="5">
        <v>5760000</v>
      </c>
      <c r="M1209" s="7">
        <v>1901.1</v>
      </c>
      <c r="N1209" s="5">
        <v>55100000</v>
      </c>
      <c r="O1209" s="5">
        <v>58100000</v>
      </c>
      <c r="P1209" s="3">
        <v>0.97916666666666663</v>
      </c>
    </row>
    <row r="1210" spans="1:16" x14ac:dyDescent="0.25">
      <c r="A1210" t="s">
        <v>754</v>
      </c>
      <c r="B1210" s="2">
        <v>44127</v>
      </c>
      <c r="C1210" t="str">
        <f>+"Tuáº§n "&amp;WEEKNUM(B1210)</f>
        <v>Tuáº§n 43</v>
      </c>
      <c r="D1210" t="s">
        <v>21</v>
      </c>
      <c r="E1210" t="s">
        <v>17</v>
      </c>
      <c r="F1210" s="5">
        <v>54600000</v>
      </c>
      <c r="G1210" s="5">
        <v>57600000</v>
      </c>
      <c r="H1210" s="5">
        <f>+(M1210*26000)/0.829426</f>
        <v>59621955.424594842</v>
      </c>
      <c r="I1210" s="5">
        <f>+G1210-H1210</f>
        <v>-2021955.4245948419</v>
      </c>
      <c r="J1210" s="5">
        <v>3000000</v>
      </c>
      <c r="K1210" s="5">
        <v>5460000</v>
      </c>
      <c r="L1210" s="5">
        <v>5760000</v>
      </c>
      <c r="M1210" s="7">
        <v>1902</v>
      </c>
      <c r="N1210" s="5">
        <v>55100000</v>
      </c>
      <c r="O1210" s="5">
        <v>58100000</v>
      </c>
      <c r="P1210" s="3">
        <v>0.97916666666666663</v>
      </c>
    </row>
    <row r="1211" spans="1:16" x14ac:dyDescent="0.25">
      <c r="A1211" t="s">
        <v>755</v>
      </c>
      <c r="B1211" s="2">
        <v>44130</v>
      </c>
      <c r="C1211" t="str">
        <f>+"Tuáº§n "&amp;WEEKNUM(B1211)</f>
        <v>Tuáº§n 44</v>
      </c>
      <c r="D1211" t="s">
        <v>16</v>
      </c>
      <c r="E1211" t="s">
        <v>17</v>
      </c>
      <c r="F1211" s="5">
        <v>54600000</v>
      </c>
      <c r="G1211" s="5">
        <v>57600000</v>
      </c>
      <c r="H1211" s="5">
        <f>+(M1211*26000)/0.829426</f>
        <v>59643898.310397796</v>
      </c>
      <c r="I1211" s="5">
        <f>+G1211-H1211</f>
        <v>-2043898.3103977963</v>
      </c>
      <c r="J1211" s="5">
        <v>3000000</v>
      </c>
      <c r="K1211" s="5">
        <v>5460000</v>
      </c>
      <c r="L1211" s="5">
        <v>5760000</v>
      </c>
      <c r="M1211" s="7">
        <v>1902.7</v>
      </c>
      <c r="N1211" s="5">
        <v>55100000</v>
      </c>
      <c r="O1211" s="5">
        <v>58100000</v>
      </c>
      <c r="P1211" s="3">
        <v>0.97916666666666663</v>
      </c>
    </row>
    <row r="1212" spans="1:16" x14ac:dyDescent="0.25">
      <c r="A1212" t="s">
        <v>756</v>
      </c>
      <c r="B1212" s="2">
        <v>44131</v>
      </c>
      <c r="C1212" t="str">
        <f>+"Tuáº§n "&amp;WEEKNUM(B1212)</f>
        <v>Tuáº§n 44</v>
      </c>
      <c r="D1212" t="s">
        <v>18</v>
      </c>
      <c r="E1212" t="s">
        <v>17</v>
      </c>
      <c r="F1212" s="5">
        <v>54800000</v>
      </c>
      <c r="G1212" s="5">
        <v>57800000</v>
      </c>
      <c r="H1212" s="5">
        <f>+(M1212*26000)/0.829426</f>
        <v>59835114.88668067</v>
      </c>
      <c r="I1212" s="5">
        <f>+G1212-H1212</f>
        <v>-2035114.8866806701</v>
      </c>
      <c r="J1212" s="5">
        <v>3000000</v>
      </c>
      <c r="K1212" s="5">
        <v>5480000</v>
      </c>
      <c r="L1212" s="5">
        <v>5780000</v>
      </c>
      <c r="M1212" s="7">
        <v>1908.8</v>
      </c>
      <c r="N1212" s="5">
        <v>55300000</v>
      </c>
      <c r="O1212" s="5">
        <v>58300000</v>
      </c>
      <c r="P1212" s="3">
        <v>0.97916666666666663</v>
      </c>
    </row>
    <row r="1213" spans="1:16" x14ac:dyDescent="0.25">
      <c r="A1213" t="s">
        <v>757</v>
      </c>
      <c r="B1213" s="2">
        <v>44132</v>
      </c>
      <c r="C1213" t="str">
        <f>+"Tuáº§n "&amp;WEEKNUM(B1213)</f>
        <v>Tuáº§n 44</v>
      </c>
      <c r="D1213" t="s">
        <v>19</v>
      </c>
      <c r="E1213" t="s">
        <v>17</v>
      </c>
      <c r="F1213" s="5">
        <v>53800000</v>
      </c>
      <c r="G1213" s="5">
        <v>56800000</v>
      </c>
      <c r="H1213" s="5">
        <f>+(M1213*26000)/0.829426</f>
        <v>58813203.347857431</v>
      </c>
      <c r="I1213" s="5">
        <f>+G1213-H1213</f>
        <v>-2013203.3478574306</v>
      </c>
      <c r="J1213" s="5">
        <v>3000000</v>
      </c>
      <c r="K1213" s="5">
        <v>5380000</v>
      </c>
      <c r="L1213" s="5">
        <v>5680000</v>
      </c>
      <c r="M1213" s="7">
        <v>1876.2</v>
      </c>
      <c r="N1213" s="5">
        <v>54300000</v>
      </c>
      <c r="O1213" s="5">
        <v>57300000</v>
      </c>
      <c r="P1213" s="3">
        <v>0.97916666666666663</v>
      </c>
    </row>
    <row r="1214" spans="1:16" x14ac:dyDescent="0.25">
      <c r="A1214" t="s">
        <v>758</v>
      </c>
      <c r="B1214" s="2">
        <v>44133</v>
      </c>
      <c r="C1214" t="str">
        <f>+"Tuáº§n "&amp;WEEKNUM(B1214)</f>
        <v>Tuáº§n 44</v>
      </c>
      <c r="D1214" t="s">
        <v>20</v>
      </c>
      <c r="E1214" t="s">
        <v>17</v>
      </c>
      <c r="F1214" s="5">
        <v>53500000</v>
      </c>
      <c r="G1214" s="5">
        <v>56500000</v>
      </c>
      <c r="H1214" s="5">
        <f>+(M1214*26000)/0.829426</f>
        <v>58480925.362841293</v>
      </c>
      <c r="I1214" s="5">
        <f>+G1214-H1214</f>
        <v>-1980925.3628412932</v>
      </c>
      <c r="J1214" s="5">
        <v>3000000</v>
      </c>
      <c r="K1214" s="5">
        <v>5350000</v>
      </c>
      <c r="L1214" s="5">
        <v>5650000</v>
      </c>
      <c r="M1214" s="7">
        <v>1865.6</v>
      </c>
      <c r="N1214" s="5">
        <v>54000000</v>
      </c>
      <c r="O1214" s="5">
        <v>57000000</v>
      </c>
      <c r="P1214" s="3">
        <v>0.97916666666666663</v>
      </c>
    </row>
    <row r="1215" spans="1:16" x14ac:dyDescent="0.25">
      <c r="A1215" t="s">
        <v>759</v>
      </c>
      <c r="B1215" s="2">
        <v>44134</v>
      </c>
      <c r="C1215" t="str">
        <f>+"Tuáº§n "&amp;WEEKNUM(B1215)</f>
        <v>Tuáº§n 44</v>
      </c>
      <c r="D1215" t="s">
        <v>21</v>
      </c>
      <c r="E1215" t="s">
        <v>17</v>
      </c>
      <c r="F1215" s="5">
        <v>53800000</v>
      </c>
      <c r="G1215" s="5">
        <v>56800000</v>
      </c>
      <c r="H1215" s="5">
        <f>+(M1215*26000)/0.829426</f>
        <v>58850819.723519638</v>
      </c>
      <c r="I1215" s="5">
        <f>+G1215-H1215</f>
        <v>-2050819.7235196382</v>
      </c>
      <c r="J1215" s="5">
        <v>3000000</v>
      </c>
      <c r="K1215" s="5">
        <v>5380000</v>
      </c>
      <c r="L1215" s="5">
        <v>5680000</v>
      </c>
      <c r="M1215" s="7">
        <v>1877.4</v>
      </c>
      <c r="N1215" s="5">
        <v>54300000</v>
      </c>
      <c r="O1215" s="5">
        <v>57300000</v>
      </c>
      <c r="P1215" s="3">
        <v>0.97916666666666663</v>
      </c>
    </row>
    <row r="1216" spans="1:16" x14ac:dyDescent="0.25">
      <c r="A1216" s="2">
        <v>43872</v>
      </c>
      <c r="B1216" s="2">
        <v>44137</v>
      </c>
      <c r="C1216" t="str">
        <f>+"Tuáº§n "&amp;WEEKNUM(B1216)</f>
        <v>Tuáº§n 45</v>
      </c>
      <c r="D1216" t="s">
        <v>16</v>
      </c>
      <c r="E1216" t="s">
        <v>17</v>
      </c>
      <c r="F1216" s="5">
        <v>54200000</v>
      </c>
      <c r="G1216" s="5">
        <v>57200000</v>
      </c>
      <c r="H1216" s="5">
        <f>+(M1216*26000)/0.829426</f>
        <v>59258330.459860191</v>
      </c>
      <c r="I1216" s="5">
        <f>+G1216-H1216</f>
        <v>-2058330.4598601907</v>
      </c>
      <c r="J1216" s="5">
        <v>3000000</v>
      </c>
      <c r="K1216" s="5">
        <v>5420000</v>
      </c>
      <c r="L1216" s="5">
        <v>5720000</v>
      </c>
      <c r="M1216" s="7">
        <v>1890.4</v>
      </c>
      <c r="N1216" s="5">
        <v>54700000</v>
      </c>
      <c r="O1216" s="5">
        <v>57700000</v>
      </c>
      <c r="P1216" s="3">
        <v>0.97916666666666663</v>
      </c>
    </row>
    <row r="1217" spans="1:16" x14ac:dyDescent="0.25">
      <c r="A1217" s="2">
        <v>43901</v>
      </c>
      <c r="B1217" s="2">
        <v>44138</v>
      </c>
      <c r="C1217" t="str">
        <f>+"Tuáº§n "&amp;WEEKNUM(B1217)</f>
        <v>Tuáº§n 45</v>
      </c>
      <c r="D1217" t="s">
        <v>18</v>
      </c>
      <c r="E1217" t="s">
        <v>17</v>
      </c>
      <c r="F1217" s="5">
        <v>54800000</v>
      </c>
      <c r="G1217" s="5">
        <v>57800000</v>
      </c>
      <c r="H1217" s="5">
        <f>+(M1217*26000)/0.829426</f>
        <v>59825710.792765118</v>
      </c>
      <c r="I1217" s="5">
        <f>+G1217-H1217</f>
        <v>-2025710.7927651182</v>
      </c>
      <c r="J1217" s="5">
        <v>3000000</v>
      </c>
      <c r="K1217" s="5">
        <v>5480000</v>
      </c>
      <c r="L1217" s="5">
        <v>5780000</v>
      </c>
      <c r="M1217" s="7">
        <v>1908.5</v>
      </c>
      <c r="N1217" s="5">
        <v>55300000</v>
      </c>
      <c r="O1217" s="5">
        <v>58300000</v>
      </c>
      <c r="P1217" s="3">
        <v>0.97916666666666663</v>
      </c>
    </row>
    <row r="1218" spans="1:16" x14ac:dyDescent="0.25">
      <c r="A1218" s="2">
        <v>43932</v>
      </c>
      <c r="B1218" s="2">
        <v>44139</v>
      </c>
      <c r="C1218" t="str">
        <f>+"Tuáº§n "&amp;WEEKNUM(B1218)</f>
        <v>Tuáº§n 45</v>
      </c>
      <c r="D1218" t="s">
        <v>19</v>
      </c>
      <c r="E1218" t="s">
        <v>17</v>
      </c>
      <c r="F1218" s="5">
        <v>54400000</v>
      </c>
      <c r="G1218" s="5">
        <v>57400000</v>
      </c>
      <c r="H1218" s="5">
        <f>+(M1218*26000)/0.829426</f>
        <v>59389987.77467791</v>
      </c>
      <c r="I1218" s="5">
        <f>+G1218-H1218</f>
        <v>-1989987.7746779099</v>
      </c>
      <c r="J1218" s="5">
        <v>3000000</v>
      </c>
      <c r="K1218" s="5">
        <v>5440000</v>
      </c>
      <c r="L1218" s="5">
        <v>5740000</v>
      </c>
      <c r="M1218" s="7">
        <v>1894.6</v>
      </c>
      <c r="N1218" s="5">
        <v>54900000</v>
      </c>
      <c r="O1218" s="5">
        <v>57900000</v>
      </c>
      <c r="P1218" s="3">
        <v>0.97916666666666663</v>
      </c>
    </row>
    <row r="1219" spans="1:16" x14ac:dyDescent="0.25">
      <c r="A1219" s="2">
        <v>43962</v>
      </c>
      <c r="B1219" s="2">
        <v>44140</v>
      </c>
      <c r="C1219" t="str">
        <f>+"Tuáº§n "&amp;WEEKNUM(B1219)</f>
        <v>Tuáº§n 45</v>
      </c>
      <c r="D1219" t="s">
        <v>20</v>
      </c>
      <c r="E1219" t="s">
        <v>17</v>
      </c>
      <c r="F1219" s="5">
        <v>55900000</v>
      </c>
      <c r="G1219" s="5">
        <v>58900000</v>
      </c>
      <c r="H1219" s="5">
        <f>+(M1219*26000)/0.829426</f>
        <v>60979279.646406069</v>
      </c>
      <c r="I1219" s="5">
        <f>+G1219-H1219</f>
        <v>-2079279.6464060694</v>
      </c>
      <c r="J1219" s="5">
        <v>3000000</v>
      </c>
      <c r="K1219" s="5">
        <v>5590000</v>
      </c>
      <c r="L1219" s="5">
        <v>5890000</v>
      </c>
      <c r="M1219" s="7">
        <v>1945.3</v>
      </c>
      <c r="N1219" s="5">
        <v>56400000</v>
      </c>
      <c r="O1219" s="5">
        <v>59400000</v>
      </c>
      <c r="P1219" s="3">
        <v>0.97916666666666663</v>
      </c>
    </row>
    <row r="1220" spans="1:16" x14ac:dyDescent="0.25">
      <c r="A1220" s="2">
        <v>43993</v>
      </c>
      <c r="B1220" s="2">
        <v>44141</v>
      </c>
      <c r="C1220" t="str">
        <f>+"Tuáº§n "&amp;WEEKNUM(B1220)</f>
        <v>Tuáº§n 45</v>
      </c>
      <c r="D1220" t="s">
        <v>21</v>
      </c>
      <c r="E1220" t="s">
        <v>17</v>
      </c>
      <c r="F1220" s="5">
        <v>56000000</v>
      </c>
      <c r="G1220" s="5">
        <v>59000000</v>
      </c>
      <c r="H1220" s="5">
        <f>+(M1220*26000)/0.829426</f>
        <v>61136014.544998586</v>
      </c>
      <c r="I1220" s="5">
        <f>+G1220-H1220</f>
        <v>-2136014.5449985862</v>
      </c>
      <c r="J1220" s="5">
        <v>3000000</v>
      </c>
      <c r="K1220" s="5">
        <v>5600000</v>
      </c>
      <c r="L1220" s="5">
        <v>5900000</v>
      </c>
      <c r="M1220" s="7">
        <v>1950.3</v>
      </c>
      <c r="N1220" s="5">
        <v>56500000</v>
      </c>
      <c r="O1220" s="5">
        <v>59500000</v>
      </c>
      <c r="P1220" s="3">
        <v>0.97916666666666663</v>
      </c>
    </row>
    <row r="1221" spans="1:16" x14ac:dyDescent="0.25">
      <c r="A1221" s="2">
        <v>44085</v>
      </c>
      <c r="B1221" s="2">
        <v>44144</v>
      </c>
      <c r="C1221" t="str">
        <f>+"Tuáº§n "&amp;WEEKNUM(B1221)</f>
        <v>Tuáº§n 46</v>
      </c>
      <c r="D1221" t="s">
        <v>16</v>
      </c>
      <c r="E1221" t="s">
        <v>17</v>
      </c>
      <c r="F1221" s="5">
        <v>53100000</v>
      </c>
      <c r="G1221" s="5">
        <v>56100000</v>
      </c>
      <c r="H1221" s="5">
        <f>+(M1221*26000)/0.829426</f>
        <v>58092222.814331837</v>
      </c>
      <c r="I1221" s="5">
        <f>+G1221-H1221</f>
        <v>-1992222.814331837</v>
      </c>
      <c r="J1221" s="5">
        <v>3000000</v>
      </c>
      <c r="K1221" s="5">
        <v>5310000</v>
      </c>
      <c r="L1221" s="5">
        <v>5610000</v>
      </c>
      <c r="M1221" s="7">
        <v>1853.2</v>
      </c>
      <c r="N1221" s="5">
        <v>53600000</v>
      </c>
      <c r="O1221" s="5">
        <v>56600000</v>
      </c>
      <c r="P1221" s="3">
        <v>0.97916666666666663</v>
      </c>
    </row>
    <row r="1222" spans="1:16" x14ac:dyDescent="0.25">
      <c r="A1222" s="2">
        <v>44115</v>
      </c>
      <c r="B1222" s="2">
        <v>44145</v>
      </c>
      <c r="C1222" t="str">
        <f>+"Tuáº§n "&amp;WEEKNUM(B1222)</f>
        <v>Tuáº§n 46</v>
      </c>
      <c r="D1222" t="s">
        <v>18</v>
      </c>
      <c r="E1222" t="s">
        <v>17</v>
      </c>
      <c r="F1222" s="5">
        <v>53800000</v>
      </c>
      <c r="G1222" s="5">
        <v>56800000</v>
      </c>
      <c r="H1222" s="5">
        <f>+(M1222*26000)/0.829426</f>
        <v>58788125.764082633</v>
      </c>
      <c r="I1222" s="5">
        <f>+G1222-H1222</f>
        <v>-1988125.764082633</v>
      </c>
      <c r="J1222" s="5">
        <v>3000000</v>
      </c>
      <c r="K1222" s="5">
        <v>5380000</v>
      </c>
      <c r="L1222" s="5">
        <v>5680000</v>
      </c>
      <c r="M1222" s="7">
        <v>1875.4</v>
      </c>
      <c r="N1222" s="5">
        <v>54300000</v>
      </c>
      <c r="O1222" s="5">
        <v>57300000</v>
      </c>
      <c r="P1222" s="3">
        <v>0.97916666666666663</v>
      </c>
    </row>
    <row r="1223" spans="1:16" x14ac:dyDescent="0.25">
      <c r="A1223" s="2">
        <v>44146</v>
      </c>
      <c r="B1223" s="2">
        <v>44146</v>
      </c>
      <c r="C1223" t="str">
        <f>+"Tuáº§n "&amp;WEEKNUM(B1223)</f>
        <v>Tuáº§n 46</v>
      </c>
      <c r="D1223" t="s">
        <v>19</v>
      </c>
      <c r="E1223" t="s">
        <v>17</v>
      </c>
      <c r="F1223" s="5">
        <v>53300000</v>
      </c>
      <c r="G1223" s="5">
        <v>56300000</v>
      </c>
      <c r="H1223" s="5">
        <f>+(M1223*26000)/0.829426</f>
        <v>58327325.16222062</v>
      </c>
      <c r="I1223" s="5">
        <f>+G1223-H1223</f>
        <v>-2027325.1622206196</v>
      </c>
      <c r="J1223" s="5">
        <v>3000000</v>
      </c>
      <c r="K1223" s="5">
        <v>5330000</v>
      </c>
      <c r="L1223" s="5">
        <v>5630000</v>
      </c>
      <c r="M1223" s="7">
        <v>1860.7</v>
      </c>
      <c r="N1223" s="5">
        <v>53800000</v>
      </c>
      <c r="O1223" s="5">
        <v>56800000</v>
      </c>
      <c r="P1223" s="3">
        <v>0.97916666666666663</v>
      </c>
    </row>
    <row r="1224" spans="1:16" x14ac:dyDescent="0.25">
      <c r="A1224" s="2">
        <v>44176</v>
      </c>
      <c r="B1224" s="2">
        <v>44147</v>
      </c>
      <c r="C1224" t="str">
        <f>+"Tuáº§n "&amp;WEEKNUM(B1224)</f>
        <v>Tuáº§n 46</v>
      </c>
      <c r="D1224" t="s">
        <v>20</v>
      </c>
      <c r="E1224" t="s">
        <v>17</v>
      </c>
      <c r="F1224" s="5">
        <v>53700000</v>
      </c>
      <c r="G1224" s="5">
        <v>56700000</v>
      </c>
      <c r="H1224" s="5">
        <f>+(M1224*26000)/0.829426</f>
        <v>58700354.220870823</v>
      </c>
      <c r="I1224" s="5">
        <f>+G1224-H1224</f>
        <v>-2000354.2208708227</v>
      </c>
      <c r="J1224" s="5">
        <v>3000000</v>
      </c>
      <c r="K1224" s="5">
        <v>5370000</v>
      </c>
      <c r="L1224" s="5">
        <v>5670000</v>
      </c>
      <c r="M1224" s="7">
        <v>1872.6</v>
      </c>
      <c r="N1224" s="5">
        <v>54200000</v>
      </c>
      <c r="O1224" s="5">
        <v>57200000</v>
      </c>
      <c r="P1224" s="3">
        <v>0.97916666666666663</v>
      </c>
    </row>
    <row r="1225" spans="1:16" x14ac:dyDescent="0.25">
      <c r="A1225" t="s">
        <v>760</v>
      </c>
      <c r="B1225" s="2">
        <v>44148</v>
      </c>
      <c r="C1225" t="str">
        <f>+"Tuáº§n "&amp;WEEKNUM(B1225)</f>
        <v>Tuáº§n 46</v>
      </c>
      <c r="D1225" t="s">
        <v>21</v>
      </c>
      <c r="E1225" t="s">
        <v>17</v>
      </c>
      <c r="F1225" s="5">
        <v>54100000</v>
      </c>
      <c r="G1225" s="5">
        <v>57100000</v>
      </c>
      <c r="H1225" s="5">
        <f>+(M1225*26000)/0.829426</f>
        <v>59110999.655183226</v>
      </c>
      <c r="I1225" s="5">
        <f>+G1225-H1225</f>
        <v>-2010999.6551832259</v>
      </c>
      <c r="J1225" s="5">
        <v>3000000</v>
      </c>
      <c r="K1225" s="5">
        <v>5410000</v>
      </c>
      <c r="L1225" s="5">
        <v>5710000</v>
      </c>
      <c r="M1225" s="7">
        <v>1885.7</v>
      </c>
      <c r="N1225" s="5">
        <v>54600000</v>
      </c>
      <c r="O1225" s="5">
        <v>57600000</v>
      </c>
      <c r="P1225" s="3">
        <v>0.97916666666666663</v>
      </c>
    </row>
    <row r="1226" spans="1:16" x14ac:dyDescent="0.25">
      <c r="A1226" t="s">
        <v>761</v>
      </c>
      <c r="B1226" s="2">
        <v>44151</v>
      </c>
      <c r="C1226" t="str">
        <f>+"Tuáº§n "&amp;WEEKNUM(B1226)</f>
        <v>Tuáº§n 47</v>
      </c>
      <c r="D1226" t="s">
        <v>16</v>
      </c>
      <c r="E1226" t="s">
        <v>17</v>
      </c>
      <c r="F1226" s="5">
        <v>54100000</v>
      </c>
      <c r="G1226" s="5">
        <v>57100000</v>
      </c>
      <c r="H1226" s="5">
        <f>+(M1226*26000)/0.829426</f>
        <v>59161154.822732829</v>
      </c>
      <c r="I1226" s="5">
        <f>+G1226-H1226</f>
        <v>-2061154.8227328286</v>
      </c>
      <c r="J1226" s="5">
        <v>3000000</v>
      </c>
      <c r="K1226" s="5">
        <v>5410000</v>
      </c>
      <c r="L1226" s="5">
        <v>5710000</v>
      </c>
      <c r="M1226" s="7">
        <v>1887.3</v>
      </c>
      <c r="N1226" s="5">
        <v>54600000</v>
      </c>
      <c r="O1226" s="5">
        <v>57600000</v>
      </c>
      <c r="P1226" s="3">
        <v>0.97916666666666663</v>
      </c>
    </row>
    <row r="1227" spans="1:16" x14ac:dyDescent="0.25">
      <c r="A1227" t="s">
        <v>762</v>
      </c>
      <c r="B1227" s="2">
        <v>44152</v>
      </c>
      <c r="C1227" t="str">
        <f>+"Tuáº§n "&amp;WEEKNUM(B1227)</f>
        <v>Tuáº§n 47</v>
      </c>
      <c r="D1227" t="s">
        <v>18</v>
      </c>
      <c r="E1227" t="s">
        <v>17</v>
      </c>
      <c r="F1227" s="5">
        <v>54100000</v>
      </c>
      <c r="G1227" s="5">
        <v>57100000</v>
      </c>
      <c r="H1227" s="5">
        <f>+(M1227*26000)/0.829426</f>
        <v>59073383.279521018</v>
      </c>
      <c r="I1227" s="5">
        <f>+G1227-H1227</f>
        <v>-1973383.2795210183</v>
      </c>
      <c r="J1227" s="5">
        <v>3000000</v>
      </c>
      <c r="K1227" s="5">
        <v>5410000</v>
      </c>
      <c r="L1227" s="5">
        <v>5710000</v>
      </c>
      <c r="M1227" s="7">
        <v>1884.5</v>
      </c>
      <c r="N1227" s="5">
        <v>54600000</v>
      </c>
      <c r="O1227" s="5">
        <v>57600000</v>
      </c>
      <c r="P1227" s="3">
        <v>0.97916666666666663</v>
      </c>
    </row>
    <row r="1228" spans="1:16" x14ac:dyDescent="0.25">
      <c r="A1228" t="s">
        <v>763</v>
      </c>
      <c r="B1228" s="2">
        <v>44153</v>
      </c>
      <c r="C1228" t="str">
        <f>+"Tuáº§n "&amp;WEEKNUM(B1228)</f>
        <v>Tuáº§n 47</v>
      </c>
      <c r="D1228" t="s">
        <v>19</v>
      </c>
      <c r="E1228" t="s">
        <v>17</v>
      </c>
      <c r="F1228" s="5">
        <v>53700000</v>
      </c>
      <c r="G1228" s="5">
        <v>56700000</v>
      </c>
      <c r="H1228" s="5">
        <f>+(M1228*26000)/0.829426</f>
        <v>58728566.502617471</v>
      </c>
      <c r="I1228" s="5">
        <f>+G1228-H1228</f>
        <v>-2028566.5026174709</v>
      </c>
      <c r="J1228" s="5">
        <v>3000000</v>
      </c>
      <c r="K1228" s="5">
        <v>5370000</v>
      </c>
      <c r="L1228" s="5">
        <v>5670000</v>
      </c>
      <c r="M1228" s="7">
        <v>1873.5</v>
      </c>
      <c r="N1228" s="5">
        <v>54200000</v>
      </c>
      <c r="O1228" s="5">
        <v>57200000</v>
      </c>
      <c r="P1228" s="3">
        <v>0.97916666666666663</v>
      </c>
    </row>
    <row r="1229" spans="1:16" x14ac:dyDescent="0.25">
      <c r="A1229" t="s">
        <v>764</v>
      </c>
      <c r="B1229" s="2">
        <v>44154</v>
      </c>
      <c r="C1229" t="str">
        <f>+"Tuáº§n "&amp;WEEKNUM(B1229)</f>
        <v>Tuáº§n 47</v>
      </c>
      <c r="D1229" t="s">
        <v>20</v>
      </c>
      <c r="E1229" t="s">
        <v>17</v>
      </c>
      <c r="F1229" s="5">
        <v>53300000</v>
      </c>
      <c r="G1229" s="5">
        <v>56300000</v>
      </c>
      <c r="H1229" s="5">
        <f>+(M1229*26000)/0.829426</f>
        <v>58339863.954108022</v>
      </c>
      <c r="I1229" s="5">
        <f>+G1229-H1229</f>
        <v>-2039863.9541080222</v>
      </c>
      <c r="J1229" s="5">
        <v>3000000</v>
      </c>
      <c r="K1229" s="5">
        <v>5330000</v>
      </c>
      <c r="L1229" s="5">
        <v>5630000</v>
      </c>
      <c r="M1229" s="7">
        <v>1861.1</v>
      </c>
      <c r="N1229" s="5">
        <v>53800000</v>
      </c>
      <c r="O1229" s="5">
        <v>56800000</v>
      </c>
      <c r="P1229" s="3">
        <v>0.97916666666666663</v>
      </c>
    </row>
    <row r="1230" spans="1:16" x14ac:dyDescent="0.25">
      <c r="A1230" t="s">
        <v>765</v>
      </c>
      <c r="B1230" s="2">
        <v>44155</v>
      </c>
      <c r="C1230" t="str">
        <f>+"Tuáº§n "&amp;WEEKNUM(B1230)</f>
        <v>Tuáº§n 47</v>
      </c>
      <c r="D1230" t="s">
        <v>21</v>
      </c>
      <c r="E1230" t="s">
        <v>17</v>
      </c>
      <c r="F1230" s="5">
        <v>53700000</v>
      </c>
      <c r="G1230" s="5">
        <v>56700000</v>
      </c>
      <c r="H1230" s="5">
        <f>+(M1230*26000)/0.829426</f>
        <v>58700354.220870823</v>
      </c>
      <c r="I1230" s="5">
        <f>+G1230-H1230</f>
        <v>-2000354.2208708227</v>
      </c>
      <c r="J1230" s="5">
        <v>3000000</v>
      </c>
      <c r="K1230" s="5">
        <v>5370000</v>
      </c>
      <c r="L1230" s="5">
        <v>5670000</v>
      </c>
      <c r="M1230" s="7">
        <v>1872.6</v>
      </c>
      <c r="N1230" s="5">
        <v>54200000</v>
      </c>
      <c r="O1230" s="5">
        <v>57200000</v>
      </c>
      <c r="P1230" s="3">
        <v>0.97916666666666663</v>
      </c>
    </row>
    <row r="1231" spans="1:16" x14ac:dyDescent="0.25">
      <c r="A1231" t="s">
        <v>766</v>
      </c>
      <c r="B1231" s="2">
        <v>44158</v>
      </c>
      <c r="C1231" t="str">
        <f>+"Tuáº§n "&amp;WEEKNUM(B1231)</f>
        <v>Tuáº§n 48</v>
      </c>
      <c r="D1231" t="s">
        <v>16</v>
      </c>
      <c r="E1231" t="s">
        <v>17</v>
      </c>
      <c r="F1231" s="5">
        <v>52600000</v>
      </c>
      <c r="G1231" s="5">
        <v>55600000</v>
      </c>
      <c r="H1231" s="5">
        <f>+(M1231*26000)/0.829426</f>
        <v>57609479.326666877</v>
      </c>
      <c r="I1231" s="5">
        <f>+G1231-H1231</f>
        <v>-2009479.3266668767</v>
      </c>
      <c r="J1231" s="5">
        <v>3000000</v>
      </c>
      <c r="K1231" s="5">
        <v>5260000</v>
      </c>
      <c r="L1231" s="5">
        <v>5560000</v>
      </c>
      <c r="M1231" s="7">
        <v>1837.8</v>
      </c>
      <c r="N1231" s="5">
        <v>53100000</v>
      </c>
      <c r="O1231" s="5">
        <v>56100000</v>
      </c>
      <c r="P1231" s="3">
        <v>0.97916666666666663</v>
      </c>
    </row>
    <row r="1232" spans="1:16" x14ac:dyDescent="0.25">
      <c r="A1232" t="s">
        <v>767</v>
      </c>
      <c r="B1232" s="2">
        <v>44159</v>
      </c>
      <c r="C1232" t="str">
        <f>+"Tuáº§n "&amp;WEEKNUM(B1232)</f>
        <v>Tuáº§n 48</v>
      </c>
      <c r="D1232" t="s">
        <v>18</v>
      </c>
      <c r="E1232" t="s">
        <v>17</v>
      </c>
      <c r="F1232" s="5">
        <v>51600000</v>
      </c>
      <c r="G1232" s="5">
        <v>54600000</v>
      </c>
      <c r="H1232" s="5">
        <f>+(M1232*26000)/0.829426</f>
        <v>56575028.995956242</v>
      </c>
      <c r="I1232" s="5">
        <f>+G1232-H1232</f>
        <v>-1975028.9959562421</v>
      </c>
      <c r="J1232" s="5">
        <v>3000000</v>
      </c>
      <c r="K1232" s="5">
        <v>5160000</v>
      </c>
      <c r="L1232" s="5">
        <v>5460000</v>
      </c>
      <c r="M1232" s="7">
        <v>1804.8</v>
      </c>
      <c r="N1232" s="5">
        <v>52100000</v>
      </c>
      <c r="O1232" s="5">
        <v>55100000</v>
      </c>
      <c r="P1232" s="3">
        <v>0.97916666666666663</v>
      </c>
    </row>
    <row r="1233" spans="1:16" x14ac:dyDescent="0.25">
      <c r="A1233" t="s">
        <v>768</v>
      </c>
      <c r="B1233" s="2">
        <v>44160</v>
      </c>
      <c r="C1233" t="str">
        <f>+"Tuáº§n "&amp;WEEKNUM(B1233)</f>
        <v>Tuáº§n 48</v>
      </c>
      <c r="D1233" t="s">
        <v>19</v>
      </c>
      <c r="E1233" t="s">
        <v>17</v>
      </c>
      <c r="F1233" s="5">
        <v>51700000</v>
      </c>
      <c r="G1233" s="5">
        <v>54700000</v>
      </c>
      <c r="H1233" s="5">
        <f>+(M1233*26000)/0.829426</f>
        <v>56603241.27770289</v>
      </c>
      <c r="I1233" s="5">
        <f>+G1233-H1233</f>
        <v>-1903241.2777028903</v>
      </c>
      <c r="J1233" s="5">
        <v>3000000</v>
      </c>
      <c r="K1233" s="5">
        <v>5170000</v>
      </c>
      <c r="L1233" s="5">
        <v>5470000</v>
      </c>
      <c r="M1233" s="7">
        <v>1805.7</v>
      </c>
      <c r="N1233" s="5">
        <v>52200000</v>
      </c>
      <c r="O1233" s="5">
        <v>55200000</v>
      </c>
      <c r="P1233" s="3">
        <v>0.97916666666666663</v>
      </c>
    </row>
    <row r="1234" spans="1:16" x14ac:dyDescent="0.25">
      <c r="A1234" t="s">
        <v>769</v>
      </c>
      <c r="B1234" s="2">
        <v>44162</v>
      </c>
      <c r="C1234" t="str">
        <f>+"Tuáº§n "&amp;WEEKNUM(B1234)</f>
        <v>Tuáº§n 48</v>
      </c>
      <c r="D1234" t="s">
        <v>21</v>
      </c>
      <c r="E1234" t="s">
        <v>17</v>
      </c>
      <c r="F1234" s="5">
        <v>50900000</v>
      </c>
      <c r="G1234" s="5">
        <v>53900000</v>
      </c>
      <c r="H1234" s="5">
        <f>+(M1234*26000)/0.829426</f>
        <v>55857183.160402499</v>
      </c>
      <c r="I1234" s="5">
        <f>+G1234-H1234</f>
        <v>-1957183.1604024991</v>
      </c>
      <c r="J1234" s="5">
        <v>3000000</v>
      </c>
      <c r="K1234" s="5">
        <v>5090000</v>
      </c>
      <c r="L1234" s="5">
        <v>5390000</v>
      </c>
      <c r="M1234" s="7">
        <v>1781.9</v>
      </c>
      <c r="N1234" s="5">
        <v>51400000</v>
      </c>
      <c r="O1234" s="5">
        <v>54400000</v>
      </c>
      <c r="P1234" s="3">
        <v>0.97916666666666663</v>
      </c>
    </row>
    <row r="1235" spans="1:16" x14ac:dyDescent="0.25">
      <c r="A1235" t="s">
        <v>770</v>
      </c>
      <c r="B1235" s="2">
        <v>44165</v>
      </c>
      <c r="C1235" t="str">
        <f>+"Tuáº§n "&amp;WEEKNUM(B1235)</f>
        <v>Tuáº§n 49</v>
      </c>
      <c r="D1235" t="s">
        <v>16</v>
      </c>
      <c r="E1235" t="s">
        <v>17</v>
      </c>
      <c r="F1235" s="5">
        <v>50800000</v>
      </c>
      <c r="G1235" s="5">
        <v>53800000</v>
      </c>
      <c r="H1235" s="5">
        <f>+(M1235*26000)/0.829426</f>
        <v>55662831.886147767</v>
      </c>
      <c r="I1235" s="5">
        <f>+G1235-H1235</f>
        <v>-1862831.8861477673</v>
      </c>
      <c r="J1235" s="5">
        <v>3000000</v>
      </c>
      <c r="K1235" s="5">
        <v>5080000</v>
      </c>
      <c r="L1235" s="5">
        <v>5380000</v>
      </c>
      <c r="M1235" s="7">
        <v>1775.7</v>
      </c>
      <c r="N1235" s="5">
        <v>51300000</v>
      </c>
      <c r="O1235" s="5">
        <v>54300000</v>
      </c>
      <c r="P1235" s="3">
        <v>0.97916666666666663</v>
      </c>
    </row>
    <row r="1236" spans="1:16" x14ac:dyDescent="0.25">
      <c r="A1236" s="2">
        <v>43842</v>
      </c>
      <c r="B1236" s="2">
        <v>44166</v>
      </c>
      <c r="C1236" t="str">
        <f>+"Tuáº§n "&amp;WEEKNUM(B1236)</f>
        <v>Tuáº§n 49</v>
      </c>
      <c r="D1236" t="s">
        <v>18</v>
      </c>
      <c r="E1236" t="s">
        <v>17</v>
      </c>
      <c r="F1236" s="5">
        <v>51900000</v>
      </c>
      <c r="G1236" s="5">
        <v>54900000</v>
      </c>
      <c r="H1236" s="5">
        <f>+(M1236*26000)/0.829426</f>
        <v>56866555.907338329</v>
      </c>
      <c r="I1236" s="5">
        <f>+G1236-H1236</f>
        <v>-1966555.9073383287</v>
      </c>
      <c r="J1236" s="5">
        <v>3000000</v>
      </c>
      <c r="K1236" s="5">
        <v>5190000</v>
      </c>
      <c r="L1236" s="5">
        <v>5490000</v>
      </c>
      <c r="M1236" s="7">
        <v>1814.1</v>
      </c>
      <c r="N1236" s="5">
        <v>52400000</v>
      </c>
      <c r="O1236" s="5">
        <v>55400000</v>
      </c>
      <c r="P1236" s="3">
        <v>0.97916666666666663</v>
      </c>
    </row>
    <row r="1237" spans="1:16" x14ac:dyDescent="0.25">
      <c r="A1237" s="2">
        <v>43873</v>
      </c>
      <c r="B1237" s="2">
        <v>44167</v>
      </c>
      <c r="C1237" t="str">
        <f>+"Tuáº§n "&amp;WEEKNUM(B1237)</f>
        <v>Tuáº§n 49</v>
      </c>
      <c r="D1237" t="s">
        <v>19</v>
      </c>
      <c r="E1237" t="s">
        <v>17</v>
      </c>
      <c r="F1237" s="5">
        <v>52300000</v>
      </c>
      <c r="G1237" s="5">
        <v>55300000</v>
      </c>
      <c r="H1237" s="5">
        <f>+(M1237*26000)/0.829426</f>
        <v>57230180.872072972</v>
      </c>
      <c r="I1237" s="5">
        <f>+G1237-H1237</f>
        <v>-1930180.8720729724</v>
      </c>
      <c r="J1237" s="5">
        <v>3000000</v>
      </c>
      <c r="K1237" s="5">
        <v>5230000</v>
      </c>
      <c r="L1237" s="5">
        <v>5530000</v>
      </c>
      <c r="M1237" s="7">
        <v>1825.7</v>
      </c>
      <c r="N1237" s="5">
        <v>52800000</v>
      </c>
      <c r="O1237" s="5">
        <v>55800000</v>
      </c>
      <c r="P1237" s="3">
        <v>0.97916666666666663</v>
      </c>
    </row>
    <row r="1238" spans="1:16" x14ac:dyDescent="0.25">
      <c r="A1238" s="2">
        <v>43902</v>
      </c>
      <c r="B1238" s="2">
        <v>44168</v>
      </c>
      <c r="C1238" t="str">
        <f>+"Tuáº§n "&amp;WEEKNUM(B1238)</f>
        <v>Tuáº§n 49</v>
      </c>
      <c r="D1238" t="s">
        <v>20</v>
      </c>
      <c r="E1238" t="s">
        <v>17</v>
      </c>
      <c r="F1238" s="5">
        <v>52600000</v>
      </c>
      <c r="G1238" s="5">
        <v>55600000</v>
      </c>
      <c r="H1238" s="5">
        <f>+(M1238*26000)/0.829426</f>
        <v>57578132.34694837</v>
      </c>
      <c r="I1238" s="5">
        <f>+G1238-H1238</f>
        <v>-1978132.3469483703</v>
      </c>
      <c r="J1238" s="5">
        <v>3000000</v>
      </c>
      <c r="K1238" s="5">
        <v>5260000</v>
      </c>
      <c r="L1238" s="5">
        <v>5560000</v>
      </c>
      <c r="M1238" s="7">
        <v>1836.8</v>
      </c>
      <c r="N1238" s="5">
        <v>53100000</v>
      </c>
      <c r="O1238" s="5">
        <v>56100000</v>
      </c>
      <c r="P1238" s="3">
        <v>0.97916666666666663</v>
      </c>
    </row>
    <row r="1239" spans="1:16" x14ac:dyDescent="0.25">
      <c r="A1239" s="2">
        <v>43933</v>
      </c>
      <c r="B1239" s="2">
        <v>44169</v>
      </c>
      <c r="C1239" t="str">
        <f>+"Tuáº§n "&amp;WEEKNUM(B1239)</f>
        <v>Tuáº§n 49</v>
      </c>
      <c r="D1239" t="s">
        <v>21</v>
      </c>
      <c r="E1239" t="s">
        <v>17</v>
      </c>
      <c r="F1239" s="5">
        <v>52600000</v>
      </c>
      <c r="G1239" s="5">
        <v>55600000</v>
      </c>
      <c r="H1239" s="5">
        <f>+(M1239*26000)/0.829426</f>
        <v>57549920.065201715</v>
      </c>
      <c r="I1239" s="5">
        <f>+G1239-H1239</f>
        <v>-1949920.0652017146</v>
      </c>
      <c r="J1239" s="5">
        <v>3000000</v>
      </c>
      <c r="K1239" s="5">
        <v>5260000</v>
      </c>
      <c r="L1239" s="5">
        <v>5560000</v>
      </c>
      <c r="M1239" s="7">
        <v>1835.9</v>
      </c>
      <c r="N1239" s="5">
        <v>53100000</v>
      </c>
      <c r="O1239" s="5">
        <v>56100000</v>
      </c>
      <c r="P1239" s="3">
        <v>0.97916666666666663</v>
      </c>
    </row>
    <row r="1240" spans="1:16" x14ac:dyDescent="0.25">
      <c r="A1240" s="2">
        <v>44024</v>
      </c>
      <c r="B1240" s="2">
        <v>44172</v>
      </c>
      <c r="C1240" t="str">
        <f>+"Tuáº§n "&amp;WEEKNUM(B1240)</f>
        <v>Tuáº§n 50</v>
      </c>
      <c r="D1240" t="s">
        <v>16</v>
      </c>
      <c r="E1240" t="s">
        <v>17</v>
      </c>
      <c r="F1240" s="5">
        <v>53400000</v>
      </c>
      <c r="G1240" s="5">
        <v>56400000</v>
      </c>
      <c r="H1240" s="5">
        <f>+(M1240*26000)/0.829426</f>
        <v>58361806.839910977</v>
      </c>
      <c r="I1240" s="5">
        <f>+G1240-H1240</f>
        <v>-1961806.8399109766</v>
      </c>
      <c r="J1240" s="5">
        <v>3000000</v>
      </c>
      <c r="K1240" s="5">
        <v>5340000</v>
      </c>
      <c r="L1240" s="5">
        <v>5640000</v>
      </c>
      <c r="M1240" s="7">
        <v>1861.8</v>
      </c>
      <c r="N1240" s="5">
        <v>53900000</v>
      </c>
      <c r="O1240" s="5">
        <v>56900000</v>
      </c>
      <c r="P1240" s="3">
        <v>0.97916666666666663</v>
      </c>
    </row>
    <row r="1241" spans="1:16" x14ac:dyDescent="0.25">
      <c r="A1241" s="2">
        <v>44055</v>
      </c>
      <c r="B1241" s="2">
        <v>44173</v>
      </c>
      <c r="C1241" t="str">
        <f>+"Tuáº§n "&amp;WEEKNUM(B1241)</f>
        <v>Tuáº§n 50</v>
      </c>
      <c r="D1241" t="s">
        <v>18</v>
      </c>
      <c r="E1241" t="s">
        <v>17</v>
      </c>
      <c r="F1241" s="5">
        <v>53600000</v>
      </c>
      <c r="G1241" s="5">
        <v>56600000</v>
      </c>
      <c r="H1241" s="5">
        <f>+(M1241*26000)/0.829426</f>
        <v>58643929.657377511</v>
      </c>
      <c r="I1241" s="5">
        <f>+G1241-H1241</f>
        <v>-2043929.6573775113</v>
      </c>
      <c r="J1241" s="5">
        <v>3000000</v>
      </c>
      <c r="K1241" s="5">
        <v>5360000</v>
      </c>
      <c r="L1241" s="5">
        <v>5660000</v>
      </c>
      <c r="M1241" s="7">
        <v>1870.8</v>
      </c>
      <c r="N1241" s="5">
        <v>54100000</v>
      </c>
      <c r="O1241" s="5">
        <v>57100000</v>
      </c>
      <c r="P1241" s="3">
        <v>0.97916666666666663</v>
      </c>
    </row>
    <row r="1242" spans="1:16" x14ac:dyDescent="0.25">
      <c r="A1242" s="2">
        <v>44086</v>
      </c>
      <c r="B1242" s="2">
        <v>44174</v>
      </c>
      <c r="C1242" t="str">
        <f>+"Tuáº§n "&amp;WEEKNUM(B1242)</f>
        <v>Tuáº§n 50</v>
      </c>
      <c r="D1242" t="s">
        <v>19</v>
      </c>
      <c r="E1242" t="s">
        <v>17</v>
      </c>
      <c r="F1242" s="5">
        <v>52500000</v>
      </c>
      <c r="G1242" s="5">
        <v>55500000</v>
      </c>
      <c r="H1242" s="5">
        <f>+(M1242*26000)/0.829426</f>
        <v>57509168.991567664</v>
      </c>
      <c r="I1242" s="5">
        <f>+G1242-H1242</f>
        <v>-2009168.9915676638</v>
      </c>
      <c r="J1242" s="5">
        <v>3000000</v>
      </c>
      <c r="K1242" s="5">
        <v>5250000</v>
      </c>
      <c r="L1242" s="5">
        <v>5550000</v>
      </c>
      <c r="M1242" s="7">
        <v>1834.6</v>
      </c>
      <c r="N1242" s="5">
        <v>53000000</v>
      </c>
      <c r="O1242" s="5">
        <v>56000000</v>
      </c>
      <c r="P1242" s="3">
        <v>0.97916666666666663</v>
      </c>
    </row>
    <row r="1243" spans="1:16" x14ac:dyDescent="0.25">
      <c r="A1243" s="2">
        <v>44116</v>
      </c>
      <c r="B1243" s="2">
        <v>44175</v>
      </c>
      <c r="C1243" t="str">
        <f>+"Tuáº§n "&amp;WEEKNUM(B1243)</f>
        <v>Tuáº§n 50</v>
      </c>
      <c r="D1243" t="s">
        <v>20</v>
      </c>
      <c r="E1243" t="s">
        <v>17</v>
      </c>
      <c r="F1243" s="5">
        <v>52500000</v>
      </c>
      <c r="G1243" s="5">
        <v>55500000</v>
      </c>
      <c r="H1243" s="5">
        <f>+(M1243*26000)/0.829426</f>
        <v>57477822.011849158</v>
      </c>
      <c r="I1243" s="5">
        <f>+G1243-H1243</f>
        <v>-1977822.0118491575</v>
      </c>
      <c r="J1243" s="5">
        <v>3000000</v>
      </c>
      <c r="K1243" s="5">
        <v>5250000</v>
      </c>
      <c r="L1243" s="5">
        <v>5550000</v>
      </c>
      <c r="M1243" s="7">
        <v>1833.6</v>
      </c>
      <c r="N1243" s="5">
        <v>53000000</v>
      </c>
      <c r="O1243" s="5">
        <v>56000000</v>
      </c>
      <c r="P1243" s="3">
        <v>0.97916666666666663</v>
      </c>
    </row>
    <row r="1244" spans="1:16" x14ac:dyDescent="0.25">
      <c r="A1244" s="2">
        <v>44147</v>
      </c>
      <c r="B1244" s="2">
        <v>44176</v>
      </c>
      <c r="C1244" t="str">
        <f>+"Tuáº§n "&amp;WEEKNUM(B1244)</f>
        <v>Tuáº§n 50</v>
      </c>
      <c r="D1244" t="s">
        <v>21</v>
      </c>
      <c r="E1244" t="s">
        <v>17</v>
      </c>
      <c r="F1244" s="5">
        <v>52700000</v>
      </c>
      <c r="G1244" s="5">
        <v>55700000</v>
      </c>
      <c r="H1244" s="5">
        <f>+(M1244*26000)/0.829426</f>
        <v>57672173.286103882</v>
      </c>
      <c r="I1244" s="5">
        <f>+G1244-H1244</f>
        <v>-1972173.2861038819</v>
      </c>
      <c r="J1244" s="5">
        <v>3000000</v>
      </c>
      <c r="K1244" s="5">
        <v>5270000</v>
      </c>
      <c r="L1244" s="5">
        <v>5570000</v>
      </c>
      <c r="M1244" s="7">
        <v>1839.8</v>
      </c>
      <c r="N1244" s="5">
        <v>53200000</v>
      </c>
      <c r="O1244" s="5">
        <v>56200000</v>
      </c>
      <c r="P1244" s="3">
        <v>0.97916666666666663</v>
      </c>
    </row>
    <row r="1245" spans="1:16" x14ac:dyDescent="0.25">
      <c r="A1245" t="s">
        <v>771</v>
      </c>
      <c r="B1245" s="2">
        <v>44179</v>
      </c>
      <c r="C1245" t="str">
        <f>+"Tuáº§n "&amp;WEEKNUM(B1245)</f>
        <v>Tuáº§n 51</v>
      </c>
      <c r="D1245" t="s">
        <v>16</v>
      </c>
      <c r="E1245" t="s">
        <v>17</v>
      </c>
      <c r="F1245" s="5">
        <v>52400000</v>
      </c>
      <c r="G1245" s="5">
        <v>55400000</v>
      </c>
      <c r="H1245" s="5">
        <f>+(M1245*26000)/0.829426</f>
        <v>57324221.811228491</v>
      </c>
      <c r="I1245" s="5">
        <f>+G1245-H1245</f>
        <v>-1924221.8112284914</v>
      </c>
      <c r="J1245" s="5">
        <v>3000000</v>
      </c>
      <c r="K1245" s="5">
        <v>5240000</v>
      </c>
      <c r="L1245" s="5">
        <v>5540000</v>
      </c>
      <c r="M1245" s="7">
        <v>1828.7</v>
      </c>
      <c r="N1245" s="5">
        <v>52900000</v>
      </c>
      <c r="O1245" s="5">
        <v>55900000</v>
      </c>
      <c r="P1245" s="3">
        <v>0.97916666666666663</v>
      </c>
    </row>
    <row r="1246" spans="1:16" x14ac:dyDescent="0.25">
      <c r="A1246" t="s">
        <v>772</v>
      </c>
      <c r="B1246" s="2">
        <v>44180</v>
      </c>
      <c r="C1246" t="str">
        <f>+"Tuáº§n "&amp;WEEKNUM(B1246)</f>
        <v>Tuáº§n 51</v>
      </c>
      <c r="D1246" t="s">
        <v>18</v>
      </c>
      <c r="E1246" t="s">
        <v>17</v>
      </c>
      <c r="F1246" s="5">
        <v>53100000</v>
      </c>
      <c r="G1246" s="5">
        <v>56100000</v>
      </c>
      <c r="H1246" s="5">
        <f>+(M1246*26000)/0.829426</f>
        <v>58064010.532585189</v>
      </c>
      <c r="I1246" s="5">
        <f>+G1246-H1246</f>
        <v>-1964010.5325851887</v>
      </c>
      <c r="J1246" s="5">
        <v>3000000</v>
      </c>
      <c r="K1246" s="5">
        <v>5310000</v>
      </c>
      <c r="L1246" s="5">
        <v>5610000</v>
      </c>
      <c r="M1246" s="7">
        <v>1852.3</v>
      </c>
      <c r="N1246" s="5">
        <v>53600000</v>
      </c>
      <c r="O1246" s="5">
        <v>56600000</v>
      </c>
      <c r="P1246" s="3">
        <v>0.97916666666666663</v>
      </c>
    </row>
    <row r="1247" spans="1:16" x14ac:dyDescent="0.25">
      <c r="A1247" t="s">
        <v>773</v>
      </c>
      <c r="B1247" s="2">
        <v>44181</v>
      </c>
      <c r="C1247" t="str">
        <f>+"Tuáº§n "&amp;WEEKNUM(B1247)</f>
        <v>Tuáº§n 51</v>
      </c>
      <c r="D1247" t="s">
        <v>19</v>
      </c>
      <c r="E1247" t="s">
        <v>17</v>
      </c>
      <c r="F1247" s="5">
        <v>53200000</v>
      </c>
      <c r="G1247" s="5">
        <v>56200000</v>
      </c>
      <c r="H1247" s="5">
        <f>+(M1247*26000)/0.829426</f>
        <v>58183129.055515498</v>
      </c>
      <c r="I1247" s="5">
        <f>+G1247-H1247</f>
        <v>-1983129.0555154979</v>
      </c>
      <c r="J1247" s="5">
        <v>3000000</v>
      </c>
      <c r="K1247" s="5">
        <v>5320000</v>
      </c>
      <c r="L1247" s="5">
        <v>5620000</v>
      </c>
      <c r="M1247" s="7">
        <v>1856.1</v>
      </c>
      <c r="N1247" s="5">
        <v>53700000</v>
      </c>
      <c r="O1247" s="5">
        <v>56700000</v>
      </c>
      <c r="P1247" s="3">
        <v>0.97916666666666663</v>
      </c>
    </row>
    <row r="1248" spans="1:16" x14ac:dyDescent="0.25">
      <c r="A1248" t="s">
        <v>774</v>
      </c>
      <c r="B1248" s="2">
        <v>44182</v>
      </c>
      <c r="C1248" t="str">
        <f>+"Tuáº§n "&amp;WEEKNUM(B1248)</f>
        <v>Tuáº§n 51</v>
      </c>
      <c r="D1248" t="s">
        <v>20</v>
      </c>
      <c r="E1248" t="s">
        <v>17</v>
      </c>
      <c r="F1248" s="5">
        <v>54100000</v>
      </c>
      <c r="G1248" s="5">
        <v>57100000</v>
      </c>
      <c r="H1248" s="5">
        <f>+(M1248*26000)/0.829426</f>
        <v>59158020.124760978</v>
      </c>
      <c r="I1248" s="5">
        <f>+G1248-H1248</f>
        <v>-2058020.1247609779</v>
      </c>
      <c r="J1248" s="5">
        <v>3000000</v>
      </c>
      <c r="K1248" s="5">
        <v>5410000</v>
      </c>
      <c r="L1248" s="5">
        <v>5710000</v>
      </c>
      <c r="M1248" s="7">
        <v>1887.2</v>
      </c>
      <c r="N1248" s="5">
        <v>54600000</v>
      </c>
      <c r="O1248" s="5">
        <v>57600000</v>
      </c>
      <c r="P1248" s="3">
        <v>0.97916666666666663</v>
      </c>
    </row>
    <row r="1249" spans="1:16" x14ac:dyDescent="0.25">
      <c r="A1249" t="s">
        <v>775</v>
      </c>
      <c r="B1249" s="2">
        <v>44183</v>
      </c>
      <c r="C1249" t="str">
        <f>+"Tuáº§n "&amp;WEEKNUM(B1249)</f>
        <v>Tuáº§n 51</v>
      </c>
      <c r="D1249" t="s">
        <v>21</v>
      </c>
      <c r="E1249" t="s">
        <v>17</v>
      </c>
      <c r="F1249" s="5">
        <v>54100000</v>
      </c>
      <c r="G1249" s="5">
        <v>57100000</v>
      </c>
      <c r="H1249" s="5">
        <f>+(M1249*26000)/0.829426</f>
        <v>59110999.655183226</v>
      </c>
      <c r="I1249" s="5">
        <f>+G1249-H1249</f>
        <v>-2010999.6551832259</v>
      </c>
      <c r="J1249" s="5">
        <v>3000000</v>
      </c>
      <c r="K1249" s="5">
        <v>5410000</v>
      </c>
      <c r="L1249" s="5">
        <v>5710000</v>
      </c>
      <c r="M1249" s="7">
        <v>1885.7</v>
      </c>
      <c r="N1249" s="5">
        <v>54600000</v>
      </c>
      <c r="O1249" s="5">
        <v>57600000</v>
      </c>
      <c r="P1249" s="3">
        <v>0.97916666666666663</v>
      </c>
    </row>
    <row r="1250" spans="1:16" x14ac:dyDescent="0.25">
      <c r="A1250" t="s">
        <v>776</v>
      </c>
      <c r="B1250" s="2">
        <v>44186</v>
      </c>
      <c r="C1250" t="str">
        <f>+"Tuáº§n "&amp;WEEKNUM(B1250)</f>
        <v>Tuáº§n 52</v>
      </c>
      <c r="D1250" t="s">
        <v>16</v>
      </c>
      <c r="E1250" t="s">
        <v>17</v>
      </c>
      <c r="F1250" s="5">
        <v>53900000</v>
      </c>
      <c r="G1250" s="5">
        <v>56900000</v>
      </c>
      <c r="H1250" s="5">
        <f>+(M1250*26000)/0.829426</f>
        <v>58907244.28701295</v>
      </c>
      <c r="I1250" s="5">
        <f>+G1250-H1250</f>
        <v>-2007244.2870129496</v>
      </c>
      <c r="J1250" s="5">
        <v>3000000</v>
      </c>
      <c r="K1250" s="5">
        <v>5390000</v>
      </c>
      <c r="L1250" s="5">
        <v>5690000</v>
      </c>
      <c r="M1250" s="7">
        <v>1879.2</v>
      </c>
      <c r="N1250" s="5">
        <v>54400000</v>
      </c>
      <c r="O1250" s="5">
        <v>57400000</v>
      </c>
      <c r="P1250" s="3">
        <v>0.97916666666666663</v>
      </c>
    </row>
    <row r="1251" spans="1:16" x14ac:dyDescent="0.25">
      <c r="A1251" t="s">
        <v>777</v>
      </c>
      <c r="B1251" s="2">
        <v>44187</v>
      </c>
      <c r="C1251" t="str">
        <f>+"Tuáº§n "&amp;WEEKNUM(B1251)</f>
        <v>Tuáº§n 52</v>
      </c>
      <c r="D1251" t="s">
        <v>18</v>
      </c>
      <c r="E1251" t="s">
        <v>17</v>
      </c>
      <c r="F1251" s="5">
        <v>53500000</v>
      </c>
      <c r="G1251" s="5">
        <v>56500000</v>
      </c>
      <c r="H1251" s="5">
        <f>+(M1251*26000)/0.829426</f>
        <v>58512272.342559792</v>
      </c>
      <c r="I1251" s="5">
        <f>+G1251-H1251</f>
        <v>-2012272.3425597921</v>
      </c>
      <c r="J1251" s="5">
        <v>3000000</v>
      </c>
      <c r="K1251" s="5">
        <v>5350000</v>
      </c>
      <c r="L1251" s="5">
        <v>5650000</v>
      </c>
      <c r="M1251" s="7">
        <v>1866.6</v>
      </c>
      <c r="N1251" s="5">
        <v>54000000</v>
      </c>
      <c r="O1251" s="5">
        <v>57000000</v>
      </c>
      <c r="P1251" s="3">
        <v>0.97916666666666663</v>
      </c>
    </row>
    <row r="1252" spans="1:16" x14ac:dyDescent="0.25">
      <c r="A1252" t="s">
        <v>778</v>
      </c>
      <c r="B1252" s="2">
        <v>44188</v>
      </c>
      <c r="C1252" t="str">
        <f>+"Tuáº§n "&amp;WEEKNUM(B1252)</f>
        <v>Tuáº§n 52</v>
      </c>
      <c r="D1252" t="s">
        <v>19</v>
      </c>
      <c r="E1252" t="s">
        <v>17</v>
      </c>
      <c r="F1252" s="5">
        <v>53800000</v>
      </c>
      <c r="G1252" s="5">
        <v>56800000</v>
      </c>
      <c r="H1252" s="5">
        <f>+(M1252*26000)/0.829426</f>
        <v>58766182.878279679</v>
      </c>
      <c r="I1252" s="5">
        <f>+G1252-H1252</f>
        <v>-1966182.8782796785</v>
      </c>
      <c r="J1252" s="5">
        <v>3000000</v>
      </c>
      <c r="K1252" s="5">
        <v>5380000</v>
      </c>
      <c r="L1252" s="5">
        <v>5680000</v>
      </c>
      <c r="M1252" s="7">
        <v>1874.7</v>
      </c>
      <c r="N1252" s="5">
        <v>54300000</v>
      </c>
      <c r="O1252" s="5">
        <v>57300000</v>
      </c>
      <c r="P1252" s="3">
        <v>0.97916666666666663</v>
      </c>
    </row>
    <row r="1253" spans="1:16" x14ac:dyDescent="0.25">
      <c r="A1253" t="s">
        <v>779</v>
      </c>
      <c r="B1253" s="2">
        <v>44189</v>
      </c>
      <c r="C1253" t="str">
        <f>+"Tuáº§n "&amp;WEEKNUM(B1253)</f>
        <v>Tuáº§n 52</v>
      </c>
      <c r="D1253" t="s">
        <v>20</v>
      </c>
      <c r="E1253" t="s">
        <v>17</v>
      </c>
      <c r="F1253" s="5">
        <v>53900000</v>
      </c>
      <c r="G1253" s="5">
        <v>56900000</v>
      </c>
      <c r="H1253" s="5">
        <f>+(M1253*26000)/0.829426</f>
        <v>58929187.172815897</v>
      </c>
      <c r="I1253" s="5">
        <f>+G1253-H1253</f>
        <v>-2029187.1728158966</v>
      </c>
      <c r="J1253" s="5">
        <v>3000000</v>
      </c>
      <c r="K1253" s="5">
        <v>5390000</v>
      </c>
      <c r="L1253" s="5">
        <v>5690000</v>
      </c>
      <c r="M1253" s="7">
        <v>1879.9</v>
      </c>
      <c r="N1253" s="5">
        <v>54400000</v>
      </c>
      <c r="O1253" s="5">
        <v>57400000</v>
      </c>
      <c r="P1253" s="3">
        <v>0.97916666666666663</v>
      </c>
    </row>
    <row r="1254" spans="1:16" x14ac:dyDescent="0.25">
      <c r="A1254" t="s">
        <v>780</v>
      </c>
      <c r="B1254" s="2">
        <v>44193</v>
      </c>
      <c r="C1254" t="str">
        <f>+"Tuáº§n "&amp;WEEKNUM(B1254)</f>
        <v>Tuáº§n 53</v>
      </c>
      <c r="D1254" t="s">
        <v>16</v>
      </c>
      <c r="E1254" t="s">
        <v>17</v>
      </c>
      <c r="F1254" s="5">
        <v>53800000</v>
      </c>
      <c r="G1254" s="5">
        <v>56800000</v>
      </c>
      <c r="H1254" s="5">
        <f>+(M1254*26000)/0.829426</f>
        <v>58844550.327575937</v>
      </c>
      <c r="I1254" s="5">
        <f>+G1254-H1254</f>
        <v>-2044550.3275759369</v>
      </c>
      <c r="J1254" s="5">
        <v>3000000</v>
      </c>
      <c r="K1254" s="5">
        <v>5380000</v>
      </c>
      <c r="L1254" s="5">
        <v>5680000</v>
      </c>
      <c r="M1254" s="7">
        <v>1877.2</v>
      </c>
      <c r="N1254" s="5">
        <v>54300000</v>
      </c>
      <c r="O1254" s="5">
        <v>57300000</v>
      </c>
      <c r="P1254" s="3">
        <v>0.97916666666666663</v>
      </c>
    </row>
    <row r="1255" spans="1:16" x14ac:dyDescent="0.25">
      <c r="A1255" t="s">
        <v>781</v>
      </c>
      <c r="B1255" s="2">
        <v>44194</v>
      </c>
      <c r="C1255" t="str">
        <f>+"Tuáº§n "&amp;WEEKNUM(B1255)</f>
        <v>Tuáº§n 53</v>
      </c>
      <c r="D1255" t="s">
        <v>18</v>
      </c>
      <c r="E1255" t="s">
        <v>17</v>
      </c>
      <c r="F1255" s="5">
        <v>53900000</v>
      </c>
      <c r="G1255" s="5">
        <v>56900000</v>
      </c>
      <c r="H1255" s="5">
        <f>+(M1255*26000)/0.829426</f>
        <v>58922917.776872195</v>
      </c>
      <c r="I1255" s="5">
        <f>+G1255-H1255</f>
        <v>-2022917.7768721953</v>
      </c>
      <c r="J1255" s="5">
        <v>3000000</v>
      </c>
      <c r="K1255" s="5">
        <v>5390000</v>
      </c>
      <c r="L1255" s="5">
        <v>5690000</v>
      </c>
      <c r="M1255" s="7">
        <v>1879.7</v>
      </c>
      <c r="N1255" s="5">
        <v>54400000</v>
      </c>
      <c r="O1255" s="5">
        <v>57400000</v>
      </c>
      <c r="P1255" s="3">
        <v>0.97916666666666663</v>
      </c>
    </row>
    <row r="1256" spans="1:16" x14ac:dyDescent="0.25">
      <c r="A1256" t="s">
        <v>782</v>
      </c>
      <c r="B1256" s="2">
        <v>44195</v>
      </c>
      <c r="C1256" t="str">
        <f>+"Tuáº§n "&amp;WEEKNUM(B1256)</f>
        <v>Tuáº§n 53</v>
      </c>
      <c r="D1256" t="s">
        <v>19</v>
      </c>
      <c r="E1256" t="s">
        <v>17</v>
      </c>
      <c r="F1256" s="5">
        <v>54200000</v>
      </c>
      <c r="G1256" s="5">
        <v>57200000</v>
      </c>
      <c r="H1256" s="5">
        <f>+(M1256*26000)/0.829426</f>
        <v>59277138.647691295</v>
      </c>
      <c r="I1256" s="5">
        <f>+G1256-H1256</f>
        <v>-2077138.6476912946</v>
      </c>
      <c r="J1256" s="5">
        <v>3000000</v>
      </c>
      <c r="K1256" s="5">
        <v>5420000</v>
      </c>
      <c r="L1256" s="5">
        <v>5720000</v>
      </c>
      <c r="M1256" s="7">
        <v>1891</v>
      </c>
      <c r="N1256" s="5">
        <v>54700000</v>
      </c>
      <c r="O1256" s="5">
        <v>57700000</v>
      </c>
      <c r="P1256" s="3">
        <v>0.97916666666666663</v>
      </c>
    </row>
    <row r="1257" spans="1:16" x14ac:dyDescent="0.25">
      <c r="A1257" t="s">
        <v>783</v>
      </c>
      <c r="B1257" s="2">
        <v>44196</v>
      </c>
      <c r="C1257" t="str">
        <f>+"Tuáº§n "&amp;WEEKNUM(B1257)</f>
        <v>Tuáº§n 53</v>
      </c>
      <c r="D1257" t="s">
        <v>20</v>
      </c>
      <c r="E1257" t="s">
        <v>17</v>
      </c>
      <c r="F1257" s="5">
        <v>54300000</v>
      </c>
      <c r="G1257" s="5">
        <v>57300000</v>
      </c>
      <c r="H1257" s="5">
        <f>+(M1257*26000)/0.829426</f>
        <v>59342967.30510015</v>
      </c>
      <c r="I1257" s="5">
        <f>+G1257-H1257</f>
        <v>-2042967.3051001504</v>
      </c>
      <c r="J1257" s="5">
        <v>3000000</v>
      </c>
      <c r="K1257" s="5">
        <v>5430000</v>
      </c>
      <c r="L1257" s="5">
        <v>5730000</v>
      </c>
      <c r="M1257" s="7">
        <v>1893.1</v>
      </c>
      <c r="N1257" s="5">
        <v>54800000</v>
      </c>
      <c r="O1257" s="5">
        <v>57800000</v>
      </c>
      <c r="P1257" s="3">
        <v>0.97916666666666663</v>
      </c>
    </row>
    <row r="1258" spans="1:16" x14ac:dyDescent="0.25">
      <c r="A1258" s="2">
        <v>44287</v>
      </c>
      <c r="B1258" s="2">
        <v>44200</v>
      </c>
      <c r="C1258" t="str">
        <f>+"Tuáº§n "&amp;WEEKNUM(B1258)</f>
        <v>Tuáº§n 2</v>
      </c>
      <c r="D1258" t="s">
        <v>16</v>
      </c>
      <c r="E1258" t="s">
        <v>17</v>
      </c>
      <c r="F1258" s="5">
        <v>56300000</v>
      </c>
      <c r="G1258" s="5">
        <v>59300000</v>
      </c>
      <c r="H1258" s="5">
        <f>+(M1258*26000)/0.829426</f>
        <v>60960471.458574966</v>
      </c>
      <c r="I1258" s="5">
        <f>+G1258-H1258</f>
        <v>-1660471.4585749656</v>
      </c>
      <c r="J1258" s="5">
        <v>3000000</v>
      </c>
      <c r="K1258" s="5">
        <v>5630000</v>
      </c>
      <c r="L1258" s="5">
        <v>5930000</v>
      </c>
      <c r="M1258" s="7">
        <v>1944.7</v>
      </c>
      <c r="N1258" s="5">
        <v>56800000</v>
      </c>
      <c r="O1258" s="5">
        <v>59800000</v>
      </c>
      <c r="P1258" s="3">
        <v>0.97916666666666663</v>
      </c>
    </row>
    <row r="1259" spans="1:16" x14ac:dyDescent="0.25">
      <c r="A1259" s="2">
        <v>44317</v>
      </c>
      <c r="B1259" s="2">
        <v>44201</v>
      </c>
      <c r="C1259" t="str">
        <f>+"Tuáº§n "&amp;WEEKNUM(B1259)</f>
        <v>Tuáº§n 2</v>
      </c>
      <c r="D1259" t="s">
        <v>18</v>
      </c>
      <c r="E1259" t="s">
        <v>17</v>
      </c>
      <c r="F1259" s="5">
        <v>56600000</v>
      </c>
      <c r="G1259" s="5">
        <v>59600000</v>
      </c>
      <c r="H1259" s="5">
        <f>+(M1259*26000)/0.829426</f>
        <v>61211247.296323001</v>
      </c>
      <c r="I1259" s="5">
        <f>+G1259-H1259</f>
        <v>-1611247.2963230014</v>
      </c>
      <c r="J1259" s="5">
        <v>3000000</v>
      </c>
      <c r="K1259" s="5">
        <v>5660000</v>
      </c>
      <c r="L1259" s="5">
        <v>5960000</v>
      </c>
      <c r="M1259" s="7">
        <v>1952.7</v>
      </c>
      <c r="N1259" s="5">
        <v>57100000</v>
      </c>
      <c r="O1259" s="5">
        <v>60100000</v>
      </c>
      <c r="P1259" s="3">
        <v>0.97916666666666663</v>
      </c>
    </row>
    <row r="1260" spans="1:16" x14ac:dyDescent="0.25">
      <c r="A1260" s="2">
        <v>44348</v>
      </c>
      <c r="B1260" s="2">
        <v>44202</v>
      </c>
      <c r="C1260" t="str">
        <f>+"Tuáº§n "&amp;WEEKNUM(B1260)</f>
        <v>Tuáº§n 2</v>
      </c>
      <c r="D1260" t="s">
        <v>19</v>
      </c>
      <c r="E1260" t="s">
        <v>17</v>
      </c>
      <c r="F1260" s="5">
        <v>55200000</v>
      </c>
      <c r="G1260" s="5">
        <v>58200000</v>
      </c>
      <c r="H1260" s="5">
        <f>+(M1260*26000)/0.829426</f>
        <v>59775555.625215508</v>
      </c>
      <c r="I1260" s="5">
        <f>+G1260-H1260</f>
        <v>-1575555.625215508</v>
      </c>
      <c r="J1260" s="5">
        <v>3000000</v>
      </c>
      <c r="K1260" s="5">
        <v>5520000</v>
      </c>
      <c r="L1260" s="5">
        <v>5820000</v>
      </c>
      <c r="M1260" s="7">
        <v>1906.9</v>
      </c>
      <c r="N1260" s="5">
        <v>55700000</v>
      </c>
      <c r="O1260" s="5">
        <v>58700000</v>
      </c>
      <c r="P1260" s="3">
        <v>0.97916666666666663</v>
      </c>
    </row>
    <row r="1261" spans="1:16" x14ac:dyDescent="0.25">
      <c r="A1261" s="2">
        <v>44378</v>
      </c>
      <c r="B1261" s="2">
        <v>44203</v>
      </c>
      <c r="C1261" t="str">
        <f>+"Tuáº§n "&amp;WEEKNUM(B1261)</f>
        <v>Tuáº§n 2</v>
      </c>
      <c r="D1261" t="s">
        <v>20</v>
      </c>
      <c r="E1261" t="s">
        <v>17</v>
      </c>
      <c r="F1261" s="5">
        <v>55300000</v>
      </c>
      <c r="G1261" s="5">
        <v>58300000</v>
      </c>
      <c r="H1261" s="5">
        <f>+(M1261*26000)/0.829426</f>
        <v>59944829.315695435</v>
      </c>
      <c r="I1261" s="5">
        <f>+G1261-H1261</f>
        <v>-1644829.3156954348</v>
      </c>
      <c r="J1261" s="5">
        <v>3000000</v>
      </c>
      <c r="K1261" s="5">
        <v>5530000</v>
      </c>
      <c r="L1261" s="5">
        <v>5830000</v>
      </c>
      <c r="M1261" s="7">
        <v>1912.3</v>
      </c>
      <c r="N1261" s="5">
        <v>55800000</v>
      </c>
      <c r="O1261" s="5">
        <v>58800000</v>
      </c>
      <c r="P1261" s="3">
        <v>0.97916666666666663</v>
      </c>
    </row>
    <row r="1262" spans="1:16" x14ac:dyDescent="0.25">
      <c r="A1262" s="2">
        <v>44409</v>
      </c>
      <c r="B1262" s="2">
        <v>44204</v>
      </c>
      <c r="C1262" t="str">
        <f>+"Tuáº§n "&amp;WEEKNUM(B1262)</f>
        <v>Tuáº§n 2</v>
      </c>
      <c r="D1262" t="s">
        <v>21</v>
      </c>
      <c r="E1262" t="s">
        <v>17</v>
      </c>
      <c r="F1262" s="5">
        <v>52900000</v>
      </c>
      <c r="G1262" s="5">
        <v>55900000</v>
      </c>
      <c r="H1262" s="5">
        <f>+(M1262*26000)/0.829426</f>
        <v>57493495.501708411</v>
      </c>
      <c r="I1262" s="5">
        <f>+G1262-H1262</f>
        <v>-1593495.5017084107</v>
      </c>
      <c r="J1262" s="5">
        <v>3000000</v>
      </c>
      <c r="K1262" s="5">
        <v>5290000</v>
      </c>
      <c r="L1262" s="5">
        <v>5590000</v>
      </c>
      <c r="M1262" s="7">
        <v>1834.1</v>
      </c>
      <c r="N1262" s="5">
        <v>53400000</v>
      </c>
      <c r="O1262" s="5">
        <v>56400000</v>
      </c>
      <c r="P1262" s="3">
        <v>0.97916666666666663</v>
      </c>
    </row>
    <row r="1263" spans="1:16" x14ac:dyDescent="0.25">
      <c r="A1263" s="2">
        <v>44501</v>
      </c>
      <c r="B1263" s="2">
        <v>44207</v>
      </c>
      <c r="C1263" t="str">
        <f>+"Tuáº§n "&amp;WEEKNUM(B1263)</f>
        <v>Tuáº§n 3</v>
      </c>
      <c r="D1263" t="s">
        <v>16</v>
      </c>
      <c r="E1263" t="s">
        <v>17</v>
      </c>
      <c r="F1263" s="5">
        <v>53400000</v>
      </c>
      <c r="G1263" s="5">
        <v>56400000</v>
      </c>
      <c r="H1263" s="5">
        <f>+(M1263*26000)/0.829426</f>
        <v>57979373.687345222</v>
      </c>
      <c r="I1263" s="5">
        <f>+G1263-H1263</f>
        <v>-1579373.6873452216</v>
      </c>
      <c r="J1263" s="5">
        <v>3000000</v>
      </c>
      <c r="K1263" s="5">
        <v>5340000</v>
      </c>
      <c r="L1263" s="5">
        <v>5640000</v>
      </c>
      <c r="M1263" s="7">
        <v>1849.6</v>
      </c>
      <c r="N1263" s="5">
        <v>53900000</v>
      </c>
      <c r="O1263" s="5">
        <v>56900000</v>
      </c>
      <c r="P1263" s="3">
        <v>0.97916666666666663</v>
      </c>
    </row>
    <row r="1264" spans="1:16" x14ac:dyDescent="0.25">
      <c r="A1264" s="2">
        <v>44531</v>
      </c>
      <c r="B1264" s="2">
        <v>44208</v>
      </c>
      <c r="C1264" t="str">
        <f>+"Tuáº§n "&amp;WEEKNUM(B1264)</f>
        <v>Tuáº§n 3</v>
      </c>
      <c r="D1264" t="s">
        <v>18</v>
      </c>
      <c r="E1264" t="s">
        <v>17</v>
      </c>
      <c r="F1264" s="5">
        <v>53200000</v>
      </c>
      <c r="G1264" s="5">
        <v>56200000</v>
      </c>
      <c r="H1264" s="5">
        <f>+(M1264*26000)/0.829426</f>
        <v>57769348.923231244</v>
      </c>
      <c r="I1264" s="5">
        <f>+G1264-H1264</f>
        <v>-1569348.9232312441</v>
      </c>
      <c r="J1264" s="5">
        <v>3000000</v>
      </c>
      <c r="K1264" s="5">
        <v>5320000</v>
      </c>
      <c r="L1264" s="5">
        <v>5620000</v>
      </c>
      <c r="M1264" s="7">
        <v>1842.9</v>
      </c>
      <c r="N1264" s="5">
        <v>53700000</v>
      </c>
      <c r="O1264" s="5">
        <v>56700000</v>
      </c>
      <c r="P1264" s="3">
        <v>0.97916666666666663</v>
      </c>
    </row>
    <row r="1265" spans="1:16" x14ac:dyDescent="0.25">
      <c r="A1265" t="s">
        <v>784</v>
      </c>
      <c r="B1265" s="2">
        <v>44209</v>
      </c>
      <c r="C1265" t="str">
        <f>+"Tuáº§n "&amp;WEEKNUM(B1265)</f>
        <v>Tuáº§n 3</v>
      </c>
      <c r="D1265" t="s">
        <v>19</v>
      </c>
      <c r="E1265" t="s">
        <v>17</v>
      </c>
      <c r="F1265" s="5">
        <v>53500000</v>
      </c>
      <c r="G1265" s="5">
        <v>56500000</v>
      </c>
      <c r="H1265" s="5">
        <f>+(M1265*26000)/0.829426</f>
        <v>58104761.60621924</v>
      </c>
      <c r="I1265" s="5">
        <f>+G1265-H1265</f>
        <v>-1604761.6062192395</v>
      </c>
      <c r="J1265" s="5">
        <v>3000000</v>
      </c>
      <c r="K1265" s="5">
        <v>5350000</v>
      </c>
      <c r="L1265" s="5">
        <v>5650000</v>
      </c>
      <c r="M1265" s="7">
        <v>1853.6</v>
      </c>
      <c r="N1265" s="5">
        <v>54000000</v>
      </c>
      <c r="O1265" s="5">
        <v>57000000</v>
      </c>
      <c r="P1265" s="3">
        <v>0.97916666666666663</v>
      </c>
    </row>
    <row r="1266" spans="1:16" x14ac:dyDescent="0.25">
      <c r="A1266" t="s">
        <v>785</v>
      </c>
      <c r="B1266" s="2">
        <v>44210</v>
      </c>
      <c r="C1266" t="str">
        <f>+"Tuáº§n "&amp;WEEKNUM(B1266)</f>
        <v>Tuáº§n 3</v>
      </c>
      <c r="D1266" t="s">
        <v>20</v>
      </c>
      <c r="E1266" t="s">
        <v>17</v>
      </c>
      <c r="F1266" s="5">
        <v>53400000</v>
      </c>
      <c r="G1266" s="5">
        <v>56400000</v>
      </c>
      <c r="H1266" s="5">
        <f>+(M1266*26000)/0.829426</f>
        <v>58001316.573148176</v>
      </c>
      <c r="I1266" s="5">
        <f>+G1266-H1266</f>
        <v>-1601316.5731481761</v>
      </c>
      <c r="J1266" s="5">
        <v>3000000</v>
      </c>
      <c r="K1266" s="5">
        <v>5340000</v>
      </c>
      <c r="L1266" s="5">
        <v>5640000</v>
      </c>
      <c r="M1266" s="7">
        <v>1850.3</v>
      </c>
      <c r="N1266" s="5">
        <v>53900000</v>
      </c>
      <c r="O1266" s="5">
        <v>56900000</v>
      </c>
      <c r="P1266" s="3">
        <v>0.97916666666666663</v>
      </c>
    </row>
    <row r="1267" spans="1:16" x14ac:dyDescent="0.25">
      <c r="A1267" t="s">
        <v>786</v>
      </c>
      <c r="B1267" s="2">
        <v>44211</v>
      </c>
      <c r="C1267" t="str">
        <f>+"Tuáº§n "&amp;WEEKNUM(B1267)</f>
        <v>Tuáº§n 3</v>
      </c>
      <c r="D1267" t="s">
        <v>21</v>
      </c>
      <c r="E1267" t="s">
        <v>17</v>
      </c>
      <c r="F1267" s="5">
        <v>52800000</v>
      </c>
      <c r="G1267" s="5">
        <v>55800000</v>
      </c>
      <c r="H1267" s="5">
        <f>+(M1267*26000)/0.829426</f>
        <v>57343029.999059588</v>
      </c>
      <c r="I1267" s="5">
        <f>+G1267-H1267</f>
        <v>-1543029.9990595877</v>
      </c>
      <c r="J1267" s="5">
        <v>3000000</v>
      </c>
      <c r="K1267" s="5">
        <v>5280000</v>
      </c>
      <c r="L1267" s="5">
        <v>5580000</v>
      </c>
      <c r="M1267" s="7">
        <v>1829.3</v>
      </c>
      <c r="N1267" s="5">
        <v>53300000</v>
      </c>
      <c r="O1267" s="5">
        <v>56300000</v>
      </c>
      <c r="P1267" s="3">
        <v>0.97916666666666663</v>
      </c>
    </row>
    <row r="1268" spans="1:16" x14ac:dyDescent="0.25">
      <c r="A1268" t="s">
        <v>787</v>
      </c>
      <c r="B1268" s="2">
        <v>44215</v>
      </c>
      <c r="C1268" t="str">
        <f>+"Tuáº§n "&amp;WEEKNUM(B1268)</f>
        <v>Tuáº§n 4</v>
      </c>
      <c r="D1268" t="s">
        <v>18</v>
      </c>
      <c r="E1268" t="s">
        <v>17</v>
      </c>
      <c r="F1268" s="5">
        <v>53100000</v>
      </c>
      <c r="G1268" s="5">
        <v>56100000</v>
      </c>
      <c r="H1268" s="5">
        <f>+(M1268*26000)/0.829426</f>
        <v>57662769.19218833</v>
      </c>
      <c r="I1268" s="5">
        <f>+G1268-H1268</f>
        <v>-1562769.19218833</v>
      </c>
      <c r="J1268" s="5">
        <v>3000000</v>
      </c>
      <c r="K1268" s="5">
        <v>5310000</v>
      </c>
      <c r="L1268" s="5">
        <v>5610000</v>
      </c>
      <c r="M1268" s="7">
        <v>1839.5</v>
      </c>
      <c r="N1268" s="5">
        <v>53600000</v>
      </c>
      <c r="O1268" s="5">
        <v>56600000</v>
      </c>
      <c r="P1268" s="3">
        <v>0.97916666666666663</v>
      </c>
    </row>
    <row r="1269" spans="1:16" x14ac:dyDescent="0.25">
      <c r="A1269" t="s">
        <v>788</v>
      </c>
      <c r="B1269" s="2">
        <v>44216</v>
      </c>
      <c r="C1269" t="str">
        <f>+"Tuáº§n "&amp;WEEKNUM(B1269)</f>
        <v>Tuáº§n 4</v>
      </c>
      <c r="D1269" t="s">
        <v>19</v>
      </c>
      <c r="E1269" t="s">
        <v>17</v>
      </c>
      <c r="F1269" s="5">
        <v>53900000</v>
      </c>
      <c r="G1269" s="5">
        <v>56900000</v>
      </c>
      <c r="H1269" s="5">
        <f>+(M1269*26000)/0.829426</f>
        <v>58490329.456756845</v>
      </c>
      <c r="I1269" s="5">
        <f>+G1269-H1269</f>
        <v>-1590329.4567568451</v>
      </c>
      <c r="J1269" s="5">
        <v>3000000</v>
      </c>
      <c r="K1269" s="5">
        <v>5390000</v>
      </c>
      <c r="L1269" s="5">
        <v>5690000</v>
      </c>
      <c r="M1269" s="7">
        <v>1865.9</v>
      </c>
      <c r="N1269" s="5">
        <v>54400000</v>
      </c>
      <c r="O1269" s="5">
        <v>57400000</v>
      </c>
      <c r="P1269" s="3">
        <v>0.97916666666666663</v>
      </c>
    </row>
    <row r="1270" spans="1:16" x14ac:dyDescent="0.25">
      <c r="A1270" t="s">
        <v>789</v>
      </c>
      <c r="B1270" s="2">
        <v>44217</v>
      </c>
      <c r="C1270" t="str">
        <f>+"Tuáº§n "&amp;WEEKNUM(B1270)</f>
        <v>Tuáº§n 4</v>
      </c>
      <c r="D1270" t="s">
        <v>20</v>
      </c>
      <c r="E1270" t="s">
        <v>17</v>
      </c>
      <c r="F1270" s="5">
        <v>53900000</v>
      </c>
      <c r="G1270" s="5">
        <v>56900000</v>
      </c>
      <c r="H1270" s="5">
        <f>+(M1270*26000)/0.829426</f>
        <v>58471521.268925741</v>
      </c>
      <c r="I1270" s="5">
        <f>+G1270-H1270</f>
        <v>-1571521.2689257413</v>
      </c>
      <c r="J1270" s="5">
        <v>3000000</v>
      </c>
      <c r="K1270" s="5">
        <v>5390000</v>
      </c>
      <c r="L1270" s="5">
        <v>5690000</v>
      </c>
      <c r="M1270" s="7">
        <v>1865.3</v>
      </c>
      <c r="N1270" s="5">
        <v>54400000</v>
      </c>
      <c r="O1270" s="5">
        <v>57400000</v>
      </c>
      <c r="P1270" s="3">
        <v>0.97916666666666663</v>
      </c>
    </row>
    <row r="1271" spans="1:16" x14ac:dyDescent="0.25">
      <c r="A1271" t="s">
        <v>790</v>
      </c>
      <c r="B1271" s="2">
        <v>44218</v>
      </c>
      <c r="C1271" t="str">
        <f>+"Tuáº§n "&amp;WEEKNUM(B1271)</f>
        <v>Tuáº§n 4</v>
      </c>
      <c r="D1271" t="s">
        <v>21</v>
      </c>
      <c r="E1271" t="s">
        <v>17</v>
      </c>
      <c r="F1271" s="5">
        <v>53600000</v>
      </c>
      <c r="G1271" s="5">
        <v>56600000</v>
      </c>
      <c r="H1271" s="5">
        <f>+(M1271*26000)/0.829426</f>
        <v>58170590.263628103</v>
      </c>
      <c r="I1271" s="5">
        <f>+G1271-H1271</f>
        <v>-1570590.2636281028</v>
      </c>
      <c r="J1271" s="5">
        <v>3000000</v>
      </c>
      <c r="K1271" s="5">
        <v>5360000</v>
      </c>
      <c r="L1271" s="5">
        <v>5660000</v>
      </c>
      <c r="M1271" s="7">
        <v>1855.7</v>
      </c>
      <c r="N1271" s="5">
        <v>54100000</v>
      </c>
      <c r="O1271" s="5">
        <v>57100000</v>
      </c>
      <c r="P1271" s="3">
        <v>0.97916666666666663</v>
      </c>
    </row>
    <row r="1272" spans="1:16" x14ac:dyDescent="0.25">
      <c r="A1272" t="s">
        <v>791</v>
      </c>
      <c r="B1272" s="2">
        <v>44221</v>
      </c>
      <c r="C1272" t="str">
        <f>+"Tuáº§n "&amp;WEEKNUM(B1272)</f>
        <v>Tuáº§n 5</v>
      </c>
      <c r="D1272" t="s">
        <v>16</v>
      </c>
      <c r="E1272" t="s">
        <v>17</v>
      </c>
      <c r="F1272" s="5">
        <v>53600000</v>
      </c>
      <c r="G1272" s="5">
        <v>56600000</v>
      </c>
      <c r="H1272" s="5">
        <f>+(M1272*26000)/0.829426</f>
        <v>58145512.679853298</v>
      </c>
      <c r="I1272" s="5">
        <f>+G1272-H1272</f>
        <v>-1545512.6798532978</v>
      </c>
      <c r="J1272" s="5">
        <v>3000000</v>
      </c>
      <c r="K1272" s="5">
        <v>5360000</v>
      </c>
      <c r="L1272" s="5">
        <v>5660000</v>
      </c>
      <c r="M1272" s="7">
        <v>1854.9</v>
      </c>
      <c r="N1272" s="5">
        <v>54100000</v>
      </c>
      <c r="O1272" s="5">
        <v>57100000</v>
      </c>
      <c r="P1272" s="3">
        <v>0.97916666666666663</v>
      </c>
    </row>
    <row r="1273" spans="1:16" x14ac:dyDescent="0.25">
      <c r="A1273" t="s">
        <v>792</v>
      </c>
      <c r="B1273" s="2">
        <v>44222</v>
      </c>
      <c r="C1273" t="str">
        <f>+"Tuáº§n "&amp;WEEKNUM(B1273)</f>
        <v>Tuáº§n 5</v>
      </c>
      <c r="D1273" t="s">
        <v>18</v>
      </c>
      <c r="E1273" t="s">
        <v>17</v>
      </c>
      <c r="F1273" s="5">
        <v>53500000</v>
      </c>
      <c r="G1273" s="5">
        <v>56500000</v>
      </c>
      <c r="H1273" s="5">
        <f>+(M1273*26000)/0.829426</f>
        <v>58013855.365035579</v>
      </c>
      <c r="I1273" s="5">
        <f>+G1273-H1273</f>
        <v>-1513855.3650355786</v>
      </c>
      <c r="J1273" s="5">
        <v>3000000</v>
      </c>
      <c r="K1273" s="5">
        <v>5350000</v>
      </c>
      <c r="L1273" s="5">
        <v>5650000</v>
      </c>
      <c r="M1273" s="7">
        <v>1850.7</v>
      </c>
      <c r="N1273" s="5">
        <v>54000000</v>
      </c>
      <c r="O1273" s="5">
        <v>57000000</v>
      </c>
      <c r="P1273" s="3">
        <v>0.97916666666666663</v>
      </c>
    </row>
    <row r="1274" spans="1:16" x14ac:dyDescent="0.25">
      <c r="A1274" t="s">
        <v>793</v>
      </c>
      <c r="B1274" s="2">
        <v>44223</v>
      </c>
      <c r="C1274" t="str">
        <f>+"Tuáº§n "&amp;WEEKNUM(B1274)</f>
        <v>Tuáº§n 5</v>
      </c>
      <c r="D1274" t="s">
        <v>19</v>
      </c>
      <c r="E1274" t="s">
        <v>17</v>
      </c>
      <c r="F1274" s="5">
        <v>53300000</v>
      </c>
      <c r="G1274" s="5">
        <v>56300000</v>
      </c>
      <c r="H1274" s="5">
        <f>+(M1274*26000)/0.829426</f>
        <v>57832042.882668257</v>
      </c>
      <c r="I1274" s="5">
        <f>+G1274-H1274</f>
        <v>-1532042.8826682568</v>
      </c>
      <c r="J1274" s="5">
        <v>3000000</v>
      </c>
      <c r="K1274" s="5">
        <v>5330000</v>
      </c>
      <c r="L1274" s="5">
        <v>5630000</v>
      </c>
      <c r="M1274" s="7">
        <v>1844.9</v>
      </c>
      <c r="N1274" s="5">
        <v>53800000</v>
      </c>
      <c r="O1274" s="5">
        <v>56800000</v>
      </c>
      <c r="P1274" s="3">
        <v>0.97916666666666663</v>
      </c>
    </row>
    <row r="1275" spans="1:16" x14ac:dyDescent="0.25">
      <c r="A1275" t="s">
        <v>794</v>
      </c>
      <c r="B1275" s="2">
        <v>44224</v>
      </c>
      <c r="C1275" t="str">
        <f>+"Tuáº§n "&amp;WEEKNUM(B1275)</f>
        <v>Tuáº§n 5</v>
      </c>
      <c r="D1275" t="s">
        <v>20</v>
      </c>
      <c r="E1275" t="s">
        <v>17</v>
      </c>
      <c r="F1275" s="5">
        <v>53100000</v>
      </c>
      <c r="G1275" s="5">
        <v>56100000</v>
      </c>
      <c r="H1275" s="5">
        <f>+(M1275*26000)/0.829426</f>
        <v>57612614.024638727</v>
      </c>
      <c r="I1275" s="5">
        <f>+G1275-H1275</f>
        <v>-1512614.0246387273</v>
      </c>
      <c r="J1275" s="5">
        <v>3000000</v>
      </c>
      <c r="K1275" s="5">
        <v>5310000</v>
      </c>
      <c r="L1275" s="5">
        <v>5610000</v>
      </c>
      <c r="M1275" s="7">
        <v>1837.9</v>
      </c>
      <c r="N1275" s="5">
        <v>53600000</v>
      </c>
      <c r="O1275" s="5">
        <v>56600000</v>
      </c>
      <c r="P1275" s="3">
        <v>0.97916666666666663</v>
      </c>
    </row>
    <row r="1276" spans="1:16" x14ac:dyDescent="0.25">
      <c r="A1276" t="s">
        <v>795</v>
      </c>
      <c r="B1276" s="2">
        <v>44225</v>
      </c>
      <c r="C1276" t="str">
        <f>+"Tuáº§n "&amp;WEEKNUM(B1276)</f>
        <v>Tuáº§n 5</v>
      </c>
      <c r="D1276" t="s">
        <v>21</v>
      </c>
      <c r="E1276" t="s">
        <v>17</v>
      </c>
      <c r="F1276" s="5">
        <v>53300000</v>
      </c>
      <c r="G1276" s="5">
        <v>56300000</v>
      </c>
      <c r="H1276" s="5">
        <f>+(M1276*26000)/0.829426</f>
        <v>57907275.633992665</v>
      </c>
      <c r="I1276" s="5">
        <f>+G1276-H1276</f>
        <v>-1607275.6339926645</v>
      </c>
      <c r="J1276" s="5">
        <v>3000000</v>
      </c>
      <c r="K1276" s="5">
        <v>5330000</v>
      </c>
      <c r="L1276" s="5">
        <v>5630000</v>
      </c>
      <c r="M1276" s="7">
        <v>1847.3</v>
      </c>
      <c r="N1276" s="5">
        <v>53800000</v>
      </c>
      <c r="O1276" s="5">
        <v>56800000</v>
      </c>
      <c r="P1276" s="3">
        <v>0.97916666666666663</v>
      </c>
    </row>
    <row r="1277" spans="1:16" x14ac:dyDescent="0.25">
      <c r="A1277" s="2">
        <v>44198</v>
      </c>
      <c r="B1277" s="2">
        <v>44228</v>
      </c>
      <c r="C1277" t="str">
        <f>+"Tuáº§n "&amp;WEEKNUM(B1277)</f>
        <v>Tuáº§n 6</v>
      </c>
      <c r="D1277" t="s">
        <v>16</v>
      </c>
      <c r="E1277" t="s">
        <v>17</v>
      </c>
      <c r="F1277" s="5">
        <v>53800000</v>
      </c>
      <c r="G1277" s="5">
        <v>56800000</v>
      </c>
      <c r="H1277" s="5">
        <f>+(M1277*26000)/0.829426</f>
        <v>58330459.86019247</v>
      </c>
      <c r="I1277" s="5">
        <f>+G1277-H1277</f>
        <v>-1530459.8601924703</v>
      </c>
      <c r="J1277" s="5">
        <v>3000000</v>
      </c>
      <c r="K1277" s="5">
        <v>5380000</v>
      </c>
      <c r="L1277" s="5">
        <v>5680000</v>
      </c>
      <c r="M1277" s="7">
        <v>1860.8</v>
      </c>
      <c r="N1277" s="5">
        <v>54300000</v>
      </c>
      <c r="O1277" s="5">
        <v>57300000</v>
      </c>
      <c r="P1277" s="3">
        <v>0.97916666666666663</v>
      </c>
    </row>
    <row r="1278" spans="1:16" x14ac:dyDescent="0.25">
      <c r="A1278" s="2">
        <v>44229</v>
      </c>
      <c r="B1278" s="2">
        <v>44229</v>
      </c>
      <c r="C1278" t="str">
        <f>+"Tuáº§n "&amp;WEEKNUM(B1278)</f>
        <v>Tuáº§n 6</v>
      </c>
      <c r="D1278" t="s">
        <v>18</v>
      </c>
      <c r="E1278" t="s">
        <v>17</v>
      </c>
      <c r="F1278" s="5">
        <v>52800000</v>
      </c>
      <c r="G1278" s="5">
        <v>55800000</v>
      </c>
      <c r="H1278" s="5">
        <f>+(M1278*26000)/0.829426</f>
        <v>57380646.374721795</v>
      </c>
      <c r="I1278" s="5">
        <f>+G1278-H1278</f>
        <v>-1580646.3747217953</v>
      </c>
      <c r="J1278" s="5">
        <v>3000000</v>
      </c>
      <c r="K1278" s="5">
        <v>5280000</v>
      </c>
      <c r="L1278" s="5">
        <v>5580000</v>
      </c>
      <c r="M1278" s="7">
        <v>1830.5</v>
      </c>
      <c r="N1278" s="5">
        <v>53300000</v>
      </c>
      <c r="O1278" s="5">
        <v>56300000</v>
      </c>
      <c r="P1278" s="3">
        <v>0.97916666666666663</v>
      </c>
    </row>
    <row r="1279" spans="1:16" x14ac:dyDescent="0.25">
      <c r="A1279" s="2">
        <v>44257</v>
      </c>
      <c r="B1279" s="2">
        <v>44230</v>
      </c>
      <c r="C1279" t="str">
        <f>+"Tuáº§n "&amp;WEEKNUM(B1279)</f>
        <v>Tuáº§n 6</v>
      </c>
      <c r="D1279" t="s">
        <v>19</v>
      </c>
      <c r="E1279" t="s">
        <v>17</v>
      </c>
      <c r="F1279" s="5">
        <v>52900000</v>
      </c>
      <c r="G1279" s="5">
        <v>55900000</v>
      </c>
      <c r="H1279" s="5">
        <f>+(M1279*26000)/0.829426</f>
        <v>57433936.240243256</v>
      </c>
      <c r="I1279" s="5">
        <f>+G1279-H1279</f>
        <v>-1533936.2402432561</v>
      </c>
      <c r="J1279" s="5">
        <v>3000000</v>
      </c>
      <c r="K1279" s="5">
        <v>5290000</v>
      </c>
      <c r="L1279" s="5">
        <v>5590000</v>
      </c>
      <c r="M1279" s="7">
        <v>1832.2</v>
      </c>
      <c r="N1279" s="5">
        <v>53400000</v>
      </c>
      <c r="O1279" s="5">
        <v>56400000</v>
      </c>
      <c r="P1279" s="3">
        <v>0.97916666666666663</v>
      </c>
    </row>
    <row r="1280" spans="1:16" x14ac:dyDescent="0.25">
      <c r="A1280" s="2">
        <v>44288</v>
      </c>
      <c r="B1280" s="2">
        <v>44231</v>
      </c>
      <c r="C1280" t="str">
        <f>+"Tuáº§n "&amp;WEEKNUM(B1280)</f>
        <v>Tuáº§n 6</v>
      </c>
      <c r="D1280" t="s">
        <v>20</v>
      </c>
      <c r="E1280" t="s">
        <v>17</v>
      </c>
      <c r="F1280" s="5">
        <v>51600000</v>
      </c>
      <c r="G1280" s="5">
        <v>54600000</v>
      </c>
      <c r="H1280" s="5">
        <f>+(M1280*26000)/0.829426</f>
        <v>56076612.018432021</v>
      </c>
      <c r="I1280" s="5">
        <f>+G1280-H1280</f>
        <v>-1476612.0184320211</v>
      </c>
      <c r="J1280" s="5">
        <v>3000000</v>
      </c>
      <c r="K1280" s="5">
        <v>5160000</v>
      </c>
      <c r="L1280" s="5">
        <v>5460000</v>
      </c>
      <c r="M1280" s="7">
        <v>1788.9</v>
      </c>
      <c r="N1280" s="5">
        <v>52100000</v>
      </c>
      <c r="O1280" s="5">
        <v>55100000</v>
      </c>
      <c r="P1280" s="3">
        <v>0.97916666666666663</v>
      </c>
    </row>
    <row r="1281" spans="1:16" x14ac:dyDescent="0.25">
      <c r="A1281" s="2">
        <v>44318</v>
      </c>
      <c r="B1281" s="2">
        <v>44232</v>
      </c>
      <c r="C1281" t="str">
        <f>+"Tuáº§n "&amp;WEEKNUM(B1281)</f>
        <v>Tuáº§n 6</v>
      </c>
      <c r="D1281" t="s">
        <v>21</v>
      </c>
      <c r="E1281" t="s">
        <v>17</v>
      </c>
      <c r="F1281" s="5">
        <v>52200000</v>
      </c>
      <c r="G1281" s="5">
        <v>55200000</v>
      </c>
      <c r="H1281" s="5">
        <f>+(M1281*26000)/0.829426</f>
        <v>56766245.572239116</v>
      </c>
      <c r="I1281" s="5">
        <f>+G1281-H1281</f>
        <v>-1566245.5722391158</v>
      </c>
      <c r="J1281" s="5">
        <v>3000000</v>
      </c>
      <c r="K1281" s="5">
        <v>5220000</v>
      </c>
      <c r="L1281" s="5">
        <v>5520000</v>
      </c>
      <c r="M1281" s="7">
        <v>1810.9</v>
      </c>
      <c r="N1281" s="5">
        <v>52700000</v>
      </c>
      <c r="O1281" s="5">
        <v>55700000</v>
      </c>
      <c r="P1281" s="3">
        <v>0.97916666666666663</v>
      </c>
    </row>
    <row r="1282" spans="1:16" x14ac:dyDescent="0.25">
      <c r="A1282" s="2">
        <v>44410</v>
      </c>
      <c r="B1282" s="2">
        <v>44235</v>
      </c>
      <c r="C1282" t="str">
        <f>+"Tuáº§n "&amp;WEEKNUM(B1282)</f>
        <v>Tuáº§n 7</v>
      </c>
      <c r="D1282" t="s">
        <v>16</v>
      </c>
      <c r="E1282" t="s">
        <v>17</v>
      </c>
      <c r="F1282" s="5">
        <v>52900000</v>
      </c>
      <c r="G1282" s="5">
        <v>55900000</v>
      </c>
      <c r="H1282" s="5">
        <f>+(M1282*26000)/0.829426</f>
        <v>57424532.146327704</v>
      </c>
      <c r="I1282" s="5">
        <f>+G1282-H1282</f>
        <v>-1524532.1463277042</v>
      </c>
      <c r="J1282" s="5">
        <v>3000000</v>
      </c>
      <c r="K1282" s="5">
        <v>5290000</v>
      </c>
      <c r="L1282" s="5">
        <v>5590000</v>
      </c>
      <c r="M1282" s="7">
        <v>1831.9</v>
      </c>
      <c r="N1282" s="5">
        <v>53400000</v>
      </c>
      <c r="O1282" s="5">
        <v>56400000</v>
      </c>
      <c r="P1282" s="3">
        <v>0.97916666666666663</v>
      </c>
    </row>
    <row r="1283" spans="1:16" x14ac:dyDescent="0.25">
      <c r="A1283" s="2">
        <v>44441</v>
      </c>
      <c r="B1283" s="2">
        <v>44236</v>
      </c>
      <c r="C1283" t="str">
        <f>+"Tuáº§n "&amp;WEEKNUM(B1283)</f>
        <v>Tuáº§n 7</v>
      </c>
      <c r="D1283" t="s">
        <v>18</v>
      </c>
      <c r="E1283" t="s">
        <v>17</v>
      </c>
      <c r="F1283" s="5">
        <v>53000000</v>
      </c>
      <c r="G1283" s="5">
        <v>56000000</v>
      </c>
      <c r="H1283" s="5">
        <f>+(M1283*26000)/0.829426</f>
        <v>57531111.877370618</v>
      </c>
      <c r="I1283" s="5">
        <f>+G1283-H1283</f>
        <v>-1531111.8773706183</v>
      </c>
      <c r="J1283" s="5">
        <v>3000000</v>
      </c>
      <c r="K1283" s="5">
        <v>5300000</v>
      </c>
      <c r="L1283" s="5">
        <v>5600000</v>
      </c>
      <c r="M1283" s="7">
        <v>1835.3</v>
      </c>
      <c r="N1283" s="5">
        <v>53500000</v>
      </c>
      <c r="O1283" s="5">
        <v>56500000</v>
      </c>
      <c r="P1283" s="3">
        <v>0.97916666666666663</v>
      </c>
    </row>
    <row r="1284" spans="1:16" x14ac:dyDescent="0.25">
      <c r="A1284" s="2">
        <v>44471</v>
      </c>
      <c r="B1284" s="2">
        <v>44237</v>
      </c>
      <c r="C1284" t="str">
        <f>+"Tuáº§n "&amp;WEEKNUM(B1284)</f>
        <v>Tuáº§n 7</v>
      </c>
      <c r="D1284" t="s">
        <v>19</v>
      </c>
      <c r="E1284" t="s">
        <v>17</v>
      </c>
      <c r="F1284" s="5">
        <v>53100000</v>
      </c>
      <c r="G1284" s="5">
        <v>56100000</v>
      </c>
      <c r="H1284" s="5">
        <f>+(M1284*26000)/0.829426</f>
        <v>57697250.869878687</v>
      </c>
      <c r="I1284" s="5">
        <f>+G1284-H1284</f>
        <v>-1597250.869878687</v>
      </c>
      <c r="J1284" s="5">
        <v>3000000</v>
      </c>
      <c r="K1284" s="5">
        <v>5310000</v>
      </c>
      <c r="L1284" s="5">
        <v>5610000</v>
      </c>
      <c r="M1284" s="7">
        <v>1840.6</v>
      </c>
      <c r="N1284" s="5">
        <v>53600000</v>
      </c>
      <c r="O1284" s="5">
        <v>56600000</v>
      </c>
      <c r="P1284" s="3">
        <v>0.97916666666666663</v>
      </c>
    </row>
    <row r="1285" spans="1:16" x14ac:dyDescent="0.25">
      <c r="A1285" s="2">
        <v>44502</v>
      </c>
      <c r="B1285" s="2">
        <v>44238</v>
      </c>
      <c r="C1285" t="str">
        <f>+"Tuáº§n "&amp;WEEKNUM(B1285)</f>
        <v>Tuáº§n 7</v>
      </c>
      <c r="D1285" t="s">
        <v>20</v>
      </c>
      <c r="E1285" t="s">
        <v>17</v>
      </c>
      <c r="F1285" s="5">
        <v>52700000</v>
      </c>
      <c r="G1285" s="5">
        <v>55700000</v>
      </c>
      <c r="H1285" s="5">
        <f>+(M1285*26000)/0.829426</f>
        <v>57205103.288298175</v>
      </c>
      <c r="I1285" s="5">
        <f>+G1285-H1285</f>
        <v>-1505103.2882981747</v>
      </c>
      <c r="J1285" s="5">
        <v>3000000</v>
      </c>
      <c r="K1285" s="5">
        <v>5270000</v>
      </c>
      <c r="L1285" s="5">
        <v>5570000</v>
      </c>
      <c r="M1285" s="7">
        <v>1824.9</v>
      </c>
      <c r="N1285" s="5">
        <v>53200000</v>
      </c>
      <c r="O1285" s="5">
        <v>56200000</v>
      </c>
      <c r="P1285" s="3">
        <v>0.97916666666666663</v>
      </c>
    </row>
    <row r="1286" spans="1:16" x14ac:dyDescent="0.25">
      <c r="A1286" s="2">
        <v>44532</v>
      </c>
      <c r="B1286" s="2">
        <v>44239</v>
      </c>
      <c r="C1286" t="str">
        <f>+"Tuáº§n "&amp;WEEKNUM(B1286)</f>
        <v>Tuáº§n 7</v>
      </c>
      <c r="D1286" t="s">
        <v>21</v>
      </c>
      <c r="E1286" t="s">
        <v>17</v>
      </c>
      <c r="F1286" s="5">
        <v>52600000</v>
      </c>
      <c r="G1286" s="5">
        <v>55600000</v>
      </c>
      <c r="H1286" s="5">
        <f>+(M1286*26000)/0.829426</f>
        <v>57101658.255227111</v>
      </c>
      <c r="I1286" s="5">
        <f>+G1286-H1286</f>
        <v>-1501658.2552271113</v>
      </c>
      <c r="J1286" s="5">
        <v>3000000</v>
      </c>
      <c r="K1286" s="5">
        <v>5260000</v>
      </c>
      <c r="L1286" s="5">
        <v>5560000</v>
      </c>
      <c r="M1286" s="7">
        <v>1821.6</v>
      </c>
      <c r="N1286" s="5">
        <v>53100000</v>
      </c>
      <c r="O1286" s="5">
        <v>56100000</v>
      </c>
      <c r="P1286" s="3">
        <v>0.97916666666666663</v>
      </c>
    </row>
    <row r="1287" spans="1:16" x14ac:dyDescent="0.25">
      <c r="A1287" t="s">
        <v>796</v>
      </c>
      <c r="B1287" s="2">
        <v>44243</v>
      </c>
      <c r="C1287" t="str">
        <f>+"Tuáº§n "&amp;WEEKNUM(B1287)</f>
        <v>Tuáº§n 8</v>
      </c>
      <c r="D1287" t="s">
        <v>18</v>
      </c>
      <c r="E1287" t="s">
        <v>17</v>
      </c>
      <c r="F1287" s="5">
        <v>51800000</v>
      </c>
      <c r="G1287" s="5">
        <v>54800000</v>
      </c>
      <c r="H1287" s="5">
        <f>+(M1287*26000)/0.829426</f>
        <v>56336791.950095609</v>
      </c>
      <c r="I1287" s="5">
        <f>+G1287-H1287</f>
        <v>-1536791.9500956088</v>
      </c>
      <c r="J1287" s="5">
        <v>3000000</v>
      </c>
      <c r="K1287" s="5">
        <v>5180000</v>
      </c>
      <c r="L1287" s="5">
        <v>5480000</v>
      </c>
      <c r="M1287" s="7">
        <v>1797.2</v>
      </c>
      <c r="N1287" s="5">
        <v>52300000</v>
      </c>
      <c r="O1287" s="5">
        <v>55300000</v>
      </c>
      <c r="P1287" s="3">
        <v>0.97916666666666663</v>
      </c>
    </row>
    <row r="1288" spans="1:16" x14ac:dyDescent="0.25">
      <c r="A1288" t="s">
        <v>797</v>
      </c>
      <c r="B1288" s="2">
        <v>44244</v>
      </c>
      <c r="C1288" t="str">
        <f>+"Tuáº§n "&amp;WEEKNUM(B1288)</f>
        <v>Tuáº§n 8</v>
      </c>
      <c r="D1288" t="s">
        <v>19</v>
      </c>
      <c r="E1288" t="s">
        <v>17</v>
      </c>
      <c r="F1288" s="5">
        <v>51000000</v>
      </c>
      <c r="G1288" s="5">
        <v>54000000</v>
      </c>
      <c r="H1288" s="5">
        <f>+(M1288*26000)/0.829426</f>
        <v>55518635.779442653</v>
      </c>
      <c r="I1288" s="5">
        <f>+G1288-H1288</f>
        <v>-1518635.7794426531</v>
      </c>
      <c r="J1288" s="5">
        <v>3000000</v>
      </c>
      <c r="K1288" s="5">
        <v>5100000</v>
      </c>
      <c r="L1288" s="5">
        <v>5400000</v>
      </c>
      <c r="M1288" s="7">
        <v>1771.1</v>
      </c>
      <c r="N1288" s="5">
        <v>51500000</v>
      </c>
      <c r="O1288" s="5">
        <v>54500000</v>
      </c>
      <c r="P1288" s="3">
        <v>0.97916666666666663</v>
      </c>
    </row>
    <row r="1289" spans="1:16" x14ac:dyDescent="0.25">
      <c r="A1289" t="s">
        <v>798</v>
      </c>
      <c r="B1289" s="2">
        <v>44245</v>
      </c>
      <c r="C1289" t="str">
        <f>+"Tuáº§n "&amp;WEEKNUM(B1289)</f>
        <v>Tuáº§n 8</v>
      </c>
      <c r="D1289" t="s">
        <v>20</v>
      </c>
      <c r="E1289" t="s">
        <v>17</v>
      </c>
      <c r="F1289" s="5">
        <v>51100000</v>
      </c>
      <c r="G1289" s="5">
        <v>54100000</v>
      </c>
      <c r="H1289" s="5">
        <f>+(M1289*26000)/0.829426</f>
        <v>55590733.83279521</v>
      </c>
      <c r="I1289" s="5">
        <f>+G1289-H1289</f>
        <v>-1490733.8327952102</v>
      </c>
      <c r="J1289" s="5">
        <v>3000000</v>
      </c>
      <c r="K1289" s="5">
        <v>5110000</v>
      </c>
      <c r="L1289" s="5">
        <v>5410000</v>
      </c>
      <c r="M1289" s="7">
        <v>1773.4</v>
      </c>
      <c r="N1289" s="5">
        <v>51600000</v>
      </c>
      <c r="O1289" s="5">
        <v>54600000</v>
      </c>
      <c r="P1289" s="3">
        <v>0.97916666666666663</v>
      </c>
    </row>
    <row r="1290" spans="1:16" x14ac:dyDescent="0.25">
      <c r="A1290" t="s">
        <v>799</v>
      </c>
      <c r="B1290" s="2">
        <v>44246</v>
      </c>
      <c r="C1290" t="str">
        <f>+"Tuáº§n "&amp;WEEKNUM(B1290)</f>
        <v>Tuáº§n 8</v>
      </c>
      <c r="D1290" t="s">
        <v>21</v>
      </c>
      <c r="E1290" t="s">
        <v>17</v>
      </c>
      <c r="F1290" s="5">
        <v>51200000</v>
      </c>
      <c r="G1290" s="5">
        <v>54200000</v>
      </c>
      <c r="H1290" s="5">
        <f>+(M1290*26000)/0.829426</f>
        <v>55665966.584119618</v>
      </c>
      <c r="I1290" s="5">
        <f>+G1290-H1290</f>
        <v>-1465966.5841196179</v>
      </c>
      <c r="J1290" s="5">
        <v>3000000</v>
      </c>
      <c r="K1290" s="5">
        <v>5120000</v>
      </c>
      <c r="L1290" s="5">
        <v>5420000</v>
      </c>
      <c r="M1290" s="7">
        <v>1775.8</v>
      </c>
      <c r="N1290" s="5">
        <v>51700000</v>
      </c>
      <c r="O1290" s="5">
        <v>54700000</v>
      </c>
      <c r="P1290" s="3">
        <v>0.97916666666666663</v>
      </c>
    </row>
    <row r="1291" spans="1:16" x14ac:dyDescent="0.25">
      <c r="A1291" t="s">
        <v>800</v>
      </c>
      <c r="B1291" s="2">
        <v>44249</v>
      </c>
      <c r="C1291" t="str">
        <f>+"Tuáº§n "&amp;WEEKNUM(B1291)</f>
        <v>Tuáº§n 9</v>
      </c>
      <c r="D1291" t="s">
        <v>16</v>
      </c>
      <c r="E1291" t="s">
        <v>17</v>
      </c>
      <c r="F1291" s="5">
        <v>52100000</v>
      </c>
      <c r="G1291" s="5">
        <v>55100000</v>
      </c>
      <c r="H1291" s="5">
        <f>+(M1291*26000)/0.829426</f>
        <v>56634588.257421397</v>
      </c>
      <c r="I1291" s="5">
        <f>+G1291-H1291</f>
        <v>-1534588.2574213967</v>
      </c>
      <c r="J1291" s="5">
        <v>3000000</v>
      </c>
      <c r="K1291" s="5">
        <v>5210000</v>
      </c>
      <c r="L1291" s="5">
        <v>5510000</v>
      </c>
      <c r="M1291" s="7">
        <v>1806.7</v>
      </c>
      <c r="N1291" s="5">
        <v>52600000</v>
      </c>
      <c r="O1291" s="5">
        <v>55600000</v>
      </c>
      <c r="P1291" s="3">
        <v>0.97916666666666663</v>
      </c>
    </row>
    <row r="1292" spans="1:16" x14ac:dyDescent="0.25">
      <c r="A1292" t="s">
        <v>801</v>
      </c>
      <c r="B1292" s="2">
        <v>44250</v>
      </c>
      <c r="C1292" t="str">
        <f>+"Tuáº§n "&amp;WEEKNUM(B1292)</f>
        <v>Tuáº§n 9</v>
      </c>
      <c r="D1292" t="s">
        <v>18</v>
      </c>
      <c r="E1292" t="s">
        <v>17</v>
      </c>
      <c r="F1292" s="5">
        <v>52000000</v>
      </c>
      <c r="G1292" s="5">
        <v>55000000</v>
      </c>
      <c r="H1292" s="5">
        <f>+(M1292*26000)/0.829426</f>
        <v>56562490.20406884</v>
      </c>
      <c r="I1292" s="5">
        <f>+G1292-H1292</f>
        <v>-1562490.2040688396</v>
      </c>
      <c r="J1292" s="5">
        <v>3000000</v>
      </c>
      <c r="K1292" s="5">
        <v>5200000</v>
      </c>
      <c r="L1292" s="5">
        <v>5500000</v>
      </c>
      <c r="M1292" s="7">
        <v>1804.4</v>
      </c>
      <c r="N1292" s="5">
        <v>52500000</v>
      </c>
      <c r="O1292" s="5">
        <v>55500000</v>
      </c>
      <c r="P1292" s="3">
        <v>0.97916666666666663</v>
      </c>
    </row>
    <row r="1293" spans="1:16" x14ac:dyDescent="0.25">
      <c r="A1293" t="s">
        <v>802</v>
      </c>
      <c r="B1293" s="2">
        <v>44251</v>
      </c>
      <c r="C1293" t="str">
        <f>+"Tuáº§n "&amp;WEEKNUM(B1293)</f>
        <v>Tuáº§n 9</v>
      </c>
      <c r="D1293" t="s">
        <v>19</v>
      </c>
      <c r="E1293" t="s">
        <v>17</v>
      </c>
      <c r="F1293" s="5">
        <v>51800000</v>
      </c>
      <c r="G1293" s="5">
        <v>54800000</v>
      </c>
      <c r="H1293" s="5">
        <f>+(M1293*26000)/0.829426</f>
        <v>56311714.366320804</v>
      </c>
      <c r="I1293" s="5">
        <f>+G1293-H1293</f>
        <v>-1511714.3663208038</v>
      </c>
      <c r="J1293" s="5">
        <v>3000000</v>
      </c>
      <c r="K1293" s="5">
        <v>5180000</v>
      </c>
      <c r="L1293" s="5">
        <v>5480000</v>
      </c>
      <c r="M1293" s="7">
        <v>1796.4</v>
      </c>
      <c r="N1293" s="5">
        <v>52300000</v>
      </c>
      <c r="O1293" s="5">
        <v>55300000</v>
      </c>
      <c r="P1293" s="3">
        <v>0.97916666666666663</v>
      </c>
    </row>
    <row r="1294" spans="1:16" x14ac:dyDescent="0.25">
      <c r="A1294" t="s">
        <v>803</v>
      </c>
      <c r="B1294" s="2">
        <v>44252</v>
      </c>
      <c r="C1294" t="str">
        <f>+"Tuáº§n "&amp;WEEKNUM(B1294)</f>
        <v>Tuáº§n 9</v>
      </c>
      <c r="D1294" t="s">
        <v>20</v>
      </c>
      <c r="E1294" t="s">
        <v>17</v>
      </c>
      <c r="F1294" s="5">
        <v>51100000</v>
      </c>
      <c r="G1294" s="5">
        <v>54100000</v>
      </c>
      <c r="H1294" s="5">
        <f>+(M1294*26000)/0.829426</f>
        <v>55622080.812513717</v>
      </c>
      <c r="I1294" s="5">
        <f>+G1294-H1294</f>
        <v>-1522080.8125137165</v>
      </c>
      <c r="J1294" s="5">
        <v>3000000</v>
      </c>
      <c r="K1294" s="5">
        <v>5110000</v>
      </c>
      <c r="L1294" s="5">
        <v>5410000</v>
      </c>
      <c r="M1294" s="7">
        <v>1774.4</v>
      </c>
      <c r="N1294" s="5">
        <v>51600000</v>
      </c>
      <c r="O1294" s="5">
        <v>54600000</v>
      </c>
      <c r="P1294" s="3">
        <v>0.97916666666666663</v>
      </c>
    </row>
    <row r="1295" spans="1:16" x14ac:dyDescent="0.25">
      <c r="A1295" t="s">
        <v>804</v>
      </c>
      <c r="B1295" s="2">
        <v>44253</v>
      </c>
      <c r="C1295" t="str">
        <f>+"Tuáº§n "&amp;WEEKNUM(B1295)</f>
        <v>Tuáº§n 9</v>
      </c>
      <c r="D1295" t="s">
        <v>21</v>
      </c>
      <c r="E1295" t="s">
        <v>17</v>
      </c>
      <c r="F1295" s="5">
        <v>49700000</v>
      </c>
      <c r="G1295" s="5">
        <v>52700000</v>
      </c>
      <c r="H1295" s="5">
        <f>+(M1295*26000)/0.829426</f>
        <v>54170715.65154697</v>
      </c>
      <c r="I1295" s="5">
        <f>+G1295-H1295</f>
        <v>-1470715.65154697</v>
      </c>
      <c r="J1295" s="5">
        <v>3000000</v>
      </c>
      <c r="K1295" s="5">
        <v>4970000</v>
      </c>
      <c r="L1295" s="5">
        <v>5270000</v>
      </c>
      <c r="M1295" s="7">
        <v>1728.1</v>
      </c>
      <c r="N1295" s="5">
        <v>50200000</v>
      </c>
      <c r="O1295" s="5">
        <v>53200000</v>
      </c>
      <c r="P1295" s="3">
        <v>0.97916666666666663</v>
      </c>
    </row>
    <row r="1296" spans="1:16" x14ac:dyDescent="0.25">
      <c r="A1296" s="2">
        <v>44199</v>
      </c>
      <c r="B1296" s="2">
        <v>44256</v>
      </c>
      <c r="C1296" t="str">
        <f>+"Tuáº§n "&amp;WEEKNUM(B1296)</f>
        <v>Tuáº§n 10</v>
      </c>
      <c r="D1296" t="s">
        <v>16</v>
      </c>
      <c r="E1296" t="s">
        <v>17</v>
      </c>
      <c r="F1296" s="5">
        <v>49500000</v>
      </c>
      <c r="G1296" s="5">
        <v>52500000</v>
      </c>
      <c r="H1296" s="5">
        <f>+(M1296*26000)/0.829426</f>
        <v>53995172.565123349</v>
      </c>
      <c r="I1296" s="5">
        <f>+G1296-H1296</f>
        <v>-1495172.5651233494</v>
      </c>
      <c r="J1296" s="5">
        <v>3000000</v>
      </c>
      <c r="K1296" s="5">
        <v>4950000</v>
      </c>
      <c r="L1296" s="5">
        <v>5250000</v>
      </c>
      <c r="M1296" s="7">
        <v>1722.5</v>
      </c>
      <c r="N1296" s="5">
        <v>50000000</v>
      </c>
      <c r="O1296" s="5">
        <v>53000000</v>
      </c>
      <c r="P1296" s="3">
        <v>0.97916666666666663</v>
      </c>
    </row>
    <row r="1297" spans="1:16" x14ac:dyDescent="0.25">
      <c r="A1297" s="2">
        <v>44230</v>
      </c>
      <c r="B1297" s="2">
        <v>44257</v>
      </c>
      <c r="C1297" t="str">
        <f>+"Tuáº§n "&amp;WEEKNUM(B1297)</f>
        <v>Tuáº§n 10</v>
      </c>
      <c r="D1297" t="s">
        <v>18</v>
      </c>
      <c r="E1297" t="s">
        <v>17</v>
      </c>
      <c r="F1297" s="5">
        <v>49900000</v>
      </c>
      <c r="G1297" s="5">
        <v>52900000</v>
      </c>
      <c r="H1297" s="5">
        <f>+(M1297*26000)/0.829426</f>
        <v>54327450.550139494</v>
      </c>
      <c r="I1297" s="5">
        <f>+G1297-H1297</f>
        <v>-1427450.5501394942</v>
      </c>
      <c r="J1297" s="5">
        <v>3000000</v>
      </c>
      <c r="K1297" s="5">
        <v>4990000</v>
      </c>
      <c r="L1297" s="5">
        <v>5290000</v>
      </c>
      <c r="M1297" s="7">
        <v>1733.1</v>
      </c>
      <c r="N1297" s="5">
        <v>50400000</v>
      </c>
      <c r="O1297" s="5">
        <v>53400000</v>
      </c>
      <c r="P1297" s="3">
        <v>0.97916666666666663</v>
      </c>
    </row>
    <row r="1298" spans="1:16" x14ac:dyDescent="0.25">
      <c r="A1298" s="2">
        <v>44258</v>
      </c>
      <c r="B1298" s="2">
        <v>44258</v>
      </c>
      <c r="C1298" t="str">
        <f>+"Tuáº§n "&amp;WEEKNUM(B1298)</f>
        <v>Tuáº§n 10</v>
      </c>
      <c r="D1298" t="s">
        <v>19</v>
      </c>
      <c r="E1298" t="s">
        <v>17</v>
      </c>
      <c r="F1298" s="5">
        <v>49300000</v>
      </c>
      <c r="G1298" s="5">
        <v>52300000</v>
      </c>
      <c r="H1298" s="5">
        <f>+(M1298*26000)/0.829426</f>
        <v>53769474.311150119</v>
      </c>
      <c r="I1298" s="5">
        <f>+G1298-H1298</f>
        <v>-1469474.3111501187</v>
      </c>
      <c r="J1298" s="5">
        <v>3000000</v>
      </c>
      <c r="K1298" s="5">
        <v>4930000</v>
      </c>
      <c r="L1298" s="5">
        <v>5230000</v>
      </c>
      <c r="M1298" s="7">
        <v>1715.3</v>
      </c>
      <c r="N1298" s="5">
        <v>49800000</v>
      </c>
      <c r="O1298" s="5">
        <v>52800000</v>
      </c>
      <c r="P1298" s="3">
        <v>0.97916666666666663</v>
      </c>
    </row>
    <row r="1299" spans="1:16" x14ac:dyDescent="0.25">
      <c r="A1299" s="2">
        <v>44289</v>
      </c>
      <c r="B1299" s="2">
        <v>44259</v>
      </c>
      <c r="C1299" t="str">
        <f>+"Tuáº§n "&amp;WEEKNUM(B1299)</f>
        <v>Tuáº§n 10</v>
      </c>
      <c r="D1299" t="s">
        <v>20</v>
      </c>
      <c r="E1299" t="s">
        <v>17</v>
      </c>
      <c r="F1299" s="5">
        <v>48900000</v>
      </c>
      <c r="G1299" s="5">
        <v>51900000</v>
      </c>
      <c r="H1299" s="5">
        <f>+(M1299*26000)/0.829426</f>
        <v>53296134.91740071</v>
      </c>
      <c r="I1299" s="5">
        <f>+G1299-H1299</f>
        <v>-1396134.9174007103</v>
      </c>
      <c r="J1299" s="5">
        <v>3000000</v>
      </c>
      <c r="K1299" s="5">
        <v>4890000</v>
      </c>
      <c r="L1299" s="5">
        <v>5190000</v>
      </c>
      <c r="M1299" s="7">
        <v>1700.2</v>
      </c>
      <c r="N1299" s="5">
        <v>49400000</v>
      </c>
      <c r="O1299" s="5">
        <v>52400000</v>
      </c>
      <c r="P1299" s="3">
        <v>0.97916666666666663</v>
      </c>
    </row>
    <row r="1300" spans="1:16" x14ac:dyDescent="0.25">
      <c r="A1300" s="2">
        <v>44319</v>
      </c>
      <c r="B1300" s="2">
        <v>44260</v>
      </c>
      <c r="C1300" t="str">
        <f>+"Tuáº§n "&amp;WEEKNUM(B1300)</f>
        <v>Tuáº§n 10</v>
      </c>
      <c r="D1300" t="s">
        <v>21</v>
      </c>
      <c r="E1300" t="s">
        <v>17</v>
      </c>
      <c r="F1300" s="5">
        <v>48800000</v>
      </c>
      <c r="G1300" s="5">
        <v>51800000</v>
      </c>
      <c r="H1300" s="5">
        <f>+(M1300*26000)/0.829426</f>
        <v>53227171.562019996</v>
      </c>
      <c r="I1300" s="5">
        <f>+G1300-H1300</f>
        <v>-1427171.5620199963</v>
      </c>
      <c r="J1300" s="5">
        <v>3000000</v>
      </c>
      <c r="K1300" s="5">
        <v>4880000</v>
      </c>
      <c r="L1300" s="5">
        <v>5180000</v>
      </c>
      <c r="M1300" s="7">
        <v>1698</v>
      </c>
      <c r="N1300" s="5">
        <v>49300000</v>
      </c>
      <c r="O1300" s="5">
        <v>52300000</v>
      </c>
      <c r="P1300" s="3">
        <v>0.97916666666666663</v>
      </c>
    </row>
    <row r="1301" spans="1:16" x14ac:dyDescent="0.25">
      <c r="A1301" s="2">
        <v>44411</v>
      </c>
      <c r="B1301" s="2">
        <v>44263</v>
      </c>
      <c r="C1301" t="str">
        <f>+"Tuáº§n "&amp;WEEKNUM(B1301)</f>
        <v>Tuáº§n 11</v>
      </c>
      <c r="D1301" t="s">
        <v>16</v>
      </c>
      <c r="E1301" t="s">
        <v>17</v>
      </c>
      <c r="F1301" s="5">
        <v>48200000</v>
      </c>
      <c r="G1301" s="5">
        <v>51200000</v>
      </c>
      <c r="H1301" s="5">
        <f>+(M1301*26000)/0.829426</f>
        <v>52590827.873734362</v>
      </c>
      <c r="I1301" s="5">
        <f>+G1301-H1301</f>
        <v>-1390827.8737343624</v>
      </c>
      <c r="J1301" s="5">
        <v>3000000</v>
      </c>
      <c r="K1301" s="5">
        <v>4820000</v>
      </c>
      <c r="L1301" s="5">
        <v>5120000</v>
      </c>
      <c r="M1301" s="7">
        <v>1677.7</v>
      </c>
      <c r="N1301" s="5">
        <v>48700000</v>
      </c>
      <c r="O1301" s="5">
        <v>51700000</v>
      </c>
      <c r="P1301" s="3">
        <v>0.97916666666666663</v>
      </c>
    </row>
    <row r="1302" spans="1:16" x14ac:dyDescent="0.25">
      <c r="A1302" s="2">
        <v>44442</v>
      </c>
      <c r="B1302" s="2">
        <v>44264</v>
      </c>
      <c r="C1302" t="str">
        <f>+"Tuáº§n "&amp;WEEKNUM(B1302)</f>
        <v>Tuáº§n 11</v>
      </c>
      <c r="D1302" t="s">
        <v>18</v>
      </c>
      <c r="E1302" t="s">
        <v>17</v>
      </c>
      <c r="F1302" s="5">
        <v>49400000</v>
      </c>
      <c r="G1302" s="5">
        <v>52400000</v>
      </c>
      <c r="H1302" s="5">
        <f>+(M1302*26000)/0.829426</f>
        <v>53810225.384784177</v>
      </c>
      <c r="I1302" s="5">
        <f>+G1302-H1302</f>
        <v>-1410225.3847841769</v>
      </c>
      <c r="J1302" s="5">
        <v>3000000</v>
      </c>
      <c r="K1302" s="5">
        <v>4940000</v>
      </c>
      <c r="L1302" s="5">
        <v>5240000</v>
      </c>
      <c r="M1302" s="7">
        <v>1716.6</v>
      </c>
      <c r="N1302" s="5">
        <v>49900000</v>
      </c>
      <c r="O1302" s="5">
        <v>52900000</v>
      </c>
      <c r="P1302" s="3">
        <v>0.97916666666666663</v>
      </c>
    </row>
    <row r="1303" spans="1:16" x14ac:dyDescent="0.25">
      <c r="A1303" s="2">
        <v>44472</v>
      </c>
      <c r="B1303" s="2">
        <v>44265</v>
      </c>
      <c r="C1303" t="str">
        <f>+"Tuáº§n "&amp;WEEKNUM(B1303)</f>
        <v>Tuáº§n 11</v>
      </c>
      <c r="D1303" t="s">
        <v>19</v>
      </c>
      <c r="E1303" t="s">
        <v>17</v>
      </c>
      <c r="F1303" s="5">
        <v>49500000</v>
      </c>
      <c r="G1303" s="5">
        <v>52500000</v>
      </c>
      <c r="H1303" s="5">
        <f>+(M1303*26000)/0.829426</f>
        <v>53963825.585404843</v>
      </c>
      <c r="I1303" s="5">
        <f>+G1303-H1303</f>
        <v>-1463825.5854048431</v>
      </c>
      <c r="J1303" s="5">
        <v>3000000</v>
      </c>
      <c r="K1303" s="5">
        <v>4950000</v>
      </c>
      <c r="L1303" s="5">
        <v>5250000</v>
      </c>
      <c r="M1303" s="7">
        <v>1721.5</v>
      </c>
      <c r="N1303" s="5">
        <v>50000000</v>
      </c>
      <c r="O1303" s="5">
        <v>53000000</v>
      </c>
      <c r="P1303" s="3">
        <v>0.97916666666666663</v>
      </c>
    </row>
    <row r="1304" spans="1:16" x14ac:dyDescent="0.25">
      <c r="A1304" s="2">
        <v>44503</v>
      </c>
      <c r="B1304" s="2">
        <v>44266</v>
      </c>
      <c r="C1304" t="str">
        <f>+"Tuáº§n "&amp;WEEKNUM(B1304)</f>
        <v>Tuáº§n 11</v>
      </c>
      <c r="D1304" t="s">
        <v>20</v>
      </c>
      <c r="E1304" t="s">
        <v>17</v>
      </c>
      <c r="F1304" s="5">
        <v>49500000</v>
      </c>
      <c r="G1304" s="5">
        <v>52500000</v>
      </c>
      <c r="H1304" s="5">
        <f>+(M1304*26000)/0.829426</f>
        <v>53988903.169179648</v>
      </c>
      <c r="I1304" s="5">
        <f>+G1304-H1304</f>
        <v>-1488903.1691796482</v>
      </c>
      <c r="J1304" s="5">
        <v>3000000</v>
      </c>
      <c r="K1304" s="5">
        <v>4950000</v>
      </c>
      <c r="L1304" s="5">
        <v>5250000</v>
      </c>
      <c r="M1304" s="7">
        <v>1722.3</v>
      </c>
      <c r="N1304" s="5">
        <v>50000000</v>
      </c>
      <c r="O1304" s="5">
        <v>53000000</v>
      </c>
      <c r="P1304" s="3">
        <v>0.97916666666666663</v>
      </c>
    </row>
    <row r="1305" spans="1:16" x14ac:dyDescent="0.25">
      <c r="A1305" s="2">
        <v>44533</v>
      </c>
      <c r="B1305" s="2">
        <v>44267</v>
      </c>
      <c r="C1305" t="str">
        <f>+"Tuáº§n "&amp;WEEKNUM(B1305)</f>
        <v>Tuáº§n 11</v>
      </c>
      <c r="D1305" t="s">
        <v>21</v>
      </c>
      <c r="E1305" t="s">
        <v>17</v>
      </c>
      <c r="F1305" s="5">
        <v>49400000</v>
      </c>
      <c r="G1305" s="5">
        <v>52400000</v>
      </c>
      <c r="H1305" s="5">
        <f>+(M1305*26000)/0.829426</f>
        <v>53901131.625967838</v>
      </c>
      <c r="I1305" s="5">
        <f>+G1305-H1305</f>
        <v>-1501131.6259678379</v>
      </c>
      <c r="J1305" s="5">
        <v>3000000</v>
      </c>
      <c r="K1305" s="5">
        <v>4940000</v>
      </c>
      <c r="L1305" s="5">
        <v>5240000</v>
      </c>
      <c r="M1305" s="7">
        <v>1719.5</v>
      </c>
      <c r="N1305" s="5">
        <v>49900000</v>
      </c>
      <c r="O1305" s="5">
        <v>52900000</v>
      </c>
      <c r="P1305" s="3">
        <v>0.97916666666666663</v>
      </c>
    </row>
    <row r="1306" spans="1:16" x14ac:dyDescent="0.25">
      <c r="A1306" t="s">
        <v>805</v>
      </c>
      <c r="B1306" s="2">
        <v>44270</v>
      </c>
      <c r="C1306" t="str">
        <f>+"Tuáº§n "&amp;WEEKNUM(B1306)</f>
        <v>Tuáº§n 12</v>
      </c>
      <c r="D1306" t="s">
        <v>16</v>
      </c>
      <c r="E1306" t="s">
        <v>17</v>
      </c>
      <c r="F1306" s="5">
        <v>49700000</v>
      </c>
      <c r="G1306" s="5">
        <v>52700000</v>
      </c>
      <c r="H1306" s="5">
        <f>+(M1306*26000)/0.829426</f>
        <v>54195793.235321775</v>
      </c>
      <c r="I1306" s="5">
        <f>+G1306-H1306</f>
        <v>-1495793.2353217751</v>
      </c>
      <c r="J1306" s="5">
        <v>3000000</v>
      </c>
      <c r="K1306" s="5">
        <v>4970000</v>
      </c>
      <c r="L1306" s="5">
        <v>5270000</v>
      </c>
      <c r="M1306" s="7">
        <v>1728.9</v>
      </c>
      <c r="N1306" s="5">
        <v>50200000</v>
      </c>
      <c r="O1306" s="5">
        <v>53200000</v>
      </c>
      <c r="P1306" s="3">
        <v>0.97916666666666663</v>
      </c>
    </row>
    <row r="1307" spans="1:16" x14ac:dyDescent="0.25">
      <c r="A1307" t="s">
        <v>806</v>
      </c>
      <c r="B1307" s="2">
        <v>44271</v>
      </c>
      <c r="C1307" t="str">
        <f>+"Tuáº§n "&amp;WEEKNUM(B1307)</f>
        <v>Tuáº§n 12</v>
      </c>
      <c r="D1307" t="s">
        <v>18</v>
      </c>
      <c r="E1307" t="s">
        <v>17</v>
      </c>
      <c r="F1307" s="5">
        <v>49800000</v>
      </c>
      <c r="G1307" s="5">
        <v>52800000</v>
      </c>
      <c r="H1307" s="5">
        <f>+(M1307*26000)/0.829426</f>
        <v>54249083.100843236</v>
      </c>
      <c r="I1307" s="5">
        <f>+G1307-H1307</f>
        <v>-1449083.1008432359</v>
      </c>
      <c r="J1307" s="5">
        <v>3000000</v>
      </c>
      <c r="K1307" s="5">
        <v>4980000</v>
      </c>
      <c r="L1307" s="5">
        <v>5280000</v>
      </c>
      <c r="M1307" s="7">
        <v>1730.6</v>
      </c>
      <c r="N1307" s="5">
        <v>50300000</v>
      </c>
      <c r="O1307" s="5">
        <v>53300000</v>
      </c>
      <c r="P1307" s="3">
        <v>0.97916666666666663</v>
      </c>
    </row>
    <row r="1308" spans="1:16" x14ac:dyDescent="0.25">
      <c r="A1308" t="s">
        <v>807</v>
      </c>
      <c r="B1308" s="2">
        <v>44272</v>
      </c>
      <c r="C1308" t="str">
        <f>+"Tuáº§n "&amp;WEEKNUM(B1308)</f>
        <v>Tuáº§n 12</v>
      </c>
      <c r="D1308" t="s">
        <v>19</v>
      </c>
      <c r="E1308" t="s">
        <v>17</v>
      </c>
      <c r="F1308" s="5">
        <v>49700000</v>
      </c>
      <c r="G1308" s="5">
        <v>52700000</v>
      </c>
      <c r="H1308" s="5">
        <f>+(M1308*26000)/0.829426</f>
        <v>54129964.577912919</v>
      </c>
      <c r="I1308" s="5">
        <f>+G1308-H1308</f>
        <v>-1429964.5779129192</v>
      </c>
      <c r="J1308" s="5">
        <v>3000000</v>
      </c>
      <c r="K1308" s="5">
        <v>4970000</v>
      </c>
      <c r="L1308" s="5">
        <v>5270000</v>
      </c>
      <c r="M1308" s="7">
        <v>1726.8</v>
      </c>
      <c r="N1308" s="5">
        <v>50200000</v>
      </c>
      <c r="O1308" s="5">
        <v>53200000</v>
      </c>
      <c r="P1308" s="3">
        <v>0.97916666666666663</v>
      </c>
    </row>
    <row r="1309" spans="1:16" x14ac:dyDescent="0.25">
      <c r="A1309" t="s">
        <v>808</v>
      </c>
      <c r="B1309" s="2">
        <v>44273</v>
      </c>
      <c r="C1309" t="str">
        <f>+"Tuáº§n "&amp;WEEKNUM(B1309)</f>
        <v>Tuáº§n 12</v>
      </c>
      <c r="D1309" t="s">
        <v>20</v>
      </c>
      <c r="E1309" t="s">
        <v>17</v>
      </c>
      <c r="F1309" s="5">
        <v>49800000</v>
      </c>
      <c r="G1309" s="5">
        <v>52800000</v>
      </c>
      <c r="H1309" s="5">
        <f>+(M1309*26000)/0.829426</f>
        <v>54299238.268392839</v>
      </c>
      <c r="I1309" s="5">
        <f>+G1309-H1309</f>
        <v>-1499238.2683928385</v>
      </c>
      <c r="J1309" s="5">
        <v>3000000</v>
      </c>
      <c r="K1309" s="5">
        <v>4980000</v>
      </c>
      <c r="L1309" s="5">
        <v>5280000</v>
      </c>
      <c r="M1309" s="7">
        <v>1732.2</v>
      </c>
      <c r="N1309" s="5">
        <v>50300000</v>
      </c>
      <c r="O1309" s="5">
        <v>53300000</v>
      </c>
      <c r="P1309" s="3">
        <v>0.97916666666666663</v>
      </c>
    </row>
    <row r="1310" spans="1:16" x14ac:dyDescent="0.25">
      <c r="A1310" t="s">
        <v>809</v>
      </c>
      <c r="B1310" s="2">
        <v>44274</v>
      </c>
      <c r="C1310" t="str">
        <f>+"Tuáº§n "&amp;WEEKNUM(B1310)</f>
        <v>Tuáº§n 12</v>
      </c>
      <c r="D1310" t="s">
        <v>21</v>
      </c>
      <c r="E1310" t="s">
        <v>17</v>
      </c>
      <c r="F1310" s="5">
        <v>50100000</v>
      </c>
      <c r="G1310" s="5">
        <v>53100000</v>
      </c>
      <c r="H1310" s="5">
        <f>+(M1310*26000)/0.829426</f>
        <v>54587630.481803082</v>
      </c>
      <c r="I1310" s="5">
        <f>+G1310-H1310</f>
        <v>-1487630.4818030819</v>
      </c>
      <c r="J1310" s="5">
        <v>3000000</v>
      </c>
      <c r="K1310" s="5">
        <v>5010000</v>
      </c>
      <c r="L1310" s="5">
        <v>5310000</v>
      </c>
      <c r="M1310" s="7">
        <v>1741.4</v>
      </c>
      <c r="N1310" s="5">
        <v>50600000</v>
      </c>
      <c r="O1310" s="5">
        <v>53600000</v>
      </c>
      <c r="P1310" s="3">
        <v>0.97916666666666663</v>
      </c>
    </row>
    <row r="1311" spans="1:16" x14ac:dyDescent="0.25">
      <c r="A1311" t="s">
        <v>810</v>
      </c>
      <c r="B1311" s="2">
        <v>44277</v>
      </c>
      <c r="C1311" t="str">
        <f>+"Tuáº§n "&amp;WEEKNUM(B1311)</f>
        <v>Tuáº§n 13</v>
      </c>
      <c r="D1311" t="s">
        <v>16</v>
      </c>
      <c r="E1311" t="s">
        <v>17</v>
      </c>
      <c r="F1311" s="5">
        <v>50000000</v>
      </c>
      <c r="G1311" s="5">
        <v>53000000</v>
      </c>
      <c r="H1311" s="5">
        <f>+(M1311*26000)/0.829426</f>
        <v>54474781.354816467</v>
      </c>
      <c r="I1311" s="5">
        <f>+G1311-H1311</f>
        <v>-1474781.3548164666</v>
      </c>
      <c r="J1311" s="5">
        <v>3000000</v>
      </c>
      <c r="K1311" s="5">
        <v>5000000</v>
      </c>
      <c r="L1311" s="5">
        <v>5300000</v>
      </c>
      <c r="M1311" s="7">
        <v>1737.8</v>
      </c>
      <c r="N1311" s="5">
        <v>50500000</v>
      </c>
      <c r="O1311" s="5">
        <v>53500000</v>
      </c>
      <c r="P1311" s="3">
        <v>0.97916666666666663</v>
      </c>
    </row>
    <row r="1312" spans="1:16" x14ac:dyDescent="0.25">
      <c r="A1312" t="s">
        <v>811</v>
      </c>
      <c r="B1312" s="2">
        <v>44278</v>
      </c>
      <c r="C1312" t="str">
        <f>+"Tuáº§n "&amp;WEEKNUM(B1312)</f>
        <v>Tuáº§n 13</v>
      </c>
      <c r="D1312" t="s">
        <v>18</v>
      </c>
      <c r="E1312" t="s">
        <v>17</v>
      </c>
      <c r="F1312" s="5">
        <v>49600000</v>
      </c>
      <c r="G1312" s="5">
        <v>52600000</v>
      </c>
      <c r="H1312" s="5">
        <f>+(M1312*26000)/0.829426</f>
        <v>54064135.920504063</v>
      </c>
      <c r="I1312" s="5">
        <f>+G1312-H1312</f>
        <v>-1464135.9205040634</v>
      </c>
      <c r="J1312" s="5">
        <v>3000000</v>
      </c>
      <c r="K1312" s="5">
        <v>4960000</v>
      </c>
      <c r="L1312" s="5">
        <v>5260000</v>
      </c>
      <c r="M1312" s="7">
        <v>1724.7</v>
      </c>
      <c r="N1312" s="5">
        <v>50100000</v>
      </c>
      <c r="O1312" s="5">
        <v>53100000</v>
      </c>
      <c r="P1312" s="3">
        <v>0.97916666666666663</v>
      </c>
    </row>
    <row r="1313" spans="1:16" x14ac:dyDescent="0.25">
      <c r="A1313" t="s">
        <v>812</v>
      </c>
      <c r="B1313" s="2">
        <v>44279</v>
      </c>
      <c r="C1313" t="str">
        <f>+"Tuáº§n "&amp;WEEKNUM(B1313)</f>
        <v>Tuáº§n 13</v>
      </c>
      <c r="D1313" t="s">
        <v>19</v>
      </c>
      <c r="E1313" t="s">
        <v>17</v>
      </c>
      <c r="F1313" s="5">
        <v>49900000</v>
      </c>
      <c r="G1313" s="5">
        <v>52900000</v>
      </c>
      <c r="H1313" s="5">
        <f>+(M1313*26000)/0.829426</f>
        <v>54321181.154195793</v>
      </c>
      <c r="I1313" s="5">
        <f>+G1313-H1313</f>
        <v>-1421181.154195793</v>
      </c>
      <c r="J1313" s="5">
        <v>3000000</v>
      </c>
      <c r="K1313" s="5">
        <v>4990000</v>
      </c>
      <c r="L1313" s="5">
        <v>5290000</v>
      </c>
      <c r="M1313" s="7">
        <v>1732.9</v>
      </c>
      <c r="N1313" s="5">
        <v>50400000</v>
      </c>
      <c r="O1313" s="5">
        <v>53400000</v>
      </c>
      <c r="P1313" s="3">
        <v>0.97916666666666663</v>
      </c>
    </row>
    <row r="1314" spans="1:16" x14ac:dyDescent="0.25">
      <c r="A1314" t="s">
        <v>813</v>
      </c>
      <c r="B1314" s="2">
        <v>44280</v>
      </c>
      <c r="C1314" t="str">
        <f>+"Tuáº§n "&amp;WEEKNUM(B1314)</f>
        <v>Tuáº§n 13</v>
      </c>
      <c r="D1314" t="s">
        <v>20</v>
      </c>
      <c r="E1314" t="s">
        <v>17</v>
      </c>
      <c r="F1314" s="5">
        <v>49600000</v>
      </c>
      <c r="G1314" s="5">
        <v>52600000</v>
      </c>
      <c r="H1314" s="5">
        <f>+(M1314*26000)/0.829426</f>
        <v>54070405.316447757</v>
      </c>
      <c r="I1314" s="5">
        <f>+G1314-H1314</f>
        <v>-1470405.3164477572</v>
      </c>
      <c r="J1314" s="5">
        <v>3000000</v>
      </c>
      <c r="K1314" s="5">
        <v>4960000</v>
      </c>
      <c r="L1314" s="5">
        <v>5260000</v>
      </c>
      <c r="M1314" s="7">
        <v>1724.9</v>
      </c>
      <c r="N1314" s="5">
        <v>50100000</v>
      </c>
      <c r="O1314" s="5">
        <v>53100000</v>
      </c>
      <c r="P1314" s="3">
        <v>0.97916666666666663</v>
      </c>
    </row>
    <row r="1315" spans="1:16" x14ac:dyDescent="0.25">
      <c r="A1315" t="s">
        <v>814</v>
      </c>
      <c r="B1315" s="2">
        <v>44281</v>
      </c>
      <c r="C1315" t="str">
        <f>+"Tuáº§n "&amp;WEEKNUM(B1315)</f>
        <v>Tuáº§n 13</v>
      </c>
      <c r="D1315" t="s">
        <v>21</v>
      </c>
      <c r="E1315" t="s">
        <v>17</v>
      </c>
      <c r="F1315" s="5">
        <v>49800000</v>
      </c>
      <c r="G1315" s="5">
        <v>52800000</v>
      </c>
      <c r="H1315" s="5">
        <f>+(M1315*26000)/0.829426</f>
        <v>54299238.268392839</v>
      </c>
      <c r="I1315" s="5">
        <f>+G1315-H1315</f>
        <v>-1499238.2683928385</v>
      </c>
      <c r="J1315" s="5">
        <v>3000000</v>
      </c>
      <c r="K1315" s="5">
        <v>4980000</v>
      </c>
      <c r="L1315" s="5">
        <v>5280000</v>
      </c>
      <c r="M1315" s="7">
        <v>1732.2</v>
      </c>
      <c r="N1315" s="5">
        <v>50300000</v>
      </c>
      <c r="O1315" s="5">
        <v>53300000</v>
      </c>
      <c r="P1315" s="3">
        <v>0.97916666666666663</v>
      </c>
    </row>
    <row r="1316" spans="1:16" x14ac:dyDescent="0.25">
      <c r="A1316" t="s">
        <v>815</v>
      </c>
      <c r="B1316" s="2">
        <v>44284</v>
      </c>
      <c r="C1316" t="str">
        <f>+"Tuáº§n "&amp;WEEKNUM(B1316)</f>
        <v>Tuáº§n 14</v>
      </c>
      <c r="D1316" t="s">
        <v>16</v>
      </c>
      <c r="E1316" t="s">
        <v>17</v>
      </c>
      <c r="F1316" s="5">
        <v>49200000</v>
      </c>
      <c r="G1316" s="5">
        <v>52200000</v>
      </c>
      <c r="H1316" s="5">
        <f>+(M1316*26000)/0.829426</f>
        <v>53669163.976050906</v>
      </c>
      <c r="I1316" s="5">
        <f>+G1316-H1316</f>
        <v>-1469163.9760509059</v>
      </c>
      <c r="J1316" s="5">
        <v>3000000</v>
      </c>
      <c r="K1316" s="5">
        <v>4920000</v>
      </c>
      <c r="L1316" s="5">
        <v>5220000</v>
      </c>
      <c r="M1316" s="7">
        <v>1712.1</v>
      </c>
      <c r="N1316" s="5">
        <v>49700000</v>
      </c>
      <c r="O1316" s="5">
        <v>52700000</v>
      </c>
      <c r="P1316" s="3">
        <v>0.97916666666666663</v>
      </c>
    </row>
    <row r="1317" spans="1:16" x14ac:dyDescent="0.25">
      <c r="A1317" t="s">
        <v>816</v>
      </c>
      <c r="B1317" s="2">
        <v>44285</v>
      </c>
      <c r="C1317" t="str">
        <f>+"Tuáº§n "&amp;WEEKNUM(B1317)</f>
        <v>Tuáº§n 14</v>
      </c>
      <c r="D1317" t="s">
        <v>18</v>
      </c>
      <c r="E1317" t="s">
        <v>17</v>
      </c>
      <c r="F1317" s="5">
        <v>48400000</v>
      </c>
      <c r="G1317" s="5">
        <v>51400000</v>
      </c>
      <c r="H1317" s="5">
        <f>+(M1317*26000)/0.829426</f>
        <v>52785179.147989094</v>
      </c>
      <c r="I1317" s="5">
        <f>+G1317-H1317</f>
        <v>-1385179.1479890943</v>
      </c>
      <c r="J1317" s="5">
        <v>3000000</v>
      </c>
      <c r="K1317" s="5">
        <v>4840000</v>
      </c>
      <c r="L1317" s="5">
        <v>5140000</v>
      </c>
      <c r="M1317" s="7">
        <v>1683.9</v>
      </c>
      <c r="N1317" s="5">
        <v>48900000</v>
      </c>
      <c r="O1317" s="5">
        <v>51900000</v>
      </c>
      <c r="P1317" s="3">
        <v>0.97916666666666663</v>
      </c>
    </row>
    <row r="1318" spans="1:16" x14ac:dyDescent="0.25">
      <c r="A1318" t="s">
        <v>817</v>
      </c>
      <c r="B1318" s="2">
        <v>44286</v>
      </c>
      <c r="C1318" t="str">
        <f>+"Tuáº§n "&amp;WEEKNUM(B1318)</f>
        <v>Tuáº§n 14</v>
      </c>
      <c r="D1318" t="s">
        <v>19</v>
      </c>
      <c r="E1318" t="s">
        <v>17</v>
      </c>
      <c r="F1318" s="5">
        <v>49300000</v>
      </c>
      <c r="G1318" s="5">
        <v>52300000</v>
      </c>
      <c r="H1318" s="5">
        <f>+(M1318*26000)/0.829426</f>
        <v>53722453.841572367</v>
      </c>
      <c r="I1318" s="5">
        <f>+G1318-H1318</f>
        <v>-1422453.8415723667</v>
      </c>
      <c r="J1318" s="5">
        <v>3000000</v>
      </c>
      <c r="K1318" s="5">
        <v>4930000</v>
      </c>
      <c r="L1318" s="5">
        <v>5230000</v>
      </c>
      <c r="M1318" s="7">
        <v>1713.8</v>
      </c>
      <c r="N1318" s="5">
        <v>49800000</v>
      </c>
      <c r="O1318" s="5">
        <v>52800000</v>
      </c>
      <c r="P1318" s="3">
        <v>0.97916666666666663</v>
      </c>
    </row>
    <row r="1319" spans="1:16" x14ac:dyDescent="0.25">
      <c r="A1319" s="2">
        <v>44200</v>
      </c>
      <c r="B1319" s="2">
        <v>44287</v>
      </c>
      <c r="C1319" t="str">
        <f>+"Tuáº§n "&amp;WEEKNUM(B1319)</f>
        <v>Tuáº§n 14</v>
      </c>
      <c r="D1319" t="s">
        <v>20</v>
      </c>
      <c r="E1319" t="s">
        <v>17</v>
      </c>
      <c r="F1319" s="5">
        <v>49700000</v>
      </c>
      <c r="G1319" s="5">
        <v>52700000</v>
      </c>
      <c r="H1319" s="5">
        <f>+(M1319*26000)/0.829426</f>
        <v>54120560.483997367</v>
      </c>
      <c r="I1319" s="5">
        <f>+G1319-H1319</f>
        <v>-1420560.4839973673</v>
      </c>
      <c r="J1319" s="5">
        <v>3000000</v>
      </c>
      <c r="K1319" s="5">
        <v>4970000</v>
      </c>
      <c r="L1319" s="5">
        <v>5270000</v>
      </c>
      <c r="M1319" s="7">
        <v>1726.5</v>
      </c>
      <c r="N1319" s="5">
        <v>50200000</v>
      </c>
      <c r="O1319" s="5">
        <v>53200000</v>
      </c>
      <c r="P1319" s="3">
        <v>0.97916666666666663</v>
      </c>
    </row>
    <row r="1320" spans="1:16" x14ac:dyDescent="0.25">
      <c r="A1320" s="2">
        <v>44320</v>
      </c>
      <c r="B1320" s="2">
        <v>44291</v>
      </c>
      <c r="C1320" t="str">
        <f>+"Tuáº§n "&amp;WEEKNUM(B1320)</f>
        <v>Tuáº§n 15</v>
      </c>
      <c r="D1320" t="s">
        <v>16</v>
      </c>
      <c r="E1320" t="s">
        <v>17</v>
      </c>
      <c r="F1320" s="5">
        <v>49700000</v>
      </c>
      <c r="G1320" s="5">
        <v>52700000</v>
      </c>
      <c r="H1320" s="5">
        <f>+(M1320*26000)/0.829426</f>
        <v>54136233.97385662</v>
      </c>
      <c r="I1320" s="5">
        <f>+G1320-H1320</f>
        <v>-1436233.9738566205</v>
      </c>
      <c r="J1320" s="5">
        <v>3000000</v>
      </c>
      <c r="K1320" s="5">
        <v>4970000</v>
      </c>
      <c r="L1320" s="5">
        <v>5270000</v>
      </c>
      <c r="M1320" s="7">
        <v>1727</v>
      </c>
      <c r="N1320" s="5">
        <v>50200000</v>
      </c>
      <c r="O1320" s="5">
        <v>53200000</v>
      </c>
      <c r="P1320" s="3">
        <v>0.97916666666666663</v>
      </c>
    </row>
    <row r="1321" spans="1:16" x14ac:dyDescent="0.25">
      <c r="A1321" s="2">
        <v>44351</v>
      </c>
      <c r="B1321" s="2">
        <v>44292</v>
      </c>
      <c r="C1321" t="str">
        <f>+"Tuáº§n "&amp;WEEKNUM(B1321)</f>
        <v>Tuáº§n 15</v>
      </c>
      <c r="D1321" t="s">
        <v>18</v>
      </c>
      <c r="E1321" t="s">
        <v>17</v>
      </c>
      <c r="F1321" s="5">
        <v>50100000</v>
      </c>
      <c r="G1321" s="5">
        <v>53100000</v>
      </c>
      <c r="H1321" s="5">
        <f>+(M1321*26000)/0.829426</f>
        <v>54590765.179774933</v>
      </c>
      <c r="I1321" s="5">
        <f>+G1321-H1321</f>
        <v>-1490765.1797749326</v>
      </c>
      <c r="J1321" s="5">
        <v>3000000</v>
      </c>
      <c r="K1321" s="5">
        <v>5010000</v>
      </c>
      <c r="L1321" s="5">
        <v>5310000</v>
      </c>
      <c r="M1321" s="7">
        <v>1741.5</v>
      </c>
      <c r="N1321" s="5">
        <v>50600000</v>
      </c>
      <c r="O1321" s="5">
        <v>53600000</v>
      </c>
      <c r="P1321" s="3">
        <v>0.97916666666666663</v>
      </c>
    </row>
    <row r="1322" spans="1:16" x14ac:dyDescent="0.25">
      <c r="A1322" s="2">
        <v>44381</v>
      </c>
      <c r="B1322" s="2">
        <v>44293</v>
      </c>
      <c r="C1322" t="str">
        <f>+"Tuáº§n "&amp;WEEKNUM(B1322)</f>
        <v>Tuáº§n 15</v>
      </c>
      <c r="D1322" t="s">
        <v>19</v>
      </c>
      <c r="E1322" t="s">
        <v>17</v>
      </c>
      <c r="F1322" s="5">
        <v>50100000</v>
      </c>
      <c r="G1322" s="5">
        <v>53100000</v>
      </c>
      <c r="H1322" s="5">
        <f>+(M1322*26000)/0.829426</f>
        <v>54546879.408169024</v>
      </c>
      <c r="I1322" s="5">
        <f>+G1322-H1322</f>
        <v>-1446879.4081690237</v>
      </c>
      <c r="J1322" s="5">
        <v>3000000</v>
      </c>
      <c r="K1322" s="5">
        <v>5010000</v>
      </c>
      <c r="L1322" s="5">
        <v>5310000</v>
      </c>
      <c r="M1322" s="7">
        <v>1740.1</v>
      </c>
      <c r="N1322" s="5">
        <v>50600000</v>
      </c>
      <c r="O1322" s="5">
        <v>53600000</v>
      </c>
      <c r="P1322" s="3">
        <v>0.97916666666666663</v>
      </c>
    </row>
    <row r="1323" spans="1:16" x14ac:dyDescent="0.25">
      <c r="A1323" s="2">
        <v>44412</v>
      </c>
      <c r="B1323" s="2">
        <v>44294</v>
      </c>
      <c r="C1323" t="str">
        <f>+"Tuáº§n "&amp;WEEKNUM(B1323)</f>
        <v>Tuáº§n 15</v>
      </c>
      <c r="D1323" t="s">
        <v>20</v>
      </c>
      <c r="E1323" t="s">
        <v>17</v>
      </c>
      <c r="F1323" s="5">
        <v>50600000</v>
      </c>
      <c r="G1323" s="5">
        <v>53600000</v>
      </c>
      <c r="H1323" s="5">
        <f>+(M1323*26000)/0.829426</f>
        <v>55070373.969468042</v>
      </c>
      <c r="I1323" s="5">
        <f>+G1323-H1323</f>
        <v>-1470373.9694680423</v>
      </c>
      <c r="J1323" s="5">
        <v>3000000</v>
      </c>
      <c r="K1323" s="5">
        <v>5060000</v>
      </c>
      <c r="L1323" s="5">
        <v>5360000</v>
      </c>
      <c r="M1323" s="7">
        <v>1756.8</v>
      </c>
      <c r="N1323" s="5">
        <v>51100000</v>
      </c>
      <c r="O1323" s="5">
        <v>54100000</v>
      </c>
      <c r="P1323" s="3">
        <v>0.97916666666666663</v>
      </c>
    </row>
    <row r="1324" spans="1:16" x14ac:dyDescent="0.25">
      <c r="A1324" s="2">
        <v>44443</v>
      </c>
      <c r="B1324" s="2">
        <v>44295</v>
      </c>
      <c r="C1324" t="str">
        <f>+"Tuáº§n "&amp;WEEKNUM(B1324)</f>
        <v>Tuáº§n 15</v>
      </c>
      <c r="D1324" t="s">
        <v>21</v>
      </c>
      <c r="E1324" t="s">
        <v>17</v>
      </c>
      <c r="F1324" s="5">
        <v>50200000</v>
      </c>
      <c r="G1324" s="5">
        <v>53200000</v>
      </c>
      <c r="H1324" s="5">
        <f>+(M1324*26000)/0.829426</f>
        <v>54647189.743268237</v>
      </c>
      <c r="I1324" s="5">
        <f>+G1324-H1324</f>
        <v>-1447189.7432682365</v>
      </c>
      <c r="J1324" s="5">
        <v>3000000</v>
      </c>
      <c r="K1324" s="5">
        <v>5020000</v>
      </c>
      <c r="L1324" s="5">
        <v>5320000</v>
      </c>
      <c r="M1324" s="7">
        <v>1743.3</v>
      </c>
      <c r="N1324" s="5">
        <v>50700000</v>
      </c>
      <c r="O1324" s="5">
        <v>53700000</v>
      </c>
      <c r="P1324" s="3">
        <v>0.97916666666666663</v>
      </c>
    </row>
    <row r="1325" spans="1:16" x14ac:dyDescent="0.25">
      <c r="A1325" s="2">
        <v>44534</v>
      </c>
      <c r="B1325" s="2">
        <v>44298</v>
      </c>
      <c r="C1325" t="str">
        <f>+"Tuáº§n "&amp;WEEKNUM(B1325)</f>
        <v>Tuáº§n 16</v>
      </c>
      <c r="D1325" t="s">
        <v>16</v>
      </c>
      <c r="E1325" t="s">
        <v>17</v>
      </c>
      <c r="F1325" s="5">
        <v>49800000</v>
      </c>
      <c r="G1325" s="5">
        <v>52800000</v>
      </c>
      <c r="H1325" s="5">
        <f>+(M1325*26000)/0.829426</f>
        <v>54267891.28867434</v>
      </c>
      <c r="I1325" s="5">
        <f>+G1325-H1325</f>
        <v>-1467891.2886743397</v>
      </c>
      <c r="J1325" s="5">
        <v>3000000</v>
      </c>
      <c r="K1325" s="5">
        <v>4980000</v>
      </c>
      <c r="L1325" s="5">
        <v>5280000</v>
      </c>
      <c r="M1325" s="7">
        <v>1731.2</v>
      </c>
      <c r="N1325" s="5">
        <v>50300000</v>
      </c>
      <c r="O1325" s="5">
        <v>53300000</v>
      </c>
      <c r="P1325" s="3">
        <v>0.97916666666666663</v>
      </c>
    </row>
    <row r="1326" spans="1:16" x14ac:dyDescent="0.25">
      <c r="A1326" t="s">
        <v>818</v>
      </c>
      <c r="B1326" s="2">
        <v>44299</v>
      </c>
      <c r="C1326" t="str">
        <f>+"Tuáº§n "&amp;WEEKNUM(B1326)</f>
        <v>Tuáº§n 16</v>
      </c>
      <c r="D1326" t="s">
        <v>18</v>
      </c>
      <c r="E1326" t="s">
        <v>17</v>
      </c>
      <c r="F1326" s="5">
        <v>50300000</v>
      </c>
      <c r="G1326" s="5">
        <v>53300000</v>
      </c>
      <c r="H1326" s="5">
        <f>+(M1326*26000)/0.829426</f>
        <v>54738095.984451897</v>
      </c>
      <c r="I1326" s="5">
        <f>+G1326-H1326</f>
        <v>-1438095.9844518974</v>
      </c>
      <c r="J1326" s="5">
        <v>3000000</v>
      </c>
      <c r="K1326" s="5">
        <v>5030000</v>
      </c>
      <c r="L1326" s="5">
        <v>5330000</v>
      </c>
      <c r="M1326" s="7">
        <v>1746.2</v>
      </c>
      <c r="N1326" s="5">
        <v>50800000</v>
      </c>
      <c r="O1326" s="5">
        <v>53800000</v>
      </c>
      <c r="P1326" s="3">
        <v>0.97916666666666663</v>
      </c>
    </row>
    <row r="1327" spans="1:16" x14ac:dyDescent="0.25">
      <c r="A1327" t="s">
        <v>819</v>
      </c>
      <c r="B1327" s="2">
        <v>44300</v>
      </c>
      <c r="C1327" t="str">
        <f>+"Tuáº§n "&amp;WEEKNUM(B1327)</f>
        <v>Tuáº§n 16</v>
      </c>
      <c r="D1327" t="s">
        <v>19</v>
      </c>
      <c r="E1327" t="s">
        <v>17</v>
      </c>
      <c r="F1327" s="5">
        <v>49900000</v>
      </c>
      <c r="G1327" s="5">
        <v>52900000</v>
      </c>
      <c r="H1327" s="5">
        <f>+(M1327*26000)/0.829426</f>
        <v>54383875.113632798</v>
      </c>
      <c r="I1327" s="5">
        <f>+G1327-H1327</f>
        <v>-1483875.1136327982</v>
      </c>
      <c r="J1327" s="5">
        <v>3000000</v>
      </c>
      <c r="K1327" s="5">
        <v>4990000</v>
      </c>
      <c r="L1327" s="5">
        <v>5290000</v>
      </c>
      <c r="M1327" s="7">
        <v>1734.9</v>
      </c>
      <c r="N1327" s="5">
        <v>50400000</v>
      </c>
      <c r="O1327" s="5">
        <v>53400000</v>
      </c>
      <c r="P1327" s="3">
        <v>0.97916666666666663</v>
      </c>
    </row>
    <row r="1328" spans="1:16" x14ac:dyDescent="0.25">
      <c r="A1328" t="s">
        <v>820</v>
      </c>
      <c r="B1328" s="2">
        <v>44301</v>
      </c>
      <c r="C1328" t="str">
        <f>+"Tuáº§n "&amp;WEEKNUM(B1328)</f>
        <v>Tuáº§n 16</v>
      </c>
      <c r="D1328" t="s">
        <v>20</v>
      </c>
      <c r="E1328" t="s">
        <v>17</v>
      </c>
      <c r="F1328" s="5">
        <v>50900000</v>
      </c>
      <c r="G1328" s="5">
        <v>53900000</v>
      </c>
      <c r="H1328" s="5">
        <f>+(M1328*26000)/0.829426</f>
        <v>55339957.995047174</v>
      </c>
      <c r="I1328" s="5">
        <f>+G1328-H1328</f>
        <v>-1439957.9950471744</v>
      </c>
      <c r="J1328" s="5">
        <v>3000000</v>
      </c>
      <c r="K1328" s="5">
        <v>5090000</v>
      </c>
      <c r="L1328" s="5">
        <v>5390000</v>
      </c>
      <c r="M1328" s="7">
        <v>1765.4</v>
      </c>
      <c r="N1328" s="5">
        <v>51400000</v>
      </c>
      <c r="O1328" s="5">
        <v>54400000</v>
      </c>
      <c r="P1328" s="3">
        <v>0.97916666666666663</v>
      </c>
    </row>
    <row r="1329" spans="1:16" x14ac:dyDescent="0.25">
      <c r="A1329" t="s">
        <v>821</v>
      </c>
      <c r="B1329" s="2">
        <v>44302</v>
      </c>
      <c r="C1329" t="str">
        <f>+"Tuáº§n "&amp;WEEKNUM(B1329)</f>
        <v>Tuáº§n 16</v>
      </c>
      <c r="D1329" t="s">
        <v>21</v>
      </c>
      <c r="E1329" t="s">
        <v>17</v>
      </c>
      <c r="F1329" s="5">
        <v>51300000</v>
      </c>
      <c r="G1329" s="5">
        <v>54300000</v>
      </c>
      <c r="H1329" s="5">
        <f>+(M1329*26000)/0.829426</f>
        <v>55766276.919218831</v>
      </c>
      <c r="I1329" s="5">
        <f>+G1329-H1329</f>
        <v>-1466276.9192188308</v>
      </c>
      <c r="J1329" s="5">
        <v>3000000</v>
      </c>
      <c r="K1329" s="5">
        <v>5130000</v>
      </c>
      <c r="L1329" s="5">
        <v>5430000</v>
      </c>
      <c r="M1329" s="7">
        <v>1779</v>
      </c>
      <c r="N1329" s="5">
        <v>51800000</v>
      </c>
      <c r="O1329" s="5">
        <v>54800000</v>
      </c>
      <c r="P1329" s="3">
        <v>0.97916666666666663</v>
      </c>
    </row>
    <row r="1330" spans="1:16" x14ac:dyDescent="0.25">
      <c r="A1330" t="s">
        <v>822</v>
      </c>
      <c r="B1330" s="2">
        <v>44305</v>
      </c>
      <c r="C1330" t="str">
        <f>+"Tuáº§n "&amp;WEEKNUM(B1330)</f>
        <v>Tuáº§n 17</v>
      </c>
      <c r="D1330" t="s">
        <v>16</v>
      </c>
      <c r="E1330" t="s">
        <v>17</v>
      </c>
      <c r="F1330" s="5">
        <v>51000000</v>
      </c>
      <c r="G1330" s="5">
        <v>54000000</v>
      </c>
      <c r="H1330" s="5">
        <f>+(M1330*26000)/0.829426</f>
        <v>55465345.913921192</v>
      </c>
      <c r="I1330" s="5">
        <f>+G1330-H1330</f>
        <v>-1465345.9139211923</v>
      </c>
      <c r="J1330" s="5">
        <v>3000000</v>
      </c>
      <c r="K1330" s="5">
        <v>5100000</v>
      </c>
      <c r="L1330" s="5">
        <v>5400000</v>
      </c>
      <c r="M1330" s="7">
        <v>1769.4</v>
      </c>
      <c r="N1330" s="5">
        <v>51500000</v>
      </c>
      <c r="O1330" s="5">
        <v>54500000</v>
      </c>
      <c r="P1330" s="3">
        <v>0.97916666666666663</v>
      </c>
    </row>
    <row r="1331" spans="1:16" x14ac:dyDescent="0.25">
      <c r="A1331" t="s">
        <v>823</v>
      </c>
      <c r="B1331" s="2">
        <v>44306</v>
      </c>
      <c r="C1331" t="str">
        <f>+"Tuáº§n "&amp;WEEKNUM(B1331)</f>
        <v>Tuáº§n 17</v>
      </c>
      <c r="D1331" t="s">
        <v>18</v>
      </c>
      <c r="E1331" t="s">
        <v>17</v>
      </c>
      <c r="F1331" s="5">
        <v>51200000</v>
      </c>
      <c r="G1331" s="5">
        <v>54200000</v>
      </c>
      <c r="H1331" s="5">
        <f>+(M1331*26000)/0.829426</f>
        <v>55712987.053697377</v>
      </c>
      <c r="I1331" s="5">
        <f>+G1331-H1331</f>
        <v>-1512987.0536973774</v>
      </c>
      <c r="J1331" s="5">
        <v>3000000</v>
      </c>
      <c r="K1331" s="5">
        <v>5120000</v>
      </c>
      <c r="L1331" s="5">
        <v>5420000</v>
      </c>
      <c r="M1331" s="7">
        <v>1777.3</v>
      </c>
      <c r="N1331" s="5">
        <v>51700000</v>
      </c>
      <c r="O1331" s="5">
        <v>54700000</v>
      </c>
      <c r="P1331" s="3">
        <v>0.97916666666666663</v>
      </c>
    </row>
    <row r="1332" spans="1:16" x14ac:dyDescent="0.25">
      <c r="A1332" t="s">
        <v>824</v>
      </c>
      <c r="B1332" s="2">
        <v>44307</v>
      </c>
      <c r="C1332" t="str">
        <f>+"Tuáº§n "&amp;WEEKNUM(B1332)</f>
        <v>Tuáº§n 17</v>
      </c>
      <c r="D1332" t="s">
        <v>19</v>
      </c>
      <c r="E1332" t="s">
        <v>17</v>
      </c>
      <c r="F1332" s="5">
        <v>51700000</v>
      </c>
      <c r="G1332" s="5">
        <v>54700000</v>
      </c>
      <c r="H1332" s="5">
        <f>+(M1332*26000)/0.829426</f>
        <v>56183191.749474935</v>
      </c>
      <c r="I1332" s="5">
        <f>+G1332-H1332</f>
        <v>-1483191.7494749352</v>
      </c>
      <c r="J1332" s="5">
        <v>3000000</v>
      </c>
      <c r="K1332" s="5">
        <v>5170000</v>
      </c>
      <c r="L1332" s="5">
        <v>5470000</v>
      </c>
      <c r="M1332" s="7">
        <v>1792.3</v>
      </c>
      <c r="N1332" s="5">
        <v>52200000</v>
      </c>
      <c r="O1332" s="5">
        <v>55200000</v>
      </c>
      <c r="P1332" s="3">
        <v>0.97916666666666663</v>
      </c>
    </row>
    <row r="1333" spans="1:16" x14ac:dyDescent="0.25">
      <c r="A1333" t="s">
        <v>825</v>
      </c>
      <c r="B1333" s="2">
        <v>44308</v>
      </c>
      <c r="C1333" t="str">
        <f>+"Tuáº§n "&amp;WEEKNUM(B1333)</f>
        <v>Tuáº§n 17</v>
      </c>
      <c r="D1333" t="s">
        <v>20</v>
      </c>
      <c r="E1333" t="s">
        <v>17</v>
      </c>
      <c r="F1333" s="5">
        <v>51300000</v>
      </c>
      <c r="G1333" s="5">
        <v>54300000</v>
      </c>
      <c r="H1333" s="5">
        <f>+(M1333*26000)/0.829426</f>
        <v>55835240.274599545</v>
      </c>
      <c r="I1333" s="5">
        <f>+G1333-H1333</f>
        <v>-1535240.2745995447</v>
      </c>
      <c r="J1333" s="5">
        <v>3000000</v>
      </c>
      <c r="K1333" s="5">
        <v>5130000</v>
      </c>
      <c r="L1333" s="5">
        <v>5430000</v>
      </c>
      <c r="M1333" s="7">
        <v>1781.2</v>
      </c>
      <c r="N1333" s="5">
        <v>51800000</v>
      </c>
      <c r="O1333" s="5">
        <v>54800000</v>
      </c>
      <c r="P1333" s="3">
        <v>0.97916666666666663</v>
      </c>
    </row>
    <row r="1334" spans="1:16" x14ac:dyDescent="0.25">
      <c r="A1334" t="s">
        <v>826</v>
      </c>
      <c r="B1334" s="2">
        <v>44309</v>
      </c>
      <c r="C1334" t="str">
        <f>+"Tuáº§n "&amp;WEEKNUM(B1334)</f>
        <v>Tuáº§n 17</v>
      </c>
      <c r="D1334" t="s">
        <v>21</v>
      </c>
      <c r="E1334" t="s">
        <v>17</v>
      </c>
      <c r="F1334" s="5">
        <v>51200000</v>
      </c>
      <c r="G1334" s="5">
        <v>54200000</v>
      </c>
      <c r="H1334" s="5">
        <f>+(M1334*26000)/0.829426</f>
        <v>55703582.959781826</v>
      </c>
      <c r="I1334" s="5">
        <f>+G1334-H1334</f>
        <v>-1503582.9597818255</v>
      </c>
      <c r="J1334" s="5">
        <v>3000000</v>
      </c>
      <c r="K1334" s="5">
        <v>5120000</v>
      </c>
      <c r="L1334" s="5">
        <v>5420000</v>
      </c>
      <c r="M1334" s="7">
        <v>1777</v>
      </c>
      <c r="N1334" s="5">
        <v>51700000</v>
      </c>
      <c r="O1334" s="5">
        <v>54700000</v>
      </c>
      <c r="P1334" s="3">
        <v>0.97916666666666663</v>
      </c>
    </row>
    <row r="1335" spans="1:16" x14ac:dyDescent="0.25">
      <c r="A1335" t="s">
        <v>827</v>
      </c>
      <c r="B1335" s="2">
        <v>44312</v>
      </c>
      <c r="C1335" t="str">
        <f>+"Tuáº§n "&amp;WEEKNUM(B1335)</f>
        <v>Tuáº§n 18</v>
      </c>
      <c r="D1335" t="s">
        <v>16</v>
      </c>
      <c r="E1335" t="s">
        <v>17</v>
      </c>
      <c r="F1335" s="5">
        <v>51300000</v>
      </c>
      <c r="G1335" s="5">
        <v>54300000</v>
      </c>
      <c r="H1335" s="5">
        <f>+(M1335*26000)/0.829426</f>
        <v>55772546.315162532</v>
      </c>
      <c r="I1335" s="5">
        <f>+G1335-H1335</f>
        <v>-1472546.315162532</v>
      </c>
      <c r="J1335" s="5">
        <v>3000000</v>
      </c>
      <c r="K1335" s="5">
        <v>5130000</v>
      </c>
      <c r="L1335" s="5">
        <v>5430000</v>
      </c>
      <c r="M1335" s="7">
        <v>1779.2</v>
      </c>
      <c r="N1335" s="5">
        <v>51800000</v>
      </c>
      <c r="O1335" s="5">
        <v>54800000</v>
      </c>
      <c r="P1335" s="3">
        <v>0.97916666666666663</v>
      </c>
    </row>
    <row r="1336" spans="1:16" x14ac:dyDescent="0.25">
      <c r="A1336" t="s">
        <v>828</v>
      </c>
      <c r="B1336" s="2">
        <v>44313</v>
      </c>
      <c r="C1336" t="str">
        <f>+"Tuáº§n "&amp;WEEKNUM(B1336)</f>
        <v>Tuáº§n 18</v>
      </c>
      <c r="D1336" t="s">
        <v>18</v>
      </c>
      <c r="E1336" t="s">
        <v>17</v>
      </c>
      <c r="F1336" s="5">
        <v>51200000</v>
      </c>
      <c r="G1336" s="5">
        <v>54200000</v>
      </c>
      <c r="H1336" s="5">
        <f>+(M1336*26000)/0.829426</f>
        <v>55734929.939500332</v>
      </c>
      <c r="I1336" s="5">
        <f>+G1336-H1336</f>
        <v>-1534929.9395003319</v>
      </c>
      <c r="J1336" s="5">
        <v>3000000</v>
      </c>
      <c r="K1336" s="5">
        <v>5120000</v>
      </c>
      <c r="L1336" s="5">
        <v>5420000</v>
      </c>
      <c r="M1336" s="7">
        <v>1778</v>
      </c>
      <c r="N1336" s="5">
        <v>51700000</v>
      </c>
      <c r="O1336" s="5">
        <v>54700000</v>
      </c>
      <c r="P1336" s="3">
        <v>0.97916666666666663</v>
      </c>
    </row>
    <row r="1337" spans="1:16" x14ac:dyDescent="0.25">
      <c r="A1337" t="s">
        <v>829</v>
      </c>
      <c r="B1337" s="2">
        <v>44314</v>
      </c>
      <c r="C1337" t="str">
        <f>+"Tuáº§n "&amp;WEEKNUM(B1337)</f>
        <v>Tuáº§n 18</v>
      </c>
      <c r="D1337" t="s">
        <v>19</v>
      </c>
      <c r="E1337" t="s">
        <v>17</v>
      </c>
      <c r="F1337" s="5">
        <v>51100000</v>
      </c>
      <c r="G1337" s="5">
        <v>54100000</v>
      </c>
      <c r="H1337" s="5">
        <f>+(M1337*26000)/0.829426</f>
        <v>55584464.436851509</v>
      </c>
      <c r="I1337" s="5">
        <f>+G1337-H1337</f>
        <v>-1484464.4368515089</v>
      </c>
      <c r="J1337" s="5">
        <v>3000000</v>
      </c>
      <c r="K1337" s="5">
        <v>5110000</v>
      </c>
      <c r="L1337" s="5">
        <v>5410000</v>
      </c>
      <c r="M1337" s="7">
        <v>1773.2</v>
      </c>
      <c r="N1337" s="5">
        <v>51600000</v>
      </c>
      <c r="O1337" s="5">
        <v>54600000</v>
      </c>
      <c r="P1337" s="3">
        <v>0.97916666666666663</v>
      </c>
    </row>
    <row r="1338" spans="1:16" x14ac:dyDescent="0.25">
      <c r="A1338" t="s">
        <v>830</v>
      </c>
      <c r="B1338" s="2">
        <v>44315</v>
      </c>
      <c r="C1338" t="str">
        <f>+"Tuáº§n "&amp;WEEKNUM(B1338)</f>
        <v>Tuáº§n 18</v>
      </c>
      <c r="D1338" t="s">
        <v>20</v>
      </c>
      <c r="E1338" t="s">
        <v>17</v>
      </c>
      <c r="F1338" s="5">
        <v>50900000</v>
      </c>
      <c r="G1338" s="5">
        <v>53900000</v>
      </c>
      <c r="H1338" s="5">
        <f>+(M1338*26000)/0.829426</f>
        <v>55424594.840287142</v>
      </c>
      <c r="I1338" s="5">
        <f>+G1338-H1338</f>
        <v>-1524594.8402871415</v>
      </c>
      <c r="J1338" s="5">
        <v>3000000</v>
      </c>
      <c r="K1338" s="5">
        <v>5090000</v>
      </c>
      <c r="L1338" s="5">
        <v>5390000</v>
      </c>
      <c r="M1338" s="7">
        <v>1768.1</v>
      </c>
      <c r="N1338" s="5">
        <v>51400000</v>
      </c>
      <c r="O1338" s="5">
        <v>54400000</v>
      </c>
      <c r="P1338" s="3">
        <v>0.97916666666666663</v>
      </c>
    </row>
    <row r="1339" spans="1:16" x14ac:dyDescent="0.25">
      <c r="A1339" t="s">
        <v>831</v>
      </c>
      <c r="B1339" s="2">
        <v>44316</v>
      </c>
      <c r="C1339" t="str">
        <f>+"Tuáº§n "&amp;WEEKNUM(B1339)</f>
        <v>Tuáº§n 18</v>
      </c>
      <c r="D1339" t="s">
        <v>21</v>
      </c>
      <c r="E1339" t="s">
        <v>17</v>
      </c>
      <c r="F1339" s="5">
        <v>50900000</v>
      </c>
      <c r="G1339" s="5">
        <v>53900000</v>
      </c>
      <c r="H1339" s="5">
        <f>+(M1339*26000)/0.829426</f>
        <v>55399517.256512336</v>
      </c>
      <c r="I1339" s="5">
        <f>+G1339-H1339</f>
        <v>-1499517.2565123364</v>
      </c>
      <c r="J1339" s="5">
        <v>3000000</v>
      </c>
      <c r="K1339" s="5">
        <v>5090000</v>
      </c>
      <c r="L1339" s="5">
        <v>5390000</v>
      </c>
      <c r="M1339" s="7">
        <v>1767.3</v>
      </c>
      <c r="N1339" s="5">
        <v>51400000</v>
      </c>
      <c r="O1339" s="5">
        <v>54400000</v>
      </c>
      <c r="P1339" s="3">
        <v>0.97916666666666663</v>
      </c>
    </row>
    <row r="1340" spans="1:16" x14ac:dyDescent="0.25">
      <c r="A1340" s="2">
        <v>44260</v>
      </c>
      <c r="B1340" s="2">
        <v>44319</v>
      </c>
      <c r="C1340" t="str">
        <f>+"Tuáº§n "&amp;WEEKNUM(B1340)</f>
        <v>Tuáº§n 19</v>
      </c>
      <c r="D1340" t="s">
        <v>16</v>
      </c>
      <c r="E1340" t="s">
        <v>17</v>
      </c>
      <c r="F1340" s="5">
        <v>51600000</v>
      </c>
      <c r="G1340" s="5">
        <v>54600000</v>
      </c>
      <c r="H1340" s="5">
        <f>+(M1340*26000)/0.829426</f>
        <v>56154979.467728287</v>
      </c>
      <c r="I1340" s="5">
        <f>+G1340-H1340</f>
        <v>-1554979.467728287</v>
      </c>
      <c r="J1340" s="5">
        <v>3000000</v>
      </c>
      <c r="K1340" s="5">
        <v>5160000</v>
      </c>
      <c r="L1340" s="5">
        <v>5460000</v>
      </c>
      <c r="M1340" s="7">
        <v>1791.4</v>
      </c>
      <c r="N1340" s="5">
        <v>52100000</v>
      </c>
      <c r="O1340" s="5">
        <v>55100000</v>
      </c>
      <c r="P1340" s="3">
        <v>0.97916666666666663</v>
      </c>
    </row>
    <row r="1341" spans="1:16" x14ac:dyDescent="0.25">
      <c r="A1341" s="2">
        <v>44291</v>
      </c>
      <c r="B1341" s="2">
        <v>44320</v>
      </c>
      <c r="C1341" t="str">
        <f>+"Tuáº§n "&amp;WEEKNUM(B1341)</f>
        <v>Tuáº§n 19</v>
      </c>
      <c r="D1341" t="s">
        <v>18</v>
      </c>
      <c r="E1341" t="s">
        <v>17</v>
      </c>
      <c r="F1341" s="5">
        <v>51200000</v>
      </c>
      <c r="G1341" s="5">
        <v>54200000</v>
      </c>
      <c r="H1341" s="5">
        <f>+(M1341*26000)/0.829426</f>
        <v>55665966.584119618</v>
      </c>
      <c r="I1341" s="5">
        <f>+G1341-H1341</f>
        <v>-1465966.5841196179</v>
      </c>
      <c r="J1341" s="5">
        <v>3000000</v>
      </c>
      <c r="K1341" s="5">
        <v>5120000</v>
      </c>
      <c r="L1341" s="5">
        <v>5420000</v>
      </c>
      <c r="M1341" s="7">
        <v>1775.8</v>
      </c>
      <c r="N1341" s="5">
        <v>51700000</v>
      </c>
      <c r="O1341" s="5">
        <v>54700000</v>
      </c>
      <c r="P1341" s="3">
        <v>0.97916666666666663</v>
      </c>
    </row>
    <row r="1342" spans="1:16" x14ac:dyDescent="0.25">
      <c r="A1342" s="2">
        <v>44321</v>
      </c>
      <c r="B1342" s="2">
        <v>44321</v>
      </c>
      <c r="C1342" t="str">
        <f>+"Tuáº§n "&amp;WEEKNUM(B1342)</f>
        <v>Tuáº§n 19</v>
      </c>
      <c r="D1342" t="s">
        <v>19</v>
      </c>
      <c r="E1342" t="s">
        <v>17</v>
      </c>
      <c r="F1342" s="5">
        <v>51400000</v>
      </c>
      <c r="G1342" s="5">
        <v>54400000</v>
      </c>
      <c r="H1342" s="5">
        <f>+(M1342*26000)/0.829426</f>
        <v>55926146.515783206</v>
      </c>
      <c r="I1342" s="5">
        <f>+G1342-H1342</f>
        <v>-1526146.5157832056</v>
      </c>
      <c r="J1342" s="5">
        <v>3000000</v>
      </c>
      <c r="K1342" s="5">
        <v>5140000</v>
      </c>
      <c r="L1342" s="5">
        <v>5440000</v>
      </c>
      <c r="M1342" s="7">
        <v>1784.1</v>
      </c>
      <c r="N1342" s="5">
        <v>51900000</v>
      </c>
      <c r="O1342" s="5">
        <v>54900000</v>
      </c>
      <c r="P1342" s="3">
        <v>0.97916666666666663</v>
      </c>
    </row>
    <row r="1343" spans="1:16" x14ac:dyDescent="0.25">
      <c r="A1343" s="2">
        <v>44352</v>
      </c>
      <c r="B1343" s="2">
        <v>44322</v>
      </c>
      <c r="C1343" t="str">
        <f>+"Tuáº§n "&amp;WEEKNUM(B1343)</f>
        <v>Tuáº§n 19</v>
      </c>
      <c r="D1343" t="s">
        <v>20</v>
      </c>
      <c r="E1343" t="s">
        <v>17</v>
      </c>
      <c r="F1343" s="5">
        <v>52400000</v>
      </c>
      <c r="G1343" s="5">
        <v>55400000</v>
      </c>
      <c r="H1343" s="5">
        <f>+(M1343*26000)/0.829426</f>
        <v>56910441.678944238</v>
      </c>
      <c r="I1343" s="5">
        <f>+G1343-H1343</f>
        <v>-1510441.6789442375</v>
      </c>
      <c r="J1343" s="5">
        <v>3000000</v>
      </c>
      <c r="K1343" s="5">
        <v>5240000</v>
      </c>
      <c r="L1343" s="5">
        <v>5540000</v>
      </c>
      <c r="M1343" s="7">
        <v>1815.5</v>
      </c>
      <c r="N1343" s="5">
        <v>52900000</v>
      </c>
      <c r="O1343" s="5">
        <v>55900000</v>
      </c>
      <c r="P1343" s="3">
        <v>0.97916666666666663</v>
      </c>
    </row>
    <row r="1344" spans="1:16" x14ac:dyDescent="0.25">
      <c r="A1344" s="2">
        <v>44382</v>
      </c>
      <c r="B1344" s="2">
        <v>44323</v>
      </c>
      <c r="C1344" t="str">
        <f>+"Tuáº§n "&amp;WEEKNUM(B1344)</f>
        <v>Tuáº§n 19</v>
      </c>
      <c r="D1344" t="s">
        <v>21</v>
      </c>
      <c r="E1344" t="s">
        <v>17</v>
      </c>
      <c r="F1344" s="5">
        <v>52900000</v>
      </c>
      <c r="G1344" s="5">
        <v>55900000</v>
      </c>
      <c r="H1344" s="5">
        <f>+(M1344*26000)/0.829426</f>
        <v>57399454.562552899</v>
      </c>
      <c r="I1344" s="5">
        <f>+G1344-H1344</f>
        <v>-1499454.5625528991</v>
      </c>
      <c r="J1344" s="5">
        <v>3000000</v>
      </c>
      <c r="K1344" s="5">
        <v>5290000</v>
      </c>
      <c r="L1344" s="5">
        <v>5590000</v>
      </c>
      <c r="M1344" s="7">
        <v>1831.1</v>
      </c>
      <c r="N1344" s="5">
        <v>53400000</v>
      </c>
      <c r="O1344" s="5">
        <v>56400000</v>
      </c>
      <c r="P1344" s="3">
        <v>0.97916666666666663</v>
      </c>
    </row>
    <row r="1345" spans="1:16" x14ac:dyDescent="0.25">
      <c r="A1345" s="2">
        <v>44474</v>
      </c>
      <c r="B1345" s="2">
        <v>44326</v>
      </c>
      <c r="C1345" t="str">
        <f>+"Tuáº§n "&amp;WEEKNUM(B1345)</f>
        <v>Tuáº§n 20</v>
      </c>
      <c r="D1345" t="s">
        <v>16</v>
      </c>
      <c r="E1345" t="s">
        <v>17</v>
      </c>
      <c r="F1345" s="5">
        <v>53000000</v>
      </c>
      <c r="G1345" s="5">
        <v>56000000</v>
      </c>
      <c r="H1345" s="5">
        <f>+(M1345*26000)/0.829426</f>
        <v>57600075.232751325</v>
      </c>
      <c r="I1345" s="5">
        <f>+G1345-H1345</f>
        <v>-1600075.2327513248</v>
      </c>
      <c r="J1345" s="5">
        <v>3000000</v>
      </c>
      <c r="K1345" s="5">
        <v>5300000</v>
      </c>
      <c r="L1345" s="5">
        <v>5600000</v>
      </c>
      <c r="M1345" s="7">
        <v>1837.5</v>
      </c>
      <c r="N1345" s="5">
        <v>53500000</v>
      </c>
      <c r="O1345" s="5">
        <v>56500000</v>
      </c>
      <c r="P1345" s="3">
        <v>0.97916666666666663</v>
      </c>
    </row>
    <row r="1346" spans="1:16" x14ac:dyDescent="0.25">
      <c r="A1346" s="2">
        <v>44505</v>
      </c>
      <c r="B1346" s="2">
        <v>44327</v>
      </c>
      <c r="C1346" t="str">
        <f>+"Tuáº§n "&amp;WEEKNUM(B1346)</f>
        <v>Tuáº§n 20</v>
      </c>
      <c r="D1346" t="s">
        <v>18</v>
      </c>
      <c r="E1346" t="s">
        <v>17</v>
      </c>
      <c r="F1346" s="5">
        <v>53000000</v>
      </c>
      <c r="G1346" s="5">
        <v>56000000</v>
      </c>
      <c r="H1346" s="5">
        <f>+(M1346*26000)/0.829426</f>
        <v>57549920.065201715</v>
      </c>
      <c r="I1346" s="5">
        <f>+G1346-H1346</f>
        <v>-1549920.0652017146</v>
      </c>
      <c r="J1346" s="5">
        <v>3000000</v>
      </c>
      <c r="K1346" s="5">
        <v>5300000</v>
      </c>
      <c r="L1346" s="5">
        <v>5600000</v>
      </c>
      <c r="M1346" s="7">
        <v>1835.9</v>
      </c>
      <c r="N1346" s="5">
        <v>53500000</v>
      </c>
      <c r="O1346" s="5">
        <v>56500000</v>
      </c>
      <c r="P1346" s="3">
        <v>0.97916666666666663</v>
      </c>
    </row>
    <row r="1347" spans="1:16" x14ac:dyDescent="0.25">
      <c r="A1347" s="2">
        <v>44535</v>
      </c>
      <c r="B1347" s="2">
        <v>44328</v>
      </c>
      <c r="C1347" t="str">
        <f>+"Tuáº§n "&amp;WEEKNUM(B1347)</f>
        <v>Tuáº§n 20</v>
      </c>
      <c r="D1347" t="s">
        <v>19</v>
      </c>
      <c r="E1347" t="s">
        <v>17</v>
      </c>
      <c r="F1347" s="5">
        <v>52600000</v>
      </c>
      <c r="G1347" s="5">
        <v>55600000</v>
      </c>
      <c r="H1347" s="5">
        <f>+(M1347*26000)/0.829426</f>
        <v>57133005.23494561</v>
      </c>
      <c r="I1347" s="5">
        <f>+G1347-H1347</f>
        <v>-1533005.2349456102</v>
      </c>
      <c r="J1347" s="5">
        <v>3000000</v>
      </c>
      <c r="K1347" s="5">
        <v>5260000</v>
      </c>
      <c r="L1347" s="5">
        <v>5560000</v>
      </c>
      <c r="M1347" s="7">
        <v>1822.6</v>
      </c>
      <c r="N1347" s="5">
        <v>53100000</v>
      </c>
      <c r="O1347" s="5">
        <v>56100000</v>
      </c>
      <c r="P1347" s="3">
        <v>0.97916666666666663</v>
      </c>
    </row>
    <row r="1348" spans="1:16" x14ac:dyDescent="0.25">
      <c r="A1348" t="s">
        <v>832</v>
      </c>
      <c r="B1348" s="2">
        <v>44329</v>
      </c>
      <c r="C1348" t="str">
        <f>+"Tuáº§n "&amp;WEEKNUM(B1348)</f>
        <v>Tuáº§n 20</v>
      </c>
      <c r="D1348" t="s">
        <v>20</v>
      </c>
      <c r="E1348" t="s">
        <v>17</v>
      </c>
      <c r="F1348" s="5">
        <v>52600000</v>
      </c>
      <c r="G1348" s="5">
        <v>55600000</v>
      </c>
      <c r="H1348" s="5">
        <f>+(M1348*26000)/0.829426</f>
        <v>57170621.610607818</v>
      </c>
      <c r="I1348" s="5">
        <f>+G1348-H1348</f>
        <v>-1570621.6106078178</v>
      </c>
      <c r="J1348" s="5">
        <v>3000000</v>
      </c>
      <c r="K1348" s="5">
        <v>5260000</v>
      </c>
      <c r="L1348" s="5">
        <v>5560000</v>
      </c>
      <c r="M1348" s="7">
        <v>1823.8</v>
      </c>
      <c r="N1348" s="5">
        <v>53100000</v>
      </c>
      <c r="O1348" s="5">
        <v>56100000</v>
      </c>
      <c r="P1348" s="3">
        <v>0.97916666666666663</v>
      </c>
    </row>
    <row r="1349" spans="1:16" x14ac:dyDescent="0.25">
      <c r="A1349" t="s">
        <v>833</v>
      </c>
      <c r="B1349" s="2">
        <v>44330</v>
      </c>
      <c r="C1349" t="str">
        <f>+"Tuáº§n "&amp;WEEKNUM(B1349)</f>
        <v>Tuáº§n 20</v>
      </c>
      <c r="D1349" t="s">
        <v>21</v>
      </c>
      <c r="E1349" t="s">
        <v>17</v>
      </c>
      <c r="F1349" s="5">
        <v>53100000</v>
      </c>
      <c r="G1349" s="5">
        <v>56100000</v>
      </c>
      <c r="H1349" s="5">
        <f>+(M1349*26000)/0.829426</f>
        <v>57612614.024638727</v>
      </c>
      <c r="I1349" s="5">
        <f>+G1349-H1349</f>
        <v>-1512614.0246387273</v>
      </c>
      <c r="J1349" s="5">
        <v>3000000</v>
      </c>
      <c r="K1349" s="5">
        <v>5310000</v>
      </c>
      <c r="L1349" s="5">
        <v>5610000</v>
      </c>
      <c r="M1349" s="7">
        <v>1837.9</v>
      </c>
      <c r="N1349" s="5">
        <v>53600000</v>
      </c>
      <c r="O1349" s="5">
        <v>56600000</v>
      </c>
      <c r="P1349" s="3">
        <v>0.97916666666666663</v>
      </c>
    </row>
    <row r="1350" spans="1:16" x14ac:dyDescent="0.25">
      <c r="A1350" t="s">
        <v>834</v>
      </c>
      <c r="B1350" s="2">
        <v>44333</v>
      </c>
      <c r="C1350" t="str">
        <f>+"Tuáº§n "&amp;WEEKNUM(B1350)</f>
        <v>Tuáº§n 21</v>
      </c>
      <c r="D1350" t="s">
        <v>16</v>
      </c>
      <c r="E1350" t="s">
        <v>17</v>
      </c>
      <c r="F1350" s="5">
        <v>54000000</v>
      </c>
      <c r="G1350" s="5">
        <v>57000000</v>
      </c>
      <c r="H1350" s="5">
        <f>+(M1350*26000)/0.829426</f>
        <v>58540484.624306448</v>
      </c>
      <c r="I1350" s="5">
        <f>+G1350-H1350</f>
        <v>-1540484.6243064478</v>
      </c>
      <c r="J1350" s="5">
        <v>3000000</v>
      </c>
      <c r="K1350" s="5">
        <v>5400000</v>
      </c>
      <c r="L1350" s="5">
        <v>5700000</v>
      </c>
      <c r="M1350" s="7">
        <v>1867.5</v>
      </c>
      <c r="N1350" s="5">
        <v>54500000</v>
      </c>
      <c r="O1350" s="5">
        <v>57500000</v>
      </c>
      <c r="P1350" s="3">
        <v>0.97916666666666663</v>
      </c>
    </row>
    <row r="1351" spans="1:16" x14ac:dyDescent="0.25">
      <c r="A1351" t="s">
        <v>835</v>
      </c>
      <c r="B1351" s="2">
        <v>44334</v>
      </c>
      <c r="C1351" t="str">
        <f>+"Tuáº§n "&amp;WEEKNUM(B1351)</f>
        <v>Tuáº§n 21</v>
      </c>
      <c r="D1351" t="s">
        <v>18</v>
      </c>
      <c r="E1351" t="s">
        <v>17</v>
      </c>
      <c r="F1351" s="5">
        <v>54000000</v>
      </c>
      <c r="G1351" s="5">
        <v>57000000</v>
      </c>
      <c r="H1351" s="5">
        <f>+(M1351*26000)/0.829426</f>
        <v>58549888.718222</v>
      </c>
      <c r="I1351" s="5">
        <f>+G1351-H1351</f>
        <v>-1549888.7182219997</v>
      </c>
      <c r="J1351" s="5">
        <v>3000000</v>
      </c>
      <c r="K1351" s="5">
        <v>5400000</v>
      </c>
      <c r="L1351" s="5">
        <v>5700000</v>
      </c>
      <c r="M1351" s="7">
        <v>1867.8</v>
      </c>
      <c r="N1351" s="5">
        <v>54500000</v>
      </c>
      <c r="O1351" s="5">
        <v>57500000</v>
      </c>
      <c r="P1351" s="3">
        <v>0.97916666666666663</v>
      </c>
    </row>
    <row r="1352" spans="1:16" x14ac:dyDescent="0.25">
      <c r="A1352" t="s">
        <v>836</v>
      </c>
      <c r="B1352" s="2">
        <v>44335</v>
      </c>
      <c r="C1352" t="str">
        <f>+"Tuáº§n "&amp;WEEKNUM(B1352)</f>
        <v>Tuáº§n 21</v>
      </c>
      <c r="D1352" t="s">
        <v>19</v>
      </c>
      <c r="E1352" t="s">
        <v>17</v>
      </c>
      <c r="F1352" s="5">
        <v>54400000</v>
      </c>
      <c r="G1352" s="5">
        <v>57400000</v>
      </c>
      <c r="H1352" s="5">
        <f>+(M1352*26000)/0.829426</f>
        <v>58973072.944421805</v>
      </c>
      <c r="I1352" s="5">
        <f>+G1352-H1352</f>
        <v>-1573072.9444218054</v>
      </c>
      <c r="J1352" s="5">
        <v>3000000</v>
      </c>
      <c r="K1352" s="5">
        <v>5440000</v>
      </c>
      <c r="L1352" s="5">
        <v>5740000</v>
      </c>
      <c r="M1352" s="7">
        <v>1881.3</v>
      </c>
      <c r="N1352" s="5">
        <v>54900000</v>
      </c>
      <c r="O1352" s="5">
        <v>57900000</v>
      </c>
      <c r="P1352" s="3">
        <v>0.97916666666666663</v>
      </c>
    </row>
    <row r="1353" spans="1:16" x14ac:dyDescent="0.25">
      <c r="A1353" t="s">
        <v>837</v>
      </c>
      <c r="B1353" s="2">
        <v>44336</v>
      </c>
      <c r="C1353" t="str">
        <f>+"Tuáº§n "&amp;WEEKNUM(B1353)</f>
        <v>Tuáº§n 21</v>
      </c>
      <c r="D1353" t="s">
        <v>20</v>
      </c>
      <c r="E1353" t="s">
        <v>17</v>
      </c>
      <c r="F1353" s="5">
        <v>54400000</v>
      </c>
      <c r="G1353" s="5">
        <v>57400000</v>
      </c>
      <c r="H1353" s="5">
        <f>+(M1353*26000)/0.829426</f>
        <v>58988746.434281059</v>
      </c>
      <c r="I1353" s="5">
        <f>+G1353-H1353</f>
        <v>-1588746.4342810586</v>
      </c>
      <c r="J1353" s="5">
        <v>3000000</v>
      </c>
      <c r="K1353" s="5">
        <v>5440000</v>
      </c>
      <c r="L1353" s="5">
        <v>5740000</v>
      </c>
      <c r="M1353" s="7">
        <v>1881.8</v>
      </c>
      <c r="N1353" s="5">
        <v>54900000</v>
      </c>
      <c r="O1353" s="5">
        <v>57900000</v>
      </c>
      <c r="P1353" s="3">
        <v>0.97916666666666663</v>
      </c>
    </row>
    <row r="1354" spans="1:16" x14ac:dyDescent="0.25">
      <c r="A1354" t="s">
        <v>838</v>
      </c>
      <c r="B1354" s="2">
        <v>44337</v>
      </c>
      <c r="C1354" t="str">
        <f>+"Tuáº§n "&amp;WEEKNUM(B1354)</f>
        <v>Tuáº§n 21</v>
      </c>
      <c r="D1354" t="s">
        <v>21</v>
      </c>
      <c r="E1354" t="s">
        <v>17</v>
      </c>
      <c r="F1354" s="5">
        <v>54200000</v>
      </c>
      <c r="G1354" s="5">
        <v>57200000</v>
      </c>
      <c r="H1354" s="5">
        <f>+(M1354*26000)/0.829426</f>
        <v>58828876.837716684</v>
      </c>
      <c r="I1354" s="5">
        <f>+G1354-H1354</f>
        <v>-1628876.8377166837</v>
      </c>
      <c r="J1354" s="5">
        <v>3000000</v>
      </c>
      <c r="K1354" s="5">
        <v>5420000</v>
      </c>
      <c r="L1354" s="5">
        <v>5720000</v>
      </c>
      <c r="M1354" s="7">
        <v>1876.7</v>
      </c>
      <c r="N1354" s="5">
        <v>54700000</v>
      </c>
      <c r="O1354" s="5">
        <v>57700000</v>
      </c>
      <c r="P1354" s="3">
        <v>0.97916666666666663</v>
      </c>
    </row>
    <row r="1355" spans="1:16" x14ac:dyDescent="0.25">
      <c r="A1355" t="s">
        <v>839</v>
      </c>
      <c r="B1355" s="2">
        <v>44340</v>
      </c>
      <c r="C1355" t="str">
        <f>+"Tuáº§n "&amp;WEEKNUM(B1355)</f>
        <v>Tuáº§n 22</v>
      </c>
      <c r="D1355" t="s">
        <v>16</v>
      </c>
      <c r="E1355" t="s">
        <v>17</v>
      </c>
      <c r="F1355" s="5">
        <v>54500000</v>
      </c>
      <c r="G1355" s="5">
        <v>57500000</v>
      </c>
      <c r="H1355" s="5">
        <f>+(M1355*26000)/0.829426</f>
        <v>59076517.977492869</v>
      </c>
      <c r="I1355" s="5">
        <f>+G1355-H1355</f>
        <v>-1576517.9774928689</v>
      </c>
      <c r="J1355" s="5">
        <v>3000000</v>
      </c>
      <c r="K1355" s="5">
        <v>5450000</v>
      </c>
      <c r="L1355" s="5">
        <v>5750000</v>
      </c>
      <c r="M1355" s="7">
        <v>1884.6</v>
      </c>
      <c r="N1355" s="5">
        <v>55000000</v>
      </c>
      <c r="O1355" s="5">
        <v>58000000</v>
      </c>
      <c r="P1355" s="3">
        <v>0.97916666666666663</v>
      </c>
    </row>
    <row r="1356" spans="1:16" x14ac:dyDescent="0.25">
      <c r="A1356" t="s">
        <v>840</v>
      </c>
      <c r="B1356" s="2">
        <v>44341</v>
      </c>
      <c r="C1356" t="str">
        <f>+"Tuáº§n "&amp;WEEKNUM(B1356)</f>
        <v>Tuáº§n 22</v>
      </c>
      <c r="D1356" t="s">
        <v>18</v>
      </c>
      <c r="E1356" t="s">
        <v>17</v>
      </c>
      <c r="F1356" s="5">
        <v>54900000</v>
      </c>
      <c r="G1356" s="5">
        <v>57900000</v>
      </c>
      <c r="H1356" s="5">
        <f>+(M1356*26000)/0.829426</f>
        <v>59499702.203692675</v>
      </c>
      <c r="I1356" s="5">
        <f>+G1356-H1356</f>
        <v>-1599702.2036926746</v>
      </c>
      <c r="J1356" s="5">
        <v>3000000</v>
      </c>
      <c r="K1356" s="5">
        <v>5490000</v>
      </c>
      <c r="L1356" s="5">
        <v>5790000</v>
      </c>
      <c r="M1356" s="7">
        <v>1898.1</v>
      </c>
      <c r="N1356" s="5">
        <v>55400000</v>
      </c>
      <c r="O1356" s="5">
        <v>58400000</v>
      </c>
      <c r="P1356" s="3">
        <v>0.97916666666666663</v>
      </c>
    </row>
    <row r="1357" spans="1:16" x14ac:dyDescent="0.25">
      <c r="A1357" t="s">
        <v>841</v>
      </c>
      <c r="B1357" s="2">
        <v>44342</v>
      </c>
      <c r="C1357" t="str">
        <f>+"Tuáº§n "&amp;WEEKNUM(B1357)</f>
        <v>Tuáº§n 22</v>
      </c>
      <c r="D1357" t="s">
        <v>19</v>
      </c>
      <c r="E1357" t="s">
        <v>17</v>
      </c>
      <c r="F1357" s="5">
        <v>55000000</v>
      </c>
      <c r="G1357" s="5">
        <v>58000000</v>
      </c>
      <c r="H1357" s="5">
        <f>+(M1357*26000)/0.829426</f>
        <v>59600012.538791887</v>
      </c>
      <c r="I1357" s="5">
        <f>+G1357-H1357</f>
        <v>-1600012.5387918875</v>
      </c>
      <c r="J1357" s="5">
        <v>3000000</v>
      </c>
      <c r="K1357" s="5">
        <v>5500000</v>
      </c>
      <c r="L1357" s="5">
        <v>5800000</v>
      </c>
      <c r="M1357" s="7">
        <v>1901.3</v>
      </c>
      <c r="N1357" s="5">
        <v>55500000</v>
      </c>
      <c r="O1357" s="5">
        <v>58500000</v>
      </c>
      <c r="P1357" s="3">
        <v>0.97916666666666663</v>
      </c>
    </row>
    <row r="1358" spans="1:16" x14ac:dyDescent="0.25">
      <c r="A1358" t="s">
        <v>842</v>
      </c>
      <c r="B1358" s="2">
        <v>44343</v>
      </c>
      <c r="C1358" t="str">
        <f>+"Tuáº§n "&amp;WEEKNUM(B1358)</f>
        <v>Tuáº§n 22</v>
      </c>
      <c r="D1358" t="s">
        <v>20</v>
      </c>
      <c r="E1358" t="s">
        <v>17</v>
      </c>
      <c r="F1358" s="5">
        <v>54800000</v>
      </c>
      <c r="G1358" s="5">
        <v>57800000</v>
      </c>
      <c r="H1358" s="5">
        <f>+(M1358*26000)/0.829426</f>
        <v>59424469.452368267</v>
      </c>
      <c r="I1358" s="5">
        <f>+G1358-H1358</f>
        <v>-1624469.4523682669</v>
      </c>
      <c r="J1358" s="5">
        <v>3000000</v>
      </c>
      <c r="K1358" s="5">
        <v>5480000</v>
      </c>
      <c r="L1358" s="5">
        <v>5780000</v>
      </c>
      <c r="M1358" s="7">
        <v>1895.7</v>
      </c>
      <c r="N1358" s="5">
        <v>55300000</v>
      </c>
      <c r="O1358" s="5">
        <v>58300000</v>
      </c>
      <c r="P1358" s="3">
        <v>0.97916666666666663</v>
      </c>
    </row>
    <row r="1359" spans="1:16" x14ac:dyDescent="0.25">
      <c r="A1359" t="s">
        <v>843</v>
      </c>
      <c r="B1359" s="2">
        <v>44344</v>
      </c>
      <c r="C1359" t="str">
        <f>+"Tuáº§n "&amp;WEEKNUM(B1359)</f>
        <v>Tuáº§n 22</v>
      </c>
      <c r="D1359" t="s">
        <v>21</v>
      </c>
      <c r="E1359" t="s">
        <v>17</v>
      </c>
      <c r="F1359" s="5">
        <v>55000000</v>
      </c>
      <c r="G1359" s="5">
        <v>58000000</v>
      </c>
      <c r="H1359" s="5">
        <f>+(M1359*26000)/0.829426</f>
        <v>59637628.914454095</v>
      </c>
      <c r="I1359" s="5">
        <f>+G1359-H1359</f>
        <v>-1637628.9144540951</v>
      </c>
      <c r="J1359" s="5">
        <v>3000000</v>
      </c>
      <c r="K1359" s="5">
        <v>5500000</v>
      </c>
      <c r="L1359" s="5">
        <v>5800000</v>
      </c>
      <c r="M1359" s="7">
        <v>1902.5</v>
      </c>
      <c r="N1359" s="5">
        <v>55500000</v>
      </c>
      <c r="O1359" s="5">
        <v>58500000</v>
      </c>
      <c r="P1359" s="3">
        <v>0.97916666666666663</v>
      </c>
    </row>
    <row r="1360" spans="1:16" x14ac:dyDescent="0.25">
      <c r="A1360" s="2">
        <v>44202</v>
      </c>
      <c r="B1360" s="2">
        <v>44348</v>
      </c>
      <c r="C1360" t="str">
        <f>+"Tuáº§n "&amp;WEEKNUM(B1360)</f>
        <v>Tuáº§n 23</v>
      </c>
      <c r="D1360" t="s">
        <v>18</v>
      </c>
      <c r="E1360" t="s">
        <v>17</v>
      </c>
      <c r="F1360" s="5">
        <v>55000000</v>
      </c>
      <c r="G1360" s="5">
        <v>58000000</v>
      </c>
      <c r="H1360" s="5">
        <f>+(M1360*26000)/0.829426</f>
        <v>59650167.706341498</v>
      </c>
      <c r="I1360" s="5">
        <f>+G1360-H1360</f>
        <v>-1650167.7063414976</v>
      </c>
      <c r="J1360" s="5">
        <v>3000000</v>
      </c>
      <c r="K1360" s="5">
        <v>5500000</v>
      </c>
      <c r="L1360" s="5">
        <v>5800000</v>
      </c>
      <c r="M1360" s="7">
        <v>1902.9</v>
      </c>
      <c r="N1360" s="5">
        <v>55500000</v>
      </c>
      <c r="O1360" s="5">
        <v>58500000</v>
      </c>
      <c r="P1360" s="3">
        <v>0.97916666666666663</v>
      </c>
    </row>
    <row r="1361" spans="1:16" x14ac:dyDescent="0.25">
      <c r="A1361" s="2">
        <v>44233</v>
      </c>
      <c r="B1361" s="2">
        <v>44349</v>
      </c>
      <c r="C1361" t="str">
        <f>+"Tuáº§n "&amp;WEEKNUM(B1361)</f>
        <v>Tuáº§n 23</v>
      </c>
      <c r="D1361" t="s">
        <v>19</v>
      </c>
      <c r="E1361" t="s">
        <v>17</v>
      </c>
      <c r="F1361" s="5">
        <v>55200000</v>
      </c>
      <c r="G1361" s="5">
        <v>58200000</v>
      </c>
      <c r="H1361" s="5">
        <f>+(M1361*26000)/0.829426</f>
        <v>59794363.813046612</v>
      </c>
      <c r="I1361" s="5">
        <f>+G1361-H1361</f>
        <v>-1594363.8130466118</v>
      </c>
      <c r="J1361" s="5">
        <v>3000000</v>
      </c>
      <c r="K1361" s="5">
        <v>5520000</v>
      </c>
      <c r="L1361" s="5">
        <v>5820000</v>
      </c>
      <c r="M1361" s="7">
        <v>1907.5</v>
      </c>
      <c r="N1361" s="5">
        <v>55700000</v>
      </c>
      <c r="O1361" s="5">
        <v>58700000</v>
      </c>
      <c r="P1361" s="3">
        <v>0.97916666666666663</v>
      </c>
    </row>
    <row r="1362" spans="1:16" x14ac:dyDescent="0.25">
      <c r="A1362" s="2">
        <v>44261</v>
      </c>
      <c r="B1362" s="2">
        <v>44350</v>
      </c>
      <c r="C1362" t="str">
        <f>+"Tuáº§n "&amp;WEEKNUM(B1362)</f>
        <v>Tuáº§n 23</v>
      </c>
      <c r="D1362" t="s">
        <v>20</v>
      </c>
      <c r="E1362" t="s">
        <v>17</v>
      </c>
      <c r="F1362" s="5">
        <v>54100000</v>
      </c>
      <c r="G1362" s="5">
        <v>57100000</v>
      </c>
      <c r="H1362" s="5">
        <f>+(M1362*26000)/0.829426</f>
        <v>58656468.449264914</v>
      </c>
      <c r="I1362" s="5">
        <f>+G1362-H1362</f>
        <v>-1556468.4492649138</v>
      </c>
      <c r="J1362" s="5">
        <v>3000000</v>
      </c>
      <c r="K1362" s="5">
        <v>5410000</v>
      </c>
      <c r="L1362" s="5">
        <v>5710000</v>
      </c>
      <c r="M1362" s="7">
        <v>1871.2</v>
      </c>
      <c r="N1362" s="5">
        <v>54600000</v>
      </c>
      <c r="O1362" s="5">
        <v>57600000</v>
      </c>
      <c r="P1362" s="3">
        <v>0.97916666666666663</v>
      </c>
    </row>
    <row r="1363" spans="1:16" x14ac:dyDescent="0.25">
      <c r="A1363" s="2">
        <v>44292</v>
      </c>
      <c r="B1363" s="2">
        <v>44351</v>
      </c>
      <c r="C1363" t="str">
        <f>+"Tuáº§n "&amp;WEEKNUM(B1363)</f>
        <v>Tuáº§n 23</v>
      </c>
      <c r="D1363" t="s">
        <v>21</v>
      </c>
      <c r="E1363" t="s">
        <v>17</v>
      </c>
      <c r="F1363" s="5">
        <v>54600000</v>
      </c>
      <c r="G1363" s="5">
        <v>57600000</v>
      </c>
      <c r="H1363" s="5">
        <f>+(M1363*26000)/0.829426</f>
        <v>59239522.272029087</v>
      </c>
      <c r="I1363" s="5">
        <f>+G1363-H1363</f>
        <v>-1639522.2720290869</v>
      </c>
      <c r="J1363" s="5">
        <v>3000000</v>
      </c>
      <c r="K1363" s="5">
        <v>5460000</v>
      </c>
      <c r="L1363" s="5">
        <v>5760000</v>
      </c>
      <c r="M1363" s="7">
        <v>1889.8</v>
      </c>
      <c r="N1363" s="5">
        <v>55100000</v>
      </c>
      <c r="O1363" s="5">
        <v>58100000</v>
      </c>
      <c r="P1363" s="3">
        <v>0.97916666666666663</v>
      </c>
    </row>
    <row r="1364" spans="1:16" x14ac:dyDescent="0.25">
      <c r="A1364" s="2">
        <v>44383</v>
      </c>
      <c r="B1364" s="2">
        <v>44354</v>
      </c>
      <c r="C1364" t="str">
        <f>+"Tuáº§n "&amp;WEEKNUM(B1364)</f>
        <v>Tuáº§n 24</v>
      </c>
      <c r="D1364" t="s">
        <v>16</v>
      </c>
      <c r="E1364" t="s">
        <v>17</v>
      </c>
      <c r="F1364" s="5">
        <v>54900000</v>
      </c>
      <c r="G1364" s="5">
        <v>57900000</v>
      </c>
      <c r="H1364" s="5">
        <f>+(M1364*26000)/0.829426</f>
        <v>59458951.130058616</v>
      </c>
      <c r="I1364" s="5">
        <f>+G1364-H1364</f>
        <v>-1558951.1300586164</v>
      </c>
      <c r="J1364" s="5">
        <v>3000000</v>
      </c>
      <c r="K1364" s="5">
        <v>5490000</v>
      </c>
      <c r="L1364" s="5">
        <v>5790000</v>
      </c>
      <c r="M1364" s="7">
        <v>1896.8</v>
      </c>
      <c r="N1364" s="5">
        <v>55400000</v>
      </c>
      <c r="O1364" s="5">
        <v>58400000</v>
      </c>
      <c r="P1364" s="3">
        <v>0.97916666666666663</v>
      </c>
    </row>
    <row r="1365" spans="1:16" x14ac:dyDescent="0.25">
      <c r="A1365" s="2">
        <v>44414</v>
      </c>
      <c r="B1365" s="2">
        <v>44355</v>
      </c>
      <c r="C1365" t="str">
        <f>+"Tuáº§n "&amp;WEEKNUM(B1365)</f>
        <v>Tuáº§n 24</v>
      </c>
      <c r="D1365" t="s">
        <v>18</v>
      </c>
      <c r="E1365" t="s">
        <v>17</v>
      </c>
      <c r="F1365" s="5">
        <v>54700000</v>
      </c>
      <c r="G1365" s="5">
        <v>57700000</v>
      </c>
      <c r="H1365" s="5">
        <f>+(M1365*26000)/0.829426</f>
        <v>59314755.023353502</v>
      </c>
      <c r="I1365" s="5">
        <f>+G1365-H1365</f>
        <v>-1614755.0233535022</v>
      </c>
      <c r="J1365" s="5">
        <v>3000000</v>
      </c>
      <c r="K1365" s="5">
        <v>5470000</v>
      </c>
      <c r="L1365" s="5">
        <v>5770000</v>
      </c>
      <c r="M1365" s="7">
        <v>1892.2</v>
      </c>
      <c r="N1365" s="5">
        <v>55200000</v>
      </c>
      <c r="O1365" s="5">
        <v>58200000</v>
      </c>
      <c r="P1365" s="3">
        <v>0.97916666666666663</v>
      </c>
    </row>
    <row r="1366" spans="1:16" x14ac:dyDescent="0.25">
      <c r="A1366" s="2">
        <v>44445</v>
      </c>
      <c r="B1366" s="2">
        <v>44356</v>
      </c>
      <c r="C1366" t="str">
        <f>+"Tuáº§n "&amp;WEEKNUM(B1366)</f>
        <v>Tuáº§n 24</v>
      </c>
      <c r="D1366" t="s">
        <v>19</v>
      </c>
      <c r="E1366" t="s">
        <v>17</v>
      </c>
      <c r="F1366" s="5">
        <v>54700000</v>
      </c>
      <c r="G1366" s="5">
        <v>57700000</v>
      </c>
      <c r="H1366" s="5">
        <f>+(M1366*26000)/0.829426</f>
        <v>59346102.003072001</v>
      </c>
      <c r="I1366" s="5">
        <f>+G1366-H1366</f>
        <v>-1646102.003072001</v>
      </c>
      <c r="J1366" s="5">
        <v>3000000</v>
      </c>
      <c r="K1366" s="5">
        <v>5470000</v>
      </c>
      <c r="L1366" s="5">
        <v>5770000</v>
      </c>
      <c r="M1366" s="7">
        <v>1893.2</v>
      </c>
      <c r="N1366" s="5">
        <v>55200000</v>
      </c>
      <c r="O1366" s="5">
        <v>58200000</v>
      </c>
      <c r="P1366" s="3">
        <v>0.97916666666666663</v>
      </c>
    </row>
    <row r="1367" spans="1:16" x14ac:dyDescent="0.25">
      <c r="A1367" s="2">
        <v>44475</v>
      </c>
      <c r="B1367" s="2">
        <v>44357</v>
      </c>
      <c r="C1367" t="str">
        <f>+"Tuáº§n "&amp;WEEKNUM(B1367)</f>
        <v>Tuáº§n 24</v>
      </c>
      <c r="D1367" t="s">
        <v>20</v>
      </c>
      <c r="E1367" t="s">
        <v>17</v>
      </c>
      <c r="F1367" s="5">
        <v>54800000</v>
      </c>
      <c r="G1367" s="5">
        <v>57800000</v>
      </c>
      <c r="H1367" s="5">
        <f>+(M1367*26000)/0.829426</f>
        <v>59377448.982790507</v>
      </c>
      <c r="I1367" s="5">
        <f>+G1367-H1367</f>
        <v>-1577448.9827905074</v>
      </c>
      <c r="J1367" s="5">
        <v>3000000</v>
      </c>
      <c r="K1367" s="5">
        <v>5480000</v>
      </c>
      <c r="L1367" s="5">
        <v>5780000</v>
      </c>
      <c r="M1367" s="7">
        <v>1894.2</v>
      </c>
      <c r="N1367" s="5">
        <v>55300000</v>
      </c>
      <c r="O1367" s="5">
        <v>58300000</v>
      </c>
      <c r="P1367" s="3">
        <v>0.97916666666666663</v>
      </c>
    </row>
    <row r="1368" spans="1:16" x14ac:dyDescent="0.25">
      <c r="A1368" s="2">
        <v>44506</v>
      </c>
      <c r="B1368" s="2">
        <v>44358</v>
      </c>
      <c r="C1368" t="str">
        <f>+"Tuáº§n "&amp;WEEKNUM(B1368)</f>
        <v>Tuáº§n 24</v>
      </c>
      <c r="D1368" t="s">
        <v>21</v>
      </c>
      <c r="E1368" t="s">
        <v>17</v>
      </c>
      <c r="F1368" s="5">
        <v>54300000</v>
      </c>
      <c r="G1368" s="5">
        <v>57300000</v>
      </c>
      <c r="H1368" s="5">
        <f>+(M1368*26000)/0.829426</f>
        <v>58850819.723519638</v>
      </c>
      <c r="I1368" s="5">
        <f>+G1368-H1368</f>
        <v>-1550819.7235196382</v>
      </c>
      <c r="J1368" s="5">
        <v>3000000</v>
      </c>
      <c r="K1368" s="5">
        <v>5430000</v>
      </c>
      <c r="L1368" s="5">
        <v>5730000</v>
      </c>
      <c r="M1368" s="7">
        <v>1877.4</v>
      </c>
      <c r="N1368" s="5">
        <v>54800000</v>
      </c>
      <c r="O1368" s="5">
        <v>57800000</v>
      </c>
      <c r="P1368" s="3">
        <v>0.97916666666666663</v>
      </c>
    </row>
    <row r="1369" spans="1:16" x14ac:dyDescent="0.25">
      <c r="A1369" t="s">
        <v>844</v>
      </c>
      <c r="B1369" s="2">
        <v>44361</v>
      </c>
      <c r="C1369" t="str">
        <f>+"Tuáº§n "&amp;WEEKNUM(B1369)</f>
        <v>Tuáº§n 25</v>
      </c>
      <c r="D1369" t="s">
        <v>16</v>
      </c>
      <c r="E1369" t="s">
        <v>17</v>
      </c>
      <c r="F1369" s="5">
        <v>53900000</v>
      </c>
      <c r="G1369" s="5">
        <v>56900000</v>
      </c>
      <c r="H1369" s="5">
        <f>+(M1369*26000)/0.829426</f>
        <v>58430770.195291683</v>
      </c>
      <c r="I1369" s="5">
        <f>+G1369-H1369</f>
        <v>-1530770.1952916831</v>
      </c>
      <c r="J1369" s="5">
        <v>3000000</v>
      </c>
      <c r="K1369" s="5">
        <v>5390000</v>
      </c>
      <c r="L1369" s="5">
        <v>5690000</v>
      </c>
      <c r="M1369" s="7">
        <v>1864</v>
      </c>
      <c r="N1369" s="5">
        <v>54400000</v>
      </c>
      <c r="O1369" s="5">
        <v>57400000</v>
      </c>
      <c r="P1369" s="3">
        <v>0.97916666666666663</v>
      </c>
    </row>
    <row r="1370" spans="1:16" x14ac:dyDescent="0.25">
      <c r="A1370" t="s">
        <v>845</v>
      </c>
      <c r="B1370" s="2">
        <v>44362</v>
      </c>
      <c r="C1370" t="str">
        <f>+"Tuáº§n "&amp;WEEKNUM(B1370)</f>
        <v>Tuáº§n 25</v>
      </c>
      <c r="D1370" t="s">
        <v>18</v>
      </c>
      <c r="E1370" t="s">
        <v>17</v>
      </c>
      <c r="F1370" s="5">
        <v>53600000</v>
      </c>
      <c r="G1370" s="5">
        <v>56600000</v>
      </c>
      <c r="H1370" s="5">
        <f>+(M1370*26000)/0.829426</f>
        <v>58132973.887965895</v>
      </c>
      <c r="I1370" s="5">
        <f>+G1370-H1370</f>
        <v>-1532973.8879658952</v>
      </c>
      <c r="J1370" s="5">
        <v>3000000</v>
      </c>
      <c r="K1370" s="5">
        <v>5360000</v>
      </c>
      <c r="L1370" s="5">
        <v>5660000</v>
      </c>
      <c r="M1370" s="7">
        <v>1854.5</v>
      </c>
      <c r="N1370" s="5">
        <v>54100000</v>
      </c>
      <c r="O1370" s="5">
        <v>57100000</v>
      </c>
      <c r="P1370" s="3">
        <v>0.97916666666666663</v>
      </c>
    </row>
    <row r="1371" spans="1:16" x14ac:dyDescent="0.25">
      <c r="A1371" t="s">
        <v>846</v>
      </c>
      <c r="B1371" s="2">
        <v>44363</v>
      </c>
      <c r="C1371" t="str">
        <f>+"Tuáº§n "&amp;WEEKNUM(B1371)</f>
        <v>Tuáº§n 25</v>
      </c>
      <c r="D1371" t="s">
        <v>19</v>
      </c>
      <c r="E1371" t="s">
        <v>17</v>
      </c>
      <c r="F1371" s="5">
        <v>53700000</v>
      </c>
      <c r="G1371" s="5">
        <v>56700000</v>
      </c>
      <c r="H1371" s="5">
        <f>+(M1371*26000)/0.829426</f>
        <v>58289708.786558412</v>
      </c>
      <c r="I1371" s="5">
        <f>+G1371-H1371</f>
        <v>-1589708.786558412</v>
      </c>
      <c r="J1371" s="5">
        <v>3000000</v>
      </c>
      <c r="K1371" s="5">
        <v>5370000</v>
      </c>
      <c r="L1371" s="5">
        <v>5670000</v>
      </c>
      <c r="M1371" s="7">
        <v>1859.5</v>
      </c>
      <c r="N1371" s="5">
        <v>54200000</v>
      </c>
      <c r="O1371" s="5">
        <v>57200000</v>
      </c>
      <c r="P1371" s="3">
        <v>0.97916666666666663</v>
      </c>
    </row>
    <row r="1372" spans="1:16" x14ac:dyDescent="0.25">
      <c r="A1372" t="s">
        <v>847</v>
      </c>
      <c r="B1372" s="2">
        <v>44364</v>
      </c>
      <c r="C1372" t="str">
        <f>+"Tuáº§n "&amp;WEEKNUM(B1372)</f>
        <v>Tuáº§n 25</v>
      </c>
      <c r="D1372" t="s">
        <v>20</v>
      </c>
      <c r="E1372" t="s">
        <v>17</v>
      </c>
      <c r="F1372" s="5">
        <v>51100000</v>
      </c>
      <c r="G1372" s="5">
        <v>54100000</v>
      </c>
      <c r="H1372" s="5">
        <f>+(M1372*26000)/0.829426</f>
        <v>55603272.624682613</v>
      </c>
      <c r="I1372" s="5">
        <f>+G1372-H1372</f>
        <v>-1503272.6246826127</v>
      </c>
      <c r="J1372" s="5">
        <v>3000000</v>
      </c>
      <c r="K1372" s="5">
        <v>5110000</v>
      </c>
      <c r="L1372" s="5">
        <v>5410000</v>
      </c>
      <c r="M1372" s="7">
        <v>1773.8</v>
      </c>
      <c r="N1372" s="5">
        <v>51600000</v>
      </c>
      <c r="O1372" s="5">
        <v>54600000</v>
      </c>
      <c r="P1372" s="3">
        <v>0.97916666666666663</v>
      </c>
    </row>
    <row r="1373" spans="1:16" x14ac:dyDescent="0.25">
      <c r="A1373" t="s">
        <v>848</v>
      </c>
      <c r="B1373" s="2">
        <v>44365</v>
      </c>
      <c r="C1373" t="str">
        <f>+"Tuáº§n "&amp;WEEKNUM(B1373)</f>
        <v>Tuáº§n 25</v>
      </c>
      <c r="D1373" t="s">
        <v>21</v>
      </c>
      <c r="E1373" t="s">
        <v>17</v>
      </c>
      <c r="F1373" s="5">
        <v>50900000</v>
      </c>
      <c r="G1373" s="5">
        <v>53900000</v>
      </c>
      <c r="H1373" s="5">
        <f>+(M1373*26000)/0.829426</f>
        <v>55418325.44434344</v>
      </c>
      <c r="I1373" s="5">
        <f>+G1373-H1373</f>
        <v>-1518325.4443434402</v>
      </c>
      <c r="J1373" s="5">
        <v>3000000</v>
      </c>
      <c r="K1373" s="5">
        <v>5090000</v>
      </c>
      <c r="L1373" s="5">
        <v>5390000</v>
      </c>
      <c r="M1373" s="7">
        <v>1767.9</v>
      </c>
      <c r="N1373" s="5">
        <v>51400000</v>
      </c>
      <c r="O1373" s="5">
        <v>54400000</v>
      </c>
      <c r="P1373" s="3">
        <v>0.97916666666666663</v>
      </c>
    </row>
    <row r="1374" spans="1:16" x14ac:dyDescent="0.25">
      <c r="A1374" t="s">
        <v>849</v>
      </c>
      <c r="B1374" s="2">
        <v>44368</v>
      </c>
      <c r="C1374" t="str">
        <f>+"Tuáº§n "&amp;WEEKNUM(B1374)</f>
        <v>Tuáº§n 26</v>
      </c>
      <c r="D1374" t="s">
        <v>16</v>
      </c>
      <c r="E1374" t="s">
        <v>17</v>
      </c>
      <c r="F1374" s="5">
        <v>51400000</v>
      </c>
      <c r="G1374" s="5">
        <v>54400000</v>
      </c>
      <c r="H1374" s="5">
        <f>+(M1374*26000)/0.829426</f>
        <v>55854048.462430649</v>
      </c>
      <c r="I1374" s="5">
        <f>+G1374-H1374</f>
        <v>-1454048.4624306485</v>
      </c>
      <c r="J1374" s="5">
        <v>3000000</v>
      </c>
      <c r="K1374" s="5">
        <v>5140000</v>
      </c>
      <c r="L1374" s="5">
        <v>5440000</v>
      </c>
      <c r="M1374" s="7">
        <v>1781.8</v>
      </c>
      <c r="N1374" s="5">
        <v>51900000</v>
      </c>
      <c r="O1374" s="5">
        <v>54900000</v>
      </c>
      <c r="P1374" s="3">
        <v>0.97916666666666663</v>
      </c>
    </row>
    <row r="1375" spans="1:16" x14ac:dyDescent="0.25">
      <c r="A1375" t="s">
        <v>850</v>
      </c>
      <c r="B1375" s="2">
        <v>44369</v>
      </c>
      <c r="C1375" t="str">
        <f>+"Tuáº§n "&amp;WEEKNUM(B1375)</f>
        <v>Tuáº§n 26</v>
      </c>
      <c r="D1375" t="s">
        <v>18</v>
      </c>
      <c r="E1375" t="s">
        <v>17</v>
      </c>
      <c r="F1375" s="5">
        <v>51200000</v>
      </c>
      <c r="G1375" s="5">
        <v>54200000</v>
      </c>
      <c r="H1375" s="5">
        <f>+(M1375*26000)/0.829426</f>
        <v>55681640.073978871</v>
      </c>
      <c r="I1375" s="5">
        <f>+G1375-H1375</f>
        <v>-1481640.0739788711</v>
      </c>
      <c r="J1375" s="5">
        <v>3000000</v>
      </c>
      <c r="K1375" s="5">
        <v>5120000</v>
      </c>
      <c r="L1375" s="5">
        <v>5420000</v>
      </c>
      <c r="M1375" s="7">
        <v>1776.3</v>
      </c>
      <c r="N1375" s="5">
        <v>51700000</v>
      </c>
      <c r="O1375" s="5">
        <v>54700000</v>
      </c>
      <c r="P1375" s="3">
        <v>0.97916666666666663</v>
      </c>
    </row>
    <row r="1376" spans="1:16" x14ac:dyDescent="0.25">
      <c r="A1376" t="s">
        <v>851</v>
      </c>
      <c r="B1376" s="2">
        <v>44370</v>
      </c>
      <c r="C1376" t="str">
        <f>+"Tuáº§n "&amp;WEEKNUM(B1376)</f>
        <v>Tuáº§n 26</v>
      </c>
      <c r="D1376" t="s">
        <v>19</v>
      </c>
      <c r="E1376" t="s">
        <v>17</v>
      </c>
      <c r="F1376" s="5">
        <v>51400000</v>
      </c>
      <c r="G1376" s="5">
        <v>54400000</v>
      </c>
      <c r="H1376" s="5">
        <f>+(M1376*26000)/0.829426</f>
        <v>55869721.952289894</v>
      </c>
      <c r="I1376" s="5">
        <f>+G1376-H1376</f>
        <v>-1469721.9522898942</v>
      </c>
      <c r="J1376" s="5">
        <v>3000000</v>
      </c>
      <c r="K1376" s="5">
        <v>5140000</v>
      </c>
      <c r="L1376" s="5">
        <v>5440000</v>
      </c>
      <c r="M1376" s="7">
        <v>1782.3</v>
      </c>
      <c r="N1376" s="5">
        <v>51900000</v>
      </c>
      <c r="O1376" s="5">
        <v>54900000</v>
      </c>
      <c r="P1376" s="3">
        <v>0.97916666666666663</v>
      </c>
    </row>
    <row r="1377" spans="1:16" x14ac:dyDescent="0.25">
      <c r="A1377" t="s">
        <v>852</v>
      </c>
      <c r="B1377" s="2">
        <v>44371</v>
      </c>
      <c r="C1377" t="str">
        <f>+"Tuáº§n "&amp;WEEKNUM(B1377)</f>
        <v>Tuáº§n 26</v>
      </c>
      <c r="D1377" t="s">
        <v>20</v>
      </c>
      <c r="E1377" t="s">
        <v>17</v>
      </c>
      <c r="F1377" s="5">
        <v>51200000</v>
      </c>
      <c r="G1377" s="5">
        <v>54200000</v>
      </c>
      <c r="H1377" s="5">
        <f>+(M1377*26000)/0.829426</f>
        <v>55659697.188175917</v>
      </c>
      <c r="I1377" s="5">
        <f>+G1377-H1377</f>
        <v>-1459697.1881759167</v>
      </c>
      <c r="J1377" s="5">
        <v>3000000</v>
      </c>
      <c r="K1377" s="5">
        <v>5120000</v>
      </c>
      <c r="L1377" s="5">
        <v>5420000</v>
      </c>
      <c r="M1377" s="7">
        <v>1775.6</v>
      </c>
      <c r="N1377" s="5">
        <v>51700000</v>
      </c>
      <c r="O1377" s="5">
        <v>54700000</v>
      </c>
      <c r="P1377" s="3">
        <v>0.97916666666666663</v>
      </c>
    </row>
    <row r="1378" spans="1:16" x14ac:dyDescent="0.25">
      <c r="A1378" t="s">
        <v>853</v>
      </c>
      <c r="B1378" s="2">
        <v>44372</v>
      </c>
      <c r="C1378" t="str">
        <f>+"Tuáº§n "&amp;WEEKNUM(B1378)</f>
        <v>Tuáº§n 26</v>
      </c>
      <c r="D1378" t="s">
        <v>21</v>
      </c>
      <c r="E1378" t="s">
        <v>17</v>
      </c>
      <c r="F1378" s="5">
        <v>51200000</v>
      </c>
      <c r="G1378" s="5">
        <v>54200000</v>
      </c>
      <c r="H1378" s="5">
        <f>+(M1378*26000)/0.829426</f>
        <v>55691044.167894423</v>
      </c>
      <c r="I1378" s="5">
        <f>+G1378-H1378</f>
        <v>-1491044.167894423</v>
      </c>
      <c r="J1378" s="5">
        <v>3000000</v>
      </c>
      <c r="K1378" s="5">
        <v>5120000</v>
      </c>
      <c r="L1378" s="5">
        <v>5420000</v>
      </c>
      <c r="M1378" s="7">
        <v>1776.6</v>
      </c>
      <c r="N1378" s="5">
        <v>51700000</v>
      </c>
      <c r="O1378" s="5">
        <v>54700000</v>
      </c>
      <c r="P1378" s="3">
        <v>0.97916666666666663</v>
      </c>
    </row>
    <row r="1379" spans="1:16" x14ac:dyDescent="0.25">
      <c r="A1379" t="s">
        <v>854</v>
      </c>
      <c r="B1379" s="2">
        <v>44375</v>
      </c>
      <c r="C1379" t="str">
        <f>+"Tuáº§n "&amp;WEEKNUM(B1379)</f>
        <v>Tuáº§n 27</v>
      </c>
      <c r="D1379" t="s">
        <v>16</v>
      </c>
      <c r="E1379" t="s">
        <v>17</v>
      </c>
      <c r="F1379" s="5">
        <v>51300000</v>
      </c>
      <c r="G1379" s="5">
        <v>54300000</v>
      </c>
      <c r="H1379" s="5">
        <f>+(M1379*26000)/0.829426</f>
        <v>55785085.107049935</v>
      </c>
      <c r="I1379" s="5">
        <f>+G1379-H1379</f>
        <v>-1485085.1070499346</v>
      </c>
      <c r="J1379" s="5">
        <v>3000000</v>
      </c>
      <c r="K1379" s="5">
        <v>5130000</v>
      </c>
      <c r="L1379" s="5">
        <v>5430000</v>
      </c>
      <c r="M1379" s="7">
        <v>1779.6</v>
      </c>
      <c r="N1379" s="5">
        <v>51800000</v>
      </c>
      <c r="O1379" s="5">
        <v>54800000</v>
      </c>
      <c r="P1379" s="3">
        <v>0.97916666666666663</v>
      </c>
    </row>
    <row r="1380" spans="1:16" x14ac:dyDescent="0.25">
      <c r="A1380" t="s">
        <v>855</v>
      </c>
      <c r="B1380" s="2">
        <v>44376</v>
      </c>
      <c r="C1380" t="str">
        <f>+"Tuáº§n "&amp;WEEKNUM(B1380)</f>
        <v>Tuáº§n 27</v>
      </c>
      <c r="D1380" t="s">
        <v>18</v>
      </c>
      <c r="E1380" t="s">
        <v>17</v>
      </c>
      <c r="F1380" s="5">
        <v>50800000</v>
      </c>
      <c r="G1380" s="5">
        <v>53800000</v>
      </c>
      <c r="H1380" s="5">
        <f>+(M1380*26000)/0.829426</f>
        <v>55258455.847779065</v>
      </c>
      <c r="I1380" s="5">
        <f>+G1380-H1380</f>
        <v>-1458455.8477790654</v>
      </c>
      <c r="J1380" s="5">
        <v>3000000</v>
      </c>
      <c r="K1380" s="5">
        <v>5080000</v>
      </c>
      <c r="L1380" s="5">
        <v>5380000</v>
      </c>
      <c r="M1380" s="7">
        <v>1762.8</v>
      </c>
      <c r="N1380" s="5">
        <v>51300000</v>
      </c>
      <c r="O1380" s="5">
        <v>54300000</v>
      </c>
      <c r="P1380" s="3">
        <v>0.97916666666666663</v>
      </c>
    </row>
    <row r="1381" spans="1:16" x14ac:dyDescent="0.25">
      <c r="A1381" t="s">
        <v>856</v>
      </c>
      <c r="B1381" s="2">
        <v>44377</v>
      </c>
      <c r="C1381" t="str">
        <f>+"Tuáº§n "&amp;WEEKNUM(B1381)</f>
        <v>Tuáº§n 27</v>
      </c>
      <c r="D1381" t="s">
        <v>19</v>
      </c>
      <c r="E1381" t="s">
        <v>17</v>
      </c>
      <c r="F1381" s="5">
        <v>51000000</v>
      </c>
      <c r="G1381" s="5">
        <v>54000000</v>
      </c>
      <c r="H1381" s="5">
        <f>+(M1381*26000)/0.829426</f>
        <v>55509231.685527101</v>
      </c>
      <c r="I1381" s="5">
        <f>+G1381-H1381</f>
        <v>-1509231.6855271012</v>
      </c>
      <c r="J1381" s="5">
        <v>3000000</v>
      </c>
      <c r="K1381" s="5">
        <v>5100000</v>
      </c>
      <c r="L1381" s="5">
        <v>5400000</v>
      </c>
      <c r="M1381" s="7">
        <v>1770.8</v>
      </c>
      <c r="N1381" s="5">
        <v>51500000</v>
      </c>
      <c r="O1381" s="5">
        <v>54500000</v>
      </c>
      <c r="P1381" s="3">
        <v>0.97916666666666663</v>
      </c>
    </row>
    <row r="1382" spans="1:16" x14ac:dyDescent="0.25">
      <c r="A1382" s="2">
        <v>44203</v>
      </c>
      <c r="B1382" s="2">
        <v>44378</v>
      </c>
      <c r="C1382" t="str">
        <f>+"Tuáº§n "&amp;WEEKNUM(B1382)</f>
        <v>Tuáº§n 27</v>
      </c>
      <c r="D1382" t="s">
        <v>20</v>
      </c>
      <c r="E1382" t="s">
        <v>17</v>
      </c>
      <c r="F1382" s="5">
        <v>51200000</v>
      </c>
      <c r="G1382" s="5">
        <v>54200000</v>
      </c>
      <c r="H1382" s="5">
        <f>+(M1382*26000)/0.829426</f>
        <v>55669101.282091469</v>
      </c>
      <c r="I1382" s="5">
        <f>+G1382-H1382</f>
        <v>-1469101.2820914686</v>
      </c>
      <c r="J1382" s="5">
        <v>3000000</v>
      </c>
      <c r="K1382" s="5">
        <v>5120000</v>
      </c>
      <c r="L1382" s="5">
        <v>5420000</v>
      </c>
      <c r="M1382" s="7">
        <v>1775.9</v>
      </c>
      <c r="N1382" s="5">
        <v>51700000</v>
      </c>
      <c r="O1382" s="5">
        <v>54700000</v>
      </c>
      <c r="P1382" s="3">
        <v>0.97916666666666663</v>
      </c>
    </row>
    <row r="1383" spans="1:16" x14ac:dyDescent="0.25">
      <c r="A1383" s="2">
        <v>44234</v>
      </c>
      <c r="B1383" s="2">
        <v>44379</v>
      </c>
      <c r="C1383" t="str">
        <f>+"Tuáº§n "&amp;WEEKNUM(B1383)</f>
        <v>Tuáº§n 27</v>
      </c>
      <c r="D1383" t="s">
        <v>21</v>
      </c>
      <c r="E1383" t="s">
        <v>17</v>
      </c>
      <c r="F1383" s="5">
        <v>51400000</v>
      </c>
      <c r="G1383" s="5">
        <v>54400000</v>
      </c>
      <c r="H1383" s="5">
        <f>+(M1383*26000)/0.829426</f>
        <v>55879126.046205446</v>
      </c>
      <c r="I1383" s="5">
        <f>+G1383-H1383</f>
        <v>-1479126.0462054461</v>
      </c>
      <c r="J1383" s="5">
        <v>3000000</v>
      </c>
      <c r="K1383" s="5">
        <v>5140000</v>
      </c>
      <c r="L1383" s="5">
        <v>5440000</v>
      </c>
      <c r="M1383" s="7">
        <v>1782.6</v>
      </c>
      <c r="N1383" s="5">
        <v>51900000</v>
      </c>
      <c r="O1383" s="5">
        <v>54900000</v>
      </c>
      <c r="P1383" s="3">
        <v>0.97916666666666663</v>
      </c>
    </row>
    <row r="1384" spans="1:16" x14ac:dyDescent="0.25">
      <c r="A1384" s="2">
        <v>44354</v>
      </c>
      <c r="B1384" s="2">
        <v>44383</v>
      </c>
      <c r="C1384" t="str">
        <f>+"Tuáº§n "&amp;WEEKNUM(B1384)</f>
        <v>Tuáº§n 28</v>
      </c>
      <c r="D1384" t="s">
        <v>18</v>
      </c>
      <c r="E1384" t="s">
        <v>17</v>
      </c>
      <c r="F1384" s="5">
        <v>51700000</v>
      </c>
      <c r="G1384" s="5">
        <v>54700000</v>
      </c>
      <c r="H1384" s="5">
        <f>+(M1384*26000)/0.829426</f>
        <v>56220808.125137143</v>
      </c>
      <c r="I1384" s="5">
        <f>+G1384-H1384</f>
        <v>-1520808.1251371428</v>
      </c>
      <c r="J1384" s="5">
        <v>3000000</v>
      </c>
      <c r="K1384" s="5">
        <v>5170000</v>
      </c>
      <c r="L1384" s="5">
        <v>5470000</v>
      </c>
      <c r="M1384" s="7">
        <v>1793.5</v>
      </c>
      <c r="N1384" s="5">
        <v>52200000</v>
      </c>
      <c r="O1384" s="5">
        <v>55200000</v>
      </c>
      <c r="P1384" s="3">
        <v>0.97916666666666663</v>
      </c>
    </row>
    <row r="1385" spans="1:16" x14ac:dyDescent="0.25">
      <c r="A1385" s="2">
        <v>44384</v>
      </c>
      <c r="B1385" s="2">
        <v>44384</v>
      </c>
      <c r="C1385" t="str">
        <f>+"Tuáº§n "&amp;WEEKNUM(B1385)</f>
        <v>Tuáº§n 28</v>
      </c>
      <c r="D1385" t="s">
        <v>19</v>
      </c>
      <c r="E1385" t="s">
        <v>17</v>
      </c>
      <c r="F1385" s="5">
        <v>52000000</v>
      </c>
      <c r="G1385" s="5">
        <v>55000000</v>
      </c>
      <c r="H1385" s="5">
        <f>+(M1385*26000)/0.829426</f>
        <v>56471583.962885179</v>
      </c>
      <c r="I1385" s="5">
        <f>+G1385-H1385</f>
        <v>-1471583.9628851786</v>
      </c>
      <c r="J1385" s="5">
        <v>3000000</v>
      </c>
      <c r="K1385" s="5">
        <v>5200000</v>
      </c>
      <c r="L1385" s="5">
        <v>5500000</v>
      </c>
      <c r="M1385" s="7">
        <v>1801.5</v>
      </c>
      <c r="N1385" s="5">
        <v>52500000</v>
      </c>
      <c r="O1385" s="5">
        <v>55500000</v>
      </c>
      <c r="P1385" s="3">
        <v>0.97916666666666663</v>
      </c>
    </row>
    <row r="1386" spans="1:16" x14ac:dyDescent="0.25">
      <c r="A1386" s="2">
        <v>44415</v>
      </c>
      <c r="B1386" s="2">
        <v>44385</v>
      </c>
      <c r="C1386" t="str">
        <f>+"Tuáº§n "&amp;WEEKNUM(B1386)</f>
        <v>Tuáº§n 28</v>
      </c>
      <c r="D1386" t="s">
        <v>20</v>
      </c>
      <c r="E1386" t="s">
        <v>17</v>
      </c>
      <c r="F1386" s="5">
        <v>51900000</v>
      </c>
      <c r="G1386" s="5">
        <v>54900000</v>
      </c>
      <c r="H1386" s="5">
        <f>+(M1386*26000)/0.829426</f>
        <v>56412024.701420017</v>
      </c>
      <c r="I1386" s="5">
        <f>+G1386-H1386</f>
        <v>-1512024.7014200166</v>
      </c>
      <c r="J1386" s="5">
        <v>3000000</v>
      </c>
      <c r="K1386" s="5">
        <v>5190000</v>
      </c>
      <c r="L1386" s="5">
        <v>5490000</v>
      </c>
      <c r="M1386" s="7">
        <v>1799.6</v>
      </c>
      <c r="N1386" s="5">
        <v>52400000</v>
      </c>
      <c r="O1386" s="5">
        <v>55400000</v>
      </c>
      <c r="P1386" s="3">
        <v>0.97916666666666663</v>
      </c>
    </row>
    <row r="1387" spans="1:16" x14ac:dyDescent="0.25">
      <c r="A1387" s="2">
        <v>44446</v>
      </c>
      <c r="B1387" s="2">
        <v>44386</v>
      </c>
      <c r="C1387" t="str">
        <f>+"Tuáº§n "&amp;WEEKNUM(B1387)</f>
        <v>Tuáº§n 28</v>
      </c>
      <c r="D1387" t="s">
        <v>21</v>
      </c>
      <c r="E1387" t="s">
        <v>17</v>
      </c>
      <c r="F1387" s="5">
        <v>52200000</v>
      </c>
      <c r="G1387" s="5">
        <v>55200000</v>
      </c>
      <c r="H1387" s="5">
        <f>+(M1387*26000)/0.829426</f>
        <v>56738033.29049246</v>
      </c>
      <c r="I1387" s="5">
        <f>+G1387-H1387</f>
        <v>-1538033.2904924601</v>
      </c>
      <c r="J1387" s="5">
        <v>3000000</v>
      </c>
      <c r="K1387" s="5">
        <v>5220000</v>
      </c>
      <c r="L1387" s="5">
        <v>5520000</v>
      </c>
      <c r="M1387" s="7">
        <v>1810</v>
      </c>
      <c r="N1387" s="5">
        <v>52700000</v>
      </c>
      <c r="O1387" s="5">
        <v>55700000</v>
      </c>
      <c r="P1387" s="3">
        <v>0.97916666666666663</v>
      </c>
    </row>
    <row r="1388" spans="1:16" x14ac:dyDescent="0.25">
      <c r="A1388" s="2">
        <v>44537</v>
      </c>
      <c r="B1388" s="2">
        <v>44389</v>
      </c>
      <c r="C1388" t="str">
        <f>+"Tuáº§n "&amp;WEEKNUM(B1388)</f>
        <v>Tuáº§n 29</v>
      </c>
      <c r="D1388" t="s">
        <v>16</v>
      </c>
      <c r="E1388" t="s">
        <v>17</v>
      </c>
      <c r="F1388" s="5">
        <v>52100000</v>
      </c>
      <c r="G1388" s="5">
        <v>55100000</v>
      </c>
      <c r="H1388" s="5">
        <f>+(M1388*26000)/0.829426</f>
        <v>56596971.881759189</v>
      </c>
      <c r="I1388" s="5">
        <f>+G1388-H1388</f>
        <v>-1496971.8817591891</v>
      </c>
      <c r="J1388" s="5">
        <v>3000000</v>
      </c>
      <c r="K1388" s="5">
        <v>5210000</v>
      </c>
      <c r="L1388" s="5">
        <v>5510000</v>
      </c>
      <c r="M1388" s="7">
        <v>1805.5</v>
      </c>
      <c r="N1388" s="5">
        <v>52600000</v>
      </c>
      <c r="O1388" s="5">
        <v>55600000</v>
      </c>
      <c r="P1388" s="3">
        <v>0.97916666666666663</v>
      </c>
    </row>
    <row r="1389" spans="1:16" x14ac:dyDescent="0.25">
      <c r="A1389" t="s">
        <v>857</v>
      </c>
      <c r="B1389" s="2">
        <v>44390</v>
      </c>
      <c r="C1389" t="str">
        <f>+"Tuáº§n "&amp;WEEKNUM(B1389)</f>
        <v>Tuáº§n 29</v>
      </c>
      <c r="D1389" t="s">
        <v>18</v>
      </c>
      <c r="E1389" t="s">
        <v>17</v>
      </c>
      <c r="F1389" s="5">
        <v>52200000</v>
      </c>
      <c r="G1389" s="5">
        <v>55200000</v>
      </c>
      <c r="H1389" s="5">
        <f>+(M1389*26000)/0.829426</f>
        <v>56719225.102661356</v>
      </c>
      <c r="I1389" s="5">
        <f>+G1389-H1389</f>
        <v>-1519225.1026613563</v>
      </c>
      <c r="J1389" s="5">
        <v>3000000</v>
      </c>
      <c r="K1389" s="5">
        <v>5220000</v>
      </c>
      <c r="L1389" s="5">
        <v>5520000</v>
      </c>
      <c r="M1389" s="7">
        <v>1809.4</v>
      </c>
      <c r="N1389" s="5">
        <v>52700000</v>
      </c>
      <c r="O1389" s="5">
        <v>55700000</v>
      </c>
      <c r="P1389" s="3">
        <v>0.97916666666666663</v>
      </c>
    </row>
    <row r="1390" spans="1:16" x14ac:dyDescent="0.25">
      <c r="A1390" t="s">
        <v>858</v>
      </c>
      <c r="B1390" s="2">
        <v>44391</v>
      </c>
      <c r="C1390" t="str">
        <f>+"Tuáº§n "&amp;WEEKNUM(B1390)</f>
        <v>Tuáº§n 29</v>
      </c>
      <c r="D1390" t="s">
        <v>19</v>
      </c>
      <c r="E1390" t="s">
        <v>17</v>
      </c>
      <c r="F1390" s="5">
        <v>52600000</v>
      </c>
      <c r="G1390" s="5">
        <v>55600000</v>
      </c>
      <c r="H1390" s="5">
        <f>+(M1390*26000)/0.829426</f>
        <v>57186295.100467071</v>
      </c>
      <c r="I1390" s="5">
        <f>+G1390-H1390</f>
        <v>-1586295.1004670709</v>
      </c>
      <c r="J1390" s="5">
        <v>3000000</v>
      </c>
      <c r="K1390" s="5">
        <v>5260000</v>
      </c>
      <c r="L1390" s="5">
        <v>5560000</v>
      </c>
      <c r="M1390" s="7">
        <v>1824.3</v>
      </c>
      <c r="N1390" s="5">
        <v>53100000</v>
      </c>
      <c r="O1390" s="5">
        <v>56100000</v>
      </c>
      <c r="P1390" s="3">
        <v>0.97916666666666663</v>
      </c>
    </row>
    <row r="1391" spans="1:16" x14ac:dyDescent="0.25">
      <c r="A1391" t="s">
        <v>859</v>
      </c>
      <c r="B1391" s="2">
        <v>44392</v>
      </c>
      <c r="C1391" t="str">
        <f>+"Tuáº§n "&amp;WEEKNUM(B1391)</f>
        <v>Tuáº§n 29</v>
      </c>
      <c r="D1391" t="s">
        <v>20</v>
      </c>
      <c r="E1391" t="s">
        <v>17</v>
      </c>
      <c r="F1391" s="5">
        <v>52800000</v>
      </c>
      <c r="G1391" s="5">
        <v>55800000</v>
      </c>
      <c r="H1391" s="5">
        <f>+(M1391*26000)/0.829426</f>
        <v>57314817.717312939</v>
      </c>
      <c r="I1391" s="5">
        <f>+G1391-H1391</f>
        <v>-1514817.7173129395</v>
      </c>
      <c r="J1391" s="5">
        <v>3000000</v>
      </c>
      <c r="K1391" s="5">
        <v>5280000</v>
      </c>
      <c r="L1391" s="5">
        <v>5580000</v>
      </c>
      <c r="M1391" s="7">
        <v>1828.4</v>
      </c>
      <c r="N1391" s="5">
        <v>53300000</v>
      </c>
      <c r="O1391" s="5">
        <v>56300000</v>
      </c>
      <c r="P1391" s="3">
        <v>0.97916666666666663</v>
      </c>
    </row>
    <row r="1392" spans="1:16" x14ac:dyDescent="0.25">
      <c r="A1392" t="s">
        <v>860</v>
      </c>
      <c r="B1392" s="2">
        <v>44393</v>
      </c>
      <c r="C1392" t="str">
        <f>+"Tuáº§n "&amp;WEEKNUM(B1392)</f>
        <v>Tuáº§n 29</v>
      </c>
      <c r="D1392" t="s">
        <v>21</v>
      </c>
      <c r="E1392" t="s">
        <v>17</v>
      </c>
      <c r="F1392" s="5">
        <v>52300000</v>
      </c>
      <c r="G1392" s="5">
        <v>55300000</v>
      </c>
      <c r="H1392" s="5">
        <f>+(M1392*26000)/0.829426</f>
        <v>56879094.699225731</v>
      </c>
      <c r="I1392" s="5">
        <f>+G1392-H1392</f>
        <v>-1579094.6992257312</v>
      </c>
      <c r="J1392" s="5">
        <v>3000000</v>
      </c>
      <c r="K1392" s="5">
        <v>5230000</v>
      </c>
      <c r="L1392" s="5">
        <v>5530000</v>
      </c>
      <c r="M1392" s="7">
        <v>1814.5</v>
      </c>
      <c r="N1392" s="5">
        <v>52800000</v>
      </c>
      <c r="O1392" s="5">
        <v>55800000</v>
      </c>
      <c r="P1392" s="3">
        <v>0.97916666666666663</v>
      </c>
    </row>
    <row r="1393" spans="1:16" x14ac:dyDescent="0.25">
      <c r="A1393" t="s">
        <v>861</v>
      </c>
      <c r="B1393" s="2">
        <v>44396</v>
      </c>
      <c r="C1393" t="str">
        <f>+"Tuáº§n "&amp;WEEKNUM(B1393)</f>
        <v>Tuáº§n 30</v>
      </c>
      <c r="D1393" t="s">
        <v>16</v>
      </c>
      <c r="E1393" t="s">
        <v>17</v>
      </c>
      <c r="F1393" s="5">
        <v>52200000</v>
      </c>
      <c r="G1393" s="5">
        <v>55200000</v>
      </c>
      <c r="H1393" s="5">
        <f>+(M1393*26000)/0.829426</f>
        <v>56697282.216858409</v>
      </c>
      <c r="I1393" s="5">
        <f>+G1393-H1393</f>
        <v>-1497282.2168584093</v>
      </c>
      <c r="J1393" s="5">
        <v>3000000</v>
      </c>
      <c r="K1393" s="5">
        <v>5220000</v>
      </c>
      <c r="L1393" s="5">
        <v>5520000</v>
      </c>
      <c r="M1393" s="7">
        <v>1808.7</v>
      </c>
      <c r="N1393" s="5">
        <v>52700000</v>
      </c>
      <c r="O1393" s="5">
        <v>55700000</v>
      </c>
      <c r="P1393" s="3">
        <v>0.97916666666666663</v>
      </c>
    </row>
    <row r="1394" spans="1:16" x14ac:dyDescent="0.25">
      <c r="A1394" t="s">
        <v>862</v>
      </c>
      <c r="B1394" s="2">
        <v>44397</v>
      </c>
      <c r="C1394" t="str">
        <f>+"Tuáº§n "&amp;WEEKNUM(B1394)</f>
        <v>Tuáº§n 30</v>
      </c>
      <c r="D1394" t="s">
        <v>18</v>
      </c>
      <c r="E1394" t="s">
        <v>17</v>
      </c>
      <c r="F1394" s="5">
        <v>52200000</v>
      </c>
      <c r="G1394" s="5">
        <v>55200000</v>
      </c>
      <c r="H1394" s="5">
        <f>+(M1394*26000)/0.829426</f>
        <v>56766245.572239116</v>
      </c>
      <c r="I1394" s="5">
        <f>+G1394-H1394</f>
        <v>-1566245.5722391158</v>
      </c>
      <c r="J1394" s="5">
        <v>3000000</v>
      </c>
      <c r="K1394" s="5">
        <v>5220000</v>
      </c>
      <c r="L1394" s="5">
        <v>5520000</v>
      </c>
      <c r="M1394" s="7">
        <v>1810.9</v>
      </c>
      <c r="N1394" s="5">
        <v>52700000</v>
      </c>
      <c r="O1394" s="5">
        <v>55700000</v>
      </c>
      <c r="P1394" s="3">
        <v>0.97916666666666663</v>
      </c>
    </row>
    <row r="1395" spans="1:16" x14ac:dyDescent="0.25">
      <c r="A1395" t="s">
        <v>863</v>
      </c>
      <c r="B1395" s="2">
        <v>44398</v>
      </c>
      <c r="C1395" t="str">
        <f>+"Tuáº§n "&amp;WEEKNUM(B1395)</f>
        <v>Tuáº§n 30</v>
      </c>
      <c r="D1395" t="s">
        <v>19</v>
      </c>
      <c r="E1395" t="s">
        <v>17</v>
      </c>
      <c r="F1395" s="5">
        <v>52000000</v>
      </c>
      <c r="G1395" s="5">
        <v>55000000</v>
      </c>
      <c r="H1395" s="5">
        <f>+(M1395*26000)/0.829426</f>
        <v>56515469.73449108</v>
      </c>
      <c r="I1395" s="5">
        <f>+G1395-H1395</f>
        <v>-1515469.73449108</v>
      </c>
      <c r="J1395" s="5">
        <v>3000000</v>
      </c>
      <c r="K1395" s="5">
        <v>5200000</v>
      </c>
      <c r="L1395" s="5">
        <v>5500000</v>
      </c>
      <c r="M1395" s="7">
        <v>1802.9</v>
      </c>
      <c r="N1395" s="5">
        <v>52500000</v>
      </c>
      <c r="O1395" s="5">
        <v>55500000</v>
      </c>
      <c r="P1395" s="3">
        <v>0.97916666666666663</v>
      </c>
    </row>
    <row r="1396" spans="1:16" x14ac:dyDescent="0.25">
      <c r="A1396" t="s">
        <v>864</v>
      </c>
      <c r="B1396" s="2">
        <v>44399</v>
      </c>
      <c r="C1396" t="str">
        <f>+"Tuáº§n "&amp;WEEKNUM(B1396)</f>
        <v>Tuáº§n 30</v>
      </c>
      <c r="D1396" t="s">
        <v>20</v>
      </c>
      <c r="E1396" t="s">
        <v>17</v>
      </c>
      <c r="F1396" s="5">
        <v>52100000</v>
      </c>
      <c r="G1396" s="5">
        <v>55100000</v>
      </c>
      <c r="H1396" s="5">
        <f>+(M1396*26000)/0.829426</f>
        <v>56581298.391899943</v>
      </c>
      <c r="I1396" s="5">
        <f>+G1396-H1396</f>
        <v>-1481298.3918999434</v>
      </c>
      <c r="J1396" s="5">
        <v>3000000</v>
      </c>
      <c r="K1396" s="5">
        <v>5210000</v>
      </c>
      <c r="L1396" s="5">
        <v>5510000</v>
      </c>
      <c r="M1396" s="7">
        <v>1805</v>
      </c>
      <c r="N1396" s="5">
        <v>52600000</v>
      </c>
      <c r="O1396" s="5">
        <v>55600000</v>
      </c>
      <c r="P1396" s="3">
        <v>0.97916666666666663</v>
      </c>
    </row>
    <row r="1397" spans="1:16" x14ac:dyDescent="0.25">
      <c r="A1397" t="s">
        <v>865</v>
      </c>
      <c r="B1397" s="2">
        <v>44400</v>
      </c>
      <c r="C1397" t="str">
        <f>+"Tuáº§n "&amp;WEEKNUM(B1397)</f>
        <v>Tuáº§n 30</v>
      </c>
      <c r="D1397" t="s">
        <v>21</v>
      </c>
      <c r="E1397" t="s">
        <v>17</v>
      </c>
      <c r="F1397" s="5">
        <v>51900000</v>
      </c>
      <c r="G1397" s="5">
        <v>54900000</v>
      </c>
      <c r="H1397" s="5">
        <f>+(M1397*26000)/0.829426</f>
        <v>56468449.264913328</v>
      </c>
      <c r="I1397" s="5">
        <f>+G1397-H1397</f>
        <v>-1568449.264913328</v>
      </c>
      <c r="J1397" s="5">
        <v>3000000</v>
      </c>
      <c r="K1397" s="5">
        <v>5190000</v>
      </c>
      <c r="L1397" s="5">
        <v>5490000</v>
      </c>
      <c r="M1397" s="7">
        <v>1801.4</v>
      </c>
      <c r="N1397" s="5">
        <v>52400000</v>
      </c>
      <c r="O1397" s="5">
        <v>55400000</v>
      </c>
      <c r="P1397" s="3">
        <v>0.97916666666666663</v>
      </c>
    </row>
    <row r="1398" spans="1:16" x14ac:dyDescent="0.25">
      <c r="A1398" t="s">
        <v>866</v>
      </c>
      <c r="B1398" s="2">
        <v>44403</v>
      </c>
      <c r="C1398" t="str">
        <f>+"Tuáº§n "&amp;WEEKNUM(B1398)</f>
        <v>Tuáº§n 31</v>
      </c>
      <c r="D1398" t="s">
        <v>16</v>
      </c>
      <c r="E1398" t="s">
        <v>17</v>
      </c>
      <c r="F1398" s="5">
        <v>51900000</v>
      </c>
      <c r="G1398" s="5">
        <v>54900000</v>
      </c>
      <c r="H1398" s="5">
        <f>+(M1398*26000)/0.829426</f>
        <v>56383812.419673368</v>
      </c>
      <c r="I1398" s="5">
        <f>+G1398-H1398</f>
        <v>-1483812.4196733683</v>
      </c>
      <c r="J1398" s="5">
        <v>3000000</v>
      </c>
      <c r="K1398" s="5">
        <v>5190000</v>
      </c>
      <c r="L1398" s="5">
        <v>5490000</v>
      </c>
      <c r="M1398" s="7">
        <v>1798.7</v>
      </c>
      <c r="N1398" s="5">
        <v>52400000</v>
      </c>
      <c r="O1398" s="5">
        <v>55400000</v>
      </c>
      <c r="P1398" s="3">
        <v>0.97916666666666663</v>
      </c>
    </row>
    <row r="1399" spans="1:16" x14ac:dyDescent="0.25">
      <c r="A1399" t="s">
        <v>867</v>
      </c>
      <c r="B1399" s="2">
        <v>44404</v>
      </c>
      <c r="C1399" t="str">
        <f>+"Tuáº§n "&amp;WEEKNUM(B1399)</f>
        <v>Tuáº§n 31</v>
      </c>
      <c r="D1399" t="s">
        <v>18</v>
      </c>
      <c r="E1399" t="s">
        <v>17</v>
      </c>
      <c r="F1399" s="5">
        <v>51900000</v>
      </c>
      <c r="G1399" s="5">
        <v>54900000</v>
      </c>
      <c r="H1399" s="5">
        <f>+(M1399*26000)/0.829426</f>
        <v>56408890.003448166</v>
      </c>
      <c r="I1399" s="5">
        <f>+G1399-H1399</f>
        <v>-1508890.003448166</v>
      </c>
      <c r="J1399" s="5">
        <v>3000000</v>
      </c>
      <c r="K1399" s="5">
        <v>5190000</v>
      </c>
      <c r="L1399" s="5">
        <v>5490000</v>
      </c>
      <c r="M1399" s="7">
        <v>1799.5</v>
      </c>
      <c r="N1399" s="5">
        <v>52400000</v>
      </c>
      <c r="O1399" s="5">
        <v>55400000</v>
      </c>
      <c r="P1399" s="3">
        <v>0.97916666666666663</v>
      </c>
    </row>
    <row r="1400" spans="1:16" x14ac:dyDescent="0.25">
      <c r="A1400" t="s">
        <v>868</v>
      </c>
      <c r="B1400" s="2">
        <v>44405</v>
      </c>
      <c r="C1400" t="str">
        <f>+"Tuáº§n "&amp;WEEKNUM(B1400)</f>
        <v>Tuáº§n 31</v>
      </c>
      <c r="D1400" t="s">
        <v>19</v>
      </c>
      <c r="E1400" t="s">
        <v>17</v>
      </c>
      <c r="F1400" s="5">
        <v>51900000</v>
      </c>
      <c r="G1400" s="5">
        <v>54900000</v>
      </c>
      <c r="H1400" s="5">
        <f>+(M1400*26000)/0.829426</f>
        <v>56408890.003448166</v>
      </c>
      <c r="I1400" s="5">
        <f>+G1400-H1400</f>
        <v>-1508890.003448166</v>
      </c>
      <c r="J1400" s="5">
        <v>3000000</v>
      </c>
      <c r="K1400" s="5">
        <v>5190000</v>
      </c>
      <c r="L1400" s="5">
        <v>5490000</v>
      </c>
      <c r="M1400" s="7">
        <v>1799.5</v>
      </c>
      <c r="N1400" s="5">
        <v>52400000</v>
      </c>
      <c r="O1400" s="5">
        <v>55400000</v>
      </c>
      <c r="P1400" s="3">
        <v>0.97916666666666663</v>
      </c>
    </row>
    <row r="1401" spans="1:16" x14ac:dyDescent="0.25">
      <c r="A1401" t="s">
        <v>869</v>
      </c>
      <c r="B1401" s="2">
        <v>44406</v>
      </c>
      <c r="C1401" t="str">
        <f>+"Tuáº§n "&amp;WEEKNUM(B1401)</f>
        <v>Tuáº§n 31</v>
      </c>
      <c r="D1401" t="s">
        <v>20</v>
      </c>
      <c r="E1401" t="s">
        <v>17</v>
      </c>
      <c r="F1401" s="5">
        <v>52900000</v>
      </c>
      <c r="G1401" s="5">
        <v>55900000</v>
      </c>
      <c r="H1401" s="5">
        <f>+(M1401*26000)/0.829426</f>
        <v>57402589.26052475</v>
      </c>
      <c r="I1401" s="5">
        <f>+G1401-H1401</f>
        <v>-1502589.2605247498</v>
      </c>
      <c r="J1401" s="5">
        <v>3000000</v>
      </c>
      <c r="K1401" s="5">
        <v>5290000</v>
      </c>
      <c r="L1401" s="5">
        <v>5590000</v>
      </c>
      <c r="M1401" s="7">
        <v>1831.2</v>
      </c>
      <c r="N1401" s="5">
        <v>53400000</v>
      </c>
      <c r="O1401" s="5">
        <v>56400000</v>
      </c>
      <c r="P1401" s="3">
        <v>0.97916666666666663</v>
      </c>
    </row>
    <row r="1402" spans="1:16" x14ac:dyDescent="0.25">
      <c r="A1402" t="s">
        <v>870</v>
      </c>
      <c r="B1402" s="2">
        <v>44407</v>
      </c>
      <c r="C1402" t="str">
        <f>+"Tuáº§n "&amp;WEEKNUM(B1402)</f>
        <v>Tuáº§n 31</v>
      </c>
      <c r="D1402" t="s">
        <v>21</v>
      </c>
      <c r="E1402" t="s">
        <v>17</v>
      </c>
      <c r="F1402" s="5">
        <v>52300000</v>
      </c>
      <c r="G1402" s="5">
        <v>55300000</v>
      </c>
      <c r="H1402" s="5">
        <f>+(M1402*26000)/0.829426</f>
        <v>56819535.437760569</v>
      </c>
      <c r="I1402" s="5">
        <f>+G1402-H1402</f>
        <v>-1519535.4377605692</v>
      </c>
      <c r="J1402" s="5">
        <v>3000000</v>
      </c>
      <c r="K1402" s="5">
        <v>5230000</v>
      </c>
      <c r="L1402" s="5">
        <v>5530000</v>
      </c>
      <c r="M1402" s="7">
        <v>1812.6</v>
      </c>
      <c r="N1402" s="5">
        <v>52800000</v>
      </c>
      <c r="O1402" s="5">
        <v>55800000</v>
      </c>
      <c r="P1402" s="3">
        <v>0.97916666666666663</v>
      </c>
    </row>
    <row r="1403" spans="1:16" x14ac:dyDescent="0.25">
      <c r="A1403" s="2">
        <v>44235</v>
      </c>
      <c r="B1403" s="2">
        <v>44410</v>
      </c>
      <c r="C1403" t="str">
        <f>+"Tuáº§n "&amp;WEEKNUM(B1403)</f>
        <v>Tuáº§n 32</v>
      </c>
      <c r="D1403" t="s">
        <v>16</v>
      </c>
      <c r="E1403" t="s">
        <v>17</v>
      </c>
      <c r="F1403" s="5">
        <v>52500000</v>
      </c>
      <c r="G1403" s="5">
        <v>55500000</v>
      </c>
      <c r="H1403" s="5">
        <f>+(M1403*26000)/0.829426</f>
        <v>56991943.826212347</v>
      </c>
      <c r="I1403" s="5">
        <f>+G1403-H1403</f>
        <v>-1491943.8262123466</v>
      </c>
      <c r="J1403" s="5">
        <v>3000000</v>
      </c>
      <c r="K1403" s="5">
        <v>5250000</v>
      </c>
      <c r="L1403" s="5">
        <v>5550000</v>
      </c>
      <c r="M1403" s="7">
        <v>1818.1</v>
      </c>
      <c r="N1403" s="5">
        <v>53000000</v>
      </c>
      <c r="O1403" s="5">
        <v>56000000</v>
      </c>
      <c r="P1403" s="3">
        <v>0.97916666666666663</v>
      </c>
    </row>
    <row r="1404" spans="1:16" x14ac:dyDescent="0.25">
      <c r="A1404" s="2">
        <v>44263</v>
      </c>
      <c r="B1404" s="2">
        <v>44411</v>
      </c>
      <c r="C1404" t="str">
        <f>+"Tuáº§n "&amp;WEEKNUM(B1404)</f>
        <v>Tuáº§n 32</v>
      </c>
      <c r="D1404" t="s">
        <v>18</v>
      </c>
      <c r="E1404" t="s">
        <v>17</v>
      </c>
      <c r="F1404" s="5">
        <v>52200000</v>
      </c>
      <c r="G1404" s="5">
        <v>55200000</v>
      </c>
      <c r="H1404" s="5">
        <f>+(M1404*26000)/0.829426</f>
        <v>56741167.988464311</v>
      </c>
      <c r="I1404" s="5">
        <f>+G1404-H1404</f>
        <v>-1541167.9884643108</v>
      </c>
      <c r="J1404" s="5">
        <v>3000000</v>
      </c>
      <c r="K1404" s="5">
        <v>5220000</v>
      </c>
      <c r="L1404" s="5">
        <v>5520000</v>
      </c>
      <c r="M1404" s="7">
        <v>1810.1</v>
      </c>
      <c r="N1404" s="5">
        <v>52700000</v>
      </c>
      <c r="O1404" s="5">
        <v>55700000</v>
      </c>
      <c r="P1404" s="3">
        <v>0.97916666666666663</v>
      </c>
    </row>
    <row r="1405" spans="1:16" x14ac:dyDescent="0.25">
      <c r="A1405" s="2">
        <v>44294</v>
      </c>
      <c r="B1405" s="2">
        <v>44412</v>
      </c>
      <c r="C1405" t="str">
        <f>+"Tuáº§n "&amp;WEEKNUM(B1405)</f>
        <v>Tuáº§n 32</v>
      </c>
      <c r="D1405" t="s">
        <v>19</v>
      </c>
      <c r="E1405" t="s">
        <v>17</v>
      </c>
      <c r="F1405" s="5">
        <v>52200000</v>
      </c>
      <c r="G1405" s="5">
        <v>55200000</v>
      </c>
      <c r="H1405" s="5">
        <f>+(M1405*26000)/0.829426</f>
        <v>56753706.780351713</v>
      </c>
      <c r="I1405" s="5">
        <f>+G1405-H1405</f>
        <v>-1553706.7803517133</v>
      </c>
      <c r="J1405" s="5">
        <v>3000000</v>
      </c>
      <c r="K1405" s="5">
        <v>5220000</v>
      </c>
      <c r="L1405" s="5">
        <v>5520000</v>
      </c>
      <c r="M1405" s="7">
        <v>1810.5</v>
      </c>
      <c r="N1405" s="5">
        <v>52700000</v>
      </c>
      <c r="O1405" s="5">
        <v>55700000</v>
      </c>
      <c r="P1405" s="3">
        <v>0.97916666666666663</v>
      </c>
    </row>
    <row r="1406" spans="1:16" x14ac:dyDescent="0.25">
      <c r="A1406" s="2">
        <v>44324</v>
      </c>
      <c r="B1406" s="2">
        <v>44413</v>
      </c>
      <c r="C1406" t="str">
        <f>+"Tuáº§n "&amp;WEEKNUM(B1406)</f>
        <v>Tuáº§n 32</v>
      </c>
      <c r="D1406" t="s">
        <v>20</v>
      </c>
      <c r="E1406" t="s">
        <v>17</v>
      </c>
      <c r="F1406" s="5">
        <v>52100000</v>
      </c>
      <c r="G1406" s="5">
        <v>55100000</v>
      </c>
      <c r="H1406" s="5">
        <f>+(M1406*26000)/0.829426</f>
        <v>56584433.089871794</v>
      </c>
      <c r="I1406" s="5">
        <f>+G1406-H1406</f>
        <v>-1484433.089871794</v>
      </c>
      <c r="J1406" s="5">
        <v>3000000</v>
      </c>
      <c r="K1406" s="5">
        <v>5210000</v>
      </c>
      <c r="L1406" s="5">
        <v>5510000</v>
      </c>
      <c r="M1406" s="7">
        <v>1805.1</v>
      </c>
      <c r="N1406" s="5">
        <v>52600000</v>
      </c>
      <c r="O1406" s="5">
        <v>55600000</v>
      </c>
      <c r="P1406" s="3">
        <v>0.97916666666666663</v>
      </c>
    </row>
    <row r="1407" spans="1:16" x14ac:dyDescent="0.25">
      <c r="A1407" s="2">
        <v>44355</v>
      </c>
      <c r="B1407" s="2">
        <v>44414</v>
      </c>
      <c r="C1407" t="str">
        <f>+"Tuáº§n "&amp;WEEKNUM(B1407)</f>
        <v>Tuáº§n 32</v>
      </c>
      <c r="D1407" t="s">
        <v>21</v>
      </c>
      <c r="E1407" t="s">
        <v>17</v>
      </c>
      <c r="F1407" s="5">
        <v>50700000</v>
      </c>
      <c r="G1407" s="5">
        <v>53700000</v>
      </c>
      <c r="H1407" s="5">
        <f>+(M1407*26000)/0.829426</f>
        <v>55170684.304567255</v>
      </c>
      <c r="I1407" s="5">
        <f>+G1407-H1407</f>
        <v>-1470684.3045672551</v>
      </c>
      <c r="J1407" s="5">
        <v>3000000</v>
      </c>
      <c r="K1407" s="5">
        <v>5070000</v>
      </c>
      <c r="L1407" s="5">
        <v>5370000</v>
      </c>
      <c r="M1407" s="7">
        <v>1760</v>
      </c>
      <c r="N1407" s="5">
        <v>51200000</v>
      </c>
      <c r="O1407" s="5">
        <v>54200000</v>
      </c>
      <c r="P1407" s="3">
        <v>0.97916666666666663</v>
      </c>
    </row>
    <row r="1408" spans="1:16" x14ac:dyDescent="0.25">
      <c r="A1408" s="2">
        <v>44447</v>
      </c>
      <c r="B1408" s="2">
        <v>44417</v>
      </c>
      <c r="C1408" t="str">
        <f>+"Tuáº§n "&amp;WEEKNUM(B1408)</f>
        <v>Tuáº§n 33</v>
      </c>
      <c r="D1408" t="s">
        <v>16</v>
      </c>
      <c r="E1408" t="s">
        <v>17</v>
      </c>
      <c r="F1408" s="5">
        <v>49600000</v>
      </c>
      <c r="G1408" s="5">
        <v>52600000</v>
      </c>
      <c r="H1408" s="5">
        <f>+(M1408*26000)/0.829426</f>
        <v>54023384.846870005</v>
      </c>
      <c r="I1408" s="5">
        <f>+G1408-H1408</f>
        <v>-1423384.8468700051</v>
      </c>
      <c r="J1408" s="5">
        <v>3000000</v>
      </c>
      <c r="K1408" s="5">
        <v>4960000</v>
      </c>
      <c r="L1408" s="5">
        <v>5260000</v>
      </c>
      <c r="M1408" s="7">
        <v>1723.4</v>
      </c>
      <c r="N1408" s="5">
        <v>50100000</v>
      </c>
      <c r="O1408" s="5">
        <v>53100000</v>
      </c>
      <c r="P1408" s="3">
        <v>0.97916666666666663</v>
      </c>
    </row>
    <row r="1409" spans="1:16" x14ac:dyDescent="0.25">
      <c r="A1409" s="2">
        <v>44477</v>
      </c>
      <c r="B1409" s="2">
        <v>44418</v>
      </c>
      <c r="C1409" t="str">
        <f>+"Tuáº§n "&amp;WEEKNUM(B1409)</f>
        <v>Tuáº§n 33</v>
      </c>
      <c r="D1409" t="s">
        <v>18</v>
      </c>
      <c r="E1409" t="s">
        <v>17</v>
      </c>
      <c r="F1409" s="5">
        <v>49700000</v>
      </c>
      <c r="G1409" s="5">
        <v>52700000</v>
      </c>
      <c r="H1409" s="5">
        <f>+(M1409*26000)/0.829426</f>
        <v>54192658.537349924</v>
      </c>
      <c r="I1409" s="5">
        <f>+G1409-H1409</f>
        <v>-1492658.5373499244</v>
      </c>
      <c r="J1409" s="5">
        <v>3000000</v>
      </c>
      <c r="K1409" s="5">
        <v>4970000</v>
      </c>
      <c r="L1409" s="5">
        <v>5270000</v>
      </c>
      <c r="M1409" s="7">
        <v>1728.8</v>
      </c>
      <c r="N1409" s="5">
        <v>50200000</v>
      </c>
      <c r="O1409" s="5">
        <v>53200000</v>
      </c>
      <c r="P1409" s="3">
        <v>0.97916666666666663</v>
      </c>
    </row>
    <row r="1410" spans="1:16" x14ac:dyDescent="0.25">
      <c r="A1410" s="2">
        <v>44508</v>
      </c>
      <c r="B1410" s="2">
        <v>44419</v>
      </c>
      <c r="C1410" t="str">
        <f>+"Tuáº§n "&amp;WEEKNUM(B1410)</f>
        <v>Tuáº§n 33</v>
      </c>
      <c r="D1410" t="s">
        <v>19</v>
      </c>
      <c r="E1410" t="s">
        <v>17</v>
      </c>
      <c r="F1410" s="5">
        <v>50400000</v>
      </c>
      <c r="G1410" s="5">
        <v>53400000</v>
      </c>
      <c r="H1410" s="5">
        <f>+(M1410*26000)/0.829426</f>
        <v>54869753.299269617</v>
      </c>
      <c r="I1410" s="5">
        <f>+G1410-H1410</f>
        <v>-1469753.2992696166</v>
      </c>
      <c r="J1410" s="5">
        <v>3000000</v>
      </c>
      <c r="K1410" s="5">
        <v>5040000</v>
      </c>
      <c r="L1410" s="5">
        <v>5340000</v>
      </c>
      <c r="M1410" s="7">
        <v>1750.4</v>
      </c>
      <c r="N1410" s="5">
        <v>50900000</v>
      </c>
      <c r="O1410" s="5">
        <v>53900000</v>
      </c>
      <c r="P1410" s="3">
        <v>0.97916666666666663</v>
      </c>
    </row>
    <row r="1411" spans="1:16" x14ac:dyDescent="0.25">
      <c r="A1411" s="2">
        <v>44538</v>
      </c>
      <c r="B1411" s="2">
        <v>44420</v>
      </c>
      <c r="C1411" t="str">
        <f>+"Tuáº§n "&amp;WEEKNUM(B1411)</f>
        <v>Tuáº§n 33</v>
      </c>
      <c r="D1411" t="s">
        <v>20</v>
      </c>
      <c r="E1411" t="s">
        <v>17</v>
      </c>
      <c r="F1411" s="5">
        <v>50300000</v>
      </c>
      <c r="G1411" s="5">
        <v>53300000</v>
      </c>
      <c r="H1411" s="5">
        <f>+(M1411*26000)/0.829426</f>
        <v>54825867.527663708</v>
      </c>
      <c r="I1411" s="5">
        <f>+G1411-H1411</f>
        <v>-1525867.5276637077</v>
      </c>
      <c r="J1411" s="5">
        <v>3000000</v>
      </c>
      <c r="K1411" s="5">
        <v>5030000</v>
      </c>
      <c r="L1411" s="5">
        <v>5330000</v>
      </c>
      <c r="M1411" s="7">
        <v>1749</v>
      </c>
      <c r="N1411" s="5">
        <v>50800000</v>
      </c>
      <c r="O1411" s="5">
        <v>53800000</v>
      </c>
      <c r="P1411" s="3">
        <v>0.97916666666666663</v>
      </c>
    </row>
    <row r="1412" spans="1:16" x14ac:dyDescent="0.25">
      <c r="A1412" t="s">
        <v>871</v>
      </c>
      <c r="B1412" s="2">
        <v>44421</v>
      </c>
      <c r="C1412" t="str">
        <f>+"Tuáº§n "&amp;WEEKNUM(B1412)</f>
        <v>Tuáº§n 33</v>
      </c>
      <c r="D1412" t="s">
        <v>21</v>
      </c>
      <c r="E1412" t="s">
        <v>17</v>
      </c>
      <c r="F1412" s="5">
        <v>51100000</v>
      </c>
      <c r="G1412" s="5">
        <v>54100000</v>
      </c>
      <c r="H1412" s="5">
        <f>+(M1412*26000)/0.829426</f>
        <v>55647158.396288514</v>
      </c>
      <c r="I1412" s="5">
        <f>+G1412-H1412</f>
        <v>-1547158.3962885141</v>
      </c>
      <c r="J1412" s="5">
        <v>3000000</v>
      </c>
      <c r="K1412" s="5">
        <v>5110000</v>
      </c>
      <c r="L1412" s="5">
        <v>5410000</v>
      </c>
      <c r="M1412" s="7">
        <v>1775.2</v>
      </c>
      <c r="N1412" s="5">
        <v>51600000</v>
      </c>
      <c r="O1412" s="5">
        <v>54600000</v>
      </c>
      <c r="P1412" s="3">
        <v>0.97916666666666663</v>
      </c>
    </row>
    <row r="1413" spans="1:16" x14ac:dyDescent="0.25">
      <c r="A1413" t="s">
        <v>872</v>
      </c>
      <c r="B1413" s="2">
        <v>44424</v>
      </c>
      <c r="C1413" t="str">
        <f>+"Tuáº§n "&amp;WEEKNUM(B1413)</f>
        <v>Tuáº§n 34</v>
      </c>
      <c r="D1413" t="s">
        <v>16</v>
      </c>
      <c r="E1413" t="s">
        <v>17</v>
      </c>
      <c r="F1413" s="5">
        <v>51500000</v>
      </c>
      <c r="G1413" s="5">
        <v>54500000</v>
      </c>
      <c r="H1413" s="5">
        <f>+(M1413*26000)/0.829426</f>
        <v>56013918.058995016</v>
      </c>
      <c r="I1413" s="5">
        <f>+G1413-H1413</f>
        <v>-1513918.0589950159</v>
      </c>
      <c r="J1413" s="5">
        <v>3000000</v>
      </c>
      <c r="K1413" s="5">
        <v>5150000</v>
      </c>
      <c r="L1413" s="5">
        <v>5450000</v>
      </c>
      <c r="M1413" s="7">
        <v>1786.9</v>
      </c>
      <c r="N1413" s="5">
        <v>52000000</v>
      </c>
      <c r="O1413" s="5">
        <v>55000000</v>
      </c>
      <c r="P1413" s="3">
        <v>0.97916666666666663</v>
      </c>
    </row>
    <row r="1414" spans="1:16" x14ac:dyDescent="0.25">
      <c r="A1414" t="s">
        <v>873</v>
      </c>
      <c r="B1414" s="2">
        <v>44425</v>
      </c>
      <c r="C1414" t="str">
        <f>+"Tuáº§n "&amp;WEEKNUM(B1414)</f>
        <v>Tuáº§n 34</v>
      </c>
      <c r="D1414" t="s">
        <v>18</v>
      </c>
      <c r="E1414" t="s">
        <v>17</v>
      </c>
      <c r="F1414" s="5">
        <v>51400000</v>
      </c>
      <c r="G1414" s="5">
        <v>54400000</v>
      </c>
      <c r="H1414" s="5">
        <f>+(M1414*26000)/0.829426</f>
        <v>55954358.797529861</v>
      </c>
      <c r="I1414" s="5">
        <f>+G1414-H1414</f>
        <v>-1554358.7975298613</v>
      </c>
      <c r="J1414" s="5">
        <v>3000000</v>
      </c>
      <c r="K1414" s="5">
        <v>5140000</v>
      </c>
      <c r="L1414" s="5">
        <v>5440000</v>
      </c>
      <c r="M1414" s="7">
        <v>1785</v>
      </c>
      <c r="N1414" s="5">
        <v>51900000</v>
      </c>
      <c r="O1414" s="5">
        <v>54900000</v>
      </c>
      <c r="P1414" s="3">
        <v>0.97916666666666663</v>
      </c>
    </row>
    <row r="1415" spans="1:16" x14ac:dyDescent="0.25">
      <c r="A1415" t="s">
        <v>874</v>
      </c>
      <c r="B1415" s="2">
        <v>44426</v>
      </c>
      <c r="C1415" t="str">
        <f>+"Tuáº§n "&amp;WEEKNUM(B1415)</f>
        <v>Tuáº§n 34</v>
      </c>
      <c r="D1415" t="s">
        <v>19</v>
      </c>
      <c r="E1415" t="s">
        <v>17</v>
      </c>
      <c r="F1415" s="5">
        <v>51300000</v>
      </c>
      <c r="G1415" s="5">
        <v>54300000</v>
      </c>
      <c r="H1415" s="5">
        <f>+(M1415*26000)/0.829426</f>
        <v>55847779.066486947</v>
      </c>
      <c r="I1415" s="5">
        <f>+G1415-H1415</f>
        <v>-1547779.0664869472</v>
      </c>
      <c r="J1415" s="5">
        <v>3000000</v>
      </c>
      <c r="K1415" s="5">
        <v>5130000</v>
      </c>
      <c r="L1415" s="5">
        <v>5430000</v>
      </c>
      <c r="M1415" s="7">
        <v>1781.6</v>
      </c>
      <c r="N1415" s="5">
        <v>51800000</v>
      </c>
      <c r="O1415" s="5">
        <v>54800000</v>
      </c>
      <c r="P1415" s="3">
        <v>0.97916666666666663</v>
      </c>
    </row>
    <row r="1416" spans="1:16" x14ac:dyDescent="0.25">
      <c r="A1416" t="s">
        <v>875</v>
      </c>
      <c r="B1416" s="2">
        <v>44427</v>
      </c>
      <c r="C1416" t="str">
        <f>+"Tuáº§n "&amp;WEEKNUM(B1416)</f>
        <v>Tuáº§n 34</v>
      </c>
      <c r="D1416" t="s">
        <v>20</v>
      </c>
      <c r="E1416" t="s">
        <v>17</v>
      </c>
      <c r="F1416" s="5">
        <v>51300000</v>
      </c>
      <c r="G1416" s="5">
        <v>54300000</v>
      </c>
      <c r="H1416" s="5">
        <f>+(M1416*26000)/0.829426</f>
        <v>55803893.294881038</v>
      </c>
      <c r="I1416" s="5">
        <f>+G1416-H1416</f>
        <v>-1503893.2948810384</v>
      </c>
      <c r="J1416" s="5">
        <v>3000000</v>
      </c>
      <c r="K1416" s="5">
        <v>5130000</v>
      </c>
      <c r="L1416" s="5">
        <v>5430000</v>
      </c>
      <c r="M1416" s="7">
        <v>1780.2</v>
      </c>
      <c r="N1416" s="5">
        <v>51800000</v>
      </c>
      <c r="O1416" s="5">
        <v>54800000</v>
      </c>
      <c r="P1416" s="3">
        <v>0.97916666666666663</v>
      </c>
    </row>
    <row r="1417" spans="1:16" x14ac:dyDescent="0.25">
      <c r="A1417" t="s">
        <v>876</v>
      </c>
      <c r="B1417" s="2">
        <v>44428</v>
      </c>
      <c r="C1417" t="str">
        <f>+"Tuáº§n "&amp;WEEKNUM(B1417)</f>
        <v>Tuáº§n 34</v>
      </c>
      <c r="D1417" t="s">
        <v>21</v>
      </c>
      <c r="E1417" t="s">
        <v>17</v>
      </c>
      <c r="F1417" s="5">
        <v>51300000</v>
      </c>
      <c r="G1417" s="5">
        <v>54300000</v>
      </c>
      <c r="H1417" s="5">
        <f>+(M1417*26000)/0.829426</f>
        <v>55828970.878655843</v>
      </c>
      <c r="I1417" s="5">
        <f>+G1417-H1417</f>
        <v>-1528970.8786558434</v>
      </c>
      <c r="J1417" s="5">
        <v>3000000</v>
      </c>
      <c r="K1417" s="5">
        <v>5130000</v>
      </c>
      <c r="L1417" s="5">
        <v>5430000</v>
      </c>
      <c r="M1417" s="7">
        <v>1781</v>
      </c>
      <c r="N1417" s="5">
        <v>51800000</v>
      </c>
      <c r="O1417" s="5">
        <v>54800000</v>
      </c>
      <c r="P1417" s="3">
        <v>0.97916666666666663</v>
      </c>
    </row>
    <row r="1418" spans="1:16" x14ac:dyDescent="0.25">
      <c r="A1418" t="s">
        <v>877</v>
      </c>
      <c r="B1418" s="2">
        <v>44431</v>
      </c>
      <c r="C1418" t="str">
        <f>+"Tuáº§n "&amp;WEEKNUM(B1418)</f>
        <v>Tuáº§n 35</v>
      </c>
      <c r="D1418" t="s">
        <v>16</v>
      </c>
      <c r="E1418" t="s">
        <v>17</v>
      </c>
      <c r="F1418" s="5">
        <v>52000000</v>
      </c>
      <c r="G1418" s="5">
        <v>55000000</v>
      </c>
      <c r="H1418" s="5">
        <f>+(M1418*26000)/0.829426</f>
        <v>56524873.828406632</v>
      </c>
      <c r="I1418" s="5">
        <f>+G1418-H1418</f>
        <v>-1524873.8284066319</v>
      </c>
      <c r="J1418" s="5">
        <v>3000000</v>
      </c>
      <c r="K1418" s="5">
        <v>5200000</v>
      </c>
      <c r="L1418" s="5">
        <v>5500000</v>
      </c>
      <c r="M1418" s="7">
        <v>1803.2</v>
      </c>
      <c r="N1418" s="5">
        <v>52500000</v>
      </c>
      <c r="O1418" s="5">
        <v>55500000</v>
      </c>
      <c r="P1418" s="3">
        <v>0.97916666666666663</v>
      </c>
    </row>
    <row r="1419" spans="1:16" x14ac:dyDescent="0.25">
      <c r="A1419" t="s">
        <v>878</v>
      </c>
      <c r="B1419" s="2">
        <v>44432</v>
      </c>
      <c r="C1419" t="str">
        <f>+"Tuáº§n "&amp;WEEKNUM(B1419)</f>
        <v>Tuáº§n 35</v>
      </c>
      <c r="D1419" t="s">
        <v>18</v>
      </c>
      <c r="E1419" t="s">
        <v>17</v>
      </c>
      <c r="F1419" s="5">
        <v>52100000</v>
      </c>
      <c r="G1419" s="5">
        <v>55100000</v>
      </c>
      <c r="H1419" s="5">
        <f>+(M1419*26000)/0.829426</f>
        <v>56600106.57973104</v>
      </c>
      <c r="I1419" s="5">
        <f>+G1419-H1419</f>
        <v>-1500106.5797310397</v>
      </c>
      <c r="J1419" s="5">
        <v>3000000</v>
      </c>
      <c r="K1419" s="5">
        <v>5210000</v>
      </c>
      <c r="L1419" s="5">
        <v>5510000</v>
      </c>
      <c r="M1419" s="7">
        <v>1805.6</v>
      </c>
      <c r="N1419" s="5">
        <v>52600000</v>
      </c>
      <c r="O1419" s="5">
        <v>55600000</v>
      </c>
      <c r="P1419" s="3">
        <v>0.97916666666666663</v>
      </c>
    </row>
    <row r="1420" spans="1:16" x14ac:dyDescent="0.25">
      <c r="A1420" t="s">
        <v>879</v>
      </c>
      <c r="B1420" s="2">
        <v>44433</v>
      </c>
      <c r="C1420" t="str">
        <f>+"Tuáº§n "&amp;WEEKNUM(B1420)</f>
        <v>Tuáº§n 35</v>
      </c>
      <c r="D1420" t="s">
        <v>19</v>
      </c>
      <c r="E1420" t="s">
        <v>17</v>
      </c>
      <c r="F1420" s="5">
        <v>51500000</v>
      </c>
      <c r="G1420" s="5">
        <v>54500000</v>
      </c>
      <c r="H1420" s="5">
        <f>+(M1420*26000)/0.829426</f>
        <v>56054669.132629074</v>
      </c>
      <c r="I1420" s="5">
        <f>+G1420-H1420</f>
        <v>-1554669.1326290742</v>
      </c>
      <c r="J1420" s="5">
        <v>3000000</v>
      </c>
      <c r="K1420" s="5">
        <v>5150000</v>
      </c>
      <c r="L1420" s="5">
        <v>5450000</v>
      </c>
      <c r="M1420" s="7">
        <v>1788.2</v>
      </c>
      <c r="N1420" s="5">
        <v>52000000</v>
      </c>
      <c r="O1420" s="5">
        <v>55000000</v>
      </c>
      <c r="P1420" s="3">
        <v>0.97916666666666663</v>
      </c>
    </row>
    <row r="1421" spans="1:16" x14ac:dyDescent="0.25">
      <c r="A1421" t="s">
        <v>880</v>
      </c>
      <c r="B1421" s="2">
        <v>44434</v>
      </c>
      <c r="C1421" t="str">
        <f>+"Tuáº§n "&amp;WEEKNUM(B1421)</f>
        <v>Tuáº§n 35</v>
      </c>
      <c r="D1421" t="s">
        <v>20</v>
      </c>
      <c r="E1421" t="s">
        <v>17</v>
      </c>
      <c r="F1421" s="5">
        <v>51700000</v>
      </c>
      <c r="G1421" s="5">
        <v>54700000</v>
      </c>
      <c r="H1421" s="5">
        <f>+(M1421*26000)/0.829426</f>
        <v>56180057.051503085</v>
      </c>
      <c r="I1421" s="5">
        <f>+G1421-H1421</f>
        <v>-1480057.0515030846</v>
      </c>
      <c r="J1421" s="5">
        <v>3000000</v>
      </c>
      <c r="K1421" s="5">
        <v>5170000</v>
      </c>
      <c r="L1421" s="5">
        <v>5470000</v>
      </c>
      <c r="M1421" s="7">
        <v>1792.2</v>
      </c>
      <c r="N1421" s="5">
        <v>52200000</v>
      </c>
      <c r="O1421" s="5">
        <v>55200000</v>
      </c>
      <c r="P1421" s="3">
        <v>0.97916666666666663</v>
      </c>
    </row>
    <row r="1422" spans="1:16" x14ac:dyDescent="0.25">
      <c r="A1422" t="s">
        <v>881</v>
      </c>
      <c r="B1422" s="2">
        <v>44435</v>
      </c>
      <c r="C1422" t="str">
        <f>+"Tuáº§n "&amp;WEEKNUM(B1422)</f>
        <v>Tuáº§n 35</v>
      </c>
      <c r="D1422" t="s">
        <v>21</v>
      </c>
      <c r="E1422" t="s">
        <v>17</v>
      </c>
      <c r="F1422" s="5">
        <v>52400000</v>
      </c>
      <c r="G1422" s="5">
        <v>55400000</v>
      </c>
      <c r="H1422" s="5">
        <f>+(M1422*26000)/0.829426</f>
        <v>56944923.356634587</v>
      </c>
      <c r="I1422" s="5">
        <f>+G1422-H1422</f>
        <v>-1544923.356634587</v>
      </c>
      <c r="J1422" s="5">
        <v>3000000</v>
      </c>
      <c r="K1422" s="5">
        <v>5240000</v>
      </c>
      <c r="L1422" s="5">
        <v>5540000</v>
      </c>
      <c r="M1422" s="7">
        <v>1816.6</v>
      </c>
      <c r="N1422" s="5">
        <v>52900000</v>
      </c>
      <c r="O1422" s="5">
        <v>55900000</v>
      </c>
      <c r="P1422" s="3">
        <v>0.97916666666666663</v>
      </c>
    </row>
    <row r="1423" spans="1:16" x14ac:dyDescent="0.25">
      <c r="A1423" t="s">
        <v>882</v>
      </c>
      <c r="B1423" s="2">
        <v>44438</v>
      </c>
      <c r="C1423" t="str">
        <f>+"Tuáº§n "&amp;WEEKNUM(B1423)</f>
        <v>Tuáº§n 36</v>
      </c>
      <c r="D1423" t="s">
        <v>16</v>
      </c>
      <c r="E1423" t="s">
        <v>17</v>
      </c>
      <c r="F1423" s="5">
        <v>52200000</v>
      </c>
      <c r="G1423" s="5">
        <v>55200000</v>
      </c>
      <c r="H1423" s="5">
        <f>+(M1423*26000)/0.829426</f>
        <v>56706686.310773954</v>
      </c>
      <c r="I1423" s="5">
        <f>+G1423-H1423</f>
        <v>-1506686.3107739538</v>
      </c>
      <c r="J1423" s="5">
        <v>3000000</v>
      </c>
      <c r="K1423" s="5">
        <v>5220000</v>
      </c>
      <c r="L1423" s="5">
        <v>5520000</v>
      </c>
      <c r="M1423" s="7">
        <v>1809</v>
      </c>
      <c r="N1423" s="5">
        <v>52700000</v>
      </c>
      <c r="O1423" s="5">
        <v>55700000</v>
      </c>
      <c r="P1423" s="3">
        <v>0.97916666666666663</v>
      </c>
    </row>
    <row r="1424" spans="1:16" x14ac:dyDescent="0.25">
      <c r="A1424" t="s">
        <v>883</v>
      </c>
      <c r="B1424" s="2">
        <v>44439</v>
      </c>
      <c r="C1424" t="str">
        <f>+"Tuáº§n "&amp;WEEKNUM(B1424)</f>
        <v>Tuáº§n 36</v>
      </c>
      <c r="D1424" t="s">
        <v>18</v>
      </c>
      <c r="E1424" t="s">
        <v>17</v>
      </c>
      <c r="F1424" s="5">
        <v>52400000</v>
      </c>
      <c r="G1424" s="5">
        <v>55400000</v>
      </c>
      <c r="H1424" s="5">
        <f>+(M1424*26000)/0.829426</f>
        <v>56894768.189084984</v>
      </c>
      <c r="I1424" s="5">
        <f>+G1424-H1424</f>
        <v>-1494768.1890849844</v>
      </c>
      <c r="J1424" s="5">
        <v>3000000</v>
      </c>
      <c r="K1424" s="5">
        <v>5240000</v>
      </c>
      <c r="L1424" s="5">
        <v>5540000</v>
      </c>
      <c r="M1424" s="7">
        <v>1815</v>
      </c>
      <c r="N1424" s="5">
        <v>52900000</v>
      </c>
      <c r="O1424" s="5">
        <v>55900000</v>
      </c>
      <c r="P1424" s="3">
        <v>0.97916666666666663</v>
      </c>
    </row>
    <row r="1425" spans="1:16" x14ac:dyDescent="0.25">
      <c r="A1425" s="2">
        <v>44205</v>
      </c>
      <c r="B1425" s="2">
        <v>44440</v>
      </c>
      <c r="C1425" t="str">
        <f>+"Tuáº§n "&amp;WEEKNUM(B1425)</f>
        <v>Tuáº§n 36</v>
      </c>
      <c r="D1425" t="s">
        <v>19</v>
      </c>
      <c r="E1425" t="s">
        <v>17</v>
      </c>
      <c r="F1425" s="5">
        <v>52300000</v>
      </c>
      <c r="G1425" s="5">
        <v>55300000</v>
      </c>
      <c r="H1425" s="5">
        <f>+(M1425*26000)/0.829426</f>
        <v>56835208.927619822</v>
      </c>
      <c r="I1425" s="5">
        <f>+G1425-H1425</f>
        <v>-1535208.9276198223</v>
      </c>
      <c r="J1425" s="5">
        <v>3000000</v>
      </c>
      <c r="K1425" s="5">
        <v>5230000</v>
      </c>
      <c r="L1425" s="5">
        <v>5530000</v>
      </c>
      <c r="M1425" s="7">
        <v>1813.1</v>
      </c>
      <c r="N1425" s="5">
        <v>52800000</v>
      </c>
      <c r="O1425" s="5">
        <v>55800000</v>
      </c>
      <c r="P1425" s="3">
        <v>0.97916666666666663</v>
      </c>
    </row>
    <row r="1426" spans="1:16" x14ac:dyDescent="0.25">
      <c r="A1426" s="2">
        <v>44236</v>
      </c>
      <c r="B1426" s="2">
        <v>44441</v>
      </c>
      <c r="C1426" t="str">
        <f>+"Tuáº§n "&amp;WEEKNUM(B1426)</f>
        <v>Tuáº§n 36</v>
      </c>
      <c r="D1426" t="s">
        <v>20</v>
      </c>
      <c r="E1426" t="s">
        <v>17</v>
      </c>
      <c r="F1426" s="5">
        <v>52200000</v>
      </c>
      <c r="G1426" s="5">
        <v>55200000</v>
      </c>
      <c r="H1426" s="5">
        <f>+(M1426*26000)/0.829426</f>
        <v>56697282.216858409</v>
      </c>
      <c r="I1426" s="5">
        <f>+G1426-H1426</f>
        <v>-1497282.2168584093</v>
      </c>
      <c r="J1426" s="5">
        <v>3000000</v>
      </c>
      <c r="K1426" s="5">
        <v>5220000</v>
      </c>
      <c r="L1426" s="5">
        <v>5520000</v>
      </c>
      <c r="M1426" s="7">
        <v>1808.7</v>
      </c>
      <c r="N1426" s="5">
        <v>52700000</v>
      </c>
      <c r="O1426" s="5">
        <v>55700000</v>
      </c>
      <c r="P1426" s="3">
        <v>0.97916666666666663</v>
      </c>
    </row>
    <row r="1427" spans="1:16" x14ac:dyDescent="0.25">
      <c r="A1427" s="2">
        <v>44264</v>
      </c>
      <c r="B1427" s="2">
        <v>44442</v>
      </c>
      <c r="C1427" t="str">
        <f>+"Tuáº§n "&amp;WEEKNUM(B1427)</f>
        <v>Tuáº§n 36</v>
      </c>
      <c r="D1427" t="s">
        <v>21</v>
      </c>
      <c r="E1427" t="s">
        <v>17</v>
      </c>
      <c r="F1427" s="5">
        <v>52800000</v>
      </c>
      <c r="G1427" s="5">
        <v>55800000</v>
      </c>
      <c r="H1427" s="5">
        <f>+(M1427*26000)/0.829426</f>
        <v>57393185.166609198</v>
      </c>
      <c r="I1427" s="5">
        <f>+G1427-H1427</f>
        <v>-1593185.1666091979</v>
      </c>
      <c r="J1427" s="5">
        <v>3000000</v>
      </c>
      <c r="K1427" s="5">
        <v>5280000</v>
      </c>
      <c r="L1427" s="5">
        <v>5580000</v>
      </c>
      <c r="M1427" s="7">
        <v>1830.9</v>
      </c>
      <c r="N1427" s="5">
        <v>53300000</v>
      </c>
      <c r="O1427" s="5">
        <v>56300000</v>
      </c>
      <c r="P1427" s="3">
        <v>0.97916666666666663</v>
      </c>
    </row>
    <row r="1428" spans="1:16" x14ac:dyDescent="0.25">
      <c r="A1428" s="2">
        <v>44386</v>
      </c>
      <c r="B1428" s="2">
        <v>44446</v>
      </c>
      <c r="C1428" t="str">
        <f>+"Tuáº§n "&amp;WEEKNUM(B1428)</f>
        <v>Tuáº§n 37</v>
      </c>
      <c r="D1428" t="s">
        <v>18</v>
      </c>
      <c r="E1428" t="s">
        <v>17</v>
      </c>
      <c r="F1428" s="5">
        <v>51800000</v>
      </c>
      <c r="G1428" s="5">
        <v>54800000</v>
      </c>
      <c r="H1428" s="5">
        <f>+(M1428*26000)/0.829426</f>
        <v>56296040.876461551</v>
      </c>
      <c r="I1428" s="5">
        <f>+G1428-H1428</f>
        <v>-1496040.8764615506</v>
      </c>
      <c r="J1428" s="5">
        <v>3000000</v>
      </c>
      <c r="K1428" s="5">
        <v>5180000</v>
      </c>
      <c r="L1428" s="5">
        <v>5480000</v>
      </c>
      <c r="M1428" s="7">
        <v>1795.9</v>
      </c>
      <c r="N1428" s="5">
        <v>52300000</v>
      </c>
      <c r="O1428" s="5">
        <v>55300000</v>
      </c>
      <c r="P1428" s="3">
        <v>0.97916666666666663</v>
      </c>
    </row>
    <row r="1429" spans="1:16" x14ac:dyDescent="0.25">
      <c r="A1429" s="2">
        <v>44417</v>
      </c>
      <c r="B1429" s="2">
        <v>44447</v>
      </c>
      <c r="C1429" t="str">
        <f>+"Tuáº§n "&amp;WEEKNUM(B1429)</f>
        <v>Tuáº§n 37</v>
      </c>
      <c r="D1429" t="s">
        <v>19</v>
      </c>
      <c r="E1429" t="s">
        <v>17</v>
      </c>
      <c r="F1429" s="5">
        <v>51600000</v>
      </c>
      <c r="G1429" s="5">
        <v>54600000</v>
      </c>
      <c r="H1429" s="5">
        <f>+(M1429*26000)/0.829426</f>
        <v>56133036.581925333</v>
      </c>
      <c r="I1429" s="5">
        <f>+G1429-H1429</f>
        <v>-1533036.5819253325</v>
      </c>
      <c r="J1429" s="5">
        <v>3000000</v>
      </c>
      <c r="K1429" s="5">
        <v>5160000</v>
      </c>
      <c r="L1429" s="5">
        <v>5460000</v>
      </c>
      <c r="M1429" s="7">
        <v>1790.7</v>
      </c>
      <c r="N1429" s="5">
        <v>52100000</v>
      </c>
      <c r="O1429" s="5">
        <v>55100000</v>
      </c>
      <c r="P1429" s="3">
        <v>0.97916666666666663</v>
      </c>
    </row>
    <row r="1430" spans="1:16" x14ac:dyDescent="0.25">
      <c r="A1430" s="2">
        <v>44448</v>
      </c>
      <c r="B1430" s="2">
        <v>44448</v>
      </c>
      <c r="C1430" t="str">
        <f>+"Tuáº§n "&amp;WEEKNUM(B1430)</f>
        <v>Tuáº§n 37</v>
      </c>
      <c r="D1430" t="s">
        <v>20</v>
      </c>
      <c r="E1430" t="s">
        <v>17</v>
      </c>
      <c r="F1430" s="5">
        <v>51800000</v>
      </c>
      <c r="G1430" s="5">
        <v>54800000</v>
      </c>
      <c r="H1430" s="5">
        <f>+(M1430*26000)/0.829426</f>
        <v>56343061.34603931</v>
      </c>
      <c r="I1430" s="5">
        <f>+G1430-H1430</f>
        <v>-1543061.3460393101</v>
      </c>
      <c r="J1430" s="5">
        <v>3000000</v>
      </c>
      <c r="K1430" s="5">
        <v>5180000</v>
      </c>
      <c r="L1430" s="5">
        <v>5480000</v>
      </c>
      <c r="M1430" s="7">
        <v>1797.4</v>
      </c>
      <c r="N1430" s="5">
        <v>52300000</v>
      </c>
      <c r="O1430" s="5">
        <v>55300000</v>
      </c>
      <c r="P1430" s="3">
        <v>0.97916666666666663</v>
      </c>
    </row>
    <row r="1431" spans="1:16" x14ac:dyDescent="0.25">
      <c r="A1431" s="2">
        <v>44478</v>
      </c>
      <c r="B1431" s="2">
        <v>44449</v>
      </c>
      <c r="C1431" t="str">
        <f>+"Tuáº§n "&amp;WEEKNUM(B1431)</f>
        <v>Tuáº§n 37</v>
      </c>
      <c r="D1431" t="s">
        <v>21</v>
      </c>
      <c r="E1431" t="s">
        <v>17</v>
      </c>
      <c r="F1431" s="5">
        <v>51600000</v>
      </c>
      <c r="G1431" s="5">
        <v>54600000</v>
      </c>
      <c r="H1431" s="5">
        <f>+(M1431*26000)/0.829426</f>
        <v>56098554.904234976</v>
      </c>
      <c r="I1431" s="5">
        <f>+G1431-H1431</f>
        <v>-1498554.9042349756</v>
      </c>
      <c r="J1431" s="5">
        <v>3000000</v>
      </c>
      <c r="K1431" s="5">
        <v>5160000</v>
      </c>
      <c r="L1431" s="5">
        <v>5460000</v>
      </c>
      <c r="M1431" s="7">
        <v>1789.6</v>
      </c>
      <c r="N1431" s="5">
        <v>52100000</v>
      </c>
      <c r="O1431" s="5">
        <v>55100000</v>
      </c>
      <c r="P1431" s="3">
        <v>0.97916666666666663</v>
      </c>
    </row>
    <row r="1432" spans="1:16" x14ac:dyDescent="0.25">
      <c r="A1432" t="s">
        <v>884</v>
      </c>
      <c r="B1432" s="2">
        <v>44452</v>
      </c>
      <c r="C1432" t="str">
        <f>+"Tuáº§n "&amp;WEEKNUM(B1432)</f>
        <v>Tuáº§n 38</v>
      </c>
      <c r="D1432" t="s">
        <v>16</v>
      </c>
      <c r="E1432" t="s">
        <v>17</v>
      </c>
      <c r="F1432" s="5">
        <v>51700000</v>
      </c>
      <c r="G1432" s="5">
        <v>54700000</v>
      </c>
      <c r="H1432" s="5">
        <f>+(M1432*26000)/0.829426</f>
        <v>56173787.655559391</v>
      </c>
      <c r="I1432" s="5">
        <f>+G1432-H1432</f>
        <v>-1473787.6555593908</v>
      </c>
      <c r="J1432" s="5">
        <v>3000000</v>
      </c>
      <c r="K1432" s="5">
        <v>5170000</v>
      </c>
      <c r="L1432" s="5">
        <v>5470000</v>
      </c>
      <c r="M1432" s="7">
        <v>1792</v>
      </c>
      <c r="N1432" s="5">
        <v>52200000</v>
      </c>
      <c r="O1432" s="5">
        <v>55200000</v>
      </c>
      <c r="P1432" s="3">
        <v>0.97916666666666663</v>
      </c>
    </row>
    <row r="1433" spans="1:16" x14ac:dyDescent="0.25">
      <c r="A1433" t="s">
        <v>885</v>
      </c>
      <c r="B1433" s="2">
        <v>44453</v>
      </c>
      <c r="C1433" t="str">
        <f>+"Tuáº§n "&amp;WEEKNUM(B1433)</f>
        <v>Tuáº§n 38</v>
      </c>
      <c r="D1433" t="s">
        <v>18</v>
      </c>
      <c r="E1433" t="s">
        <v>17</v>
      </c>
      <c r="F1433" s="5">
        <v>52000000</v>
      </c>
      <c r="G1433" s="5">
        <v>55000000</v>
      </c>
      <c r="H1433" s="5">
        <f>+(M1433*26000)/0.829426</f>
        <v>56571894.297984391</v>
      </c>
      <c r="I1433" s="5">
        <f>+G1433-H1433</f>
        <v>-1571894.2979843915</v>
      </c>
      <c r="J1433" s="5">
        <v>3000000</v>
      </c>
      <c r="K1433" s="5">
        <v>5200000</v>
      </c>
      <c r="L1433" s="5">
        <v>5500000</v>
      </c>
      <c r="M1433" s="7">
        <v>1804.7</v>
      </c>
      <c r="N1433" s="5">
        <v>52500000</v>
      </c>
      <c r="O1433" s="5">
        <v>55500000</v>
      </c>
      <c r="P1433" s="3">
        <v>0.97916666666666663</v>
      </c>
    </row>
    <row r="1434" spans="1:16" x14ac:dyDescent="0.25">
      <c r="A1434" t="s">
        <v>886</v>
      </c>
      <c r="B1434" s="2">
        <v>44454</v>
      </c>
      <c r="C1434" t="str">
        <f>+"Tuáº§n "&amp;WEEKNUM(B1434)</f>
        <v>Tuáº§n 38</v>
      </c>
      <c r="D1434" t="s">
        <v>19</v>
      </c>
      <c r="E1434" t="s">
        <v>17</v>
      </c>
      <c r="F1434" s="5">
        <v>51700000</v>
      </c>
      <c r="G1434" s="5">
        <v>54700000</v>
      </c>
      <c r="H1434" s="5">
        <f>+(M1434*26000)/0.829426</f>
        <v>56186326.447446786</v>
      </c>
      <c r="I1434" s="5">
        <f>+G1434-H1434</f>
        <v>-1486326.4474467859</v>
      </c>
      <c r="J1434" s="5">
        <v>3000000</v>
      </c>
      <c r="K1434" s="5">
        <v>5170000</v>
      </c>
      <c r="L1434" s="5">
        <v>5470000</v>
      </c>
      <c r="M1434" s="7">
        <v>1792.4</v>
      </c>
      <c r="N1434" s="5">
        <v>52200000</v>
      </c>
      <c r="O1434" s="5">
        <v>55200000</v>
      </c>
      <c r="P1434" s="3">
        <v>0.97916666666666663</v>
      </c>
    </row>
    <row r="1435" spans="1:16" x14ac:dyDescent="0.25">
      <c r="A1435" t="s">
        <v>887</v>
      </c>
      <c r="B1435" s="2">
        <v>44455</v>
      </c>
      <c r="C1435" t="str">
        <f>+"Tuáº§n "&amp;WEEKNUM(B1435)</f>
        <v>Tuáº§n 38</v>
      </c>
      <c r="D1435" t="s">
        <v>20</v>
      </c>
      <c r="E1435" t="s">
        <v>17</v>
      </c>
      <c r="F1435" s="5">
        <v>50500000</v>
      </c>
      <c r="G1435" s="5">
        <v>53500000</v>
      </c>
      <c r="H1435" s="5">
        <f>+(M1435*26000)/0.829426</f>
        <v>55001410.614087336</v>
      </c>
      <c r="I1435" s="5">
        <f>+G1435-H1435</f>
        <v>-1501410.6140873358</v>
      </c>
      <c r="J1435" s="5">
        <v>3000000</v>
      </c>
      <c r="K1435" s="5">
        <v>5050000</v>
      </c>
      <c r="L1435" s="5">
        <v>5350000</v>
      </c>
      <c r="M1435" s="7">
        <v>1754.6</v>
      </c>
      <c r="N1435" s="5">
        <v>51000000</v>
      </c>
      <c r="O1435" s="5">
        <v>54000000</v>
      </c>
      <c r="P1435" s="3">
        <v>0.97916666666666663</v>
      </c>
    </row>
    <row r="1436" spans="1:16" x14ac:dyDescent="0.25">
      <c r="A1436" t="s">
        <v>888</v>
      </c>
      <c r="B1436" s="2">
        <v>44456</v>
      </c>
      <c r="C1436" t="str">
        <f>+"Tuáº§n "&amp;WEEKNUM(B1436)</f>
        <v>Tuáº§n 38</v>
      </c>
      <c r="D1436" t="s">
        <v>21</v>
      </c>
      <c r="E1436" t="s">
        <v>17</v>
      </c>
      <c r="F1436" s="5">
        <v>50400000</v>
      </c>
      <c r="G1436" s="5">
        <v>53400000</v>
      </c>
      <c r="H1436" s="5">
        <f>+(M1436*26000)/0.829426</f>
        <v>54838406.31955111</v>
      </c>
      <c r="I1436" s="5">
        <f>+G1436-H1436</f>
        <v>-1438406.3195511103</v>
      </c>
      <c r="J1436" s="5">
        <v>3000000</v>
      </c>
      <c r="K1436" s="5">
        <v>5040000</v>
      </c>
      <c r="L1436" s="5">
        <v>5340000</v>
      </c>
      <c r="M1436" s="7">
        <v>1749.4</v>
      </c>
      <c r="N1436" s="5">
        <v>50900000</v>
      </c>
      <c r="O1436" s="5">
        <v>53900000</v>
      </c>
      <c r="P1436" s="3">
        <v>0.97916666666666663</v>
      </c>
    </row>
    <row r="1437" spans="1:16" x14ac:dyDescent="0.25">
      <c r="A1437" t="s">
        <v>889</v>
      </c>
      <c r="B1437" s="2">
        <v>44459</v>
      </c>
      <c r="C1437" t="str">
        <f>+"Tuáº§n "&amp;WEEKNUM(B1437)</f>
        <v>Tuáº§n 39</v>
      </c>
      <c r="D1437" t="s">
        <v>16</v>
      </c>
      <c r="E1437" t="s">
        <v>17</v>
      </c>
      <c r="F1437" s="5">
        <v>50700000</v>
      </c>
      <c r="G1437" s="5">
        <v>53700000</v>
      </c>
      <c r="H1437" s="5">
        <f>+(M1437*26000)/0.829426</f>
        <v>55227108.868060559</v>
      </c>
      <c r="I1437" s="5">
        <f>+G1437-H1437</f>
        <v>-1527108.868060559</v>
      </c>
      <c r="J1437" s="5">
        <v>3000000</v>
      </c>
      <c r="K1437" s="5">
        <v>5070000</v>
      </c>
      <c r="L1437" s="5">
        <v>5370000</v>
      </c>
      <c r="M1437" s="7">
        <v>1761.8</v>
      </c>
      <c r="N1437" s="5">
        <v>51200000</v>
      </c>
      <c r="O1437" s="5">
        <v>54200000</v>
      </c>
      <c r="P1437" s="3">
        <v>0.97916666666666663</v>
      </c>
    </row>
    <row r="1438" spans="1:16" x14ac:dyDescent="0.25">
      <c r="A1438" t="s">
        <v>890</v>
      </c>
      <c r="B1438" s="2">
        <v>44460</v>
      </c>
      <c r="C1438" t="str">
        <f>+"Tuáº§n "&amp;WEEKNUM(B1438)</f>
        <v>Tuáº§n 39</v>
      </c>
      <c r="D1438" t="s">
        <v>18</v>
      </c>
      <c r="E1438" t="s">
        <v>17</v>
      </c>
      <c r="F1438" s="5">
        <v>51200000</v>
      </c>
      <c r="G1438" s="5">
        <v>54200000</v>
      </c>
      <c r="H1438" s="5">
        <f>+(M1438*26000)/0.829426</f>
        <v>55672235.980063319</v>
      </c>
      <c r="I1438" s="5">
        <f>+G1438-H1438</f>
        <v>-1472235.9800633192</v>
      </c>
      <c r="J1438" s="5">
        <v>3000000</v>
      </c>
      <c r="K1438" s="5">
        <v>5120000</v>
      </c>
      <c r="L1438" s="5">
        <v>5420000</v>
      </c>
      <c r="M1438" s="7">
        <v>1776</v>
      </c>
      <c r="N1438" s="5">
        <v>51700000</v>
      </c>
      <c r="O1438" s="5">
        <v>54700000</v>
      </c>
      <c r="P1438" s="3">
        <v>0.97916666666666663</v>
      </c>
    </row>
    <row r="1439" spans="1:16" x14ac:dyDescent="0.25">
      <c r="A1439" t="s">
        <v>891</v>
      </c>
      <c r="B1439" s="2">
        <v>44461</v>
      </c>
      <c r="C1439" t="str">
        <f>+"Tuáº§n "&amp;WEEKNUM(B1439)</f>
        <v>Tuáº§n 39</v>
      </c>
      <c r="D1439" t="s">
        <v>19</v>
      </c>
      <c r="E1439" t="s">
        <v>17</v>
      </c>
      <c r="F1439" s="5">
        <v>51200000</v>
      </c>
      <c r="G1439" s="5">
        <v>54200000</v>
      </c>
      <c r="H1439" s="5">
        <f>+(M1439*26000)/0.829426</f>
        <v>55694178.865866274</v>
      </c>
      <c r="I1439" s="5">
        <f>+G1439-H1439</f>
        <v>-1494178.8658662736</v>
      </c>
      <c r="J1439" s="5">
        <v>3000000</v>
      </c>
      <c r="K1439" s="5">
        <v>5120000</v>
      </c>
      <c r="L1439" s="5">
        <v>5420000</v>
      </c>
      <c r="M1439" s="7">
        <v>1776.7</v>
      </c>
      <c r="N1439" s="5">
        <v>51700000</v>
      </c>
      <c r="O1439" s="5">
        <v>54700000</v>
      </c>
      <c r="P1439" s="3">
        <v>0.97916666666666663</v>
      </c>
    </row>
    <row r="1440" spans="1:16" x14ac:dyDescent="0.25">
      <c r="A1440" t="s">
        <v>892</v>
      </c>
      <c r="B1440" s="2">
        <v>44462</v>
      </c>
      <c r="C1440" t="str">
        <f>+"Tuáº§n "&amp;WEEKNUM(B1440)</f>
        <v>Tuáº§n 39</v>
      </c>
      <c r="D1440" t="s">
        <v>20</v>
      </c>
      <c r="E1440" t="s">
        <v>17</v>
      </c>
      <c r="F1440" s="5">
        <v>50300000</v>
      </c>
      <c r="G1440" s="5">
        <v>53300000</v>
      </c>
      <c r="H1440" s="5">
        <f>+(M1440*26000)/0.829426</f>
        <v>54785116.454029657</v>
      </c>
      <c r="I1440" s="5">
        <f>+G1440-H1440</f>
        <v>-1485116.4540296569</v>
      </c>
      <c r="J1440" s="5">
        <v>3000000</v>
      </c>
      <c r="K1440" s="5">
        <v>5030000</v>
      </c>
      <c r="L1440" s="5">
        <v>5330000</v>
      </c>
      <c r="M1440" s="7">
        <v>1747.7</v>
      </c>
      <c r="N1440" s="5">
        <v>50800000</v>
      </c>
      <c r="O1440" s="5">
        <v>53800000</v>
      </c>
      <c r="P1440" s="3">
        <v>0.97916666666666663</v>
      </c>
    </row>
    <row r="1441" spans="1:16" x14ac:dyDescent="0.25">
      <c r="A1441" t="s">
        <v>893</v>
      </c>
      <c r="B1441" s="2">
        <v>44463</v>
      </c>
      <c r="C1441" t="str">
        <f>+"Tuáº§n "&amp;WEEKNUM(B1441)</f>
        <v>Tuáº§n 39</v>
      </c>
      <c r="D1441" t="s">
        <v>21</v>
      </c>
      <c r="E1441" t="s">
        <v>17</v>
      </c>
      <c r="F1441" s="5">
        <v>50400000</v>
      </c>
      <c r="G1441" s="5">
        <v>53400000</v>
      </c>
      <c r="H1441" s="5">
        <f>+(M1441*26000)/0.829426</f>
        <v>54847810.413466662</v>
      </c>
      <c r="I1441" s="5">
        <f>+G1441-H1441</f>
        <v>-1447810.4134666622</v>
      </c>
      <c r="J1441" s="5">
        <v>3000000</v>
      </c>
      <c r="K1441" s="5">
        <v>5040000</v>
      </c>
      <c r="L1441" s="5">
        <v>5340000</v>
      </c>
      <c r="M1441" s="7">
        <v>1749.7</v>
      </c>
      <c r="N1441" s="5">
        <v>50900000</v>
      </c>
      <c r="O1441" s="5">
        <v>53900000</v>
      </c>
      <c r="P1441" s="3">
        <v>0.97916666666666663</v>
      </c>
    </row>
    <row r="1442" spans="1:16" x14ac:dyDescent="0.25">
      <c r="A1442" t="s">
        <v>894</v>
      </c>
      <c r="B1442" s="2">
        <v>44466</v>
      </c>
      <c r="C1442" t="str">
        <f>+"Tuáº§n "&amp;WEEKNUM(B1442)</f>
        <v>Tuáº§n 40</v>
      </c>
      <c r="D1442" t="s">
        <v>16</v>
      </c>
      <c r="E1442" t="s">
        <v>17</v>
      </c>
      <c r="F1442" s="5">
        <v>50400000</v>
      </c>
      <c r="G1442" s="5">
        <v>53400000</v>
      </c>
      <c r="H1442" s="5">
        <f>+(M1442*26000)/0.829426</f>
        <v>54857214.507382214</v>
      </c>
      <c r="I1442" s="5">
        <f>+G1442-H1442</f>
        <v>-1457214.5073822141</v>
      </c>
      <c r="J1442" s="5">
        <v>3000000</v>
      </c>
      <c r="K1442" s="5">
        <v>5040000</v>
      </c>
      <c r="L1442" s="5">
        <v>5340000</v>
      </c>
      <c r="M1442" s="7">
        <v>1750</v>
      </c>
      <c r="N1442" s="5">
        <v>50900000</v>
      </c>
      <c r="O1442" s="5">
        <v>53900000</v>
      </c>
      <c r="P1442" s="3">
        <v>0.97916666666666663</v>
      </c>
    </row>
    <row r="1443" spans="1:16" x14ac:dyDescent="0.25">
      <c r="A1443" t="s">
        <v>895</v>
      </c>
      <c r="B1443" s="2">
        <v>44467</v>
      </c>
      <c r="C1443" t="str">
        <f>+"Tuáº§n "&amp;WEEKNUM(B1443)</f>
        <v>Tuáº§n 40</v>
      </c>
      <c r="D1443" t="s">
        <v>18</v>
      </c>
      <c r="E1443" t="s">
        <v>17</v>
      </c>
      <c r="F1443" s="5">
        <v>49900000</v>
      </c>
      <c r="G1443" s="5">
        <v>52900000</v>
      </c>
      <c r="H1443" s="5">
        <f>+(M1443*26000)/0.829426</f>
        <v>54412087.395379454</v>
      </c>
      <c r="I1443" s="5">
        <f>+G1443-H1443</f>
        <v>-1512087.3953794539</v>
      </c>
      <c r="J1443" s="5">
        <v>3000000</v>
      </c>
      <c r="K1443" s="5">
        <v>4990000</v>
      </c>
      <c r="L1443" s="5">
        <v>5290000</v>
      </c>
      <c r="M1443" s="7">
        <v>1735.8</v>
      </c>
      <c r="N1443" s="5">
        <v>50400000</v>
      </c>
      <c r="O1443" s="5">
        <v>53400000</v>
      </c>
      <c r="P1443" s="3">
        <v>0.97916666666666663</v>
      </c>
    </row>
    <row r="1444" spans="1:16" x14ac:dyDescent="0.25">
      <c r="A1444" t="s">
        <v>896</v>
      </c>
      <c r="B1444" s="2">
        <v>44468</v>
      </c>
      <c r="C1444" t="str">
        <f>+"Tuáº§n "&amp;WEEKNUM(B1444)</f>
        <v>Tuáº§n 40</v>
      </c>
      <c r="D1444" t="s">
        <v>19</v>
      </c>
      <c r="E1444" t="s">
        <v>17</v>
      </c>
      <c r="F1444" s="5">
        <v>49500000</v>
      </c>
      <c r="G1444" s="5">
        <v>52500000</v>
      </c>
      <c r="H1444" s="5">
        <f>+(M1444*26000)/0.829426</f>
        <v>53963825.585404843</v>
      </c>
      <c r="I1444" s="5">
        <f>+G1444-H1444</f>
        <v>-1463825.5854048431</v>
      </c>
      <c r="J1444" s="5">
        <v>3000000</v>
      </c>
      <c r="K1444" s="5">
        <v>4950000</v>
      </c>
      <c r="L1444" s="5">
        <v>5250000</v>
      </c>
      <c r="M1444" s="7">
        <v>1721.5</v>
      </c>
      <c r="N1444" s="5">
        <v>50000000</v>
      </c>
      <c r="O1444" s="5">
        <v>53000000</v>
      </c>
      <c r="P1444" s="3">
        <v>0.97916666666666663</v>
      </c>
    </row>
    <row r="1445" spans="1:16" x14ac:dyDescent="0.25">
      <c r="A1445" t="s">
        <v>897</v>
      </c>
      <c r="B1445" s="2">
        <v>44469</v>
      </c>
      <c r="C1445" t="str">
        <f>+"Tuáº§n "&amp;WEEKNUM(B1445)</f>
        <v>Tuáº§n 40</v>
      </c>
      <c r="D1445" t="s">
        <v>20</v>
      </c>
      <c r="E1445" t="s">
        <v>17</v>
      </c>
      <c r="F1445" s="5">
        <v>50500000</v>
      </c>
      <c r="G1445" s="5">
        <v>53500000</v>
      </c>
      <c r="H1445" s="5">
        <f>+(M1445*26000)/0.829426</f>
        <v>55023353.499890283</v>
      </c>
      <c r="I1445" s="5">
        <f>+G1445-H1445</f>
        <v>-1523353.4998902828</v>
      </c>
      <c r="J1445" s="5">
        <v>3000000</v>
      </c>
      <c r="K1445" s="5">
        <v>5050000</v>
      </c>
      <c r="L1445" s="5">
        <v>5350000</v>
      </c>
      <c r="M1445" s="7">
        <v>1755.3</v>
      </c>
      <c r="N1445" s="5">
        <v>51000000</v>
      </c>
      <c r="O1445" s="5">
        <v>54000000</v>
      </c>
      <c r="P1445" s="3">
        <v>0.97916666666666663</v>
      </c>
    </row>
    <row r="1446" spans="1:16" x14ac:dyDescent="0.25">
      <c r="A1446" s="2">
        <v>44206</v>
      </c>
      <c r="B1446" s="2">
        <v>44470</v>
      </c>
      <c r="C1446" t="str">
        <f>+"Tuáº§n "&amp;WEEKNUM(B1446)</f>
        <v>Tuáº§n 40</v>
      </c>
      <c r="D1446" t="s">
        <v>21</v>
      </c>
      <c r="E1446" t="s">
        <v>17</v>
      </c>
      <c r="F1446" s="5">
        <v>50600000</v>
      </c>
      <c r="G1446" s="5">
        <v>53600000</v>
      </c>
      <c r="H1446" s="5">
        <f>+(M1446*26000)/0.829426</f>
        <v>55076643.365411744</v>
      </c>
      <c r="I1446" s="5">
        <f>+G1446-H1446</f>
        <v>-1476643.3654117435</v>
      </c>
      <c r="J1446" s="5">
        <v>3000000</v>
      </c>
      <c r="K1446" s="5">
        <v>5060000</v>
      </c>
      <c r="L1446" s="5">
        <v>5360000</v>
      </c>
      <c r="M1446" s="7">
        <v>1757</v>
      </c>
      <c r="N1446" s="5">
        <v>51100000</v>
      </c>
      <c r="O1446" s="5">
        <v>54100000</v>
      </c>
      <c r="P1446" s="3">
        <v>0.97916666666666663</v>
      </c>
    </row>
    <row r="1447" spans="1:16" x14ac:dyDescent="0.25">
      <c r="A1447" s="2">
        <v>44296</v>
      </c>
      <c r="B1447" s="2">
        <v>44473</v>
      </c>
      <c r="C1447" t="str">
        <f>+"Tuáº§n "&amp;WEEKNUM(B1447)</f>
        <v>Tuáº§n 41</v>
      </c>
      <c r="D1447" t="s">
        <v>16</v>
      </c>
      <c r="E1447" t="s">
        <v>17</v>
      </c>
      <c r="F1447" s="5">
        <v>50900000</v>
      </c>
      <c r="G1447" s="5">
        <v>53900000</v>
      </c>
      <c r="H1447" s="5">
        <f>+(M1447*26000)/0.829426</f>
        <v>55365035.578821979</v>
      </c>
      <c r="I1447" s="5">
        <f>+G1447-H1447</f>
        <v>-1465035.5788219795</v>
      </c>
      <c r="J1447" s="5">
        <v>3000000</v>
      </c>
      <c r="K1447" s="5">
        <v>5090000</v>
      </c>
      <c r="L1447" s="5">
        <v>5390000</v>
      </c>
      <c r="M1447" s="7">
        <v>1766.2</v>
      </c>
      <c r="N1447" s="5">
        <v>51400000</v>
      </c>
      <c r="O1447" s="5">
        <v>54400000</v>
      </c>
      <c r="P1447" s="3">
        <v>0.97916666666666663</v>
      </c>
    </row>
    <row r="1448" spans="1:16" x14ac:dyDescent="0.25">
      <c r="A1448" s="2">
        <v>44326</v>
      </c>
      <c r="B1448" s="2">
        <v>44474</v>
      </c>
      <c r="C1448" t="str">
        <f>+"Tuáº§n "&amp;WEEKNUM(B1448)</f>
        <v>Tuáº§n 41</v>
      </c>
      <c r="D1448" t="s">
        <v>18</v>
      </c>
      <c r="E1448" t="s">
        <v>17</v>
      </c>
      <c r="F1448" s="5">
        <v>50700000</v>
      </c>
      <c r="G1448" s="5">
        <v>53700000</v>
      </c>
      <c r="H1448" s="5">
        <f>+(M1448*26000)/0.829426</f>
        <v>55158145.512679853</v>
      </c>
      <c r="I1448" s="5">
        <f>+G1448-H1448</f>
        <v>-1458145.5126798525</v>
      </c>
      <c r="J1448" s="5">
        <v>3000000</v>
      </c>
      <c r="K1448" s="5">
        <v>5070000</v>
      </c>
      <c r="L1448" s="5">
        <v>5370000</v>
      </c>
      <c r="M1448" s="7">
        <v>1759.6</v>
      </c>
      <c r="N1448" s="5">
        <v>51200000</v>
      </c>
      <c r="O1448" s="5">
        <v>54200000</v>
      </c>
      <c r="P1448" s="3">
        <v>0.97916666666666663</v>
      </c>
    </row>
    <row r="1449" spans="1:16" x14ac:dyDescent="0.25">
      <c r="A1449" s="2">
        <v>44357</v>
      </c>
      <c r="B1449" s="2">
        <v>44475</v>
      </c>
      <c r="C1449" t="str">
        <f>+"Tuáº§n "&amp;WEEKNUM(B1449)</f>
        <v>Tuáº§n 41</v>
      </c>
      <c r="D1449" t="s">
        <v>19</v>
      </c>
      <c r="E1449" t="s">
        <v>17</v>
      </c>
      <c r="F1449" s="5">
        <v>50700000</v>
      </c>
      <c r="G1449" s="5">
        <v>53700000</v>
      </c>
      <c r="H1449" s="5">
        <f>+(M1449*26000)/0.829426</f>
        <v>55186357.794426508</v>
      </c>
      <c r="I1449" s="5">
        <f>+G1449-H1449</f>
        <v>-1486357.7944265082</v>
      </c>
      <c r="J1449" s="5">
        <v>3000000</v>
      </c>
      <c r="K1449" s="5">
        <v>5070000</v>
      </c>
      <c r="L1449" s="5">
        <v>5370000</v>
      </c>
      <c r="M1449" s="7">
        <v>1760.5</v>
      </c>
      <c r="N1449" s="5">
        <v>51200000</v>
      </c>
      <c r="O1449" s="5">
        <v>54200000</v>
      </c>
      <c r="P1449" s="3">
        <v>0.97916666666666663</v>
      </c>
    </row>
    <row r="1450" spans="1:16" x14ac:dyDescent="0.25">
      <c r="A1450" s="2">
        <v>44387</v>
      </c>
      <c r="B1450" s="2">
        <v>44476</v>
      </c>
      <c r="C1450" t="str">
        <f>+"Tuáº§n "&amp;WEEKNUM(B1450)</f>
        <v>Tuáº§n 41</v>
      </c>
      <c r="D1450" t="s">
        <v>20</v>
      </c>
      <c r="E1450" t="s">
        <v>17</v>
      </c>
      <c r="F1450" s="5">
        <v>50600000</v>
      </c>
      <c r="G1450" s="5">
        <v>53600000</v>
      </c>
      <c r="H1450" s="5">
        <f>+(M1450*26000)/0.829426</f>
        <v>55104855.647158399</v>
      </c>
      <c r="I1450" s="5">
        <f>+G1450-H1450</f>
        <v>-1504855.6471583992</v>
      </c>
      <c r="J1450" s="5">
        <v>3000000</v>
      </c>
      <c r="K1450" s="5">
        <v>5060000</v>
      </c>
      <c r="L1450" s="5">
        <v>5360000</v>
      </c>
      <c r="M1450" s="7">
        <v>1757.9</v>
      </c>
      <c r="N1450" s="5">
        <v>51100000</v>
      </c>
      <c r="O1450" s="5">
        <v>54100000</v>
      </c>
      <c r="P1450" s="3">
        <v>0.97916666666666663</v>
      </c>
    </row>
    <row r="1451" spans="1:16" x14ac:dyDescent="0.25">
      <c r="A1451" s="2">
        <v>44418</v>
      </c>
      <c r="B1451" s="2">
        <v>44477</v>
      </c>
      <c r="C1451" t="str">
        <f>+"Tuáº§n "&amp;WEEKNUM(B1451)</f>
        <v>Tuáº§n 41</v>
      </c>
      <c r="D1451" t="s">
        <v>21</v>
      </c>
      <c r="E1451" t="s">
        <v>17</v>
      </c>
      <c r="F1451" s="5">
        <v>50600000</v>
      </c>
      <c r="G1451" s="5">
        <v>53600000</v>
      </c>
      <c r="H1451" s="5">
        <f>+(M1451*26000)/0.829426</f>
        <v>55054700.479608789</v>
      </c>
      <c r="I1451" s="5">
        <f>+G1451-H1451</f>
        <v>-1454700.4796087891</v>
      </c>
      <c r="J1451" s="5">
        <v>3000000</v>
      </c>
      <c r="K1451" s="5">
        <v>5060000</v>
      </c>
      <c r="L1451" s="5">
        <v>5360000</v>
      </c>
      <c r="M1451" s="7">
        <v>1756.3</v>
      </c>
      <c r="N1451" s="5">
        <v>51100000</v>
      </c>
      <c r="O1451" s="5">
        <v>54100000</v>
      </c>
      <c r="P1451" s="3">
        <v>0.97916666666666663</v>
      </c>
    </row>
    <row r="1452" spans="1:16" x14ac:dyDescent="0.25">
      <c r="A1452" s="2">
        <v>44510</v>
      </c>
      <c r="B1452" s="2">
        <v>44480</v>
      </c>
      <c r="C1452" t="str">
        <f>+"Tuáº§n "&amp;WEEKNUM(B1452)</f>
        <v>Tuáº§n 42</v>
      </c>
      <c r="D1452" t="s">
        <v>16</v>
      </c>
      <c r="E1452" t="s">
        <v>17</v>
      </c>
      <c r="F1452" s="5">
        <v>50500000</v>
      </c>
      <c r="G1452" s="5">
        <v>53500000</v>
      </c>
      <c r="H1452" s="5">
        <f>+(M1452*26000)/0.829426</f>
        <v>55001410.614087336</v>
      </c>
      <c r="I1452" s="5">
        <f>+G1452-H1452</f>
        <v>-1501410.6140873358</v>
      </c>
      <c r="J1452" s="5">
        <v>3000000</v>
      </c>
      <c r="K1452" s="5">
        <v>5050000</v>
      </c>
      <c r="L1452" s="5">
        <v>5350000</v>
      </c>
      <c r="M1452" s="7">
        <v>1754.6</v>
      </c>
      <c r="N1452" s="5">
        <v>51000000</v>
      </c>
      <c r="O1452" s="5">
        <v>54000000</v>
      </c>
      <c r="P1452" s="3">
        <v>0.97916666666666663</v>
      </c>
    </row>
    <row r="1453" spans="1:16" x14ac:dyDescent="0.25">
      <c r="A1453" s="2">
        <v>44540</v>
      </c>
      <c r="B1453" s="2">
        <v>44481</v>
      </c>
      <c r="C1453" t="str">
        <f>+"Tuáº§n "&amp;WEEKNUM(B1453)</f>
        <v>Tuáº§n 42</v>
      </c>
      <c r="D1453" t="s">
        <v>18</v>
      </c>
      <c r="E1453" t="s">
        <v>17</v>
      </c>
      <c r="F1453" s="5">
        <v>50600000</v>
      </c>
      <c r="G1453" s="5">
        <v>53600000</v>
      </c>
      <c r="H1453" s="5">
        <f>+(M1453*26000)/0.829426</f>
        <v>55117394.439045802</v>
      </c>
      <c r="I1453" s="5">
        <f>+G1453-H1453</f>
        <v>-1517394.4390458018</v>
      </c>
      <c r="J1453" s="5">
        <v>3000000</v>
      </c>
      <c r="K1453" s="5">
        <v>5060000</v>
      </c>
      <c r="L1453" s="5">
        <v>5360000</v>
      </c>
      <c r="M1453" s="7">
        <v>1758.3</v>
      </c>
      <c r="N1453" s="5">
        <v>51100000</v>
      </c>
      <c r="O1453" s="5">
        <v>54100000</v>
      </c>
      <c r="P1453" s="3">
        <v>0.97916666666666663</v>
      </c>
    </row>
    <row r="1454" spans="1:16" x14ac:dyDescent="0.25">
      <c r="A1454" t="s">
        <v>898</v>
      </c>
      <c r="B1454" s="2">
        <v>44482</v>
      </c>
      <c r="C1454" t="str">
        <f>+"Tuáº§n "&amp;WEEKNUM(B1454)</f>
        <v>Tuáº§n 42</v>
      </c>
      <c r="D1454" t="s">
        <v>19</v>
      </c>
      <c r="E1454" t="s">
        <v>17</v>
      </c>
      <c r="F1454" s="5">
        <v>51700000</v>
      </c>
      <c r="G1454" s="5">
        <v>54700000</v>
      </c>
      <c r="H1454" s="5">
        <f>+(M1454*26000)/0.829426</f>
        <v>56227077.521080844</v>
      </c>
      <c r="I1454" s="5">
        <f>+G1454-H1454</f>
        <v>-1527077.5210808441</v>
      </c>
      <c r="J1454" s="5">
        <v>3000000</v>
      </c>
      <c r="K1454" s="5">
        <v>5170000</v>
      </c>
      <c r="L1454" s="5">
        <v>5470000</v>
      </c>
      <c r="M1454" s="7">
        <v>1793.7</v>
      </c>
      <c r="N1454" s="5">
        <v>52200000</v>
      </c>
      <c r="O1454" s="5">
        <v>55200000</v>
      </c>
      <c r="P1454" s="3">
        <v>0.97916666666666663</v>
      </c>
    </row>
    <row r="1455" spans="1:16" x14ac:dyDescent="0.25">
      <c r="A1455" t="s">
        <v>899</v>
      </c>
      <c r="B1455" s="2">
        <v>44483</v>
      </c>
      <c r="C1455" t="str">
        <f>+"Tuáº§n "&amp;WEEKNUM(B1455)</f>
        <v>Tuáº§n 42</v>
      </c>
      <c r="D1455" t="s">
        <v>20</v>
      </c>
      <c r="E1455" t="s">
        <v>17</v>
      </c>
      <c r="F1455" s="5">
        <v>51800000</v>
      </c>
      <c r="G1455" s="5">
        <v>54800000</v>
      </c>
      <c r="H1455" s="5">
        <f>+(M1455*26000)/0.829426</f>
        <v>56321118.460236356</v>
      </c>
      <c r="I1455" s="5">
        <f>+G1455-H1455</f>
        <v>-1521118.4602363557</v>
      </c>
      <c r="J1455" s="5">
        <v>3000000</v>
      </c>
      <c r="K1455" s="5">
        <v>5180000</v>
      </c>
      <c r="L1455" s="5">
        <v>5480000</v>
      </c>
      <c r="M1455" s="7">
        <v>1796.7</v>
      </c>
      <c r="N1455" s="5">
        <v>52300000</v>
      </c>
      <c r="O1455" s="5">
        <v>55300000</v>
      </c>
      <c r="P1455" s="3">
        <v>0.97916666666666663</v>
      </c>
    </row>
    <row r="1456" spans="1:16" x14ac:dyDescent="0.25">
      <c r="A1456" t="s">
        <v>900</v>
      </c>
      <c r="B1456" s="2">
        <v>44484</v>
      </c>
      <c r="C1456" t="str">
        <f>+"Tuáº§n "&amp;WEEKNUM(B1456)</f>
        <v>Tuáº§n 42</v>
      </c>
      <c r="D1456" t="s">
        <v>21</v>
      </c>
      <c r="E1456" t="s">
        <v>17</v>
      </c>
      <c r="F1456" s="5">
        <v>50900000</v>
      </c>
      <c r="G1456" s="5">
        <v>53900000</v>
      </c>
      <c r="H1456" s="5">
        <f>+(M1456*26000)/0.829426</f>
        <v>55396382.558540486</v>
      </c>
      <c r="I1456" s="5">
        <f>+G1456-H1456</f>
        <v>-1496382.5585404858</v>
      </c>
      <c r="J1456" s="5">
        <v>3000000</v>
      </c>
      <c r="K1456" s="5">
        <v>5090000</v>
      </c>
      <c r="L1456" s="5">
        <v>5390000</v>
      </c>
      <c r="M1456" s="7">
        <v>1767.2</v>
      </c>
      <c r="N1456" s="5">
        <v>51400000</v>
      </c>
      <c r="O1456" s="5">
        <v>54400000</v>
      </c>
      <c r="P1456" s="3">
        <v>0.97916666666666663</v>
      </c>
    </row>
    <row r="1457" spans="1:16" x14ac:dyDescent="0.25">
      <c r="A1457" t="s">
        <v>901</v>
      </c>
      <c r="B1457" s="2">
        <v>44487</v>
      </c>
      <c r="C1457" t="str">
        <f>+"Tuáº§n "&amp;WEEKNUM(B1457)</f>
        <v>Tuáº§n 43</v>
      </c>
      <c r="D1457" t="s">
        <v>16</v>
      </c>
      <c r="E1457" t="s">
        <v>17</v>
      </c>
      <c r="F1457" s="5">
        <v>50800000</v>
      </c>
      <c r="G1457" s="5">
        <v>53800000</v>
      </c>
      <c r="H1457" s="5">
        <f>+(M1457*26000)/0.829426</f>
        <v>55321149.807216078</v>
      </c>
      <c r="I1457" s="5">
        <f>+G1457-H1457</f>
        <v>-1521149.807216078</v>
      </c>
      <c r="J1457" s="5">
        <v>3000000</v>
      </c>
      <c r="K1457" s="5">
        <v>5080000</v>
      </c>
      <c r="L1457" s="5">
        <v>5380000</v>
      </c>
      <c r="M1457" s="7">
        <v>1764.8</v>
      </c>
      <c r="N1457" s="5">
        <v>51300000</v>
      </c>
      <c r="O1457" s="5">
        <v>54300000</v>
      </c>
      <c r="P1457" s="3">
        <v>0.97916666666666663</v>
      </c>
    </row>
    <row r="1458" spans="1:16" x14ac:dyDescent="0.25">
      <c r="A1458" t="s">
        <v>902</v>
      </c>
      <c r="B1458" s="2">
        <v>44488</v>
      </c>
      <c r="C1458" t="str">
        <f>+"Tuáº§n "&amp;WEEKNUM(B1458)</f>
        <v>Tuáº§n 43</v>
      </c>
      <c r="D1458" t="s">
        <v>18</v>
      </c>
      <c r="E1458" t="s">
        <v>17</v>
      </c>
      <c r="F1458" s="5">
        <v>51000000</v>
      </c>
      <c r="G1458" s="5">
        <v>54000000</v>
      </c>
      <c r="H1458" s="5">
        <f>+(M1458*26000)/0.829426</f>
        <v>55474750.007836744</v>
      </c>
      <c r="I1458" s="5">
        <f>+G1458-H1458</f>
        <v>-1474750.0078367442</v>
      </c>
      <c r="J1458" s="5">
        <v>3000000</v>
      </c>
      <c r="K1458" s="5">
        <v>5100000</v>
      </c>
      <c r="L1458" s="5">
        <v>5400000</v>
      </c>
      <c r="M1458" s="7">
        <v>1769.7</v>
      </c>
      <c r="N1458" s="5">
        <v>51500000</v>
      </c>
      <c r="O1458" s="5">
        <v>54500000</v>
      </c>
      <c r="P1458" s="3">
        <v>0.97916666666666663</v>
      </c>
    </row>
    <row r="1459" spans="1:16" x14ac:dyDescent="0.25">
      <c r="A1459" t="s">
        <v>903</v>
      </c>
      <c r="B1459" s="2">
        <v>44489</v>
      </c>
      <c r="C1459" t="str">
        <f>+"Tuáº§n "&amp;WEEKNUM(B1459)</f>
        <v>Tuáº§n 43</v>
      </c>
      <c r="D1459" t="s">
        <v>19</v>
      </c>
      <c r="E1459" t="s">
        <v>17</v>
      </c>
      <c r="F1459" s="5">
        <v>51400000</v>
      </c>
      <c r="G1459" s="5">
        <v>54400000</v>
      </c>
      <c r="H1459" s="5">
        <f>+(M1459*26000)/0.829426</f>
        <v>55926146.515783206</v>
      </c>
      <c r="I1459" s="5">
        <f>+G1459-H1459</f>
        <v>-1526146.5157832056</v>
      </c>
      <c r="J1459" s="5">
        <v>3000000</v>
      </c>
      <c r="K1459" s="5">
        <v>5140000</v>
      </c>
      <c r="L1459" s="5">
        <v>5440000</v>
      </c>
      <c r="M1459" s="7">
        <v>1784.1</v>
      </c>
      <c r="N1459" s="5">
        <v>51900000</v>
      </c>
      <c r="O1459" s="5">
        <v>54900000</v>
      </c>
      <c r="P1459" s="3">
        <v>0.97916666666666663</v>
      </c>
    </row>
    <row r="1460" spans="1:16" x14ac:dyDescent="0.25">
      <c r="A1460" t="s">
        <v>904</v>
      </c>
      <c r="B1460" s="2">
        <v>44490</v>
      </c>
      <c r="C1460" t="str">
        <f>+"Tuáº§n "&amp;WEEKNUM(B1460)</f>
        <v>Tuáº§n 43</v>
      </c>
      <c r="D1460" t="s">
        <v>20</v>
      </c>
      <c r="E1460" t="s">
        <v>17</v>
      </c>
      <c r="F1460" s="5">
        <v>51300000</v>
      </c>
      <c r="G1460" s="5">
        <v>54300000</v>
      </c>
      <c r="H1460" s="5">
        <f>+(M1460*26000)/0.829426</f>
        <v>55835240.274599545</v>
      </c>
      <c r="I1460" s="5">
        <f>+G1460-H1460</f>
        <v>-1535240.2745995447</v>
      </c>
      <c r="J1460" s="5">
        <v>3000000</v>
      </c>
      <c r="K1460" s="5">
        <v>5130000</v>
      </c>
      <c r="L1460" s="5">
        <v>5430000</v>
      </c>
      <c r="M1460" s="7">
        <v>1781.2</v>
      </c>
      <c r="N1460" s="5">
        <v>51800000</v>
      </c>
      <c r="O1460" s="5">
        <v>54800000</v>
      </c>
      <c r="P1460" s="3">
        <v>0.97916666666666663</v>
      </c>
    </row>
    <row r="1461" spans="1:16" x14ac:dyDescent="0.25">
      <c r="A1461" t="s">
        <v>905</v>
      </c>
      <c r="B1461" s="2">
        <v>44491</v>
      </c>
      <c r="C1461" t="str">
        <f>+"Tuáº§n "&amp;WEEKNUM(B1461)</f>
        <v>Tuáº§n 43</v>
      </c>
      <c r="D1461" t="s">
        <v>21</v>
      </c>
      <c r="E1461" t="s">
        <v>17</v>
      </c>
      <c r="F1461" s="5">
        <v>51800000</v>
      </c>
      <c r="G1461" s="5">
        <v>54800000</v>
      </c>
      <c r="H1461" s="5">
        <f>+(M1461*26000)/0.829426</f>
        <v>56283502.084574148</v>
      </c>
      <c r="I1461" s="5">
        <f>+G1461-H1461</f>
        <v>-1483502.0845741481</v>
      </c>
      <c r="J1461" s="5">
        <v>3000000</v>
      </c>
      <c r="K1461" s="5">
        <v>5180000</v>
      </c>
      <c r="L1461" s="5">
        <v>5480000</v>
      </c>
      <c r="M1461" s="7">
        <v>1795.5</v>
      </c>
      <c r="N1461" s="5">
        <v>52300000</v>
      </c>
      <c r="O1461" s="5">
        <v>55300000</v>
      </c>
      <c r="P1461" s="3">
        <v>0.97916666666666663</v>
      </c>
    </row>
    <row r="1462" spans="1:16" x14ac:dyDescent="0.25">
      <c r="A1462" t="s">
        <v>906</v>
      </c>
      <c r="B1462" s="2">
        <v>44494</v>
      </c>
      <c r="C1462" t="str">
        <f>+"Tuáº§n "&amp;WEEKNUM(B1462)</f>
        <v>Tuáº§n 44</v>
      </c>
      <c r="D1462" t="s">
        <v>16</v>
      </c>
      <c r="E1462" t="s">
        <v>17</v>
      </c>
      <c r="F1462" s="5">
        <v>52100000</v>
      </c>
      <c r="G1462" s="5">
        <v>55100000</v>
      </c>
      <c r="H1462" s="5">
        <f>+(M1462*26000)/0.829426</f>
        <v>56612645.371618442</v>
      </c>
      <c r="I1462" s="5">
        <f>+G1462-H1462</f>
        <v>-1512645.3716184422</v>
      </c>
      <c r="J1462" s="5">
        <v>3000000</v>
      </c>
      <c r="K1462" s="5">
        <v>5210000</v>
      </c>
      <c r="L1462" s="5">
        <v>5510000</v>
      </c>
      <c r="M1462" s="7">
        <v>1806</v>
      </c>
      <c r="N1462" s="5">
        <v>52600000</v>
      </c>
      <c r="O1462" s="5">
        <v>55600000</v>
      </c>
      <c r="P1462" s="3">
        <v>0.97916666666666663</v>
      </c>
    </row>
    <row r="1463" spans="1:16" x14ac:dyDescent="0.25">
      <c r="A1463" t="s">
        <v>907</v>
      </c>
      <c r="B1463" s="2">
        <v>44495</v>
      </c>
      <c r="C1463" t="str">
        <f>+"Tuáº§n "&amp;WEEKNUM(B1463)</f>
        <v>Tuáº§n 44</v>
      </c>
      <c r="D1463" t="s">
        <v>18</v>
      </c>
      <c r="E1463" t="s">
        <v>17</v>
      </c>
      <c r="F1463" s="5">
        <v>51700000</v>
      </c>
      <c r="G1463" s="5">
        <v>54700000</v>
      </c>
      <c r="H1463" s="5">
        <f>+(M1463*26000)/0.829426</f>
        <v>56195730.541362338</v>
      </c>
      <c r="I1463" s="5">
        <f>+G1463-H1463</f>
        <v>-1495730.5413623378</v>
      </c>
      <c r="J1463" s="5">
        <v>3000000</v>
      </c>
      <c r="K1463" s="5">
        <v>5170000</v>
      </c>
      <c r="L1463" s="5">
        <v>5470000</v>
      </c>
      <c r="M1463" s="7">
        <v>1792.7</v>
      </c>
      <c r="N1463" s="5">
        <v>52200000</v>
      </c>
      <c r="O1463" s="5">
        <v>55200000</v>
      </c>
      <c r="P1463" s="3">
        <v>0.97916666666666663</v>
      </c>
    </row>
    <row r="1464" spans="1:16" x14ac:dyDescent="0.25">
      <c r="A1464" t="s">
        <v>908</v>
      </c>
      <c r="B1464" s="2">
        <v>44496</v>
      </c>
      <c r="C1464" t="str">
        <f>+"Tuáº§n "&amp;WEEKNUM(B1464)</f>
        <v>Tuáº§n 44</v>
      </c>
      <c r="D1464" t="s">
        <v>19</v>
      </c>
      <c r="E1464" t="s">
        <v>17</v>
      </c>
      <c r="F1464" s="5">
        <v>51800000</v>
      </c>
      <c r="G1464" s="5">
        <v>54800000</v>
      </c>
      <c r="H1464" s="5">
        <f>+(M1464*26000)/0.829426</f>
        <v>56358734.835898563</v>
      </c>
      <c r="I1464" s="5">
        <f>+G1464-H1464</f>
        <v>-1558734.8358985633</v>
      </c>
      <c r="J1464" s="5">
        <v>3000000</v>
      </c>
      <c r="K1464" s="5">
        <v>5180000</v>
      </c>
      <c r="L1464" s="5">
        <v>5480000</v>
      </c>
      <c r="M1464" s="7">
        <v>1797.9</v>
      </c>
      <c r="N1464" s="5">
        <v>52300000</v>
      </c>
      <c r="O1464" s="5">
        <v>55300000</v>
      </c>
      <c r="P1464" s="3">
        <v>0.97916666666666663</v>
      </c>
    </row>
    <row r="1465" spans="1:16" x14ac:dyDescent="0.25">
      <c r="A1465" t="s">
        <v>909</v>
      </c>
      <c r="B1465" s="2">
        <v>44497</v>
      </c>
      <c r="C1465" t="str">
        <f>+"Tuáº§n "&amp;WEEKNUM(B1465)</f>
        <v>Tuáº§n 44</v>
      </c>
      <c r="D1465" t="s">
        <v>20</v>
      </c>
      <c r="E1465" t="s">
        <v>17</v>
      </c>
      <c r="F1465" s="5">
        <v>52000000</v>
      </c>
      <c r="G1465" s="5">
        <v>55000000</v>
      </c>
      <c r="H1465" s="5">
        <f>+(M1465*26000)/0.829426</f>
        <v>56474718.660857029</v>
      </c>
      <c r="I1465" s="5">
        <f>+G1465-H1465</f>
        <v>-1474718.6608570293</v>
      </c>
      <c r="J1465" s="5">
        <v>3000000</v>
      </c>
      <c r="K1465" s="5">
        <v>5200000</v>
      </c>
      <c r="L1465" s="5">
        <v>5500000</v>
      </c>
      <c r="M1465" s="7">
        <v>1801.6</v>
      </c>
      <c r="N1465" s="5">
        <v>52500000</v>
      </c>
      <c r="O1465" s="5">
        <v>55500000</v>
      </c>
      <c r="P1465" s="3">
        <v>0.97916666666666663</v>
      </c>
    </row>
    <row r="1466" spans="1:16" x14ac:dyDescent="0.25">
      <c r="A1466" t="s">
        <v>910</v>
      </c>
      <c r="B1466" s="2">
        <v>44498</v>
      </c>
      <c r="C1466" t="str">
        <f>+"Tuáº§n "&amp;WEEKNUM(B1466)</f>
        <v>Tuáº§n 44</v>
      </c>
      <c r="D1466" t="s">
        <v>21</v>
      </c>
      <c r="E1466" t="s">
        <v>17</v>
      </c>
      <c r="F1466" s="5">
        <v>51400000</v>
      </c>
      <c r="G1466" s="5">
        <v>54400000</v>
      </c>
      <c r="H1466" s="5">
        <f>+(M1466*26000)/0.829426</f>
        <v>55891664.838092849</v>
      </c>
      <c r="I1466" s="5">
        <f>+G1466-H1466</f>
        <v>-1491664.8380928487</v>
      </c>
      <c r="J1466" s="5">
        <v>3000000</v>
      </c>
      <c r="K1466" s="5">
        <v>5140000</v>
      </c>
      <c r="L1466" s="5">
        <v>5440000</v>
      </c>
      <c r="M1466" s="7">
        <v>1783</v>
      </c>
      <c r="N1466" s="5">
        <v>51900000</v>
      </c>
      <c r="O1466" s="5">
        <v>54900000</v>
      </c>
      <c r="P1466" s="3">
        <v>0.97916666666666663</v>
      </c>
    </row>
    <row r="1467" spans="1:16" x14ac:dyDescent="0.25">
      <c r="A1467" s="2">
        <v>44207</v>
      </c>
      <c r="B1467" s="2">
        <v>44501</v>
      </c>
      <c r="C1467" t="str">
        <f>+"Tuáº§n "&amp;WEEKNUM(B1467)</f>
        <v>Tuáº§n 45</v>
      </c>
      <c r="D1467" t="s">
        <v>16</v>
      </c>
      <c r="E1467" t="s">
        <v>17</v>
      </c>
      <c r="F1467" s="5">
        <v>51800000</v>
      </c>
      <c r="G1467" s="5">
        <v>54800000</v>
      </c>
      <c r="H1467" s="5">
        <f>+(M1467*26000)/0.829426</f>
        <v>56270963.292686753</v>
      </c>
      <c r="I1467" s="5">
        <f>+G1467-H1467</f>
        <v>-1470963.292686753</v>
      </c>
      <c r="J1467" s="5">
        <v>3000000</v>
      </c>
      <c r="K1467" s="5">
        <v>5180000</v>
      </c>
      <c r="L1467" s="5">
        <v>5480000</v>
      </c>
      <c r="M1467" s="7">
        <v>1795.1</v>
      </c>
      <c r="N1467" s="5">
        <v>52300000</v>
      </c>
      <c r="O1467" s="5">
        <v>55300000</v>
      </c>
      <c r="P1467" s="3">
        <v>0.97916666666666663</v>
      </c>
    </row>
    <row r="1468" spans="1:16" x14ac:dyDescent="0.25">
      <c r="A1468" s="2">
        <v>44238</v>
      </c>
      <c r="B1468" s="2">
        <v>44502</v>
      </c>
      <c r="C1468" t="str">
        <f>+"Tuáº§n "&amp;WEEKNUM(B1468)</f>
        <v>Tuáº§n 45</v>
      </c>
      <c r="D1468" t="s">
        <v>18</v>
      </c>
      <c r="E1468" t="s">
        <v>17</v>
      </c>
      <c r="F1468" s="5">
        <v>51600000</v>
      </c>
      <c r="G1468" s="5">
        <v>54600000</v>
      </c>
      <c r="H1468" s="5">
        <f>+(M1468*26000)/0.829426</f>
        <v>56070342.62248832</v>
      </c>
      <c r="I1468" s="5">
        <f>+G1468-H1468</f>
        <v>-1470342.6224883199</v>
      </c>
      <c r="J1468" s="5">
        <v>3000000</v>
      </c>
      <c r="K1468" s="5">
        <v>5160000</v>
      </c>
      <c r="L1468" s="5">
        <v>5460000</v>
      </c>
      <c r="M1468" s="7">
        <v>1788.7</v>
      </c>
      <c r="N1468" s="5">
        <v>52100000</v>
      </c>
      <c r="O1468" s="5">
        <v>55100000</v>
      </c>
      <c r="P1468" s="3">
        <v>0.97916666666666663</v>
      </c>
    </row>
    <row r="1469" spans="1:16" x14ac:dyDescent="0.25">
      <c r="A1469" s="2">
        <v>44266</v>
      </c>
      <c r="B1469" s="2">
        <v>44503</v>
      </c>
      <c r="C1469" t="str">
        <f>+"Tuáº§n "&amp;WEEKNUM(B1469)</f>
        <v>Tuáº§n 45</v>
      </c>
      <c r="D1469" t="s">
        <v>19</v>
      </c>
      <c r="E1469" t="s">
        <v>17</v>
      </c>
      <c r="F1469" s="5">
        <v>50800000</v>
      </c>
      <c r="G1469" s="5">
        <v>53800000</v>
      </c>
      <c r="H1469" s="5">
        <f>+(M1469*26000)/0.829426</f>
        <v>55283533.43155387</v>
      </c>
      <c r="I1469" s="5">
        <f>+G1469-H1469</f>
        <v>-1483533.4315538704</v>
      </c>
      <c r="J1469" s="5">
        <v>3000000</v>
      </c>
      <c r="K1469" s="5">
        <v>5080000</v>
      </c>
      <c r="L1469" s="5">
        <v>5380000</v>
      </c>
      <c r="M1469" s="7">
        <v>1763.6</v>
      </c>
      <c r="N1469" s="5">
        <v>51300000</v>
      </c>
      <c r="O1469" s="5">
        <v>54300000</v>
      </c>
      <c r="P1469" s="3">
        <v>0.97916666666666663</v>
      </c>
    </row>
    <row r="1470" spans="1:16" x14ac:dyDescent="0.25">
      <c r="A1470" s="2">
        <v>44297</v>
      </c>
      <c r="B1470" s="2">
        <v>44504</v>
      </c>
      <c r="C1470" t="str">
        <f>+"Tuáº§n "&amp;WEEKNUM(B1470)</f>
        <v>Tuáº§n 45</v>
      </c>
      <c r="D1470" t="s">
        <v>20</v>
      </c>
      <c r="E1470" t="s">
        <v>17</v>
      </c>
      <c r="F1470" s="5">
        <v>51700000</v>
      </c>
      <c r="G1470" s="5">
        <v>54700000</v>
      </c>
      <c r="H1470" s="5">
        <f>+(M1470*26000)/0.829426</f>
        <v>56205134.63527789</v>
      </c>
      <c r="I1470" s="5">
        <f>+G1470-H1470</f>
        <v>-1505134.6352778897</v>
      </c>
      <c r="J1470" s="5">
        <v>3000000</v>
      </c>
      <c r="K1470" s="5">
        <v>5170000</v>
      </c>
      <c r="L1470" s="5">
        <v>5470000</v>
      </c>
      <c r="M1470" s="7">
        <v>1793</v>
      </c>
      <c r="N1470" s="5">
        <v>52200000</v>
      </c>
      <c r="O1470" s="5">
        <v>55200000</v>
      </c>
      <c r="P1470" s="3">
        <v>0.97916666666666663</v>
      </c>
    </row>
    <row r="1471" spans="1:16" x14ac:dyDescent="0.25">
      <c r="A1471" s="2">
        <v>44327</v>
      </c>
      <c r="B1471" s="2">
        <v>44505</v>
      </c>
      <c r="C1471" t="str">
        <f>+"Tuáº§n "&amp;WEEKNUM(B1471)</f>
        <v>Tuáº§n 45</v>
      </c>
      <c r="D1471" t="s">
        <v>21</v>
      </c>
      <c r="E1471" t="s">
        <v>17</v>
      </c>
      <c r="F1471" s="5">
        <v>52400000</v>
      </c>
      <c r="G1471" s="5">
        <v>55400000</v>
      </c>
      <c r="H1471" s="5">
        <f>+(M1471*26000)/0.829426</f>
        <v>56938653.960690886</v>
      </c>
      <c r="I1471" s="5">
        <f>+G1471-H1471</f>
        <v>-1538653.9606908858</v>
      </c>
      <c r="J1471" s="5">
        <v>3000000</v>
      </c>
      <c r="K1471" s="5">
        <v>5240000</v>
      </c>
      <c r="L1471" s="5">
        <v>5540000</v>
      </c>
      <c r="M1471" s="7">
        <v>1816.4</v>
      </c>
      <c r="N1471" s="5">
        <v>52900000</v>
      </c>
      <c r="O1471" s="5">
        <v>55900000</v>
      </c>
      <c r="P1471" s="3">
        <v>0.97916666666666663</v>
      </c>
    </row>
    <row r="1472" spans="1:16" x14ac:dyDescent="0.25">
      <c r="A1472" s="2">
        <v>44419</v>
      </c>
      <c r="B1472" s="2">
        <v>44508</v>
      </c>
      <c r="C1472" t="str">
        <f>+"Tuáº§n "&amp;WEEKNUM(B1472)</f>
        <v>Tuáº§n 46</v>
      </c>
      <c r="D1472" t="s">
        <v>16</v>
      </c>
      <c r="E1472" t="s">
        <v>17</v>
      </c>
      <c r="F1472" s="5">
        <v>52700000</v>
      </c>
      <c r="G1472" s="5">
        <v>55700000</v>
      </c>
      <c r="H1472" s="5">
        <f>+(M1472*26000)/0.829426</f>
        <v>57283470.737594433</v>
      </c>
      <c r="I1472" s="5">
        <f>+G1472-H1472</f>
        <v>-1583470.7375944331</v>
      </c>
      <c r="J1472" s="5">
        <v>3000000</v>
      </c>
      <c r="K1472" s="5">
        <v>5270000</v>
      </c>
      <c r="L1472" s="5">
        <v>5570000</v>
      </c>
      <c r="M1472" s="7">
        <v>1827.4</v>
      </c>
      <c r="N1472" s="5">
        <v>53200000</v>
      </c>
      <c r="O1472" s="5">
        <v>56200000</v>
      </c>
      <c r="P1472" s="3">
        <v>0.97916666666666663</v>
      </c>
    </row>
    <row r="1473" spans="1:16" x14ac:dyDescent="0.25">
      <c r="A1473" s="2">
        <v>44450</v>
      </c>
      <c r="B1473" s="2">
        <v>44509</v>
      </c>
      <c r="C1473" t="str">
        <f>+"Tuáº§n "&amp;WEEKNUM(B1473)</f>
        <v>Tuáº§n 46</v>
      </c>
      <c r="D1473" t="s">
        <v>18</v>
      </c>
      <c r="E1473" t="s">
        <v>17</v>
      </c>
      <c r="F1473" s="5">
        <v>52800000</v>
      </c>
      <c r="G1473" s="5">
        <v>55800000</v>
      </c>
      <c r="H1473" s="5">
        <f>+(M1473*26000)/0.829426</f>
        <v>57371242.280806243</v>
      </c>
      <c r="I1473" s="5">
        <f>+G1473-H1473</f>
        <v>-1571242.2808062434</v>
      </c>
      <c r="J1473" s="5">
        <v>3000000</v>
      </c>
      <c r="K1473" s="5">
        <v>5280000</v>
      </c>
      <c r="L1473" s="5">
        <v>5580000</v>
      </c>
      <c r="M1473" s="7">
        <v>1830.2</v>
      </c>
      <c r="N1473" s="5">
        <v>53300000</v>
      </c>
      <c r="O1473" s="5">
        <v>56300000</v>
      </c>
      <c r="P1473" s="3">
        <v>0.97916666666666663</v>
      </c>
    </row>
    <row r="1474" spans="1:16" x14ac:dyDescent="0.25">
      <c r="A1474" s="2">
        <v>44480</v>
      </c>
      <c r="B1474" s="2">
        <v>44510</v>
      </c>
      <c r="C1474" t="str">
        <f>+"Tuáº§n "&amp;WEEKNUM(B1474)</f>
        <v>Tuáº§n 46</v>
      </c>
      <c r="D1474" t="s">
        <v>19</v>
      </c>
      <c r="E1474" t="s">
        <v>17</v>
      </c>
      <c r="F1474" s="5">
        <v>53400000</v>
      </c>
      <c r="G1474" s="5">
        <v>56400000</v>
      </c>
      <c r="H1474" s="5">
        <f>+(M1474*26000)/0.829426</f>
        <v>57916679.727908216</v>
      </c>
      <c r="I1474" s="5">
        <f>+G1474-H1474</f>
        <v>-1516679.7279082164</v>
      </c>
      <c r="J1474" s="5">
        <v>3000000</v>
      </c>
      <c r="K1474" s="5">
        <v>5340000</v>
      </c>
      <c r="L1474" s="5">
        <v>5640000</v>
      </c>
      <c r="M1474" s="7">
        <v>1847.6</v>
      </c>
      <c r="N1474" s="5">
        <v>53900000</v>
      </c>
      <c r="O1474" s="5">
        <v>56900000</v>
      </c>
      <c r="P1474" s="3">
        <v>0.97916666666666663</v>
      </c>
    </row>
    <row r="1475" spans="1:16" x14ac:dyDescent="0.25">
      <c r="A1475" s="2">
        <v>44511</v>
      </c>
      <c r="B1475" s="2">
        <v>44511</v>
      </c>
      <c r="C1475" t="str">
        <f>+"Tuáº§n "&amp;WEEKNUM(B1475)</f>
        <v>Tuáº§n 46</v>
      </c>
      <c r="D1475" t="s">
        <v>20</v>
      </c>
      <c r="E1475" t="s">
        <v>17</v>
      </c>
      <c r="F1475" s="5">
        <v>53800000</v>
      </c>
      <c r="G1475" s="5">
        <v>56800000</v>
      </c>
      <c r="H1475" s="5">
        <f>+(M1475*26000)/0.829426</f>
        <v>58405692.611516878</v>
      </c>
      <c r="I1475" s="5">
        <f>+G1475-H1475</f>
        <v>-1605692.611516878</v>
      </c>
      <c r="J1475" s="5">
        <v>3000000</v>
      </c>
      <c r="K1475" s="5">
        <v>5380000</v>
      </c>
      <c r="L1475" s="5">
        <v>5680000</v>
      </c>
      <c r="M1475" s="7">
        <v>1863.2</v>
      </c>
      <c r="N1475" s="5">
        <v>54300000</v>
      </c>
      <c r="O1475" s="5">
        <v>57300000</v>
      </c>
      <c r="P1475" s="3">
        <v>0.97916666666666663</v>
      </c>
    </row>
    <row r="1476" spans="1:16" x14ac:dyDescent="0.25">
      <c r="A1476" s="2">
        <v>44541</v>
      </c>
      <c r="B1476" s="2">
        <v>44512</v>
      </c>
      <c r="C1476" t="str">
        <f>+"Tuáº§n "&amp;WEEKNUM(B1476)</f>
        <v>Tuáº§n 46</v>
      </c>
      <c r="D1476" t="s">
        <v>21</v>
      </c>
      <c r="E1476" t="s">
        <v>17</v>
      </c>
      <c r="F1476" s="5">
        <v>54000000</v>
      </c>
      <c r="G1476" s="5">
        <v>57000000</v>
      </c>
      <c r="H1476" s="5">
        <f>+(M1476*26000)/0.829426</f>
        <v>58553023.41619385</v>
      </c>
      <c r="I1476" s="5">
        <f>+G1476-H1476</f>
        <v>-1553023.4161938503</v>
      </c>
      <c r="J1476" s="5">
        <v>3000000</v>
      </c>
      <c r="K1476" s="5">
        <v>5400000</v>
      </c>
      <c r="L1476" s="5">
        <v>5700000</v>
      </c>
      <c r="M1476" s="7">
        <v>1867.9</v>
      </c>
      <c r="N1476" s="5">
        <v>54500000</v>
      </c>
      <c r="O1476" s="5">
        <v>57500000</v>
      </c>
      <c r="P1476" s="3">
        <v>0.97916666666666663</v>
      </c>
    </row>
    <row r="1477" spans="1:16" x14ac:dyDescent="0.25">
      <c r="A1477" t="s">
        <v>911</v>
      </c>
      <c r="B1477" s="2">
        <v>44515</v>
      </c>
      <c r="C1477" t="str">
        <f>+"Tuáº§n "&amp;WEEKNUM(B1477)</f>
        <v>Tuáº§n 47</v>
      </c>
      <c r="D1477" t="s">
        <v>16</v>
      </c>
      <c r="E1477" t="s">
        <v>17</v>
      </c>
      <c r="F1477" s="5">
        <v>53900000</v>
      </c>
      <c r="G1477" s="5">
        <v>56900000</v>
      </c>
      <c r="H1477" s="5">
        <f>+(M1477*26000)/0.829426</f>
        <v>58496598.852700539</v>
      </c>
      <c r="I1477" s="5">
        <f>+G1477-H1477</f>
        <v>-1596598.8527005389</v>
      </c>
      <c r="J1477" s="5">
        <v>3000000</v>
      </c>
      <c r="K1477" s="5">
        <v>5390000</v>
      </c>
      <c r="L1477" s="5">
        <v>5690000</v>
      </c>
      <c r="M1477" s="7">
        <v>1866.1</v>
      </c>
      <c r="N1477" s="5">
        <v>54400000</v>
      </c>
      <c r="O1477" s="5">
        <v>57400000</v>
      </c>
      <c r="P1477" s="3">
        <v>0.97916666666666663</v>
      </c>
    </row>
    <row r="1478" spans="1:16" x14ac:dyDescent="0.25">
      <c r="A1478" t="s">
        <v>912</v>
      </c>
      <c r="B1478" s="2">
        <v>44516</v>
      </c>
      <c r="C1478" t="str">
        <f>+"Tuáº§n "&amp;WEEKNUM(B1478)</f>
        <v>Tuáº§n 47</v>
      </c>
      <c r="D1478" t="s">
        <v>18</v>
      </c>
      <c r="E1478" t="s">
        <v>17</v>
      </c>
      <c r="F1478" s="5">
        <v>53500000</v>
      </c>
      <c r="G1478" s="5">
        <v>56500000</v>
      </c>
      <c r="H1478" s="5">
        <f>+(M1478*26000)/0.829426</f>
        <v>58104761.60621924</v>
      </c>
      <c r="I1478" s="5">
        <f>+G1478-H1478</f>
        <v>-1604761.6062192395</v>
      </c>
      <c r="J1478" s="5">
        <v>3000000</v>
      </c>
      <c r="K1478" s="5">
        <v>5350000</v>
      </c>
      <c r="L1478" s="5">
        <v>5650000</v>
      </c>
      <c r="M1478" s="7">
        <v>1853.6</v>
      </c>
      <c r="N1478" s="5">
        <v>54000000</v>
      </c>
      <c r="O1478" s="5">
        <v>57000000</v>
      </c>
      <c r="P1478" s="3">
        <v>0.97916666666666663</v>
      </c>
    </row>
    <row r="1479" spans="1:16" x14ac:dyDescent="0.25">
      <c r="A1479" t="s">
        <v>913</v>
      </c>
      <c r="B1479" s="2">
        <v>44517</v>
      </c>
      <c r="C1479" t="str">
        <f>+"Tuáº§n "&amp;WEEKNUM(B1479)</f>
        <v>Tuáº§n 47</v>
      </c>
      <c r="D1479" t="s">
        <v>19</v>
      </c>
      <c r="E1479" t="s">
        <v>17</v>
      </c>
      <c r="F1479" s="5">
        <v>54000000</v>
      </c>
      <c r="G1479" s="5">
        <v>57000000</v>
      </c>
      <c r="H1479" s="5">
        <f>+(M1479*26000)/0.829426</f>
        <v>58609447.979687154</v>
      </c>
      <c r="I1479" s="5">
        <f>+G1479-H1479</f>
        <v>-1609447.9796871543</v>
      </c>
      <c r="J1479" s="5">
        <v>3000000</v>
      </c>
      <c r="K1479" s="5">
        <v>5400000</v>
      </c>
      <c r="L1479" s="5">
        <v>5700000</v>
      </c>
      <c r="M1479" s="7">
        <v>1869.7</v>
      </c>
      <c r="N1479" s="5">
        <v>54500000</v>
      </c>
      <c r="O1479" s="5">
        <v>57500000</v>
      </c>
      <c r="P1479" s="3">
        <v>0.97916666666666663</v>
      </c>
    </row>
    <row r="1480" spans="1:16" x14ac:dyDescent="0.25">
      <c r="A1480" t="s">
        <v>914</v>
      </c>
      <c r="B1480" s="2">
        <v>44518</v>
      </c>
      <c r="C1480" t="str">
        <f>+"Tuáº§n "&amp;WEEKNUM(B1480)</f>
        <v>Tuáº§n 47</v>
      </c>
      <c r="D1480" t="s">
        <v>20</v>
      </c>
      <c r="E1480" t="s">
        <v>17</v>
      </c>
      <c r="F1480" s="5">
        <v>53800000</v>
      </c>
      <c r="G1480" s="5">
        <v>56800000</v>
      </c>
      <c r="H1480" s="5">
        <f>+(M1480*26000)/0.829426</f>
        <v>58336729.256136172</v>
      </c>
      <c r="I1480" s="5">
        <f>+G1480-H1480</f>
        <v>-1536729.2561361715</v>
      </c>
      <c r="J1480" s="5">
        <v>3000000</v>
      </c>
      <c r="K1480" s="5">
        <v>5380000</v>
      </c>
      <c r="L1480" s="5">
        <v>5680000</v>
      </c>
      <c r="M1480" s="7">
        <v>1861</v>
      </c>
      <c r="N1480" s="5">
        <v>54300000</v>
      </c>
      <c r="O1480" s="5">
        <v>57300000</v>
      </c>
      <c r="P1480" s="3">
        <v>0.97916666666666663</v>
      </c>
    </row>
    <row r="1481" spans="1:16" x14ac:dyDescent="0.25">
      <c r="A1481" t="s">
        <v>915</v>
      </c>
      <c r="B1481" s="2">
        <v>44519</v>
      </c>
      <c r="C1481" t="str">
        <f>+"Tuáº§n "&amp;WEEKNUM(B1481)</f>
        <v>Tuáº§n 47</v>
      </c>
      <c r="D1481" t="s">
        <v>21</v>
      </c>
      <c r="E1481" t="s">
        <v>17</v>
      </c>
      <c r="F1481" s="5">
        <v>53500000</v>
      </c>
      <c r="G1481" s="5">
        <v>56500000</v>
      </c>
      <c r="H1481" s="5">
        <f>+(M1481*26000)/0.829426</f>
        <v>58029528.854894832</v>
      </c>
      <c r="I1481" s="5">
        <f>+G1481-H1481</f>
        <v>-1529528.8548948318</v>
      </c>
      <c r="J1481" s="5">
        <v>3000000</v>
      </c>
      <c r="K1481" s="5">
        <v>5350000</v>
      </c>
      <c r="L1481" s="5">
        <v>5650000</v>
      </c>
      <c r="M1481" s="7">
        <v>1851.2</v>
      </c>
      <c r="N1481" s="5">
        <v>54000000</v>
      </c>
      <c r="O1481" s="5">
        <v>57000000</v>
      </c>
      <c r="P1481" s="3">
        <v>0.97916666666666663</v>
      </c>
    </row>
    <row r="1482" spans="1:16" x14ac:dyDescent="0.25">
      <c r="A1482" t="s">
        <v>916</v>
      </c>
      <c r="B1482" s="2">
        <v>44522</v>
      </c>
      <c r="C1482" t="str">
        <f>+"Tuáº§n "&amp;WEEKNUM(B1482)</f>
        <v>Tuáº§n 48</v>
      </c>
      <c r="D1482" t="s">
        <v>16</v>
      </c>
      <c r="E1482" t="s">
        <v>17</v>
      </c>
      <c r="F1482" s="5">
        <v>52100000</v>
      </c>
      <c r="G1482" s="5">
        <v>55100000</v>
      </c>
      <c r="H1482" s="5">
        <f>+(M1482*26000)/0.829426</f>
        <v>56612645.371618442</v>
      </c>
      <c r="I1482" s="5">
        <f>+G1482-H1482</f>
        <v>-1512645.3716184422</v>
      </c>
      <c r="J1482" s="5">
        <v>3000000</v>
      </c>
      <c r="K1482" s="5">
        <v>5210000</v>
      </c>
      <c r="L1482" s="5">
        <v>5510000</v>
      </c>
      <c r="M1482" s="7">
        <v>1806</v>
      </c>
      <c r="N1482" s="5">
        <v>52600000</v>
      </c>
      <c r="O1482" s="5">
        <v>55600000</v>
      </c>
      <c r="P1482" s="3">
        <v>0.97916666666666663</v>
      </c>
    </row>
    <row r="1483" spans="1:16" x14ac:dyDescent="0.25">
      <c r="A1483" t="s">
        <v>917</v>
      </c>
      <c r="B1483" s="2">
        <v>44523</v>
      </c>
      <c r="C1483" t="str">
        <f>+"Tuáº§n "&amp;WEEKNUM(B1483)</f>
        <v>Tuáº§n 48</v>
      </c>
      <c r="D1483" t="s">
        <v>18</v>
      </c>
      <c r="E1483" t="s">
        <v>17</v>
      </c>
      <c r="F1483" s="5">
        <v>51400000</v>
      </c>
      <c r="G1483" s="5">
        <v>54400000</v>
      </c>
      <c r="H1483" s="5">
        <f>+(M1483*26000)/0.829426</f>
        <v>55907338.327952102</v>
      </c>
      <c r="I1483" s="5">
        <f>+G1483-H1483</f>
        <v>-1507338.3279521018</v>
      </c>
      <c r="J1483" s="5">
        <v>3000000</v>
      </c>
      <c r="K1483" s="5">
        <v>5140000</v>
      </c>
      <c r="L1483" s="5">
        <v>5440000</v>
      </c>
      <c r="M1483" s="7">
        <v>1783.5</v>
      </c>
      <c r="N1483" s="5">
        <v>51900000</v>
      </c>
      <c r="O1483" s="5">
        <v>54900000</v>
      </c>
      <c r="P1483" s="3">
        <v>0.97916666666666663</v>
      </c>
    </row>
    <row r="1484" spans="1:16" x14ac:dyDescent="0.25">
      <c r="A1484" t="s">
        <v>918</v>
      </c>
      <c r="B1484" s="2">
        <v>44524</v>
      </c>
      <c r="C1484" t="str">
        <f>+"Tuáº§n "&amp;WEEKNUM(B1484)</f>
        <v>Tuáº§n 48</v>
      </c>
      <c r="D1484" t="s">
        <v>19</v>
      </c>
      <c r="E1484" t="s">
        <v>17</v>
      </c>
      <c r="F1484" s="5">
        <v>51400000</v>
      </c>
      <c r="G1484" s="5">
        <v>54400000</v>
      </c>
      <c r="H1484" s="5">
        <f>+(M1484*26000)/0.829426</f>
        <v>55926146.515783206</v>
      </c>
      <c r="I1484" s="5">
        <f>+G1484-H1484</f>
        <v>-1526146.5157832056</v>
      </c>
      <c r="J1484" s="5">
        <v>3000000</v>
      </c>
      <c r="K1484" s="5">
        <v>5140000</v>
      </c>
      <c r="L1484" s="5">
        <v>5440000</v>
      </c>
      <c r="M1484" s="7">
        <v>1784.1</v>
      </c>
      <c r="N1484" s="5">
        <v>51900000</v>
      </c>
      <c r="O1484" s="5">
        <v>54900000</v>
      </c>
      <c r="P1484" s="3">
        <v>0.97916666666666663</v>
      </c>
    </row>
    <row r="1485" spans="1:16" x14ac:dyDescent="0.25">
      <c r="A1485" t="s">
        <v>919</v>
      </c>
      <c r="B1485" s="2">
        <v>44526</v>
      </c>
      <c r="C1485" t="str">
        <f>+"Tuáº§n "&amp;WEEKNUM(B1485)</f>
        <v>Tuáº§n 48</v>
      </c>
      <c r="D1485" t="s">
        <v>21</v>
      </c>
      <c r="E1485" t="s">
        <v>17</v>
      </c>
      <c r="F1485" s="5">
        <v>51500000</v>
      </c>
      <c r="G1485" s="5">
        <v>54500000</v>
      </c>
      <c r="H1485" s="5">
        <f>+(M1485*26000)/0.829426</f>
        <v>55963762.891445406</v>
      </c>
      <c r="I1485" s="5">
        <f>+G1485-H1485</f>
        <v>-1463762.8914454058</v>
      </c>
      <c r="J1485" s="5">
        <v>3000000</v>
      </c>
      <c r="K1485" s="5">
        <v>5150000</v>
      </c>
      <c r="L1485" s="5">
        <v>5450000</v>
      </c>
      <c r="M1485" s="7">
        <v>1785.3</v>
      </c>
      <c r="N1485" s="5">
        <v>52000000</v>
      </c>
      <c r="O1485" s="5">
        <v>55000000</v>
      </c>
      <c r="P1485" s="3">
        <v>0.97916666666666663</v>
      </c>
    </row>
    <row r="1486" spans="1:16" x14ac:dyDescent="0.25">
      <c r="A1486" t="s">
        <v>920</v>
      </c>
      <c r="B1486" s="2">
        <v>44529</v>
      </c>
      <c r="C1486" t="str">
        <f>+"Tuáº§n "&amp;WEEKNUM(B1486)</f>
        <v>Tuáº§n 49</v>
      </c>
      <c r="D1486" t="s">
        <v>16</v>
      </c>
      <c r="E1486" t="s">
        <v>17</v>
      </c>
      <c r="F1486" s="5">
        <v>51400000</v>
      </c>
      <c r="G1486" s="5">
        <v>54400000</v>
      </c>
      <c r="H1486" s="5">
        <f>+(M1486*26000)/0.829426</f>
        <v>55869721.952289894</v>
      </c>
      <c r="I1486" s="5">
        <f>+G1486-H1486</f>
        <v>-1469721.9522898942</v>
      </c>
      <c r="J1486" s="5">
        <v>3000000</v>
      </c>
      <c r="K1486" s="5">
        <v>5140000</v>
      </c>
      <c r="L1486" s="5">
        <v>5440000</v>
      </c>
      <c r="M1486" s="7">
        <v>1782.3</v>
      </c>
      <c r="N1486" s="5">
        <v>51900000</v>
      </c>
      <c r="O1486" s="5">
        <v>54900000</v>
      </c>
      <c r="P1486" s="3">
        <v>0.97916666666666663</v>
      </c>
    </row>
    <row r="1487" spans="1:16" x14ac:dyDescent="0.25">
      <c r="A1487" t="s">
        <v>921</v>
      </c>
      <c r="B1487" s="2">
        <v>44530</v>
      </c>
      <c r="C1487" t="str">
        <f>+"Tuáº§n "&amp;WEEKNUM(B1487)</f>
        <v>Tuáº§n 49</v>
      </c>
      <c r="D1487" t="s">
        <v>18</v>
      </c>
      <c r="E1487" t="s">
        <v>17</v>
      </c>
      <c r="F1487" s="5">
        <v>51100000</v>
      </c>
      <c r="G1487" s="5">
        <v>54100000</v>
      </c>
      <c r="H1487" s="5">
        <f>+(M1487*26000)/0.829426</f>
        <v>55597003.228738911</v>
      </c>
      <c r="I1487" s="5">
        <f>+G1487-H1487</f>
        <v>-1497003.2287389114</v>
      </c>
      <c r="J1487" s="5">
        <v>3000000</v>
      </c>
      <c r="K1487" s="5">
        <v>5110000</v>
      </c>
      <c r="L1487" s="5">
        <v>5410000</v>
      </c>
      <c r="M1487" s="7">
        <v>1773.6</v>
      </c>
      <c r="N1487" s="5">
        <v>51600000</v>
      </c>
      <c r="O1487" s="5">
        <v>54600000</v>
      </c>
      <c r="P1487" s="3">
        <v>0.97916666666666663</v>
      </c>
    </row>
    <row r="1488" spans="1:16" x14ac:dyDescent="0.25">
      <c r="A1488" s="2">
        <v>44208</v>
      </c>
      <c r="B1488" s="2">
        <v>44531</v>
      </c>
      <c r="C1488" t="str">
        <f>+"Tuáº§n "&amp;WEEKNUM(B1488)</f>
        <v>Tuáº§n 49</v>
      </c>
      <c r="D1488" t="s">
        <v>19</v>
      </c>
      <c r="E1488" t="s">
        <v>17</v>
      </c>
      <c r="F1488" s="5">
        <v>51300000</v>
      </c>
      <c r="G1488" s="5">
        <v>54300000</v>
      </c>
      <c r="H1488" s="5">
        <f>+(M1488*26000)/0.829426</f>
        <v>55847779.066486947</v>
      </c>
      <c r="I1488" s="5">
        <f>+G1488-H1488</f>
        <v>-1547779.0664869472</v>
      </c>
      <c r="J1488" s="5">
        <v>3000000</v>
      </c>
      <c r="K1488" s="5">
        <v>5130000</v>
      </c>
      <c r="L1488" s="5">
        <v>5430000</v>
      </c>
      <c r="M1488" s="7">
        <v>1781.6</v>
      </c>
      <c r="N1488" s="5">
        <v>51800000</v>
      </c>
      <c r="O1488" s="5">
        <v>54800000</v>
      </c>
      <c r="P1488" s="3">
        <v>0.97916666666666663</v>
      </c>
    </row>
    <row r="1489" spans="1:16" x14ac:dyDescent="0.25">
      <c r="A1489" s="2">
        <v>44239</v>
      </c>
      <c r="B1489" s="2">
        <v>44532</v>
      </c>
      <c r="C1489" t="str">
        <f>+"Tuáº§n "&amp;WEEKNUM(B1489)</f>
        <v>Tuáº§n 49</v>
      </c>
      <c r="D1489" t="s">
        <v>20</v>
      </c>
      <c r="E1489" t="s">
        <v>17</v>
      </c>
      <c r="F1489" s="5">
        <v>50700000</v>
      </c>
      <c r="G1489" s="5">
        <v>53700000</v>
      </c>
      <c r="H1489" s="5">
        <f>+(M1489*26000)/0.829426</f>
        <v>55192627.19037021</v>
      </c>
      <c r="I1489" s="5">
        <f>+G1489-H1489</f>
        <v>-1492627.1903702095</v>
      </c>
      <c r="J1489" s="5">
        <v>3000000</v>
      </c>
      <c r="K1489" s="5">
        <v>5070000</v>
      </c>
      <c r="L1489" s="5">
        <v>5370000</v>
      </c>
      <c r="M1489" s="7">
        <v>1760.7</v>
      </c>
      <c r="N1489" s="5">
        <v>51200000</v>
      </c>
      <c r="O1489" s="5">
        <v>54200000</v>
      </c>
      <c r="P1489" s="3">
        <v>0.97916666666666663</v>
      </c>
    </row>
    <row r="1490" spans="1:16" x14ac:dyDescent="0.25">
      <c r="A1490" s="2">
        <v>44267</v>
      </c>
      <c r="B1490" s="2">
        <v>44533</v>
      </c>
      <c r="C1490" t="str">
        <f>+"Tuáº§n "&amp;WEEKNUM(B1490)</f>
        <v>Tuáº§n 49</v>
      </c>
      <c r="D1490" t="s">
        <v>21</v>
      </c>
      <c r="E1490" t="s">
        <v>17</v>
      </c>
      <c r="F1490" s="5">
        <v>51400000</v>
      </c>
      <c r="G1490" s="5">
        <v>54400000</v>
      </c>
      <c r="H1490" s="5">
        <f>+(M1490*26000)/0.829426</f>
        <v>55860317.858374342</v>
      </c>
      <c r="I1490" s="5">
        <f>+G1490-H1490</f>
        <v>-1460317.8583743423</v>
      </c>
      <c r="J1490" s="5">
        <v>3000000</v>
      </c>
      <c r="K1490" s="5">
        <v>5140000</v>
      </c>
      <c r="L1490" s="5">
        <v>5440000</v>
      </c>
      <c r="M1490" s="7">
        <v>1782</v>
      </c>
      <c r="N1490" s="5">
        <v>51900000</v>
      </c>
      <c r="O1490" s="5">
        <v>54900000</v>
      </c>
      <c r="P1490" s="3">
        <v>0.97916666666666663</v>
      </c>
    </row>
    <row r="1491" spans="1:16" x14ac:dyDescent="0.25">
      <c r="A1491" s="2">
        <v>44359</v>
      </c>
      <c r="B1491" s="2">
        <v>44536</v>
      </c>
      <c r="C1491" t="str">
        <f>+"Tuáº§n "&amp;WEEKNUM(B1491)</f>
        <v>Tuáº§n 50</v>
      </c>
      <c r="D1491" t="s">
        <v>16</v>
      </c>
      <c r="E1491" t="s">
        <v>17</v>
      </c>
      <c r="F1491" s="5">
        <v>51200000</v>
      </c>
      <c r="G1491" s="5">
        <v>54200000</v>
      </c>
      <c r="H1491" s="5">
        <f>+(M1491*26000)/0.829426</f>
        <v>55719256.449641079</v>
      </c>
      <c r="I1491" s="5">
        <f>+G1491-H1491</f>
        <v>-1519256.4496410787</v>
      </c>
      <c r="J1491" s="5">
        <v>3000000</v>
      </c>
      <c r="K1491" s="5">
        <v>5120000</v>
      </c>
      <c r="L1491" s="5">
        <v>5420000</v>
      </c>
      <c r="M1491" s="7">
        <v>1777.5</v>
      </c>
      <c r="N1491" s="5">
        <v>51700000</v>
      </c>
      <c r="O1491" s="5">
        <v>54700000</v>
      </c>
      <c r="P1491" s="3">
        <v>0.97916666666666663</v>
      </c>
    </row>
    <row r="1492" spans="1:16" x14ac:dyDescent="0.25">
      <c r="A1492" s="2">
        <v>44389</v>
      </c>
      <c r="B1492" s="2">
        <v>44537</v>
      </c>
      <c r="C1492" t="str">
        <f>+"Tuáº§n "&amp;WEEKNUM(B1492)</f>
        <v>Tuáº§n 50</v>
      </c>
      <c r="D1492" t="s">
        <v>18</v>
      </c>
      <c r="E1492" t="s">
        <v>17</v>
      </c>
      <c r="F1492" s="5">
        <v>51400000</v>
      </c>
      <c r="G1492" s="5">
        <v>54400000</v>
      </c>
      <c r="H1492" s="5">
        <f>+(M1492*26000)/0.829426</f>
        <v>55879126.046205446</v>
      </c>
      <c r="I1492" s="5">
        <f>+G1492-H1492</f>
        <v>-1479126.0462054461</v>
      </c>
      <c r="J1492" s="5">
        <v>3000000</v>
      </c>
      <c r="K1492" s="5">
        <v>5140000</v>
      </c>
      <c r="L1492" s="5">
        <v>5440000</v>
      </c>
      <c r="M1492" s="7">
        <v>1782.6</v>
      </c>
      <c r="N1492" s="5">
        <v>51900000</v>
      </c>
      <c r="O1492" s="5">
        <v>54900000</v>
      </c>
      <c r="P1492" s="3">
        <v>0.97916666666666663</v>
      </c>
    </row>
    <row r="1493" spans="1:16" x14ac:dyDescent="0.25">
      <c r="A1493" s="2">
        <v>44420</v>
      </c>
      <c r="B1493" s="2">
        <v>44538</v>
      </c>
      <c r="C1493" t="str">
        <f>+"Tuáº§n "&amp;WEEKNUM(B1493)</f>
        <v>Tuáº§n 50</v>
      </c>
      <c r="D1493" t="s">
        <v>19</v>
      </c>
      <c r="E1493" t="s">
        <v>17</v>
      </c>
      <c r="F1493" s="5">
        <v>51400000</v>
      </c>
      <c r="G1493" s="5">
        <v>54400000</v>
      </c>
      <c r="H1493" s="5">
        <f>+(M1493*26000)/0.829426</f>
        <v>55904203.629980251</v>
      </c>
      <c r="I1493" s="5">
        <f>+G1493-H1493</f>
        <v>-1504203.6299802512</v>
      </c>
      <c r="J1493" s="5">
        <v>3000000</v>
      </c>
      <c r="K1493" s="5">
        <v>5140000</v>
      </c>
      <c r="L1493" s="5">
        <v>5440000</v>
      </c>
      <c r="M1493" s="7">
        <v>1783.4</v>
      </c>
      <c r="N1493" s="5">
        <v>51900000</v>
      </c>
      <c r="O1493" s="5">
        <v>54900000</v>
      </c>
      <c r="P1493" s="3">
        <v>0.97916666666666663</v>
      </c>
    </row>
    <row r="1494" spans="1:16" x14ac:dyDescent="0.25">
      <c r="A1494" s="2">
        <v>44451</v>
      </c>
      <c r="B1494" s="2">
        <v>44539</v>
      </c>
      <c r="C1494" t="str">
        <f>+"Tuáº§n "&amp;WEEKNUM(B1494)</f>
        <v>Tuáº§n 50</v>
      </c>
      <c r="D1494" t="s">
        <v>20</v>
      </c>
      <c r="E1494" t="s">
        <v>17</v>
      </c>
      <c r="F1494" s="5">
        <v>51100000</v>
      </c>
      <c r="G1494" s="5">
        <v>54100000</v>
      </c>
      <c r="H1494" s="5">
        <f>+(M1494*26000)/0.829426</f>
        <v>55628350.208457418</v>
      </c>
      <c r="I1494" s="5">
        <f>+G1494-H1494</f>
        <v>-1528350.2084574178</v>
      </c>
      <c r="J1494" s="5">
        <v>3000000</v>
      </c>
      <c r="K1494" s="5">
        <v>5110000</v>
      </c>
      <c r="L1494" s="5">
        <v>5410000</v>
      </c>
      <c r="M1494" s="7">
        <v>1774.6</v>
      </c>
      <c r="N1494" s="5">
        <v>51600000</v>
      </c>
      <c r="O1494" s="5">
        <v>54600000</v>
      </c>
      <c r="P1494" s="3">
        <v>0.97916666666666663</v>
      </c>
    </row>
    <row r="1495" spans="1:16" x14ac:dyDescent="0.25">
      <c r="A1495" s="2">
        <v>44481</v>
      </c>
      <c r="B1495" s="2">
        <v>44540</v>
      </c>
      <c r="C1495" t="str">
        <f>+"Tuáº§n "&amp;WEEKNUM(B1495)</f>
        <v>Tuáº§n 50</v>
      </c>
      <c r="D1495" t="s">
        <v>21</v>
      </c>
      <c r="E1495" t="s">
        <v>17</v>
      </c>
      <c r="F1495" s="5">
        <v>51400000</v>
      </c>
      <c r="G1495" s="5">
        <v>54400000</v>
      </c>
      <c r="H1495" s="5">
        <f>+(M1495*26000)/0.829426</f>
        <v>55888530.140120998</v>
      </c>
      <c r="I1495" s="5">
        <f>+G1495-H1495</f>
        <v>-1488530.140120998</v>
      </c>
      <c r="J1495" s="5">
        <v>3000000</v>
      </c>
      <c r="K1495" s="5">
        <v>5140000</v>
      </c>
      <c r="L1495" s="5">
        <v>5440000</v>
      </c>
      <c r="M1495" s="7">
        <v>1782.9</v>
      </c>
      <c r="N1495" s="5">
        <v>51900000</v>
      </c>
      <c r="O1495" s="5">
        <v>54900000</v>
      </c>
      <c r="P1495" s="3">
        <v>0.97916666666666663</v>
      </c>
    </row>
    <row r="1496" spans="1:16" x14ac:dyDescent="0.25">
      <c r="A1496" t="s">
        <v>922</v>
      </c>
      <c r="B1496" s="2">
        <v>44543</v>
      </c>
      <c r="C1496" t="str">
        <f>+"Tuáº§n "&amp;WEEKNUM(B1496)</f>
        <v>Tuáº§n 51</v>
      </c>
      <c r="D1496" t="s">
        <v>16</v>
      </c>
      <c r="E1496" t="s">
        <v>17</v>
      </c>
      <c r="F1496" s="5">
        <v>51500000</v>
      </c>
      <c r="G1496" s="5">
        <v>54500000</v>
      </c>
      <c r="H1496" s="5">
        <f>+(M1496*26000)/0.829426</f>
        <v>55995109.871163912</v>
      </c>
      <c r="I1496" s="5">
        <f>+G1496-H1496</f>
        <v>-1495109.8711639121</v>
      </c>
      <c r="J1496" s="5">
        <v>3000000</v>
      </c>
      <c r="K1496" s="5">
        <v>5150000</v>
      </c>
      <c r="L1496" s="5">
        <v>5450000</v>
      </c>
      <c r="M1496" s="7">
        <v>1786.3</v>
      </c>
      <c r="N1496" s="5">
        <v>52000000</v>
      </c>
      <c r="O1496" s="5">
        <v>55000000</v>
      </c>
      <c r="P1496" s="3">
        <v>0.97916666666666663</v>
      </c>
    </row>
    <row r="1497" spans="1:16" x14ac:dyDescent="0.25">
      <c r="A1497" t="s">
        <v>923</v>
      </c>
      <c r="B1497" s="2">
        <v>44544</v>
      </c>
      <c r="C1497" t="str">
        <f>+"Tuáº§n "&amp;WEEKNUM(B1497)</f>
        <v>Tuáº§n 51</v>
      </c>
      <c r="D1497" t="s">
        <v>18</v>
      </c>
      <c r="E1497" t="s">
        <v>17</v>
      </c>
      <c r="F1497" s="5">
        <v>51000000</v>
      </c>
      <c r="G1497" s="5">
        <v>54000000</v>
      </c>
      <c r="H1497" s="5">
        <f>+(M1497*26000)/0.829426</f>
        <v>55496692.893639699</v>
      </c>
      <c r="I1497" s="5">
        <f>+G1497-H1497</f>
        <v>-1496692.8936396986</v>
      </c>
      <c r="J1497" s="5">
        <v>3000000</v>
      </c>
      <c r="K1497" s="5">
        <v>5100000</v>
      </c>
      <c r="L1497" s="5">
        <v>5400000</v>
      </c>
      <c r="M1497" s="7">
        <v>1770.4</v>
      </c>
      <c r="N1497" s="5">
        <v>51500000</v>
      </c>
      <c r="O1497" s="5">
        <v>54500000</v>
      </c>
      <c r="P1497" s="3">
        <v>0.97916666666666663</v>
      </c>
    </row>
    <row r="1498" spans="1:16" x14ac:dyDescent="0.25">
      <c r="A1498" t="s">
        <v>924</v>
      </c>
      <c r="B1498" s="2">
        <v>44545</v>
      </c>
      <c r="C1498" t="str">
        <f>+"Tuáº§n "&amp;WEEKNUM(B1498)</f>
        <v>Tuáº§n 51</v>
      </c>
      <c r="D1498" t="s">
        <v>19</v>
      </c>
      <c r="E1498" t="s">
        <v>17</v>
      </c>
      <c r="F1498" s="5">
        <v>50800000</v>
      </c>
      <c r="G1498" s="5">
        <v>53800000</v>
      </c>
      <c r="H1498" s="5">
        <f>+(M1498*26000)/0.829426</f>
        <v>55252186.451835364</v>
      </c>
      <c r="I1498" s="5">
        <f>+G1498-H1498</f>
        <v>-1452186.4518353641</v>
      </c>
      <c r="J1498" s="5">
        <v>3000000</v>
      </c>
      <c r="K1498" s="5">
        <v>5080000</v>
      </c>
      <c r="L1498" s="5">
        <v>5380000</v>
      </c>
      <c r="M1498" s="7">
        <v>1762.6</v>
      </c>
      <c r="N1498" s="5">
        <v>51300000</v>
      </c>
      <c r="O1498" s="5">
        <v>54300000</v>
      </c>
      <c r="P1498" s="3">
        <v>0.97916666666666663</v>
      </c>
    </row>
    <row r="1499" spans="1:16" x14ac:dyDescent="0.25">
      <c r="A1499" t="s">
        <v>925</v>
      </c>
      <c r="B1499" s="2">
        <v>44546</v>
      </c>
      <c r="C1499" t="str">
        <f>+"Tuáº§n "&amp;WEEKNUM(B1499)</f>
        <v>Tuáº§n 51</v>
      </c>
      <c r="D1499" t="s">
        <v>20</v>
      </c>
      <c r="E1499" t="s">
        <v>17</v>
      </c>
      <c r="F1499" s="5">
        <v>51800000</v>
      </c>
      <c r="G1499" s="5">
        <v>54800000</v>
      </c>
      <c r="H1499" s="5">
        <f>+(M1499*26000)/0.829426</f>
        <v>56317983.762264505</v>
      </c>
      <c r="I1499" s="5">
        <f>+G1499-H1499</f>
        <v>-1517983.762264505</v>
      </c>
      <c r="J1499" s="5">
        <v>3000000</v>
      </c>
      <c r="K1499" s="5">
        <v>5180000</v>
      </c>
      <c r="L1499" s="5">
        <v>5480000</v>
      </c>
      <c r="M1499" s="7">
        <v>1796.6</v>
      </c>
      <c r="N1499" s="5">
        <v>52300000</v>
      </c>
      <c r="O1499" s="5">
        <v>55300000</v>
      </c>
      <c r="P1499" s="3">
        <v>0.97916666666666663</v>
      </c>
    </row>
    <row r="1500" spans="1:16" x14ac:dyDescent="0.25">
      <c r="A1500" t="s">
        <v>926</v>
      </c>
      <c r="B1500" s="2">
        <v>44547</v>
      </c>
      <c r="C1500" t="str">
        <f>+"Tuáº§n "&amp;WEEKNUM(B1500)</f>
        <v>Tuáº§n 51</v>
      </c>
      <c r="D1500" t="s">
        <v>21</v>
      </c>
      <c r="E1500" t="s">
        <v>17</v>
      </c>
      <c r="F1500" s="5">
        <v>52000000</v>
      </c>
      <c r="G1500" s="5">
        <v>55000000</v>
      </c>
      <c r="H1500" s="5">
        <f>+(M1500*26000)/0.829426</f>
        <v>56543682.016237736</v>
      </c>
      <c r="I1500" s="5">
        <f>+G1500-H1500</f>
        <v>-1543682.0162377357</v>
      </c>
      <c r="J1500" s="5">
        <v>3000000</v>
      </c>
      <c r="K1500" s="5">
        <v>5200000</v>
      </c>
      <c r="L1500" s="5">
        <v>5500000</v>
      </c>
      <c r="M1500" s="7">
        <v>1803.8</v>
      </c>
      <c r="N1500" s="5">
        <v>52500000</v>
      </c>
      <c r="O1500" s="5">
        <v>55500000</v>
      </c>
      <c r="P1500" s="3">
        <v>0.97916666666666663</v>
      </c>
    </row>
    <row r="1501" spans="1:16" x14ac:dyDescent="0.25">
      <c r="A1501" t="s">
        <v>927</v>
      </c>
      <c r="B1501" s="2">
        <v>44550</v>
      </c>
      <c r="C1501" t="str">
        <f>+"Tuáº§n "&amp;WEEKNUM(B1501)</f>
        <v>Tuáº§n 52</v>
      </c>
      <c r="D1501" t="s">
        <v>16</v>
      </c>
      <c r="E1501" t="s">
        <v>17</v>
      </c>
      <c r="F1501" s="5">
        <v>51700000</v>
      </c>
      <c r="G1501" s="5">
        <v>54700000</v>
      </c>
      <c r="H1501" s="5">
        <f>+(M1501*26000)/0.829426</f>
        <v>56227077.521080844</v>
      </c>
      <c r="I1501" s="5">
        <f>+G1501-H1501</f>
        <v>-1527077.5210808441</v>
      </c>
      <c r="J1501" s="5">
        <v>3000000</v>
      </c>
      <c r="K1501" s="5">
        <v>5170000</v>
      </c>
      <c r="L1501" s="5">
        <v>5470000</v>
      </c>
      <c r="M1501" s="7">
        <v>1793.7</v>
      </c>
      <c r="N1501" s="5">
        <v>52200000</v>
      </c>
      <c r="O1501" s="5">
        <v>55200000</v>
      </c>
      <c r="P1501" s="3">
        <v>0.97916666666666663</v>
      </c>
    </row>
    <row r="1502" spans="1:16" x14ac:dyDescent="0.25">
      <c r="A1502" t="s">
        <v>928</v>
      </c>
      <c r="B1502" s="2">
        <v>44551</v>
      </c>
      <c r="C1502" t="str">
        <f>+"Tuáº§n "&amp;WEEKNUM(B1502)</f>
        <v>Tuáº§n 52</v>
      </c>
      <c r="D1502" t="s">
        <v>18</v>
      </c>
      <c r="E1502" t="s">
        <v>17</v>
      </c>
      <c r="F1502" s="5">
        <v>51500000</v>
      </c>
      <c r="G1502" s="5">
        <v>54500000</v>
      </c>
      <c r="H1502" s="5">
        <f>+(M1502*26000)/0.829426</f>
        <v>56045265.038713522</v>
      </c>
      <c r="I1502" s="5">
        <f>+G1502-H1502</f>
        <v>-1545265.0387135223</v>
      </c>
      <c r="J1502" s="5">
        <v>3000000</v>
      </c>
      <c r="K1502" s="5">
        <v>5150000</v>
      </c>
      <c r="L1502" s="5">
        <v>5450000</v>
      </c>
      <c r="M1502" s="7">
        <v>1787.9</v>
      </c>
      <c r="N1502" s="5">
        <v>52000000</v>
      </c>
      <c r="O1502" s="5">
        <v>55000000</v>
      </c>
      <c r="P1502" s="3">
        <v>0.97916666666666663</v>
      </c>
    </row>
    <row r="1503" spans="1:16" x14ac:dyDescent="0.25">
      <c r="A1503" t="s">
        <v>929</v>
      </c>
      <c r="B1503" s="2">
        <v>44552</v>
      </c>
      <c r="C1503" t="str">
        <f>+"Tuáº§n "&amp;WEEKNUM(B1503)</f>
        <v>Tuáº§n 52</v>
      </c>
      <c r="D1503" t="s">
        <v>19</v>
      </c>
      <c r="E1503" t="s">
        <v>17</v>
      </c>
      <c r="F1503" s="5">
        <v>52000000</v>
      </c>
      <c r="G1503" s="5">
        <v>55000000</v>
      </c>
      <c r="H1503" s="5">
        <f>+(M1503*26000)/0.829426</f>
        <v>56474718.660857029</v>
      </c>
      <c r="I1503" s="5">
        <f>+G1503-H1503</f>
        <v>-1474718.6608570293</v>
      </c>
      <c r="J1503" s="5">
        <v>3000000</v>
      </c>
      <c r="K1503" s="5">
        <v>5200000</v>
      </c>
      <c r="L1503" s="5">
        <v>5500000</v>
      </c>
      <c r="M1503" s="7">
        <v>1801.6</v>
      </c>
      <c r="N1503" s="5">
        <v>52500000</v>
      </c>
      <c r="O1503" s="5">
        <v>55500000</v>
      </c>
      <c r="P1503" s="3">
        <v>0.97916666666666663</v>
      </c>
    </row>
    <row r="1504" spans="1:16" x14ac:dyDescent="0.25">
      <c r="A1504" t="s">
        <v>930</v>
      </c>
      <c r="B1504" s="2">
        <v>44553</v>
      </c>
      <c r="C1504" t="str">
        <f>+"Tuáº§n "&amp;WEEKNUM(B1504)</f>
        <v>Tuáº§n 52</v>
      </c>
      <c r="D1504" t="s">
        <v>20</v>
      </c>
      <c r="E1504" t="s">
        <v>17</v>
      </c>
      <c r="F1504" s="5">
        <v>52200000</v>
      </c>
      <c r="G1504" s="5">
        <v>55200000</v>
      </c>
      <c r="H1504" s="5">
        <f>+(M1504*26000)/0.829426</f>
        <v>56775649.666154668</v>
      </c>
      <c r="I1504" s="5">
        <f>+G1504-H1504</f>
        <v>-1575649.6661546677</v>
      </c>
      <c r="J1504" s="5">
        <v>3000000</v>
      </c>
      <c r="K1504" s="5">
        <v>5220000</v>
      </c>
      <c r="L1504" s="5">
        <v>5520000</v>
      </c>
      <c r="M1504" s="7">
        <v>1811.2</v>
      </c>
      <c r="N1504" s="5">
        <v>52700000</v>
      </c>
      <c r="O1504" s="5">
        <v>55700000</v>
      </c>
      <c r="P1504" s="3">
        <v>0.97916666666666663</v>
      </c>
    </row>
    <row r="1505" spans="1:16" x14ac:dyDescent="0.25">
      <c r="A1505" t="s">
        <v>931</v>
      </c>
      <c r="B1505" s="2">
        <v>44557</v>
      </c>
      <c r="C1505" t="str">
        <f>+"Tuáº§n "&amp;WEEKNUM(B1505)</f>
        <v>Tuáº§n 53</v>
      </c>
      <c r="D1505" t="s">
        <v>16</v>
      </c>
      <c r="E1505" t="s">
        <v>17</v>
      </c>
      <c r="F1505" s="5">
        <v>52200000</v>
      </c>
      <c r="G1505" s="5">
        <v>55200000</v>
      </c>
      <c r="H1505" s="5">
        <f>+(M1505*26000)/0.829426</f>
        <v>56678474.029027306</v>
      </c>
      <c r="I1505" s="5">
        <f>+G1505-H1505</f>
        <v>-1478474.0290273055</v>
      </c>
      <c r="J1505" s="5">
        <v>3000000</v>
      </c>
      <c r="K1505" s="5">
        <v>5220000</v>
      </c>
      <c r="L1505" s="5">
        <v>5520000</v>
      </c>
      <c r="M1505" s="7">
        <v>1808.1</v>
      </c>
      <c r="N1505" s="5">
        <v>52700000</v>
      </c>
      <c r="O1505" s="5">
        <v>55700000</v>
      </c>
      <c r="P1505" s="3">
        <v>0.97916666666666663</v>
      </c>
    </row>
    <row r="1506" spans="1:16" x14ac:dyDescent="0.25">
      <c r="A1506" t="s">
        <v>932</v>
      </c>
      <c r="B1506" s="2">
        <v>44558</v>
      </c>
      <c r="C1506" t="str">
        <f>+"Tuáº§n "&amp;WEEKNUM(B1506)</f>
        <v>Tuáº§n 53</v>
      </c>
      <c r="D1506" t="s">
        <v>18</v>
      </c>
      <c r="E1506" t="s">
        <v>17</v>
      </c>
      <c r="F1506" s="5">
        <v>52200000</v>
      </c>
      <c r="G1506" s="5">
        <v>55200000</v>
      </c>
      <c r="H1506" s="5">
        <f>+(M1506*26000)/0.829426</f>
        <v>56744302.686436161</v>
      </c>
      <c r="I1506" s="5">
        <f>+G1506-H1506</f>
        <v>-1544302.6864361614</v>
      </c>
      <c r="J1506" s="5">
        <v>3000000</v>
      </c>
      <c r="K1506" s="5">
        <v>5220000</v>
      </c>
      <c r="L1506" s="5">
        <v>5520000</v>
      </c>
      <c r="M1506" s="7">
        <v>1810.2</v>
      </c>
      <c r="N1506" s="5">
        <v>52700000</v>
      </c>
      <c r="O1506" s="5">
        <v>55700000</v>
      </c>
      <c r="P1506" s="3">
        <v>0.97916666666666663</v>
      </c>
    </row>
    <row r="1507" spans="1:16" x14ac:dyDescent="0.25">
      <c r="A1507" t="s">
        <v>933</v>
      </c>
      <c r="B1507" s="2">
        <v>44559</v>
      </c>
      <c r="C1507" t="str">
        <f>+"Tuáº§n "&amp;WEEKNUM(B1507)</f>
        <v>Tuáº§n 53</v>
      </c>
      <c r="D1507" t="s">
        <v>19</v>
      </c>
      <c r="E1507" t="s">
        <v>17</v>
      </c>
      <c r="F1507" s="5">
        <v>52100000</v>
      </c>
      <c r="G1507" s="5">
        <v>55100000</v>
      </c>
      <c r="H1507" s="5">
        <f>+(M1507*26000)/0.829426</f>
        <v>56584433.089871794</v>
      </c>
      <c r="I1507" s="5">
        <f>+G1507-H1507</f>
        <v>-1484433.089871794</v>
      </c>
      <c r="J1507" s="5">
        <v>3000000</v>
      </c>
      <c r="K1507" s="5">
        <v>5210000</v>
      </c>
      <c r="L1507" s="5">
        <v>5510000</v>
      </c>
      <c r="M1507" s="7">
        <v>1805.1</v>
      </c>
      <c r="N1507" s="5">
        <v>52600000</v>
      </c>
      <c r="O1507" s="5">
        <v>55600000</v>
      </c>
      <c r="P1507" s="3">
        <v>0.97916666666666663</v>
      </c>
    </row>
    <row r="1508" spans="1:16" x14ac:dyDescent="0.25">
      <c r="A1508" t="s">
        <v>934</v>
      </c>
      <c r="B1508" s="2">
        <v>44560</v>
      </c>
      <c r="C1508" t="str">
        <f>+"Tuáº§n "&amp;WEEKNUM(B1508)</f>
        <v>Tuáº§n 53</v>
      </c>
      <c r="D1508" t="s">
        <v>20</v>
      </c>
      <c r="E1508" t="s">
        <v>17</v>
      </c>
      <c r="F1508" s="5">
        <v>52300000</v>
      </c>
      <c r="G1508" s="5">
        <v>55300000</v>
      </c>
      <c r="H1508" s="5">
        <f>+(M1508*26000)/0.829426</f>
        <v>56822670.13573242</v>
      </c>
      <c r="I1508" s="5">
        <f>+G1508-H1508</f>
        <v>-1522670.1357324198</v>
      </c>
      <c r="J1508" s="5">
        <v>3000000</v>
      </c>
      <c r="K1508" s="5">
        <v>5230000</v>
      </c>
      <c r="L1508" s="5">
        <v>5530000</v>
      </c>
      <c r="M1508" s="7">
        <v>1812.7</v>
      </c>
      <c r="N1508" s="5">
        <v>52800000</v>
      </c>
      <c r="O1508" s="5">
        <v>55800000</v>
      </c>
      <c r="P1508" s="3">
        <v>0.97916666666666663</v>
      </c>
    </row>
    <row r="1509" spans="1:16" x14ac:dyDescent="0.25">
      <c r="A1509" t="s">
        <v>935</v>
      </c>
      <c r="B1509" s="2">
        <v>44561</v>
      </c>
      <c r="C1509" t="str">
        <f>+"Tuáº§n "&amp;WEEKNUM(B1509)</f>
        <v>Tuáº§n 53</v>
      </c>
      <c r="D1509" t="s">
        <v>21</v>
      </c>
      <c r="E1509" t="s">
        <v>17</v>
      </c>
      <c r="F1509" s="5">
        <v>52700000</v>
      </c>
      <c r="G1509" s="5">
        <v>55700000</v>
      </c>
      <c r="H1509" s="5">
        <f>+(M1509*26000)/0.829426</f>
        <v>57286605.435566284</v>
      </c>
      <c r="I1509" s="5">
        <f>+G1509-H1509</f>
        <v>-1586605.4355662838</v>
      </c>
      <c r="J1509" s="5">
        <v>3000000</v>
      </c>
      <c r="K1509" s="5">
        <v>5270000</v>
      </c>
      <c r="L1509" s="5">
        <v>5570000</v>
      </c>
      <c r="M1509" s="7">
        <v>1827.5</v>
      </c>
      <c r="N1509" s="5">
        <v>53200000</v>
      </c>
      <c r="O1509" s="5">
        <v>56200000</v>
      </c>
      <c r="P1509" s="3">
        <v>0.97916666666666663</v>
      </c>
    </row>
    <row r="1510" spans="1:16" x14ac:dyDescent="0.25">
      <c r="A1510" s="2">
        <v>44621</v>
      </c>
      <c r="B1510" s="2">
        <v>44564</v>
      </c>
      <c r="C1510" t="str">
        <f>+"Tuáº§n "&amp;WEEKNUM(B1510)</f>
        <v>Tuáº§n 2</v>
      </c>
      <c r="D1510" t="s">
        <v>16</v>
      </c>
      <c r="E1510" t="s">
        <v>17</v>
      </c>
      <c r="F1510" s="5">
        <v>54800000</v>
      </c>
      <c r="G1510" s="5">
        <v>57800000</v>
      </c>
      <c r="H1510" s="5">
        <f>+(M1510*26000)/0.829426</f>
        <v>56405755.305476315</v>
      </c>
      <c r="I1510" s="5">
        <f>+G1510-H1510</f>
        <v>1394244.6945236847</v>
      </c>
      <c r="J1510" s="5">
        <v>3000000</v>
      </c>
      <c r="K1510" s="5">
        <v>5480000</v>
      </c>
      <c r="L1510" s="5">
        <v>5780000</v>
      </c>
      <c r="M1510" s="7">
        <v>1799.4</v>
      </c>
      <c r="N1510" s="5">
        <v>55300000</v>
      </c>
      <c r="O1510" s="5">
        <v>58300000</v>
      </c>
      <c r="P1510" s="3">
        <v>0.97916666666666663</v>
      </c>
    </row>
    <row r="1511" spans="1:16" x14ac:dyDescent="0.25">
      <c r="A1511" s="2">
        <v>44652</v>
      </c>
      <c r="B1511" s="2">
        <v>44565</v>
      </c>
      <c r="C1511" t="str">
        <f>+"Tuáº§n "&amp;WEEKNUM(B1511)</f>
        <v>Tuáº§n 2</v>
      </c>
      <c r="D1511" t="s">
        <v>18</v>
      </c>
      <c r="E1511" t="s">
        <v>17</v>
      </c>
      <c r="F1511" s="5">
        <v>55300000</v>
      </c>
      <c r="G1511" s="5">
        <v>58300000</v>
      </c>
      <c r="H1511" s="5">
        <f>+(M1511*26000)/0.829426</f>
        <v>56863421.209366478</v>
      </c>
      <c r="I1511" s="5">
        <f>+G1511-H1511</f>
        <v>1436578.790633522</v>
      </c>
      <c r="J1511" s="5">
        <v>3000000</v>
      </c>
      <c r="K1511" s="5">
        <v>5530000</v>
      </c>
      <c r="L1511" s="5">
        <v>5830000</v>
      </c>
      <c r="M1511" s="7">
        <v>1814</v>
      </c>
      <c r="N1511" s="5">
        <v>55800000</v>
      </c>
      <c r="O1511" s="5">
        <v>58800000</v>
      </c>
      <c r="P1511" s="3">
        <v>0.97916666666666663</v>
      </c>
    </row>
    <row r="1512" spans="1:16" x14ac:dyDescent="0.25">
      <c r="A1512" s="2">
        <v>44682</v>
      </c>
      <c r="B1512" s="2">
        <v>44566</v>
      </c>
      <c r="C1512" t="str">
        <f>+"Tuáº§n "&amp;WEEKNUM(B1512)</f>
        <v>Tuáº§n 2</v>
      </c>
      <c r="D1512" t="s">
        <v>19</v>
      </c>
      <c r="E1512" t="s">
        <v>17</v>
      </c>
      <c r="F1512" s="5">
        <v>55600000</v>
      </c>
      <c r="G1512" s="5">
        <v>58600000</v>
      </c>
      <c r="H1512" s="5">
        <f>+(M1512*26000)/0.829426</f>
        <v>57195699.194382623</v>
      </c>
      <c r="I1512" s="5">
        <f>+G1512-H1512</f>
        <v>1404300.8056173772</v>
      </c>
      <c r="J1512" s="5">
        <v>3000000</v>
      </c>
      <c r="K1512" s="5">
        <v>5560000</v>
      </c>
      <c r="L1512" s="5">
        <v>5860000</v>
      </c>
      <c r="M1512" s="7">
        <v>1824.6</v>
      </c>
      <c r="N1512" s="5">
        <v>56100000</v>
      </c>
      <c r="O1512" s="5">
        <v>59100000</v>
      </c>
      <c r="P1512" s="3">
        <v>0.97916666666666663</v>
      </c>
    </row>
    <row r="1513" spans="1:16" x14ac:dyDescent="0.25">
      <c r="A1513" s="2">
        <v>44713</v>
      </c>
      <c r="B1513" s="2">
        <v>44567</v>
      </c>
      <c r="C1513" t="str">
        <f>+"Tuáº§n "&amp;WEEKNUM(B1513)</f>
        <v>Tuáº§n 2</v>
      </c>
      <c r="D1513" t="s">
        <v>20</v>
      </c>
      <c r="E1513" t="s">
        <v>17</v>
      </c>
      <c r="F1513" s="5">
        <v>54500000</v>
      </c>
      <c r="G1513" s="5">
        <v>57500000</v>
      </c>
      <c r="H1513" s="5">
        <f>+(M1513*26000)/0.829426</f>
        <v>56070342.62248832</v>
      </c>
      <c r="I1513" s="5">
        <f>+G1513-H1513</f>
        <v>1429657.3775116801</v>
      </c>
      <c r="J1513" s="5">
        <v>3000000</v>
      </c>
      <c r="K1513" s="5">
        <v>5450000</v>
      </c>
      <c r="L1513" s="5">
        <v>5750000</v>
      </c>
      <c r="M1513" s="7">
        <v>1788.7</v>
      </c>
      <c r="N1513" s="5">
        <v>55000000</v>
      </c>
      <c r="O1513" s="5">
        <v>58000000</v>
      </c>
      <c r="P1513" s="3">
        <v>0.97916666666666663</v>
      </c>
    </row>
    <row r="1514" spans="1:16" x14ac:dyDescent="0.25">
      <c r="A1514" s="2">
        <v>44743</v>
      </c>
      <c r="B1514" s="2">
        <v>44568</v>
      </c>
      <c r="C1514" t="str">
        <f>+"Tuáº§n "&amp;WEEKNUM(B1514)</f>
        <v>Tuáº§n 2</v>
      </c>
      <c r="D1514" t="s">
        <v>21</v>
      </c>
      <c r="E1514" t="s">
        <v>17</v>
      </c>
      <c r="F1514" s="5">
        <v>54800000</v>
      </c>
      <c r="G1514" s="5">
        <v>57800000</v>
      </c>
      <c r="H1514" s="5">
        <f>+(M1514*26000)/0.829426</f>
        <v>56330522.554151908</v>
      </c>
      <c r="I1514" s="5">
        <f>+G1514-H1514</f>
        <v>1469477.4458480924</v>
      </c>
      <c r="J1514" s="5">
        <v>3000000</v>
      </c>
      <c r="K1514" s="5">
        <v>5480000</v>
      </c>
      <c r="L1514" s="5">
        <v>5780000</v>
      </c>
      <c r="M1514" s="7">
        <v>1797</v>
      </c>
      <c r="N1514" s="5">
        <v>55300000</v>
      </c>
      <c r="O1514" s="5">
        <v>58300000</v>
      </c>
      <c r="P1514" s="3">
        <v>0.97916666666666663</v>
      </c>
    </row>
    <row r="1515" spans="1:16" x14ac:dyDescent="0.25">
      <c r="A1515" s="2">
        <v>44835</v>
      </c>
      <c r="B1515" s="2">
        <v>44571</v>
      </c>
      <c r="C1515" t="str">
        <f>+"Tuáº§n "&amp;WEEKNUM(B1515)</f>
        <v>Tuáº§n 3</v>
      </c>
      <c r="D1515" t="s">
        <v>16</v>
      </c>
      <c r="E1515" t="s">
        <v>17</v>
      </c>
      <c r="F1515" s="5">
        <v>54800000</v>
      </c>
      <c r="G1515" s="5">
        <v>57800000</v>
      </c>
      <c r="H1515" s="5">
        <f>+(M1515*26000)/0.829426</f>
        <v>56374408.325757816</v>
      </c>
      <c r="I1515" s="5">
        <f>+G1515-H1515</f>
        <v>1425591.6742421836</v>
      </c>
      <c r="J1515" s="5">
        <v>3000000</v>
      </c>
      <c r="K1515" s="5">
        <v>5480000</v>
      </c>
      <c r="L1515" s="5">
        <v>5780000</v>
      </c>
      <c r="M1515" s="7">
        <v>1798.4</v>
      </c>
      <c r="N1515" s="5">
        <v>55300000</v>
      </c>
      <c r="O1515" s="5">
        <v>58300000</v>
      </c>
      <c r="P1515" s="3">
        <v>0.97916666666666663</v>
      </c>
    </row>
    <row r="1516" spans="1:16" x14ac:dyDescent="0.25">
      <c r="A1516" s="2">
        <v>44866</v>
      </c>
      <c r="B1516" s="2">
        <v>44572</v>
      </c>
      <c r="C1516" t="str">
        <f>+"Tuáº§n "&amp;WEEKNUM(B1516)</f>
        <v>Tuáº§n 3</v>
      </c>
      <c r="D1516" t="s">
        <v>18</v>
      </c>
      <c r="E1516" t="s">
        <v>17</v>
      </c>
      <c r="F1516" s="5">
        <v>55400000</v>
      </c>
      <c r="G1516" s="5">
        <v>58400000</v>
      </c>
      <c r="H1516" s="5">
        <f>+(M1516*26000)/0.829426</f>
        <v>57007617.3160716</v>
      </c>
      <c r="I1516" s="5">
        <f>+G1516-H1516</f>
        <v>1392382.6839284003</v>
      </c>
      <c r="J1516" s="5">
        <v>3000000</v>
      </c>
      <c r="K1516" s="5">
        <v>5540000</v>
      </c>
      <c r="L1516" s="5">
        <v>5840000</v>
      </c>
      <c r="M1516" s="7">
        <v>1818.6</v>
      </c>
      <c r="N1516" s="5">
        <v>55900000</v>
      </c>
      <c r="O1516" s="5">
        <v>58900000</v>
      </c>
      <c r="P1516" s="3">
        <v>0.97916666666666663</v>
      </c>
    </row>
    <row r="1517" spans="1:16" x14ac:dyDescent="0.25">
      <c r="A1517" s="2">
        <v>44896</v>
      </c>
      <c r="B1517" s="2">
        <v>44573</v>
      </c>
      <c r="C1517" t="str">
        <f>+"Tuáº§n "&amp;WEEKNUM(B1517)</f>
        <v>Tuáº§n 3</v>
      </c>
      <c r="D1517" t="s">
        <v>19</v>
      </c>
      <c r="E1517" t="s">
        <v>17</v>
      </c>
      <c r="F1517" s="5">
        <v>55700000</v>
      </c>
      <c r="G1517" s="5">
        <v>58700000</v>
      </c>
      <c r="H1517" s="5">
        <f>+(M1517*26000)/0.829426</f>
        <v>57277201.341650732</v>
      </c>
      <c r="I1517" s="5">
        <f>+G1517-H1517</f>
        <v>1422798.6583492681</v>
      </c>
      <c r="J1517" s="5">
        <v>3000000</v>
      </c>
      <c r="K1517" s="5">
        <v>5570000</v>
      </c>
      <c r="L1517" s="5">
        <v>5870000</v>
      </c>
      <c r="M1517" s="7">
        <v>1827.2</v>
      </c>
      <c r="N1517" s="5">
        <v>56200000</v>
      </c>
      <c r="O1517" s="5">
        <v>59200000</v>
      </c>
      <c r="P1517" s="3">
        <v>0.97916666666666663</v>
      </c>
    </row>
    <row r="1518" spans="1:16" x14ac:dyDescent="0.25">
      <c r="A1518" t="s">
        <v>936</v>
      </c>
      <c r="B1518" s="2">
        <v>44574</v>
      </c>
      <c r="C1518" t="str">
        <f>+"Tuáº§n "&amp;WEEKNUM(B1518)</f>
        <v>Tuáº§n 3</v>
      </c>
      <c r="D1518" t="s">
        <v>20</v>
      </c>
      <c r="E1518" t="s">
        <v>17</v>
      </c>
      <c r="F1518" s="5">
        <v>55500000</v>
      </c>
      <c r="G1518" s="5">
        <v>58500000</v>
      </c>
      <c r="H1518" s="5">
        <f>+(M1518*26000)/0.829426</f>
        <v>57089119.463339709</v>
      </c>
      <c r="I1518" s="5">
        <f>+G1518-H1518</f>
        <v>1410880.5366602913</v>
      </c>
      <c r="J1518" s="5">
        <v>3000000</v>
      </c>
      <c r="K1518" s="5">
        <v>5550000</v>
      </c>
      <c r="L1518" s="5">
        <v>5850000</v>
      </c>
      <c r="M1518" s="7">
        <v>1821.2</v>
      </c>
      <c r="N1518" s="5">
        <v>56000000</v>
      </c>
      <c r="O1518" s="5">
        <v>59000000</v>
      </c>
      <c r="P1518" s="3">
        <v>0.97916666666666663</v>
      </c>
    </row>
    <row r="1519" spans="1:16" x14ac:dyDescent="0.25">
      <c r="A1519" t="s">
        <v>937</v>
      </c>
      <c r="B1519" s="2">
        <v>44575</v>
      </c>
      <c r="C1519" t="str">
        <f>+"Tuáº§n "&amp;WEEKNUM(B1519)</f>
        <v>Tuáº§n 3</v>
      </c>
      <c r="D1519" t="s">
        <v>21</v>
      </c>
      <c r="E1519" t="s">
        <v>17</v>
      </c>
      <c r="F1519" s="5">
        <v>55400000</v>
      </c>
      <c r="G1519" s="5">
        <v>58400000</v>
      </c>
      <c r="H1519" s="5">
        <f>+(M1519*26000)/0.829426</f>
        <v>56941788.658662736</v>
      </c>
      <c r="I1519" s="5">
        <f>+G1519-H1519</f>
        <v>1458211.3413372636</v>
      </c>
      <c r="J1519" s="5">
        <v>3000000</v>
      </c>
      <c r="K1519" s="5">
        <v>5540000</v>
      </c>
      <c r="L1519" s="5">
        <v>5840000</v>
      </c>
      <c r="M1519" s="7">
        <v>1816.5</v>
      </c>
      <c r="N1519" s="5">
        <v>55900000</v>
      </c>
      <c r="O1519" s="5">
        <v>58900000</v>
      </c>
      <c r="P1519" s="3">
        <v>0.97916666666666663</v>
      </c>
    </row>
    <row r="1520" spans="1:16" x14ac:dyDescent="0.25">
      <c r="A1520" t="s">
        <v>938</v>
      </c>
      <c r="B1520" s="2">
        <v>44579</v>
      </c>
      <c r="C1520" t="str">
        <f>+"Tuáº§n "&amp;WEEKNUM(B1520)</f>
        <v>Tuáº§n 4</v>
      </c>
      <c r="D1520" t="s">
        <v>18</v>
      </c>
      <c r="E1520" t="s">
        <v>17</v>
      </c>
      <c r="F1520" s="5">
        <v>55200000</v>
      </c>
      <c r="G1520" s="5">
        <v>58200000</v>
      </c>
      <c r="H1520" s="5">
        <f>+(M1520*26000)/0.829426</f>
        <v>56810131.343845017</v>
      </c>
      <c r="I1520" s="5">
        <f>+G1520-H1520</f>
        <v>1389868.6561549827</v>
      </c>
      <c r="J1520" s="5">
        <v>3000000</v>
      </c>
      <c r="K1520" s="5">
        <v>5520000</v>
      </c>
      <c r="L1520" s="5">
        <v>5820000</v>
      </c>
      <c r="M1520" s="7">
        <v>1812.3</v>
      </c>
      <c r="N1520" s="5">
        <v>55700000</v>
      </c>
      <c r="O1520" s="5">
        <v>58700000</v>
      </c>
      <c r="P1520" s="3">
        <v>0.97916666666666663</v>
      </c>
    </row>
    <row r="1521" spans="1:16" x14ac:dyDescent="0.25">
      <c r="A1521" t="s">
        <v>939</v>
      </c>
      <c r="B1521" s="2">
        <v>44580</v>
      </c>
      <c r="C1521" t="str">
        <f>+"Tuáº§n "&amp;WEEKNUM(B1521)</f>
        <v>Tuáº§n 4</v>
      </c>
      <c r="D1521" t="s">
        <v>19</v>
      </c>
      <c r="E1521" t="s">
        <v>17</v>
      </c>
      <c r="F1521" s="5">
        <v>56200000</v>
      </c>
      <c r="G1521" s="5">
        <v>59200000</v>
      </c>
      <c r="H1521" s="5">
        <f>+(M1521*26000)/0.829426</f>
        <v>57775618.319174945</v>
      </c>
      <c r="I1521" s="5">
        <f>+G1521-H1521</f>
        <v>1424381.6808250546</v>
      </c>
      <c r="J1521" s="5">
        <v>3000000</v>
      </c>
      <c r="K1521" s="5">
        <v>5620000</v>
      </c>
      <c r="L1521" s="5">
        <v>5920000</v>
      </c>
      <c r="M1521" s="7">
        <v>1843.1</v>
      </c>
      <c r="N1521" s="5">
        <v>56700000</v>
      </c>
      <c r="O1521" s="5">
        <v>59700000</v>
      </c>
      <c r="P1521" s="3">
        <v>0.97916666666666663</v>
      </c>
    </row>
    <row r="1522" spans="1:16" x14ac:dyDescent="0.25">
      <c r="A1522" t="s">
        <v>940</v>
      </c>
      <c r="B1522" s="2">
        <v>44581</v>
      </c>
      <c r="C1522" t="str">
        <f>+"Tuáº§n "&amp;WEEKNUM(B1522)</f>
        <v>Tuáº§n 4</v>
      </c>
      <c r="D1522" t="s">
        <v>20</v>
      </c>
      <c r="E1522" t="s">
        <v>17</v>
      </c>
      <c r="F1522" s="5">
        <v>56200000</v>
      </c>
      <c r="G1522" s="5">
        <v>59200000</v>
      </c>
      <c r="H1522" s="5">
        <f>+(M1522*26000)/0.829426</f>
        <v>57756810.131343842</v>
      </c>
      <c r="I1522" s="5">
        <f>+G1522-H1522</f>
        <v>1443189.8686561584</v>
      </c>
      <c r="J1522" s="5">
        <v>3000000</v>
      </c>
      <c r="K1522" s="5">
        <v>5620000</v>
      </c>
      <c r="L1522" s="5">
        <v>5920000</v>
      </c>
      <c r="M1522" s="7">
        <v>1842.5</v>
      </c>
      <c r="N1522" s="5">
        <v>56700000</v>
      </c>
      <c r="O1522" s="5">
        <v>59700000</v>
      </c>
      <c r="P1522" s="3">
        <v>0.97916666666666663</v>
      </c>
    </row>
    <row r="1523" spans="1:16" x14ac:dyDescent="0.25">
      <c r="A1523" t="s">
        <v>941</v>
      </c>
      <c r="B1523" s="2">
        <v>44582</v>
      </c>
      <c r="C1523" t="str">
        <f>+"Tuáº§n "&amp;WEEKNUM(B1523)</f>
        <v>Tuáº§n 4</v>
      </c>
      <c r="D1523" t="s">
        <v>21</v>
      </c>
      <c r="E1523" t="s">
        <v>17</v>
      </c>
      <c r="F1523" s="5">
        <v>55900000</v>
      </c>
      <c r="G1523" s="5">
        <v>58900000</v>
      </c>
      <c r="H1523" s="5">
        <f>+(M1523*26000)/0.829426</f>
        <v>57421397.448355854</v>
      </c>
      <c r="I1523" s="5">
        <f>+G1523-H1523</f>
        <v>1478602.5516441464</v>
      </c>
      <c r="J1523" s="5">
        <v>3000000</v>
      </c>
      <c r="K1523" s="5">
        <v>5590000</v>
      </c>
      <c r="L1523" s="5">
        <v>5890000</v>
      </c>
      <c r="M1523" s="7">
        <v>1831.8</v>
      </c>
      <c r="N1523" s="5">
        <v>56400000</v>
      </c>
      <c r="O1523" s="5">
        <v>59400000</v>
      </c>
      <c r="P1523" s="3">
        <v>0.97916666666666663</v>
      </c>
    </row>
    <row r="1524" spans="1:16" x14ac:dyDescent="0.25">
      <c r="A1524" t="s">
        <v>942</v>
      </c>
      <c r="B1524" s="2">
        <v>44585</v>
      </c>
      <c r="C1524" t="str">
        <f>+"Tuáº§n "&amp;WEEKNUM(B1524)</f>
        <v>Tuáº§n 5</v>
      </c>
      <c r="D1524" t="s">
        <v>16</v>
      </c>
      <c r="E1524" t="s">
        <v>17</v>
      </c>
      <c r="F1524" s="5">
        <v>56200000</v>
      </c>
      <c r="G1524" s="5">
        <v>59200000</v>
      </c>
      <c r="H1524" s="5">
        <f>+(M1524*26000)/0.829426</f>
        <v>57731732.547569044</v>
      </c>
      <c r="I1524" s="5">
        <f>+G1524-H1524</f>
        <v>1468267.4524309561</v>
      </c>
      <c r="J1524" s="5">
        <v>3000000</v>
      </c>
      <c r="K1524" s="5">
        <v>5620000</v>
      </c>
      <c r="L1524" s="5">
        <v>5920000</v>
      </c>
      <c r="M1524" s="7">
        <v>1841.7</v>
      </c>
      <c r="N1524" s="5">
        <v>56700000</v>
      </c>
      <c r="O1524" s="5">
        <v>59700000</v>
      </c>
      <c r="P1524" s="3">
        <v>0.97916666666666663</v>
      </c>
    </row>
    <row r="1525" spans="1:16" x14ac:dyDescent="0.25">
      <c r="A1525" t="s">
        <v>943</v>
      </c>
      <c r="B1525" s="2">
        <v>44586</v>
      </c>
      <c r="C1525" t="str">
        <f>+"Tuáº§n "&amp;WEEKNUM(B1525)</f>
        <v>Tuáº§n 5</v>
      </c>
      <c r="D1525" t="s">
        <v>18</v>
      </c>
      <c r="E1525" t="s">
        <v>17</v>
      </c>
      <c r="F1525" s="5">
        <v>56500000</v>
      </c>
      <c r="G1525" s="5">
        <v>59500000</v>
      </c>
      <c r="H1525" s="5">
        <f>+(M1525*26000)/0.829426</f>
        <v>58076549.324472584</v>
      </c>
      <c r="I1525" s="5">
        <f>+G1525-H1525</f>
        <v>1423450.6755274162</v>
      </c>
      <c r="J1525" s="5">
        <v>3000000</v>
      </c>
      <c r="K1525" s="5">
        <v>5650000</v>
      </c>
      <c r="L1525" s="5">
        <v>5950000</v>
      </c>
      <c r="M1525" s="7">
        <v>1852.7</v>
      </c>
      <c r="N1525" s="5">
        <v>57000000</v>
      </c>
      <c r="O1525" s="5">
        <v>60000000</v>
      </c>
      <c r="P1525" s="3">
        <v>0.97916666666666663</v>
      </c>
    </row>
    <row r="1526" spans="1:16" x14ac:dyDescent="0.25">
      <c r="A1526" t="s">
        <v>944</v>
      </c>
      <c r="B1526" s="2">
        <v>44587</v>
      </c>
      <c r="C1526" t="str">
        <f>+"Tuáº§n "&amp;WEEKNUM(B1526)</f>
        <v>Tuáº§n 5</v>
      </c>
      <c r="D1526" t="s">
        <v>19</v>
      </c>
      <c r="E1526" t="s">
        <v>17</v>
      </c>
      <c r="F1526" s="5">
        <v>55800000</v>
      </c>
      <c r="G1526" s="5">
        <v>58800000</v>
      </c>
      <c r="H1526" s="5">
        <f>+(M1526*26000)/0.829426</f>
        <v>57361838.186890692</v>
      </c>
      <c r="I1526" s="5">
        <f>+G1526-H1526</f>
        <v>1438161.8131093085</v>
      </c>
      <c r="J1526" s="5">
        <v>3000000</v>
      </c>
      <c r="K1526" s="5">
        <v>5580000</v>
      </c>
      <c r="L1526" s="5">
        <v>5880000</v>
      </c>
      <c r="M1526" s="7">
        <v>1829.9</v>
      </c>
      <c r="N1526" s="5">
        <v>56300000</v>
      </c>
      <c r="O1526" s="5">
        <v>59300000</v>
      </c>
      <c r="P1526" s="3">
        <v>0.97916666666666663</v>
      </c>
    </row>
    <row r="1527" spans="1:16" x14ac:dyDescent="0.25">
      <c r="A1527" t="s">
        <v>945</v>
      </c>
      <c r="B1527" s="2">
        <v>44588</v>
      </c>
      <c r="C1527" t="str">
        <f>+"Tuáº§n "&amp;WEEKNUM(B1527)</f>
        <v>Tuáº§n 5</v>
      </c>
      <c r="D1527" t="s">
        <v>20</v>
      </c>
      <c r="E1527" t="s">
        <v>17</v>
      </c>
      <c r="F1527" s="5">
        <v>54600000</v>
      </c>
      <c r="G1527" s="5">
        <v>57600000</v>
      </c>
      <c r="H1527" s="5">
        <f>+(M1527*26000)/0.829426</f>
        <v>56214538.729193442</v>
      </c>
      <c r="I1527" s="5">
        <f>+G1527-H1527</f>
        <v>1385461.2708065584</v>
      </c>
      <c r="J1527" s="5">
        <v>3000000</v>
      </c>
      <c r="K1527" s="5">
        <v>5460000</v>
      </c>
      <c r="L1527" s="5">
        <v>5760000</v>
      </c>
      <c r="M1527" s="7">
        <v>1793.3</v>
      </c>
      <c r="N1527" s="5">
        <v>55100000</v>
      </c>
      <c r="O1527" s="5">
        <v>58100000</v>
      </c>
      <c r="P1527" s="3">
        <v>0.97916666666666663</v>
      </c>
    </row>
    <row r="1528" spans="1:16" x14ac:dyDescent="0.25">
      <c r="A1528" t="s">
        <v>946</v>
      </c>
      <c r="B1528" s="2">
        <v>44589</v>
      </c>
      <c r="C1528" t="str">
        <f>+"Tuáº§n "&amp;WEEKNUM(B1528)</f>
        <v>Tuáº§n 5</v>
      </c>
      <c r="D1528" t="s">
        <v>21</v>
      </c>
      <c r="E1528" t="s">
        <v>17</v>
      </c>
      <c r="F1528" s="5">
        <v>54400000</v>
      </c>
      <c r="G1528" s="5">
        <v>57400000</v>
      </c>
      <c r="H1528" s="5">
        <f>+(M1528*26000)/0.829426</f>
        <v>55951224.099558011</v>
      </c>
      <c r="I1528" s="5">
        <f>+G1528-H1528</f>
        <v>1448775.9004419893</v>
      </c>
      <c r="J1528" s="5">
        <v>3000000</v>
      </c>
      <c r="K1528" s="5">
        <v>5440000</v>
      </c>
      <c r="L1528" s="5">
        <v>5740000</v>
      </c>
      <c r="M1528" s="7">
        <v>1784.9</v>
      </c>
      <c r="N1528" s="5">
        <v>54900000</v>
      </c>
      <c r="O1528" s="5">
        <v>57900000</v>
      </c>
      <c r="P1528" s="3">
        <v>0.97916666666666663</v>
      </c>
    </row>
    <row r="1529" spans="1:16" x14ac:dyDescent="0.25">
      <c r="A1529" t="s">
        <v>947</v>
      </c>
      <c r="B1529" s="2">
        <v>44592</v>
      </c>
      <c r="C1529" t="str">
        <f>+"Tuáº§n "&amp;WEEKNUM(B1529)</f>
        <v>Tuáº§n 6</v>
      </c>
      <c r="D1529" t="s">
        <v>16</v>
      </c>
      <c r="E1529" t="s">
        <v>17</v>
      </c>
      <c r="F1529" s="5">
        <v>54700000</v>
      </c>
      <c r="G1529" s="5">
        <v>57700000</v>
      </c>
      <c r="H1529" s="5">
        <f>+(M1529*26000)/0.829426</f>
        <v>56267828.594714902</v>
      </c>
      <c r="I1529" s="5">
        <f>+G1529-H1529</f>
        <v>1432171.4052850977</v>
      </c>
      <c r="J1529" s="5">
        <v>3000000</v>
      </c>
      <c r="K1529" s="5">
        <v>5470000</v>
      </c>
      <c r="L1529" s="5">
        <v>5770000</v>
      </c>
      <c r="M1529" s="7">
        <v>1795</v>
      </c>
      <c r="N1529" s="5">
        <v>55200000</v>
      </c>
      <c r="O1529" s="5">
        <v>58200000</v>
      </c>
      <c r="P1529" s="3">
        <v>0.97916666666666663</v>
      </c>
    </row>
    <row r="1530" spans="1:16" x14ac:dyDescent="0.25">
      <c r="A1530" s="2">
        <v>44563</v>
      </c>
      <c r="B1530" s="2">
        <v>44593</v>
      </c>
      <c r="C1530" t="str">
        <f>+"Tuáº§n "&amp;WEEKNUM(B1530)</f>
        <v>Tuáº§n 6</v>
      </c>
      <c r="D1530" t="s">
        <v>18</v>
      </c>
      <c r="E1530" t="s">
        <v>17</v>
      </c>
      <c r="F1530" s="5">
        <v>54900000</v>
      </c>
      <c r="G1530" s="5">
        <v>57900000</v>
      </c>
      <c r="H1530" s="5">
        <f>+(M1530*26000)/0.829426</f>
        <v>56433967.587222971</v>
      </c>
      <c r="I1530" s="5">
        <f>+G1530-H1530</f>
        <v>1466032.412777029</v>
      </c>
      <c r="J1530" s="5">
        <v>3000000</v>
      </c>
      <c r="K1530" s="5">
        <v>5490000</v>
      </c>
      <c r="L1530" s="5">
        <v>5790000</v>
      </c>
      <c r="M1530" s="7">
        <v>1800.3</v>
      </c>
      <c r="N1530" s="5">
        <v>55400000</v>
      </c>
      <c r="O1530" s="5">
        <v>58400000</v>
      </c>
      <c r="P1530" s="3">
        <v>0.97916666666666663</v>
      </c>
    </row>
    <row r="1531" spans="1:16" x14ac:dyDescent="0.25">
      <c r="A1531" s="2">
        <v>44594</v>
      </c>
      <c r="B1531" s="2">
        <v>44594</v>
      </c>
      <c r="C1531" t="str">
        <f>+"Tuáº§n "&amp;WEEKNUM(B1531)</f>
        <v>Tuáº§n 6</v>
      </c>
      <c r="D1531" t="s">
        <v>19</v>
      </c>
      <c r="E1531" t="s">
        <v>17</v>
      </c>
      <c r="F1531" s="5">
        <v>55100000</v>
      </c>
      <c r="G1531" s="5">
        <v>58100000</v>
      </c>
      <c r="H1531" s="5">
        <f>+(M1531*26000)/0.829426</f>
        <v>56712955.706717655</v>
      </c>
      <c r="I1531" s="5">
        <f>+G1531-H1531</f>
        <v>1387044.2932823449</v>
      </c>
      <c r="J1531" s="5">
        <v>3000000</v>
      </c>
      <c r="K1531" s="5">
        <v>5510000</v>
      </c>
      <c r="L1531" s="5">
        <v>5810000</v>
      </c>
      <c r="M1531" s="7">
        <v>1809.2</v>
      </c>
      <c r="N1531" s="5">
        <v>55600000</v>
      </c>
      <c r="O1531" s="5">
        <v>58600000</v>
      </c>
      <c r="P1531" s="3">
        <v>0.97916666666666663</v>
      </c>
    </row>
    <row r="1532" spans="1:16" x14ac:dyDescent="0.25">
      <c r="A1532" s="2">
        <v>44622</v>
      </c>
      <c r="B1532" s="2">
        <v>44595</v>
      </c>
      <c r="C1532" t="str">
        <f>+"Tuáº§n "&amp;WEEKNUM(B1532)</f>
        <v>Tuáº§n 6</v>
      </c>
      <c r="D1532" t="s">
        <v>20</v>
      </c>
      <c r="E1532" t="s">
        <v>17</v>
      </c>
      <c r="F1532" s="5">
        <v>54900000</v>
      </c>
      <c r="G1532" s="5">
        <v>57900000</v>
      </c>
      <c r="H1532" s="5">
        <f>+(M1532*26000)/0.829426</f>
        <v>56518604.432462931</v>
      </c>
      <c r="I1532" s="5">
        <f>+G1532-H1532</f>
        <v>1381395.5675370693</v>
      </c>
      <c r="J1532" s="5">
        <v>3000000</v>
      </c>
      <c r="K1532" s="5">
        <v>5490000</v>
      </c>
      <c r="L1532" s="5">
        <v>5790000</v>
      </c>
      <c r="M1532" s="7">
        <v>1803</v>
      </c>
      <c r="N1532" s="5">
        <v>55400000</v>
      </c>
      <c r="O1532" s="5">
        <v>58400000</v>
      </c>
      <c r="P1532" s="3">
        <v>0.97916666666666663</v>
      </c>
    </row>
    <row r="1533" spans="1:16" x14ac:dyDescent="0.25">
      <c r="A1533" s="2">
        <v>44653</v>
      </c>
      <c r="B1533" s="2">
        <v>44596</v>
      </c>
      <c r="C1533" t="str">
        <f>+"Tuáº§n "&amp;WEEKNUM(B1533)</f>
        <v>Tuáº§n 6</v>
      </c>
      <c r="D1533" t="s">
        <v>21</v>
      </c>
      <c r="E1533" t="s">
        <v>17</v>
      </c>
      <c r="F1533" s="5">
        <v>55100000</v>
      </c>
      <c r="G1533" s="5">
        <v>58100000</v>
      </c>
      <c r="H1533" s="5">
        <f>+(M1533*26000)/0.829426</f>
        <v>56631453.559449546</v>
      </c>
      <c r="I1533" s="5">
        <f>+G1533-H1533</f>
        <v>1468546.440550454</v>
      </c>
      <c r="J1533" s="5">
        <v>3000000</v>
      </c>
      <c r="K1533" s="5">
        <v>5510000</v>
      </c>
      <c r="L1533" s="5">
        <v>5810000</v>
      </c>
      <c r="M1533" s="7">
        <v>1806.6</v>
      </c>
      <c r="N1533" s="5">
        <v>55600000</v>
      </c>
      <c r="O1533" s="5">
        <v>58600000</v>
      </c>
      <c r="P1533" s="3">
        <v>0.97916666666666663</v>
      </c>
    </row>
    <row r="1534" spans="1:16" x14ac:dyDescent="0.25">
      <c r="A1534" s="2">
        <v>44744</v>
      </c>
      <c r="B1534" s="2">
        <v>44599</v>
      </c>
      <c r="C1534" t="str">
        <f>+"Tuáº§n "&amp;WEEKNUM(B1534)</f>
        <v>Tuáº§n 7</v>
      </c>
      <c r="D1534" t="s">
        <v>16</v>
      </c>
      <c r="E1534" t="s">
        <v>17</v>
      </c>
      <c r="F1534" s="5">
        <v>55500000</v>
      </c>
      <c r="G1534" s="5">
        <v>58500000</v>
      </c>
      <c r="H1534" s="5">
        <f>+(M1534*26000)/0.829426</f>
        <v>57070311.275508605</v>
      </c>
      <c r="I1534" s="5">
        <f>+G1534-H1534</f>
        <v>1429688.7244913951</v>
      </c>
      <c r="J1534" s="5">
        <v>3000000</v>
      </c>
      <c r="K1534" s="5">
        <v>5550000</v>
      </c>
      <c r="L1534" s="5">
        <v>5850000</v>
      </c>
      <c r="M1534" s="7">
        <v>1820.6</v>
      </c>
      <c r="N1534" s="5">
        <v>56000000</v>
      </c>
      <c r="O1534" s="5">
        <v>59000000</v>
      </c>
      <c r="P1534" s="3">
        <v>0.97916666666666663</v>
      </c>
    </row>
    <row r="1535" spans="1:16" x14ac:dyDescent="0.25">
      <c r="A1535" s="2">
        <v>44775</v>
      </c>
      <c r="B1535" s="2">
        <v>44600</v>
      </c>
      <c r="C1535" t="str">
        <f>+"Tuáº§n "&amp;WEEKNUM(B1535)</f>
        <v>Tuáº§n 7</v>
      </c>
      <c r="D1535" t="s">
        <v>18</v>
      </c>
      <c r="E1535" t="s">
        <v>17</v>
      </c>
      <c r="F1535" s="5">
        <v>55700000</v>
      </c>
      <c r="G1535" s="5">
        <v>58700000</v>
      </c>
      <c r="H1535" s="5">
        <f>+(M1535*26000)/0.829426</f>
        <v>57258393.153819628</v>
      </c>
      <c r="I1535" s="5">
        <f>+G1535-H1535</f>
        <v>1441606.8461803719</v>
      </c>
      <c r="J1535" s="5">
        <v>3000000</v>
      </c>
      <c r="K1535" s="5">
        <v>5570000</v>
      </c>
      <c r="L1535" s="5">
        <v>5870000</v>
      </c>
      <c r="M1535" s="7">
        <v>1826.6</v>
      </c>
      <c r="N1535" s="5">
        <v>56200000</v>
      </c>
      <c r="O1535" s="5">
        <v>59200000</v>
      </c>
      <c r="P1535" s="3">
        <v>0.97916666666666663</v>
      </c>
    </row>
    <row r="1536" spans="1:16" x14ac:dyDescent="0.25">
      <c r="A1536" s="2">
        <v>44806</v>
      </c>
      <c r="B1536" s="2">
        <v>44601</v>
      </c>
      <c r="C1536" t="str">
        <f>+"Tuáº§n "&amp;WEEKNUM(B1536)</f>
        <v>Tuáº§n 7</v>
      </c>
      <c r="D1536" t="s">
        <v>19</v>
      </c>
      <c r="E1536" t="s">
        <v>17</v>
      </c>
      <c r="F1536" s="5">
        <v>56000000</v>
      </c>
      <c r="G1536" s="5">
        <v>59000000</v>
      </c>
      <c r="H1536" s="5">
        <f>+(M1536*26000)/0.829426</f>
        <v>57527977.179398768</v>
      </c>
      <c r="I1536" s="5">
        <f>+G1536-H1536</f>
        <v>1472022.8206012323</v>
      </c>
      <c r="J1536" s="5">
        <v>3000000</v>
      </c>
      <c r="K1536" s="5">
        <v>5600000</v>
      </c>
      <c r="L1536" s="5">
        <v>5900000</v>
      </c>
      <c r="M1536" s="7">
        <v>1835.2</v>
      </c>
      <c r="N1536" s="5">
        <v>56500000</v>
      </c>
      <c r="O1536" s="5">
        <v>59500000</v>
      </c>
      <c r="P1536" s="3">
        <v>0.97916666666666663</v>
      </c>
    </row>
    <row r="1537" spans="1:16" x14ac:dyDescent="0.25">
      <c r="A1537" s="2">
        <v>44836</v>
      </c>
      <c r="B1537" s="2">
        <v>44602</v>
      </c>
      <c r="C1537" t="str">
        <f>+"Tuáº§n "&amp;WEEKNUM(B1537)</f>
        <v>Tuáº§n 7</v>
      </c>
      <c r="D1537" t="s">
        <v>20</v>
      </c>
      <c r="E1537" t="s">
        <v>17</v>
      </c>
      <c r="F1537" s="5">
        <v>56000000</v>
      </c>
      <c r="G1537" s="5">
        <v>59000000</v>
      </c>
      <c r="H1537" s="5">
        <f>+(M1537*26000)/0.829426</f>
        <v>57559324.159117267</v>
      </c>
      <c r="I1537" s="5">
        <f>+G1537-H1537</f>
        <v>1440675.8408827335</v>
      </c>
      <c r="J1537" s="5">
        <v>3000000</v>
      </c>
      <c r="K1537" s="5">
        <v>5600000</v>
      </c>
      <c r="L1537" s="5">
        <v>5900000</v>
      </c>
      <c r="M1537" s="7">
        <v>1836.2</v>
      </c>
      <c r="N1537" s="5">
        <v>56500000</v>
      </c>
      <c r="O1537" s="5">
        <v>59500000</v>
      </c>
      <c r="P1537" s="3">
        <v>0.97916666666666663</v>
      </c>
    </row>
    <row r="1538" spans="1:16" x14ac:dyDescent="0.25">
      <c r="A1538" s="2">
        <v>44867</v>
      </c>
      <c r="B1538" s="2">
        <v>44603</v>
      </c>
      <c r="C1538" t="str">
        <f>+"Tuáº§n "&amp;WEEKNUM(B1538)</f>
        <v>Tuáº§n 7</v>
      </c>
      <c r="D1538" t="s">
        <v>21</v>
      </c>
      <c r="E1538" t="s">
        <v>17</v>
      </c>
      <c r="F1538" s="5">
        <v>56200000</v>
      </c>
      <c r="G1538" s="5">
        <v>59200000</v>
      </c>
      <c r="H1538" s="5">
        <f>+(M1538*26000)/0.829426</f>
        <v>57703520.265822388</v>
      </c>
      <c r="I1538" s="5">
        <f>+G1538-H1538</f>
        <v>1496479.7341776118</v>
      </c>
      <c r="J1538" s="5">
        <v>3000000</v>
      </c>
      <c r="K1538" s="5">
        <v>5620000</v>
      </c>
      <c r="L1538" s="5">
        <v>5920000</v>
      </c>
      <c r="M1538" s="7">
        <v>1840.8</v>
      </c>
      <c r="N1538" s="5">
        <v>56700000</v>
      </c>
      <c r="O1538" s="5">
        <v>59700000</v>
      </c>
      <c r="P1538" s="3">
        <v>0.97916666666666663</v>
      </c>
    </row>
    <row r="1539" spans="1:16" x14ac:dyDescent="0.25">
      <c r="A1539" t="s">
        <v>948</v>
      </c>
      <c r="B1539" s="2">
        <v>44606</v>
      </c>
      <c r="C1539" t="str">
        <f>+"Tuáº§n "&amp;WEEKNUM(B1539)</f>
        <v>Tuáº§n 8</v>
      </c>
      <c r="D1539" t="s">
        <v>16</v>
      </c>
      <c r="E1539" t="s">
        <v>17</v>
      </c>
      <c r="F1539" s="5">
        <v>57000000</v>
      </c>
      <c r="G1539" s="5">
        <v>60000000</v>
      </c>
      <c r="H1539" s="5">
        <f>+(M1539*26000)/0.829426</f>
        <v>58556158.114165701</v>
      </c>
      <c r="I1539" s="5">
        <f>+G1539-H1539</f>
        <v>1443841.885834299</v>
      </c>
      <c r="J1539" s="5">
        <v>3000000</v>
      </c>
      <c r="K1539" s="5">
        <v>5700000</v>
      </c>
      <c r="L1539" s="5">
        <v>6000000</v>
      </c>
      <c r="M1539" s="7">
        <v>1868</v>
      </c>
      <c r="N1539" s="5">
        <v>57500000</v>
      </c>
      <c r="O1539" s="5">
        <v>60500000</v>
      </c>
      <c r="P1539" s="3">
        <v>0.97916666666666663</v>
      </c>
    </row>
    <row r="1540" spans="1:16" x14ac:dyDescent="0.25">
      <c r="A1540" t="s">
        <v>949</v>
      </c>
      <c r="B1540" s="2">
        <v>44607</v>
      </c>
      <c r="C1540" t="str">
        <f>+"Tuáº§n "&amp;WEEKNUM(B1540)</f>
        <v>Tuáº§n 8</v>
      </c>
      <c r="D1540" t="s">
        <v>18</v>
      </c>
      <c r="E1540" t="s">
        <v>17</v>
      </c>
      <c r="F1540" s="5">
        <v>56600000</v>
      </c>
      <c r="G1540" s="5">
        <v>59600000</v>
      </c>
      <c r="H1540" s="5">
        <f>+(M1540*26000)/0.829426</f>
        <v>58142377.981881447</v>
      </c>
      <c r="I1540" s="5">
        <f>+G1540-H1540</f>
        <v>1457622.0181185529</v>
      </c>
      <c r="J1540" s="5">
        <v>3000000</v>
      </c>
      <c r="K1540" s="5">
        <v>5660000</v>
      </c>
      <c r="L1540" s="5">
        <v>5960000</v>
      </c>
      <c r="M1540" s="7">
        <v>1854.8</v>
      </c>
      <c r="N1540" s="5">
        <v>57100000</v>
      </c>
      <c r="O1540" s="5">
        <v>60100000</v>
      </c>
      <c r="P1540" s="3">
        <v>0.97916666666666663</v>
      </c>
    </row>
    <row r="1541" spans="1:16" x14ac:dyDescent="0.25">
      <c r="A1541" t="s">
        <v>950</v>
      </c>
      <c r="B1541" s="2">
        <v>44608</v>
      </c>
      <c r="C1541" t="str">
        <f>+"Tuáº§n "&amp;WEEKNUM(B1541)</f>
        <v>Tuáº§n 8</v>
      </c>
      <c r="D1541" t="s">
        <v>19</v>
      </c>
      <c r="E1541" t="s">
        <v>17</v>
      </c>
      <c r="F1541" s="5">
        <v>57100000</v>
      </c>
      <c r="G1541" s="5">
        <v>60100000</v>
      </c>
      <c r="H1541" s="5">
        <f>+(M1541*26000)/0.829426</f>
        <v>58625121.469546407</v>
      </c>
      <c r="I1541" s="5">
        <f>+G1541-H1541</f>
        <v>1474878.5304535925</v>
      </c>
      <c r="J1541" s="5">
        <v>3000000</v>
      </c>
      <c r="K1541" s="5">
        <v>5710000</v>
      </c>
      <c r="L1541" s="5">
        <v>6010000</v>
      </c>
      <c r="M1541" s="7">
        <v>1870.2</v>
      </c>
      <c r="N1541" s="5">
        <v>57600000</v>
      </c>
      <c r="O1541" s="5">
        <v>60600000</v>
      </c>
      <c r="P1541" s="3">
        <v>0.97916666666666663</v>
      </c>
    </row>
    <row r="1542" spans="1:16" x14ac:dyDescent="0.25">
      <c r="A1542" t="s">
        <v>951</v>
      </c>
      <c r="B1542" s="2">
        <v>44609</v>
      </c>
      <c r="C1542" t="str">
        <f>+"Tuáº§n "&amp;WEEKNUM(B1542)</f>
        <v>Tuáº§n 8</v>
      </c>
      <c r="D1542" t="s">
        <v>20</v>
      </c>
      <c r="E1542" t="s">
        <v>17</v>
      </c>
      <c r="F1542" s="5">
        <v>58100000</v>
      </c>
      <c r="G1542" s="5">
        <v>61100000</v>
      </c>
      <c r="H1542" s="5">
        <f>+(M1542*26000)/0.829426</f>
        <v>59581204.350960784</v>
      </c>
      <c r="I1542" s="5">
        <f>+G1542-H1542</f>
        <v>1518795.6490392163</v>
      </c>
      <c r="J1542" s="5">
        <v>3000000</v>
      </c>
      <c r="K1542" s="5">
        <v>5810000</v>
      </c>
      <c r="L1542" s="5">
        <v>6110000</v>
      </c>
      <c r="M1542" s="7">
        <v>1900.7</v>
      </c>
      <c r="N1542" s="5">
        <v>58600000</v>
      </c>
      <c r="O1542" s="5">
        <v>61600000</v>
      </c>
      <c r="P1542" s="3">
        <v>0.97916666666666663</v>
      </c>
    </row>
    <row r="1543" spans="1:16" x14ac:dyDescent="0.25">
      <c r="A1543" t="s">
        <v>952</v>
      </c>
      <c r="B1543" s="2">
        <v>44610</v>
      </c>
      <c r="C1543" t="str">
        <f>+"Tuáº§n "&amp;WEEKNUM(B1543)</f>
        <v>Tuáº§n 8</v>
      </c>
      <c r="D1543" t="s">
        <v>21</v>
      </c>
      <c r="E1543" t="s">
        <v>17</v>
      </c>
      <c r="F1543" s="5">
        <v>58000000</v>
      </c>
      <c r="G1543" s="5">
        <v>61000000</v>
      </c>
      <c r="H1543" s="5">
        <f>+(M1543*26000)/0.829426</f>
        <v>59515375.693551928</v>
      </c>
      <c r="I1543" s="5">
        <f>+G1543-H1543</f>
        <v>1484624.3064480722</v>
      </c>
      <c r="J1543" s="5">
        <v>3000000</v>
      </c>
      <c r="K1543" s="5">
        <v>5800000</v>
      </c>
      <c r="L1543" s="5">
        <v>6100000</v>
      </c>
      <c r="M1543" s="7">
        <v>1898.6</v>
      </c>
      <c r="N1543" s="5">
        <v>58500000</v>
      </c>
      <c r="O1543" s="5">
        <v>61500000</v>
      </c>
      <c r="P1543" s="3">
        <v>0.97916666666666663</v>
      </c>
    </row>
    <row r="1544" spans="1:16" x14ac:dyDescent="0.25">
      <c r="A1544" t="s">
        <v>953</v>
      </c>
      <c r="B1544" s="2">
        <v>44614</v>
      </c>
      <c r="C1544" t="str">
        <f>+"Tuáº§n "&amp;WEEKNUM(B1544)</f>
        <v>Tuáº§n 9</v>
      </c>
      <c r="D1544" t="s">
        <v>18</v>
      </c>
      <c r="E1544" t="s">
        <v>17</v>
      </c>
      <c r="F1544" s="5">
        <v>58300000</v>
      </c>
      <c r="G1544" s="5">
        <v>61300000</v>
      </c>
      <c r="H1544" s="5">
        <f>+(M1544*26000)/0.829426</f>
        <v>59750478.04144071</v>
      </c>
      <c r="I1544" s="5">
        <f>+G1544-H1544</f>
        <v>1549521.9585592896</v>
      </c>
      <c r="J1544" s="5">
        <v>3000000</v>
      </c>
      <c r="K1544" s="5">
        <v>5830000</v>
      </c>
      <c r="L1544" s="5">
        <v>6130000</v>
      </c>
      <c r="M1544" s="7">
        <v>1906.1</v>
      </c>
      <c r="N1544" s="5">
        <v>58800000</v>
      </c>
      <c r="O1544" s="5">
        <v>61800000</v>
      </c>
      <c r="P1544" s="3">
        <v>0.97916666666666663</v>
      </c>
    </row>
    <row r="1545" spans="1:16" x14ac:dyDescent="0.25">
      <c r="A1545" t="s">
        <v>954</v>
      </c>
      <c r="B1545" s="2">
        <v>44615</v>
      </c>
      <c r="C1545" t="str">
        <f>+"Tuáº§n "&amp;WEEKNUM(B1545)</f>
        <v>Tuáº§n 9</v>
      </c>
      <c r="D1545" t="s">
        <v>19</v>
      </c>
      <c r="E1545" t="s">
        <v>17</v>
      </c>
      <c r="F1545" s="5">
        <v>58400000</v>
      </c>
      <c r="G1545" s="5">
        <v>61400000</v>
      </c>
      <c r="H1545" s="5">
        <f>+(M1545*26000)/0.829426</f>
        <v>59847653.678568073</v>
      </c>
      <c r="I1545" s="5">
        <f>+G1545-H1545</f>
        <v>1552346.3214319274</v>
      </c>
      <c r="J1545" s="5">
        <v>3000000</v>
      </c>
      <c r="K1545" s="5">
        <v>5840000</v>
      </c>
      <c r="L1545" s="5">
        <v>6140000</v>
      </c>
      <c r="M1545" s="7">
        <v>1909.2</v>
      </c>
      <c r="N1545" s="5">
        <v>58900000</v>
      </c>
      <c r="O1545" s="5">
        <v>61900000</v>
      </c>
      <c r="P1545" s="3">
        <v>0.97916666666666663</v>
      </c>
    </row>
    <row r="1546" spans="1:16" x14ac:dyDescent="0.25">
      <c r="A1546" t="s">
        <v>955</v>
      </c>
      <c r="B1546" s="2">
        <v>44616</v>
      </c>
      <c r="C1546" t="str">
        <f>+"Tuáº§n "&amp;WEEKNUM(B1546)</f>
        <v>Tuáº§n 9</v>
      </c>
      <c r="D1546" t="s">
        <v>20</v>
      </c>
      <c r="E1546" t="s">
        <v>17</v>
      </c>
      <c r="F1546" s="5">
        <v>58900000</v>
      </c>
      <c r="G1546" s="5">
        <v>61900000</v>
      </c>
      <c r="H1546" s="5">
        <f>+(M1546*26000)/0.829426</f>
        <v>60346070.656092286</v>
      </c>
      <c r="I1546" s="5">
        <f>+G1546-H1546</f>
        <v>1553929.3439077139</v>
      </c>
      <c r="J1546" s="5">
        <v>3000000</v>
      </c>
      <c r="K1546" s="5">
        <v>5890000</v>
      </c>
      <c r="L1546" s="5">
        <v>6190000</v>
      </c>
      <c r="M1546" s="7">
        <v>1925.1</v>
      </c>
      <c r="N1546" s="5">
        <v>59400000</v>
      </c>
      <c r="O1546" s="5">
        <v>62400000</v>
      </c>
      <c r="P1546" s="3">
        <v>0.97916666666666663</v>
      </c>
    </row>
    <row r="1547" spans="1:16" x14ac:dyDescent="0.25">
      <c r="A1547" t="s">
        <v>956</v>
      </c>
      <c r="B1547" s="2">
        <v>44617</v>
      </c>
      <c r="C1547" t="str">
        <f>+"Tuáº§n "&amp;WEEKNUM(B1547)</f>
        <v>Tuáº§n 9</v>
      </c>
      <c r="D1547" t="s">
        <v>21</v>
      </c>
      <c r="E1547" t="s">
        <v>17</v>
      </c>
      <c r="F1547" s="5">
        <v>57600000</v>
      </c>
      <c r="G1547" s="5">
        <v>60600000</v>
      </c>
      <c r="H1547" s="5">
        <f>+(M1547*26000)/0.829426</f>
        <v>59136077.238958023</v>
      </c>
      <c r="I1547" s="5">
        <f>+G1547-H1547</f>
        <v>1463922.7610419765</v>
      </c>
      <c r="J1547" s="5">
        <v>3000000</v>
      </c>
      <c r="K1547" s="5">
        <v>5760000</v>
      </c>
      <c r="L1547" s="5">
        <v>6060000</v>
      </c>
      <c r="M1547" s="7">
        <v>1886.5</v>
      </c>
      <c r="N1547" s="5">
        <v>58100000</v>
      </c>
      <c r="O1547" s="5">
        <v>61100000</v>
      </c>
      <c r="P1547" s="3">
        <v>0.97916666666666663</v>
      </c>
    </row>
    <row r="1548" spans="1:16" x14ac:dyDescent="0.25">
      <c r="A1548" t="s">
        <v>957</v>
      </c>
      <c r="B1548" s="2">
        <v>44620</v>
      </c>
      <c r="C1548" t="str">
        <f>+"Tuáº§n "&amp;WEEKNUM(B1548)</f>
        <v>Tuáº§n 10</v>
      </c>
      <c r="D1548" t="s">
        <v>16</v>
      </c>
      <c r="E1548" t="s">
        <v>17</v>
      </c>
      <c r="F1548" s="5">
        <v>58000000</v>
      </c>
      <c r="G1548" s="5">
        <v>61000000</v>
      </c>
      <c r="H1548" s="5">
        <f>+(M1548*26000)/0.829426</f>
        <v>59540453.277326733</v>
      </c>
      <c r="I1548" s="5">
        <f>+G1548-H1548</f>
        <v>1459546.7226732671</v>
      </c>
      <c r="J1548" s="5">
        <v>3000000</v>
      </c>
      <c r="K1548" s="5">
        <v>5800000</v>
      </c>
      <c r="L1548" s="5">
        <v>6100000</v>
      </c>
      <c r="M1548" s="7">
        <v>1899.4</v>
      </c>
      <c r="N1548" s="5">
        <v>58500000</v>
      </c>
      <c r="O1548" s="5">
        <v>61500000</v>
      </c>
      <c r="P1548" s="3">
        <v>0.97916666666666663</v>
      </c>
    </row>
    <row r="1549" spans="1:16" x14ac:dyDescent="0.25">
      <c r="A1549" s="2">
        <v>44564</v>
      </c>
      <c r="B1549" s="2">
        <v>44621</v>
      </c>
      <c r="C1549" t="str">
        <f>+"Tuáº§n "&amp;WEEKNUM(B1549)</f>
        <v>Tuáº§n 10</v>
      </c>
      <c r="D1549" t="s">
        <v>18</v>
      </c>
      <c r="E1549" t="s">
        <v>17</v>
      </c>
      <c r="F1549" s="5">
        <v>59400000</v>
      </c>
      <c r="G1549" s="5">
        <v>62400000</v>
      </c>
      <c r="H1549" s="5">
        <f>+(M1549*26000)/0.829426</f>
        <v>60888373.405222408</v>
      </c>
      <c r="I1549" s="5">
        <f>+G1549-H1549</f>
        <v>1511626.5947775915</v>
      </c>
      <c r="J1549" s="5">
        <v>3000000</v>
      </c>
      <c r="K1549" s="5">
        <v>5940000</v>
      </c>
      <c r="L1549" s="5">
        <v>6240000</v>
      </c>
      <c r="M1549" s="7">
        <v>1942.4</v>
      </c>
      <c r="N1549" s="5">
        <v>59900000</v>
      </c>
      <c r="O1549" s="5">
        <v>62900000</v>
      </c>
      <c r="P1549" s="3">
        <v>0.97916666666666663</v>
      </c>
    </row>
    <row r="1550" spans="1:16" x14ac:dyDescent="0.25">
      <c r="A1550" s="2">
        <v>44595</v>
      </c>
      <c r="B1550" s="2">
        <v>44622</v>
      </c>
      <c r="C1550" t="str">
        <f>+"Tuáº§n "&amp;WEEKNUM(B1550)</f>
        <v>Tuáº§n 10</v>
      </c>
      <c r="D1550" t="s">
        <v>19</v>
      </c>
      <c r="E1550" t="s">
        <v>17</v>
      </c>
      <c r="F1550" s="5">
        <v>58700000</v>
      </c>
      <c r="G1550" s="5">
        <v>61700000</v>
      </c>
      <c r="H1550" s="5">
        <f>+(M1550*26000)/0.829426</f>
        <v>60214413.341274567</v>
      </c>
      <c r="I1550" s="5">
        <f>+G1550-H1550</f>
        <v>1485586.6587254331</v>
      </c>
      <c r="J1550" s="5">
        <v>3000000</v>
      </c>
      <c r="K1550" s="5">
        <v>5870000</v>
      </c>
      <c r="L1550" s="5">
        <v>6170000</v>
      </c>
      <c r="M1550" s="7">
        <v>1920.9</v>
      </c>
      <c r="N1550" s="5">
        <v>59200000</v>
      </c>
      <c r="O1550" s="5">
        <v>62200000</v>
      </c>
      <c r="P1550" s="3">
        <v>0.97916666666666663</v>
      </c>
    </row>
    <row r="1551" spans="1:16" x14ac:dyDescent="0.25">
      <c r="A1551" s="2">
        <v>44623</v>
      </c>
      <c r="B1551" s="2">
        <v>44623</v>
      </c>
      <c r="C1551" t="str">
        <f>+"Tuáº§n "&amp;WEEKNUM(B1551)</f>
        <v>Tuáº§n 10</v>
      </c>
      <c r="D1551" t="s">
        <v>20</v>
      </c>
      <c r="E1551" t="s">
        <v>17</v>
      </c>
      <c r="F1551" s="5">
        <v>59200000</v>
      </c>
      <c r="G1551" s="5">
        <v>62200000</v>
      </c>
      <c r="H1551" s="5">
        <f>+(M1551*26000)/0.829426</f>
        <v>60637597.567474373</v>
      </c>
      <c r="I1551" s="5">
        <f>+G1551-H1551</f>
        <v>1562402.4325256273</v>
      </c>
      <c r="J1551" s="5">
        <v>3000000</v>
      </c>
      <c r="K1551" s="5">
        <v>5920000</v>
      </c>
      <c r="L1551" s="5">
        <v>6220000</v>
      </c>
      <c r="M1551" s="7">
        <v>1934.4</v>
      </c>
      <c r="N1551" s="5">
        <v>59700000</v>
      </c>
      <c r="O1551" s="5">
        <v>62700000</v>
      </c>
      <c r="P1551" s="3">
        <v>0.97916666666666663</v>
      </c>
    </row>
    <row r="1552" spans="1:16" x14ac:dyDescent="0.25">
      <c r="A1552" s="2">
        <v>44654</v>
      </c>
      <c r="B1552" s="2">
        <v>44624</v>
      </c>
      <c r="C1552" t="str">
        <f>+"Tuáº§n "&amp;WEEKNUM(B1552)</f>
        <v>Tuáº§n 10</v>
      </c>
      <c r="D1552" t="s">
        <v>21</v>
      </c>
      <c r="E1552" t="s">
        <v>17</v>
      </c>
      <c r="F1552" s="5">
        <v>60200000</v>
      </c>
      <c r="G1552" s="5">
        <v>63200000</v>
      </c>
      <c r="H1552" s="5">
        <f>+(M1552*26000)/0.829426</f>
        <v>61599949.84483245</v>
      </c>
      <c r="I1552" s="5">
        <f>+G1552-H1552</f>
        <v>1600050.1551675498</v>
      </c>
      <c r="J1552" s="5">
        <v>3000000</v>
      </c>
      <c r="K1552" s="5">
        <v>6020000</v>
      </c>
      <c r="L1552" s="5">
        <v>6320000</v>
      </c>
      <c r="M1552" s="7">
        <v>1965.1</v>
      </c>
      <c r="N1552" s="5">
        <v>60700000</v>
      </c>
      <c r="O1552" s="5">
        <v>63700000</v>
      </c>
      <c r="P1552" s="3">
        <v>0.97916666666666663</v>
      </c>
    </row>
    <row r="1553" spans="1:16" x14ac:dyDescent="0.25">
      <c r="A1553" s="2">
        <v>44745</v>
      </c>
      <c r="B1553" s="2">
        <v>44627</v>
      </c>
      <c r="C1553" t="str">
        <f>+"Tuáº§n "&amp;WEEKNUM(B1553)</f>
        <v>Tuáº§n 11</v>
      </c>
      <c r="D1553" t="s">
        <v>16</v>
      </c>
      <c r="E1553" t="s">
        <v>17</v>
      </c>
      <c r="F1553" s="5">
        <v>61100000</v>
      </c>
      <c r="G1553" s="5">
        <v>64100000</v>
      </c>
      <c r="H1553" s="5">
        <f>+(M1553*26000)/0.829426</f>
        <v>62502742.860725373</v>
      </c>
      <c r="I1553" s="5">
        <f>+G1553-H1553</f>
        <v>1597257.139274627</v>
      </c>
      <c r="J1553" s="5">
        <v>3000000</v>
      </c>
      <c r="K1553" s="5">
        <v>6110000</v>
      </c>
      <c r="L1553" s="5">
        <v>6410000</v>
      </c>
      <c r="M1553" s="7">
        <v>1993.9</v>
      </c>
      <c r="N1553" s="5">
        <v>61600000</v>
      </c>
      <c r="O1553" s="5">
        <v>64600000</v>
      </c>
      <c r="P1553" s="3">
        <v>0.97916666666666663</v>
      </c>
    </row>
    <row r="1554" spans="1:16" x14ac:dyDescent="0.25">
      <c r="A1554" s="2">
        <v>44776</v>
      </c>
      <c r="B1554" s="2">
        <v>44628</v>
      </c>
      <c r="C1554" t="str">
        <f>+"Tuáº§n "&amp;WEEKNUM(B1554)</f>
        <v>Tuáº§n 11</v>
      </c>
      <c r="D1554" t="s">
        <v>18</v>
      </c>
      <c r="E1554" t="s">
        <v>17</v>
      </c>
      <c r="F1554" s="5">
        <v>62600000</v>
      </c>
      <c r="G1554" s="5">
        <v>65600000</v>
      </c>
      <c r="H1554" s="5">
        <f>+(M1554*26000)/0.829426</f>
        <v>63950973.323720261</v>
      </c>
      <c r="I1554" s="5">
        <f>+G1554-H1554</f>
        <v>1649026.6762797385</v>
      </c>
      <c r="J1554" s="5">
        <v>3000000</v>
      </c>
      <c r="K1554" s="5">
        <v>6260000</v>
      </c>
      <c r="L1554" s="5">
        <v>6560000</v>
      </c>
      <c r="M1554" s="7">
        <v>2040.1</v>
      </c>
      <c r="N1554" s="5">
        <v>63100000</v>
      </c>
      <c r="O1554" s="5">
        <v>66100000</v>
      </c>
      <c r="P1554" s="3">
        <v>0.97916666666666663</v>
      </c>
    </row>
    <row r="1555" spans="1:16" x14ac:dyDescent="0.25">
      <c r="A1555" s="2">
        <v>44807</v>
      </c>
      <c r="B1555" s="2">
        <v>44629</v>
      </c>
      <c r="C1555" t="str">
        <f>+"Tuáº§n "&amp;WEEKNUM(B1555)</f>
        <v>Tuáº§n 11</v>
      </c>
      <c r="D1555" t="s">
        <v>19</v>
      </c>
      <c r="E1555" t="s">
        <v>17</v>
      </c>
      <c r="F1555" s="5">
        <v>60800000</v>
      </c>
      <c r="G1555" s="5">
        <v>63800000</v>
      </c>
      <c r="H1555" s="5">
        <f>+(M1555*26000)/0.829426</f>
        <v>62251967.022977337</v>
      </c>
      <c r="I1555" s="5">
        <f>+G1555-H1555</f>
        <v>1548032.9770226628</v>
      </c>
      <c r="J1555" s="5">
        <v>3000000</v>
      </c>
      <c r="K1555" s="5">
        <v>6080000</v>
      </c>
      <c r="L1555" s="5">
        <v>6380000</v>
      </c>
      <c r="M1555" s="7">
        <v>1985.9</v>
      </c>
      <c r="N1555" s="5">
        <v>61300000</v>
      </c>
      <c r="O1555" s="5">
        <v>64300000</v>
      </c>
      <c r="P1555" s="3">
        <v>0.97916666666666663</v>
      </c>
    </row>
    <row r="1556" spans="1:16" x14ac:dyDescent="0.25">
      <c r="A1556" s="2">
        <v>44837</v>
      </c>
      <c r="B1556" s="2">
        <v>44630</v>
      </c>
      <c r="C1556" t="str">
        <f>+"Tuáº§n "&amp;WEEKNUM(B1556)</f>
        <v>Tuáº§n 11</v>
      </c>
      <c r="D1556" t="s">
        <v>20</v>
      </c>
      <c r="E1556" t="s">
        <v>17</v>
      </c>
      <c r="F1556" s="5">
        <v>61200000</v>
      </c>
      <c r="G1556" s="5">
        <v>64200000</v>
      </c>
      <c r="H1556" s="5">
        <f>+(M1556*26000)/0.829426</f>
        <v>62634400.175543085</v>
      </c>
      <c r="I1556" s="5">
        <f>+G1556-H1556</f>
        <v>1565599.8244569153</v>
      </c>
      <c r="J1556" s="5">
        <v>3000000</v>
      </c>
      <c r="K1556" s="5">
        <v>6120000</v>
      </c>
      <c r="L1556" s="5">
        <v>6420000</v>
      </c>
      <c r="M1556" s="7">
        <v>1998.1</v>
      </c>
      <c r="N1556" s="5">
        <v>61700000</v>
      </c>
      <c r="O1556" s="5">
        <v>64700000</v>
      </c>
      <c r="P1556" s="3">
        <v>0.97916666666666663</v>
      </c>
    </row>
    <row r="1557" spans="1:16" x14ac:dyDescent="0.25">
      <c r="A1557" s="2">
        <v>44868</v>
      </c>
      <c r="B1557" s="2">
        <v>44631</v>
      </c>
      <c r="C1557" t="str">
        <f>+"Tuáº§n "&amp;WEEKNUM(B1557)</f>
        <v>Tuáº§n 11</v>
      </c>
      <c r="D1557" t="s">
        <v>21</v>
      </c>
      <c r="E1557" t="s">
        <v>17</v>
      </c>
      <c r="F1557" s="5">
        <v>60700000</v>
      </c>
      <c r="G1557" s="5">
        <v>63700000</v>
      </c>
      <c r="H1557" s="5">
        <f>+(M1557*26000)/0.829426</f>
        <v>62151656.687878124</v>
      </c>
      <c r="I1557" s="5">
        <f>+G1557-H1557</f>
        <v>1548343.3121218756</v>
      </c>
      <c r="J1557" s="5">
        <v>3000000</v>
      </c>
      <c r="K1557" s="5">
        <v>6070000</v>
      </c>
      <c r="L1557" s="5">
        <v>6370000</v>
      </c>
      <c r="M1557" s="7">
        <v>1982.7</v>
      </c>
      <c r="N1557" s="5">
        <v>61200000</v>
      </c>
      <c r="O1557" s="5">
        <v>64200000</v>
      </c>
      <c r="P1557" s="3">
        <v>0.97916666666666663</v>
      </c>
    </row>
    <row r="1558" spans="1:16" x14ac:dyDescent="0.25">
      <c r="A1558" t="s">
        <v>958</v>
      </c>
      <c r="B1558" s="2">
        <v>44634</v>
      </c>
      <c r="C1558" t="str">
        <f>+"Tuáº§n "&amp;WEEKNUM(B1558)</f>
        <v>Tuáº§n 12</v>
      </c>
      <c r="D1558" t="s">
        <v>16</v>
      </c>
      <c r="E1558" t="s">
        <v>17</v>
      </c>
      <c r="F1558" s="5">
        <v>60000000</v>
      </c>
      <c r="G1558" s="5">
        <v>63000000</v>
      </c>
      <c r="H1558" s="5">
        <f>+(M1558*26000)/0.829426</f>
        <v>61427541.45638068</v>
      </c>
      <c r="I1558" s="5">
        <f>+G1558-H1558</f>
        <v>1572458.5436193198</v>
      </c>
      <c r="J1558" s="5">
        <v>3000000</v>
      </c>
      <c r="K1558" s="5">
        <v>6000000</v>
      </c>
      <c r="L1558" s="5">
        <v>6300000</v>
      </c>
      <c r="M1558" s="7">
        <v>1959.6</v>
      </c>
      <c r="N1558" s="5">
        <v>60500000</v>
      </c>
      <c r="O1558" s="5">
        <v>63500000</v>
      </c>
      <c r="P1558" s="3">
        <v>0.97916666666666663</v>
      </c>
    </row>
    <row r="1559" spans="1:16" x14ac:dyDescent="0.25">
      <c r="A1559" t="s">
        <v>959</v>
      </c>
      <c r="B1559" s="2">
        <v>44635</v>
      </c>
      <c r="C1559" t="str">
        <f>+"Tuáº§n "&amp;WEEKNUM(B1559)</f>
        <v>Tuáº§n 12</v>
      </c>
      <c r="D1559" t="s">
        <v>18</v>
      </c>
      <c r="E1559" t="s">
        <v>17</v>
      </c>
      <c r="F1559" s="5">
        <v>59000000</v>
      </c>
      <c r="G1559" s="5">
        <v>62000000</v>
      </c>
      <c r="H1559" s="5">
        <f>+(M1559*26000)/0.829426</f>
        <v>60452650.3871352</v>
      </c>
      <c r="I1559" s="5">
        <f>+G1559-H1559</f>
        <v>1547349.6128647998</v>
      </c>
      <c r="J1559" s="5">
        <v>3000000</v>
      </c>
      <c r="K1559" s="5">
        <v>5900000</v>
      </c>
      <c r="L1559" s="5">
        <v>6200000</v>
      </c>
      <c r="M1559" s="7">
        <v>1928.5</v>
      </c>
      <c r="N1559" s="5">
        <v>59500000</v>
      </c>
      <c r="O1559" s="5">
        <v>62500000</v>
      </c>
      <c r="P1559" s="3">
        <v>0.97916666666666663</v>
      </c>
    </row>
    <row r="1560" spans="1:16" x14ac:dyDescent="0.25">
      <c r="A1560" t="s">
        <v>960</v>
      </c>
      <c r="B1560" s="2">
        <v>44636</v>
      </c>
      <c r="C1560" t="str">
        <f>+"Tuáº§n "&amp;WEEKNUM(B1560)</f>
        <v>Tuáº§n 12</v>
      </c>
      <c r="D1560" t="s">
        <v>19</v>
      </c>
      <c r="E1560" t="s">
        <v>17</v>
      </c>
      <c r="F1560" s="5">
        <v>58300000</v>
      </c>
      <c r="G1560" s="5">
        <v>61300000</v>
      </c>
      <c r="H1560" s="5">
        <f>+(M1560*26000)/0.829426</f>
        <v>59810037.302905865</v>
      </c>
      <c r="I1560" s="5">
        <f>+G1560-H1560</f>
        <v>1489962.697094135</v>
      </c>
      <c r="J1560" s="5">
        <v>3000000</v>
      </c>
      <c r="K1560" s="5">
        <v>5830000</v>
      </c>
      <c r="L1560" s="5">
        <v>6130000</v>
      </c>
      <c r="M1560" s="7">
        <v>1908</v>
      </c>
      <c r="N1560" s="5">
        <v>58800000</v>
      </c>
      <c r="O1560" s="5">
        <v>61800000</v>
      </c>
      <c r="P1560" s="3">
        <v>0.97916666666666663</v>
      </c>
    </row>
    <row r="1561" spans="1:16" x14ac:dyDescent="0.25">
      <c r="A1561" t="s">
        <v>961</v>
      </c>
      <c r="B1561" s="2">
        <v>44637</v>
      </c>
      <c r="C1561" t="str">
        <f>+"Tuáº§n "&amp;WEEKNUM(B1561)</f>
        <v>Tuáº§n 12</v>
      </c>
      <c r="D1561" t="s">
        <v>20</v>
      </c>
      <c r="E1561" t="s">
        <v>17</v>
      </c>
      <c r="F1561" s="5">
        <v>59400000</v>
      </c>
      <c r="G1561" s="5">
        <v>62400000</v>
      </c>
      <c r="H1561" s="5">
        <f>+(M1561*26000)/0.829426</f>
        <v>60878969.311306857</v>
      </c>
      <c r="I1561" s="5">
        <f>+G1561-H1561</f>
        <v>1521030.6886931434</v>
      </c>
      <c r="J1561" s="5">
        <v>3000000</v>
      </c>
      <c r="K1561" s="5">
        <v>5940000</v>
      </c>
      <c r="L1561" s="5">
        <v>6240000</v>
      </c>
      <c r="M1561" s="7">
        <v>1942.1</v>
      </c>
      <c r="N1561" s="5">
        <v>59900000</v>
      </c>
      <c r="O1561" s="5">
        <v>62900000</v>
      </c>
      <c r="P1561" s="3">
        <v>0.97916666666666663</v>
      </c>
    </row>
    <row r="1562" spans="1:16" x14ac:dyDescent="0.25">
      <c r="A1562" t="s">
        <v>962</v>
      </c>
      <c r="B1562" s="2">
        <v>44638</v>
      </c>
      <c r="C1562" t="str">
        <f>+"Tuáº§n "&amp;WEEKNUM(B1562)</f>
        <v>Tuáº§n 12</v>
      </c>
      <c r="D1562" t="s">
        <v>21</v>
      </c>
      <c r="E1562" t="s">
        <v>17</v>
      </c>
      <c r="F1562" s="5">
        <v>59000000</v>
      </c>
      <c r="G1562" s="5">
        <v>62000000</v>
      </c>
      <c r="H1562" s="5">
        <f>+(M1562*26000)/0.829426</f>
        <v>60443246.293219648</v>
      </c>
      <c r="I1562" s="5">
        <f>+G1562-H1562</f>
        <v>1556753.7067803517</v>
      </c>
      <c r="J1562" s="5">
        <v>3000000</v>
      </c>
      <c r="K1562" s="5">
        <v>5900000</v>
      </c>
      <c r="L1562" s="5">
        <v>6200000</v>
      </c>
      <c r="M1562" s="7">
        <v>1928.2</v>
      </c>
      <c r="N1562" s="5">
        <v>59500000</v>
      </c>
      <c r="O1562" s="5">
        <v>62500000</v>
      </c>
      <c r="P1562" s="3">
        <v>0.97916666666666663</v>
      </c>
    </row>
    <row r="1563" spans="1:16" x14ac:dyDescent="0.25">
      <c r="A1563" t="s">
        <v>963</v>
      </c>
      <c r="B1563" s="2">
        <v>44641</v>
      </c>
      <c r="C1563" t="str">
        <f>+"Tuáº§n "&amp;WEEKNUM(B1563)</f>
        <v>Tuáº§n 13</v>
      </c>
      <c r="D1563" t="s">
        <v>16</v>
      </c>
      <c r="E1563" t="s">
        <v>17</v>
      </c>
      <c r="F1563" s="5">
        <v>59000000</v>
      </c>
      <c r="G1563" s="5">
        <v>62000000</v>
      </c>
      <c r="H1563" s="5">
        <f>+(M1563*26000)/0.829426</f>
        <v>60455785.085107051</v>
      </c>
      <c r="I1563" s="5">
        <f>+G1563-H1563</f>
        <v>1544214.9148929492</v>
      </c>
      <c r="J1563" s="5">
        <v>3000000</v>
      </c>
      <c r="K1563" s="5">
        <v>5900000</v>
      </c>
      <c r="L1563" s="5">
        <v>6200000</v>
      </c>
      <c r="M1563" s="7">
        <v>1928.6</v>
      </c>
      <c r="N1563" s="5">
        <v>59500000</v>
      </c>
      <c r="O1563" s="5">
        <v>62500000</v>
      </c>
      <c r="P1563" s="3">
        <v>0.97916666666666663</v>
      </c>
    </row>
    <row r="1564" spans="1:16" x14ac:dyDescent="0.25">
      <c r="A1564" t="s">
        <v>964</v>
      </c>
      <c r="B1564" s="2">
        <v>44642</v>
      </c>
      <c r="C1564" t="str">
        <f>+"Tuáº§n "&amp;WEEKNUM(B1564)</f>
        <v>Tuáº§n 13</v>
      </c>
      <c r="D1564" t="s">
        <v>18</v>
      </c>
      <c r="E1564" t="s">
        <v>17</v>
      </c>
      <c r="F1564" s="5">
        <v>58700000</v>
      </c>
      <c r="G1564" s="5">
        <v>61700000</v>
      </c>
      <c r="H1564" s="5">
        <f>+(M1564*26000)/0.829426</f>
        <v>60208143.945330866</v>
      </c>
      <c r="I1564" s="5">
        <f>+G1564-H1564</f>
        <v>1491856.0546691343</v>
      </c>
      <c r="J1564" s="5">
        <v>3000000</v>
      </c>
      <c r="K1564" s="5">
        <v>5870000</v>
      </c>
      <c r="L1564" s="5">
        <v>6170000</v>
      </c>
      <c r="M1564" s="7">
        <v>1920.7</v>
      </c>
      <c r="N1564" s="5">
        <v>59200000</v>
      </c>
      <c r="O1564" s="5">
        <v>62200000</v>
      </c>
      <c r="P1564" s="3">
        <v>0.97916666666666663</v>
      </c>
    </row>
    <row r="1565" spans="1:16" x14ac:dyDescent="0.25">
      <c r="A1565" t="s">
        <v>965</v>
      </c>
      <c r="B1565" s="2">
        <v>44643</v>
      </c>
      <c r="C1565" t="str">
        <f>+"Tuáº§n "&amp;WEEKNUM(B1565)</f>
        <v>Tuáº§n 13</v>
      </c>
      <c r="D1565" t="s">
        <v>19</v>
      </c>
      <c r="E1565" t="s">
        <v>17</v>
      </c>
      <c r="F1565" s="5">
        <v>59200000</v>
      </c>
      <c r="G1565" s="5">
        <v>62200000</v>
      </c>
      <c r="H1565" s="5">
        <f>+(M1565*26000)/0.829426</f>
        <v>60706560.922855087</v>
      </c>
      <c r="I1565" s="5">
        <f>+G1565-H1565</f>
        <v>1493439.0771449134</v>
      </c>
      <c r="J1565" s="5">
        <v>3000000</v>
      </c>
      <c r="K1565" s="5">
        <v>5920000</v>
      </c>
      <c r="L1565" s="5">
        <v>6220000</v>
      </c>
      <c r="M1565" s="7">
        <v>1936.6</v>
      </c>
      <c r="N1565" s="5">
        <v>59700000</v>
      </c>
      <c r="O1565" s="5">
        <v>62700000</v>
      </c>
      <c r="P1565" s="3">
        <v>0.97916666666666663</v>
      </c>
    </row>
    <row r="1566" spans="1:16" x14ac:dyDescent="0.25">
      <c r="A1566" t="s">
        <v>966</v>
      </c>
      <c r="B1566" s="2">
        <v>44644</v>
      </c>
      <c r="C1566" t="str">
        <f>+"Tuáº§n "&amp;WEEKNUM(B1566)</f>
        <v>Tuáº§n 13</v>
      </c>
      <c r="D1566" t="s">
        <v>20</v>
      </c>
      <c r="E1566" t="s">
        <v>17</v>
      </c>
      <c r="F1566" s="5">
        <v>60000000</v>
      </c>
      <c r="G1566" s="5">
        <v>63000000</v>
      </c>
      <c r="H1566" s="5">
        <f>+(M1566*26000)/0.829426</f>
        <v>61490235.415817685</v>
      </c>
      <c r="I1566" s="5">
        <f>+G1566-H1566</f>
        <v>1509764.5841823146</v>
      </c>
      <c r="J1566" s="5">
        <v>3000000</v>
      </c>
      <c r="K1566" s="5">
        <v>6000000</v>
      </c>
      <c r="L1566" s="5">
        <v>6300000</v>
      </c>
      <c r="M1566" s="7">
        <v>1961.6</v>
      </c>
      <c r="N1566" s="5">
        <v>60500000</v>
      </c>
      <c r="O1566" s="5">
        <v>63500000</v>
      </c>
      <c r="P1566" s="3">
        <v>0.97916666666666663</v>
      </c>
    </row>
    <row r="1567" spans="1:16" x14ac:dyDescent="0.25">
      <c r="A1567" t="s">
        <v>967</v>
      </c>
      <c r="B1567" s="2">
        <v>44645</v>
      </c>
      <c r="C1567" t="str">
        <f>+"Tuáº§n "&amp;WEEKNUM(B1567)</f>
        <v>Tuáº§n 13</v>
      </c>
      <c r="D1567" t="s">
        <v>21</v>
      </c>
      <c r="E1567" t="s">
        <v>17</v>
      </c>
      <c r="F1567" s="5">
        <v>59800000</v>
      </c>
      <c r="G1567" s="5">
        <v>62800000</v>
      </c>
      <c r="H1567" s="5">
        <f>+(M1567*26000)/0.829426</f>
        <v>61245728.974013351</v>
      </c>
      <c r="I1567" s="5">
        <f>+G1567-H1567</f>
        <v>1554271.0259866491</v>
      </c>
      <c r="J1567" s="5">
        <v>3000000</v>
      </c>
      <c r="K1567" s="5">
        <v>5980000</v>
      </c>
      <c r="L1567" s="5">
        <v>6280000</v>
      </c>
      <c r="M1567" s="7">
        <v>1953.8</v>
      </c>
      <c r="N1567" s="5">
        <v>60300000</v>
      </c>
      <c r="O1567" s="5">
        <v>63300000</v>
      </c>
      <c r="P1567" s="3">
        <v>0.97916666666666663</v>
      </c>
    </row>
    <row r="1568" spans="1:16" x14ac:dyDescent="0.25">
      <c r="A1568" t="s">
        <v>968</v>
      </c>
      <c r="B1568" s="2">
        <v>44648</v>
      </c>
      <c r="C1568" t="str">
        <f>+"Tuáº§n "&amp;WEEKNUM(B1568)</f>
        <v>Tuáº§n 14</v>
      </c>
      <c r="D1568" t="s">
        <v>16</v>
      </c>
      <c r="E1568" t="s">
        <v>17</v>
      </c>
      <c r="F1568" s="5">
        <v>59300000</v>
      </c>
      <c r="G1568" s="5">
        <v>62300000</v>
      </c>
      <c r="H1568" s="5">
        <f>+(M1568*26000)/0.829426</f>
        <v>60800601.862010598</v>
      </c>
      <c r="I1568" s="5">
        <f>+G1568-H1568</f>
        <v>1499398.1379894018</v>
      </c>
      <c r="J1568" s="5">
        <v>3000000</v>
      </c>
      <c r="K1568" s="5">
        <v>5930000</v>
      </c>
      <c r="L1568" s="5">
        <v>6230000</v>
      </c>
      <c r="M1568" s="7">
        <v>1939.6</v>
      </c>
      <c r="N1568" s="5">
        <v>59800000</v>
      </c>
      <c r="O1568" s="5">
        <v>62800000</v>
      </c>
      <c r="P1568" s="3">
        <v>0.97916666666666663</v>
      </c>
    </row>
    <row r="1569" spans="1:16" x14ac:dyDescent="0.25">
      <c r="A1569" t="s">
        <v>969</v>
      </c>
      <c r="B1569" s="2">
        <v>44649</v>
      </c>
      <c r="C1569" t="str">
        <f>+"Tuáº§n "&amp;WEEKNUM(B1569)</f>
        <v>Tuáº§n 14</v>
      </c>
      <c r="D1569" t="s">
        <v>18</v>
      </c>
      <c r="E1569" t="s">
        <v>17</v>
      </c>
      <c r="F1569" s="5">
        <v>58400000</v>
      </c>
      <c r="G1569" s="5">
        <v>61400000</v>
      </c>
      <c r="H1569" s="5">
        <f>+(M1569*26000)/0.829426</f>
        <v>59935425.221779883</v>
      </c>
      <c r="I1569" s="5">
        <f>+G1569-H1569</f>
        <v>1464574.7782201171</v>
      </c>
      <c r="J1569" s="5">
        <v>3000000</v>
      </c>
      <c r="K1569" s="5">
        <v>5840000</v>
      </c>
      <c r="L1569" s="5">
        <v>6140000</v>
      </c>
      <c r="M1569" s="7">
        <v>1912</v>
      </c>
      <c r="N1569" s="5">
        <v>58900000</v>
      </c>
      <c r="O1569" s="5">
        <v>61900000</v>
      </c>
      <c r="P1569" s="3">
        <v>0.97916666666666663</v>
      </c>
    </row>
    <row r="1570" spans="1:16" x14ac:dyDescent="0.25">
      <c r="A1570" t="s">
        <v>970</v>
      </c>
      <c r="B1570" s="2">
        <v>44650</v>
      </c>
      <c r="C1570" t="str">
        <f>+"Tuáº§n "&amp;WEEKNUM(B1570)</f>
        <v>Tuáº§n 14</v>
      </c>
      <c r="D1570" t="s">
        <v>19</v>
      </c>
      <c r="E1570" t="s">
        <v>17</v>
      </c>
      <c r="F1570" s="5">
        <v>59100000</v>
      </c>
      <c r="G1570" s="5">
        <v>62100000</v>
      </c>
      <c r="H1570" s="5">
        <f>+(M1570*26000)/0.829426</f>
        <v>60609385.285727717</v>
      </c>
      <c r="I1570" s="5">
        <f>+G1570-H1570</f>
        <v>1490614.714272283</v>
      </c>
      <c r="J1570" s="5">
        <v>3000000</v>
      </c>
      <c r="K1570" s="5">
        <v>5910000</v>
      </c>
      <c r="L1570" s="5">
        <v>6210000</v>
      </c>
      <c r="M1570" s="7">
        <v>1933.5</v>
      </c>
      <c r="N1570" s="5">
        <v>59600000</v>
      </c>
      <c r="O1570" s="5">
        <v>62600000</v>
      </c>
      <c r="P1570" s="3">
        <v>0.97916666666666663</v>
      </c>
    </row>
    <row r="1571" spans="1:16" x14ac:dyDescent="0.25">
      <c r="A1571" t="s">
        <v>971</v>
      </c>
      <c r="B1571" s="2">
        <v>44651</v>
      </c>
      <c r="C1571" t="str">
        <f>+"Tuáº§n "&amp;WEEKNUM(B1571)</f>
        <v>Tuáº§n 14</v>
      </c>
      <c r="D1571" t="s">
        <v>20</v>
      </c>
      <c r="E1571" t="s">
        <v>17</v>
      </c>
      <c r="F1571" s="5">
        <v>59600000</v>
      </c>
      <c r="G1571" s="5">
        <v>62600000</v>
      </c>
      <c r="H1571" s="5">
        <f>+(M1571*26000)/0.829426</f>
        <v>61101532.867308237</v>
      </c>
      <c r="I1571" s="5">
        <f>+G1571-H1571</f>
        <v>1498467.1326917633</v>
      </c>
      <c r="J1571" s="5">
        <v>3000000</v>
      </c>
      <c r="K1571" s="5">
        <v>5960000</v>
      </c>
      <c r="L1571" s="5">
        <v>6260000</v>
      </c>
      <c r="M1571" s="7">
        <v>1949.2</v>
      </c>
      <c r="N1571" s="5">
        <v>60100000</v>
      </c>
      <c r="O1571" s="5">
        <v>63100000</v>
      </c>
      <c r="P1571" s="3">
        <v>0.97916666666666663</v>
      </c>
    </row>
    <row r="1572" spans="1:16" x14ac:dyDescent="0.25">
      <c r="A1572" s="2">
        <v>44565</v>
      </c>
      <c r="B1572" s="2">
        <v>44652</v>
      </c>
      <c r="C1572" t="str">
        <f>+"Tuáº§n "&amp;WEEKNUM(B1572)</f>
        <v>Tuáº§n 14</v>
      </c>
      <c r="D1572" t="s">
        <v>21</v>
      </c>
      <c r="E1572" t="s">
        <v>17</v>
      </c>
      <c r="F1572" s="5">
        <v>58700000</v>
      </c>
      <c r="G1572" s="5">
        <v>61700000</v>
      </c>
      <c r="H1572" s="5">
        <f>+(M1572*26000)/0.829426</f>
        <v>60157988.777781263</v>
      </c>
      <c r="I1572" s="5">
        <f>+G1572-H1572</f>
        <v>1542011.222218737</v>
      </c>
      <c r="J1572" s="5">
        <v>3000000</v>
      </c>
      <c r="K1572" s="5">
        <v>5870000</v>
      </c>
      <c r="L1572" s="5">
        <v>6170000</v>
      </c>
      <c r="M1572" s="7">
        <v>1919.1</v>
      </c>
      <c r="N1572" s="5">
        <v>59200000</v>
      </c>
      <c r="O1572" s="5">
        <v>62200000</v>
      </c>
      <c r="P1572" s="3">
        <v>0.97916666666666663</v>
      </c>
    </row>
    <row r="1573" spans="1:16" x14ac:dyDescent="0.25">
      <c r="A1573" s="2">
        <v>44655</v>
      </c>
      <c r="B1573" s="2">
        <v>44655</v>
      </c>
      <c r="C1573" t="str">
        <f>+"Tuáº§n "&amp;WEEKNUM(B1573)</f>
        <v>Tuáº§n 15</v>
      </c>
      <c r="D1573" t="s">
        <v>16</v>
      </c>
      <c r="E1573" t="s">
        <v>17</v>
      </c>
      <c r="F1573" s="5">
        <v>59000000</v>
      </c>
      <c r="G1573" s="5">
        <v>62000000</v>
      </c>
      <c r="H1573" s="5">
        <f>+(M1573*26000)/0.829426</f>
        <v>60474593.272938155</v>
      </c>
      <c r="I1573" s="5">
        <f>+G1573-H1573</f>
        <v>1525406.7270618454</v>
      </c>
      <c r="J1573" s="5">
        <v>3000000</v>
      </c>
      <c r="K1573" s="5">
        <v>5900000</v>
      </c>
      <c r="L1573" s="5">
        <v>6200000</v>
      </c>
      <c r="M1573" s="7">
        <v>1929.2</v>
      </c>
      <c r="N1573" s="5">
        <v>59500000</v>
      </c>
      <c r="O1573" s="5">
        <v>62500000</v>
      </c>
      <c r="P1573" s="3">
        <v>0.97916666666666663</v>
      </c>
    </row>
    <row r="1574" spans="1:16" x14ac:dyDescent="0.25">
      <c r="A1574" s="2">
        <v>44685</v>
      </c>
      <c r="B1574" s="2">
        <v>44656</v>
      </c>
      <c r="C1574" t="str">
        <f>+"Tuáº§n "&amp;WEEKNUM(B1574)</f>
        <v>Tuáº§n 15</v>
      </c>
      <c r="D1574" t="s">
        <v>18</v>
      </c>
      <c r="E1574" t="s">
        <v>17</v>
      </c>
      <c r="F1574" s="5">
        <v>58800000</v>
      </c>
      <c r="G1574" s="5">
        <v>61800000</v>
      </c>
      <c r="H1574" s="5">
        <f>+(M1574*26000)/0.829426</f>
        <v>60277107.30071158</v>
      </c>
      <c r="I1574" s="5">
        <f>+G1574-H1574</f>
        <v>1522892.6992884204</v>
      </c>
      <c r="J1574" s="5">
        <v>3000000</v>
      </c>
      <c r="K1574" s="5">
        <v>5880000</v>
      </c>
      <c r="L1574" s="5">
        <v>6180000</v>
      </c>
      <c r="M1574" s="7">
        <v>1922.9</v>
      </c>
      <c r="N1574" s="5">
        <v>59300000</v>
      </c>
      <c r="O1574" s="5">
        <v>62300000</v>
      </c>
      <c r="P1574" s="3">
        <v>0.97916666666666663</v>
      </c>
    </row>
    <row r="1575" spans="1:16" x14ac:dyDescent="0.25">
      <c r="A1575" s="2">
        <v>44716</v>
      </c>
      <c r="B1575" s="2">
        <v>44657</v>
      </c>
      <c r="C1575" t="str">
        <f>+"Tuáº§n "&amp;WEEKNUM(B1575)</f>
        <v>Tuáº§n 15</v>
      </c>
      <c r="D1575" t="s">
        <v>19</v>
      </c>
      <c r="E1575" t="s">
        <v>17</v>
      </c>
      <c r="F1575" s="5">
        <v>58700000</v>
      </c>
      <c r="G1575" s="5">
        <v>61700000</v>
      </c>
      <c r="H1575" s="5">
        <f>+(M1575*26000)/0.829426</f>
        <v>60136045.891978309</v>
      </c>
      <c r="I1575" s="5">
        <f>+G1575-H1575</f>
        <v>1563954.1080216914</v>
      </c>
      <c r="J1575" s="5">
        <v>3000000</v>
      </c>
      <c r="K1575" s="5">
        <v>5870000</v>
      </c>
      <c r="L1575" s="5">
        <v>6170000</v>
      </c>
      <c r="M1575" s="7">
        <v>1918.4</v>
      </c>
      <c r="N1575" s="5">
        <v>59200000</v>
      </c>
      <c r="O1575" s="5">
        <v>62200000</v>
      </c>
      <c r="P1575" s="3">
        <v>0.97916666666666663</v>
      </c>
    </row>
    <row r="1576" spans="1:16" x14ac:dyDescent="0.25">
      <c r="A1576" s="2">
        <v>44746</v>
      </c>
      <c r="B1576" s="2">
        <v>44658</v>
      </c>
      <c r="C1576" t="str">
        <f>+"Tuáº§n "&amp;WEEKNUM(B1576)</f>
        <v>Tuáº§n 15</v>
      </c>
      <c r="D1576" t="s">
        <v>20</v>
      </c>
      <c r="E1576" t="s">
        <v>17</v>
      </c>
      <c r="F1576" s="5">
        <v>59100000</v>
      </c>
      <c r="G1576" s="5">
        <v>62100000</v>
      </c>
      <c r="H1576" s="5">
        <f>+(M1576*26000)/0.829426</f>
        <v>60618789.379643269</v>
      </c>
      <c r="I1576" s="5">
        <f>+G1576-H1576</f>
        <v>1481210.6203567311</v>
      </c>
      <c r="J1576" s="5">
        <v>3000000</v>
      </c>
      <c r="K1576" s="5">
        <v>5910000</v>
      </c>
      <c r="L1576" s="5">
        <v>6210000</v>
      </c>
      <c r="M1576" s="7">
        <v>1933.8</v>
      </c>
      <c r="N1576" s="5">
        <v>59600000</v>
      </c>
      <c r="O1576" s="5">
        <v>62600000</v>
      </c>
      <c r="P1576" s="3">
        <v>0.97916666666666663</v>
      </c>
    </row>
    <row r="1577" spans="1:16" x14ac:dyDescent="0.25">
      <c r="A1577" s="2">
        <v>44777</v>
      </c>
      <c r="B1577" s="2">
        <v>44659</v>
      </c>
      <c r="C1577" t="str">
        <f>+"Tuáº§n "&amp;WEEKNUM(B1577)</f>
        <v>Tuáº§n 15</v>
      </c>
      <c r="D1577" t="s">
        <v>21</v>
      </c>
      <c r="E1577" t="s">
        <v>17</v>
      </c>
      <c r="F1577" s="5">
        <v>59400000</v>
      </c>
      <c r="G1577" s="5">
        <v>62400000</v>
      </c>
      <c r="H1577" s="5">
        <f>+(M1577*26000)/0.829426</f>
        <v>60863295.821447603</v>
      </c>
      <c r="I1577" s="5">
        <f>+G1577-H1577</f>
        <v>1536704.1785523966</v>
      </c>
      <c r="J1577" s="5">
        <v>3000000</v>
      </c>
      <c r="K1577" s="5">
        <v>5940000</v>
      </c>
      <c r="L1577" s="5">
        <v>6240000</v>
      </c>
      <c r="M1577" s="7">
        <v>1941.6</v>
      </c>
      <c r="N1577" s="5">
        <v>59900000</v>
      </c>
      <c r="O1577" s="5">
        <v>62900000</v>
      </c>
      <c r="P1577" s="3">
        <v>0.97916666666666663</v>
      </c>
    </row>
    <row r="1578" spans="1:16" x14ac:dyDescent="0.25">
      <c r="A1578" s="2">
        <v>44869</v>
      </c>
      <c r="B1578" s="2">
        <v>44662</v>
      </c>
      <c r="C1578" t="str">
        <f>+"Tuáº§n "&amp;WEEKNUM(B1578)</f>
        <v>Tuáº§n 16</v>
      </c>
      <c r="D1578" t="s">
        <v>16</v>
      </c>
      <c r="E1578" t="s">
        <v>17</v>
      </c>
      <c r="F1578" s="5">
        <v>59500000</v>
      </c>
      <c r="G1578" s="5">
        <v>62500000</v>
      </c>
      <c r="H1578" s="5">
        <f>+(M1578*26000)/0.829426</f>
        <v>60947932.666687563</v>
      </c>
      <c r="I1578" s="5">
        <f>+G1578-H1578</f>
        <v>1552067.3333124369</v>
      </c>
      <c r="J1578" s="5">
        <v>3000000</v>
      </c>
      <c r="K1578" s="5">
        <v>5950000</v>
      </c>
      <c r="L1578" s="5">
        <v>6250000</v>
      </c>
      <c r="M1578" s="7">
        <v>1944.3</v>
      </c>
      <c r="N1578" s="5">
        <v>60000000</v>
      </c>
      <c r="O1578" s="5">
        <v>63000000</v>
      </c>
      <c r="P1578" s="3">
        <v>0.97916666666666663</v>
      </c>
    </row>
    <row r="1579" spans="1:16" x14ac:dyDescent="0.25">
      <c r="A1579" s="2">
        <v>44899</v>
      </c>
      <c r="B1579" s="2">
        <v>44663</v>
      </c>
      <c r="C1579" t="str">
        <f>+"Tuáº§n "&amp;WEEKNUM(B1579)</f>
        <v>Tuáº§n 16</v>
      </c>
      <c r="D1579" t="s">
        <v>18</v>
      </c>
      <c r="E1579" t="s">
        <v>17</v>
      </c>
      <c r="F1579" s="5">
        <v>60400000</v>
      </c>
      <c r="G1579" s="5">
        <v>63400000</v>
      </c>
      <c r="H1579" s="5">
        <f>+(M1579*26000)/0.829426</f>
        <v>61819378.70286198</v>
      </c>
      <c r="I1579" s="5">
        <f>+G1579-H1579</f>
        <v>1580621.2971380204</v>
      </c>
      <c r="J1579" s="5">
        <v>3000000</v>
      </c>
      <c r="K1579" s="5">
        <v>6040000</v>
      </c>
      <c r="L1579" s="5">
        <v>6340000</v>
      </c>
      <c r="M1579" s="7">
        <v>1972.1</v>
      </c>
      <c r="N1579" s="5">
        <v>60900000</v>
      </c>
      <c r="O1579" s="5">
        <v>63900000</v>
      </c>
      <c r="P1579" s="3">
        <v>0.97916666666666663</v>
      </c>
    </row>
    <row r="1580" spans="1:16" x14ac:dyDescent="0.25">
      <c r="A1580" t="s">
        <v>972</v>
      </c>
      <c r="B1580" s="2">
        <v>44664</v>
      </c>
      <c r="C1580" t="str">
        <f>+"Tuáº§n "&amp;WEEKNUM(B1580)</f>
        <v>Tuáº§n 16</v>
      </c>
      <c r="D1580" t="s">
        <v>19</v>
      </c>
      <c r="E1580" t="s">
        <v>17</v>
      </c>
      <c r="F1580" s="5">
        <v>60700000</v>
      </c>
      <c r="G1580" s="5">
        <v>63700000</v>
      </c>
      <c r="H1580" s="5">
        <f>+(M1580*26000)/0.829426</f>
        <v>62098366.822356664</v>
      </c>
      <c r="I1580" s="5">
        <f>+G1580-H1580</f>
        <v>1601633.1776433364</v>
      </c>
      <c r="J1580" s="5">
        <v>3000000</v>
      </c>
      <c r="K1580" s="5">
        <v>6070000</v>
      </c>
      <c r="L1580" s="5">
        <v>6370000</v>
      </c>
      <c r="M1580" s="7">
        <v>1981</v>
      </c>
      <c r="N1580" s="5">
        <v>61200000</v>
      </c>
      <c r="O1580" s="5">
        <v>64200000</v>
      </c>
      <c r="P1580" s="3">
        <v>0.97916666666666663</v>
      </c>
    </row>
    <row r="1581" spans="1:16" x14ac:dyDescent="0.25">
      <c r="A1581" t="s">
        <v>973</v>
      </c>
      <c r="B1581" s="2">
        <v>44665</v>
      </c>
      <c r="C1581" t="str">
        <f>+"Tuáº§n "&amp;WEEKNUM(B1581)</f>
        <v>Tuáº§n 16</v>
      </c>
      <c r="D1581" t="s">
        <v>20</v>
      </c>
      <c r="E1581" t="s">
        <v>17</v>
      </c>
      <c r="F1581" s="5">
        <v>60300000</v>
      </c>
      <c r="G1581" s="5">
        <v>63300000</v>
      </c>
      <c r="H1581" s="5">
        <f>+(M1581*26000)/0.829426</f>
        <v>61781762.327199772</v>
      </c>
      <c r="I1581" s="5">
        <f>+G1581-H1581</f>
        <v>1518237.672800228</v>
      </c>
      <c r="J1581" s="5">
        <v>3000000</v>
      </c>
      <c r="K1581" s="5">
        <v>6030000</v>
      </c>
      <c r="L1581" s="5">
        <v>6330000</v>
      </c>
      <c r="M1581" s="7">
        <v>1970.9</v>
      </c>
      <c r="N1581" s="5">
        <v>60800000</v>
      </c>
      <c r="O1581" s="5">
        <v>63800000</v>
      </c>
      <c r="P1581" s="3">
        <v>0.97916666666666663</v>
      </c>
    </row>
    <row r="1582" spans="1:16" x14ac:dyDescent="0.25">
      <c r="A1582" t="s">
        <v>974</v>
      </c>
      <c r="B1582" s="2">
        <v>44669</v>
      </c>
      <c r="C1582" t="str">
        <f>+"Tuáº§n "&amp;WEEKNUM(B1582)</f>
        <v>Tuáº§n 17</v>
      </c>
      <c r="D1582" t="s">
        <v>16</v>
      </c>
      <c r="E1582" t="s">
        <v>17</v>
      </c>
      <c r="F1582" s="5">
        <v>60700000</v>
      </c>
      <c r="G1582" s="5">
        <v>63700000</v>
      </c>
      <c r="H1582" s="5">
        <f>+(M1582*26000)/0.829426</f>
        <v>62157926.083821826</v>
      </c>
      <c r="I1582" s="5">
        <f>+G1582-H1582</f>
        <v>1542073.9161781743</v>
      </c>
      <c r="J1582" s="5">
        <v>3000000</v>
      </c>
      <c r="K1582" s="5">
        <v>6070000</v>
      </c>
      <c r="L1582" s="5">
        <v>6370000</v>
      </c>
      <c r="M1582" s="7">
        <v>1982.9</v>
      </c>
      <c r="N1582" s="5">
        <v>61200000</v>
      </c>
      <c r="O1582" s="5">
        <v>64200000</v>
      </c>
      <c r="P1582" s="3">
        <v>0.97916666666666663</v>
      </c>
    </row>
    <row r="1583" spans="1:16" x14ac:dyDescent="0.25">
      <c r="A1583" t="s">
        <v>975</v>
      </c>
      <c r="B1583" s="2">
        <v>44670</v>
      </c>
      <c r="C1583" t="str">
        <f>+"Tuáº§n "&amp;WEEKNUM(B1583)</f>
        <v>Tuáº§n 17</v>
      </c>
      <c r="D1583" t="s">
        <v>18</v>
      </c>
      <c r="E1583" t="s">
        <v>17</v>
      </c>
      <c r="F1583" s="5">
        <v>59900000</v>
      </c>
      <c r="G1583" s="5">
        <v>62900000</v>
      </c>
      <c r="H1583" s="5">
        <f>+(M1583*26000)/0.829426</f>
        <v>61305288.235478513</v>
      </c>
      <c r="I1583" s="5">
        <f>+G1583-H1583</f>
        <v>1594711.7645214871</v>
      </c>
      <c r="J1583" s="5">
        <v>3000000</v>
      </c>
      <c r="K1583" s="5">
        <v>5990000</v>
      </c>
      <c r="L1583" s="5">
        <v>6290000</v>
      </c>
      <c r="M1583" s="7">
        <v>1955.7</v>
      </c>
      <c r="N1583" s="5">
        <v>60400000</v>
      </c>
      <c r="O1583" s="5">
        <v>63400000</v>
      </c>
      <c r="P1583" s="3">
        <v>0.97916666666666663</v>
      </c>
    </row>
    <row r="1584" spans="1:16" x14ac:dyDescent="0.25">
      <c r="A1584" t="s">
        <v>976</v>
      </c>
      <c r="B1584" s="2">
        <v>44671</v>
      </c>
      <c r="C1584" t="str">
        <f>+"Tuáº§n "&amp;WEEKNUM(B1584)</f>
        <v>Tuáº§n 17</v>
      </c>
      <c r="D1584" t="s">
        <v>19</v>
      </c>
      <c r="E1584" t="s">
        <v>17</v>
      </c>
      <c r="F1584" s="5">
        <v>59700000</v>
      </c>
      <c r="G1584" s="5">
        <v>62700000</v>
      </c>
      <c r="H1584" s="5">
        <f>+(M1584*26000)/0.829426</f>
        <v>61198708.504435599</v>
      </c>
      <c r="I1584" s="5">
        <f>+G1584-H1584</f>
        <v>1501291.4955644011</v>
      </c>
      <c r="J1584" s="5">
        <v>3000000</v>
      </c>
      <c r="K1584" s="5">
        <v>5970000</v>
      </c>
      <c r="L1584" s="5">
        <v>6270000</v>
      </c>
      <c r="M1584" s="7">
        <v>1952.3</v>
      </c>
      <c r="N1584" s="5">
        <v>60200000</v>
      </c>
      <c r="O1584" s="5">
        <v>63200000</v>
      </c>
      <c r="P1584" s="3">
        <v>0.97916666666666663</v>
      </c>
    </row>
    <row r="1585" spans="1:16" x14ac:dyDescent="0.25">
      <c r="A1585" t="s">
        <v>977</v>
      </c>
      <c r="B1585" s="2">
        <v>44672</v>
      </c>
      <c r="C1585" t="str">
        <f>+"Tuáº§n "&amp;WEEKNUM(B1585)</f>
        <v>Tuáº§n 17</v>
      </c>
      <c r="D1585" t="s">
        <v>20</v>
      </c>
      <c r="E1585" t="s">
        <v>17</v>
      </c>
      <c r="F1585" s="5">
        <v>59500000</v>
      </c>
      <c r="G1585" s="5">
        <v>62500000</v>
      </c>
      <c r="H1585" s="5">
        <f>+(M1585*26000)/0.829426</f>
        <v>60966740.854518667</v>
      </c>
      <c r="I1585" s="5">
        <f>+G1585-H1585</f>
        <v>1533259.1454813331</v>
      </c>
      <c r="J1585" s="5">
        <v>3000000</v>
      </c>
      <c r="K1585" s="5">
        <v>5950000</v>
      </c>
      <c r="L1585" s="5">
        <v>6250000</v>
      </c>
      <c r="M1585" s="7">
        <v>1944.9</v>
      </c>
      <c r="N1585" s="5">
        <v>60000000</v>
      </c>
      <c r="O1585" s="5">
        <v>63000000</v>
      </c>
      <c r="P1585" s="3">
        <v>0.97916666666666663</v>
      </c>
    </row>
    <row r="1586" spans="1:16" x14ac:dyDescent="0.25">
      <c r="A1586" t="s">
        <v>978</v>
      </c>
      <c r="B1586" s="2">
        <v>44673</v>
      </c>
      <c r="C1586" t="str">
        <f>+"Tuáº§n "&amp;WEEKNUM(B1586)</f>
        <v>Tuáº§n 17</v>
      </c>
      <c r="D1586" t="s">
        <v>21</v>
      </c>
      <c r="E1586" t="s">
        <v>17</v>
      </c>
      <c r="F1586" s="5">
        <v>59100000</v>
      </c>
      <c r="G1586" s="5">
        <v>62100000</v>
      </c>
      <c r="H1586" s="5">
        <f>+(M1586*26000)/0.829426</f>
        <v>60531017.836431459</v>
      </c>
      <c r="I1586" s="5">
        <f>+G1586-H1586</f>
        <v>1568982.1635685414</v>
      </c>
      <c r="J1586" s="5">
        <v>3000000</v>
      </c>
      <c r="K1586" s="5">
        <v>5910000</v>
      </c>
      <c r="L1586" s="5">
        <v>6210000</v>
      </c>
      <c r="M1586" s="7">
        <v>1931</v>
      </c>
      <c r="N1586" s="5">
        <v>59600000</v>
      </c>
      <c r="O1586" s="5">
        <v>62600000</v>
      </c>
      <c r="P1586" s="3">
        <v>0.97916666666666663</v>
      </c>
    </row>
    <row r="1587" spans="1:16" x14ac:dyDescent="0.25">
      <c r="A1587" t="s">
        <v>979</v>
      </c>
      <c r="B1587" s="2">
        <v>44676</v>
      </c>
      <c r="C1587" t="str">
        <f>+"Tuáº§n "&amp;WEEKNUM(B1587)</f>
        <v>Tuáº§n 18</v>
      </c>
      <c r="D1587" t="s">
        <v>16</v>
      </c>
      <c r="E1587" t="s">
        <v>17</v>
      </c>
      <c r="F1587" s="5">
        <v>57800000</v>
      </c>
      <c r="G1587" s="5">
        <v>60800000</v>
      </c>
      <c r="H1587" s="5">
        <f>+(M1587*26000)/0.829426</f>
        <v>59346102.003072001</v>
      </c>
      <c r="I1587" s="5">
        <f>+G1587-H1587</f>
        <v>1453897.996927999</v>
      </c>
      <c r="J1587" s="5">
        <v>3000000</v>
      </c>
      <c r="K1587" s="5">
        <v>5780000</v>
      </c>
      <c r="L1587" s="5">
        <v>6080000</v>
      </c>
      <c r="M1587" s="7">
        <v>1893.2</v>
      </c>
      <c r="N1587" s="5">
        <v>58300000</v>
      </c>
      <c r="O1587" s="5">
        <v>61300000</v>
      </c>
      <c r="P1587" s="3">
        <v>0.97916666666666663</v>
      </c>
    </row>
    <row r="1588" spans="1:16" x14ac:dyDescent="0.25">
      <c r="A1588" t="s">
        <v>980</v>
      </c>
      <c r="B1588" s="2">
        <v>44677</v>
      </c>
      <c r="C1588" t="str">
        <f>+"Tuáº§n "&amp;WEEKNUM(B1588)</f>
        <v>Tuáº§n 18</v>
      </c>
      <c r="D1588" t="s">
        <v>18</v>
      </c>
      <c r="E1588" t="s">
        <v>17</v>
      </c>
      <c r="F1588" s="5">
        <v>58100000</v>
      </c>
      <c r="G1588" s="5">
        <v>61100000</v>
      </c>
      <c r="H1588" s="5">
        <f>+(M1588*26000)/0.829426</f>
        <v>59603147.236763738</v>
      </c>
      <c r="I1588" s="5">
        <f>+G1588-H1588</f>
        <v>1496852.7632362619</v>
      </c>
      <c r="J1588" s="5">
        <v>3000000</v>
      </c>
      <c r="K1588" s="5">
        <v>5810000</v>
      </c>
      <c r="L1588" s="5">
        <v>6110000</v>
      </c>
      <c r="M1588" s="7">
        <v>1901.4</v>
      </c>
      <c r="N1588" s="5">
        <v>58600000</v>
      </c>
      <c r="O1588" s="5">
        <v>61600000</v>
      </c>
      <c r="P1588" s="3">
        <v>0.97916666666666663</v>
      </c>
    </row>
    <row r="1589" spans="1:16" x14ac:dyDescent="0.25">
      <c r="A1589" t="s">
        <v>981</v>
      </c>
      <c r="B1589" s="2">
        <v>44678</v>
      </c>
      <c r="C1589" t="str">
        <f>+"Tuáº§n "&amp;WEEKNUM(B1589)</f>
        <v>Tuáº§n 18</v>
      </c>
      <c r="D1589" t="s">
        <v>19</v>
      </c>
      <c r="E1589" t="s">
        <v>17</v>
      </c>
      <c r="F1589" s="5">
        <v>57600000</v>
      </c>
      <c r="G1589" s="5">
        <v>60600000</v>
      </c>
      <c r="H1589" s="5">
        <f>+(M1589*26000)/0.829426</f>
        <v>59117269.051126927</v>
      </c>
      <c r="I1589" s="5">
        <f>+G1589-H1589</f>
        <v>1482730.9488730729</v>
      </c>
      <c r="J1589" s="5">
        <v>3000000</v>
      </c>
      <c r="K1589" s="5">
        <v>5760000</v>
      </c>
      <c r="L1589" s="5">
        <v>6060000</v>
      </c>
      <c r="M1589" s="7">
        <v>1885.9</v>
      </c>
      <c r="N1589" s="5">
        <v>58100000</v>
      </c>
      <c r="O1589" s="5">
        <v>61100000</v>
      </c>
      <c r="P1589" s="3">
        <v>0.97916666666666663</v>
      </c>
    </row>
    <row r="1590" spans="1:16" x14ac:dyDescent="0.25">
      <c r="A1590" t="s">
        <v>982</v>
      </c>
      <c r="B1590" s="2">
        <v>44679</v>
      </c>
      <c r="C1590" t="str">
        <f>+"Tuáº§n "&amp;WEEKNUM(B1590)</f>
        <v>Tuáº§n 18</v>
      </c>
      <c r="D1590" t="s">
        <v>20</v>
      </c>
      <c r="E1590" t="s">
        <v>17</v>
      </c>
      <c r="F1590" s="5">
        <v>57700000</v>
      </c>
      <c r="G1590" s="5">
        <v>60700000</v>
      </c>
      <c r="H1590" s="5">
        <f>+(M1590*26000)/0.829426</f>
        <v>59205040.594338737</v>
      </c>
      <c r="I1590" s="5">
        <f>+G1590-H1590</f>
        <v>1494959.4056612626</v>
      </c>
      <c r="J1590" s="5">
        <v>3000000</v>
      </c>
      <c r="K1590" s="5">
        <v>5770000</v>
      </c>
      <c r="L1590" s="5">
        <v>6070000</v>
      </c>
      <c r="M1590" s="7">
        <v>1888.7</v>
      </c>
      <c r="N1590" s="5">
        <v>58200000</v>
      </c>
      <c r="O1590" s="5">
        <v>61200000</v>
      </c>
      <c r="P1590" s="3">
        <v>0.97916666666666663</v>
      </c>
    </row>
    <row r="1591" spans="1:16" x14ac:dyDescent="0.25">
      <c r="A1591" t="s">
        <v>983</v>
      </c>
      <c r="B1591" s="2">
        <v>44680</v>
      </c>
      <c r="C1591" t="str">
        <f>+"Tuáº§n "&amp;WEEKNUM(B1591)</f>
        <v>Tuáº§n 18</v>
      </c>
      <c r="D1591" t="s">
        <v>21</v>
      </c>
      <c r="E1591" t="s">
        <v>17</v>
      </c>
      <c r="F1591" s="5">
        <v>58400000</v>
      </c>
      <c r="G1591" s="5">
        <v>61400000</v>
      </c>
      <c r="H1591" s="5">
        <f>+(M1591*26000)/0.829426</f>
        <v>59850788.376539923</v>
      </c>
      <c r="I1591" s="5">
        <f>+G1591-H1591</f>
        <v>1549211.6234600767</v>
      </c>
      <c r="J1591" s="5">
        <v>3000000</v>
      </c>
      <c r="K1591" s="5">
        <v>5840000</v>
      </c>
      <c r="L1591" s="5">
        <v>6140000</v>
      </c>
      <c r="M1591" s="7">
        <v>1909.3</v>
      </c>
      <c r="N1591" s="5">
        <v>58900000</v>
      </c>
      <c r="O1591" s="5">
        <v>61900000</v>
      </c>
      <c r="P1591" s="3">
        <v>0.97916666666666663</v>
      </c>
    </row>
    <row r="1592" spans="1:16" x14ac:dyDescent="0.25">
      <c r="A1592" s="2">
        <v>44597</v>
      </c>
      <c r="B1592" s="2">
        <v>44683</v>
      </c>
      <c r="C1592" t="str">
        <f>+"Tuáº§n "&amp;WEEKNUM(B1592)</f>
        <v>Tuáº§n 19</v>
      </c>
      <c r="D1592" t="s">
        <v>16</v>
      </c>
      <c r="E1592" t="s">
        <v>17</v>
      </c>
      <c r="F1592" s="5">
        <v>56800000</v>
      </c>
      <c r="G1592" s="5">
        <v>59800000</v>
      </c>
      <c r="H1592" s="5">
        <f>+(M1592*26000)/0.829426</f>
        <v>58361806.839910977</v>
      </c>
      <c r="I1592" s="5">
        <f>+G1592-H1592</f>
        <v>1438193.1600890234</v>
      </c>
      <c r="J1592" s="5">
        <v>3000000</v>
      </c>
      <c r="K1592" s="5">
        <v>5680000</v>
      </c>
      <c r="L1592" s="5">
        <v>5980000</v>
      </c>
      <c r="M1592" s="7">
        <v>1861.8</v>
      </c>
      <c r="N1592" s="5">
        <v>57300000</v>
      </c>
      <c r="O1592" s="5">
        <v>60300000</v>
      </c>
      <c r="P1592" s="3">
        <v>0.97916666666666663</v>
      </c>
    </row>
    <row r="1593" spans="1:16" x14ac:dyDescent="0.25">
      <c r="A1593" s="2">
        <v>44625</v>
      </c>
      <c r="B1593" s="2">
        <v>44684</v>
      </c>
      <c r="C1593" t="str">
        <f>+"Tuáº§n "&amp;WEEKNUM(B1593)</f>
        <v>Tuáº§n 19</v>
      </c>
      <c r="D1593" t="s">
        <v>18</v>
      </c>
      <c r="E1593" t="s">
        <v>17</v>
      </c>
      <c r="F1593" s="5">
        <v>57100000</v>
      </c>
      <c r="G1593" s="5">
        <v>60100000</v>
      </c>
      <c r="H1593" s="5">
        <f>+(M1593*26000)/0.829426</f>
        <v>58581235.697940506</v>
      </c>
      <c r="I1593" s="5">
        <f>+G1593-H1593</f>
        <v>1518764.302059494</v>
      </c>
      <c r="J1593" s="5">
        <v>3000000</v>
      </c>
      <c r="K1593" s="5">
        <v>5710000</v>
      </c>
      <c r="L1593" s="5">
        <v>6010000</v>
      </c>
      <c r="M1593" s="7">
        <v>1868.8</v>
      </c>
      <c r="N1593" s="5">
        <v>57600000</v>
      </c>
      <c r="O1593" s="5">
        <v>60600000</v>
      </c>
      <c r="P1593" s="3">
        <v>0.97916666666666663</v>
      </c>
    </row>
    <row r="1594" spans="1:16" x14ac:dyDescent="0.25">
      <c r="A1594" s="2">
        <v>44656</v>
      </c>
      <c r="B1594" s="2">
        <v>44685</v>
      </c>
      <c r="C1594" t="str">
        <f>+"Tuáº§n "&amp;WEEKNUM(B1594)</f>
        <v>Tuáº§n 19</v>
      </c>
      <c r="D1594" t="s">
        <v>19</v>
      </c>
      <c r="E1594" t="s">
        <v>17</v>
      </c>
      <c r="F1594" s="5">
        <v>57000000</v>
      </c>
      <c r="G1594" s="5">
        <v>60000000</v>
      </c>
      <c r="H1594" s="5">
        <f>+(M1594*26000)/0.829426</f>
        <v>58524811.134447195</v>
      </c>
      <c r="I1594" s="5">
        <f>+G1594-H1594</f>
        <v>1475188.8655528054</v>
      </c>
      <c r="J1594" s="5">
        <v>3000000</v>
      </c>
      <c r="K1594" s="5">
        <v>5700000</v>
      </c>
      <c r="L1594" s="5">
        <v>6000000</v>
      </c>
      <c r="M1594" s="7">
        <v>1867</v>
      </c>
      <c r="N1594" s="5">
        <v>57500000</v>
      </c>
      <c r="O1594" s="5">
        <v>60500000</v>
      </c>
      <c r="P1594" s="3">
        <v>0.97916666666666663</v>
      </c>
    </row>
    <row r="1595" spans="1:16" x14ac:dyDescent="0.25">
      <c r="A1595" s="2">
        <v>44686</v>
      </c>
      <c r="B1595" s="2">
        <v>44686</v>
      </c>
      <c r="C1595" t="str">
        <f>+"Tuáº§n "&amp;WEEKNUM(B1595)</f>
        <v>Tuáº§n 19</v>
      </c>
      <c r="D1595" t="s">
        <v>20</v>
      </c>
      <c r="E1595" t="s">
        <v>17</v>
      </c>
      <c r="F1595" s="5">
        <v>57200000</v>
      </c>
      <c r="G1595" s="5">
        <v>60200000</v>
      </c>
      <c r="H1595" s="5">
        <f>+(M1595*26000)/0.829426</f>
        <v>58744239.992476724</v>
      </c>
      <c r="I1595" s="5">
        <f>+G1595-H1595</f>
        <v>1455760.0075232759</v>
      </c>
      <c r="J1595" s="5">
        <v>3000000</v>
      </c>
      <c r="K1595" s="5">
        <v>5720000</v>
      </c>
      <c r="L1595" s="5">
        <v>6020000</v>
      </c>
      <c r="M1595" s="7">
        <v>1874</v>
      </c>
      <c r="N1595" s="5">
        <v>57700000</v>
      </c>
      <c r="O1595" s="5">
        <v>60700000</v>
      </c>
      <c r="P1595" s="3">
        <v>0.97916666666666663</v>
      </c>
    </row>
    <row r="1596" spans="1:16" x14ac:dyDescent="0.25">
      <c r="A1596" s="2">
        <v>44717</v>
      </c>
      <c r="B1596" s="2">
        <v>44687</v>
      </c>
      <c r="C1596" t="str">
        <f>+"Tuáº§n "&amp;WEEKNUM(B1596)</f>
        <v>Tuáº§n 19</v>
      </c>
      <c r="D1596" t="s">
        <v>21</v>
      </c>
      <c r="E1596" t="s">
        <v>17</v>
      </c>
      <c r="F1596" s="5">
        <v>57500000</v>
      </c>
      <c r="G1596" s="5">
        <v>60500000</v>
      </c>
      <c r="H1596" s="5">
        <f>+(M1596*26000)/0.829426</f>
        <v>58969938.246449955</v>
      </c>
      <c r="I1596" s="5">
        <f>+G1596-H1596</f>
        <v>1530061.7535500452</v>
      </c>
      <c r="J1596" s="5">
        <v>3000000</v>
      </c>
      <c r="K1596" s="5">
        <v>5750000</v>
      </c>
      <c r="L1596" s="5">
        <v>6050000</v>
      </c>
      <c r="M1596" s="7">
        <v>1881.2</v>
      </c>
      <c r="N1596" s="5">
        <v>58000000</v>
      </c>
      <c r="O1596" s="5">
        <v>61000000</v>
      </c>
      <c r="P1596" s="3">
        <v>0.97916666666666663</v>
      </c>
    </row>
    <row r="1597" spans="1:16" x14ac:dyDescent="0.25">
      <c r="A1597" s="2">
        <v>44809</v>
      </c>
      <c r="B1597" s="2">
        <v>44690</v>
      </c>
      <c r="C1597" t="str">
        <f>+"Tuáº§n "&amp;WEEKNUM(B1597)</f>
        <v>Tuáº§n 20</v>
      </c>
      <c r="D1597" t="s">
        <v>16</v>
      </c>
      <c r="E1597" t="s">
        <v>17</v>
      </c>
      <c r="F1597" s="5">
        <v>56700000</v>
      </c>
      <c r="G1597" s="5">
        <v>59700000</v>
      </c>
      <c r="H1597" s="5">
        <f>+(M1597*26000)/0.829426</f>
        <v>58214476.035234004</v>
      </c>
      <c r="I1597" s="5">
        <f>+G1597-H1597</f>
        <v>1485523.9647659957</v>
      </c>
      <c r="J1597" s="5">
        <v>3000000</v>
      </c>
      <c r="K1597" s="5">
        <v>5670000</v>
      </c>
      <c r="L1597" s="5">
        <v>5970000</v>
      </c>
      <c r="M1597" s="7">
        <v>1857.1</v>
      </c>
      <c r="N1597" s="5">
        <v>57200000</v>
      </c>
      <c r="O1597" s="5">
        <v>60200000</v>
      </c>
      <c r="P1597" s="3">
        <v>0.97916666666666663</v>
      </c>
    </row>
    <row r="1598" spans="1:16" x14ac:dyDescent="0.25">
      <c r="A1598" s="2">
        <v>44839</v>
      </c>
      <c r="B1598" s="2">
        <v>44691</v>
      </c>
      <c r="C1598" t="str">
        <f>+"Tuáº§n "&amp;WEEKNUM(B1598)</f>
        <v>Tuáº§n 20</v>
      </c>
      <c r="D1598" t="s">
        <v>18</v>
      </c>
      <c r="E1598" t="s">
        <v>17</v>
      </c>
      <c r="F1598" s="5">
        <v>56100000</v>
      </c>
      <c r="G1598" s="5">
        <v>59100000</v>
      </c>
      <c r="H1598" s="5">
        <f>+(M1598*26000)/0.829426</f>
        <v>57675307.984075733</v>
      </c>
      <c r="I1598" s="5">
        <f>+G1598-H1598</f>
        <v>1424692.0159242675</v>
      </c>
      <c r="J1598" s="5">
        <v>3000000</v>
      </c>
      <c r="K1598" s="5">
        <v>5610000</v>
      </c>
      <c r="L1598" s="5">
        <v>5910000</v>
      </c>
      <c r="M1598" s="7">
        <v>1839.9</v>
      </c>
      <c r="N1598" s="5">
        <v>56600000</v>
      </c>
      <c r="O1598" s="5">
        <v>59600000</v>
      </c>
      <c r="P1598" s="3">
        <v>0.97916666666666663</v>
      </c>
    </row>
    <row r="1599" spans="1:16" x14ac:dyDescent="0.25">
      <c r="A1599" s="2">
        <v>44870</v>
      </c>
      <c r="B1599" s="2">
        <v>44692</v>
      </c>
      <c r="C1599" t="str">
        <f>+"Tuáº§n "&amp;WEEKNUM(B1599)</f>
        <v>Tuáº§n 20</v>
      </c>
      <c r="D1599" t="s">
        <v>19</v>
      </c>
      <c r="E1599" t="s">
        <v>17</v>
      </c>
      <c r="F1599" s="5">
        <v>56500000</v>
      </c>
      <c r="G1599" s="5">
        <v>59500000</v>
      </c>
      <c r="H1599" s="5">
        <f>+(M1599*26000)/0.829426</f>
        <v>58073414.626500733</v>
      </c>
      <c r="I1599" s="5">
        <f>+G1599-H1599</f>
        <v>1426585.3734992668</v>
      </c>
      <c r="J1599" s="5">
        <v>3000000</v>
      </c>
      <c r="K1599" s="5">
        <v>5650000</v>
      </c>
      <c r="L1599" s="5">
        <v>5950000</v>
      </c>
      <c r="M1599" s="7">
        <v>1852.6</v>
      </c>
      <c r="N1599" s="5">
        <v>57000000</v>
      </c>
      <c r="O1599" s="5">
        <v>60000000</v>
      </c>
      <c r="P1599" s="3">
        <v>0.97916666666666663</v>
      </c>
    </row>
    <row r="1600" spans="1:16" x14ac:dyDescent="0.25">
      <c r="A1600" s="2">
        <v>44900</v>
      </c>
      <c r="B1600" s="2">
        <v>44693</v>
      </c>
      <c r="C1600" t="str">
        <f>+"Tuáº§n "&amp;WEEKNUM(B1600)</f>
        <v>Tuáº§n 20</v>
      </c>
      <c r="D1600" t="s">
        <v>20</v>
      </c>
      <c r="E1600" t="s">
        <v>17</v>
      </c>
      <c r="F1600" s="5">
        <v>55600000</v>
      </c>
      <c r="G1600" s="5">
        <v>58600000</v>
      </c>
      <c r="H1600" s="5">
        <f>+(M1600*26000)/0.829426</f>
        <v>57170621.610607818</v>
      </c>
      <c r="I1600" s="5">
        <f>+G1600-H1600</f>
        <v>1429378.3893921822</v>
      </c>
      <c r="J1600" s="5">
        <v>3000000</v>
      </c>
      <c r="K1600" s="5">
        <v>5560000</v>
      </c>
      <c r="L1600" s="5">
        <v>5860000</v>
      </c>
      <c r="M1600" s="7">
        <v>1823.8</v>
      </c>
      <c r="N1600" s="5">
        <v>56100000</v>
      </c>
      <c r="O1600" s="5">
        <v>59100000</v>
      </c>
      <c r="P1600" s="3">
        <v>0.97916666666666663</v>
      </c>
    </row>
    <row r="1601" spans="1:16" x14ac:dyDescent="0.25">
      <c r="A1601" t="s">
        <v>984</v>
      </c>
      <c r="B1601" s="2">
        <v>44694</v>
      </c>
      <c r="C1601" t="str">
        <f>+"Tuáº§n "&amp;WEEKNUM(B1601)</f>
        <v>Tuáº§n 20</v>
      </c>
      <c r="D1601" t="s">
        <v>21</v>
      </c>
      <c r="E1601" t="s">
        <v>17</v>
      </c>
      <c r="F1601" s="5">
        <v>55100000</v>
      </c>
      <c r="G1601" s="5">
        <v>58100000</v>
      </c>
      <c r="H1601" s="5">
        <f>+(M1601*26000)/0.829426</f>
        <v>56656531.143224351</v>
      </c>
      <c r="I1601" s="5">
        <f>+G1601-H1601</f>
        <v>1443468.8567756489</v>
      </c>
      <c r="J1601" s="5">
        <v>3000000</v>
      </c>
      <c r="K1601" s="5">
        <v>5510000</v>
      </c>
      <c r="L1601" s="5">
        <v>5810000</v>
      </c>
      <c r="M1601" s="7">
        <v>1807.4</v>
      </c>
      <c r="N1601" s="5">
        <v>55600000</v>
      </c>
      <c r="O1601" s="5">
        <v>58600000</v>
      </c>
      <c r="P1601" s="3">
        <v>0.97916666666666663</v>
      </c>
    </row>
    <row r="1602" spans="1:16" x14ac:dyDescent="0.25">
      <c r="A1602" t="s">
        <v>985</v>
      </c>
      <c r="B1602" s="2">
        <v>44697</v>
      </c>
      <c r="C1602" t="str">
        <f>+"Tuáº§n "&amp;WEEKNUM(B1602)</f>
        <v>Tuáº§n 21</v>
      </c>
      <c r="D1602" t="s">
        <v>16</v>
      </c>
      <c r="E1602" t="s">
        <v>17</v>
      </c>
      <c r="F1602" s="5">
        <v>55300000</v>
      </c>
      <c r="G1602" s="5">
        <v>58300000</v>
      </c>
      <c r="H1602" s="5">
        <f>+(M1602*26000)/0.829426</f>
        <v>56847747.719507225</v>
      </c>
      <c r="I1602" s="5">
        <f>+G1602-H1602</f>
        <v>1452252.2804927751</v>
      </c>
      <c r="J1602" s="5">
        <v>3000000</v>
      </c>
      <c r="K1602" s="5">
        <v>5530000</v>
      </c>
      <c r="L1602" s="5">
        <v>5830000</v>
      </c>
      <c r="M1602" s="7">
        <v>1813.5</v>
      </c>
      <c r="N1602" s="5">
        <v>55800000</v>
      </c>
      <c r="O1602" s="5">
        <v>58800000</v>
      </c>
      <c r="P1602" s="3">
        <v>0.97916666666666663</v>
      </c>
    </row>
    <row r="1603" spans="1:16" x14ac:dyDescent="0.25">
      <c r="A1603" t="s">
        <v>986</v>
      </c>
      <c r="B1603" s="2">
        <v>44698</v>
      </c>
      <c r="C1603" t="str">
        <f>+"Tuáº§n "&amp;WEEKNUM(B1603)</f>
        <v>Tuáº§n 21</v>
      </c>
      <c r="D1603" t="s">
        <v>18</v>
      </c>
      <c r="E1603" t="s">
        <v>17</v>
      </c>
      <c r="F1603" s="5">
        <v>55400000</v>
      </c>
      <c r="G1603" s="5">
        <v>58400000</v>
      </c>
      <c r="H1603" s="5">
        <f>+(M1603*26000)/0.829426</f>
        <v>56995078.524184197</v>
      </c>
      <c r="I1603" s="5">
        <f>+G1603-H1603</f>
        <v>1404921.4758158028</v>
      </c>
      <c r="J1603" s="5">
        <v>3000000</v>
      </c>
      <c r="K1603" s="5">
        <v>5540000</v>
      </c>
      <c r="L1603" s="5">
        <v>5840000</v>
      </c>
      <c r="M1603" s="7">
        <v>1818.2</v>
      </c>
      <c r="N1603" s="5">
        <v>55900000</v>
      </c>
      <c r="O1603" s="5">
        <v>58900000</v>
      </c>
      <c r="P1603" s="3">
        <v>0.97916666666666663</v>
      </c>
    </row>
    <row r="1604" spans="1:16" x14ac:dyDescent="0.25">
      <c r="A1604" t="s">
        <v>987</v>
      </c>
      <c r="B1604" s="2">
        <v>44699</v>
      </c>
      <c r="C1604" t="str">
        <f>+"Tuáº§n "&amp;WEEKNUM(B1604)</f>
        <v>Tuáº§n 21</v>
      </c>
      <c r="D1604" t="s">
        <v>19</v>
      </c>
      <c r="E1604" t="s">
        <v>17</v>
      </c>
      <c r="F1604" s="5">
        <v>55400000</v>
      </c>
      <c r="G1604" s="5">
        <v>58400000</v>
      </c>
      <c r="H1604" s="5">
        <f>+(M1604*26000)/0.829426</f>
        <v>56922980.470831633</v>
      </c>
      <c r="I1604" s="5">
        <f>+G1604-H1604</f>
        <v>1477019.5291683674</v>
      </c>
      <c r="J1604" s="5">
        <v>3000000</v>
      </c>
      <c r="K1604" s="5">
        <v>5540000</v>
      </c>
      <c r="L1604" s="5">
        <v>5840000</v>
      </c>
      <c r="M1604" s="7">
        <v>1815.9</v>
      </c>
      <c r="N1604" s="5">
        <v>55900000</v>
      </c>
      <c r="O1604" s="5">
        <v>58900000</v>
      </c>
      <c r="P1604" s="3">
        <v>0.97916666666666663</v>
      </c>
    </row>
    <row r="1605" spans="1:16" x14ac:dyDescent="0.25">
      <c r="A1605" t="s">
        <v>988</v>
      </c>
      <c r="B1605" s="2">
        <v>44700</v>
      </c>
      <c r="C1605" t="str">
        <f>+"Tuáº§n "&amp;WEEKNUM(B1605)</f>
        <v>Tuáº§n 21</v>
      </c>
      <c r="D1605" t="s">
        <v>20</v>
      </c>
      <c r="E1605" t="s">
        <v>17</v>
      </c>
      <c r="F1605" s="5">
        <v>56200000</v>
      </c>
      <c r="G1605" s="5">
        <v>59200000</v>
      </c>
      <c r="H1605" s="5">
        <f>+(M1605*26000)/0.829426</f>
        <v>57716059.057709791</v>
      </c>
      <c r="I1605" s="5">
        <f>+G1605-H1605</f>
        <v>1483940.9422902092</v>
      </c>
      <c r="J1605" s="5">
        <v>3000000</v>
      </c>
      <c r="K1605" s="5">
        <v>5620000</v>
      </c>
      <c r="L1605" s="5">
        <v>5920000</v>
      </c>
      <c r="M1605" s="7">
        <v>1841.2</v>
      </c>
      <c r="N1605" s="5">
        <v>56700000</v>
      </c>
      <c r="O1605" s="5">
        <v>59700000</v>
      </c>
      <c r="P1605" s="3">
        <v>0.97916666666666663</v>
      </c>
    </row>
    <row r="1606" spans="1:16" x14ac:dyDescent="0.25">
      <c r="A1606" t="s">
        <v>989</v>
      </c>
      <c r="B1606" s="2">
        <v>44701</v>
      </c>
      <c r="C1606" t="str">
        <f>+"Tuáº§n "&amp;WEEKNUM(B1606)</f>
        <v>Tuáº§n 21</v>
      </c>
      <c r="D1606" t="s">
        <v>21</v>
      </c>
      <c r="E1606" t="s">
        <v>17</v>
      </c>
      <c r="F1606" s="5">
        <v>56200000</v>
      </c>
      <c r="G1606" s="5">
        <v>59200000</v>
      </c>
      <c r="H1606" s="5">
        <f>+(M1606*26000)/0.829426</f>
        <v>57734867.245540895</v>
      </c>
      <c r="I1606" s="5">
        <f>+G1606-H1606</f>
        <v>1465132.7544591054</v>
      </c>
      <c r="J1606" s="5">
        <v>3000000</v>
      </c>
      <c r="K1606" s="5">
        <v>5620000</v>
      </c>
      <c r="L1606" s="5">
        <v>5920000</v>
      </c>
      <c r="M1606" s="7">
        <v>1841.8</v>
      </c>
      <c r="N1606" s="5">
        <v>56700000</v>
      </c>
      <c r="O1606" s="5">
        <v>59700000</v>
      </c>
      <c r="P1606" s="3">
        <v>0.97916666666666663</v>
      </c>
    </row>
    <row r="1607" spans="1:16" x14ac:dyDescent="0.25">
      <c r="A1607" t="s">
        <v>990</v>
      </c>
      <c r="B1607" s="2">
        <v>44704</v>
      </c>
      <c r="C1607" t="str">
        <f>+"Tuáº§n "&amp;WEEKNUM(B1607)</f>
        <v>Tuáº§n 22</v>
      </c>
      <c r="D1607" t="s">
        <v>16</v>
      </c>
      <c r="E1607" t="s">
        <v>17</v>
      </c>
      <c r="F1607" s="5">
        <v>56400000</v>
      </c>
      <c r="G1607" s="5">
        <v>59400000</v>
      </c>
      <c r="H1607" s="5">
        <f>+(M1607*26000)/0.829426</f>
        <v>57922949.123851918</v>
      </c>
      <c r="I1607" s="5">
        <f>+G1607-H1607</f>
        <v>1477050.8761480823</v>
      </c>
      <c r="J1607" s="5">
        <v>3000000</v>
      </c>
      <c r="K1607" s="5">
        <v>5640000</v>
      </c>
      <c r="L1607" s="5">
        <v>5940000</v>
      </c>
      <c r="M1607" s="7">
        <v>1847.8</v>
      </c>
      <c r="N1607" s="5">
        <v>56900000</v>
      </c>
      <c r="O1607" s="5">
        <v>59900000</v>
      </c>
      <c r="P1607" s="3">
        <v>0.97916666666666663</v>
      </c>
    </row>
    <row r="1608" spans="1:16" x14ac:dyDescent="0.25">
      <c r="A1608" t="s">
        <v>991</v>
      </c>
      <c r="B1608" s="2">
        <v>44705</v>
      </c>
      <c r="C1608" t="str">
        <f>+"Tuáº§n "&amp;WEEKNUM(B1608)</f>
        <v>Tuáº§n 22</v>
      </c>
      <c r="D1608" t="s">
        <v>18</v>
      </c>
      <c r="E1608" t="s">
        <v>17</v>
      </c>
      <c r="F1608" s="5">
        <v>56900000</v>
      </c>
      <c r="G1608" s="5">
        <v>59900000</v>
      </c>
      <c r="H1608" s="5">
        <f>+(M1608*26000)/0.829426</f>
        <v>58465251.87298204</v>
      </c>
      <c r="I1608" s="5">
        <f>+G1608-H1608</f>
        <v>1434748.12701796</v>
      </c>
      <c r="J1608" s="5">
        <v>3000000</v>
      </c>
      <c r="K1608" s="5">
        <v>5690000</v>
      </c>
      <c r="L1608" s="5">
        <v>5990000</v>
      </c>
      <c r="M1608" s="7">
        <v>1865.1</v>
      </c>
      <c r="N1608" s="5">
        <v>57400000</v>
      </c>
      <c r="O1608" s="5">
        <v>60400000</v>
      </c>
      <c r="P1608" s="3">
        <v>0.97916666666666663</v>
      </c>
    </row>
    <row r="1609" spans="1:16" x14ac:dyDescent="0.25">
      <c r="A1609" t="s">
        <v>992</v>
      </c>
      <c r="B1609" s="2">
        <v>44706</v>
      </c>
      <c r="C1609" t="str">
        <f>+"Tuáº§n "&amp;WEEKNUM(B1609)</f>
        <v>Tuáº§n 22</v>
      </c>
      <c r="D1609" t="s">
        <v>19</v>
      </c>
      <c r="E1609" t="s">
        <v>17</v>
      </c>
      <c r="F1609" s="5">
        <v>56300000</v>
      </c>
      <c r="G1609" s="5">
        <v>59300000</v>
      </c>
      <c r="H1609" s="5">
        <f>+(M1609*26000)/0.829426</f>
        <v>57872793.956302308</v>
      </c>
      <c r="I1609" s="5">
        <f>+G1609-H1609</f>
        <v>1427206.0436976925</v>
      </c>
      <c r="J1609" s="5">
        <v>3000000</v>
      </c>
      <c r="K1609" s="5">
        <v>5630000</v>
      </c>
      <c r="L1609" s="5">
        <v>5930000</v>
      </c>
      <c r="M1609" s="7">
        <v>1846.2</v>
      </c>
      <c r="N1609" s="5">
        <v>56800000</v>
      </c>
      <c r="O1609" s="5">
        <v>59800000</v>
      </c>
      <c r="P1609" s="3">
        <v>0.97916666666666663</v>
      </c>
    </row>
    <row r="1610" spans="1:16" x14ac:dyDescent="0.25">
      <c r="A1610" t="s">
        <v>993</v>
      </c>
      <c r="B1610" s="2">
        <v>44707</v>
      </c>
      <c r="C1610" t="str">
        <f>+"Tuáº§n "&amp;WEEKNUM(B1610)</f>
        <v>Tuáº§n 22</v>
      </c>
      <c r="D1610" t="s">
        <v>20</v>
      </c>
      <c r="E1610" t="s">
        <v>17</v>
      </c>
      <c r="F1610" s="5">
        <v>56400000</v>
      </c>
      <c r="G1610" s="5">
        <v>59400000</v>
      </c>
      <c r="H1610" s="5">
        <f>+(M1610*26000)/0.829426</f>
        <v>57910410.331964515</v>
      </c>
      <c r="I1610" s="5">
        <f>+G1610-H1610</f>
        <v>1489589.6680354849</v>
      </c>
      <c r="J1610" s="5">
        <v>3000000</v>
      </c>
      <c r="K1610" s="5">
        <v>5640000</v>
      </c>
      <c r="L1610" s="5">
        <v>5940000</v>
      </c>
      <c r="M1610" s="7">
        <v>1847.4</v>
      </c>
      <c r="N1610" s="5">
        <v>56900000</v>
      </c>
      <c r="O1610" s="5">
        <v>59900000</v>
      </c>
      <c r="P1610" s="3">
        <v>0.97916666666666663</v>
      </c>
    </row>
    <row r="1611" spans="1:16" x14ac:dyDescent="0.25">
      <c r="A1611" t="s">
        <v>994</v>
      </c>
      <c r="B1611" s="2">
        <v>44708</v>
      </c>
      <c r="C1611" t="str">
        <f>+"Tuáº§n "&amp;WEEKNUM(B1611)</f>
        <v>Tuáº§n 22</v>
      </c>
      <c r="D1611" t="s">
        <v>21</v>
      </c>
      <c r="E1611" t="s">
        <v>17</v>
      </c>
      <c r="F1611" s="5">
        <v>56500000</v>
      </c>
      <c r="G1611" s="5">
        <v>59500000</v>
      </c>
      <c r="H1611" s="5">
        <f>+(M1611*26000)/0.829426</f>
        <v>58032663.552866682</v>
      </c>
      <c r="I1611" s="5">
        <f>+G1611-H1611</f>
        <v>1467336.4471333176</v>
      </c>
      <c r="J1611" s="5">
        <v>3000000</v>
      </c>
      <c r="K1611" s="5">
        <v>5650000</v>
      </c>
      <c r="L1611" s="5">
        <v>5950000</v>
      </c>
      <c r="M1611" s="7">
        <v>1851.3</v>
      </c>
      <c r="N1611" s="5">
        <v>57000000</v>
      </c>
      <c r="O1611" s="5">
        <v>60000000</v>
      </c>
      <c r="P1611" s="3">
        <v>0.97916666666666663</v>
      </c>
    </row>
    <row r="1612" spans="1:16" x14ac:dyDescent="0.25">
      <c r="A1612" t="s">
        <v>995</v>
      </c>
      <c r="B1612" s="2">
        <v>44712</v>
      </c>
      <c r="C1612" t="str">
        <f>+"Tuáº§n "&amp;WEEKNUM(B1612)</f>
        <v>Tuáº§n 23</v>
      </c>
      <c r="D1612" t="s">
        <v>18</v>
      </c>
      <c r="E1612" t="s">
        <v>17</v>
      </c>
      <c r="F1612" s="5">
        <v>56200000</v>
      </c>
      <c r="G1612" s="5">
        <v>59200000</v>
      </c>
      <c r="H1612" s="5">
        <f>+(M1612*26000)/0.829426</f>
        <v>57763079.527287543</v>
      </c>
      <c r="I1612" s="5">
        <f>+G1612-H1612</f>
        <v>1436920.4727124572</v>
      </c>
      <c r="J1612" s="5">
        <v>3000000</v>
      </c>
      <c r="K1612" s="5">
        <v>5620000</v>
      </c>
      <c r="L1612" s="5">
        <v>5920000</v>
      </c>
      <c r="M1612" s="7">
        <v>1842.7</v>
      </c>
      <c r="N1612" s="5">
        <v>56700000</v>
      </c>
      <c r="O1612" s="5">
        <v>59700000</v>
      </c>
      <c r="P1612" s="3">
        <v>0.97916666666666663</v>
      </c>
    </row>
    <row r="1613" spans="1:16" x14ac:dyDescent="0.25">
      <c r="A1613" s="2">
        <v>44567</v>
      </c>
      <c r="B1613" s="2">
        <v>44713</v>
      </c>
      <c r="C1613" t="str">
        <f>+"Tuáº§n "&amp;WEEKNUM(B1613)</f>
        <v>Tuáº§n 23</v>
      </c>
      <c r="D1613" t="s">
        <v>19</v>
      </c>
      <c r="E1613" t="s">
        <v>17</v>
      </c>
      <c r="F1613" s="5">
        <v>56200000</v>
      </c>
      <c r="G1613" s="5">
        <v>59200000</v>
      </c>
      <c r="H1613" s="5">
        <f>+(M1613*26000)/0.829426</f>
        <v>57781887.715118647</v>
      </c>
      <c r="I1613" s="5">
        <f>+G1613-H1613</f>
        <v>1418112.2848813534</v>
      </c>
      <c r="J1613" s="5">
        <v>3000000</v>
      </c>
      <c r="K1613" s="5">
        <v>5620000</v>
      </c>
      <c r="L1613" s="5">
        <v>5920000</v>
      </c>
      <c r="M1613" s="7">
        <v>1843.3</v>
      </c>
      <c r="N1613" s="5">
        <v>56700000</v>
      </c>
      <c r="O1613" s="5">
        <v>59700000</v>
      </c>
      <c r="P1613" s="3">
        <v>0.97916666666666663</v>
      </c>
    </row>
    <row r="1614" spans="1:16" x14ac:dyDescent="0.25">
      <c r="A1614" s="2">
        <v>44598</v>
      </c>
      <c r="B1614" s="2">
        <v>44714</v>
      </c>
      <c r="C1614" t="str">
        <f>+"Tuáº§n "&amp;WEEKNUM(B1614)</f>
        <v>Tuáº§n 23</v>
      </c>
      <c r="D1614" t="s">
        <v>20</v>
      </c>
      <c r="E1614" t="s">
        <v>17</v>
      </c>
      <c r="F1614" s="5">
        <v>57000000</v>
      </c>
      <c r="G1614" s="5">
        <v>60000000</v>
      </c>
      <c r="H1614" s="5">
        <f>+(M1614*26000)/0.829426</f>
        <v>58509137.644587941</v>
      </c>
      <c r="I1614" s="5">
        <f>+G1614-H1614</f>
        <v>1490862.3554120585</v>
      </c>
      <c r="J1614" s="5">
        <v>3000000</v>
      </c>
      <c r="K1614" s="5">
        <v>5700000</v>
      </c>
      <c r="L1614" s="5">
        <v>6000000</v>
      </c>
      <c r="M1614" s="7">
        <v>1866.5</v>
      </c>
      <c r="N1614" s="5">
        <v>57500000</v>
      </c>
      <c r="O1614" s="5">
        <v>60500000</v>
      </c>
      <c r="P1614" s="3">
        <v>0.97916666666666663</v>
      </c>
    </row>
    <row r="1615" spans="1:16" x14ac:dyDescent="0.25">
      <c r="A1615" s="2">
        <v>44626</v>
      </c>
      <c r="B1615" s="2">
        <v>44715</v>
      </c>
      <c r="C1615" t="str">
        <f>+"Tuáº§n "&amp;WEEKNUM(B1615)</f>
        <v>Tuáº§n 23</v>
      </c>
      <c r="D1615" t="s">
        <v>21</v>
      </c>
      <c r="E1615" t="s">
        <v>17</v>
      </c>
      <c r="F1615" s="5">
        <v>56300000</v>
      </c>
      <c r="G1615" s="5">
        <v>59300000</v>
      </c>
      <c r="H1615" s="5">
        <f>+(M1615*26000)/0.829426</f>
        <v>57847716.37252751</v>
      </c>
      <c r="I1615" s="5">
        <f>+G1615-H1615</f>
        <v>1452283.6274724901</v>
      </c>
      <c r="J1615" s="5">
        <v>3000000</v>
      </c>
      <c r="K1615" s="5">
        <v>5630000</v>
      </c>
      <c r="L1615" s="5">
        <v>5930000</v>
      </c>
      <c r="M1615" s="7">
        <v>1845.4</v>
      </c>
      <c r="N1615" s="5">
        <v>56800000</v>
      </c>
      <c r="O1615" s="5">
        <v>59800000</v>
      </c>
      <c r="P1615" s="3">
        <v>0.97916666666666663</v>
      </c>
    </row>
    <row r="1616" spans="1:16" x14ac:dyDescent="0.25">
      <c r="A1616" s="2">
        <v>44718</v>
      </c>
      <c r="B1616" s="2">
        <v>44718</v>
      </c>
      <c r="C1616" t="str">
        <f>+"Tuáº§n "&amp;WEEKNUM(B1616)</f>
        <v>Tuáº§n 24</v>
      </c>
      <c r="D1616" t="s">
        <v>16</v>
      </c>
      <c r="E1616" t="s">
        <v>17</v>
      </c>
      <c r="F1616" s="5">
        <v>56100000</v>
      </c>
      <c r="G1616" s="5">
        <v>59100000</v>
      </c>
      <c r="H1616" s="5">
        <f>+(M1616*26000)/0.829426</f>
        <v>57653365.098272778</v>
      </c>
      <c r="I1616" s="5">
        <f>+G1616-H1616</f>
        <v>1446634.9017272219</v>
      </c>
      <c r="J1616" s="5">
        <v>3000000</v>
      </c>
      <c r="K1616" s="5">
        <v>5610000</v>
      </c>
      <c r="L1616" s="5">
        <v>5910000</v>
      </c>
      <c r="M1616" s="7">
        <v>1839.2</v>
      </c>
      <c r="N1616" s="5">
        <v>56600000</v>
      </c>
      <c r="O1616" s="5">
        <v>59600000</v>
      </c>
      <c r="P1616" s="3">
        <v>0.97916666666666663</v>
      </c>
    </row>
    <row r="1617" spans="1:16" x14ac:dyDescent="0.25">
      <c r="A1617" s="2">
        <v>44748</v>
      </c>
      <c r="B1617" s="2">
        <v>44719</v>
      </c>
      <c r="C1617" t="str">
        <f>+"Tuáº§n "&amp;WEEKNUM(B1617)</f>
        <v>Tuáº§n 24</v>
      </c>
      <c r="D1617" t="s">
        <v>18</v>
      </c>
      <c r="E1617" t="s">
        <v>17</v>
      </c>
      <c r="F1617" s="5">
        <v>56400000</v>
      </c>
      <c r="G1617" s="5">
        <v>59400000</v>
      </c>
      <c r="H1617" s="5">
        <f>+(M1617*26000)/0.829426</f>
        <v>57913545.029936366</v>
      </c>
      <c r="I1617" s="5">
        <f>+G1617-H1617</f>
        <v>1486454.9700636342</v>
      </c>
      <c r="J1617" s="5">
        <v>3000000</v>
      </c>
      <c r="K1617" s="5">
        <v>5640000</v>
      </c>
      <c r="L1617" s="5">
        <v>5940000</v>
      </c>
      <c r="M1617" s="7">
        <v>1847.5</v>
      </c>
      <c r="N1617" s="5">
        <v>56900000</v>
      </c>
      <c r="O1617" s="5">
        <v>59900000</v>
      </c>
      <c r="P1617" s="3">
        <v>0.97916666666666663</v>
      </c>
    </row>
    <row r="1618" spans="1:16" x14ac:dyDescent="0.25">
      <c r="A1618" s="2">
        <v>44779</v>
      </c>
      <c r="B1618" s="2">
        <v>44720</v>
      </c>
      <c r="C1618" t="str">
        <f>+"Tuáº§n "&amp;WEEKNUM(B1618)</f>
        <v>Tuáº§n 24</v>
      </c>
      <c r="D1618" t="s">
        <v>19</v>
      </c>
      <c r="E1618" t="s">
        <v>17</v>
      </c>
      <c r="F1618" s="5">
        <v>56500000</v>
      </c>
      <c r="G1618" s="5">
        <v>59500000</v>
      </c>
      <c r="H1618" s="5">
        <f>+(M1618*26000)/0.829426</f>
        <v>58051471.740697786</v>
      </c>
      <c r="I1618" s="5">
        <f>+G1618-H1618</f>
        <v>1448528.2593022138</v>
      </c>
      <c r="J1618" s="5">
        <v>3000000</v>
      </c>
      <c r="K1618" s="5">
        <v>5650000</v>
      </c>
      <c r="L1618" s="5">
        <v>5950000</v>
      </c>
      <c r="M1618" s="7">
        <v>1851.9</v>
      </c>
      <c r="N1618" s="5">
        <v>57000000</v>
      </c>
      <c r="O1618" s="5">
        <v>60000000</v>
      </c>
      <c r="P1618" s="3">
        <v>0.97916666666666663</v>
      </c>
    </row>
    <row r="1619" spans="1:16" x14ac:dyDescent="0.25">
      <c r="A1619" s="2">
        <v>44810</v>
      </c>
      <c r="B1619" s="2">
        <v>44721</v>
      </c>
      <c r="C1619" t="str">
        <f>+"Tuáº§n "&amp;WEEKNUM(B1619)</f>
        <v>Tuáº§n 24</v>
      </c>
      <c r="D1619" t="s">
        <v>20</v>
      </c>
      <c r="E1619" t="s">
        <v>17</v>
      </c>
      <c r="F1619" s="5">
        <v>56400000</v>
      </c>
      <c r="G1619" s="5">
        <v>59400000</v>
      </c>
      <c r="H1619" s="5">
        <f>+(M1619*26000)/0.829426</f>
        <v>57954296.103570424</v>
      </c>
      <c r="I1619" s="5">
        <f>+G1619-H1619</f>
        <v>1445703.896429576</v>
      </c>
      <c r="J1619" s="5">
        <v>3000000</v>
      </c>
      <c r="K1619" s="5">
        <v>5640000</v>
      </c>
      <c r="L1619" s="5">
        <v>5940000</v>
      </c>
      <c r="M1619" s="7">
        <v>1848.8</v>
      </c>
      <c r="N1619" s="5">
        <v>56900000</v>
      </c>
      <c r="O1619" s="5">
        <v>59900000</v>
      </c>
      <c r="P1619" s="3">
        <v>0.97916666666666663</v>
      </c>
    </row>
    <row r="1620" spans="1:16" x14ac:dyDescent="0.25">
      <c r="A1620" s="2">
        <v>44840</v>
      </c>
      <c r="B1620" s="2">
        <v>44722</v>
      </c>
      <c r="C1620" t="str">
        <f>+"Tuáº§n "&amp;WEEKNUM(B1620)</f>
        <v>Tuáº§n 24</v>
      </c>
      <c r="D1620" t="s">
        <v>21</v>
      </c>
      <c r="E1620" t="s">
        <v>17</v>
      </c>
      <c r="F1620" s="5">
        <v>57100000</v>
      </c>
      <c r="G1620" s="5">
        <v>60100000</v>
      </c>
      <c r="H1620" s="5">
        <f>+(M1620*26000)/0.829426</f>
        <v>58665872.543180466</v>
      </c>
      <c r="I1620" s="5">
        <f>+G1620-H1620</f>
        <v>1434127.4568195343</v>
      </c>
      <c r="J1620" s="5">
        <v>3000000</v>
      </c>
      <c r="K1620" s="5">
        <v>5710000</v>
      </c>
      <c r="L1620" s="5">
        <v>6010000</v>
      </c>
      <c r="M1620" s="7">
        <v>1871.5</v>
      </c>
      <c r="N1620" s="5">
        <v>57600000</v>
      </c>
      <c r="O1620" s="5">
        <v>60600000</v>
      </c>
      <c r="P1620" s="3">
        <v>0.97916666666666663</v>
      </c>
    </row>
    <row r="1621" spans="1:16" x14ac:dyDescent="0.25">
      <c r="A1621" t="s">
        <v>996</v>
      </c>
      <c r="B1621" s="2">
        <v>44725</v>
      </c>
      <c r="C1621" t="str">
        <f>+"Tuáº§n "&amp;WEEKNUM(B1621)</f>
        <v>Tuáº§n 25</v>
      </c>
      <c r="D1621" t="s">
        <v>16</v>
      </c>
      <c r="E1621" t="s">
        <v>17</v>
      </c>
      <c r="F1621" s="5">
        <v>55700000</v>
      </c>
      <c r="G1621" s="5">
        <v>58700000</v>
      </c>
      <c r="H1621" s="5">
        <f>+(M1621*26000)/0.829426</f>
        <v>57302278.925425537</v>
      </c>
      <c r="I1621" s="5">
        <f>+G1621-H1621</f>
        <v>1397721.0745744631</v>
      </c>
      <c r="J1621" s="5">
        <v>3000000</v>
      </c>
      <c r="K1621" s="5">
        <v>5570000</v>
      </c>
      <c r="L1621" s="5">
        <v>5870000</v>
      </c>
      <c r="M1621" s="7">
        <v>1828</v>
      </c>
      <c r="N1621" s="5">
        <v>56200000</v>
      </c>
      <c r="O1621" s="5">
        <v>59200000</v>
      </c>
      <c r="P1621" s="3">
        <v>0.97916666666666663</v>
      </c>
    </row>
    <row r="1622" spans="1:16" x14ac:dyDescent="0.25">
      <c r="A1622" t="s">
        <v>997</v>
      </c>
      <c r="B1622" s="2">
        <v>44726</v>
      </c>
      <c r="C1622" t="str">
        <f>+"Tuáº§n "&amp;WEEKNUM(B1622)</f>
        <v>Tuáº§n 25</v>
      </c>
      <c r="D1622" t="s">
        <v>18</v>
      </c>
      <c r="E1622" t="s">
        <v>17</v>
      </c>
      <c r="F1622" s="5">
        <v>55200000</v>
      </c>
      <c r="G1622" s="5">
        <v>58200000</v>
      </c>
      <c r="H1622" s="5">
        <f>+(M1622*26000)/0.829426</f>
        <v>56722359.800633207</v>
      </c>
      <c r="I1622" s="5">
        <f>+G1622-H1622</f>
        <v>1477640.199366793</v>
      </c>
      <c r="J1622" s="5">
        <v>3000000</v>
      </c>
      <c r="K1622" s="5">
        <v>5520000</v>
      </c>
      <c r="L1622" s="5">
        <v>5820000</v>
      </c>
      <c r="M1622" s="7">
        <v>1809.5</v>
      </c>
      <c r="N1622" s="5">
        <v>55700000</v>
      </c>
      <c r="O1622" s="5">
        <v>58700000</v>
      </c>
      <c r="P1622" s="3">
        <v>0.97916666666666663</v>
      </c>
    </row>
    <row r="1623" spans="1:16" x14ac:dyDescent="0.25">
      <c r="A1623" t="s">
        <v>998</v>
      </c>
      <c r="B1623" s="2">
        <v>44727</v>
      </c>
      <c r="C1623" t="str">
        <f>+"Tuáº§n "&amp;WEEKNUM(B1623)</f>
        <v>Tuáº§n 25</v>
      </c>
      <c r="D1623" t="s">
        <v>19</v>
      </c>
      <c r="E1623" t="s">
        <v>17</v>
      </c>
      <c r="F1623" s="5">
        <v>55300000</v>
      </c>
      <c r="G1623" s="5">
        <v>58300000</v>
      </c>
      <c r="H1623" s="5">
        <f>+(M1623*26000)/0.829426</f>
        <v>56904172.283000536</v>
      </c>
      <c r="I1623" s="5">
        <f>+G1623-H1623</f>
        <v>1395827.7169994637</v>
      </c>
      <c r="J1623" s="5">
        <v>3000000</v>
      </c>
      <c r="K1623" s="5">
        <v>5530000</v>
      </c>
      <c r="L1623" s="5">
        <v>5830000</v>
      </c>
      <c r="M1623" s="7">
        <v>1815.3</v>
      </c>
      <c r="N1623" s="5">
        <v>55800000</v>
      </c>
      <c r="O1623" s="5">
        <v>58800000</v>
      </c>
      <c r="P1623" s="3">
        <v>0.97916666666666663</v>
      </c>
    </row>
    <row r="1624" spans="1:16" x14ac:dyDescent="0.25">
      <c r="A1624" t="s">
        <v>999</v>
      </c>
      <c r="B1624" s="2">
        <v>44728</v>
      </c>
      <c r="C1624" t="str">
        <f>+"Tuáº§n "&amp;WEEKNUM(B1624)</f>
        <v>Tuáº§n 25</v>
      </c>
      <c r="D1624" t="s">
        <v>20</v>
      </c>
      <c r="E1624" t="s">
        <v>17</v>
      </c>
      <c r="F1624" s="5">
        <v>56300000</v>
      </c>
      <c r="G1624" s="5">
        <v>59300000</v>
      </c>
      <c r="H1624" s="5">
        <f>+(M1624*26000)/0.829426</f>
        <v>57857120.466443062</v>
      </c>
      <c r="I1624" s="5">
        <f>+G1624-H1624</f>
        <v>1442879.5335569382</v>
      </c>
      <c r="J1624" s="5">
        <v>3000000</v>
      </c>
      <c r="K1624" s="5">
        <v>5630000</v>
      </c>
      <c r="L1624" s="5">
        <v>5930000</v>
      </c>
      <c r="M1624" s="7">
        <v>1845.7</v>
      </c>
      <c r="N1624" s="5">
        <v>56800000</v>
      </c>
      <c r="O1624" s="5">
        <v>59800000</v>
      </c>
      <c r="P1624" s="3">
        <v>0.97916666666666663</v>
      </c>
    </row>
    <row r="1625" spans="1:16" x14ac:dyDescent="0.25">
      <c r="A1625" t="s">
        <v>1000</v>
      </c>
      <c r="B1625" s="2">
        <v>44729</v>
      </c>
      <c r="C1625" t="str">
        <f>+"Tuáº§n "&amp;WEEKNUM(B1625)</f>
        <v>Tuáº§n 25</v>
      </c>
      <c r="D1625" t="s">
        <v>21</v>
      </c>
      <c r="E1625" t="s">
        <v>17</v>
      </c>
      <c r="F1625" s="5">
        <v>56000000</v>
      </c>
      <c r="G1625" s="5">
        <v>59000000</v>
      </c>
      <c r="H1625" s="5">
        <f>+(M1625*26000)/0.829426</f>
        <v>57540515.97128617</v>
      </c>
      <c r="I1625" s="5">
        <f>+G1625-H1625</f>
        <v>1459484.0287138298</v>
      </c>
      <c r="J1625" s="5">
        <v>3000000</v>
      </c>
      <c r="K1625" s="5">
        <v>5600000</v>
      </c>
      <c r="L1625" s="5">
        <v>5900000</v>
      </c>
      <c r="M1625" s="7">
        <v>1835.6</v>
      </c>
      <c r="N1625" s="5">
        <v>56500000</v>
      </c>
      <c r="O1625" s="5">
        <v>59500000</v>
      </c>
      <c r="P1625" s="3">
        <v>0.97916666666666663</v>
      </c>
    </row>
    <row r="1626" spans="1:16" x14ac:dyDescent="0.25">
      <c r="A1626" t="s">
        <v>1001</v>
      </c>
      <c r="B1626" s="2">
        <v>44733</v>
      </c>
      <c r="C1626" t="str">
        <f>+"Tuáº§n "&amp;WEEKNUM(B1626)</f>
        <v>Tuáº§n 26</v>
      </c>
      <c r="D1626" t="s">
        <v>18</v>
      </c>
      <c r="E1626" t="s">
        <v>17</v>
      </c>
      <c r="F1626" s="5">
        <v>56000000</v>
      </c>
      <c r="G1626" s="5">
        <v>59000000</v>
      </c>
      <c r="H1626" s="5">
        <f>+(M1626*26000)/0.829426</f>
        <v>57509168.991567664</v>
      </c>
      <c r="I1626" s="5">
        <f>+G1626-H1626</f>
        <v>1490831.0084323362</v>
      </c>
      <c r="J1626" s="5">
        <v>3000000</v>
      </c>
      <c r="K1626" s="5">
        <v>5600000</v>
      </c>
      <c r="L1626" s="5">
        <v>5900000</v>
      </c>
      <c r="M1626" s="7">
        <v>1834.6</v>
      </c>
      <c r="N1626" s="5">
        <v>56500000</v>
      </c>
      <c r="O1626" s="5">
        <v>59500000</v>
      </c>
      <c r="P1626" s="3">
        <v>0.97916666666666663</v>
      </c>
    </row>
    <row r="1627" spans="1:16" x14ac:dyDescent="0.25">
      <c r="A1627" t="s">
        <v>1002</v>
      </c>
      <c r="B1627" s="2">
        <v>44734</v>
      </c>
      <c r="C1627" t="str">
        <f>+"Tuáº§n "&amp;WEEKNUM(B1627)</f>
        <v>Tuáº§n 26</v>
      </c>
      <c r="D1627" t="s">
        <v>19</v>
      </c>
      <c r="E1627" t="s">
        <v>17</v>
      </c>
      <c r="F1627" s="5">
        <v>56000000</v>
      </c>
      <c r="G1627" s="5">
        <v>59000000</v>
      </c>
      <c r="H1627" s="5">
        <f>+(M1627*26000)/0.829426</f>
        <v>57499764.897652112</v>
      </c>
      <c r="I1627" s="5">
        <f>+G1627-H1627</f>
        <v>1500235.1023478881</v>
      </c>
      <c r="J1627" s="5">
        <v>3000000</v>
      </c>
      <c r="K1627" s="5">
        <v>5600000</v>
      </c>
      <c r="L1627" s="5">
        <v>5900000</v>
      </c>
      <c r="M1627" s="7">
        <v>1834.3</v>
      </c>
      <c r="N1627" s="5">
        <v>56500000</v>
      </c>
      <c r="O1627" s="5">
        <v>59500000</v>
      </c>
      <c r="P1627" s="3">
        <v>0.97916666666666663</v>
      </c>
    </row>
    <row r="1628" spans="1:16" x14ac:dyDescent="0.25">
      <c r="A1628" t="s">
        <v>1003</v>
      </c>
      <c r="B1628" s="2">
        <v>44735</v>
      </c>
      <c r="C1628" t="str">
        <f>+"Tuáº§n "&amp;WEEKNUM(B1628)</f>
        <v>Tuáº§n 26</v>
      </c>
      <c r="D1628" t="s">
        <v>20</v>
      </c>
      <c r="E1628" t="s">
        <v>17</v>
      </c>
      <c r="F1628" s="5">
        <v>55700000</v>
      </c>
      <c r="G1628" s="5">
        <v>58700000</v>
      </c>
      <c r="H1628" s="5">
        <f>+(M1628*26000)/0.829426</f>
        <v>57230180.872072972</v>
      </c>
      <c r="I1628" s="5">
        <f>+G1628-H1628</f>
        <v>1469819.1279270276</v>
      </c>
      <c r="J1628" s="5">
        <v>3000000</v>
      </c>
      <c r="K1628" s="5">
        <v>5570000</v>
      </c>
      <c r="L1628" s="5">
        <v>5870000</v>
      </c>
      <c r="M1628" s="7">
        <v>1825.7</v>
      </c>
      <c r="N1628" s="5">
        <v>56200000</v>
      </c>
      <c r="O1628" s="5">
        <v>59200000</v>
      </c>
      <c r="P1628" s="3">
        <v>0.97916666666666663</v>
      </c>
    </row>
    <row r="1629" spans="1:16" x14ac:dyDescent="0.25">
      <c r="A1629" t="s">
        <v>1004</v>
      </c>
      <c r="B1629" s="2">
        <v>44736</v>
      </c>
      <c r="C1629" t="str">
        <f>+"Tuáº§n "&amp;WEEKNUM(B1629)</f>
        <v>Tuáº§n 26</v>
      </c>
      <c r="D1629" t="s">
        <v>21</v>
      </c>
      <c r="E1629" t="s">
        <v>17</v>
      </c>
      <c r="F1629" s="5">
        <v>55700000</v>
      </c>
      <c r="G1629" s="5">
        <v>58700000</v>
      </c>
      <c r="H1629" s="5">
        <f>+(M1629*26000)/0.829426</f>
        <v>57255258.455847777</v>
      </c>
      <c r="I1629" s="5">
        <f>+G1629-H1629</f>
        <v>1444741.5441522226</v>
      </c>
      <c r="J1629" s="5">
        <v>3000000</v>
      </c>
      <c r="K1629" s="5">
        <v>5570000</v>
      </c>
      <c r="L1629" s="5">
        <v>5870000</v>
      </c>
      <c r="M1629" s="7">
        <v>1826.5</v>
      </c>
      <c r="N1629" s="5">
        <v>56200000</v>
      </c>
      <c r="O1629" s="5">
        <v>59200000</v>
      </c>
      <c r="P1629" s="3">
        <v>0.97916666666666663</v>
      </c>
    </row>
    <row r="1630" spans="1:16" x14ac:dyDescent="0.25">
      <c r="A1630" t="s">
        <v>1005</v>
      </c>
      <c r="B1630" s="2">
        <v>44739</v>
      </c>
      <c r="C1630" t="str">
        <f>+"Tuáº§n "&amp;WEEKNUM(B1630)</f>
        <v>Tuáº§n 27</v>
      </c>
      <c r="D1630" t="s">
        <v>16</v>
      </c>
      <c r="E1630" t="s">
        <v>17</v>
      </c>
      <c r="F1630" s="5">
        <v>55500000</v>
      </c>
      <c r="G1630" s="5">
        <v>58500000</v>
      </c>
      <c r="H1630" s="5">
        <f>+(M1630*26000)/0.829426</f>
        <v>57079715.369424157</v>
      </c>
      <c r="I1630" s="5">
        <f>+G1630-H1630</f>
        <v>1420284.6305758432</v>
      </c>
      <c r="J1630" s="5">
        <v>3000000</v>
      </c>
      <c r="K1630" s="5">
        <v>5550000</v>
      </c>
      <c r="L1630" s="5">
        <v>5850000</v>
      </c>
      <c r="M1630" s="7">
        <v>1820.9</v>
      </c>
      <c r="N1630" s="5">
        <v>56000000</v>
      </c>
      <c r="O1630" s="5">
        <v>59000000</v>
      </c>
      <c r="P1630" s="3">
        <v>0.97916666666666663</v>
      </c>
    </row>
    <row r="1631" spans="1:16" x14ac:dyDescent="0.25">
      <c r="A1631" t="s">
        <v>1006</v>
      </c>
      <c r="B1631" s="2">
        <v>44740</v>
      </c>
      <c r="C1631" t="str">
        <f>+"Tuáº§n "&amp;WEEKNUM(B1631)</f>
        <v>Tuáº§n 27</v>
      </c>
      <c r="D1631" t="s">
        <v>18</v>
      </c>
      <c r="E1631" t="s">
        <v>17</v>
      </c>
      <c r="F1631" s="5">
        <v>55400000</v>
      </c>
      <c r="G1631" s="5">
        <v>58400000</v>
      </c>
      <c r="H1631" s="5">
        <f>+(M1631*26000)/0.829426</f>
        <v>56973135.638381243</v>
      </c>
      <c r="I1631" s="5">
        <f>+G1631-H1631</f>
        <v>1426864.3616187572</v>
      </c>
      <c r="J1631" s="5">
        <v>3000000</v>
      </c>
      <c r="K1631" s="5">
        <v>5540000</v>
      </c>
      <c r="L1631" s="5">
        <v>5840000</v>
      </c>
      <c r="M1631" s="7">
        <v>1817.5</v>
      </c>
      <c r="N1631" s="5">
        <v>55900000</v>
      </c>
      <c r="O1631" s="5">
        <v>58900000</v>
      </c>
      <c r="P1631" s="3">
        <v>0.97916666666666663</v>
      </c>
    </row>
    <row r="1632" spans="1:16" x14ac:dyDescent="0.25">
      <c r="A1632" t="s">
        <v>1007</v>
      </c>
      <c r="B1632" s="2">
        <v>44741</v>
      </c>
      <c r="C1632" t="str">
        <f>+"Tuáº§n "&amp;WEEKNUM(B1632)</f>
        <v>Tuáº§n 27</v>
      </c>
      <c r="D1632" t="s">
        <v>19</v>
      </c>
      <c r="E1632" t="s">
        <v>17</v>
      </c>
      <c r="F1632" s="5">
        <v>55300000</v>
      </c>
      <c r="G1632" s="5">
        <v>58300000</v>
      </c>
      <c r="H1632" s="5">
        <f>+(M1632*26000)/0.829426</f>
        <v>56854017.115450926</v>
      </c>
      <c r="I1632" s="5">
        <f>+G1632-H1632</f>
        <v>1445982.8845490739</v>
      </c>
      <c r="J1632" s="5">
        <v>3000000</v>
      </c>
      <c r="K1632" s="5">
        <v>5530000</v>
      </c>
      <c r="L1632" s="5">
        <v>5830000</v>
      </c>
      <c r="M1632" s="7">
        <v>1813.7</v>
      </c>
      <c r="N1632" s="5">
        <v>55800000</v>
      </c>
      <c r="O1632" s="5">
        <v>58800000</v>
      </c>
      <c r="P1632" s="3">
        <v>0.97916666666666663</v>
      </c>
    </row>
    <row r="1633" spans="1:16" x14ac:dyDescent="0.25">
      <c r="A1633" t="s">
        <v>1008</v>
      </c>
      <c r="B1633" s="2">
        <v>44742</v>
      </c>
      <c r="C1633" t="str">
        <f>+"Tuáº§n "&amp;WEEKNUM(B1633)</f>
        <v>Tuáº§n 27</v>
      </c>
      <c r="D1633" t="s">
        <v>20</v>
      </c>
      <c r="E1633" t="s">
        <v>17</v>
      </c>
      <c r="F1633" s="5">
        <v>55000000</v>
      </c>
      <c r="G1633" s="5">
        <v>58000000</v>
      </c>
      <c r="H1633" s="5">
        <f>+(M1633*26000)/0.829426</f>
        <v>56553086.110153288</v>
      </c>
      <c r="I1633" s="5">
        <f>+G1633-H1633</f>
        <v>1446913.8898467124</v>
      </c>
      <c r="J1633" s="5">
        <v>3000000</v>
      </c>
      <c r="K1633" s="5">
        <v>5500000</v>
      </c>
      <c r="L1633" s="5">
        <v>5800000</v>
      </c>
      <c r="M1633" s="7">
        <v>1804.1</v>
      </c>
      <c r="N1633" s="5">
        <v>55500000</v>
      </c>
      <c r="O1633" s="5">
        <v>58500000</v>
      </c>
      <c r="P1633" s="3">
        <v>0.97916666666666663</v>
      </c>
    </row>
    <row r="1634" spans="1:16" x14ac:dyDescent="0.25">
      <c r="A1634" s="2">
        <v>44568</v>
      </c>
      <c r="B1634" s="2">
        <v>44743</v>
      </c>
      <c r="C1634" t="str">
        <f>+"Tuáº§n "&amp;WEEKNUM(B1634)</f>
        <v>Tuáº§n 27</v>
      </c>
      <c r="D1634" t="s">
        <v>21</v>
      </c>
      <c r="E1634" t="s">
        <v>17</v>
      </c>
      <c r="F1634" s="5">
        <v>54800000</v>
      </c>
      <c r="G1634" s="5">
        <v>57800000</v>
      </c>
      <c r="H1634" s="5">
        <f>+(M1634*26000)/0.829426</f>
        <v>56390081.815617062</v>
      </c>
      <c r="I1634" s="5">
        <f>+G1634-H1634</f>
        <v>1409918.1843829378</v>
      </c>
      <c r="J1634" s="5">
        <v>3000000</v>
      </c>
      <c r="K1634" s="5">
        <v>5480000</v>
      </c>
      <c r="L1634" s="5">
        <v>5780000</v>
      </c>
      <c r="M1634" s="7">
        <v>1798.9</v>
      </c>
      <c r="N1634" s="5">
        <v>55300000</v>
      </c>
      <c r="O1634" s="5">
        <v>58300000</v>
      </c>
      <c r="P1634" s="3">
        <v>0.97916666666666663</v>
      </c>
    </row>
    <row r="1635" spans="1:16" x14ac:dyDescent="0.25">
      <c r="A1635" s="2">
        <v>44688</v>
      </c>
      <c r="B1635" s="2">
        <v>44747</v>
      </c>
      <c r="C1635" t="str">
        <f>+"Tuáº§n "&amp;WEEKNUM(B1635)</f>
        <v>Tuáº§n 28</v>
      </c>
      <c r="D1635" t="s">
        <v>18</v>
      </c>
      <c r="E1635" t="s">
        <v>17</v>
      </c>
      <c r="F1635" s="5">
        <v>53600000</v>
      </c>
      <c r="G1635" s="5">
        <v>56600000</v>
      </c>
      <c r="H1635" s="5">
        <f>+(M1635*26000)/0.829426</f>
        <v>55227108.868060559</v>
      </c>
      <c r="I1635" s="5">
        <f>+G1635-H1635</f>
        <v>1372891.131939441</v>
      </c>
      <c r="J1635" s="5">
        <v>3000000</v>
      </c>
      <c r="K1635" s="5">
        <v>5360000</v>
      </c>
      <c r="L1635" s="5">
        <v>5660000</v>
      </c>
      <c r="M1635" s="7">
        <v>1761.8</v>
      </c>
      <c r="N1635" s="5">
        <v>54100000</v>
      </c>
      <c r="O1635" s="5">
        <v>57100000</v>
      </c>
      <c r="P1635" s="3">
        <v>0.97916666666666663</v>
      </c>
    </row>
    <row r="1636" spans="1:16" x14ac:dyDescent="0.25">
      <c r="A1636" s="2">
        <v>44719</v>
      </c>
      <c r="B1636" s="2">
        <v>44748</v>
      </c>
      <c r="C1636" t="str">
        <f>+"Tuáº§n "&amp;WEEKNUM(B1636)</f>
        <v>Tuáº§n 28</v>
      </c>
      <c r="D1636" t="s">
        <v>19</v>
      </c>
      <c r="E1636" t="s">
        <v>17</v>
      </c>
      <c r="F1636" s="5">
        <v>52800000</v>
      </c>
      <c r="G1636" s="5">
        <v>55800000</v>
      </c>
      <c r="H1636" s="5">
        <f>+(M1636*26000)/0.829426</f>
        <v>54383875.113632798</v>
      </c>
      <c r="I1636" s="5">
        <f>+G1636-H1636</f>
        <v>1416124.8863672018</v>
      </c>
      <c r="J1636" s="5">
        <v>3000000</v>
      </c>
      <c r="K1636" s="5">
        <v>5280000</v>
      </c>
      <c r="L1636" s="5">
        <v>5580000</v>
      </c>
      <c r="M1636" s="7">
        <v>1734.9</v>
      </c>
      <c r="N1636" s="5">
        <v>53300000</v>
      </c>
      <c r="O1636" s="5">
        <v>56300000</v>
      </c>
      <c r="P1636" s="3">
        <v>0.97916666666666663</v>
      </c>
    </row>
    <row r="1637" spans="1:16" x14ac:dyDescent="0.25">
      <c r="A1637" s="2">
        <v>44749</v>
      </c>
      <c r="B1637" s="2">
        <v>44749</v>
      </c>
      <c r="C1637" t="str">
        <f>+"Tuáº§n "&amp;WEEKNUM(B1637)</f>
        <v>Tuáº§n 28</v>
      </c>
      <c r="D1637" t="s">
        <v>20</v>
      </c>
      <c r="E1637" t="s">
        <v>17</v>
      </c>
      <c r="F1637" s="5">
        <v>52900000</v>
      </c>
      <c r="G1637" s="5">
        <v>55900000</v>
      </c>
      <c r="H1637" s="5">
        <f>+(M1637*26000)/0.829426</f>
        <v>54477916.052788317</v>
      </c>
      <c r="I1637" s="5">
        <f>+G1637-H1637</f>
        <v>1422083.9472116828</v>
      </c>
      <c r="J1637" s="5">
        <v>3000000</v>
      </c>
      <c r="K1637" s="5">
        <v>5290000</v>
      </c>
      <c r="L1637" s="5">
        <v>5590000</v>
      </c>
      <c r="M1637" s="7">
        <v>1737.9</v>
      </c>
      <c r="N1637" s="5">
        <v>53400000</v>
      </c>
      <c r="O1637" s="5">
        <v>56400000</v>
      </c>
      <c r="P1637" s="3">
        <v>0.97916666666666663</v>
      </c>
    </row>
    <row r="1638" spans="1:16" x14ac:dyDescent="0.25">
      <c r="A1638" s="2">
        <v>44780</v>
      </c>
      <c r="B1638" s="2">
        <v>44750</v>
      </c>
      <c r="C1638" t="str">
        <f>+"Tuáº§n "&amp;WEEKNUM(B1638)</f>
        <v>Tuáº§n 28</v>
      </c>
      <c r="D1638" t="s">
        <v>21</v>
      </c>
      <c r="E1638" t="s">
        <v>17</v>
      </c>
      <c r="F1638" s="5">
        <v>52900000</v>
      </c>
      <c r="G1638" s="5">
        <v>55900000</v>
      </c>
      <c r="H1638" s="5">
        <f>+(M1638*26000)/0.829426</f>
        <v>54562552.898028277</v>
      </c>
      <c r="I1638" s="5">
        <f>+G1638-H1638</f>
        <v>1337447.1019717231</v>
      </c>
      <c r="J1638" s="5">
        <v>3000000</v>
      </c>
      <c r="K1638" s="5">
        <v>5290000</v>
      </c>
      <c r="L1638" s="5">
        <v>5590000</v>
      </c>
      <c r="M1638" s="7">
        <v>1740.6</v>
      </c>
      <c r="N1638" s="5">
        <v>53400000</v>
      </c>
      <c r="O1638" s="5">
        <v>56400000</v>
      </c>
      <c r="P1638" s="3">
        <v>0.97916666666666663</v>
      </c>
    </row>
    <row r="1639" spans="1:16" x14ac:dyDescent="0.25">
      <c r="A1639" s="2">
        <v>44872</v>
      </c>
      <c r="B1639" s="2">
        <v>44753</v>
      </c>
      <c r="C1639" t="str">
        <f>+"Tuáº§n "&amp;WEEKNUM(B1639)</f>
        <v>Tuáº§n 29</v>
      </c>
      <c r="D1639" t="s">
        <v>16</v>
      </c>
      <c r="E1639" t="s">
        <v>17</v>
      </c>
      <c r="F1639" s="5">
        <v>52600000</v>
      </c>
      <c r="G1639" s="5">
        <v>55600000</v>
      </c>
      <c r="H1639" s="5">
        <f>+(M1639*26000)/0.829426</f>
        <v>54230274.913012132</v>
      </c>
      <c r="I1639" s="5">
        <f>+G1639-H1639</f>
        <v>1369725.086987868</v>
      </c>
      <c r="J1639" s="5">
        <v>3000000</v>
      </c>
      <c r="K1639" s="5">
        <v>5260000</v>
      </c>
      <c r="L1639" s="5">
        <v>5560000</v>
      </c>
      <c r="M1639" s="7">
        <v>1730</v>
      </c>
      <c r="N1639" s="5">
        <v>53100000</v>
      </c>
      <c r="O1639" s="5">
        <v>56100000</v>
      </c>
      <c r="P1639" s="3">
        <v>0.97916666666666663</v>
      </c>
    </row>
    <row r="1640" spans="1:16" x14ac:dyDescent="0.25">
      <c r="A1640" s="2">
        <v>44902</v>
      </c>
      <c r="B1640" s="2">
        <v>44754</v>
      </c>
      <c r="C1640" t="str">
        <f>+"Tuáº§n "&amp;WEEKNUM(B1640)</f>
        <v>Tuáº§n 29</v>
      </c>
      <c r="D1640" t="s">
        <v>18</v>
      </c>
      <c r="E1640" t="s">
        <v>17</v>
      </c>
      <c r="F1640" s="5">
        <v>52400000</v>
      </c>
      <c r="G1640" s="5">
        <v>55400000</v>
      </c>
      <c r="H1640" s="5">
        <f>+(M1640*26000)/0.829426</f>
        <v>54020250.148898154</v>
      </c>
      <c r="I1640" s="5">
        <f>+G1640-H1640</f>
        <v>1379749.8511018455</v>
      </c>
      <c r="J1640" s="5">
        <v>3000000</v>
      </c>
      <c r="K1640" s="5">
        <v>5240000</v>
      </c>
      <c r="L1640" s="5">
        <v>5540000</v>
      </c>
      <c r="M1640" s="7">
        <v>1723.3</v>
      </c>
      <c r="N1640" s="5">
        <v>52900000</v>
      </c>
      <c r="O1640" s="5">
        <v>55900000</v>
      </c>
      <c r="P1640" s="3">
        <v>0.97916666666666663</v>
      </c>
    </row>
    <row r="1641" spans="1:16" x14ac:dyDescent="0.25">
      <c r="A1641" t="s">
        <v>1009</v>
      </c>
      <c r="B1641" s="2">
        <v>44755</v>
      </c>
      <c r="C1641" t="str">
        <f>+"Tuáº§n "&amp;WEEKNUM(B1641)</f>
        <v>Tuáº§n 29</v>
      </c>
      <c r="D1641" t="s">
        <v>19</v>
      </c>
      <c r="E1641" t="s">
        <v>17</v>
      </c>
      <c r="F1641" s="5">
        <v>52700000</v>
      </c>
      <c r="G1641" s="5">
        <v>55700000</v>
      </c>
      <c r="H1641" s="5">
        <f>+(M1641*26000)/0.829426</f>
        <v>54361932.227829851</v>
      </c>
      <c r="I1641" s="5">
        <f>+G1641-H1641</f>
        <v>1338067.7721701488</v>
      </c>
      <c r="J1641" s="5">
        <v>3000000</v>
      </c>
      <c r="K1641" s="5">
        <v>5270000</v>
      </c>
      <c r="L1641" s="5">
        <v>5570000</v>
      </c>
      <c r="M1641" s="7">
        <v>1734.2</v>
      </c>
      <c r="N1641" s="5">
        <v>53200000</v>
      </c>
      <c r="O1641" s="5">
        <v>56200000</v>
      </c>
      <c r="P1641" s="3">
        <v>0.97916666666666663</v>
      </c>
    </row>
    <row r="1642" spans="1:16" x14ac:dyDescent="0.25">
      <c r="A1642" t="s">
        <v>1010</v>
      </c>
      <c r="B1642" s="2">
        <v>44756</v>
      </c>
      <c r="C1642" t="str">
        <f>+"Tuáº§n "&amp;WEEKNUM(B1642)</f>
        <v>Tuáº§n 29</v>
      </c>
      <c r="D1642" t="s">
        <v>20</v>
      </c>
      <c r="E1642" t="s">
        <v>17</v>
      </c>
      <c r="F1642" s="5">
        <v>51800000</v>
      </c>
      <c r="G1642" s="5">
        <v>54800000</v>
      </c>
      <c r="H1642" s="5">
        <f>+(M1642*26000)/0.829426</f>
        <v>53430926.93019028</v>
      </c>
      <c r="I1642" s="5">
        <f>+G1642-H1642</f>
        <v>1369073.0698097199</v>
      </c>
      <c r="J1642" s="5">
        <v>3000000</v>
      </c>
      <c r="K1642" s="5">
        <v>5180000</v>
      </c>
      <c r="L1642" s="5">
        <v>5480000</v>
      </c>
      <c r="M1642" s="7">
        <v>1704.5</v>
      </c>
      <c r="N1642" s="5">
        <v>52300000</v>
      </c>
      <c r="O1642" s="5">
        <v>55300000</v>
      </c>
      <c r="P1642" s="3">
        <v>0.97916666666666663</v>
      </c>
    </row>
    <row r="1643" spans="1:16" x14ac:dyDescent="0.25">
      <c r="A1643" t="s">
        <v>1011</v>
      </c>
      <c r="B1643" s="2">
        <v>44757</v>
      </c>
      <c r="C1643" t="str">
        <f>+"Tuáº§n "&amp;WEEKNUM(B1643)</f>
        <v>Tuáº§n 29</v>
      </c>
      <c r="D1643" t="s">
        <v>21</v>
      </c>
      <c r="E1643" t="s">
        <v>17</v>
      </c>
      <c r="F1643" s="5">
        <v>51700000</v>
      </c>
      <c r="G1643" s="5">
        <v>54700000</v>
      </c>
      <c r="H1643" s="5">
        <f>+(M1643*26000)/0.829426</f>
        <v>53365098.272781417</v>
      </c>
      <c r="I1643" s="5">
        <f>+G1643-H1643</f>
        <v>1334901.7272185832</v>
      </c>
      <c r="J1643" s="5">
        <v>3000000</v>
      </c>
      <c r="K1643" s="5">
        <v>5170000</v>
      </c>
      <c r="L1643" s="5">
        <v>5470000</v>
      </c>
      <c r="M1643" s="7">
        <v>1702.4</v>
      </c>
      <c r="N1643" s="5">
        <v>52200000</v>
      </c>
      <c r="O1643" s="5">
        <v>55200000</v>
      </c>
      <c r="P1643" s="3">
        <v>0.97916666666666663</v>
      </c>
    </row>
    <row r="1644" spans="1:16" x14ac:dyDescent="0.25">
      <c r="A1644" t="s">
        <v>1012</v>
      </c>
      <c r="B1644" s="2">
        <v>44760</v>
      </c>
      <c r="C1644" t="str">
        <f>+"Tuáº§n "&amp;WEEKNUM(B1644)</f>
        <v>Tuáº§n 30</v>
      </c>
      <c r="D1644" t="s">
        <v>16</v>
      </c>
      <c r="E1644" t="s">
        <v>17</v>
      </c>
      <c r="F1644" s="5">
        <v>51900000</v>
      </c>
      <c r="G1644" s="5">
        <v>54900000</v>
      </c>
      <c r="H1644" s="5">
        <f>+(M1644*26000)/0.829426</f>
        <v>53578257.734867245</v>
      </c>
      <c r="I1644" s="5">
        <f>+G1644-H1644</f>
        <v>1321742.265132755</v>
      </c>
      <c r="J1644" s="5">
        <v>3000000</v>
      </c>
      <c r="K1644" s="5">
        <v>5190000</v>
      </c>
      <c r="L1644" s="5">
        <v>5490000</v>
      </c>
      <c r="M1644" s="7">
        <v>1709.2</v>
      </c>
      <c r="N1644" s="5">
        <v>52400000</v>
      </c>
      <c r="O1644" s="5">
        <v>55400000</v>
      </c>
      <c r="P1644" s="3">
        <v>0.97916666666666663</v>
      </c>
    </row>
    <row r="1645" spans="1:16" x14ac:dyDescent="0.25">
      <c r="A1645" t="s">
        <v>1013</v>
      </c>
      <c r="B1645" s="2">
        <v>44761</v>
      </c>
      <c r="C1645" t="str">
        <f>+"Tuáº§n "&amp;WEEKNUM(B1645)</f>
        <v>Tuáº§n 30</v>
      </c>
      <c r="D1645" t="s">
        <v>18</v>
      </c>
      <c r="E1645" t="s">
        <v>17</v>
      </c>
      <c r="F1645" s="5">
        <v>52000000</v>
      </c>
      <c r="G1645" s="5">
        <v>55000000</v>
      </c>
      <c r="H1645" s="5">
        <f>+(M1645*26000)/0.829426</f>
        <v>53603335.31864205</v>
      </c>
      <c r="I1645" s="5">
        <f>+G1645-H1645</f>
        <v>1396664.68135795</v>
      </c>
      <c r="J1645" s="5">
        <v>3000000</v>
      </c>
      <c r="K1645" s="5">
        <v>5200000</v>
      </c>
      <c r="L1645" s="5">
        <v>5500000</v>
      </c>
      <c r="M1645" s="7">
        <v>1710</v>
      </c>
      <c r="N1645" s="5">
        <v>52500000</v>
      </c>
      <c r="O1645" s="5">
        <v>55500000</v>
      </c>
      <c r="P1645" s="3">
        <v>0.97916666666666663</v>
      </c>
    </row>
    <row r="1646" spans="1:16" x14ac:dyDescent="0.25">
      <c r="A1646" t="s">
        <v>1014</v>
      </c>
      <c r="B1646" s="2">
        <v>44762</v>
      </c>
      <c r="C1646" t="str">
        <f>+"Tuáº§n "&amp;WEEKNUM(B1646)</f>
        <v>Tuáº§n 30</v>
      </c>
      <c r="D1646" t="s">
        <v>19</v>
      </c>
      <c r="E1646" t="s">
        <v>17</v>
      </c>
      <c r="F1646" s="5">
        <v>51600000</v>
      </c>
      <c r="G1646" s="5">
        <v>54600000</v>
      </c>
      <c r="H1646" s="5">
        <f>+(M1646*26000)/0.829426</f>
        <v>53274192.031597756</v>
      </c>
      <c r="I1646" s="5">
        <f>+G1646-H1646</f>
        <v>1325807.9684022442</v>
      </c>
      <c r="J1646" s="5">
        <v>3000000</v>
      </c>
      <c r="K1646" s="5">
        <v>5160000</v>
      </c>
      <c r="L1646" s="5">
        <v>5460000</v>
      </c>
      <c r="M1646" s="7">
        <v>1699.5</v>
      </c>
      <c r="N1646" s="5">
        <v>52100000</v>
      </c>
      <c r="O1646" s="5">
        <v>55100000</v>
      </c>
      <c r="P1646" s="3">
        <v>0.97916666666666663</v>
      </c>
    </row>
    <row r="1647" spans="1:16" x14ac:dyDescent="0.25">
      <c r="A1647" t="s">
        <v>1015</v>
      </c>
      <c r="B1647" s="2">
        <v>44763</v>
      </c>
      <c r="C1647" t="str">
        <f>+"Tuáº§n "&amp;WEEKNUM(B1647)</f>
        <v>Tuáº§n 30</v>
      </c>
      <c r="D1647" t="s">
        <v>20</v>
      </c>
      <c r="E1647" t="s">
        <v>17</v>
      </c>
      <c r="F1647" s="5">
        <v>52000000</v>
      </c>
      <c r="G1647" s="5">
        <v>55000000</v>
      </c>
      <c r="H1647" s="5">
        <f>+(M1647*26000)/0.829426</f>
        <v>53687972.16388201</v>
      </c>
      <c r="I1647" s="5">
        <f>+G1647-H1647</f>
        <v>1312027.8361179903</v>
      </c>
      <c r="J1647" s="5">
        <v>3000000</v>
      </c>
      <c r="K1647" s="5">
        <v>5200000</v>
      </c>
      <c r="L1647" s="5">
        <v>5500000</v>
      </c>
      <c r="M1647" s="7">
        <v>1712.7</v>
      </c>
      <c r="N1647" s="5">
        <v>52500000</v>
      </c>
      <c r="O1647" s="5">
        <v>55500000</v>
      </c>
      <c r="P1647" s="3">
        <v>0.97916666666666663</v>
      </c>
    </row>
    <row r="1648" spans="1:16" x14ac:dyDescent="0.25">
      <c r="A1648" t="s">
        <v>1016</v>
      </c>
      <c r="B1648" s="2">
        <v>44764</v>
      </c>
      <c r="C1648" t="str">
        <f>+"Tuáº§n "&amp;WEEKNUM(B1648)</f>
        <v>Tuáº§n 30</v>
      </c>
      <c r="D1648" t="s">
        <v>21</v>
      </c>
      <c r="E1648" t="s">
        <v>17</v>
      </c>
      <c r="F1648" s="5">
        <v>52500000</v>
      </c>
      <c r="G1648" s="5">
        <v>55500000</v>
      </c>
      <c r="H1648" s="5">
        <f>+(M1648*26000)/0.829426</f>
        <v>54139368.671828471</v>
      </c>
      <c r="I1648" s="5">
        <f>+G1648-H1648</f>
        <v>1360631.3281715289</v>
      </c>
      <c r="J1648" s="5">
        <v>3000000</v>
      </c>
      <c r="K1648" s="5">
        <v>5250000</v>
      </c>
      <c r="L1648" s="5">
        <v>5550000</v>
      </c>
      <c r="M1648" s="7">
        <v>1727.1</v>
      </c>
      <c r="N1648" s="5">
        <v>53000000</v>
      </c>
      <c r="O1648" s="5">
        <v>56000000</v>
      </c>
      <c r="P1648" s="3">
        <v>0.97916666666666663</v>
      </c>
    </row>
    <row r="1649" spans="1:16" x14ac:dyDescent="0.25">
      <c r="A1649" t="s">
        <v>1017</v>
      </c>
      <c r="B1649" s="2">
        <v>44767</v>
      </c>
      <c r="C1649" t="str">
        <f>+"Tuáº§n "&amp;WEEKNUM(B1649)</f>
        <v>Tuáº§n 31</v>
      </c>
      <c r="D1649" t="s">
        <v>16</v>
      </c>
      <c r="E1649" t="s">
        <v>17</v>
      </c>
      <c r="F1649" s="5">
        <v>52200000</v>
      </c>
      <c r="G1649" s="5">
        <v>55200000</v>
      </c>
      <c r="H1649" s="5">
        <f>+(M1649*26000)/0.829426</f>
        <v>53885458.136108585</v>
      </c>
      <c r="I1649" s="5">
        <f>+G1649-H1649</f>
        <v>1314541.8638914153</v>
      </c>
      <c r="J1649" s="5">
        <v>3000000</v>
      </c>
      <c r="K1649" s="5">
        <v>5220000</v>
      </c>
      <c r="L1649" s="5">
        <v>5520000</v>
      </c>
      <c r="M1649" s="7">
        <v>1719</v>
      </c>
      <c r="N1649" s="5">
        <v>52700000</v>
      </c>
      <c r="O1649" s="5">
        <v>55700000</v>
      </c>
      <c r="P1649" s="3">
        <v>0.97916666666666663</v>
      </c>
    </row>
    <row r="1650" spans="1:16" x14ac:dyDescent="0.25">
      <c r="A1650" t="s">
        <v>1018</v>
      </c>
      <c r="B1650" s="2">
        <v>44768</v>
      </c>
      <c r="C1650" t="str">
        <f>+"Tuáº§n "&amp;WEEKNUM(B1650)</f>
        <v>Tuáº§n 31</v>
      </c>
      <c r="D1650" t="s">
        <v>18</v>
      </c>
      <c r="E1650" t="s">
        <v>17</v>
      </c>
      <c r="F1650" s="5">
        <v>52200000</v>
      </c>
      <c r="G1650" s="5">
        <v>55200000</v>
      </c>
      <c r="H1650" s="5">
        <f>+(M1650*26000)/0.829426</f>
        <v>53844707.062474534</v>
      </c>
      <c r="I1650" s="5">
        <f>+G1650-H1650</f>
        <v>1355292.9375254661</v>
      </c>
      <c r="J1650" s="5">
        <v>3000000</v>
      </c>
      <c r="K1650" s="5">
        <v>5220000</v>
      </c>
      <c r="L1650" s="5">
        <v>5520000</v>
      </c>
      <c r="M1650" s="7">
        <v>1717.7</v>
      </c>
      <c r="N1650" s="5">
        <v>52700000</v>
      </c>
      <c r="O1650" s="5">
        <v>55700000</v>
      </c>
      <c r="P1650" s="3">
        <v>0.97916666666666663</v>
      </c>
    </row>
    <row r="1651" spans="1:16" x14ac:dyDescent="0.25">
      <c r="A1651" t="s">
        <v>1019</v>
      </c>
      <c r="B1651" s="2">
        <v>44769</v>
      </c>
      <c r="C1651" t="str">
        <f>+"Tuáº§n "&amp;WEEKNUM(B1651)</f>
        <v>Tuáº§n 31</v>
      </c>
      <c r="D1651" t="s">
        <v>19</v>
      </c>
      <c r="E1651" t="s">
        <v>17</v>
      </c>
      <c r="F1651" s="5">
        <v>52200000</v>
      </c>
      <c r="G1651" s="5">
        <v>55200000</v>
      </c>
      <c r="H1651" s="5">
        <f>+(M1651*26000)/0.829426</f>
        <v>53888592.834080435</v>
      </c>
      <c r="I1651" s="5">
        <f>+G1651-H1651</f>
        <v>1311407.1659195647</v>
      </c>
      <c r="J1651" s="5">
        <v>3000000</v>
      </c>
      <c r="K1651" s="5">
        <v>5220000</v>
      </c>
      <c r="L1651" s="5">
        <v>5520000</v>
      </c>
      <c r="M1651" s="7">
        <v>1719.1</v>
      </c>
      <c r="N1651" s="5">
        <v>52700000</v>
      </c>
      <c r="O1651" s="5">
        <v>55700000</v>
      </c>
      <c r="P1651" s="3">
        <v>0.97916666666666663</v>
      </c>
    </row>
    <row r="1652" spans="1:16" x14ac:dyDescent="0.25">
      <c r="A1652" t="s">
        <v>1020</v>
      </c>
      <c r="B1652" s="2">
        <v>44770</v>
      </c>
      <c r="C1652" t="str">
        <f>+"Tuáº§n "&amp;WEEKNUM(B1652)</f>
        <v>Tuáº§n 31</v>
      </c>
      <c r="D1652" t="s">
        <v>20</v>
      </c>
      <c r="E1652" t="s">
        <v>17</v>
      </c>
      <c r="F1652" s="5">
        <v>53300000</v>
      </c>
      <c r="G1652" s="5">
        <v>56300000</v>
      </c>
      <c r="H1652" s="5">
        <f>+(M1652*26000)/0.829426</f>
        <v>54866618.601297766</v>
      </c>
      <c r="I1652" s="5">
        <f>+G1652-H1652</f>
        <v>1433381.398702234</v>
      </c>
      <c r="J1652" s="5">
        <v>3000000</v>
      </c>
      <c r="K1652" s="5">
        <v>5330000</v>
      </c>
      <c r="L1652" s="5">
        <v>5630000</v>
      </c>
      <c r="M1652" s="7">
        <v>1750.3</v>
      </c>
      <c r="N1652" s="5">
        <v>53800000</v>
      </c>
      <c r="O1652" s="5">
        <v>56800000</v>
      </c>
      <c r="P1652" s="3">
        <v>0.97916666666666663</v>
      </c>
    </row>
    <row r="1653" spans="1:16" x14ac:dyDescent="0.25">
      <c r="A1653" t="s">
        <v>1021</v>
      </c>
      <c r="B1653" s="2">
        <v>44771</v>
      </c>
      <c r="C1653" t="str">
        <f>+"Tuáº§n "&amp;WEEKNUM(B1653)</f>
        <v>Tuáº§n 31</v>
      </c>
      <c r="D1653" t="s">
        <v>21</v>
      </c>
      <c r="E1653" t="s">
        <v>17</v>
      </c>
      <c r="F1653" s="5">
        <v>53700000</v>
      </c>
      <c r="G1653" s="5">
        <v>56700000</v>
      </c>
      <c r="H1653" s="5">
        <f>+(M1653*26000)/0.829426</f>
        <v>55261590.545750916</v>
      </c>
      <c r="I1653" s="5">
        <f>+G1653-H1653</f>
        <v>1438409.454249084</v>
      </c>
      <c r="J1653" s="5">
        <v>3000000</v>
      </c>
      <c r="K1653" s="5">
        <v>5370000</v>
      </c>
      <c r="L1653" s="5">
        <v>5670000</v>
      </c>
      <c r="M1653" s="7">
        <v>1762.9</v>
      </c>
      <c r="N1653" s="5">
        <v>54200000</v>
      </c>
      <c r="O1653" s="5">
        <v>57200000</v>
      </c>
      <c r="P1653" s="3">
        <v>0.97916666666666663</v>
      </c>
    </row>
    <row r="1654" spans="1:16" x14ac:dyDescent="0.25">
      <c r="A1654" s="2">
        <v>44569</v>
      </c>
      <c r="B1654" s="2">
        <v>44774</v>
      </c>
      <c r="C1654" t="str">
        <f>+"Tuáº§n "&amp;WEEKNUM(B1654)</f>
        <v>Tuáº§n 32</v>
      </c>
      <c r="D1654" t="s">
        <v>16</v>
      </c>
      <c r="E1654" t="s">
        <v>17</v>
      </c>
      <c r="F1654" s="5">
        <v>53900000</v>
      </c>
      <c r="G1654" s="5">
        <v>56900000</v>
      </c>
      <c r="H1654" s="5">
        <f>+(M1654*26000)/0.829426</f>
        <v>55452807.12203379</v>
      </c>
      <c r="I1654" s="5">
        <f>+G1654-H1654</f>
        <v>1447192.8779662102</v>
      </c>
      <c r="J1654" s="5">
        <v>3000000</v>
      </c>
      <c r="K1654" s="5">
        <v>5390000</v>
      </c>
      <c r="L1654" s="5">
        <v>5690000</v>
      </c>
      <c r="M1654" s="7">
        <v>1769</v>
      </c>
      <c r="N1654" s="5">
        <v>54400000</v>
      </c>
      <c r="O1654" s="5">
        <v>57400000</v>
      </c>
      <c r="P1654" s="3">
        <v>0.97916666666666663</v>
      </c>
    </row>
    <row r="1655" spans="1:16" x14ac:dyDescent="0.25">
      <c r="A1655" s="2">
        <v>44600</v>
      </c>
      <c r="B1655" s="2">
        <v>44775</v>
      </c>
      <c r="C1655" t="str">
        <f>+"Tuáº§n "&amp;WEEKNUM(B1655)</f>
        <v>Tuáº§n 32</v>
      </c>
      <c r="D1655" t="s">
        <v>18</v>
      </c>
      <c r="E1655" t="s">
        <v>17</v>
      </c>
      <c r="F1655" s="5">
        <v>53900000</v>
      </c>
      <c r="G1655" s="5">
        <v>56900000</v>
      </c>
      <c r="H1655" s="5">
        <f>+(M1655*26000)/0.829426</f>
        <v>55518635.779442653</v>
      </c>
      <c r="I1655" s="5">
        <f>+G1655-H1655</f>
        <v>1381364.2205573469</v>
      </c>
      <c r="J1655" s="5">
        <v>3000000</v>
      </c>
      <c r="K1655" s="5">
        <v>5390000</v>
      </c>
      <c r="L1655" s="5">
        <v>5690000</v>
      </c>
      <c r="M1655" s="7">
        <v>1771.1</v>
      </c>
      <c r="N1655" s="5">
        <v>54400000</v>
      </c>
      <c r="O1655" s="5">
        <v>57400000</v>
      </c>
      <c r="P1655" s="3">
        <v>0.97916666666666663</v>
      </c>
    </row>
    <row r="1656" spans="1:16" x14ac:dyDescent="0.25">
      <c r="A1656" s="2">
        <v>44628</v>
      </c>
      <c r="B1656" s="2">
        <v>44776</v>
      </c>
      <c r="C1656" t="str">
        <f>+"Tuáº§n "&amp;WEEKNUM(B1656)</f>
        <v>Tuáº§n 32</v>
      </c>
      <c r="D1656" t="s">
        <v>19</v>
      </c>
      <c r="E1656" t="s">
        <v>17</v>
      </c>
      <c r="F1656" s="5">
        <v>53500000</v>
      </c>
      <c r="G1656" s="5">
        <v>56500000</v>
      </c>
      <c r="H1656" s="5">
        <f>+(M1656*26000)/0.829426</f>
        <v>55107990.34513025</v>
      </c>
      <c r="I1656" s="5">
        <f>+G1656-H1656</f>
        <v>1392009.6548697501</v>
      </c>
      <c r="J1656" s="5">
        <v>3000000</v>
      </c>
      <c r="K1656" s="5">
        <v>5350000</v>
      </c>
      <c r="L1656" s="5">
        <v>5650000</v>
      </c>
      <c r="M1656" s="7">
        <v>1758</v>
      </c>
      <c r="N1656" s="5">
        <v>54000000</v>
      </c>
      <c r="O1656" s="5">
        <v>57000000</v>
      </c>
      <c r="P1656" s="3">
        <v>0.97916666666666663</v>
      </c>
    </row>
    <row r="1657" spans="1:16" x14ac:dyDescent="0.25">
      <c r="A1657" s="2">
        <v>44659</v>
      </c>
      <c r="B1657" s="2">
        <v>44777</v>
      </c>
      <c r="C1657" t="str">
        <f>+"Tuáº§n "&amp;WEEKNUM(B1657)</f>
        <v>Tuáº§n 32</v>
      </c>
      <c r="D1657" t="s">
        <v>20</v>
      </c>
      <c r="E1657" t="s">
        <v>17</v>
      </c>
      <c r="F1657" s="5">
        <v>54500000</v>
      </c>
      <c r="G1657" s="5">
        <v>57500000</v>
      </c>
      <c r="H1657" s="5">
        <f>+(M1657*26000)/0.829426</f>
        <v>56064073.226544626</v>
      </c>
      <c r="I1657" s="5">
        <f>+G1657-H1657</f>
        <v>1435926.7734553739</v>
      </c>
      <c r="J1657" s="5">
        <v>3000000</v>
      </c>
      <c r="K1657" s="5">
        <v>5450000</v>
      </c>
      <c r="L1657" s="5">
        <v>5750000</v>
      </c>
      <c r="M1657" s="7">
        <v>1788.5</v>
      </c>
      <c r="N1657" s="5">
        <v>55000000</v>
      </c>
      <c r="O1657" s="5">
        <v>58000000</v>
      </c>
      <c r="P1657" s="3">
        <v>0.97916666666666663</v>
      </c>
    </row>
    <row r="1658" spans="1:16" x14ac:dyDescent="0.25">
      <c r="A1658" s="2">
        <v>44689</v>
      </c>
      <c r="B1658" s="2">
        <v>44778</v>
      </c>
      <c r="C1658" t="str">
        <f>+"Tuáº§n "&amp;WEEKNUM(B1658)</f>
        <v>Tuáº§n 32</v>
      </c>
      <c r="D1658" t="s">
        <v>21</v>
      </c>
      <c r="E1658" t="s">
        <v>17</v>
      </c>
      <c r="F1658" s="5">
        <v>54000000</v>
      </c>
      <c r="G1658" s="5">
        <v>57000000</v>
      </c>
      <c r="H1658" s="5">
        <f>+(M1658*26000)/0.829426</f>
        <v>55575060.342935957</v>
      </c>
      <c r="I1658" s="5">
        <f>+G1658-H1658</f>
        <v>1424939.657064043</v>
      </c>
      <c r="J1658" s="5">
        <v>3000000</v>
      </c>
      <c r="K1658" s="5">
        <v>5400000</v>
      </c>
      <c r="L1658" s="5">
        <v>5700000</v>
      </c>
      <c r="M1658" s="7">
        <v>1772.9</v>
      </c>
      <c r="N1658" s="5">
        <v>54500000</v>
      </c>
      <c r="O1658" s="5">
        <v>57500000</v>
      </c>
      <c r="P1658" s="3">
        <v>0.97916666666666663</v>
      </c>
    </row>
    <row r="1659" spans="1:16" x14ac:dyDescent="0.25">
      <c r="A1659" s="2">
        <v>44781</v>
      </c>
      <c r="B1659" s="2">
        <v>44781</v>
      </c>
      <c r="C1659" t="str">
        <f>+"Tuáº§n "&amp;WEEKNUM(B1659)</f>
        <v>Tuáº§n 33</v>
      </c>
      <c r="D1659" t="s">
        <v>16</v>
      </c>
      <c r="E1659" t="s">
        <v>17</v>
      </c>
      <c r="F1659" s="5">
        <v>54400000</v>
      </c>
      <c r="G1659" s="5">
        <v>57400000</v>
      </c>
      <c r="H1659" s="5">
        <f>+(M1659*26000)/0.829426</f>
        <v>56010783.361023165</v>
      </c>
      <c r="I1659" s="5">
        <f>+G1659-H1659</f>
        <v>1389216.6389768347</v>
      </c>
      <c r="J1659" s="5">
        <v>3000000</v>
      </c>
      <c r="K1659" s="5">
        <v>5440000</v>
      </c>
      <c r="L1659" s="5">
        <v>5740000</v>
      </c>
      <c r="M1659" s="7">
        <v>1786.8</v>
      </c>
      <c r="N1659" s="5">
        <v>54900000</v>
      </c>
      <c r="O1659" s="5">
        <v>57900000</v>
      </c>
      <c r="P1659" s="3">
        <v>0.97916666666666663</v>
      </c>
    </row>
    <row r="1660" spans="1:16" x14ac:dyDescent="0.25">
      <c r="A1660" s="2">
        <v>44812</v>
      </c>
      <c r="B1660" s="2">
        <v>44782</v>
      </c>
      <c r="C1660" t="str">
        <f>+"Tuáº§n "&amp;WEEKNUM(B1660)</f>
        <v>Tuáº§n 33</v>
      </c>
      <c r="D1660" t="s">
        <v>18</v>
      </c>
      <c r="E1660" t="s">
        <v>17</v>
      </c>
      <c r="F1660" s="5">
        <v>54700000</v>
      </c>
      <c r="G1660" s="5">
        <v>57700000</v>
      </c>
      <c r="H1660" s="5">
        <f>+(M1660*26000)/0.829426</f>
        <v>56236481.614996396</v>
      </c>
      <c r="I1660" s="5">
        <f>+G1660-H1660</f>
        <v>1463518.385003604</v>
      </c>
      <c r="J1660" s="5">
        <v>3000000</v>
      </c>
      <c r="K1660" s="5">
        <v>5470000</v>
      </c>
      <c r="L1660" s="5">
        <v>5770000</v>
      </c>
      <c r="M1660" s="7">
        <v>1794</v>
      </c>
      <c r="N1660" s="5">
        <v>55200000</v>
      </c>
      <c r="O1660" s="5">
        <v>58200000</v>
      </c>
      <c r="P1660" s="3">
        <v>0.97916666666666663</v>
      </c>
    </row>
    <row r="1661" spans="1:16" x14ac:dyDescent="0.25">
      <c r="A1661" s="2">
        <v>44842</v>
      </c>
      <c r="B1661" s="2">
        <v>44783</v>
      </c>
      <c r="C1661" t="str">
        <f>+"Tuáº§n "&amp;WEEKNUM(B1661)</f>
        <v>Tuáº§n 33</v>
      </c>
      <c r="D1661" t="s">
        <v>19</v>
      </c>
      <c r="E1661" t="s">
        <v>17</v>
      </c>
      <c r="F1661" s="5">
        <v>54700000</v>
      </c>
      <c r="G1661" s="5">
        <v>57700000</v>
      </c>
      <c r="H1661" s="5">
        <f>+(M1661*26000)/0.829426</f>
        <v>56286636.782545999</v>
      </c>
      <c r="I1661" s="5">
        <f>+G1661-H1661</f>
        <v>1413363.2174540013</v>
      </c>
      <c r="J1661" s="5">
        <v>3000000</v>
      </c>
      <c r="K1661" s="5">
        <v>5470000</v>
      </c>
      <c r="L1661" s="5">
        <v>5770000</v>
      </c>
      <c r="M1661" s="7">
        <v>1795.6</v>
      </c>
      <c r="N1661" s="5">
        <v>55200000</v>
      </c>
      <c r="O1661" s="5">
        <v>58200000</v>
      </c>
      <c r="P1661" s="3">
        <v>0.97916666666666663</v>
      </c>
    </row>
    <row r="1662" spans="1:16" x14ac:dyDescent="0.25">
      <c r="A1662" s="2">
        <v>44873</v>
      </c>
      <c r="B1662" s="2">
        <v>44784</v>
      </c>
      <c r="C1662" t="str">
        <f>+"Tuáº§n "&amp;WEEKNUM(B1662)</f>
        <v>Tuáº§n 33</v>
      </c>
      <c r="D1662" t="s">
        <v>20</v>
      </c>
      <c r="E1662" t="s">
        <v>17</v>
      </c>
      <c r="F1662" s="5">
        <v>54500000</v>
      </c>
      <c r="G1662" s="5">
        <v>57500000</v>
      </c>
      <c r="H1662" s="5">
        <f>+(M1662*26000)/0.829426</f>
        <v>56101689.602206826</v>
      </c>
      <c r="I1662" s="5">
        <f>+G1662-H1662</f>
        <v>1398310.3977931738</v>
      </c>
      <c r="J1662" s="5">
        <v>3000000</v>
      </c>
      <c r="K1662" s="5">
        <v>5450000</v>
      </c>
      <c r="L1662" s="5">
        <v>5750000</v>
      </c>
      <c r="M1662" s="7">
        <v>1789.7</v>
      </c>
      <c r="N1662" s="5">
        <v>55000000</v>
      </c>
      <c r="O1662" s="5">
        <v>58000000</v>
      </c>
      <c r="P1662" s="3">
        <v>0.97916666666666663</v>
      </c>
    </row>
    <row r="1663" spans="1:16" x14ac:dyDescent="0.25">
      <c r="A1663" s="2">
        <v>44903</v>
      </c>
      <c r="B1663" s="2">
        <v>44785</v>
      </c>
      <c r="C1663" t="str">
        <f>+"Tuáº§n "&amp;WEEKNUM(B1663)</f>
        <v>Tuáº§n 33</v>
      </c>
      <c r="D1663" t="s">
        <v>21</v>
      </c>
      <c r="E1663" t="s">
        <v>17</v>
      </c>
      <c r="F1663" s="5">
        <v>54800000</v>
      </c>
      <c r="G1663" s="5">
        <v>57800000</v>
      </c>
      <c r="H1663" s="5">
        <f>+(M1663*26000)/0.829426</f>
        <v>56380677.721701518</v>
      </c>
      <c r="I1663" s="5">
        <f>+G1663-H1663</f>
        <v>1419322.2782984823</v>
      </c>
      <c r="J1663" s="5">
        <v>3000000</v>
      </c>
      <c r="K1663" s="5">
        <v>5480000</v>
      </c>
      <c r="L1663" s="5">
        <v>5780000</v>
      </c>
      <c r="M1663" s="7">
        <v>1798.6</v>
      </c>
      <c r="N1663" s="5">
        <v>55300000</v>
      </c>
      <c r="O1663" s="5">
        <v>58300000</v>
      </c>
      <c r="P1663" s="3">
        <v>0.97916666666666663</v>
      </c>
    </row>
    <row r="1664" spans="1:16" x14ac:dyDescent="0.25">
      <c r="A1664" t="s">
        <v>1022</v>
      </c>
      <c r="B1664" s="2">
        <v>44788</v>
      </c>
      <c r="C1664" t="str">
        <f>+"Tuáº§n "&amp;WEEKNUM(B1664)</f>
        <v>Tuáº§n 34</v>
      </c>
      <c r="D1664" t="s">
        <v>16</v>
      </c>
      <c r="E1664" t="s">
        <v>17</v>
      </c>
      <c r="F1664" s="5">
        <v>54300000</v>
      </c>
      <c r="G1664" s="5">
        <v>57300000</v>
      </c>
      <c r="H1664" s="5">
        <f>+(M1664*26000)/0.829426</f>
        <v>55841509.670543246</v>
      </c>
      <c r="I1664" s="5">
        <f>+G1664-H1664</f>
        <v>1458490.329456754</v>
      </c>
      <c r="J1664" s="5">
        <v>3000000</v>
      </c>
      <c r="K1664" s="5">
        <v>5430000</v>
      </c>
      <c r="L1664" s="5">
        <v>5730000</v>
      </c>
      <c r="M1664" s="7">
        <v>1781.4</v>
      </c>
      <c r="N1664" s="5">
        <v>54800000</v>
      </c>
      <c r="O1664" s="5">
        <v>57800000</v>
      </c>
      <c r="P1664" s="3">
        <v>0.97916666666666663</v>
      </c>
    </row>
    <row r="1665" spans="1:16" x14ac:dyDescent="0.25">
      <c r="A1665" t="s">
        <v>1023</v>
      </c>
      <c r="B1665" s="2">
        <v>44789</v>
      </c>
      <c r="C1665" t="str">
        <f>+"Tuáº§n "&amp;WEEKNUM(B1665)</f>
        <v>Tuáº§n 34</v>
      </c>
      <c r="D1665" t="s">
        <v>18</v>
      </c>
      <c r="E1665" t="s">
        <v>17</v>
      </c>
      <c r="F1665" s="5">
        <v>54000000</v>
      </c>
      <c r="G1665" s="5">
        <v>57000000</v>
      </c>
      <c r="H1665" s="5">
        <f>+(M1665*26000)/0.829426</f>
        <v>55584464.436851509</v>
      </c>
      <c r="I1665" s="5">
        <f>+G1665-H1665</f>
        <v>1415535.5631484911</v>
      </c>
      <c r="J1665" s="5">
        <v>3000000</v>
      </c>
      <c r="K1665" s="5">
        <v>5400000</v>
      </c>
      <c r="L1665" s="5">
        <v>5700000</v>
      </c>
      <c r="M1665" s="7">
        <v>1773.2</v>
      </c>
      <c r="N1665" s="5">
        <v>54500000</v>
      </c>
      <c r="O1665" s="5">
        <v>57500000</v>
      </c>
      <c r="P1665" s="3">
        <v>0.97916666666666663</v>
      </c>
    </row>
    <row r="1666" spans="1:16" x14ac:dyDescent="0.25">
      <c r="A1666" t="s">
        <v>1024</v>
      </c>
      <c r="B1666" s="2">
        <v>44790</v>
      </c>
      <c r="C1666" t="str">
        <f>+"Tuáº§n "&amp;WEEKNUM(B1666)</f>
        <v>Tuáº§n 34</v>
      </c>
      <c r="D1666" t="s">
        <v>19</v>
      </c>
      <c r="E1666" t="s">
        <v>17</v>
      </c>
      <c r="F1666" s="5">
        <v>53600000</v>
      </c>
      <c r="G1666" s="5">
        <v>56600000</v>
      </c>
      <c r="H1666" s="5">
        <f>+(M1666*26000)/0.829426</f>
        <v>55180088.398482807</v>
      </c>
      <c r="I1666" s="5">
        <f>+G1666-H1666</f>
        <v>1419911.601517193</v>
      </c>
      <c r="J1666" s="5">
        <v>3000000</v>
      </c>
      <c r="K1666" s="5">
        <v>5360000</v>
      </c>
      <c r="L1666" s="5">
        <v>5660000</v>
      </c>
      <c r="M1666" s="7">
        <v>1760.3</v>
      </c>
      <c r="N1666" s="5">
        <v>54100000</v>
      </c>
      <c r="O1666" s="5">
        <v>57100000</v>
      </c>
      <c r="P1666" s="3">
        <v>0.97916666666666663</v>
      </c>
    </row>
    <row r="1667" spans="1:16" x14ac:dyDescent="0.25">
      <c r="A1667" t="s">
        <v>1025</v>
      </c>
      <c r="B1667" s="2">
        <v>44791</v>
      </c>
      <c r="C1667" t="str">
        <f>+"Tuáº§n "&amp;WEEKNUM(B1667)</f>
        <v>Tuáº§n 34</v>
      </c>
      <c r="D1667" t="s">
        <v>20</v>
      </c>
      <c r="E1667" t="s">
        <v>17</v>
      </c>
      <c r="F1667" s="5">
        <v>53400000</v>
      </c>
      <c r="G1667" s="5">
        <v>56400000</v>
      </c>
      <c r="H1667" s="5">
        <f>+(M1667*26000)/0.829426</f>
        <v>55023353.499890283</v>
      </c>
      <c r="I1667" s="5">
        <f>+G1667-H1667</f>
        <v>1376646.5001097172</v>
      </c>
      <c r="J1667" s="5">
        <v>3000000</v>
      </c>
      <c r="K1667" s="5">
        <v>5340000</v>
      </c>
      <c r="L1667" s="5">
        <v>5640000</v>
      </c>
      <c r="M1667" s="7">
        <v>1755.3</v>
      </c>
      <c r="N1667" s="5">
        <v>53900000</v>
      </c>
      <c r="O1667" s="5">
        <v>56900000</v>
      </c>
      <c r="P1667" s="3">
        <v>0.97916666666666663</v>
      </c>
    </row>
    <row r="1668" spans="1:16" x14ac:dyDescent="0.25">
      <c r="A1668" t="s">
        <v>1026</v>
      </c>
      <c r="B1668" s="2">
        <v>44792</v>
      </c>
      <c r="C1668" t="str">
        <f>+"Tuáº§n "&amp;WEEKNUM(B1668)</f>
        <v>Tuáº§n 34</v>
      </c>
      <c r="D1668" t="s">
        <v>21</v>
      </c>
      <c r="E1668" t="s">
        <v>17</v>
      </c>
      <c r="F1668" s="5">
        <v>53200000</v>
      </c>
      <c r="G1668" s="5">
        <v>56200000</v>
      </c>
      <c r="H1668" s="5">
        <f>+(M1668*26000)/0.829426</f>
        <v>54781981.756057806</v>
      </c>
      <c r="I1668" s="5">
        <f>+G1668-H1668</f>
        <v>1418018.2439421937</v>
      </c>
      <c r="J1668" s="5">
        <v>3000000</v>
      </c>
      <c r="K1668" s="5">
        <v>5320000</v>
      </c>
      <c r="L1668" s="5">
        <v>5620000</v>
      </c>
      <c r="M1668" s="7">
        <v>1747.6</v>
      </c>
      <c r="N1668" s="5">
        <v>53700000</v>
      </c>
      <c r="O1668" s="5">
        <v>56700000</v>
      </c>
      <c r="P1668" s="3">
        <v>0.97916666666666663</v>
      </c>
    </row>
    <row r="1669" spans="1:16" x14ac:dyDescent="0.25">
      <c r="A1669" t="s">
        <v>1027</v>
      </c>
      <c r="B1669" s="2">
        <v>44795</v>
      </c>
      <c r="C1669" t="str">
        <f>+"Tuáº§n "&amp;WEEKNUM(B1669)</f>
        <v>Tuáº§n 35</v>
      </c>
      <c r="D1669" t="s">
        <v>16</v>
      </c>
      <c r="E1669" t="s">
        <v>17</v>
      </c>
      <c r="F1669" s="5">
        <v>52700000</v>
      </c>
      <c r="G1669" s="5">
        <v>55700000</v>
      </c>
      <c r="H1669" s="5">
        <f>+(M1669*26000)/0.829426</f>
        <v>54355662.83188615</v>
      </c>
      <c r="I1669" s="5">
        <f>+G1669-H1669</f>
        <v>1344337.1681138501</v>
      </c>
      <c r="J1669" s="5">
        <v>3000000</v>
      </c>
      <c r="K1669" s="5">
        <v>5270000</v>
      </c>
      <c r="L1669" s="5">
        <v>5570000</v>
      </c>
      <c r="M1669" s="7">
        <v>1734</v>
      </c>
      <c r="N1669" s="5">
        <v>53200000</v>
      </c>
      <c r="O1669" s="5">
        <v>56200000</v>
      </c>
      <c r="P1669" s="3">
        <v>0.97916666666666663</v>
      </c>
    </row>
    <row r="1670" spans="1:16" x14ac:dyDescent="0.25">
      <c r="A1670" t="s">
        <v>1028</v>
      </c>
      <c r="B1670" s="2">
        <v>44796</v>
      </c>
      <c r="C1670" t="str">
        <f>+"Tuáº§n "&amp;WEEKNUM(B1670)</f>
        <v>Tuáº§n 35</v>
      </c>
      <c r="D1670" t="s">
        <v>18</v>
      </c>
      <c r="E1670" t="s">
        <v>17</v>
      </c>
      <c r="F1670" s="5">
        <v>53100000</v>
      </c>
      <c r="G1670" s="5">
        <v>56100000</v>
      </c>
      <c r="H1670" s="5">
        <f>+(M1670*26000)/0.829426</f>
        <v>54756904.172283001</v>
      </c>
      <c r="I1670" s="5">
        <f>+G1670-H1670</f>
        <v>1343095.8277169988</v>
      </c>
      <c r="J1670" s="5">
        <v>3000000</v>
      </c>
      <c r="K1670" s="5">
        <v>5310000</v>
      </c>
      <c r="L1670" s="5">
        <v>5610000</v>
      </c>
      <c r="M1670" s="7">
        <v>1746.8</v>
      </c>
      <c r="N1670" s="5">
        <v>53600000</v>
      </c>
      <c r="O1670" s="5">
        <v>56600000</v>
      </c>
      <c r="P1670" s="3">
        <v>0.97916666666666663</v>
      </c>
    </row>
    <row r="1671" spans="1:16" x14ac:dyDescent="0.25">
      <c r="A1671" t="s">
        <v>1029</v>
      </c>
      <c r="B1671" s="2">
        <v>44797</v>
      </c>
      <c r="C1671" t="str">
        <f>+"Tuáº§n "&amp;WEEKNUM(B1671)</f>
        <v>Tuáº§n 35</v>
      </c>
      <c r="D1671" t="s">
        <v>19</v>
      </c>
      <c r="E1671" t="s">
        <v>17</v>
      </c>
      <c r="F1671" s="5">
        <v>53200000</v>
      </c>
      <c r="G1671" s="5">
        <v>56200000</v>
      </c>
      <c r="H1671" s="5">
        <f>+(M1671*26000)/0.829426</f>
        <v>54788251.152001508</v>
      </c>
      <c r="I1671" s="5">
        <f>+G1671-H1671</f>
        <v>1411748.8479984924</v>
      </c>
      <c r="J1671" s="5">
        <v>3000000</v>
      </c>
      <c r="K1671" s="5">
        <v>5320000</v>
      </c>
      <c r="L1671" s="5">
        <v>5620000</v>
      </c>
      <c r="M1671" s="7">
        <v>1747.8</v>
      </c>
      <c r="N1671" s="5">
        <v>53700000</v>
      </c>
      <c r="O1671" s="5">
        <v>56700000</v>
      </c>
      <c r="P1671" s="3">
        <v>0.97916666666666663</v>
      </c>
    </row>
    <row r="1672" spans="1:16" x14ac:dyDescent="0.25">
      <c r="A1672" t="s">
        <v>1030</v>
      </c>
      <c r="B1672" s="2">
        <v>44798</v>
      </c>
      <c r="C1672" t="str">
        <f>+"Tuáº§n "&amp;WEEKNUM(B1672)</f>
        <v>Tuáº§n 35</v>
      </c>
      <c r="D1672" t="s">
        <v>20</v>
      </c>
      <c r="E1672" t="s">
        <v>17</v>
      </c>
      <c r="F1672" s="5">
        <v>53500000</v>
      </c>
      <c r="G1672" s="5">
        <v>56500000</v>
      </c>
      <c r="H1672" s="5">
        <f>+(M1672*26000)/0.829426</f>
        <v>55098586.251214698</v>
      </c>
      <c r="I1672" s="5">
        <f>+G1672-H1672</f>
        <v>1401413.748785302</v>
      </c>
      <c r="J1672" s="5">
        <v>3000000</v>
      </c>
      <c r="K1672" s="5">
        <v>5350000</v>
      </c>
      <c r="L1672" s="5">
        <v>5650000</v>
      </c>
      <c r="M1672" s="7">
        <v>1757.7</v>
      </c>
      <c r="N1672" s="5">
        <v>54000000</v>
      </c>
      <c r="O1672" s="5">
        <v>57000000</v>
      </c>
      <c r="P1672" s="3">
        <v>0.97916666666666663</v>
      </c>
    </row>
    <row r="1673" spans="1:16" x14ac:dyDescent="0.25">
      <c r="A1673" t="s">
        <v>1031</v>
      </c>
      <c r="B1673" s="2">
        <v>44799</v>
      </c>
      <c r="C1673" t="str">
        <f>+"Tuáº§n "&amp;WEEKNUM(B1673)</f>
        <v>Tuáº§n 35</v>
      </c>
      <c r="D1673" t="s">
        <v>21</v>
      </c>
      <c r="E1673" t="s">
        <v>17</v>
      </c>
      <c r="F1673" s="5">
        <v>52800000</v>
      </c>
      <c r="G1673" s="5">
        <v>55800000</v>
      </c>
      <c r="H1673" s="5">
        <f>+(M1673*26000)/0.829426</f>
        <v>54421491.489295006</v>
      </c>
      <c r="I1673" s="5">
        <f>+G1673-H1673</f>
        <v>1378508.5107049942</v>
      </c>
      <c r="J1673" s="5">
        <v>3000000</v>
      </c>
      <c r="K1673" s="5">
        <v>5280000</v>
      </c>
      <c r="L1673" s="5">
        <v>5580000</v>
      </c>
      <c r="M1673" s="7">
        <v>1736.1</v>
      </c>
      <c r="N1673" s="5">
        <v>53300000</v>
      </c>
      <c r="O1673" s="5">
        <v>56300000</v>
      </c>
      <c r="P1673" s="3">
        <v>0.97916666666666663</v>
      </c>
    </row>
    <row r="1674" spans="1:16" x14ac:dyDescent="0.25">
      <c r="A1674" t="s">
        <v>1032</v>
      </c>
      <c r="B1674" s="2">
        <v>44802</v>
      </c>
      <c r="C1674" t="str">
        <f>+"Tuáº§n "&amp;WEEKNUM(B1674)</f>
        <v>Tuáº§n 36</v>
      </c>
      <c r="D1674" t="s">
        <v>16</v>
      </c>
      <c r="E1674" t="s">
        <v>17</v>
      </c>
      <c r="F1674" s="5">
        <v>52800000</v>
      </c>
      <c r="G1674" s="5">
        <v>55800000</v>
      </c>
      <c r="H1674" s="5">
        <f>+(M1674*26000)/0.829426</f>
        <v>54437164.979154259</v>
      </c>
      <c r="I1674" s="5">
        <f>+G1674-H1674</f>
        <v>1362835.020845741</v>
      </c>
      <c r="J1674" s="5">
        <v>3000000</v>
      </c>
      <c r="K1674" s="5">
        <v>5280000</v>
      </c>
      <c r="L1674" s="5">
        <v>5580000</v>
      </c>
      <c r="M1674" s="7">
        <v>1736.6</v>
      </c>
      <c r="N1674" s="5">
        <v>53300000</v>
      </c>
      <c r="O1674" s="5">
        <v>56300000</v>
      </c>
      <c r="P1674" s="3">
        <v>0.97916666666666663</v>
      </c>
    </row>
    <row r="1675" spans="1:16" x14ac:dyDescent="0.25">
      <c r="A1675" t="s">
        <v>1033</v>
      </c>
      <c r="B1675" s="2">
        <v>44803</v>
      </c>
      <c r="C1675" t="str">
        <f>+"Tuáº§n "&amp;WEEKNUM(B1675)</f>
        <v>Tuáº§n 36</v>
      </c>
      <c r="D1675" t="s">
        <v>18</v>
      </c>
      <c r="E1675" t="s">
        <v>17</v>
      </c>
      <c r="F1675" s="5">
        <v>52400000</v>
      </c>
      <c r="G1675" s="5">
        <v>55400000</v>
      </c>
      <c r="H1675" s="5">
        <f>+(M1675*26000)/0.829426</f>
        <v>54017115.450926304</v>
      </c>
      <c r="I1675" s="5">
        <f>+G1675-H1675</f>
        <v>1382884.5490736961</v>
      </c>
      <c r="J1675" s="5">
        <v>3000000</v>
      </c>
      <c r="K1675" s="5">
        <v>5240000</v>
      </c>
      <c r="L1675" s="5">
        <v>5540000</v>
      </c>
      <c r="M1675" s="7">
        <v>1723.2</v>
      </c>
      <c r="N1675" s="5">
        <v>52900000</v>
      </c>
      <c r="O1675" s="5">
        <v>55900000</v>
      </c>
      <c r="P1675" s="3">
        <v>0.97916666666666663</v>
      </c>
    </row>
    <row r="1676" spans="1:16" x14ac:dyDescent="0.25">
      <c r="A1676" t="s">
        <v>1034</v>
      </c>
      <c r="B1676" s="2">
        <v>44804</v>
      </c>
      <c r="C1676" t="str">
        <f>+"Tuáº§n "&amp;WEEKNUM(B1676)</f>
        <v>Tuáº§n 36</v>
      </c>
      <c r="D1676" t="s">
        <v>19</v>
      </c>
      <c r="E1676" t="s">
        <v>17</v>
      </c>
      <c r="F1676" s="5">
        <v>52000000</v>
      </c>
      <c r="G1676" s="5">
        <v>55000000</v>
      </c>
      <c r="H1676" s="5">
        <f>+(M1676*26000)/0.829426</f>
        <v>53691106.86185386</v>
      </c>
      <c r="I1676" s="5">
        <f>+G1676-H1676</f>
        <v>1308893.1381461397</v>
      </c>
      <c r="J1676" s="5">
        <v>3000000</v>
      </c>
      <c r="K1676" s="5">
        <v>5200000</v>
      </c>
      <c r="L1676" s="5">
        <v>5500000</v>
      </c>
      <c r="M1676" s="7">
        <v>1712.8</v>
      </c>
      <c r="N1676" s="5">
        <v>52500000</v>
      </c>
      <c r="O1676" s="5">
        <v>55500000</v>
      </c>
      <c r="P1676" s="3">
        <v>0.97916666666666663</v>
      </c>
    </row>
    <row r="1677" spans="1:16" x14ac:dyDescent="0.25">
      <c r="A1677" s="2">
        <v>44570</v>
      </c>
      <c r="B1677" s="2">
        <v>44805</v>
      </c>
      <c r="C1677" t="str">
        <f>+"Tuáº§n "&amp;WEEKNUM(B1677)</f>
        <v>Tuáº§n 36</v>
      </c>
      <c r="D1677" t="s">
        <v>20</v>
      </c>
      <c r="E1677" t="s">
        <v>17</v>
      </c>
      <c r="F1677" s="5">
        <v>51500000</v>
      </c>
      <c r="G1677" s="5">
        <v>54500000</v>
      </c>
      <c r="H1677" s="5">
        <f>+(M1677*26000)/0.829426</f>
        <v>53183285.790414095</v>
      </c>
      <c r="I1677" s="5">
        <f>+G1677-H1677</f>
        <v>1316714.2095859051</v>
      </c>
      <c r="J1677" s="5">
        <v>3000000</v>
      </c>
      <c r="K1677" s="5">
        <v>5150000</v>
      </c>
      <c r="L1677" s="5">
        <v>5450000</v>
      </c>
      <c r="M1677" s="7">
        <v>1696.6</v>
      </c>
      <c r="N1677" s="5">
        <v>52000000</v>
      </c>
      <c r="O1677" s="5">
        <v>55000000</v>
      </c>
      <c r="P1677" s="3">
        <v>0.97916666666666663</v>
      </c>
    </row>
    <row r="1678" spans="1:16" x14ac:dyDescent="0.25">
      <c r="A1678" s="2">
        <v>44601</v>
      </c>
      <c r="B1678" s="2">
        <v>44806</v>
      </c>
      <c r="C1678" t="str">
        <f>+"Tuáº§n "&amp;WEEKNUM(B1678)</f>
        <v>Tuáº§n 36</v>
      </c>
      <c r="D1678" t="s">
        <v>21</v>
      </c>
      <c r="E1678" t="s">
        <v>17</v>
      </c>
      <c r="F1678" s="5">
        <v>51900000</v>
      </c>
      <c r="G1678" s="5">
        <v>54900000</v>
      </c>
      <c r="H1678" s="5">
        <f>+(M1678*26000)/0.829426</f>
        <v>53597065.922698349</v>
      </c>
      <c r="I1678" s="5">
        <f>+G1678-H1678</f>
        <v>1302934.0773016512</v>
      </c>
      <c r="J1678" s="5">
        <v>3000000</v>
      </c>
      <c r="K1678" s="5">
        <v>5190000</v>
      </c>
      <c r="L1678" s="5">
        <v>5490000</v>
      </c>
      <c r="M1678" s="7">
        <v>1709.8</v>
      </c>
      <c r="N1678" s="5">
        <v>52400000</v>
      </c>
      <c r="O1678" s="5">
        <v>55400000</v>
      </c>
      <c r="P1678" s="3">
        <v>0.97916666666666663</v>
      </c>
    </row>
    <row r="1679" spans="1:16" x14ac:dyDescent="0.25">
      <c r="A1679" s="2">
        <v>44721</v>
      </c>
      <c r="B1679" s="2">
        <v>44810</v>
      </c>
      <c r="C1679" t="str">
        <f>+"Tuáº§n "&amp;WEEKNUM(B1679)</f>
        <v>Tuáº§n 37</v>
      </c>
      <c r="D1679" t="s">
        <v>18</v>
      </c>
      <c r="E1679" t="s">
        <v>17</v>
      </c>
      <c r="F1679" s="5">
        <v>51600000</v>
      </c>
      <c r="G1679" s="5">
        <v>54600000</v>
      </c>
      <c r="H1679" s="5">
        <f>+(M1679*26000)/0.829426</f>
        <v>53302404.313344412</v>
      </c>
      <c r="I1679" s="5">
        <f>+G1679-H1679</f>
        <v>1297595.6866555884</v>
      </c>
      <c r="J1679" s="5">
        <v>3000000</v>
      </c>
      <c r="K1679" s="5">
        <v>5160000</v>
      </c>
      <c r="L1679" s="5">
        <v>5460000</v>
      </c>
      <c r="M1679" s="7">
        <v>1700.4</v>
      </c>
      <c r="N1679" s="5">
        <v>52100000</v>
      </c>
      <c r="O1679" s="5">
        <v>55100000</v>
      </c>
      <c r="P1679" s="3">
        <v>0.97916666666666663</v>
      </c>
    </row>
    <row r="1680" spans="1:16" x14ac:dyDescent="0.25">
      <c r="A1680" s="2">
        <v>44751</v>
      </c>
      <c r="B1680" s="2">
        <v>44811</v>
      </c>
      <c r="C1680" t="str">
        <f>+"Tuáº§n "&amp;WEEKNUM(B1680)</f>
        <v>Tuáº§n 37</v>
      </c>
      <c r="D1680" t="s">
        <v>19</v>
      </c>
      <c r="E1680" t="s">
        <v>17</v>
      </c>
      <c r="F1680" s="5">
        <v>52100000</v>
      </c>
      <c r="G1680" s="5">
        <v>55100000</v>
      </c>
      <c r="H1680" s="5">
        <f>+(M1680*26000)/0.829426</f>
        <v>53769474.311150119</v>
      </c>
      <c r="I1680" s="5">
        <f>+G1680-H1680</f>
        <v>1330525.6888498813</v>
      </c>
      <c r="J1680" s="5">
        <v>3000000</v>
      </c>
      <c r="K1680" s="5">
        <v>5210000</v>
      </c>
      <c r="L1680" s="5">
        <v>5510000</v>
      </c>
      <c r="M1680" s="7">
        <v>1715.3</v>
      </c>
      <c r="N1680" s="5">
        <v>52600000</v>
      </c>
      <c r="O1680" s="5">
        <v>55600000</v>
      </c>
      <c r="P1680" s="3">
        <v>0.97916666666666663</v>
      </c>
    </row>
    <row r="1681" spans="1:16" x14ac:dyDescent="0.25">
      <c r="A1681" s="2">
        <v>44782</v>
      </c>
      <c r="B1681" s="2">
        <v>44812</v>
      </c>
      <c r="C1681" t="str">
        <f>+"Tuáº§n "&amp;WEEKNUM(B1681)</f>
        <v>Tuáº§n 37</v>
      </c>
      <c r="D1681" t="s">
        <v>20</v>
      </c>
      <c r="E1681" t="s">
        <v>17</v>
      </c>
      <c r="F1681" s="5">
        <v>51900000</v>
      </c>
      <c r="G1681" s="5">
        <v>54900000</v>
      </c>
      <c r="H1681" s="5">
        <f>+(M1681*26000)/0.829426</f>
        <v>53540641.359205037</v>
      </c>
      <c r="I1681" s="5">
        <f>+G1681-H1681</f>
        <v>1359358.6407949626</v>
      </c>
      <c r="J1681" s="5">
        <v>3000000</v>
      </c>
      <c r="K1681" s="5">
        <v>5190000</v>
      </c>
      <c r="L1681" s="5">
        <v>5490000</v>
      </c>
      <c r="M1681" s="7">
        <v>1708</v>
      </c>
      <c r="N1681" s="5">
        <v>52400000</v>
      </c>
      <c r="O1681" s="5">
        <v>55400000</v>
      </c>
      <c r="P1681" s="3">
        <v>0.97916666666666663</v>
      </c>
    </row>
    <row r="1682" spans="1:16" x14ac:dyDescent="0.25">
      <c r="A1682" s="2">
        <v>44813</v>
      </c>
      <c r="B1682" s="2">
        <v>44813</v>
      </c>
      <c r="C1682" t="str">
        <f>+"Tuáº§n "&amp;WEEKNUM(B1682)</f>
        <v>Tuáº§n 37</v>
      </c>
      <c r="D1682" t="s">
        <v>21</v>
      </c>
      <c r="E1682" t="s">
        <v>17</v>
      </c>
      <c r="F1682" s="5">
        <v>52200000</v>
      </c>
      <c r="G1682" s="5">
        <v>55200000</v>
      </c>
      <c r="H1682" s="5">
        <f>+(M1682*26000)/0.829426</f>
        <v>53797686.592896774</v>
      </c>
      <c r="I1682" s="5">
        <f>+G1682-H1682</f>
        <v>1402313.4071032256</v>
      </c>
      <c r="J1682" s="5">
        <v>3000000</v>
      </c>
      <c r="K1682" s="5">
        <v>5220000</v>
      </c>
      <c r="L1682" s="5">
        <v>5520000</v>
      </c>
      <c r="M1682" s="7">
        <v>1716.2</v>
      </c>
      <c r="N1682" s="5">
        <v>52700000</v>
      </c>
      <c r="O1682" s="5">
        <v>55700000</v>
      </c>
      <c r="P1682" s="3">
        <v>0.97916666666666663</v>
      </c>
    </row>
    <row r="1683" spans="1:16" x14ac:dyDescent="0.25">
      <c r="A1683" s="2">
        <v>44904</v>
      </c>
      <c r="B1683" s="2">
        <v>44816</v>
      </c>
      <c r="C1683" t="str">
        <f>+"Tuáº§n "&amp;WEEKNUM(B1683)</f>
        <v>Tuáº§n 38</v>
      </c>
      <c r="D1683" t="s">
        <v>16</v>
      </c>
      <c r="E1683" t="s">
        <v>17</v>
      </c>
      <c r="F1683" s="5">
        <v>52500000</v>
      </c>
      <c r="G1683" s="5">
        <v>55500000</v>
      </c>
      <c r="H1683" s="5">
        <f>+(M1683*26000)/0.829426</f>
        <v>54170715.65154697</v>
      </c>
      <c r="I1683" s="5">
        <f>+G1683-H1683</f>
        <v>1329284.34845303</v>
      </c>
      <c r="J1683" s="5">
        <v>3000000</v>
      </c>
      <c r="K1683" s="5">
        <v>5250000</v>
      </c>
      <c r="L1683" s="5">
        <v>5550000</v>
      </c>
      <c r="M1683" s="7">
        <v>1728.1</v>
      </c>
      <c r="N1683" s="5">
        <v>53000000</v>
      </c>
      <c r="O1683" s="5">
        <v>56000000</v>
      </c>
      <c r="P1683" s="3">
        <v>0.97916666666666663</v>
      </c>
    </row>
    <row r="1684" spans="1:16" x14ac:dyDescent="0.25">
      <c r="A1684" t="s">
        <v>1035</v>
      </c>
      <c r="B1684" s="2">
        <v>44817</v>
      </c>
      <c r="C1684" t="str">
        <f>+"Tuáº§n "&amp;WEEKNUM(B1684)</f>
        <v>Tuáº§n 38</v>
      </c>
      <c r="D1684" t="s">
        <v>18</v>
      </c>
      <c r="E1684" t="s">
        <v>17</v>
      </c>
      <c r="F1684" s="5">
        <v>51800000</v>
      </c>
      <c r="G1684" s="5">
        <v>54800000</v>
      </c>
      <c r="H1684" s="5">
        <f>+(M1684*26000)/0.829426</f>
        <v>53446600.420049526</v>
      </c>
      <c r="I1684" s="5">
        <f>+G1684-H1684</f>
        <v>1353399.5799504742</v>
      </c>
      <c r="J1684" s="5">
        <v>3000000</v>
      </c>
      <c r="K1684" s="5">
        <v>5180000</v>
      </c>
      <c r="L1684" s="5">
        <v>5480000</v>
      </c>
      <c r="M1684" s="7">
        <v>1705</v>
      </c>
      <c r="N1684" s="5">
        <v>52300000</v>
      </c>
      <c r="O1684" s="5">
        <v>55300000</v>
      </c>
      <c r="P1684" s="3">
        <v>0.97916666666666663</v>
      </c>
    </row>
    <row r="1685" spans="1:16" x14ac:dyDescent="0.25">
      <c r="A1685" t="s">
        <v>1036</v>
      </c>
      <c r="B1685" s="2">
        <v>44818</v>
      </c>
      <c r="C1685" t="str">
        <f>+"Tuáº§n "&amp;WEEKNUM(B1685)</f>
        <v>Tuáº§n 38</v>
      </c>
      <c r="D1685" t="s">
        <v>19</v>
      </c>
      <c r="E1685" t="s">
        <v>17</v>
      </c>
      <c r="F1685" s="5">
        <v>51500000</v>
      </c>
      <c r="G1685" s="5">
        <v>54500000</v>
      </c>
      <c r="H1685" s="5">
        <f>+(M1685*26000)/0.829426</f>
        <v>53180151.092442244</v>
      </c>
      <c r="I1685" s="5">
        <f>+G1685-H1685</f>
        <v>1319848.9075577557</v>
      </c>
      <c r="J1685" s="5">
        <v>3000000</v>
      </c>
      <c r="K1685" s="5">
        <v>5150000</v>
      </c>
      <c r="L1685" s="5">
        <v>5450000</v>
      </c>
      <c r="M1685" s="7">
        <v>1696.5</v>
      </c>
      <c r="N1685" s="5">
        <v>52000000</v>
      </c>
      <c r="O1685" s="5">
        <v>55000000</v>
      </c>
      <c r="P1685" s="3">
        <v>0.97916666666666663</v>
      </c>
    </row>
    <row r="1686" spans="1:16" x14ac:dyDescent="0.25">
      <c r="A1686" t="s">
        <v>1037</v>
      </c>
      <c r="B1686" s="2">
        <v>44819</v>
      </c>
      <c r="C1686" t="str">
        <f>+"Tuáº§n "&amp;WEEKNUM(B1686)</f>
        <v>Tuáº§n 38</v>
      </c>
      <c r="D1686" t="s">
        <v>20</v>
      </c>
      <c r="E1686" t="s">
        <v>17</v>
      </c>
      <c r="F1686" s="5">
        <v>50500000</v>
      </c>
      <c r="G1686" s="5">
        <v>53500000</v>
      </c>
      <c r="H1686" s="5">
        <f>+(M1686*26000)/0.829426</f>
        <v>52205260.023196764</v>
      </c>
      <c r="I1686" s="5">
        <f>+G1686-H1686</f>
        <v>1294739.9768032357</v>
      </c>
      <c r="J1686" s="5">
        <v>3000000</v>
      </c>
      <c r="K1686" s="5">
        <v>5050000</v>
      </c>
      <c r="L1686" s="5">
        <v>5350000</v>
      </c>
      <c r="M1686" s="7">
        <v>1665.4</v>
      </c>
      <c r="N1686" s="5">
        <v>51000000</v>
      </c>
      <c r="O1686" s="5">
        <v>54000000</v>
      </c>
      <c r="P1686" s="3">
        <v>0.97916666666666663</v>
      </c>
    </row>
    <row r="1687" spans="1:16" x14ac:dyDescent="0.25">
      <c r="A1687" t="s">
        <v>1038</v>
      </c>
      <c r="B1687" s="2">
        <v>44820</v>
      </c>
      <c r="C1687" t="str">
        <f>+"Tuáº§n "&amp;WEEKNUM(B1687)</f>
        <v>Tuáº§n 38</v>
      </c>
      <c r="D1687" t="s">
        <v>21</v>
      </c>
      <c r="E1687" t="s">
        <v>17</v>
      </c>
      <c r="F1687" s="5">
        <v>50700000</v>
      </c>
      <c r="G1687" s="5">
        <v>53700000</v>
      </c>
      <c r="H1687" s="5">
        <f>+(M1687*26000)/0.829426</f>
        <v>52402745.995423339</v>
      </c>
      <c r="I1687" s="5">
        <f>+G1687-H1687</f>
        <v>1297254.0045766607</v>
      </c>
      <c r="J1687" s="5">
        <v>3000000</v>
      </c>
      <c r="K1687" s="5">
        <v>5070000</v>
      </c>
      <c r="L1687" s="5">
        <v>5370000</v>
      </c>
      <c r="M1687" s="7">
        <v>1671.7</v>
      </c>
      <c r="N1687" s="5">
        <v>51200000</v>
      </c>
      <c r="O1687" s="5">
        <v>54200000</v>
      </c>
      <c r="P1687" s="3">
        <v>0.97916666666666663</v>
      </c>
    </row>
    <row r="1688" spans="1:16" x14ac:dyDescent="0.25">
      <c r="A1688" t="s">
        <v>1039</v>
      </c>
      <c r="B1688" s="2">
        <v>44823</v>
      </c>
      <c r="C1688" t="str">
        <f>+"Tuáº§n "&amp;WEEKNUM(B1688)</f>
        <v>Tuáº§n 39</v>
      </c>
      <c r="D1688" t="s">
        <v>16</v>
      </c>
      <c r="E1688" t="s">
        <v>17</v>
      </c>
      <c r="F1688" s="5">
        <v>50500000</v>
      </c>
      <c r="G1688" s="5">
        <v>53500000</v>
      </c>
      <c r="H1688" s="5">
        <f>+(M1688*26000)/0.829426</f>
        <v>52230337.606971569</v>
      </c>
      <c r="I1688" s="5">
        <f>+G1688-H1688</f>
        <v>1269662.3930284306</v>
      </c>
      <c r="J1688" s="5">
        <v>3000000</v>
      </c>
      <c r="K1688" s="5">
        <v>5050000</v>
      </c>
      <c r="L1688" s="5">
        <v>5350000</v>
      </c>
      <c r="M1688" s="7">
        <v>1666.2</v>
      </c>
      <c r="N1688" s="5">
        <v>51000000</v>
      </c>
      <c r="O1688" s="5">
        <v>54000000</v>
      </c>
      <c r="P1688" s="3">
        <v>0.97916666666666663</v>
      </c>
    </row>
    <row r="1689" spans="1:16" x14ac:dyDescent="0.25">
      <c r="A1689" t="s">
        <v>1040</v>
      </c>
      <c r="B1689" s="2">
        <v>44824</v>
      </c>
      <c r="C1689" t="str">
        <f>+"Tuáº§n "&amp;WEEKNUM(B1689)</f>
        <v>Tuáº§n 39</v>
      </c>
      <c r="D1689" t="s">
        <v>18</v>
      </c>
      <c r="E1689" t="s">
        <v>17</v>
      </c>
      <c r="F1689" s="5">
        <v>50300000</v>
      </c>
      <c r="G1689" s="5">
        <v>53300000</v>
      </c>
      <c r="H1689" s="5">
        <f>+(M1689*26000)/0.829426</f>
        <v>52026582.238801293</v>
      </c>
      <c r="I1689" s="5">
        <f>+G1689-H1689</f>
        <v>1273417.7611987069</v>
      </c>
      <c r="J1689" s="5">
        <v>3000000</v>
      </c>
      <c r="K1689" s="5">
        <v>5030000</v>
      </c>
      <c r="L1689" s="5">
        <v>5330000</v>
      </c>
      <c r="M1689" s="7">
        <v>1659.7</v>
      </c>
      <c r="N1689" s="5">
        <v>50800000</v>
      </c>
      <c r="O1689" s="5">
        <v>53800000</v>
      </c>
      <c r="P1689" s="3">
        <v>0.97916666666666663</v>
      </c>
    </row>
    <row r="1690" spans="1:16" x14ac:dyDescent="0.25">
      <c r="A1690" t="s">
        <v>1041</v>
      </c>
      <c r="B1690" s="2">
        <v>44825</v>
      </c>
      <c r="C1690" t="str">
        <f>+"Tuáº§n "&amp;WEEKNUM(B1690)</f>
        <v>Tuáº§n 39</v>
      </c>
      <c r="D1690" t="s">
        <v>19</v>
      </c>
      <c r="E1690" t="s">
        <v>17</v>
      </c>
      <c r="F1690" s="5">
        <v>50500000</v>
      </c>
      <c r="G1690" s="5">
        <v>53500000</v>
      </c>
      <c r="H1690" s="5">
        <f>+(M1690*26000)/0.829426</f>
        <v>52180182.439421959</v>
      </c>
      <c r="I1690" s="5">
        <f>+G1690-H1690</f>
        <v>1319817.5605780408</v>
      </c>
      <c r="J1690" s="5">
        <v>3000000</v>
      </c>
      <c r="K1690" s="5">
        <v>5050000</v>
      </c>
      <c r="L1690" s="5">
        <v>5350000</v>
      </c>
      <c r="M1690" s="7">
        <v>1664.6</v>
      </c>
      <c r="N1690" s="5">
        <v>51000000</v>
      </c>
      <c r="O1690" s="5">
        <v>54000000</v>
      </c>
      <c r="P1690" s="3">
        <v>0.97916666666666663</v>
      </c>
    </row>
    <row r="1691" spans="1:16" x14ac:dyDescent="0.25">
      <c r="A1691" t="s">
        <v>1042</v>
      </c>
      <c r="B1691" s="2">
        <v>44826</v>
      </c>
      <c r="C1691" t="str">
        <f>+"Tuáº§n "&amp;WEEKNUM(B1691)</f>
        <v>Tuáº§n 39</v>
      </c>
      <c r="D1691" t="s">
        <v>20</v>
      </c>
      <c r="E1691" t="s">
        <v>17</v>
      </c>
      <c r="F1691" s="5">
        <v>50700000</v>
      </c>
      <c r="G1691" s="5">
        <v>53700000</v>
      </c>
      <c r="H1691" s="5">
        <f>+(M1691*26000)/0.829426</f>
        <v>52374533.713676691</v>
      </c>
      <c r="I1691" s="5">
        <f>+G1691-H1691</f>
        <v>1325466.2863233089</v>
      </c>
      <c r="J1691" s="5">
        <v>3000000</v>
      </c>
      <c r="K1691" s="5">
        <v>5070000</v>
      </c>
      <c r="L1691" s="5">
        <v>5370000</v>
      </c>
      <c r="M1691" s="7">
        <v>1670.8</v>
      </c>
      <c r="N1691" s="5">
        <v>51200000</v>
      </c>
      <c r="O1691" s="5">
        <v>54200000</v>
      </c>
      <c r="P1691" s="3">
        <v>0.97916666666666663</v>
      </c>
    </row>
    <row r="1692" spans="1:16" x14ac:dyDescent="0.25">
      <c r="A1692" t="s">
        <v>1043</v>
      </c>
      <c r="B1692" s="2">
        <v>44827</v>
      </c>
      <c r="C1692" t="str">
        <f>+"Tuáº§n "&amp;WEEKNUM(B1692)</f>
        <v>Tuáº§n 39</v>
      </c>
      <c r="D1692" t="s">
        <v>21</v>
      </c>
      <c r="E1692" t="s">
        <v>17</v>
      </c>
      <c r="F1692" s="5">
        <v>49900000</v>
      </c>
      <c r="G1692" s="5">
        <v>52900000</v>
      </c>
      <c r="H1692" s="5">
        <f>+(M1692*26000)/0.829426</f>
        <v>51575185.730854832</v>
      </c>
      <c r="I1692" s="5">
        <f>+G1692-H1692</f>
        <v>1324814.2691451684</v>
      </c>
      <c r="J1692" s="5">
        <v>3000000</v>
      </c>
      <c r="K1692" s="5">
        <v>4990000</v>
      </c>
      <c r="L1692" s="5">
        <v>5290000</v>
      </c>
      <c r="M1692" s="7">
        <v>1645.3</v>
      </c>
      <c r="N1692" s="5">
        <v>50400000</v>
      </c>
      <c r="O1692" s="5">
        <v>53400000</v>
      </c>
      <c r="P1692" s="3">
        <v>0.97916666666666663</v>
      </c>
    </row>
    <row r="1693" spans="1:16" x14ac:dyDescent="0.25">
      <c r="A1693" t="s">
        <v>1044</v>
      </c>
      <c r="B1693" s="2">
        <v>44830</v>
      </c>
      <c r="C1693" t="str">
        <f>+"Tuáº§n "&amp;WEEKNUM(B1693)</f>
        <v>Tuáº§n 40</v>
      </c>
      <c r="D1693" t="s">
        <v>16</v>
      </c>
      <c r="E1693" t="s">
        <v>17</v>
      </c>
      <c r="F1693" s="5">
        <v>49200000</v>
      </c>
      <c r="G1693" s="5">
        <v>52200000</v>
      </c>
      <c r="H1693" s="5">
        <f>+(M1693*26000)/0.829426</f>
        <v>50885552.177047744</v>
      </c>
      <c r="I1693" s="5">
        <f>+G1693-H1693</f>
        <v>1314447.8229522556</v>
      </c>
      <c r="J1693" s="5">
        <v>3000000</v>
      </c>
      <c r="K1693" s="5">
        <v>4920000</v>
      </c>
      <c r="L1693" s="5">
        <v>5220000</v>
      </c>
      <c r="M1693" s="7">
        <v>1623.3</v>
      </c>
      <c r="N1693" s="5">
        <v>49700000</v>
      </c>
      <c r="O1693" s="5">
        <v>52700000</v>
      </c>
      <c r="P1693" s="3">
        <v>0.97916666666666663</v>
      </c>
    </row>
    <row r="1694" spans="1:16" x14ac:dyDescent="0.25">
      <c r="A1694" t="s">
        <v>1045</v>
      </c>
      <c r="B1694" s="2">
        <v>44831</v>
      </c>
      <c r="C1694" t="str">
        <f>+"Tuáº§n "&amp;WEEKNUM(B1694)</f>
        <v>Tuáº§n 40</v>
      </c>
      <c r="D1694" t="s">
        <v>18</v>
      </c>
      <c r="E1694" t="s">
        <v>17</v>
      </c>
      <c r="F1694" s="5">
        <v>49300000</v>
      </c>
      <c r="G1694" s="5">
        <v>52300000</v>
      </c>
      <c r="H1694" s="5">
        <f>+(M1694*26000)/0.829426</f>
        <v>50992131.908090658</v>
      </c>
      <c r="I1694" s="5">
        <f>+G1694-H1694</f>
        <v>1307868.0919093415</v>
      </c>
      <c r="J1694" s="5">
        <v>3000000</v>
      </c>
      <c r="K1694" s="5">
        <v>4930000</v>
      </c>
      <c r="L1694" s="5">
        <v>5230000</v>
      </c>
      <c r="M1694" s="7">
        <v>1626.7</v>
      </c>
      <c r="N1694" s="5">
        <v>49800000</v>
      </c>
      <c r="O1694" s="5">
        <v>52800000</v>
      </c>
      <c r="P1694" s="3">
        <v>0.97916666666666663</v>
      </c>
    </row>
    <row r="1695" spans="1:16" x14ac:dyDescent="0.25">
      <c r="A1695" t="s">
        <v>1046</v>
      </c>
      <c r="B1695" s="2">
        <v>44832</v>
      </c>
      <c r="C1695" t="str">
        <f>+"Tuáº§n "&amp;WEEKNUM(B1695)</f>
        <v>Tuáº§n 40</v>
      </c>
      <c r="D1695" t="s">
        <v>19</v>
      </c>
      <c r="E1695" t="s">
        <v>17</v>
      </c>
      <c r="F1695" s="5">
        <v>50400000</v>
      </c>
      <c r="G1695" s="5">
        <v>53400000</v>
      </c>
      <c r="H1695" s="5">
        <f>+(M1695*26000)/0.829426</f>
        <v>52048525.124604248</v>
      </c>
      <c r="I1695" s="5">
        <f>+G1695-H1695</f>
        <v>1351474.8753957525</v>
      </c>
      <c r="J1695" s="5">
        <v>3000000</v>
      </c>
      <c r="K1695" s="5">
        <v>5040000</v>
      </c>
      <c r="L1695" s="5">
        <v>5340000</v>
      </c>
      <c r="M1695" s="7">
        <v>1660.4</v>
      </c>
      <c r="N1695" s="5">
        <v>50900000</v>
      </c>
      <c r="O1695" s="5">
        <v>53900000</v>
      </c>
      <c r="P1695" s="3">
        <v>0.97916666666666663</v>
      </c>
    </row>
    <row r="1696" spans="1:16" x14ac:dyDescent="0.25">
      <c r="A1696" t="s">
        <v>1047</v>
      </c>
      <c r="B1696" s="2">
        <v>44833</v>
      </c>
      <c r="C1696" t="str">
        <f>+"Tuáº§n "&amp;WEEKNUM(B1696)</f>
        <v>Tuáº§n 40</v>
      </c>
      <c r="D1696" t="s">
        <v>20</v>
      </c>
      <c r="E1696" t="s">
        <v>17</v>
      </c>
      <c r="F1696" s="5">
        <v>50300000</v>
      </c>
      <c r="G1696" s="5">
        <v>53300000</v>
      </c>
      <c r="H1696" s="5">
        <f>+(M1696*26000)/0.829426</f>
        <v>51988965.863139085</v>
      </c>
      <c r="I1696" s="5">
        <f>+G1696-H1696</f>
        <v>1311034.1368609145</v>
      </c>
      <c r="J1696" s="5">
        <v>3000000</v>
      </c>
      <c r="K1696" s="5">
        <v>5030000</v>
      </c>
      <c r="L1696" s="5">
        <v>5330000</v>
      </c>
      <c r="M1696" s="7">
        <v>1658.5</v>
      </c>
      <c r="N1696" s="5">
        <v>50800000</v>
      </c>
      <c r="O1696" s="5">
        <v>53800000</v>
      </c>
      <c r="P1696" s="3">
        <v>0.97916666666666663</v>
      </c>
    </row>
    <row r="1697" spans="1:16" x14ac:dyDescent="0.25">
      <c r="A1697" t="s">
        <v>1048</v>
      </c>
      <c r="B1697" s="2">
        <v>44834</v>
      </c>
      <c r="C1697" t="str">
        <f>+"Tuáº§n "&amp;WEEKNUM(B1697)</f>
        <v>Tuáº§n 40</v>
      </c>
      <c r="D1697" t="s">
        <v>21</v>
      </c>
      <c r="E1697" t="s">
        <v>17</v>
      </c>
      <c r="F1697" s="5">
        <v>50400000</v>
      </c>
      <c r="G1697" s="5">
        <v>53400000</v>
      </c>
      <c r="H1697" s="5">
        <f>+(M1697*26000)/0.829426</f>
        <v>52111219.084041253</v>
      </c>
      <c r="I1697" s="5">
        <f>+G1697-H1697</f>
        <v>1288780.9159587473</v>
      </c>
      <c r="J1697" s="5">
        <v>3000000</v>
      </c>
      <c r="K1697" s="5">
        <v>5040000</v>
      </c>
      <c r="L1697" s="5">
        <v>5340000</v>
      </c>
      <c r="M1697" s="7">
        <v>1662.4</v>
      </c>
      <c r="N1697" s="5">
        <v>50900000</v>
      </c>
      <c r="O1697" s="5">
        <v>53900000</v>
      </c>
      <c r="P1697" s="3">
        <v>0.97916666666666663</v>
      </c>
    </row>
    <row r="1698" spans="1:16" x14ac:dyDescent="0.25">
      <c r="A1698" s="2">
        <v>44630</v>
      </c>
      <c r="B1698" s="2">
        <v>44837</v>
      </c>
      <c r="C1698" t="str">
        <f>+"Tuáº§n "&amp;WEEKNUM(B1698)</f>
        <v>Tuáº§n 41</v>
      </c>
      <c r="D1698" t="s">
        <v>16</v>
      </c>
      <c r="E1698" t="s">
        <v>17</v>
      </c>
      <c r="F1698" s="5">
        <v>51400000</v>
      </c>
      <c r="G1698" s="5">
        <v>54400000</v>
      </c>
      <c r="H1698" s="5">
        <f>+(M1698*26000)/0.829426</f>
        <v>53067301.965455629</v>
      </c>
      <c r="I1698" s="5">
        <f>+G1698-H1698</f>
        <v>1332698.0345443711</v>
      </c>
      <c r="J1698" s="5">
        <v>3000000</v>
      </c>
      <c r="K1698" s="5">
        <v>5140000</v>
      </c>
      <c r="L1698" s="5">
        <v>5440000</v>
      </c>
      <c r="M1698" s="7">
        <v>1692.9</v>
      </c>
      <c r="N1698" s="5">
        <v>51900000</v>
      </c>
      <c r="O1698" s="5">
        <v>54900000</v>
      </c>
      <c r="P1698" s="3">
        <v>0.97916666666666663</v>
      </c>
    </row>
    <row r="1699" spans="1:16" x14ac:dyDescent="0.25">
      <c r="A1699" s="2">
        <v>44661</v>
      </c>
      <c r="B1699" s="2">
        <v>44838</v>
      </c>
      <c r="C1699" t="str">
        <f>+"Tuáº§n "&amp;WEEKNUM(B1699)</f>
        <v>Tuáº§n 41</v>
      </c>
      <c r="D1699" t="s">
        <v>18</v>
      </c>
      <c r="E1699" t="s">
        <v>17</v>
      </c>
      <c r="F1699" s="5">
        <v>52300000</v>
      </c>
      <c r="G1699" s="5">
        <v>55300000</v>
      </c>
      <c r="H1699" s="5">
        <f>+(M1699*26000)/0.829426</f>
        <v>53951286.793517448</v>
      </c>
      <c r="I1699" s="5">
        <f>+G1699-H1699</f>
        <v>1348713.206482552</v>
      </c>
      <c r="J1699" s="5">
        <v>3000000</v>
      </c>
      <c r="K1699" s="5">
        <v>5230000</v>
      </c>
      <c r="L1699" s="5">
        <v>5530000</v>
      </c>
      <c r="M1699" s="7">
        <v>1721.1</v>
      </c>
      <c r="N1699" s="5">
        <v>52800000</v>
      </c>
      <c r="O1699" s="5">
        <v>55800000</v>
      </c>
      <c r="P1699" s="3">
        <v>0.97916666666666663</v>
      </c>
    </row>
    <row r="1700" spans="1:16" x14ac:dyDescent="0.25">
      <c r="A1700" s="2">
        <v>44691</v>
      </c>
      <c r="B1700" s="2">
        <v>44839</v>
      </c>
      <c r="C1700" t="str">
        <f>+"Tuáº§n "&amp;WEEKNUM(B1700)</f>
        <v>Tuáº§n 41</v>
      </c>
      <c r="D1700" t="s">
        <v>19</v>
      </c>
      <c r="E1700" t="s">
        <v>17</v>
      </c>
      <c r="F1700" s="5">
        <v>52000000</v>
      </c>
      <c r="G1700" s="5">
        <v>55000000</v>
      </c>
      <c r="H1700" s="5">
        <f>+(M1700*26000)/0.829426</f>
        <v>53647221.090247951</v>
      </c>
      <c r="I1700" s="5">
        <f>+G1700-H1700</f>
        <v>1352778.9097520486</v>
      </c>
      <c r="J1700" s="5">
        <v>3000000</v>
      </c>
      <c r="K1700" s="5">
        <v>5200000</v>
      </c>
      <c r="L1700" s="5">
        <v>5500000</v>
      </c>
      <c r="M1700" s="7">
        <v>1711.4</v>
      </c>
      <c r="N1700" s="5">
        <v>52500000</v>
      </c>
      <c r="O1700" s="5">
        <v>55500000</v>
      </c>
      <c r="P1700" s="3">
        <v>0.97916666666666663</v>
      </c>
    </row>
    <row r="1701" spans="1:16" x14ac:dyDescent="0.25">
      <c r="A1701" s="2">
        <v>44722</v>
      </c>
      <c r="B1701" s="2">
        <v>44840</v>
      </c>
      <c r="C1701" t="str">
        <f>+"Tuáº§n "&amp;WEEKNUM(B1701)</f>
        <v>Tuáº§n 41</v>
      </c>
      <c r="D1701" t="s">
        <v>20</v>
      </c>
      <c r="E1701" t="s">
        <v>17</v>
      </c>
      <c r="F1701" s="5">
        <v>52000000</v>
      </c>
      <c r="G1701" s="5">
        <v>55000000</v>
      </c>
      <c r="H1701" s="5">
        <f>+(M1701*26000)/0.829426</f>
        <v>53656625.184163503</v>
      </c>
      <c r="I1701" s="5">
        <f>+G1701-H1701</f>
        <v>1343374.8158364967</v>
      </c>
      <c r="J1701" s="5">
        <v>3000000</v>
      </c>
      <c r="K1701" s="5">
        <v>5200000</v>
      </c>
      <c r="L1701" s="5">
        <v>5500000</v>
      </c>
      <c r="M1701" s="7">
        <v>1711.7</v>
      </c>
      <c r="N1701" s="5">
        <v>52500000</v>
      </c>
      <c r="O1701" s="5">
        <v>55500000</v>
      </c>
      <c r="P1701" s="3">
        <v>0.97916666666666663</v>
      </c>
    </row>
    <row r="1702" spans="1:16" x14ac:dyDescent="0.25">
      <c r="A1702" s="2">
        <v>44752</v>
      </c>
      <c r="B1702" s="2">
        <v>44841</v>
      </c>
      <c r="C1702" t="str">
        <f>+"Tuáº§n "&amp;WEEKNUM(B1702)</f>
        <v>Tuáº§n 41</v>
      </c>
      <c r="D1702" t="s">
        <v>21</v>
      </c>
      <c r="E1702" t="s">
        <v>17</v>
      </c>
      <c r="F1702" s="5">
        <v>51700000</v>
      </c>
      <c r="G1702" s="5">
        <v>54700000</v>
      </c>
      <c r="H1702" s="5">
        <f>+(M1702*26000)/0.829426</f>
        <v>53305539.011316262</v>
      </c>
      <c r="I1702" s="5">
        <f>+G1702-H1702</f>
        <v>1394460.9886837378</v>
      </c>
      <c r="J1702" s="5">
        <v>3000000</v>
      </c>
      <c r="K1702" s="5">
        <v>5170000</v>
      </c>
      <c r="L1702" s="5">
        <v>5470000</v>
      </c>
      <c r="M1702" s="7">
        <v>1700.5</v>
      </c>
      <c r="N1702" s="5">
        <v>52200000</v>
      </c>
      <c r="O1702" s="5">
        <v>55200000</v>
      </c>
      <c r="P1702" s="3">
        <v>0.97916666666666663</v>
      </c>
    </row>
    <row r="1703" spans="1:16" x14ac:dyDescent="0.25">
      <c r="A1703" s="2">
        <v>44844</v>
      </c>
      <c r="B1703" s="2">
        <v>44844</v>
      </c>
      <c r="C1703" t="str">
        <f>+"Tuáº§n "&amp;WEEKNUM(B1703)</f>
        <v>Tuáº§n 42</v>
      </c>
      <c r="D1703" t="s">
        <v>16</v>
      </c>
      <c r="E1703" t="s">
        <v>17</v>
      </c>
      <c r="F1703" s="5">
        <v>50600000</v>
      </c>
      <c r="G1703" s="5">
        <v>53600000</v>
      </c>
      <c r="H1703" s="5">
        <f>+(M1703*26000)/0.829426</f>
        <v>52264819.284661926</v>
      </c>
      <c r="I1703" s="5">
        <f>+G1703-H1703</f>
        <v>1335180.7153380737</v>
      </c>
      <c r="J1703" s="5">
        <v>3000000</v>
      </c>
      <c r="K1703" s="5">
        <v>5060000</v>
      </c>
      <c r="L1703" s="5">
        <v>5360000</v>
      </c>
      <c r="M1703" s="7">
        <v>1667.3</v>
      </c>
      <c r="N1703" s="5">
        <v>51100000</v>
      </c>
      <c r="O1703" s="5">
        <v>54100000</v>
      </c>
      <c r="P1703" s="3">
        <v>0.97916666666666663</v>
      </c>
    </row>
    <row r="1704" spans="1:16" x14ac:dyDescent="0.25">
      <c r="A1704" s="2">
        <v>44875</v>
      </c>
      <c r="B1704" s="2">
        <v>44845</v>
      </c>
      <c r="C1704" t="str">
        <f>+"Tuáº§n "&amp;WEEKNUM(B1704)</f>
        <v>Tuáº§n 42</v>
      </c>
      <c r="D1704" t="s">
        <v>18</v>
      </c>
      <c r="E1704" t="s">
        <v>17</v>
      </c>
      <c r="F1704" s="5">
        <v>50900000</v>
      </c>
      <c r="G1704" s="5">
        <v>53900000</v>
      </c>
      <c r="H1704" s="5">
        <f>+(M1704*26000)/0.829426</f>
        <v>52622174.853452869</v>
      </c>
      <c r="I1704" s="5">
        <f>+G1704-H1704</f>
        <v>1277825.1465471312</v>
      </c>
      <c r="J1704" s="5">
        <v>3000000</v>
      </c>
      <c r="K1704" s="5">
        <v>5090000</v>
      </c>
      <c r="L1704" s="5">
        <v>5390000</v>
      </c>
      <c r="M1704" s="7">
        <v>1678.7</v>
      </c>
      <c r="N1704" s="5">
        <v>51400000</v>
      </c>
      <c r="O1704" s="5">
        <v>54400000</v>
      </c>
      <c r="P1704" s="3">
        <v>0.97916666666666663</v>
      </c>
    </row>
    <row r="1705" spans="1:16" x14ac:dyDescent="0.25">
      <c r="A1705" s="2">
        <v>44905</v>
      </c>
      <c r="B1705" s="2">
        <v>44846</v>
      </c>
      <c r="C1705" t="str">
        <f>+"Tuáº§n "&amp;WEEKNUM(B1705)</f>
        <v>Tuáº§n 42</v>
      </c>
      <c r="D1705" t="s">
        <v>19</v>
      </c>
      <c r="E1705" t="s">
        <v>17</v>
      </c>
      <c r="F1705" s="5">
        <v>50700000</v>
      </c>
      <c r="G1705" s="5">
        <v>53700000</v>
      </c>
      <c r="H1705" s="5">
        <f>+(M1705*26000)/0.829426</f>
        <v>52358860.223817438</v>
      </c>
      <c r="I1705" s="5">
        <f>+G1705-H1705</f>
        <v>1341139.7761825621</v>
      </c>
      <c r="J1705" s="5">
        <v>3000000</v>
      </c>
      <c r="K1705" s="5">
        <v>5070000</v>
      </c>
      <c r="L1705" s="5">
        <v>5370000</v>
      </c>
      <c r="M1705" s="7">
        <v>1670.3</v>
      </c>
      <c r="N1705" s="5">
        <v>51200000</v>
      </c>
      <c r="O1705" s="5">
        <v>54200000</v>
      </c>
      <c r="P1705" s="3">
        <v>0.97916666666666663</v>
      </c>
    </row>
    <row r="1706" spans="1:16" x14ac:dyDescent="0.25">
      <c r="A1706" t="s">
        <v>1049</v>
      </c>
      <c r="B1706" s="2">
        <v>44847</v>
      </c>
      <c r="C1706" t="str">
        <f>+"Tuáº§n "&amp;WEEKNUM(B1706)</f>
        <v>Tuáº§n 42</v>
      </c>
      <c r="D1706" t="s">
        <v>20</v>
      </c>
      <c r="E1706" t="s">
        <v>17</v>
      </c>
      <c r="F1706" s="5">
        <v>50700000</v>
      </c>
      <c r="G1706" s="5">
        <v>53700000</v>
      </c>
      <c r="H1706" s="5">
        <f>+(M1706*26000)/0.829426</f>
        <v>52349456.129901886</v>
      </c>
      <c r="I1706" s="5">
        <f>+G1706-H1706</f>
        <v>1350543.870098114</v>
      </c>
      <c r="J1706" s="5">
        <v>3000000</v>
      </c>
      <c r="K1706" s="5">
        <v>5070000</v>
      </c>
      <c r="L1706" s="5">
        <v>5370000</v>
      </c>
      <c r="M1706" s="7">
        <v>1670</v>
      </c>
      <c r="N1706" s="5">
        <v>51200000</v>
      </c>
      <c r="O1706" s="5">
        <v>54200000</v>
      </c>
      <c r="P1706" s="3">
        <v>0.97916666666666663</v>
      </c>
    </row>
    <row r="1707" spans="1:16" x14ac:dyDescent="0.25">
      <c r="A1707" t="s">
        <v>1050</v>
      </c>
      <c r="B1707" s="2">
        <v>44848</v>
      </c>
      <c r="C1707" t="str">
        <f>+"Tuáº§n "&amp;WEEKNUM(B1707)</f>
        <v>Tuáº§n 42</v>
      </c>
      <c r="D1707" t="s">
        <v>21</v>
      </c>
      <c r="E1707" t="s">
        <v>17</v>
      </c>
      <c r="F1707" s="5">
        <v>49800000</v>
      </c>
      <c r="G1707" s="5">
        <v>52800000</v>
      </c>
      <c r="H1707" s="5">
        <f>+(M1707*26000)/0.829426</f>
        <v>51462336.603868216</v>
      </c>
      <c r="I1707" s="5">
        <f>+G1707-H1707</f>
        <v>1337663.3961317837</v>
      </c>
      <c r="J1707" s="5">
        <v>3000000</v>
      </c>
      <c r="K1707" s="5">
        <v>4980000</v>
      </c>
      <c r="L1707" s="5">
        <v>5280000</v>
      </c>
      <c r="M1707" s="7">
        <v>1641.7</v>
      </c>
      <c r="N1707" s="5">
        <v>50300000</v>
      </c>
      <c r="O1707" s="5">
        <v>53300000</v>
      </c>
      <c r="P1707" s="3">
        <v>0.97916666666666663</v>
      </c>
    </row>
    <row r="1708" spans="1:16" x14ac:dyDescent="0.25">
      <c r="A1708" t="s">
        <v>1051</v>
      </c>
      <c r="B1708" s="2">
        <v>44851</v>
      </c>
      <c r="C1708" t="str">
        <f>+"Tuáº§n "&amp;WEEKNUM(B1708)</f>
        <v>Tuáº§n 43</v>
      </c>
      <c r="D1708" t="s">
        <v>16</v>
      </c>
      <c r="E1708" t="s">
        <v>17</v>
      </c>
      <c r="F1708" s="5">
        <v>50300000</v>
      </c>
      <c r="G1708" s="5">
        <v>53300000</v>
      </c>
      <c r="H1708" s="5">
        <f>+(M1708*26000)/0.829426</f>
        <v>51941945.393561333</v>
      </c>
      <c r="I1708" s="5">
        <f>+G1708-H1708</f>
        <v>1358054.6064386666</v>
      </c>
      <c r="J1708" s="5">
        <v>3000000</v>
      </c>
      <c r="K1708" s="5">
        <v>5030000</v>
      </c>
      <c r="L1708" s="5">
        <v>5330000</v>
      </c>
      <c r="M1708" s="7">
        <v>1657</v>
      </c>
      <c r="N1708" s="5">
        <v>50800000</v>
      </c>
      <c r="O1708" s="5">
        <v>53800000</v>
      </c>
      <c r="P1708" s="3">
        <v>0.97916666666666663</v>
      </c>
    </row>
    <row r="1709" spans="1:16" x14ac:dyDescent="0.25">
      <c r="A1709" t="s">
        <v>1052</v>
      </c>
      <c r="B1709" s="2">
        <v>44852</v>
      </c>
      <c r="C1709" t="str">
        <f>+"Tuáº§n "&amp;WEEKNUM(B1709)</f>
        <v>Tuáº§n 43</v>
      </c>
      <c r="D1709" t="s">
        <v>18</v>
      </c>
      <c r="E1709" t="s">
        <v>17</v>
      </c>
      <c r="F1709" s="5">
        <v>50000000</v>
      </c>
      <c r="G1709" s="5">
        <v>53000000</v>
      </c>
      <c r="H1709" s="5">
        <f>+(M1709*26000)/0.829426</f>
        <v>51691169.555813298</v>
      </c>
      <c r="I1709" s="5">
        <f>+G1709-H1709</f>
        <v>1308830.4441867024</v>
      </c>
      <c r="J1709" s="5">
        <v>3000000</v>
      </c>
      <c r="K1709" s="5">
        <v>5000000</v>
      </c>
      <c r="L1709" s="5">
        <v>5300000</v>
      </c>
      <c r="M1709" s="7">
        <v>1649</v>
      </c>
      <c r="N1709" s="5">
        <v>50500000</v>
      </c>
      <c r="O1709" s="5">
        <v>53500000</v>
      </c>
      <c r="P1709" s="3">
        <v>0.97916666666666663</v>
      </c>
    </row>
    <row r="1710" spans="1:16" x14ac:dyDescent="0.25">
      <c r="A1710" t="s">
        <v>1053</v>
      </c>
      <c r="B1710" s="2">
        <v>44853</v>
      </c>
      <c r="C1710" t="str">
        <f>+"Tuáº§n "&amp;WEEKNUM(B1710)</f>
        <v>Tuáº§n 43</v>
      </c>
      <c r="D1710" t="s">
        <v>19</v>
      </c>
      <c r="E1710" t="s">
        <v>17</v>
      </c>
      <c r="F1710" s="5">
        <v>49300000</v>
      </c>
      <c r="G1710" s="5">
        <v>52300000</v>
      </c>
      <c r="H1710" s="5">
        <f>+(M1710*26000)/0.829426</f>
        <v>51017209.491865456</v>
      </c>
      <c r="I1710" s="5">
        <f>+G1710-H1710</f>
        <v>1282790.5081345439</v>
      </c>
      <c r="J1710" s="5">
        <v>3000000</v>
      </c>
      <c r="K1710" s="5">
        <v>4930000</v>
      </c>
      <c r="L1710" s="5">
        <v>5230000</v>
      </c>
      <c r="M1710" s="7">
        <v>1627.5</v>
      </c>
      <c r="N1710" s="5">
        <v>49800000</v>
      </c>
      <c r="O1710" s="5">
        <v>52800000</v>
      </c>
      <c r="P1710" s="3">
        <v>0.97916666666666663</v>
      </c>
    </row>
    <row r="1711" spans="1:16" x14ac:dyDescent="0.25">
      <c r="A1711" t="s">
        <v>1054</v>
      </c>
      <c r="B1711" s="2">
        <v>44854</v>
      </c>
      <c r="C1711" t="str">
        <f>+"Tuáº§n "&amp;WEEKNUM(B1711)</f>
        <v>Tuáº§n 43</v>
      </c>
      <c r="D1711" t="s">
        <v>20</v>
      </c>
      <c r="E1711" t="s">
        <v>17</v>
      </c>
      <c r="F1711" s="5">
        <v>49400000</v>
      </c>
      <c r="G1711" s="5">
        <v>52400000</v>
      </c>
      <c r="H1711" s="5">
        <f>+(M1711*26000)/0.829426</f>
        <v>51120654.52493652</v>
      </c>
      <c r="I1711" s="5">
        <f>+G1711-H1711</f>
        <v>1279345.4750634804</v>
      </c>
      <c r="J1711" s="5">
        <v>3000000</v>
      </c>
      <c r="K1711" s="5">
        <v>4940000</v>
      </c>
      <c r="L1711" s="5">
        <v>5240000</v>
      </c>
      <c r="M1711" s="7">
        <v>1630.8</v>
      </c>
      <c r="N1711" s="5">
        <v>49900000</v>
      </c>
      <c r="O1711" s="5">
        <v>52900000</v>
      </c>
      <c r="P1711" s="3">
        <v>0.97916666666666663</v>
      </c>
    </row>
    <row r="1712" spans="1:16" x14ac:dyDescent="0.25">
      <c r="A1712" t="s">
        <v>1055</v>
      </c>
      <c r="B1712" s="2">
        <v>44855</v>
      </c>
      <c r="C1712" t="str">
        <f>+"Tuáº§n "&amp;WEEKNUM(B1712)</f>
        <v>Tuáº§n 43</v>
      </c>
      <c r="D1712" t="s">
        <v>21</v>
      </c>
      <c r="E1712" t="s">
        <v>17</v>
      </c>
      <c r="F1712" s="5">
        <v>50100000</v>
      </c>
      <c r="G1712" s="5">
        <v>53100000</v>
      </c>
      <c r="H1712" s="5">
        <f>+(M1712*26000)/0.829426</f>
        <v>51753863.515250303</v>
      </c>
      <c r="I1712" s="5">
        <f>+G1712-H1712</f>
        <v>1346136.4847496971</v>
      </c>
      <c r="J1712" s="5">
        <v>3000000</v>
      </c>
      <c r="K1712" s="5">
        <v>5010000</v>
      </c>
      <c r="L1712" s="5">
        <v>5310000</v>
      </c>
      <c r="M1712" s="7">
        <v>1651</v>
      </c>
      <c r="N1712" s="5">
        <v>50600000</v>
      </c>
      <c r="O1712" s="5">
        <v>53600000</v>
      </c>
      <c r="P1712" s="3">
        <v>0.97916666666666663</v>
      </c>
    </row>
    <row r="1713" spans="1:16" x14ac:dyDescent="0.25">
      <c r="A1713" t="s">
        <v>1056</v>
      </c>
      <c r="B1713" s="2">
        <v>44858</v>
      </c>
      <c r="C1713" t="str">
        <f>+"Tuáº§n "&amp;WEEKNUM(B1713)</f>
        <v>Tuáº§n 44</v>
      </c>
      <c r="D1713" t="s">
        <v>16</v>
      </c>
      <c r="E1713" t="s">
        <v>17</v>
      </c>
      <c r="F1713" s="5">
        <v>50000000</v>
      </c>
      <c r="G1713" s="5">
        <v>53000000</v>
      </c>
      <c r="H1713" s="5">
        <f>+(M1713*26000)/0.829426</f>
        <v>51681765.461897746</v>
      </c>
      <c r="I1713" s="5">
        <f>+G1713-H1713</f>
        <v>1318234.5381022543</v>
      </c>
      <c r="J1713" s="5">
        <v>3000000</v>
      </c>
      <c r="K1713" s="5">
        <v>5000000</v>
      </c>
      <c r="L1713" s="5">
        <v>5300000</v>
      </c>
      <c r="M1713" s="7">
        <v>1648.7</v>
      </c>
      <c r="N1713" s="5">
        <v>50500000</v>
      </c>
      <c r="O1713" s="5">
        <v>53500000</v>
      </c>
      <c r="P1713" s="3">
        <v>0.97916666666666663</v>
      </c>
    </row>
    <row r="1714" spans="1:16" x14ac:dyDescent="0.25">
      <c r="A1714" t="s">
        <v>1057</v>
      </c>
      <c r="B1714" s="2">
        <v>44859</v>
      </c>
      <c r="C1714" t="str">
        <f>+"Tuáº§n "&amp;WEEKNUM(B1714)</f>
        <v>Tuáº§n 44</v>
      </c>
      <c r="D1714" t="s">
        <v>18</v>
      </c>
      <c r="E1714" t="s">
        <v>17</v>
      </c>
      <c r="F1714" s="5">
        <v>50100000</v>
      </c>
      <c r="G1714" s="5">
        <v>53100000</v>
      </c>
      <c r="H1714" s="5">
        <f>+(M1714*26000)/0.829426</f>
        <v>51810288.078743614</v>
      </c>
      <c r="I1714" s="5">
        <f>+G1714-H1714</f>
        <v>1289711.9212563857</v>
      </c>
      <c r="J1714" s="5">
        <v>3000000</v>
      </c>
      <c r="K1714" s="5">
        <v>5010000</v>
      </c>
      <c r="L1714" s="5">
        <v>5310000</v>
      </c>
      <c r="M1714" s="7">
        <v>1652.8</v>
      </c>
      <c r="N1714" s="5">
        <v>50600000</v>
      </c>
      <c r="O1714" s="5">
        <v>53600000</v>
      </c>
      <c r="P1714" s="3">
        <v>0.97916666666666663</v>
      </c>
    </row>
    <row r="1715" spans="1:16" x14ac:dyDescent="0.25">
      <c r="A1715" t="s">
        <v>1058</v>
      </c>
      <c r="B1715" s="2">
        <v>44860</v>
      </c>
      <c r="C1715" t="str">
        <f>+"Tuáº§n "&amp;WEEKNUM(B1715)</f>
        <v>Tuáº§n 44</v>
      </c>
      <c r="D1715" t="s">
        <v>19</v>
      </c>
      <c r="E1715" t="s">
        <v>17</v>
      </c>
      <c r="F1715" s="5">
        <v>50500000</v>
      </c>
      <c r="G1715" s="5">
        <v>53500000</v>
      </c>
      <c r="H1715" s="5">
        <f>+(M1715*26000)/0.829426</f>
        <v>52161374.251590863</v>
      </c>
      <c r="I1715" s="5">
        <f>+G1715-H1715</f>
        <v>1338625.7484091371</v>
      </c>
      <c r="J1715" s="5">
        <v>3000000</v>
      </c>
      <c r="K1715" s="5">
        <v>5050000</v>
      </c>
      <c r="L1715" s="5">
        <v>5350000</v>
      </c>
      <c r="M1715" s="7">
        <v>1664</v>
      </c>
      <c r="N1715" s="5">
        <v>51000000</v>
      </c>
      <c r="O1715" s="5">
        <v>54000000</v>
      </c>
      <c r="P1715" s="3">
        <v>0.97916666666666663</v>
      </c>
    </row>
    <row r="1716" spans="1:16" x14ac:dyDescent="0.25">
      <c r="A1716" t="s">
        <v>1059</v>
      </c>
      <c r="B1716" s="2">
        <v>44861</v>
      </c>
      <c r="C1716" t="str">
        <f>+"Tuáº§n "&amp;WEEKNUM(B1716)</f>
        <v>Tuáº§n 44</v>
      </c>
      <c r="D1716" t="s">
        <v>20</v>
      </c>
      <c r="E1716" t="s">
        <v>17</v>
      </c>
      <c r="F1716" s="5">
        <v>50400000</v>
      </c>
      <c r="G1716" s="5">
        <v>53400000</v>
      </c>
      <c r="H1716" s="5">
        <f>+(M1716*26000)/0.829426</f>
        <v>52057929.218519799</v>
      </c>
      <c r="I1716" s="5">
        <f>+G1716-H1716</f>
        <v>1342070.7814802006</v>
      </c>
      <c r="J1716" s="5">
        <v>3000000</v>
      </c>
      <c r="K1716" s="5">
        <v>5040000</v>
      </c>
      <c r="L1716" s="5">
        <v>5340000</v>
      </c>
      <c r="M1716" s="7">
        <v>1660.7</v>
      </c>
      <c r="N1716" s="5">
        <v>50900000</v>
      </c>
      <c r="O1716" s="5">
        <v>53900000</v>
      </c>
      <c r="P1716" s="3">
        <v>0.97916666666666663</v>
      </c>
    </row>
    <row r="1717" spans="1:16" x14ac:dyDescent="0.25">
      <c r="A1717" t="s">
        <v>1060</v>
      </c>
      <c r="B1717" s="2">
        <v>44862</v>
      </c>
      <c r="C1717" t="str">
        <f>+"Tuáº§n "&amp;WEEKNUM(B1717)</f>
        <v>Tuáº§n 44</v>
      </c>
      <c r="D1717" t="s">
        <v>21</v>
      </c>
      <c r="E1717" t="s">
        <v>17</v>
      </c>
      <c r="F1717" s="5">
        <v>49700000</v>
      </c>
      <c r="G1717" s="5">
        <v>52700000</v>
      </c>
      <c r="H1717" s="5">
        <f>+(M1717*26000)/0.829426</f>
        <v>51396507.94645936</v>
      </c>
      <c r="I1717" s="5">
        <f>+G1717-H1717</f>
        <v>1303492.0535406396</v>
      </c>
      <c r="J1717" s="5">
        <v>3000000</v>
      </c>
      <c r="K1717" s="5">
        <v>4970000</v>
      </c>
      <c r="L1717" s="5">
        <v>5270000</v>
      </c>
      <c r="M1717" s="7">
        <v>1639.6</v>
      </c>
      <c r="N1717" s="5">
        <v>50200000</v>
      </c>
      <c r="O1717" s="5">
        <v>53200000</v>
      </c>
      <c r="P1717" s="3">
        <v>0.97916666666666663</v>
      </c>
    </row>
    <row r="1718" spans="1:16" x14ac:dyDescent="0.25">
      <c r="A1718" t="s">
        <v>1061</v>
      </c>
      <c r="B1718" s="2">
        <v>44865</v>
      </c>
      <c r="C1718" t="str">
        <f>+"Tuáº§n "&amp;WEEKNUM(B1718)</f>
        <v>Tuáº§n 45</v>
      </c>
      <c r="D1718" t="s">
        <v>16</v>
      </c>
      <c r="E1718" t="s">
        <v>17</v>
      </c>
      <c r="F1718" s="5">
        <v>49600000</v>
      </c>
      <c r="G1718" s="5">
        <v>52600000</v>
      </c>
      <c r="H1718" s="5">
        <f>+(M1718*26000)/0.829426</f>
        <v>51280524.121500894</v>
      </c>
      <c r="I1718" s="5">
        <f>+G1718-H1718</f>
        <v>1319475.8784991056</v>
      </c>
      <c r="J1718" s="5">
        <v>3000000</v>
      </c>
      <c r="K1718" s="5">
        <v>4960000</v>
      </c>
      <c r="L1718" s="5">
        <v>5260000</v>
      </c>
      <c r="M1718" s="7">
        <v>1635.9</v>
      </c>
      <c r="N1718" s="5">
        <v>50100000</v>
      </c>
      <c r="O1718" s="5">
        <v>53100000</v>
      </c>
      <c r="P1718" s="3">
        <v>0.97916666666666663</v>
      </c>
    </row>
    <row r="1719" spans="1:16" x14ac:dyDescent="0.25">
      <c r="A1719" s="2">
        <v>44572</v>
      </c>
      <c r="B1719" s="2">
        <v>44866</v>
      </c>
      <c r="C1719" t="str">
        <f>+"Tuáº§n "&amp;WEEKNUM(B1719)</f>
        <v>Tuáº§n 45</v>
      </c>
      <c r="D1719" t="s">
        <v>18</v>
      </c>
      <c r="E1719" t="s">
        <v>17</v>
      </c>
      <c r="F1719" s="5">
        <v>49900000</v>
      </c>
      <c r="G1719" s="5">
        <v>52900000</v>
      </c>
      <c r="H1719" s="5">
        <f>+(M1719*26000)/0.829426</f>
        <v>51565781.63693928</v>
      </c>
      <c r="I1719" s="5">
        <f>+G1719-H1719</f>
        <v>1334218.3630607203</v>
      </c>
      <c r="J1719" s="5">
        <v>3000000</v>
      </c>
      <c r="K1719" s="5">
        <v>4990000</v>
      </c>
      <c r="L1719" s="5">
        <v>5290000</v>
      </c>
      <c r="M1719" s="7">
        <v>1645</v>
      </c>
      <c r="N1719" s="5">
        <v>50400000</v>
      </c>
      <c r="O1719" s="5">
        <v>53400000</v>
      </c>
      <c r="P1719" s="3">
        <v>0.97916666666666663</v>
      </c>
    </row>
    <row r="1720" spans="1:16" x14ac:dyDescent="0.25">
      <c r="A1720" s="2">
        <v>44603</v>
      </c>
      <c r="B1720" s="2">
        <v>44867</v>
      </c>
      <c r="C1720" t="str">
        <f>+"Tuáº§n "&amp;WEEKNUM(B1720)</f>
        <v>Tuáº§n 45</v>
      </c>
      <c r="D1720" t="s">
        <v>19</v>
      </c>
      <c r="E1720" t="s">
        <v>17</v>
      </c>
      <c r="F1720" s="5">
        <v>49900000</v>
      </c>
      <c r="G1720" s="5">
        <v>52900000</v>
      </c>
      <c r="H1720" s="5">
        <f>+(M1720*26000)/0.829426</f>
        <v>51587724.522742234</v>
      </c>
      <c r="I1720" s="5">
        <f>+G1720-H1720</f>
        <v>1312275.4772577658</v>
      </c>
      <c r="J1720" s="5">
        <v>3000000</v>
      </c>
      <c r="K1720" s="5">
        <v>4990000</v>
      </c>
      <c r="L1720" s="5">
        <v>5290000</v>
      </c>
      <c r="M1720" s="7">
        <v>1645.7</v>
      </c>
      <c r="N1720" s="5">
        <v>50400000</v>
      </c>
      <c r="O1720" s="5">
        <v>53400000</v>
      </c>
      <c r="P1720" s="3">
        <v>0.97916666666666663</v>
      </c>
    </row>
    <row r="1721" spans="1:16" x14ac:dyDescent="0.25">
      <c r="A1721" s="2">
        <v>44631</v>
      </c>
      <c r="B1721" s="2">
        <v>44868</v>
      </c>
      <c r="C1721" t="str">
        <f>+"Tuáº§n "&amp;WEEKNUM(B1721)</f>
        <v>Tuáº§n 45</v>
      </c>
      <c r="D1721" t="s">
        <v>20</v>
      </c>
      <c r="E1721" t="s">
        <v>17</v>
      </c>
      <c r="F1721" s="5">
        <v>49300000</v>
      </c>
      <c r="G1721" s="5">
        <v>52300000</v>
      </c>
      <c r="H1721" s="5">
        <f>+(M1721*26000)/0.829426</f>
        <v>51010940.095921755</v>
      </c>
      <c r="I1721" s="5">
        <f>+G1721-H1721</f>
        <v>1289059.9040782452</v>
      </c>
      <c r="J1721" s="5">
        <v>3000000</v>
      </c>
      <c r="K1721" s="5">
        <v>4930000</v>
      </c>
      <c r="L1721" s="5">
        <v>5230000</v>
      </c>
      <c r="M1721" s="7">
        <v>1627.3</v>
      </c>
      <c r="N1721" s="5">
        <v>49800000</v>
      </c>
      <c r="O1721" s="5">
        <v>52800000</v>
      </c>
      <c r="P1721" s="3">
        <v>0.97916666666666663</v>
      </c>
    </row>
    <row r="1722" spans="1:16" x14ac:dyDescent="0.25">
      <c r="A1722" s="2">
        <v>44662</v>
      </c>
      <c r="B1722" s="2">
        <v>44869</v>
      </c>
      <c r="C1722" t="str">
        <f>+"Tuáº§n "&amp;WEEKNUM(B1722)</f>
        <v>Tuáº§n 45</v>
      </c>
      <c r="D1722" t="s">
        <v>21</v>
      </c>
      <c r="E1722" t="s">
        <v>17</v>
      </c>
      <c r="F1722" s="5">
        <v>50800000</v>
      </c>
      <c r="G1722" s="5">
        <v>53800000</v>
      </c>
      <c r="H1722" s="5">
        <f>+(M1722*26000)/0.829426</f>
        <v>52427823.579198144</v>
      </c>
      <c r="I1722" s="5">
        <f>+G1722-H1722</f>
        <v>1372176.4208018556</v>
      </c>
      <c r="J1722" s="5">
        <v>3000000</v>
      </c>
      <c r="K1722" s="5">
        <v>5080000</v>
      </c>
      <c r="L1722" s="5">
        <v>5380000</v>
      </c>
      <c r="M1722" s="7">
        <v>1672.5</v>
      </c>
      <c r="N1722" s="5">
        <v>51300000</v>
      </c>
      <c r="O1722" s="5">
        <v>54300000</v>
      </c>
      <c r="P1722" s="3">
        <v>0.97916666666666663</v>
      </c>
    </row>
    <row r="1723" spans="1:16" x14ac:dyDescent="0.25">
      <c r="A1723" s="2">
        <v>44753</v>
      </c>
      <c r="B1723" s="2">
        <v>44872</v>
      </c>
      <c r="C1723" t="str">
        <f>+"Tuáº§n "&amp;WEEKNUM(B1723)</f>
        <v>Tuáº§n 46</v>
      </c>
      <c r="D1723" t="s">
        <v>16</v>
      </c>
      <c r="E1723" t="s">
        <v>17</v>
      </c>
      <c r="F1723" s="5">
        <v>50900000</v>
      </c>
      <c r="G1723" s="5">
        <v>53900000</v>
      </c>
      <c r="H1723" s="5">
        <f>+(M1723*26000)/0.829426</f>
        <v>52553211.498072162</v>
      </c>
      <c r="I1723" s="5">
        <f>+G1723-H1723</f>
        <v>1346788.5019278377</v>
      </c>
      <c r="J1723" s="5">
        <v>3000000</v>
      </c>
      <c r="K1723" s="5">
        <v>5090000</v>
      </c>
      <c r="L1723" s="5">
        <v>5390000</v>
      </c>
      <c r="M1723" s="7">
        <v>1676.5</v>
      </c>
      <c r="N1723" s="5">
        <v>51400000</v>
      </c>
      <c r="O1723" s="5">
        <v>54400000</v>
      </c>
      <c r="P1723" s="3">
        <v>0.97916666666666663</v>
      </c>
    </row>
    <row r="1724" spans="1:16" x14ac:dyDescent="0.25">
      <c r="A1724" s="2">
        <v>44784</v>
      </c>
      <c r="B1724" s="2">
        <v>44873</v>
      </c>
      <c r="C1724" t="str">
        <f>+"Tuáº§n "&amp;WEEKNUM(B1724)</f>
        <v>Tuáº§n 46</v>
      </c>
      <c r="D1724" t="s">
        <v>18</v>
      </c>
      <c r="E1724" t="s">
        <v>17</v>
      </c>
      <c r="F1724" s="5">
        <v>52000000</v>
      </c>
      <c r="G1724" s="5">
        <v>55000000</v>
      </c>
      <c r="H1724" s="5">
        <f>+(M1724*26000)/0.829426</f>
        <v>53669163.976050906</v>
      </c>
      <c r="I1724" s="5">
        <f>+G1724-H1724</f>
        <v>1330836.0239490941</v>
      </c>
      <c r="J1724" s="5">
        <v>3000000</v>
      </c>
      <c r="K1724" s="5">
        <v>5200000</v>
      </c>
      <c r="L1724" s="5">
        <v>5500000</v>
      </c>
      <c r="M1724" s="7">
        <v>1712.1</v>
      </c>
      <c r="N1724" s="5">
        <v>52500000</v>
      </c>
      <c r="O1724" s="5">
        <v>55500000</v>
      </c>
      <c r="P1724" s="3">
        <v>0.97916666666666663</v>
      </c>
    </row>
    <row r="1725" spans="1:16" x14ac:dyDescent="0.25">
      <c r="A1725" s="2">
        <v>44815</v>
      </c>
      <c r="B1725" s="2">
        <v>44874</v>
      </c>
      <c r="C1725" t="str">
        <f>+"Tuáº§n "&amp;WEEKNUM(B1725)</f>
        <v>Tuáº§n 46</v>
      </c>
      <c r="D1725" t="s">
        <v>19</v>
      </c>
      <c r="E1725" t="s">
        <v>17</v>
      </c>
      <c r="F1725" s="5">
        <v>52000000</v>
      </c>
      <c r="G1725" s="5">
        <v>55000000</v>
      </c>
      <c r="H1725" s="5">
        <f>+(M1725*26000)/0.829426</f>
        <v>53606470.016613901</v>
      </c>
      <c r="I1725" s="5">
        <f>+G1725-H1725</f>
        <v>1393529.9833860993</v>
      </c>
      <c r="J1725" s="5">
        <v>3000000</v>
      </c>
      <c r="K1725" s="5">
        <v>5200000</v>
      </c>
      <c r="L1725" s="5">
        <v>5500000</v>
      </c>
      <c r="M1725" s="7">
        <v>1710.1</v>
      </c>
      <c r="N1725" s="5">
        <v>52500000</v>
      </c>
      <c r="O1725" s="5">
        <v>55500000</v>
      </c>
      <c r="P1725" s="3">
        <v>0.97916666666666663</v>
      </c>
    </row>
    <row r="1726" spans="1:16" x14ac:dyDescent="0.25">
      <c r="A1726" s="2">
        <v>44845</v>
      </c>
      <c r="B1726" s="2">
        <v>44875</v>
      </c>
      <c r="C1726" t="str">
        <f>+"Tuáº§n "&amp;WEEKNUM(B1726)</f>
        <v>Tuáº§n 46</v>
      </c>
      <c r="D1726" t="s">
        <v>20</v>
      </c>
      <c r="E1726" t="s">
        <v>17</v>
      </c>
      <c r="F1726" s="5">
        <v>53300000</v>
      </c>
      <c r="G1726" s="5">
        <v>56300000</v>
      </c>
      <c r="H1726" s="5">
        <f>+(M1726*26000)/0.829426</f>
        <v>54866618.601297766</v>
      </c>
      <c r="I1726" s="5">
        <f>+G1726-H1726</f>
        <v>1433381.398702234</v>
      </c>
      <c r="J1726" s="5">
        <v>3000000</v>
      </c>
      <c r="K1726" s="5">
        <v>5330000</v>
      </c>
      <c r="L1726" s="5">
        <v>5630000</v>
      </c>
      <c r="M1726" s="7">
        <v>1750.3</v>
      </c>
      <c r="N1726" s="5">
        <v>53800000</v>
      </c>
      <c r="O1726" s="5">
        <v>56800000</v>
      </c>
      <c r="P1726" s="3">
        <v>0.97916666666666663</v>
      </c>
    </row>
    <row r="1727" spans="1:16" x14ac:dyDescent="0.25">
      <c r="A1727" s="2">
        <v>44876</v>
      </c>
      <c r="B1727" s="2">
        <v>44876</v>
      </c>
      <c r="C1727" t="str">
        <f>+"Tuáº§n "&amp;WEEKNUM(B1727)</f>
        <v>Tuáº§n 46</v>
      </c>
      <c r="D1727" t="s">
        <v>21</v>
      </c>
      <c r="E1727" t="s">
        <v>17</v>
      </c>
      <c r="F1727" s="5">
        <v>53800000</v>
      </c>
      <c r="G1727" s="5">
        <v>56800000</v>
      </c>
      <c r="H1727" s="5">
        <f>+(M1727*26000)/0.829426</f>
        <v>55358766.182878278</v>
      </c>
      <c r="I1727" s="5">
        <f>+G1727-H1727</f>
        <v>1441233.8171217218</v>
      </c>
      <c r="J1727" s="5">
        <v>3000000</v>
      </c>
      <c r="K1727" s="5">
        <v>5380000</v>
      </c>
      <c r="L1727" s="5">
        <v>5680000</v>
      </c>
      <c r="M1727" s="7">
        <v>1766</v>
      </c>
      <c r="N1727" s="5">
        <v>54300000</v>
      </c>
      <c r="O1727" s="5">
        <v>57300000</v>
      </c>
      <c r="P1727" s="3">
        <v>0.97916666666666663</v>
      </c>
    </row>
    <row r="1728" spans="1:16" x14ac:dyDescent="0.25">
      <c r="A1728" t="s">
        <v>1062</v>
      </c>
      <c r="B1728" s="2">
        <v>44879</v>
      </c>
      <c r="C1728" t="str">
        <f>+"Tuáº§n "&amp;WEEKNUM(B1728)</f>
        <v>Tuáº§n 47</v>
      </c>
      <c r="D1728" t="s">
        <v>16</v>
      </c>
      <c r="E1728" t="s">
        <v>17</v>
      </c>
      <c r="F1728" s="5">
        <v>54000000</v>
      </c>
      <c r="G1728" s="5">
        <v>57000000</v>
      </c>
      <c r="H1728" s="5">
        <f>+(M1728*26000)/0.829426</f>
        <v>55597003.228738911</v>
      </c>
      <c r="I1728" s="5">
        <f>+G1728-H1728</f>
        <v>1402996.7712610886</v>
      </c>
      <c r="J1728" s="5">
        <v>3000000</v>
      </c>
      <c r="K1728" s="5">
        <v>5400000</v>
      </c>
      <c r="L1728" s="5">
        <v>5700000</v>
      </c>
      <c r="M1728" s="7">
        <v>1773.6</v>
      </c>
      <c r="N1728" s="5">
        <v>54500000</v>
      </c>
      <c r="O1728" s="5">
        <v>57500000</v>
      </c>
      <c r="P1728" s="3">
        <v>0.97916666666666663</v>
      </c>
    </row>
    <row r="1729" spans="1:16" x14ac:dyDescent="0.25">
      <c r="A1729" t="s">
        <v>1063</v>
      </c>
      <c r="B1729" s="2">
        <v>44880</v>
      </c>
      <c r="C1729" t="str">
        <f>+"Tuáº§n "&amp;WEEKNUM(B1729)</f>
        <v>Tuáº§n 47</v>
      </c>
      <c r="D1729" t="s">
        <v>18</v>
      </c>
      <c r="E1729" t="s">
        <v>17</v>
      </c>
      <c r="F1729" s="5">
        <v>54000000</v>
      </c>
      <c r="G1729" s="5">
        <v>57000000</v>
      </c>
      <c r="H1729" s="5">
        <f>+(M1729*26000)/0.829426</f>
        <v>55603272.624682613</v>
      </c>
      <c r="I1729" s="5">
        <f>+G1729-H1729</f>
        <v>1396727.3753173873</v>
      </c>
      <c r="J1729" s="5">
        <v>3000000</v>
      </c>
      <c r="K1729" s="5">
        <v>5400000</v>
      </c>
      <c r="L1729" s="5">
        <v>5700000</v>
      </c>
      <c r="M1729" s="7">
        <v>1773.8</v>
      </c>
      <c r="N1729" s="5">
        <v>54500000</v>
      </c>
      <c r="O1729" s="5">
        <v>57500000</v>
      </c>
      <c r="P1729" s="3">
        <v>0.97916666666666663</v>
      </c>
    </row>
    <row r="1730" spans="1:16" x14ac:dyDescent="0.25">
      <c r="A1730" t="s">
        <v>1064</v>
      </c>
      <c r="B1730" s="2">
        <v>44881</v>
      </c>
      <c r="C1730" t="str">
        <f>+"Tuáº§n "&amp;WEEKNUM(B1730)</f>
        <v>Tuáº§n 47</v>
      </c>
      <c r="D1730" t="s">
        <v>19</v>
      </c>
      <c r="E1730" t="s">
        <v>17</v>
      </c>
      <c r="F1730" s="5">
        <v>54000000</v>
      </c>
      <c r="G1730" s="5">
        <v>57000000</v>
      </c>
      <c r="H1730" s="5">
        <f>+(M1730*26000)/0.829426</f>
        <v>55578195.040907808</v>
      </c>
      <c r="I1730" s="5">
        <f>+G1730-H1730</f>
        <v>1421804.9590921924</v>
      </c>
      <c r="J1730" s="5">
        <v>3000000</v>
      </c>
      <c r="K1730" s="5">
        <v>5400000</v>
      </c>
      <c r="L1730" s="5">
        <v>5700000</v>
      </c>
      <c r="M1730" s="7">
        <v>1773</v>
      </c>
      <c r="N1730" s="5">
        <v>54500000</v>
      </c>
      <c r="O1730" s="5">
        <v>57500000</v>
      </c>
      <c r="P1730" s="3">
        <v>0.97916666666666663</v>
      </c>
    </row>
    <row r="1731" spans="1:16" x14ac:dyDescent="0.25">
      <c r="A1731" t="s">
        <v>1065</v>
      </c>
      <c r="B1731" s="2">
        <v>44882</v>
      </c>
      <c r="C1731" t="str">
        <f>+"Tuáº§n "&amp;WEEKNUM(B1731)</f>
        <v>Tuáº§n 47</v>
      </c>
      <c r="D1731" t="s">
        <v>20</v>
      </c>
      <c r="E1731" t="s">
        <v>17</v>
      </c>
      <c r="F1731" s="5">
        <v>53600000</v>
      </c>
      <c r="G1731" s="5">
        <v>56600000</v>
      </c>
      <c r="H1731" s="5">
        <f>+(M1731*26000)/0.829426</f>
        <v>55195761.88834206</v>
      </c>
      <c r="I1731" s="5">
        <f>+G1731-H1731</f>
        <v>1404238.1116579399</v>
      </c>
      <c r="J1731" s="5">
        <v>3000000</v>
      </c>
      <c r="K1731" s="5">
        <v>5360000</v>
      </c>
      <c r="L1731" s="5">
        <v>5660000</v>
      </c>
      <c r="M1731" s="7">
        <v>1760.8</v>
      </c>
      <c r="N1731" s="5">
        <v>54100000</v>
      </c>
      <c r="O1731" s="5">
        <v>57100000</v>
      </c>
      <c r="P1731" s="3">
        <v>0.97916666666666663</v>
      </c>
    </row>
    <row r="1732" spans="1:16" x14ac:dyDescent="0.25">
      <c r="A1732" t="s">
        <v>1066</v>
      </c>
      <c r="B1732" s="2">
        <v>44883</v>
      </c>
      <c r="C1732" t="str">
        <f>+"Tuáº§n "&amp;WEEKNUM(B1732)</f>
        <v>Tuáº§n 47</v>
      </c>
      <c r="D1732" t="s">
        <v>21</v>
      </c>
      <c r="E1732" t="s">
        <v>17</v>
      </c>
      <c r="F1732" s="5">
        <v>53300000</v>
      </c>
      <c r="G1732" s="5">
        <v>56300000</v>
      </c>
      <c r="H1732" s="5">
        <f>+(M1732*26000)/0.829426</f>
        <v>54916773.768847369</v>
      </c>
      <c r="I1732" s="5">
        <f>+G1732-H1732</f>
        <v>1383226.2311526313</v>
      </c>
      <c r="J1732" s="5">
        <v>3000000</v>
      </c>
      <c r="K1732" s="5">
        <v>5330000</v>
      </c>
      <c r="L1732" s="5">
        <v>5630000</v>
      </c>
      <c r="M1732" s="7">
        <v>1751.9</v>
      </c>
      <c r="N1732" s="5">
        <v>53800000</v>
      </c>
      <c r="O1732" s="5">
        <v>56800000</v>
      </c>
      <c r="P1732" s="3">
        <v>0.97916666666666663</v>
      </c>
    </row>
    <row r="1733" spans="1:16" x14ac:dyDescent="0.25">
      <c r="A1733" t="s">
        <v>1067</v>
      </c>
      <c r="B1733" s="2">
        <v>44886</v>
      </c>
      <c r="C1733" t="str">
        <f>+"Tuáº§n "&amp;WEEKNUM(B1733)</f>
        <v>Tuáº§n 48</v>
      </c>
      <c r="D1733" t="s">
        <v>16</v>
      </c>
      <c r="E1733" t="s">
        <v>17</v>
      </c>
      <c r="F1733" s="5">
        <v>52800000</v>
      </c>
      <c r="G1733" s="5">
        <v>55800000</v>
      </c>
      <c r="H1733" s="5">
        <f>+(M1733*26000)/0.829426</f>
        <v>54462242.562929064</v>
      </c>
      <c r="I1733" s="5">
        <f>+G1733-H1733</f>
        <v>1337757.437070936</v>
      </c>
      <c r="J1733" s="5">
        <v>3000000</v>
      </c>
      <c r="K1733" s="5">
        <v>5280000</v>
      </c>
      <c r="L1733" s="5">
        <v>5580000</v>
      </c>
      <c r="M1733" s="7">
        <v>1737.4</v>
      </c>
      <c r="N1733" s="5">
        <v>53300000</v>
      </c>
      <c r="O1733" s="5">
        <v>56300000</v>
      </c>
      <c r="P1733" s="3">
        <v>0.97916666666666663</v>
      </c>
    </row>
    <row r="1734" spans="1:16" x14ac:dyDescent="0.25">
      <c r="A1734" t="s">
        <v>1068</v>
      </c>
      <c r="B1734" s="2">
        <v>44887</v>
      </c>
      <c r="C1734" t="str">
        <f>+"Tuáº§n "&amp;WEEKNUM(B1734)</f>
        <v>Tuáº§n 48</v>
      </c>
      <c r="D1734" t="s">
        <v>18</v>
      </c>
      <c r="E1734" t="s">
        <v>17</v>
      </c>
      <c r="F1734" s="5">
        <v>52900000</v>
      </c>
      <c r="G1734" s="5">
        <v>55900000</v>
      </c>
      <c r="H1734" s="5">
        <f>+(M1734*26000)/0.829426</f>
        <v>54490454.844675712</v>
      </c>
      <c r="I1734" s="5">
        <f>+G1734-H1734</f>
        <v>1409545.1553242877</v>
      </c>
      <c r="J1734" s="5">
        <v>3000000</v>
      </c>
      <c r="K1734" s="5">
        <v>5290000</v>
      </c>
      <c r="L1734" s="5">
        <v>5590000</v>
      </c>
      <c r="M1734" s="7">
        <v>1738.3</v>
      </c>
      <c r="N1734" s="5">
        <v>53400000</v>
      </c>
      <c r="O1734" s="5">
        <v>56400000</v>
      </c>
      <c r="P1734" s="3">
        <v>0.97916666666666663</v>
      </c>
    </row>
    <row r="1735" spans="1:16" x14ac:dyDescent="0.25">
      <c r="A1735" t="s">
        <v>1069</v>
      </c>
      <c r="B1735" s="2">
        <v>44888</v>
      </c>
      <c r="C1735" t="str">
        <f>+"Tuáº§n "&amp;WEEKNUM(B1735)</f>
        <v>Tuáº§n 48</v>
      </c>
      <c r="D1735" t="s">
        <v>19</v>
      </c>
      <c r="E1735" t="s">
        <v>17</v>
      </c>
      <c r="F1735" s="5">
        <v>53100000</v>
      </c>
      <c r="G1735" s="5">
        <v>56100000</v>
      </c>
      <c r="H1735" s="5">
        <f>+(M1735*26000)/0.829426</f>
        <v>54697344.910817839</v>
      </c>
      <c r="I1735" s="5">
        <f>+G1735-H1735</f>
        <v>1402655.0891821608</v>
      </c>
      <c r="J1735" s="5">
        <v>3000000</v>
      </c>
      <c r="K1735" s="5">
        <v>5310000</v>
      </c>
      <c r="L1735" s="5">
        <v>5610000</v>
      </c>
      <c r="M1735" s="7">
        <v>1744.9</v>
      </c>
      <c r="N1735" s="5">
        <v>53600000</v>
      </c>
      <c r="O1735" s="5">
        <v>56600000</v>
      </c>
      <c r="P1735" s="3">
        <v>0.97916666666666663</v>
      </c>
    </row>
    <row r="1736" spans="1:16" x14ac:dyDescent="0.25">
      <c r="A1736" t="s">
        <v>1070</v>
      </c>
      <c r="B1736" s="2">
        <v>44890</v>
      </c>
      <c r="C1736" t="str">
        <f>+"Tuáº§n "&amp;WEEKNUM(B1736)</f>
        <v>Tuáº§n 48</v>
      </c>
      <c r="D1736" t="s">
        <v>21</v>
      </c>
      <c r="E1736" t="s">
        <v>17</v>
      </c>
      <c r="F1736" s="5">
        <v>53300000</v>
      </c>
      <c r="G1736" s="5">
        <v>56300000</v>
      </c>
      <c r="H1736" s="5">
        <f>+(M1736*26000)/0.829426</f>
        <v>54960659.540453278</v>
      </c>
      <c r="I1736" s="5">
        <f>+G1736-H1736</f>
        <v>1339340.4595467225</v>
      </c>
      <c r="J1736" s="5">
        <v>3000000</v>
      </c>
      <c r="K1736" s="5">
        <v>5330000</v>
      </c>
      <c r="L1736" s="5">
        <v>5630000</v>
      </c>
      <c r="M1736" s="7">
        <v>1753.3</v>
      </c>
      <c r="N1736" s="5">
        <v>53800000</v>
      </c>
      <c r="O1736" s="5">
        <v>56800000</v>
      </c>
      <c r="P1736" s="3">
        <v>0.97916666666666663</v>
      </c>
    </row>
    <row r="1737" spans="1:16" x14ac:dyDescent="0.25">
      <c r="A1737" t="s">
        <v>1071</v>
      </c>
      <c r="B1737" s="2">
        <v>44893</v>
      </c>
      <c r="C1737" t="str">
        <f>+"Tuáº§n "&amp;WEEKNUM(B1737)</f>
        <v>Tuáº§n 49</v>
      </c>
      <c r="D1737" t="s">
        <v>16</v>
      </c>
      <c r="E1737" t="s">
        <v>17</v>
      </c>
      <c r="F1737" s="5">
        <v>52900000</v>
      </c>
      <c r="G1737" s="5">
        <v>55900000</v>
      </c>
      <c r="H1737" s="5">
        <f>+(M1737*26000)/0.829426</f>
        <v>54546879.408169024</v>
      </c>
      <c r="I1737" s="5">
        <f>+G1737-H1737</f>
        <v>1353120.5918309763</v>
      </c>
      <c r="J1737" s="5">
        <v>3000000</v>
      </c>
      <c r="K1737" s="5">
        <v>5290000</v>
      </c>
      <c r="L1737" s="5">
        <v>5590000</v>
      </c>
      <c r="M1737" s="7">
        <v>1740.1</v>
      </c>
      <c r="N1737" s="5">
        <v>53400000</v>
      </c>
      <c r="O1737" s="5">
        <v>56400000</v>
      </c>
      <c r="P1737" s="3">
        <v>0.97916666666666663</v>
      </c>
    </row>
    <row r="1738" spans="1:16" x14ac:dyDescent="0.25">
      <c r="A1738" t="s">
        <v>1072</v>
      </c>
      <c r="B1738" s="2">
        <v>44894</v>
      </c>
      <c r="C1738" t="str">
        <f>+"Tuáº§n "&amp;WEEKNUM(B1738)</f>
        <v>Tuáº§n 49</v>
      </c>
      <c r="D1738" t="s">
        <v>18</v>
      </c>
      <c r="E1738" t="s">
        <v>17</v>
      </c>
      <c r="F1738" s="5">
        <v>53200000</v>
      </c>
      <c r="G1738" s="5">
        <v>56200000</v>
      </c>
      <c r="H1738" s="5">
        <f>+(M1738*26000)/0.829426</f>
        <v>54807059.339832604</v>
      </c>
      <c r="I1738" s="5">
        <f>+G1738-H1738</f>
        <v>1392940.6601673961</v>
      </c>
      <c r="J1738" s="5">
        <v>3000000</v>
      </c>
      <c r="K1738" s="5">
        <v>5320000</v>
      </c>
      <c r="L1738" s="5">
        <v>5620000</v>
      </c>
      <c r="M1738" s="7">
        <v>1748.4</v>
      </c>
      <c r="N1738" s="5">
        <v>53700000</v>
      </c>
      <c r="O1738" s="5">
        <v>56700000</v>
      </c>
      <c r="P1738" s="3">
        <v>0.97916666666666663</v>
      </c>
    </row>
    <row r="1739" spans="1:16" x14ac:dyDescent="0.25">
      <c r="A1739" t="s">
        <v>1073</v>
      </c>
      <c r="B1739" s="2">
        <v>44895</v>
      </c>
      <c r="C1739" t="str">
        <f>+"Tuáº§n "&amp;WEEKNUM(B1739)</f>
        <v>Tuáº§n 49</v>
      </c>
      <c r="D1739" t="s">
        <v>19</v>
      </c>
      <c r="E1739" t="s">
        <v>17</v>
      </c>
      <c r="F1739" s="5">
        <v>53100000</v>
      </c>
      <c r="G1739" s="5">
        <v>56100000</v>
      </c>
      <c r="H1739" s="5">
        <f>+(M1739*26000)/0.829426</f>
        <v>54731826.588508196</v>
      </c>
      <c r="I1739" s="5">
        <f>+G1739-H1739</f>
        <v>1368173.4114918038</v>
      </c>
      <c r="J1739" s="5">
        <v>3000000</v>
      </c>
      <c r="K1739" s="5">
        <v>5310000</v>
      </c>
      <c r="L1739" s="5">
        <v>5610000</v>
      </c>
      <c r="M1739" s="7">
        <v>1746</v>
      </c>
      <c r="N1739" s="5">
        <v>53600000</v>
      </c>
      <c r="O1739" s="5">
        <v>56600000</v>
      </c>
      <c r="P1739" s="3">
        <v>0.97916666666666663</v>
      </c>
    </row>
    <row r="1740" spans="1:16" x14ac:dyDescent="0.25">
      <c r="A1740" s="2">
        <v>44573</v>
      </c>
      <c r="B1740" s="2">
        <v>44896</v>
      </c>
      <c r="C1740" t="str">
        <f>+"Tuáº§n "&amp;WEEKNUM(B1740)</f>
        <v>Tuáº§n 49</v>
      </c>
      <c r="D1740" t="s">
        <v>20</v>
      </c>
      <c r="E1740" t="s">
        <v>17</v>
      </c>
      <c r="F1740" s="5">
        <v>54900000</v>
      </c>
      <c r="G1740" s="5">
        <v>57900000</v>
      </c>
      <c r="H1740" s="5">
        <f>+(M1740*26000)/0.829426</f>
        <v>56459045.170997776</v>
      </c>
      <c r="I1740" s="5">
        <f>+G1740-H1740</f>
        <v>1440954.8290022239</v>
      </c>
      <c r="J1740" s="5">
        <v>3000000</v>
      </c>
      <c r="K1740" s="5">
        <v>5490000</v>
      </c>
      <c r="L1740" s="5">
        <v>5790000</v>
      </c>
      <c r="M1740" s="7">
        <v>1801.1</v>
      </c>
      <c r="N1740" s="5">
        <v>55400000</v>
      </c>
      <c r="O1740" s="5">
        <v>58400000</v>
      </c>
      <c r="P1740" s="3">
        <v>0.97916666666666663</v>
      </c>
    </row>
    <row r="1741" spans="1:16" x14ac:dyDescent="0.25">
      <c r="A1741" s="2">
        <v>44604</v>
      </c>
      <c r="B1741" s="2">
        <v>44897</v>
      </c>
      <c r="C1741" t="str">
        <f>+"Tuáº§n "&amp;WEEKNUM(B1741)</f>
        <v>Tuáº§n 49</v>
      </c>
      <c r="D1741" t="s">
        <v>21</v>
      </c>
      <c r="E1741" t="s">
        <v>17</v>
      </c>
      <c r="F1741" s="5">
        <v>54700000</v>
      </c>
      <c r="G1741" s="5">
        <v>57700000</v>
      </c>
      <c r="H1741" s="5">
        <f>+(M1741*26000)/0.829426</f>
        <v>56296040.876461551</v>
      </c>
      <c r="I1741" s="5">
        <f>+G1741-H1741</f>
        <v>1403959.1235384494</v>
      </c>
      <c r="J1741" s="5">
        <v>3000000</v>
      </c>
      <c r="K1741" s="5">
        <v>5470000</v>
      </c>
      <c r="L1741" s="5">
        <v>5770000</v>
      </c>
      <c r="M1741" s="7">
        <v>1795.9</v>
      </c>
      <c r="N1741" s="5">
        <v>55200000</v>
      </c>
      <c r="O1741" s="5">
        <v>58200000</v>
      </c>
      <c r="P1741" s="3">
        <v>0.97916666666666663</v>
      </c>
    </row>
    <row r="1742" spans="1:16" x14ac:dyDescent="0.25">
      <c r="A1742" s="2">
        <v>44693</v>
      </c>
      <c r="B1742" s="2">
        <v>44900</v>
      </c>
      <c r="C1742" t="str">
        <f>+"Tuáº§n "&amp;WEEKNUM(B1742)</f>
        <v>Tuáº§n 50</v>
      </c>
      <c r="D1742" t="s">
        <v>16</v>
      </c>
      <c r="E1742" t="s">
        <v>17</v>
      </c>
      <c r="F1742" s="5">
        <v>53800000</v>
      </c>
      <c r="G1742" s="5">
        <v>56800000</v>
      </c>
      <c r="H1742" s="5">
        <f>+(M1742*26000)/0.829426</f>
        <v>55402651.954484187</v>
      </c>
      <c r="I1742" s="5">
        <f>+G1742-H1742</f>
        <v>1397348.0455158129</v>
      </c>
      <c r="J1742" s="5">
        <v>3000000</v>
      </c>
      <c r="K1742" s="5">
        <v>5380000</v>
      </c>
      <c r="L1742" s="5">
        <v>5680000</v>
      </c>
      <c r="M1742" s="7">
        <v>1767.4</v>
      </c>
      <c r="N1742" s="5">
        <v>54300000</v>
      </c>
      <c r="O1742" s="5">
        <v>57300000</v>
      </c>
      <c r="P1742" s="3">
        <v>0.97916666666666663</v>
      </c>
    </row>
    <row r="1743" spans="1:16" x14ac:dyDescent="0.25">
      <c r="A1743" s="2">
        <v>44724</v>
      </c>
      <c r="B1743" s="2">
        <v>44901</v>
      </c>
      <c r="C1743" t="str">
        <f>+"Tuáº§n "&amp;WEEKNUM(B1743)</f>
        <v>Tuáº§n 50</v>
      </c>
      <c r="D1743" t="s">
        <v>18</v>
      </c>
      <c r="E1743" t="s">
        <v>17</v>
      </c>
      <c r="F1743" s="5">
        <v>53900000</v>
      </c>
      <c r="G1743" s="5">
        <v>56900000</v>
      </c>
      <c r="H1743" s="5">
        <f>+(M1743*26000)/0.829426</f>
        <v>55462211.215949342</v>
      </c>
      <c r="I1743" s="5">
        <f>+G1743-H1743</f>
        <v>1437788.7840506583</v>
      </c>
      <c r="J1743" s="5">
        <v>3000000</v>
      </c>
      <c r="K1743" s="5">
        <v>5390000</v>
      </c>
      <c r="L1743" s="5">
        <v>5690000</v>
      </c>
      <c r="M1743" s="7">
        <v>1769.3</v>
      </c>
      <c r="N1743" s="5">
        <v>54400000</v>
      </c>
      <c r="O1743" s="5">
        <v>57400000</v>
      </c>
      <c r="P1743" s="3">
        <v>0.97916666666666663</v>
      </c>
    </row>
    <row r="1744" spans="1:16" x14ac:dyDescent="0.25">
      <c r="A1744" s="2">
        <v>44754</v>
      </c>
      <c r="B1744" s="2">
        <v>44902</v>
      </c>
      <c r="C1744" t="str">
        <f>+"Tuáº§n "&amp;WEEKNUM(B1744)</f>
        <v>Tuáº§n 50</v>
      </c>
      <c r="D1744" t="s">
        <v>19</v>
      </c>
      <c r="E1744" t="s">
        <v>17</v>
      </c>
      <c r="F1744" s="5">
        <v>54400000</v>
      </c>
      <c r="G1744" s="5">
        <v>57400000</v>
      </c>
      <c r="H1744" s="5">
        <f>+(M1744*26000)/0.829426</f>
        <v>55970032.287389107</v>
      </c>
      <c r="I1744" s="5">
        <f>+G1744-H1744</f>
        <v>1429967.712610893</v>
      </c>
      <c r="J1744" s="5">
        <v>3000000</v>
      </c>
      <c r="K1744" s="5">
        <v>5440000</v>
      </c>
      <c r="L1744" s="5">
        <v>5740000</v>
      </c>
      <c r="M1744" s="7">
        <v>1785.5</v>
      </c>
      <c r="N1744" s="5">
        <v>54900000</v>
      </c>
      <c r="O1744" s="5">
        <v>57900000</v>
      </c>
      <c r="P1744" s="3">
        <v>0.97916666666666663</v>
      </c>
    </row>
    <row r="1745" spans="1:16" x14ac:dyDescent="0.25">
      <c r="A1745" s="2">
        <v>44785</v>
      </c>
      <c r="B1745" s="2">
        <v>44903</v>
      </c>
      <c r="C1745" t="str">
        <f>+"Tuáº§n "&amp;WEEKNUM(B1745)</f>
        <v>Tuáº§n 50</v>
      </c>
      <c r="D1745" t="s">
        <v>20</v>
      </c>
      <c r="E1745" t="s">
        <v>17</v>
      </c>
      <c r="F1745" s="5">
        <v>54500000</v>
      </c>
      <c r="G1745" s="5">
        <v>57500000</v>
      </c>
      <c r="H1745" s="5">
        <f>+(M1745*26000)/0.829426</f>
        <v>56070342.62248832</v>
      </c>
      <c r="I1745" s="5">
        <f>+G1745-H1745</f>
        <v>1429657.3775116801</v>
      </c>
      <c r="J1745" s="5">
        <v>3000000</v>
      </c>
      <c r="K1745" s="5">
        <v>5450000</v>
      </c>
      <c r="L1745" s="5">
        <v>5750000</v>
      </c>
      <c r="M1745" s="7">
        <v>1788.7</v>
      </c>
      <c r="N1745" s="5">
        <v>55000000</v>
      </c>
      <c r="O1745" s="5">
        <v>58000000</v>
      </c>
      <c r="P1745" s="3">
        <v>0.97916666666666663</v>
      </c>
    </row>
    <row r="1746" spans="1:16" x14ac:dyDescent="0.25">
      <c r="A1746" s="2">
        <v>44816</v>
      </c>
      <c r="B1746" s="2">
        <v>44904</v>
      </c>
      <c r="C1746" t="str">
        <f>+"Tuáº§n "&amp;WEEKNUM(B1746)</f>
        <v>Tuáº§n 50</v>
      </c>
      <c r="D1746" t="s">
        <v>21</v>
      </c>
      <c r="E1746" t="s">
        <v>17</v>
      </c>
      <c r="F1746" s="5">
        <v>54800000</v>
      </c>
      <c r="G1746" s="5">
        <v>57800000</v>
      </c>
      <c r="H1746" s="5">
        <f>+(M1746*26000)/0.829426</f>
        <v>56365004.231842265</v>
      </c>
      <c r="I1746" s="5">
        <f>+G1746-H1746</f>
        <v>1434995.7681577355</v>
      </c>
      <c r="J1746" s="5">
        <v>3000000</v>
      </c>
      <c r="K1746" s="5">
        <v>5480000</v>
      </c>
      <c r="L1746" s="5">
        <v>5780000</v>
      </c>
      <c r="M1746" s="7">
        <v>1798.1</v>
      </c>
      <c r="N1746" s="5">
        <v>55300000</v>
      </c>
      <c r="O1746" s="5">
        <v>58300000</v>
      </c>
      <c r="P1746" s="3">
        <v>0.97916666666666663</v>
      </c>
    </row>
    <row r="1747" spans="1:16" x14ac:dyDescent="0.25">
      <c r="A1747" s="2">
        <v>44907</v>
      </c>
      <c r="B1747" s="2">
        <v>44907</v>
      </c>
      <c r="C1747" t="str">
        <f>+"Tuáº§n "&amp;WEEKNUM(B1747)</f>
        <v>Tuáº§n 51</v>
      </c>
      <c r="D1747" t="s">
        <v>16</v>
      </c>
      <c r="E1747" t="s">
        <v>17</v>
      </c>
      <c r="F1747" s="5">
        <v>54200000</v>
      </c>
      <c r="G1747" s="5">
        <v>57200000</v>
      </c>
      <c r="H1747" s="5">
        <f>+(M1747*26000)/0.829426</f>
        <v>55813297.38879659</v>
      </c>
      <c r="I1747" s="5">
        <f>+G1747-H1747</f>
        <v>1386702.6112034097</v>
      </c>
      <c r="J1747" s="5">
        <v>3000000</v>
      </c>
      <c r="K1747" s="5">
        <v>5420000</v>
      </c>
      <c r="L1747" s="5">
        <v>5720000</v>
      </c>
      <c r="M1747" s="7">
        <v>1780.5</v>
      </c>
      <c r="N1747" s="5">
        <v>54700000</v>
      </c>
      <c r="O1747" s="5">
        <v>57700000</v>
      </c>
      <c r="P1747" s="3">
        <v>0.97916666666666663</v>
      </c>
    </row>
    <row r="1748" spans="1:16" x14ac:dyDescent="0.25">
      <c r="A1748" t="s">
        <v>1074</v>
      </c>
      <c r="B1748" s="2">
        <v>44908</v>
      </c>
      <c r="C1748" t="str">
        <f>+"Tuáº§n "&amp;WEEKNUM(B1748)</f>
        <v>Tuáº§n 51</v>
      </c>
      <c r="D1748" t="s">
        <v>18</v>
      </c>
      <c r="E1748" t="s">
        <v>17</v>
      </c>
      <c r="F1748" s="5">
        <v>55300000</v>
      </c>
      <c r="G1748" s="5">
        <v>58300000</v>
      </c>
      <c r="H1748" s="5">
        <f>+(M1748*26000)/0.829426</f>
        <v>56860286.511394627</v>
      </c>
      <c r="I1748" s="5">
        <f>+G1748-H1748</f>
        <v>1439713.4886053726</v>
      </c>
      <c r="J1748" s="5">
        <v>3000000</v>
      </c>
      <c r="K1748" s="5">
        <v>5530000</v>
      </c>
      <c r="L1748" s="5">
        <v>5830000</v>
      </c>
      <c r="M1748" s="7">
        <v>1813.9</v>
      </c>
      <c r="N1748" s="5">
        <v>55800000</v>
      </c>
      <c r="O1748" s="5">
        <v>58800000</v>
      </c>
      <c r="P1748" s="3">
        <v>0.97916666666666663</v>
      </c>
    </row>
    <row r="1749" spans="1:16" x14ac:dyDescent="0.25">
      <c r="A1749" t="s">
        <v>1075</v>
      </c>
      <c r="B1749" s="2">
        <v>44909</v>
      </c>
      <c r="C1749" t="str">
        <f>+"Tuáº§n "&amp;WEEKNUM(B1749)</f>
        <v>Tuáº§n 51</v>
      </c>
      <c r="D1749" t="s">
        <v>19</v>
      </c>
      <c r="E1749" t="s">
        <v>17</v>
      </c>
      <c r="F1749" s="5">
        <v>55100000</v>
      </c>
      <c r="G1749" s="5">
        <v>58100000</v>
      </c>
      <c r="H1749" s="5">
        <f>+(M1749*26000)/0.829426</f>
        <v>56659665.841196202</v>
      </c>
      <c r="I1749" s="5">
        <f>+G1749-H1749</f>
        <v>1440334.1588037983</v>
      </c>
      <c r="J1749" s="5">
        <v>3000000</v>
      </c>
      <c r="K1749" s="5">
        <v>5510000</v>
      </c>
      <c r="L1749" s="5">
        <v>5810000</v>
      </c>
      <c r="M1749" s="7">
        <v>1807.5</v>
      </c>
      <c r="N1749" s="5">
        <v>55600000</v>
      </c>
      <c r="O1749" s="5">
        <v>58600000</v>
      </c>
      <c r="P1749" s="3">
        <v>0.97916666666666663</v>
      </c>
    </row>
    <row r="1750" spans="1:16" x14ac:dyDescent="0.25">
      <c r="A1750" t="s">
        <v>1076</v>
      </c>
      <c r="B1750" s="2">
        <v>44910</v>
      </c>
      <c r="C1750" t="str">
        <f>+"Tuáº§n "&amp;WEEKNUM(B1750)</f>
        <v>Tuáº§n 51</v>
      </c>
      <c r="D1750" t="s">
        <v>20</v>
      </c>
      <c r="E1750" t="s">
        <v>17</v>
      </c>
      <c r="F1750" s="5">
        <v>54100000</v>
      </c>
      <c r="G1750" s="5">
        <v>57100000</v>
      </c>
      <c r="H1750" s="5">
        <f>+(M1750*26000)/0.829426</f>
        <v>55709852.355725527</v>
      </c>
      <c r="I1750" s="5">
        <f>+G1750-H1750</f>
        <v>1390147.6442744732</v>
      </c>
      <c r="J1750" s="5">
        <v>3000000</v>
      </c>
      <c r="K1750" s="5">
        <v>5410000</v>
      </c>
      <c r="L1750" s="5">
        <v>5710000</v>
      </c>
      <c r="M1750" s="7">
        <v>1777.2</v>
      </c>
      <c r="N1750" s="5">
        <v>54600000</v>
      </c>
      <c r="O1750" s="5">
        <v>57600000</v>
      </c>
      <c r="P1750" s="3">
        <v>0.97916666666666663</v>
      </c>
    </row>
    <row r="1751" spans="1:16" x14ac:dyDescent="0.25">
      <c r="A1751" t="s">
        <v>1077</v>
      </c>
      <c r="B1751" s="2">
        <v>44911</v>
      </c>
      <c r="C1751" t="str">
        <f>+"Tuáº§n "&amp;WEEKNUM(B1751)</f>
        <v>Tuáº§n 51</v>
      </c>
      <c r="D1751" t="s">
        <v>21</v>
      </c>
      <c r="E1751" t="s">
        <v>17</v>
      </c>
      <c r="F1751" s="5">
        <v>54500000</v>
      </c>
      <c r="G1751" s="5">
        <v>57500000</v>
      </c>
      <c r="H1751" s="5">
        <f>+(M1751*26000)/0.829426</f>
        <v>56111093.696122378</v>
      </c>
      <c r="I1751" s="5">
        <f>+G1751-H1751</f>
        <v>1388906.3038776219</v>
      </c>
      <c r="J1751" s="5">
        <v>3000000</v>
      </c>
      <c r="K1751" s="5">
        <v>5450000</v>
      </c>
      <c r="L1751" s="5">
        <v>5750000</v>
      </c>
      <c r="M1751" s="7">
        <v>1790</v>
      </c>
      <c r="N1751" s="5">
        <v>55000000</v>
      </c>
      <c r="O1751" s="5">
        <v>58000000</v>
      </c>
      <c r="P1751" s="3">
        <v>0.97916666666666663</v>
      </c>
    </row>
    <row r="1752" spans="1:16" x14ac:dyDescent="0.25">
      <c r="A1752" t="s">
        <v>1078</v>
      </c>
      <c r="B1752" s="2">
        <v>44914</v>
      </c>
      <c r="C1752" t="str">
        <f>+"Tuáº§n "&amp;WEEKNUM(B1752)</f>
        <v>Tuáº§n 52</v>
      </c>
      <c r="D1752" t="s">
        <v>16</v>
      </c>
      <c r="E1752" t="s">
        <v>17</v>
      </c>
      <c r="F1752" s="5">
        <v>54500000</v>
      </c>
      <c r="G1752" s="5">
        <v>57500000</v>
      </c>
      <c r="H1752" s="5">
        <f>+(M1752*26000)/0.829426</f>
        <v>56038995.642769821</v>
      </c>
      <c r="I1752" s="5">
        <f>+G1752-H1752</f>
        <v>1461004.357230179</v>
      </c>
      <c r="J1752" s="5">
        <v>3000000</v>
      </c>
      <c r="K1752" s="5">
        <v>5450000</v>
      </c>
      <c r="L1752" s="5">
        <v>5750000</v>
      </c>
      <c r="M1752" s="7">
        <v>1787.7</v>
      </c>
      <c r="N1752" s="5">
        <v>55000000</v>
      </c>
      <c r="O1752" s="5">
        <v>58000000</v>
      </c>
      <c r="P1752" s="3">
        <v>0.97916666666666663</v>
      </c>
    </row>
    <row r="1753" spans="1:16" x14ac:dyDescent="0.25">
      <c r="A1753" t="s">
        <v>1079</v>
      </c>
      <c r="B1753" s="2">
        <v>44915</v>
      </c>
      <c r="C1753" t="str">
        <f>+"Tuáº§n "&amp;WEEKNUM(B1753)</f>
        <v>Tuáº§n 52</v>
      </c>
      <c r="D1753" t="s">
        <v>18</v>
      </c>
      <c r="E1753" t="s">
        <v>17</v>
      </c>
      <c r="F1753" s="5">
        <v>55400000</v>
      </c>
      <c r="G1753" s="5">
        <v>58400000</v>
      </c>
      <c r="H1753" s="5">
        <f>+(M1753*26000)/0.829426</f>
        <v>56922980.470831633</v>
      </c>
      <c r="I1753" s="5">
        <f>+G1753-H1753</f>
        <v>1477019.5291683674</v>
      </c>
      <c r="J1753" s="5">
        <v>3000000</v>
      </c>
      <c r="K1753" s="5">
        <v>5540000</v>
      </c>
      <c r="L1753" s="5">
        <v>5840000</v>
      </c>
      <c r="M1753" s="7">
        <v>1815.9</v>
      </c>
      <c r="N1753" s="5">
        <v>55900000</v>
      </c>
      <c r="O1753" s="5">
        <v>58900000</v>
      </c>
      <c r="P1753" s="3">
        <v>0.97916666666666663</v>
      </c>
    </row>
    <row r="1754" spans="1:16" x14ac:dyDescent="0.25">
      <c r="A1754" t="s">
        <v>1080</v>
      </c>
      <c r="B1754" s="2">
        <v>44916</v>
      </c>
      <c r="C1754" t="str">
        <f>+"Tuáº§n "&amp;WEEKNUM(B1754)</f>
        <v>Tuáº§n 52</v>
      </c>
      <c r="D1754" t="s">
        <v>19</v>
      </c>
      <c r="E1754" t="s">
        <v>17</v>
      </c>
      <c r="F1754" s="5">
        <v>55400000</v>
      </c>
      <c r="G1754" s="5">
        <v>58400000</v>
      </c>
      <c r="H1754" s="5">
        <f>+(M1754*26000)/0.829426</f>
        <v>56922980.470831633</v>
      </c>
      <c r="I1754" s="5">
        <f>+G1754-H1754</f>
        <v>1477019.5291683674</v>
      </c>
      <c r="J1754" s="5">
        <v>3000000</v>
      </c>
      <c r="K1754" s="5">
        <v>5540000</v>
      </c>
      <c r="L1754" s="5">
        <v>5840000</v>
      </c>
      <c r="M1754" s="7">
        <v>1815.9</v>
      </c>
      <c r="N1754" s="5">
        <v>55900000</v>
      </c>
      <c r="O1754" s="5">
        <v>58900000</v>
      </c>
      <c r="P1754" s="3">
        <v>0.97916666666666663</v>
      </c>
    </row>
    <row r="1755" spans="1:16" x14ac:dyDescent="0.25">
      <c r="A1755" t="s">
        <v>1081</v>
      </c>
      <c r="B1755" s="2">
        <v>44917</v>
      </c>
      <c r="C1755" t="str">
        <f>+"Tuáº§n "&amp;WEEKNUM(B1755)</f>
        <v>Tuáº§n 52</v>
      </c>
      <c r="D1755" t="s">
        <v>20</v>
      </c>
      <c r="E1755" t="s">
        <v>17</v>
      </c>
      <c r="F1755" s="5">
        <v>54400000</v>
      </c>
      <c r="G1755" s="5">
        <v>57400000</v>
      </c>
      <c r="H1755" s="5">
        <f>+(M1755*26000)/0.829426</f>
        <v>56017052.756966867</v>
      </c>
      <c r="I1755" s="5">
        <f>+G1755-H1755</f>
        <v>1382947.2430331334</v>
      </c>
      <c r="J1755" s="5">
        <v>3000000</v>
      </c>
      <c r="K1755" s="5">
        <v>5440000</v>
      </c>
      <c r="L1755" s="5">
        <v>5740000</v>
      </c>
      <c r="M1755" s="7">
        <v>1787</v>
      </c>
      <c r="N1755" s="5">
        <v>54900000</v>
      </c>
      <c r="O1755" s="5">
        <v>57900000</v>
      </c>
      <c r="P1755" s="3">
        <v>0.97916666666666663</v>
      </c>
    </row>
    <row r="1756" spans="1:16" x14ac:dyDescent="0.25">
      <c r="A1756" t="s">
        <v>1082</v>
      </c>
      <c r="B1756" s="2">
        <v>44918</v>
      </c>
      <c r="C1756" t="str">
        <f>+"Tuáº§n "&amp;WEEKNUM(B1756)</f>
        <v>Tuáº§n 52</v>
      </c>
      <c r="D1756" t="s">
        <v>21</v>
      </c>
      <c r="E1756" t="s">
        <v>17</v>
      </c>
      <c r="F1756" s="5">
        <v>54700000</v>
      </c>
      <c r="G1756" s="5">
        <v>57700000</v>
      </c>
      <c r="H1756" s="5">
        <f>+(M1756*26000)/0.829426</f>
        <v>56296040.876461551</v>
      </c>
      <c r="I1756" s="5">
        <f>+G1756-H1756</f>
        <v>1403959.1235384494</v>
      </c>
      <c r="J1756" s="5">
        <v>3000000</v>
      </c>
      <c r="K1756" s="5">
        <v>5470000</v>
      </c>
      <c r="L1756" s="5">
        <v>5770000</v>
      </c>
      <c r="M1756" s="7">
        <v>1795.9</v>
      </c>
      <c r="N1756" s="5">
        <v>55200000</v>
      </c>
      <c r="O1756" s="5">
        <v>58200000</v>
      </c>
      <c r="P1756" s="3">
        <v>0.97916666666666663</v>
      </c>
    </row>
    <row r="1757" spans="1:16" x14ac:dyDescent="0.25">
      <c r="A1757" t="s">
        <v>1083</v>
      </c>
      <c r="B1757" s="2">
        <v>44922</v>
      </c>
      <c r="C1757" t="str">
        <f>+"Tuáº§n "&amp;WEEKNUM(B1757)</f>
        <v>Tuáº§n 53</v>
      </c>
      <c r="D1757" t="s">
        <v>18</v>
      </c>
      <c r="E1757" t="s">
        <v>17</v>
      </c>
      <c r="F1757" s="5">
        <v>55300000</v>
      </c>
      <c r="G1757" s="5">
        <v>58300000</v>
      </c>
      <c r="H1757" s="5">
        <f>+(M1757*26000)/0.829426</f>
        <v>56888498.793141283</v>
      </c>
      <c r="I1757" s="5">
        <f>+G1757-H1757</f>
        <v>1411501.2068587169</v>
      </c>
      <c r="J1757" s="5">
        <v>3000000</v>
      </c>
      <c r="K1757" s="5">
        <v>5530000</v>
      </c>
      <c r="L1757" s="5">
        <v>5830000</v>
      </c>
      <c r="M1757" s="7">
        <v>1814.8</v>
      </c>
      <c r="N1757" s="5">
        <v>55800000</v>
      </c>
      <c r="O1757" s="5">
        <v>58800000</v>
      </c>
      <c r="P1757" s="3">
        <v>0.97916666666666663</v>
      </c>
    </row>
    <row r="1758" spans="1:16" x14ac:dyDescent="0.25">
      <c r="A1758" t="s">
        <v>1084</v>
      </c>
      <c r="B1758" s="2">
        <v>44923</v>
      </c>
      <c r="C1758" t="str">
        <f>+"Tuáº§n "&amp;WEEKNUM(B1758)</f>
        <v>Tuáº§n 53</v>
      </c>
      <c r="D1758" t="s">
        <v>19</v>
      </c>
      <c r="E1758" t="s">
        <v>17</v>
      </c>
      <c r="F1758" s="5">
        <v>55100000</v>
      </c>
      <c r="G1758" s="5">
        <v>58100000</v>
      </c>
      <c r="H1758" s="5">
        <f>+(M1758*26000)/0.829426</f>
        <v>56672204.633083604</v>
      </c>
      <c r="I1758" s="5">
        <f>+G1758-H1758</f>
        <v>1427795.3669163957</v>
      </c>
      <c r="J1758" s="5">
        <v>3000000</v>
      </c>
      <c r="K1758" s="5">
        <v>5510000</v>
      </c>
      <c r="L1758" s="5">
        <v>5810000</v>
      </c>
      <c r="M1758" s="7">
        <v>1807.9</v>
      </c>
      <c r="N1758" s="5">
        <v>55600000</v>
      </c>
      <c r="O1758" s="5">
        <v>58600000</v>
      </c>
      <c r="P1758" s="3">
        <v>0.97916666666666663</v>
      </c>
    </row>
    <row r="1759" spans="1:16" x14ac:dyDescent="0.25">
      <c r="A1759" t="s">
        <v>1085</v>
      </c>
      <c r="B1759" s="2">
        <v>44924</v>
      </c>
      <c r="C1759" t="str">
        <f>+"Tuáº§n "&amp;WEEKNUM(B1759)</f>
        <v>Tuáº§n 53</v>
      </c>
      <c r="D1759" t="s">
        <v>20</v>
      </c>
      <c r="E1759" t="s">
        <v>17</v>
      </c>
      <c r="F1759" s="5">
        <v>55500000</v>
      </c>
      <c r="G1759" s="5">
        <v>58500000</v>
      </c>
      <c r="H1759" s="5">
        <f>+(M1759*26000)/0.829426</f>
        <v>57035829.597818248</v>
      </c>
      <c r="I1759" s="5">
        <f>+G1759-H1759</f>
        <v>1464170.402181752</v>
      </c>
      <c r="J1759" s="5">
        <v>3000000</v>
      </c>
      <c r="K1759" s="5">
        <v>5550000</v>
      </c>
      <c r="L1759" s="5">
        <v>5850000</v>
      </c>
      <c r="M1759" s="7">
        <v>1819.5</v>
      </c>
      <c r="N1759" s="5">
        <v>56000000</v>
      </c>
      <c r="O1759" s="5">
        <v>59000000</v>
      </c>
      <c r="P1759" s="3">
        <v>0.97916666666666663</v>
      </c>
    </row>
    <row r="1760" spans="1:16" x14ac:dyDescent="0.25">
      <c r="A1760" t="s">
        <v>1086</v>
      </c>
      <c r="B1760" s="2">
        <v>44925</v>
      </c>
      <c r="C1760" t="str">
        <f>+"Tuáº§n "&amp;WEEKNUM(B1760)</f>
        <v>Tuáº§n 53</v>
      </c>
      <c r="D1760" t="s">
        <v>21</v>
      </c>
      <c r="E1760" t="s">
        <v>17</v>
      </c>
      <c r="F1760" s="5">
        <v>55500000</v>
      </c>
      <c r="G1760" s="5">
        <v>58500000</v>
      </c>
      <c r="H1760" s="5">
        <f>+(M1760*26000)/0.829426</f>
        <v>57042098.993761949</v>
      </c>
      <c r="I1760" s="5">
        <f>+G1760-H1760</f>
        <v>1457901.0062380508</v>
      </c>
      <c r="J1760" s="5">
        <v>3000000</v>
      </c>
      <c r="K1760" s="5">
        <v>5550000</v>
      </c>
      <c r="L1760" s="5">
        <v>5850000</v>
      </c>
      <c r="M1760" s="7">
        <v>1819.7</v>
      </c>
      <c r="N1760" s="5">
        <v>56000000</v>
      </c>
      <c r="O1760" s="5">
        <v>59000000</v>
      </c>
      <c r="P1760" s="3">
        <v>0.97916666666666663</v>
      </c>
    </row>
    <row r="1761" spans="1:16" x14ac:dyDescent="0.25">
      <c r="A1761" s="2">
        <v>44986</v>
      </c>
      <c r="B1761" s="2">
        <v>44929</v>
      </c>
      <c r="C1761" t="str">
        <f>+"Tuáº§n "&amp;WEEKNUM(B1761)</f>
        <v>Tuáº§n 1</v>
      </c>
      <c r="D1761" t="s">
        <v>18</v>
      </c>
      <c r="E1761" t="s">
        <v>17</v>
      </c>
      <c r="F1761" s="5">
        <v>58200000</v>
      </c>
      <c r="G1761" s="5">
        <v>61200000</v>
      </c>
      <c r="H1761" s="5">
        <f>+(M1761*26000)/0.829426</f>
        <v>57669038.588132031</v>
      </c>
      <c r="I1761" s="5">
        <f>+G1761-H1761</f>
        <v>3530961.4118679687</v>
      </c>
      <c r="J1761" s="5">
        <v>3000000</v>
      </c>
      <c r="K1761" s="5">
        <v>5820000</v>
      </c>
      <c r="L1761" s="5">
        <v>6120000</v>
      </c>
      <c r="M1761" s="7">
        <v>1839.7</v>
      </c>
      <c r="N1761" s="5">
        <v>58700000</v>
      </c>
      <c r="O1761" s="5">
        <v>61700000</v>
      </c>
      <c r="P1761" s="3">
        <v>0.97916666666666663</v>
      </c>
    </row>
    <row r="1762" spans="1:16" x14ac:dyDescent="0.25">
      <c r="A1762" s="2">
        <v>45017</v>
      </c>
      <c r="B1762" s="2">
        <v>44930</v>
      </c>
      <c r="C1762" t="str">
        <f>+"Tuáº§n "&amp;WEEKNUM(B1762)</f>
        <v>Tuáº§n 1</v>
      </c>
      <c r="D1762" t="s">
        <v>19</v>
      </c>
      <c r="E1762" t="s">
        <v>17</v>
      </c>
      <c r="F1762" s="5">
        <v>58600000</v>
      </c>
      <c r="G1762" s="5">
        <v>61600000</v>
      </c>
      <c r="H1762" s="5">
        <f>+(M1762*26000)/0.829426</f>
        <v>58079684.022444434</v>
      </c>
      <c r="I1762" s="5">
        <f>+G1762-H1762</f>
        <v>3520315.9775555655</v>
      </c>
      <c r="J1762" s="5">
        <v>3000000</v>
      </c>
      <c r="K1762" s="5">
        <v>5860000</v>
      </c>
      <c r="L1762" s="5">
        <v>6160000</v>
      </c>
      <c r="M1762" s="7">
        <v>1852.8</v>
      </c>
      <c r="N1762" s="5">
        <v>59100000</v>
      </c>
      <c r="O1762" s="5">
        <v>62100000</v>
      </c>
      <c r="P1762" s="3">
        <v>0.97916666666666663</v>
      </c>
    </row>
    <row r="1763" spans="1:16" x14ac:dyDescent="0.25">
      <c r="A1763" s="2">
        <v>45047</v>
      </c>
      <c r="B1763" s="2">
        <v>44931</v>
      </c>
      <c r="C1763" t="str">
        <f>+"Tuáº§n "&amp;WEEKNUM(B1763)</f>
        <v>Tuáº§n 1</v>
      </c>
      <c r="D1763" t="s">
        <v>20</v>
      </c>
      <c r="E1763" t="s">
        <v>17</v>
      </c>
      <c r="F1763" s="5">
        <v>58000000</v>
      </c>
      <c r="G1763" s="5">
        <v>61000000</v>
      </c>
      <c r="H1763" s="5">
        <f>+(M1763*26000)/0.829426</f>
        <v>57515438.387511365</v>
      </c>
      <c r="I1763" s="5">
        <f>+G1763-H1763</f>
        <v>3484561.6124886349</v>
      </c>
      <c r="J1763" s="5">
        <v>3000000</v>
      </c>
      <c r="K1763" s="5">
        <v>5800000</v>
      </c>
      <c r="L1763" s="5">
        <v>6100000</v>
      </c>
      <c r="M1763" s="7">
        <v>1834.8</v>
      </c>
      <c r="N1763" s="5">
        <v>58500000</v>
      </c>
      <c r="O1763" s="5">
        <v>61500000</v>
      </c>
      <c r="P1763" s="3">
        <v>0.97916666666666663</v>
      </c>
    </row>
    <row r="1764" spans="1:16" x14ac:dyDescent="0.25">
      <c r="A1764" s="2">
        <v>45078</v>
      </c>
      <c r="B1764" s="2">
        <v>44932</v>
      </c>
      <c r="C1764" t="str">
        <f>+"Tuáº§n "&amp;WEEKNUM(B1764)</f>
        <v>Tuáº§n 1</v>
      </c>
      <c r="D1764" t="s">
        <v>21</v>
      </c>
      <c r="E1764" t="s">
        <v>17</v>
      </c>
      <c r="F1764" s="5">
        <v>59000000</v>
      </c>
      <c r="G1764" s="5">
        <v>62000000</v>
      </c>
      <c r="H1764" s="5">
        <f>+(M1764*26000)/0.829426</f>
        <v>58437039.591235384</v>
      </c>
      <c r="I1764" s="5">
        <f>+G1764-H1764</f>
        <v>3562960.4087646157</v>
      </c>
      <c r="J1764" s="5">
        <v>3000000</v>
      </c>
      <c r="K1764" s="5">
        <v>5900000</v>
      </c>
      <c r="L1764" s="5">
        <v>6200000</v>
      </c>
      <c r="M1764" s="7">
        <v>1864.2</v>
      </c>
      <c r="N1764" s="5">
        <v>59500000</v>
      </c>
      <c r="O1764" s="5">
        <v>62500000</v>
      </c>
      <c r="P1764" s="3">
        <v>0.97916666666666663</v>
      </c>
    </row>
    <row r="1765" spans="1:16" x14ac:dyDescent="0.25">
      <c r="A1765" s="2">
        <v>45170</v>
      </c>
      <c r="B1765" s="2">
        <v>44935</v>
      </c>
      <c r="C1765" t="str">
        <f>+"Tuáº§n "&amp;WEEKNUM(B1765)</f>
        <v>Tuáº§n 2</v>
      </c>
      <c r="D1765" t="s">
        <v>16</v>
      </c>
      <c r="E1765" t="s">
        <v>17</v>
      </c>
      <c r="F1765" s="5">
        <v>59300000</v>
      </c>
      <c r="G1765" s="5">
        <v>62300000</v>
      </c>
      <c r="H1765" s="5">
        <f>+(M1765*26000)/0.829426</f>
        <v>58703488.918842673</v>
      </c>
      <c r="I1765" s="5">
        <f>+G1765-H1765</f>
        <v>3596511.0811573267</v>
      </c>
      <c r="J1765" s="5">
        <v>3000000</v>
      </c>
      <c r="K1765" s="5">
        <v>5930000</v>
      </c>
      <c r="L1765" s="5">
        <v>6230000</v>
      </c>
      <c r="M1765" s="7">
        <v>1872.7</v>
      </c>
      <c r="N1765" s="5">
        <v>59800000</v>
      </c>
      <c r="O1765" s="5">
        <v>62800000</v>
      </c>
      <c r="P1765" s="3">
        <v>0.97916666666666663</v>
      </c>
    </row>
    <row r="1766" spans="1:16" x14ac:dyDescent="0.25">
      <c r="A1766" s="2">
        <v>45200</v>
      </c>
      <c r="B1766" s="2">
        <v>44936</v>
      </c>
      <c r="C1766" t="str">
        <f>+"Tuáº§n "&amp;WEEKNUM(B1766)</f>
        <v>Tuáº§n 2</v>
      </c>
      <c r="D1766" t="s">
        <v>18</v>
      </c>
      <c r="E1766" t="s">
        <v>17</v>
      </c>
      <c r="F1766" s="5">
        <v>59300000</v>
      </c>
      <c r="G1766" s="5">
        <v>62300000</v>
      </c>
      <c r="H1766" s="5">
        <f>+(M1766*26000)/0.829426</f>
        <v>58669007.241152316</v>
      </c>
      <c r="I1766" s="5">
        <f>+G1766-H1766</f>
        <v>3630992.7588476837</v>
      </c>
      <c r="J1766" s="5">
        <v>3000000</v>
      </c>
      <c r="K1766" s="5">
        <v>5930000</v>
      </c>
      <c r="L1766" s="5">
        <v>6230000</v>
      </c>
      <c r="M1766" s="7">
        <v>1871.6</v>
      </c>
      <c r="N1766" s="5">
        <v>59800000</v>
      </c>
      <c r="O1766" s="5">
        <v>62800000</v>
      </c>
      <c r="P1766" s="3">
        <v>0.97916666666666663</v>
      </c>
    </row>
    <row r="1767" spans="1:16" x14ac:dyDescent="0.25">
      <c r="A1767" s="2">
        <v>45231</v>
      </c>
      <c r="B1767" s="2">
        <v>44937</v>
      </c>
      <c r="C1767" t="str">
        <f>+"Tuáº§n "&amp;WEEKNUM(B1767)</f>
        <v>Tuáº§n 2</v>
      </c>
      <c r="D1767" t="s">
        <v>19</v>
      </c>
      <c r="E1767" t="s">
        <v>17</v>
      </c>
      <c r="F1767" s="5">
        <v>59400000</v>
      </c>
      <c r="G1767" s="5">
        <v>62400000</v>
      </c>
      <c r="H1767" s="5">
        <f>+(M1767*26000)/0.829426</f>
        <v>58763048.180307828</v>
      </c>
      <c r="I1767" s="5">
        <f>+G1767-H1767</f>
        <v>3636951.8196921721</v>
      </c>
      <c r="J1767" s="5">
        <v>3000000</v>
      </c>
      <c r="K1767" s="5">
        <v>5940000</v>
      </c>
      <c r="L1767" s="5">
        <v>6240000</v>
      </c>
      <c r="M1767" s="7">
        <v>1874.6</v>
      </c>
      <c r="N1767" s="5">
        <v>59900000</v>
      </c>
      <c r="O1767" s="5">
        <v>62900000</v>
      </c>
      <c r="P1767" s="3">
        <v>0.97916666666666663</v>
      </c>
    </row>
    <row r="1768" spans="1:16" x14ac:dyDescent="0.25">
      <c r="A1768" s="2">
        <v>45261</v>
      </c>
      <c r="B1768" s="2">
        <v>44938</v>
      </c>
      <c r="C1768" t="str">
        <f>+"Tuáº§n "&amp;WEEKNUM(B1768)</f>
        <v>Tuáº§n 2</v>
      </c>
      <c r="D1768" t="s">
        <v>20</v>
      </c>
      <c r="E1768" t="s">
        <v>17</v>
      </c>
      <c r="F1768" s="5">
        <v>60000000</v>
      </c>
      <c r="G1768" s="5">
        <v>63000000</v>
      </c>
      <c r="H1768" s="5">
        <f>+(M1768*26000)/0.829426</f>
        <v>59418200.056424566</v>
      </c>
      <c r="I1768" s="5">
        <f>+G1768-H1768</f>
        <v>3581799.9435754344</v>
      </c>
      <c r="J1768" s="5">
        <v>3000000</v>
      </c>
      <c r="K1768" s="5">
        <v>6000000</v>
      </c>
      <c r="L1768" s="5">
        <v>6300000</v>
      </c>
      <c r="M1768" s="7">
        <v>1895.5</v>
      </c>
      <c r="N1768" s="5">
        <v>60500000</v>
      </c>
      <c r="O1768" s="5">
        <v>63500000</v>
      </c>
      <c r="P1768" s="3">
        <v>0.97916666666666663</v>
      </c>
    </row>
    <row r="1769" spans="1:16" x14ac:dyDescent="0.25">
      <c r="A1769" t="s">
        <v>1087</v>
      </c>
      <c r="B1769" s="2">
        <v>44939</v>
      </c>
      <c r="C1769" t="str">
        <f>+"Tuáº§n "&amp;WEEKNUM(B1769)</f>
        <v>Tuáº§n 2</v>
      </c>
      <c r="D1769" t="s">
        <v>21</v>
      </c>
      <c r="E1769" t="s">
        <v>17</v>
      </c>
      <c r="F1769" s="5">
        <v>60800000</v>
      </c>
      <c r="G1769" s="5">
        <v>63800000</v>
      </c>
      <c r="H1769" s="5">
        <f>+(M1769*26000)/0.829426</f>
        <v>60136045.891978309</v>
      </c>
      <c r="I1769" s="5">
        <f>+G1769-H1769</f>
        <v>3663954.1080216914</v>
      </c>
      <c r="J1769" s="5">
        <v>3000000</v>
      </c>
      <c r="K1769" s="5">
        <v>6080000</v>
      </c>
      <c r="L1769" s="5">
        <v>6380000</v>
      </c>
      <c r="M1769" s="7">
        <v>1918.4</v>
      </c>
      <c r="N1769" s="5">
        <v>61300000</v>
      </c>
      <c r="O1769" s="5">
        <v>64300000</v>
      </c>
      <c r="P1769" s="3">
        <v>0.97916666666666663</v>
      </c>
    </row>
    <row r="1770" spans="1:16" x14ac:dyDescent="0.25">
      <c r="A1770" t="s">
        <v>1088</v>
      </c>
      <c r="B1770" s="2">
        <v>44943</v>
      </c>
      <c r="C1770" t="str">
        <f>+"Tuáº§n "&amp;WEEKNUM(B1770)</f>
        <v>Tuáº§n 3</v>
      </c>
      <c r="D1770" t="s">
        <v>18</v>
      </c>
      <c r="E1770" t="s">
        <v>17</v>
      </c>
      <c r="F1770" s="5">
        <v>60400000</v>
      </c>
      <c r="G1770" s="5">
        <v>63400000</v>
      </c>
      <c r="H1770" s="5">
        <f>+(M1770*26000)/0.829426</f>
        <v>59784959.71913106</v>
      </c>
      <c r="I1770" s="5">
        <f>+G1770-H1770</f>
        <v>3615040.2808689401</v>
      </c>
      <c r="J1770" s="5">
        <v>3000000</v>
      </c>
      <c r="K1770" s="5">
        <v>6040000</v>
      </c>
      <c r="L1770" s="5">
        <v>6340000</v>
      </c>
      <c r="M1770" s="7">
        <v>1907.2</v>
      </c>
      <c r="N1770" s="5">
        <v>60900000</v>
      </c>
      <c r="O1770" s="5">
        <v>63900000</v>
      </c>
      <c r="P1770" s="3">
        <v>0.97916666666666663</v>
      </c>
    </row>
    <row r="1771" spans="1:16" x14ac:dyDescent="0.25">
      <c r="A1771" t="s">
        <v>1089</v>
      </c>
      <c r="B1771" s="2">
        <v>44944</v>
      </c>
      <c r="C1771" t="str">
        <f>+"Tuáº§n "&amp;WEEKNUM(B1771)</f>
        <v>Tuáº§n 3</v>
      </c>
      <c r="D1771" t="s">
        <v>19</v>
      </c>
      <c r="E1771" t="s">
        <v>17</v>
      </c>
      <c r="F1771" s="5">
        <v>60300000</v>
      </c>
      <c r="G1771" s="5">
        <v>63300000</v>
      </c>
      <c r="H1771" s="5">
        <f>+(M1771*26000)/0.829426</f>
        <v>59697188.17591925</v>
      </c>
      <c r="I1771" s="5">
        <f>+G1771-H1771</f>
        <v>3602811.8240807503</v>
      </c>
      <c r="J1771" s="5">
        <v>3000000</v>
      </c>
      <c r="K1771" s="5">
        <v>6030000</v>
      </c>
      <c r="L1771" s="5">
        <v>6330000</v>
      </c>
      <c r="M1771" s="7">
        <v>1904.4</v>
      </c>
      <c r="N1771" s="5">
        <v>60800000</v>
      </c>
      <c r="O1771" s="5">
        <v>63800000</v>
      </c>
      <c r="P1771" s="3">
        <v>0.97916666666666663</v>
      </c>
    </row>
    <row r="1772" spans="1:16" x14ac:dyDescent="0.25">
      <c r="A1772" t="s">
        <v>1090</v>
      </c>
      <c r="B1772" s="2">
        <v>44945</v>
      </c>
      <c r="C1772" t="str">
        <f>+"Tuáº§n "&amp;WEEKNUM(B1772)</f>
        <v>Tuáº§n 3</v>
      </c>
      <c r="D1772" t="s">
        <v>20</v>
      </c>
      <c r="E1772" t="s">
        <v>17</v>
      </c>
      <c r="F1772" s="5">
        <v>60900000</v>
      </c>
      <c r="G1772" s="5">
        <v>63900000</v>
      </c>
      <c r="H1772" s="5">
        <f>+(M1772*26000)/0.829426</f>
        <v>60252029.716936775</v>
      </c>
      <c r="I1772" s="5">
        <f>+G1772-H1772</f>
        <v>3647970.2830632254</v>
      </c>
      <c r="J1772" s="5">
        <v>3000000</v>
      </c>
      <c r="K1772" s="5">
        <v>6090000</v>
      </c>
      <c r="L1772" s="5">
        <v>6390000</v>
      </c>
      <c r="M1772" s="7">
        <v>1922.1</v>
      </c>
      <c r="N1772" s="5">
        <v>61400000</v>
      </c>
      <c r="O1772" s="5">
        <v>64400000</v>
      </c>
      <c r="P1772" s="3">
        <v>0.97916666666666663</v>
      </c>
    </row>
    <row r="1773" spans="1:16" x14ac:dyDescent="0.25">
      <c r="A1773" t="s">
        <v>1091</v>
      </c>
      <c r="B1773" s="2">
        <v>44946</v>
      </c>
      <c r="C1773" t="str">
        <f>+"Tuáº§n "&amp;WEEKNUM(B1773)</f>
        <v>Tuáº§n 3</v>
      </c>
      <c r="D1773" t="s">
        <v>21</v>
      </c>
      <c r="E1773" t="s">
        <v>17</v>
      </c>
      <c r="F1773" s="5">
        <v>61100000</v>
      </c>
      <c r="G1773" s="5">
        <v>64100000</v>
      </c>
      <c r="H1773" s="5">
        <f>+(M1773*26000)/0.829426</f>
        <v>60386821.729726344</v>
      </c>
      <c r="I1773" s="5">
        <f>+G1773-H1773</f>
        <v>3713178.2702736557</v>
      </c>
      <c r="J1773" s="5">
        <v>3000000</v>
      </c>
      <c r="K1773" s="5">
        <v>6110000</v>
      </c>
      <c r="L1773" s="5">
        <v>6410000</v>
      </c>
      <c r="M1773" s="7">
        <v>1926.4</v>
      </c>
      <c r="N1773" s="5">
        <v>61600000</v>
      </c>
      <c r="O1773" s="5">
        <v>64600000</v>
      </c>
      <c r="P1773" s="3">
        <v>0.97916666666666663</v>
      </c>
    </row>
    <row r="1774" spans="1:16" x14ac:dyDescent="0.25">
      <c r="A1774" t="s">
        <v>1092</v>
      </c>
      <c r="B1774" s="2">
        <v>44949</v>
      </c>
      <c r="C1774" t="str">
        <f>+"Tuáº§n "&amp;WEEKNUM(B1774)</f>
        <v>Tuáº§n 4</v>
      </c>
      <c r="D1774" t="s">
        <v>16</v>
      </c>
      <c r="E1774" t="s">
        <v>17</v>
      </c>
      <c r="F1774" s="5">
        <v>61100000</v>
      </c>
      <c r="G1774" s="5">
        <v>64100000</v>
      </c>
      <c r="H1774" s="5">
        <f>+(M1774*26000)/0.829426</f>
        <v>60408764.615529291</v>
      </c>
      <c r="I1774" s="5">
        <f>+G1774-H1774</f>
        <v>3691235.3844707087</v>
      </c>
      <c r="J1774" s="5">
        <v>3000000</v>
      </c>
      <c r="K1774" s="5">
        <v>6110000</v>
      </c>
      <c r="L1774" s="5">
        <v>6410000</v>
      </c>
      <c r="M1774" s="7">
        <v>1927.1</v>
      </c>
      <c r="N1774" s="5">
        <v>61600000</v>
      </c>
      <c r="O1774" s="5">
        <v>64600000</v>
      </c>
      <c r="P1774" s="3">
        <v>0.97916666666666663</v>
      </c>
    </row>
    <row r="1775" spans="1:16" x14ac:dyDescent="0.25">
      <c r="A1775" t="s">
        <v>1093</v>
      </c>
      <c r="B1775" s="2">
        <v>44950</v>
      </c>
      <c r="C1775" t="str">
        <f>+"Tuáº§n "&amp;WEEKNUM(B1775)</f>
        <v>Tuáº§n 4</v>
      </c>
      <c r="D1775" t="s">
        <v>18</v>
      </c>
      <c r="E1775" t="s">
        <v>17</v>
      </c>
      <c r="F1775" s="5">
        <v>61300000</v>
      </c>
      <c r="G1775" s="5">
        <v>64300000</v>
      </c>
      <c r="H1775" s="5">
        <f>+(M1775*26000)/0.829426</f>
        <v>60621924.07761512</v>
      </c>
      <c r="I1775" s="5">
        <f>+G1775-H1775</f>
        <v>3678075.9223848805</v>
      </c>
      <c r="J1775" s="5">
        <v>3000000</v>
      </c>
      <c r="K1775" s="5">
        <v>6130000</v>
      </c>
      <c r="L1775" s="5">
        <v>6430000</v>
      </c>
      <c r="M1775" s="7">
        <v>1933.9</v>
      </c>
      <c r="N1775" s="5">
        <v>61800000</v>
      </c>
      <c r="O1775" s="5">
        <v>64800000</v>
      </c>
      <c r="P1775" s="3">
        <v>0.97916666666666663</v>
      </c>
    </row>
    <row r="1776" spans="1:16" x14ac:dyDescent="0.25">
      <c r="A1776" t="s">
        <v>1094</v>
      </c>
      <c r="B1776" s="2">
        <v>44951</v>
      </c>
      <c r="C1776" t="str">
        <f>+"Tuáº§n "&amp;WEEKNUM(B1776)</f>
        <v>Tuáº§n 4</v>
      </c>
      <c r="D1776" t="s">
        <v>19</v>
      </c>
      <c r="E1776" t="s">
        <v>17</v>
      </c>
      <c r="F1776" s="5">
        <v>61600000</v>
      </c>
      <c r="G1776" s="5">
        <v>64600000</v>
      </c>
      <c r="H1776" s="5">
        <f>+(M1776*26000)/0.829426</f>
        <v>60850757.029560201</v>
      </c>
      <c r="I1776" s="5">
        <f>+G1776-H1776</f>
        <v>3749242.9704397991</v>
      </c>
      <c r="J1776" s="5">
        <v>3000000</v>
      </c>
      <c r="K1776" s="5">
        <v>6160000</v>
      </c>
      <c r="L1776" s="5">
        <v>6460000</v>
      </c>
      <c r="M1776" s="7">
        <v>1941.2</v>
      </c>
      <c r="N1776" s="5">
        <v>62100000</v>
      </c>
      <c r="O1776" s="5">
        <v>65100000</v>
      </c>
      <c r="P1776" s="3">
        <v>0.97916666666666663</v>
      </c>
    </row>
    <row r="1777" spans="1:16" x14ac:dyDescent="0.25">
      <c r="A1777" t="s">
        <v>1095</v>
      </c>
      <c r="B1777" s="2">
        <v>44952</v>
      </c>
      <c r="C1777" t="str">
        <f>+"Tuáº§n "&amp;WEEKNUM(B1777)</f>
        <v>Tuáº§n 4</v>
      </c>
      <c r="D1777" t="s">
        <v>20</v>
      </c>
      <c r="E1777" t="s">
        <v>17</v>
      </c>
      <c r="F1777" s="5">
        <v>61200000</v>
      </c>
      <c r="G1777" s="5">
        <v>64200000</v>
      </c>
      <c r="H1777" s="5">
        <f>+(M1777*26000)/0.829426</f>
        <v>60471458.574966304</v>
      </c>
      <c r="I1777" s="5">
        <f>+G1777-H1777</f>
        <v>3728541.425033696</v>
      </c>
      <c r="J1777" s="5">
        <v>3000000</v>
      </c>
      <c r="K1777" s="5">
        <v>6120000</v>
      </c>
      <c r="L1777" s="5">
        <v>6420000</v>
      </c>
      <c r="M1777" s="7">
        <v>1929.1</v>
      </c>
      <c r="N1777" s="5">
        <v>61700000</v>
      </c>
      <c r="O1777" s="5">
        <v>64700000</v>
      </c>
      <c r="P1777" s="3">
        <v>0.97916666666666663</v>
      </c>
    </row>
    <row r="1778" spans="1:16" x14ac:dyDescent="0.25">
      <c r="A1778" t="s">
        <v>1096</v>
      </c>
      <c r="B1778" s="2">
        <v>44953</v>
      </c>
      <c r="C1778" t="str">
        <f>+"Tuáº§n "&amp;WEEKNUM(B1778)</f>
        <v>Tuáº§n 4</v>
      </c>
      <c r="D1778" t="s">
        <v>21</v>
      </c>
      <c r="E1778" t="s">
        <v>17</v>
      </c>
      <c r="F1778" s="5">
        <v>61100000</v>
      </c>
      <c r="G1778" s="5">
        <v>64100000</v>
      </c>
      <c r="H1778" s="5">
        <f>+(M1778*26000)/0.829426</f>
        <v>60455785.085107051</v>
      </c>
      <c r="I1778" s="5">
        <f>+G1778-H1778</f>
        <v>3644214.9148929492</v>
      </c>
      <c r="J1778" s="5">
        <v>3000000</v>
      </c>
      <c r="K1778" s="5">
        <v>6110000</v>
      </c>
      <c r="L1778" s="5">
        <v>6410000</v>
      </c>
      <c r="M1778" s="7">
        <v>1928.6</v>
      </c>
      <c r="N1778" s="5">
        <v>61600000</v>
      </c>
      <c r="O1778" s="5">
        <v>64600000</v>
      </c>
      <c r="P1778" s="3">
        <v>0.97916666666666663</v>
      </c>
    </row>
    <row r="1779" spans="1:16" x14ac:dyDescent="0.25">
      <c r="A1779" t="s">
        <v>1097</v>
      </c>
      <c r="B1779" s="2">
        <v>44956</v>
      </c>
      <c r="C1779" t="str">
        <f>+"Tuáº§n "&amp;WEEKNUM(B1779)</f>
        <v>Tuáº§n 5</v>
      </c>
      <c r="D1779" t="s">
        <v>16</v>
      </c>
      <c r="E1779" t="s">
        <v>17</v>
      </c>
      <c r="F1779" s="5">
        <v>61000000</v>
      </c>
      <c r="G1779" s="5">
        <v>64000000</v>
      </c>
      <c r="H1779" s="5">
        <f>+(M1779*26000)/0.829426</f>
        <v>60277107.30071158</v>
      </c>
      <c r="I1779" s="5">
        <f>+G1779-H1779</f>
        <v>3722892.6992884204</v>
      </c>
      <c r="J1779" s="5">
        <v>3000000</v>
      </c>
      <c r="K1779" s="5">
        <v>6100000</v>
      </c>
      <c r="L1779" s="5">
        <v>6400000</v>
      </c>
      <c r="M1779" s="7">
        <v>1922.9</v>
      </c>
      <c r="N1779" s="5">
        <v>61500000</v>
      </c>
      <c r="O1779" s="5">
        <v>64500000</v>
      </c>
      <c r="P1779" s="3">
        <v>0.97916666666666663</v>
      </c>
    </row>
    <row r="1780" spans="1:16" x14ac:dyDescent="0.25">
      <c r="A1780" t="s">
        <v>1098</v>
      </c>
      <c r="B1780" s="2">
        <v>44957</v>
      </c>
      <c r="C1780" t="str">
        <f>+"Tuáº§n "&amp;WEEKNUM(B1780)</f>
        <v>Tuáº§n 5</v>
      </c>
      <c r="D1780" t="s">
        <v>18</v>
      </c>
      <c r="E1780" t="s">
        <v>17</v>
      </c>
      <c r="F1780" s="5">
        <v>61200000</v>
      </c>
      <c r="G1780" s="5">
        <v>64200000</v>
      </c>
      <c r="H1780" s="5">
        <f>+(M1780*26000)/0.829426</f>
        <v>60483997.366853707</v>
      </c>
      <c r="I1780" s="5">
        <f>+G1780-H1780</f>
        <v>3716002.6331462935</v>
      </c>
      <c r="J1780" s="5">
        <v>3000000</v>
      </c>
      <c r="K1780" s="5">
        <v>6120000</v>
      </c>
      <c r="L1780" s="5">
        <v>6420000</v>
      </c>
      <c r="M1780" s="7">
        <v>1929.5</v>
      </c>
      <c r="N1780" s="5">
        <v>61700000</v>
      </c>
      <c r="O1780" s="5">
        <v>64700000</v>
      </c>
      <c r="P1780" s="3">
        <v>0.97916666666666663</v>
      </c>
    </row>
    <row r="1781" spans="1:16" x14ac:dyDescent="0.25">
      <c r="A1781" s="2">
        <v>44928</v>
      </c>
      <c r="B1781" s="2">
        <v>44958</v>
      </c>
      <c r="C1781" t="str">
        <f>+"Tuáº§n "&amp;WEEKNUM(B1781)</f>
        <v>Tuáº§n 5</v>
      </c>
      <c r="D1781" t="s">
        <v>19</v>
      </c>
      <c r="E1781" t="s">
        <v>17</v>
      </c>
      <c r="F1781" s="5">
        <v>61100000</v>
      </c>
      <c r="G1781" s="5">
        <v>64100000</v>
      </c>
      <c r="H1781" s="5">
        <f>+(M1781*26000)/0.829426</f>
        <v>60430707.501332246</v>
      </c>
      <c r="I1781" s="5">
        <f>+G1781-H1781</f>
        <v>3669292.4986677542</v>
      </c>
      <c r="J1781" s="5">
        <v>3000000</v>
      </c>
      <c r="K1781" s="5">
        <v>6110000</v>
      </c>
      <c r="L1781" s="5">
        <v>6410000</v>
      </c>
      <c r="M1781" s="7">
        <v>1927.8</v>
      </c>
      <c r="N1781" s="5">
        <v>61600000</v>
      </c>
      <c r="O1781" s="5">
        <v>64600000</v>
      </c>
      <c r="P1781" s="3">
        <v>0.97916666666666663</v>
      </c>
    </row>
    <row r="1782" spans="1:16" x14ac:dyDescent="0.25">
      <c r="A1782" s="2">
        <v>44959</v>
      </c>
      <c r="B1782" s="2">
        <v>44959</v>
      </c>
      <c r="C1782" t="str">
        <f>+"Tuáº§n "&amp;WEEKNUM(B1782)</f>
        <v>Tuáº§n 5</v>
      </c>
      <c r="D1782" t="s">
        <v>20</v>
      </c>
      <c r="E1782" t="s">
        <v>17</v>
      </c>
      <c r="F1782" s="5">
        <v>60700000</v>
      </c>
      <c r="G1782" s="5">
        <v>63700000</v>
      </c>
      <c r="H1782" s="5">
        <f>+(M1782*26000)/0.829426</f>
        <v>60070217.234569453</v>
      </c>
      <c r="I1782" s="5">
        <f>+G1782-H1782</f>
        <v>3629782.7654305473</v>
      </c>
      <c r="J1782" s="5">
        <v>3000000</v>
      </c>
      <c r="K1782" s="5">
        <v>6070000</v>
      </c>
      <c r="L1782" s="5">
        <v>6370000</v>
      </c>
      <c r="M1782" s="7">
        <v>1916.3</v>
      </c>
      <c r="N1782" s="5">
        <v>61200000</v>
      </c>
      <c r="O1782" s="5">
        <v>64200000</v>
      </c>
      <c r="P1782" s="3">
        <v>0.97916666666666663</v>
      </c>
    </row>
    <row r="1783" spans="1:16" x14ac:dyDescent="0.25">
      <c r="A1783" s="2">
        <v>44987</v>
      </c>
      <c r="B1783" s="2">
        <v>44960</v>
      </c>
      <c r="C1783" t="str">
        <f>+"Tuáº§n "&amp;WEEKNUM(B1783)</f>
        <v>Tuáº§n 5</v>
      </c>
      <c r="D1783" t="s">
        <v>21</v>
      </c>
      <c r="E1783" t="s">
        <v>17</v>
      </c>
      <c r="F1783" s="5">
        <v>59000000</v>
      </c>
      <c r="G1783" s="5">
        <v>62000000</v>
      </c>
      <c r="H1783" s="5">
        <f>+(M1783*26000)/0.829426</f>
        <v>58396288.517601326</v>
      </c>
      <c r="I1783" s="5">
        <f>+G1783-H1783</f>
        <v>3603711.4823986739</v>
      </c>
      <c r="J1783" s="5">
        <v>3000000</v>
      </c>
      <c r="K1783" s="5">
        <v>5900000</v>
      </c>
      <c r="L1783" s="5">
        <v>6200000</v>
      </c>
      <c r="M1783" s="7">
        <v>1862.9</v>
      </c>
      <c r="N1783" s="5">
        <v>59500000</v>
      </c>
      <c r="O1783" s="5">
        <v>62500000</v>
      </c>
      <c r="P1783" s="3">
        <v>0.97916666666666663</v>
      </c>
    </row>
    <row r="1784" spans="1:16" x14ac:dyDescent="0.25">
      <c r="A1784" s="2">
        <v>45079</v>
      </c>
      <c r="B1784" s="2">
        <v>44963</v>
      </c>
      <c r="C1784" t="str">
        <f>+"Tuáº§n "&amp;WEEKNUM(B1784)</f>
        <v>Tuáº§n 6</v>
      </c>
      <c r="D1784" t="s">
        <v>16</v>
      </c>
      <c r="E1784" t="s">
        <v>17</v>
      </c>
      <c r="F1784" s="5">
        <v>59100000</v>
      </c>
      <c r="G1784" s="5">
        <v>62100000</v>
      </c>
      <c r="H1784" s="5">
        <f>+(M1784*26000)/0.829426</f>
        <v>58499733.55067239</v>
      </c>
      <c r="I1784" s="5">
        <f>+G1784-H1784</f>
        <v>3600266.4493276104</v>
      </c>
      <c r="J1784" s="5">
        <v>3000000</v>
      </c>
      <c r="K1784" s="5">
        <v>5910000</v>
      </c>
      <c r="L1784" s="5">
        <v>6210000</v>
      </c>
      <c r="M1784" s="7">
        <v>1866.2</v>
      </c>
      <c r="N1784" s="5">
        <v>59600000</v>
      </c>
      <c r="O1784" s="5">
        <v>62600000</v>
      </c>
      <c r="P1784" s="3">
        <v>0.97916666666666663</v>
      </c>
    </row>
    <row r="1785" spans="1:16" x14ac:dyDescent="0.25">
      <c r="A1785" s="2">
        <v>45109</v>
      </c>
      <c r="B1785" s="2">
        <v>44964</v>
      </c>
      <c r="C1785" t="str">
        <f>+"Tuáº§n "&amp;WEEKNUM(B1785)</f>
        <v>Tuáº§n 6</v>
      </c>
      <c r="D1785" t="s">
        <v>18</v>
      </c>
      <c r="E1785" t="s">
        <v>17</v>
      </c>
      <c r="F1785" s="5">
        <v>59300000</v>
      </c>
      <c r="G1785" s="5">
        <v>62300000</v>
      </c>
      <c r="H1785" s="5">
        <f>+(M1785*26000)/0.829426</f>
        <v>58672141.939124167</v>
      </c>
      <c r="I1785" s="5">
        <f>+G1785-H1785</f>
        <v>3627858.060875833</v>
      </c>
      <c r="J1785" s="5">
        <v>3000000</v>
      </c>
      <c r="K1785" s="5">
        <v>5930000</v>
      </c>
      <c r="L1785" s="5">
        <v>6230000</v>
      </c>
      <c r="M1785" s="7">
        <v>1871.7</v>
      </c>
      <c r="N1785" s="5">
        <v>59800000</v>
      </c>
      <c r="O1785" s="5">
        <v>62800000</v>
      </c>
      <c r="P1785" s="3">
        <v>0.97916666666666663</v>
      </c>
    </row>
    <row r="1786" spans="1:16" x14ac:dyDescent="0.25">
      <c r="A1786" s="2">
        <v>45140</v>
      </c>
      <c r="B1786" s="2">
        <v>44965</v>
      </c>
      <c r="C1786" t="str">
        <f>+"Tuáº§n "&amp;WEEKNUM(B1786)</f>
        <v>Tuáº§n 6</v>
      </c>
      <c r="D1786" t="s">
        <v>19</v>
      </c>
      <c r="E1786" t="s">
        <v>17</v>
      </c>
      <c r="F1786" s="5">
        <v>59400000</v>
      </c>
      <c r="G1786" s="5">
        <v>62400000</v>
      </c>
      <c r="H1786" s="5">
        <f>+(M1786*26000)/0.829426</f>
        <v>58850819.723519638</v>
      </c>
      <c r="I1786" s="5">
        <f>+G1786-H1786</f>
        <v>3549180.2764803618</v>
      </c>
      <c r="J1786" s="5">
        <v>3000000</v>
      </c>
      <c r="K1786" s="5">
        <v>5940000</v>
      </c>
      <c r="L1786" s="5">
        <v>6240000</v>
      </c>
      <c r="M1786" s="7">
        <v>1877.4</v>
      </c>
      <c r="N1786" s="5">
        <v>59900000</v>
      </c>
      <c r="O1786" s="5">
        <v>62900000</v>
      </c>
      <c r="P1786" s="3">
        <v>0.97916666666666663</v>
      </c>
    </row>
    <row r="1787" spans="1:16" x14ac:dyDescent="0.25">
      <c r="A1787" s="2">
        <v>45171</v>
      </c>
      <c r="B1787" s="2">
        <v>44966</v>
      </c>
      <c r="C1787" t="str">
        <f>+"Tuáº§n "&amp;WEEKNUM(B1787)</f>
        <v>Tuáº§n 6</v>
      </c>
      <c r="D1787" t="s">
        <v>20</v>
      </c>
      <c r="E1787" t="s">
        <v>17</v>
      </c>
      <c r="F1787" s="5">
        <v>59100000</v>
      </c>
      <c r="G1787" s="5">
        <v>62100000</v>
      </c>
      <c r="H1787" s="5">
        <f>+(M1787*26000)/0.829426</f>
        <v>58499733.55067239</v>
      </c>
      <c r="I1787" s="5">
        <f>+G1787-H1787</f>
        <v>3600266.4493276104</v>
      </c>
      <c r="J1787" s="5">
        <v>3000000</v>
      </c>
      <c r="K1787" s="5">
        <v>5910000</v>
      </c>
      <c r="L1787" s="5">
        <v>6210000</v>
      </c>
      <c r="M1787" s="7">
        <v>1866.2</v>
      </c>
      <c r="N1787" s="5">
        <v>59600000</v>
      </c>
      <c r="O1787" s="5">
        <v>62600000</v>
      </c>
      <c r="P1787" s="3">
        <v>0.97916666666666663</v>
      </c>
    </row>
    <row r="1788" spans="1:16" x14ac:dyDescent="0.25">
      <c r="A1788" s="2">
        <v>45201</v>
      </c>
      <c r="B1788" s="2">
        <v>44967</v>
      </c>
      <c r="C1788" t="str">
        <f>+"Tuáº§n "&amp;WEEKNUM(B1788)</f>
        <v>Tuáº§n 6</v>
      </c>
      <c r="D1788" t="s">
        <v>21</v>
      </c>
      <c r="E1788" t="s">
        <v>17</v>
      </c>
      <c r="F1788" s="5">
        <v>59000000</v>
      </c>
      <c r="G1788" s="5">
        <v>62000000</v>
      </c>
      <c r="H1788" s="5">
        <f>+(M1788*26000)/0.829426</f>
        <v>58393153.819629475</v>
      </c>
      <c r="I1788" s="5">
        <f>+G1788-H1788</f>
        <v>3606846.1803705245</v>
      </c>
      <c r="J1788" s="5">
        <v>3000000</v>
      </c>
      <c r="K1788" s="5">
        <v>5900000</v>
      </c>
      <c r="L1788" s="5">
        <v>6200000</v>
      </c>
      <c r="M1788" s="7">
        <v>1862.8</v>
      </c>
      <c r="N1788" s="5">
        <v>59500000</v>
      </c>
      <c r="O1788" s="5">
        <v>62500000</v>
      </c>
      <c r="P1788" s="3">
        <v>0.97916666666666663</v>
      </c>
    </row>
    <row r="1789" spans="1:16" x14ac:dyDescent="0.25">
      <c r="A1789" t="s">
        <v>1099</v>
      </c>
      <c r="B1789" s="2">
        <v>44970</v>
      </c>
      <c r="C1789" t="str">
        <f>+"Tuáº§n "&amp;WEEKNUM(B1789)</f>
        <v>Tuáº§n 7</v>
      </c>
      <c r="D1789" t="s">
        <v>16</v>
      </c>
      <c r="E1789" t="s">
        <v>17</v>
      </c>
      <c r="F1789" s="5">
        <v>58600000</v>
      </c>
      <c r="G1789" s="5">
        <v>61600000</v>
      </c>
      <c r="H1789" s="5">
        <f>+(M1789*26000)/0.829426</f>
        <v>58051471.740697786</v>
      </c>
      <c r="I1789" s="5">
        <f>+G1789-H1789</f>
        <v>3548528.2593022138</v>
      </c>
      <c r="J1789" s="5">
        <v>3000000</v>
      </c>
      <c r="K1789" s="5">
        <v>5860000</v>
      </c>
      <c r="L1789" s="5">
        <v>6160000</v>
      </c>
      <c r="M1789" s="7">
        <v>1851.9</v>
      </c>
      <c r="N1789" s="5">
        <v>59100000</v>
      </c>
      <c r="O1789" s="5">
        <v>62100000</v>
      </c>
      <c r="P1789" s="3">
        <v>0.97916666666666663</v>
      </c>
    </row>
    <row r="1790" spans="1:16" x14ac:dyDescent="0.25">
      <c r="A1790" t="s">
        <v>1100</v>
      </c>
      <c r="B1790" s="2">
        <v>44971</v>
      </c>
      <c r="C1790" t="str">
        <f>+"Tuáº§n "&amp;WEEKNUM(B1790)</f>
        <v>Tuáº§n 7</v>
      </c>
      <c r="D1790" t="s">
        <v>18</v>
      </c>
      <c r="E1790" t="s">
        <v>17</v>
      </c>
      <c r="F1790" s="5">
        <v>58700000</v>
      </c>
      <c r="G1790" s="5">
        <v>61700000</v>
      </c>
      <c r="H1790" s="5">
        <f>+(M1790*26000)/0.829426</f>
        <v>58117300.398106642</v>
      </c>
      <c r="I1790" s="5">
        <f>+G1790-H1790</f>
        <v>3582699.6018933579</v>
      </c>
      <c r="J1790" s="5">
        <v>3000000</v>
      </c>
      <c r="K1790" s="5">
        <v>5870000</v>
      </c>
      <c r="L1790" s="5">
        <v>6170000</v>
      </c>
      <c r="M1790" s="7">
        <v>1854</v>
      </c>
      <c r="N1790" s="5">
        <v>59200000</v>
      </c>
      <c r="O1790" s="5">
        <v>62200000</v>
      </c>
      <c r="P1790" s="3">
        <v>0.97916666666666663</v>
      </c>
    </row>
    <row r="1791" spans="1:16" x14ac:dyDescent="0.25">
      <c r="A1791" t="s">
        <v>1101</v>
      </c>
      <c r="B1791" s="2">
        <v>44972</v>
      </c>
      <c r="C1791" t="str">
        <f>+"Tuáº§n "&amp;WEEKNUM(B1791)</f>
        <v>Tuáº§n 7</v>
      </c>
      <c r="D1791" t="s">
        <v>19</v>
      </c>
      <c r="E1791" t="s">
        <v>17</v>
      </c>
      <c r="F1791" s="5">
        <v>58000000</v>
      </c>
      <c r="G1791" s="5">
        <v>61000000</v>
      </c>
      <c r="H1791" s="5">
        <f>+(M1791*26000)/0.829426</f>
        <v>57496630.199680261</v>
      </c>
      <c r="I1791" s="5">
        <f>+G1791-H1791</f>
        <v>3503369.8003197387</v>
      </c>
      <c r="J1791" s="5">
        <v>3000000</v>
      </c>
      <c r="K1791" s="5">
        <v>5800000</v>
      </c>
      <c r="L1791" s="5">
        <v>6100000</v>
      </c>
      <c r="M1791" s="7">
        <v>1834.2</v>
      </c>
      <c r="N1791" s="5">
        <v>58500000</v>
      </c>
      <c r="O1791" s="5">
        <v>61500000</v>
      </c>
      <c r="P1791" s="3">
        <v>0.97916666666666663</v>
      </c>
    </row>
    <row r="1792" spans="1:16" x14ac:dyDescent="0.25">
      <c r="A1792" t="s">
        <v>1102</v>
      </c>
      <c r="B1792" s="2">
        <v>44973</v>
      </c>
      <c r="C1792" t="str">
        <f>+"Tuáº§n "&amp;WEEKNUM(B1792)</f>
        <v>Tuáº§n 7</v>
      </c>
      <c r="D1792" t="s">
        <v>20</v>
      </c>
      <c r="E1792" t="s">
        <v>17</v>
      </c>
      <c r="F1792" s="5">
        <v>58300000</v>
      </c>
      <c r="G1792" s="5">
        <v>61300000</v>
      </c>
      <c r="H1792" s="5">
        <f>+(M1792*26000)/0.829426</f>
        <v>57741136.641484596</v>
      </c>
      <c r="I1792" s="5">
        <f>+G1792-H1792</f>
        <v>3558863.3585154042</v>
      </c>
      <c r="J1792" s="5">
        <v>3000000</v>
      </c>
      <c r="K1792" s="5">
        <v>5830000</v>
      </c>
      <c r="L1792" s="5">
        <v>6130000</v>
      </c>
      <c r="M1792" s="7">
        <v>1842</v>
      </c>
      <c r="N1792" s="5">
        <v>58800000</v>
      </c>
      <c r="O1792" s="5">
        <v>61800000</v>
      </c>
      <c r="P1792" s="3">
        <v>0.97916666666666663</v>
      </c>
    </row>
    <row r="1793" spans="1:16" x14ac:dyDescent="0.25">
      <c r="A1793" t="s">
        <v>1103</v>
      </c>
      <c r="B1793" s="2">
        <v>44974</v>
      </c>
      <c r="C1793" t="str">
        <f>+"Tuáº§n "&amp;WEEKNUM(B1793)</f>
        <v>Tuáº§n 7</v>
      </c>
      <c r="D1793" t="s">
        <v>21</v>
      </c>
      <c r="E1793" t="s">
        <v>17</v>
      </c>
      <c r="F1793" s="5">
        <v>58200000</v>
      </c>
      <c r="G1793" s="5">
        <v>61200000</v>
      </c>
      <c r="H1793" s="5">
        <f>+(M1793*26000)/0.829426</f>
        <v>57690981.473934986</v>
      </c>
      <c r="I1793" s="5">
        <f>+G1793-H1793</f>
        <v>3509018.5260650143</v>
      </c>
      <c r="J1793" s="5">
        <v>3000000</v>
      </c>
      <c r="K1793" s="5">
        <v>5820000</v>
      </c>
      <c r="L1793" s="5">
        <v>6120000</v>
      </c>
      <c r="M1793" s="7">
        <v>1840.4</v>
      </c>
      <c r="N1793" s="5">
        <v>58700000</v>
      </c>
      <c r="O1793" s="5">
        <v>61700000</v>
      </c>
      <c r="P1793" s="3">
        <v>0.97916666666666663</v>
      </c>
    </row>
    <row r="1794" spans="1:16" x14ac:dyDescent="0.25">
      <c r="A1794" t="s">
        <v>1104</v>
      </c>
      <c r="B1794" s="2">
        <v>44978</v>
      </c>
      <c r="C1794" t="str">
        <f>+"Tuáº§n "&amp;WEEKNUM(B1794)</f>
        <v>Tuáº§n 8</v>
      </c>
      <c r="D1794" t="s">
        <v>18</v>
      </c>
      <c r="E1794" t="s">
        <v>17</v>
      </c>
      <c r="F1794" s="5">
        <v>58000000</v>
      </c>
      <c r="G1794" s="5">
        <v>61000000</v>
      </c>
      <c r="H1794" s="5">
        <f>+(M1794*26000)/0.829426</f>
        <v>57459013.824018054</v>
      </c>
      <c r="I1794" s="5">
        <f>+G1794-H1794</f>
        <v>3540986.1759819463</v>
      </c>
      <c r="J1794" s="5">
        <v>3000000</v>
      </c>
      <c r="K1794" s="5">
        <v>5800000</v>
      </c>
      <c r="L1794" s="5">
        <v>6100000</v>
      </c>
      <c r="M1794" s="7">
        <v>1833</v>
      </c>
      <c r="N1794" s="5">
        <v>58500000</v>
      </c>
      <c r="O1794" s="5">
        <v>61500000</v>
      </c>
      <c r="P1794" s="3">
        <v>0.97916666666666663</v>
      </c>
    </row>
    <row r="1795" spans="1:16" x14ac:dyDescent="0.25">
      <c r="A1795" t="s">
        <v>1105</v>
      </c>
      <c r="B1795" s="2">
        <v>44979</v>
      </c>
      <c r="C1795" t="str">
        <f>+"Tuáº§n "&amp;WEEKNUM(B1795)</f>
        <v>Tuáº§n 8</v>
      </c>
      <c r="D1795" t="s">
        <v>19</v>
      </c>
      <c r="E1795" t="s">
        <v>17</v>
      </c>
      <c r="F1795" s="5">
        <v>57900000</v>
      </c>
      <c r="G1795" s="5">
        <v>60900000</v>
      </c>
      <c r="H1795" s="5">
        <f>+(M1795*26000)/0.829426</f>
        <v>57427666.844299555</v>
      </c>
      <c r="I1795" s="5">
        <f>+G1795-H1795</f>
        <v>3472333.1557004452</v>
      </c>
      <c r="J1795" s="5">
        <v>3000000</v>
      </c>
      <c r="K1795" s="5">
        <v>5790000</v>
      </c>
      <c r="L1795" s="5">
        <v>6090000</v>
      </c>
      <c r="M1795" s="7">
        <v>1832</v>
      </c>
      <c r="N1795" s="5">
        <v>58400000</v>
      </c>
      <c r="O1795" s="5">
        <v>61400000</v>
      </c>
      <c r="P1795" s="3">
        <v>0.97916666666666663</v>
      </c>
    </row>
    <row r="1796" spans="1:16" x14ac:dyDescent="0.25">
      <c r="A1796" t="s">
        <v>1106</v>
      </c>
      <c r="B1796" s="2">
        <v>44980</v>
      </c>
      <c r="C1796" t="str">
        <f>+"Tuáº§n "&amp;WEEKNUM(B1796)</f>
        <v>Tuáº§n 8</v>
      </c>
      <c r="D1796" t="s">
        <v>20</v>
      </c>
      <c r="E1796" t="s">
        <v>17</v>
      </c>
      <c r="F1796" s="5">
        <v>57500000</v>
      </c>
      <c r="G1796" s="5">
        <v>60500000</v>
      </c>
      <c r="H1796" s="5">
        <f>+(M1796*26000)/0.829426</f>
        <v>56988809.128240496</v>
      </c>
      <c r="I1796" s="5">
        <f>+G1796-H1796</f>
        <v>3511190.8717595041</v>
      </c>
      <c r="J1796" s="5">
        <v>3000000</v>
      </c>
      <c r="K1796" s="5">
        <v>5750000</v>
      </c>
      <c r="L1796" s="5">
        <v>6050000</v>
      </c>
      <c r="M1796" s="7">
        <v>1818</v>
      </c>
      <c r="N1796" s="5">
        <v>58000000</v>
      </c>
      <c r="O1796" s="5">
        <v>61000000</v>
      </c>
      <c r="P1796" s="3">
        <v>0.97916666666666663</v>
      </c>
    </row>
    <row r="1797" spans="1:16" x14ac:dyDescent="0.25">
      <c r="A1797" t="s">
        <v>1107</v>
      </c>
      <c r="B1797" s="2">
        <v>44981</v>
      </c>
      <c r="C1797" t="str">
        <f>+"Tuáº§n "&amp;WEEKNUM(B1797)</f>
        <v>Tuáº§n 8</v>
      </c>
      <c r="D1797" t="s">
        <v>21</v>
      </c>
      <c r="E1797" t="s">
        <v>17</v>
      </c>
      <c r="F1797" s="5">
        <v>57200000</v>
      </c>
      <c r="G1797" s="5">
        <v>60200000</v>
      </c>
      <c r="H1797" s="5">
        <f>+(M1797*26000)/0.829426</f>
        <v>56700416.91483026</v>
      </c>
      <c r="I1797" s="5">
        <f>+G1797-H1797</f>
        <v>3499583.08516974</v>
      </c>
      <c r="J1797" s="5">
        <v>3000000</v>
      </c>
      <c r="K1797" s="5">
        <v>5720000</v>
      </c>
      <c r="L1797" s="5">
        <v>6020000</v>
      </c>
      <c r="M1797" s="7">
        <v>1808.8</v>
      </c>
      <c r="N1797" s="5">
        <v>57700000</v>
      </c>
      <c r="O1797" s="5">
        <v>60700000</v>
      </c>
      <c r="P1797" s="3">
        <v>0.97916666666666663</v>
      </c>
    </row>
    <row r="1798" spans="1:16" x14ac:dyDescent="0.25">
      <c r="A1798" t="s">
        <v>1108</v>
      </c>
      <c r="B1798" s="2">
        <v>44984</v>
      </c>
      <c r="C1798" t="str">
        <f>+"Tuáº§n "&amp;WEEKNUM(B1798)</f>
        <v>Tuáº§n 9</v>
      </c>
      <c r="D1798" t="s">
        <v>16</v>
      </c>
      <c r="E1798" t="s">
        <v>17</v>
      </c>
      <c r="F1798" s="5">
        <v>57400000</v>
      </c>
      <c r="G1798" s="5">
        <v>60400000</v>
      </c>
      <c r="H1798" s="5">
        <f>+(M1798*26000)/0.829426</f>
        <v>56957462.14852199</v>
      </c>
      <c r="I1798" s="5">
        <f>+G1798-H1798</f>
        <v>3442537.8514780104</v>
      </c>
      <c r="J1798" s="5">
        <v>3000000</v>
      </c>
      <c r="K1798" s="5">
        <v>5740000</v>
      </c>
      <c r="L1798" s="5">
        <v>6040000</v>
      </c>
      <c r="M1798" s="7">
        <v>1817</v>
      </c>
      <c r="N1798" s="5">
        <v>57900000</v>
      </c>
      <c r="O1798" s="5">
        <v>60900000</v>
      </c>
      <c r="P1798" s="3">
        <v>0.97916666666666663</v>
      </c>
    </row>
    <row r="1799" spans="1:16" x14ac:dyDescent="0.25">
      <c r="A1799" t="s">
        <v>1109</v>
      </c>
      <c r="B1799" s="2">
        <v>44985</v>
      </c>
      <c r="C1799" t="str">
        <f>+"Tuáº§n "&amp;WEEKNUM(B1799)</f>
        <v>Tuáº§n 9</v>
      </c>
      <c r="D1799" t="s">
        <v>18</v>
      </c>
      <c r="E1799" t="s">
        <v>17</v>
      </c>
      <c r="F1799" s="5">
        <v>57800000</v>
      </c>
      <c r="G1799" s="5">
        <v>60800000</v>
      </c>
      <c r="H1799" s="5">
        <f>+(M1799*26000)/0.829426</f>
        <v>57330491.207172193</v>
      </c>
      <c r="I1799" s="5">
        <f>+G1799-H1799</f>
        <v>3469508.7928278074</v>
      </c>
      <c r="J1799" s="5">
        <v>3000000</v>
      </c>
      <c r="K1799" s="5">
        <v>5780000</v>
      </c>
      <c r="L1799" s="5">
        <v>6080000</v>
      </c>
      <c r="M1799" s="7">
        <v>1828.9</v>
      </c>
      <c r="N1799" s="5">
        <v>58300000</v>
      </c>
      <c r="O1799" s="5">
        <v>61300000</v>
      </c>
      <c r="P1799" s="3">
        <v>0.97916666666666663</v>
      </c>
    </row>
    <row r="1800" spans="1:16" x14ac:dyDescent="0.25">
      <c r="A1800" s="2">
        <v>44929</v>
      </c>
      <c r="B1800" s="2">
        <v>44986</v>
      </c>
      <c r="C1800" t="str">
        <f>+"Tuáº§n "&amp;WEEKNUM(B1800)</f>
        <v>Tuáº§n 9</v>
      </c>
      <c r="D1800" t="s">
        <v>19</v>
      </c>
      <c r="E1800" t="s">
        <v>17</v>
      </c>
      <c r="F1800" s="5">
        <v>58100000</v>
      </c>
      <c r="G1800" s="5">
        <v>61100000</v>
      </c>
      <c r="H1800" s="5">
        <f>+(M1800*26000)/0.829426</f>
        <v>57606344.628695026</v>
      </c>
      <c r="I1800" s="5">
        <f>+G1800-H1800</f>
        <v>3493655.371304974</v>
      </c>
      <c r="J1800" s="5">
        <v>3000000</v>
      </c>
      <c r="K1800" s="5">
        <v>5810000</v>
      </c>
      <c r="L1800" s="5">
        <v>6110000</v>
      </c>
      <c r="M1800" s="7">
        <v>1837.7</v>
      </c>
      <c r="N1800" s="5">
        <v>58600000</v>
      </c>
      <c r="O1800" s="5">
        <v>61600000</v>
      </c>
      <c r="P1800" s="3">
        <v>0.97916666666666663</v>
      </c>
    </row>
    <row r="1801" spans="1:16" x14ac:dyDescent="0.25">
      <c r="A1801" s="2">
        <v>44960</v>
      </c>
      <c r="B1801" s="2">
        <v>44987</v>
      </c>
      <c r="C1801" t="str">
        <f>+"Tuáº§n "&amp;WEEKNUM(B1801)</f>
        <v>Tuáº§n 9</v>
      </c>
      <c r="D1801" t="s">
        <v>20</v>
      </c>
      <c r="E1801" t="s">
        <v>17</v>
      </c>
      <c r="F1801" s="5">
        <v>58000000</v>
      </c>
      <c r="G1801" s="5">
        <v>61000000</v>
      </c>
      <c r="H1801" s="5">
        <f>+(M1801*26000)/0.829426</f>
        <v>57474687.313877307</v>
      </c>
      <c r="I1801" s="5">
        <f>+G1801-H1801</f>
        <v>3525312.6861226931</v>
      </c>
      <c r="J1801" s="5">
        <v>3000000</v>
      </c>
      <c r="K1801" s="5">
        <v>5800000</v>
      </c>
      <c r="L1801" s="5">
        <v>6100000</v>
      </c>
      <c r="M1801" s="7">
        <v>1833.5</v>
      </c>
      <c r="N1801" s="5">
        <v>58500000</v>
      </c>
      <c r="O1801" s="5">
        <v>61500000</v>
      </c>
      <c r="P1801" s="3">
        <v>0.97916666666666663</v>
      </c>
    </row>
    <row r="1802" spans="1:16" x14ac:dyDescent="0.25">
      <c r="A1802" s="2">
        <v>44988</v>
      </c>
      <c r="B1802" s="2">
        <v>44988</v>
      </c>
      <c r="C1802" t="str">
        <f>+"Tuáº§n "&amp;WEEKNUM(B1802)</f>
        <v>Tuáº§n 9</v>
      </c>
      <c r="D1802" t="s">
        <v>21</v>
      </c>
      <c r="E1802" t="s">
        <v>17</v>
      </c>
      <c r="F1802" s="5">
        <v>58500000</v>
      </c>
      <c r="G1802" s="5">
        <v>61500000</v>
      </c>
      <c r="H1802" s="5">
        <f>+(M1802*26000)/0.829426</f>
        <v>57919814.425880067</v>
      </c>
      <c r="I1802" s="5">
        <f>+G1802-H1802</f>
        <v>3580185.5741199329</v>
      </c>
      <c r="J1802" s="5">
        <v>3000000</v>
      </c>
      <c r="K1802" s="5">
        <v>5850000</v>
      </c>
      <c r="L1802" s="5">
        <v>6150000</v>
      </c>
      <c r="M1802" s="7">
        <v>1847.7</v>
      </c>
      <c r="N1802" s="5">
        <v>59000000</v>
      </c>
      <c r="O1802" s="5">
        <v>62000000</v>
      </c>
      <c r="P1802" s="3">
        <v>0.97916666666666663</v>
      </c>
    </row>
    <row r="1803" spans="1:16" x14ac:dyDescent="0.25">
      <c r="A1803" s="2">
        <v>45080</v>
      </c>
      <c r="B1803" s="2">
        <v>44991</v>
      </c>
      <c r="C1803" t="str">
        <f>+"Tuáº§n "&amp;WEEKNUM(B1803)</f>
        <v>Tuáº§n 10</v>
      </c>
      <c r="D1803" t="s">
        <v>16</v>
      </c>
      <c r="E1803" t="s">
        <v>17</v>
      </c>
      <c r="F1803" s="5">
        <v>58500000</v>
      </c>
      <c r="G1803" s="5">
        <v>61500000</v>
      </c>
      <c r="H1803" s="5">
        <f>+(M1803*26000)/0.829426</f>
        <v>57926083.821823768</v>
      </c>
      <c r="I1803" s="5">
        <f>+G1803-H1803</f>
        <v>3573916.1781762317</v>
      </c>
      <c r="J1803" s="5">
        <v>3000000</v>
      </c>
      <c r="K1803" s="5">
        <v>5850000</v>
      </c>
      <c r="L1803" s="5">
        <v>6150000</v>
      </c>
      <c r="M1803" s="7">
        <v>1847.9</v>
      </c>
      <c r="N1803" s="5">
        <v>59000000</v>
      </c>
      <c r="O1803" s="5">
        <v>62000000</v>
      </c>
      <c r="P1803" s="3">
        <v>0.97916666666666663</v>
      </c>
    </row>
    <row r="1804" spans="1:16" x14ac:dyDescent="0.25">
      <c r="A1804" s="2">
        <v>45110</v>
      </c>
      <c r="B1804" s="2">
        <v>44992</v>
      </c>
      <c r="C1804" t="str">
        <f>+"Tuáº§n "&amp;WEEKNUM(B1804)</f>
        <v>Tuáº§n 10</v>
      </c>
      <c r="D1804" t="s">
        <v>18</v>
      </c>
      <c r="E1804" t="s">
        <v>17</v>
      </c>
      <c r="F1804" s="5">
        <v>57300000</v>
      </c>
      <c r="G1804" s="5">
        <v>60300000</v>
      </c>
      <c r="H1804" s="5">
        <f>+(M1804*26000)/0.829426</f>
        <v>56860286.511394627</v>
      </c>
      <c r="I1804" s="5">
        <f>+G1804-H1804</f>
        <v>3439713.4886053726</v>
      </c>
      <c r="J1804" s="5">
        <v>3000000</v>
      </c>
      <c r="K1804" s="5">
        <v>5730000</v>
      </c>
      <c r="L1804" s="5">
        <v>6030000</v>
      </c>
      <c r="M1804" s="7">
        <v>1813.9</v>
      </c>
      <c r="N1804" s="5">
        <v>57800000</v>
      </c>
      <c r="O1804" s="5">
        <v>60800000</v>
      </c>
      <c r="P1804" s="3">
        <v>0.97916666666666663</v>
      </c>
    </row>
    <row r="1805" spans="1:16" x14ac:dyDescent="0.25">
      <c r="A1805" s="2">
        <v>45141</v>
      </c>
      <c r="B1805" s="2">
        <v>44993</v>
      </c>
      <c r="C1805" t="str">
        <f>+"Tuáº§n "&amp;WEEKNUM(B1805)</f>
        <v>Tuáº§n 10</v>
      </c>
      <c r="D1805" t="s">
        <v>19</v>
      </c>
      <c r="E1805" t="s">
        <v>17</v>
      </c>
      <c r="F1805" s="5">
        <v>57300000</v>
      </c>
      <c r="G1805" s="5">
        <v>60300000</v>
      </c>
      <c r="H1805" s="5">
        <f>+(M1805*26000)/0.829426</f>
        <v>56822670.13573242</v>
      </c>
      <c r="I1805" s="5">
        <f>+G1805-H1805</f>
        <v>3477329.8642675802</v>
      </c>
      <c r="J1805" s="5">
        <v>3000000</v>
      </c>
      <c r="K1805" s="5">
        <v>5730000</v>
      </c>
      <c r="L1805" s="5">
        <v>6030000</v>
      </c>
      <c r="M1805" s="7">
        <v>1812.7</v>
      </c>
      <c r="N1805" s="5">
        <v>57800000</v>
      </c>
      <c r="O1805" s="5">
        <v>60800000</v>
      </c>
      <c r="P1805" s="3">
        <v>0.97916666666666663</v>
      </c>
    </row>
    <row r="1806" spans="1:16" x14ac:dyDescent="0.25">
      <c r="A1806" s="2">
        <v>45172</v>
      </c>
      <c r="B1806" s="2">
        <v>44994</v>
      </c>
      <c r="C1806" t="str">
        <f>+"Tuáº§n "&amp;WEEKNUM(B1806)</f>
        <v>Tuáº§n 10</v>
      </c>
      <c r="D1806" t="s">
        <v>20</v>
      </c>
      <c r="E1806" t="s">
        <v>17</v>
      </c>
      <c r="F1806" s="5">
        <v>57800000</v>
      </c>
      <c r="G1806" s="5">
        <v>60800000</v>
      </c>
      <c r="H1806" s="5">
        <f>+(M1806*26000)/0.829426</f>
        <v>57343029.999059588</v>
      </c>
      <c r="I1806" s="5">
        <f>+G1806-H1806</f>
        <v>3456970.0009404123</v>
      </c>
      <c r="J1806" s="5">
        <v>3000000</v>
      </c>
      <c r="K1806" s="5">
        <v>5780000</v>
      </c>
      <c r="L1806" s="5">
        <v>6080000</v>
      </c>
      <c r="M1806" s="7">
        <v>1829.3</v>
      </c>
      <c r="N1806" s="5">
        <v>58300000</v>
      </c>
      <c r="O1806" s="5">
        <v>61300000</v>
      </c>
      <c r="P1806" s="3">
        <v>0.97916666666666663</v>
      </c>
    </row>
    <row r="1807" spans="1:16" x14ac:dyDescent="0.25">
      <c r="A1807" s="2">
        <v>45202</v>
      </c>
      <c r="B1807" s="2">
        <v>44995</v>
      </c>
      <c r="C1807" t="str">
        <f>+"Tuáº§n "&amp;WEEKNUM(B1807)</f>
        <v>Tuáº§n 10</v>
      </c>
      <c r="D1807" t="s">
        <v>21</v>
      </c>
      <c r="E1807" t="s">
        <v>17</v>
      </c>
      <c r="F1807" s="5">
        <v>58900000</v>
      </c>
      <c r="G1807" s="5">
        <v>61900000</v>
      </c>
      <c r="H1807" s="5">
        <f>+(M1807*26000)/0.829426</f>
        <v>58368076.235854678</v>
      </c>
      <c r="I1807" s="5">
        <f>+G1807-H1807</f>
        <v>3531923.7641453221</v>
      </c>
      <c r="J1807" s="5">
        <v>3000000</v>
      </c>
      <c r="K1807" s="5">
        <v>5890000</v>
      </c>
      <c r="L1807" s="5">
        <v>6190000</v>
      </c>
      <c r="M1807" s="7">
        <v>1862</v>
      </c>
      <c r="N1807" s="5">
        <v>59400000</v>
      </c>
      <c r="O1807" s="5">
        <v>62400000</v>
      </c>
      <c r="P1807" s="3">
        <v>0.97916666666666663</v>
      </c>
    </row>
    <row r="1808" spans="1:16" x14ac:dyDescent="0.25">
      <c r="A1808" t="s">
        <v>1110</v>
      </c>
      <c r="B1808" s="2">
        <v>44998</v>
      </c>
      <c r="C1808" t="str">
        <f>+"Tuáº§n "&amp;WEEKNUM(B1808)</f>
        <v>Tuáº§n 11</v>
      </c>
      <c r="D1808" t="s">
        <v>16</v>
      </c>
      <c r="E1808" t="s">
        <v>17</v>
      </c>
      <c r="F1808" s="5">
        <v>60600000</v>
      </c>
      <c r="G1808" s="5">
        <v>63600000</v>
      </c>
      <c r="H1808" s="5">
        <f>+(M1808*26000)/0.829426</f>
        <v>59926021.127864331</v>
      </c>
      <c r="I1808" s="5">
        <f>+G1808-H1808</f>
        <v>3673978.872135669</v>
      </c>
      <c r="J1808" s="5">
        <v>3000000</v>
      </c>
      <c r="K1808" s="5">
        <v>6060000</v>
      </c>
      <c r="L1808" s="5">
        <v>6360000</v>
      </c>
      <c r="M1808" s="7">
        <v>1911.7</v>
      </c>
      <c r="N1808" s="5">
        <v>61100000</v>
      </c>
      <c r="O1808" s="5">
        <v>64100000</v>
      </c>
      <c r="P1808" s="3">
        <v>0.97916666666666663</v>
      </c>
    </row>
    <row r="1809" spans="1:16" x14ac:dyDescent="0.25">
      <c r="A1809" t="s">
        <v>1111</v>
      </c>
      <c r="B1809" s="2">
        <v>44999</v>
      </c>
      <c r="C1809" t="str">
        <f>+"Tuáº§n "&amp;WEEKNUM(B1809)</f>
        <v>Tuáº§n 11</v>
      </c>
      <c r="D1809" t="s">
        <v>18</v>
      </c>
      <c r="E1809" t="s">
        <v>17</v>
      </c>
      <c r="F1809" s="5">
        <v>60400000</v>
      </c>
      <c r="G1809" s="5">
        <v>63400000</v>
      </c>
      <c r="H1809" s="5">
        <f>+(M1809*26000)/0.829426</f>
        <v>59753612.739412561</v>
      </c>
      <c r="I1809" s="5">
        <f>+G1809-H1809</f>
        <v>3646387.2605874389</v>
      </c>
      <c r="J1809" s="5">
        <v>3000000</v>
      </c>
      <c r="K1809" s="5">
        <v>6040000</v>
      </c>
      <c r="L1809" s="5">
        <v>6340000</v>
      </c>
      <c r="M1809" s="7">
        <v>1906.2</v>
      </c>
      <c r="N1809" s="5">
        <v>60900000</v>
      </c>
      <c r="O1809" s="5">
        <v>63900000</v>
      </c>
      <c r="P1809" s="3">
        <v>0.97916666666666663</v>
      </c>
    </row>
    <row r="1810" spans="1:16" x14ac:dyDescent="0.25">
      <c r="A1810" t="s">
        <v>1112</v>
      </c>
      <c r="B1810" s="2">
        <v>45000</v>
      </c>
      <c r="C1810" t="str">
        <f>+"Tuáº§n "&amp;WEEKNUM(B1810)</f>
        <v>Tuáº§n 11</v>
      </c>
      <c r="D1810" t="s">
        <v>19</v>
      </c>
      <c r="E1810" t="s">
        <v>17</v>
      </c>
      <c r="F1810" s="5">
        <v>61100000</v>
      </c>
      <c r="G1810" s="5">
        <v>64100000</v>
      </c>
      <c r="H1810" s="5">
        <f>+(M1810*26000)/0.829426</f>
        <v>60393091.125670046</v>
      </c>
      <c r="I1810" s="5">
        <f>+G1810-H1810</f>
        <v>3706908.8743299544</v>
      </c>
      <c r="J1810" s="5">
        <v>3000000</v>
      </c>
      <c r="K1810" s="5">
        <v>6110000</v>
      </c>
      <c r="L1810" s="5">
        <v>6410000</v>
      </c>
      <c r="M1810" s="7">
        <v>1926.6</v>
      </c>
      <c r="N1810" s="5">
        <v>61600000</v>
      </c>
      <c r="O1810" s="5">
        <v>64600000</v>
      </c>
      <c r="P1810" s="3">
        <v>0.97916666666666663</v>
      </c>
    </row>
    <row r="1811" spans="1:16" x14ac:dyDescent="0.25">
      <c r="A1811" t="s">
        <v>1113</v>
      </c>
      <c r="B1811" s="2">
        <v>45001</v>
      </c>
      <c r="C1811" t="str">
        <f>+"Tuáº§n "&amp;WEEKNUM(B1811)</f>
        <v>Tuáº§n 11</v>
      </c>
      <c r="D1811" t="s">
        <v>20</v>
      </c>
      <c r="E1811" t="s">
        <v>17</v>
      </c>
      <c r="F1811" s="5">
        <v>60800000</v>
      </c>
      <c r="G1811" s="5">
        <v>63800000</v>
      </c>
      <c r="H1811" s="5">
        <f>+(M1811*26000)/0.829426</f>
        <v>60154854.079809412</v>
      </c>
      <c r="I1811" s="5">
        <f>+G1811-H1811</f>
        <v>3645145.9201905876</v>
      </c>
      <c r="J1811" s="5">
        <v>3000000</v>
      </c>
      <c r="K1811" s="5">
        <v>6080000</v>
      </c>
      <c r="L1811" s="5">
        <v>6380000</v>
      </c>
      <c r="M1811" s="7">
        <v>1919</v>
      </c>
      <c r="N1811" s="5">
        <v>61300000</v>
      </c>
      <c r="O1811" s="5">
        <v>64300000</v>
      </c>
      <c r="P1811" s="3">
        <v>0.97916666666666663</v>
      </c>
    </row>
    <row r="1812" spans="1:16" x14ac:dyDescent="0.25">
      <c r="A1812" t="s">
        <v>1114</v>
      </c>
      <c r="B1812" s="2">
        <v>45002</v>
      </c>
      <c r="C1812" t="str">
        <f>+"Tuáº§n "&amp;WEEKNUM(B1812)</f>
        <v>Tuáº§n 11</v>
      </c>
      <c r="D1812" t="s">
        <v>21</v>
      </c>
      <c r="E1812" t="s">
        <v>17</v>
      </c>
      <c r="F1812" s="5">
        <v>62500000</v>
      </c>
      <c r="G1812" s="5">
        <v>65500000</v>
      </c>
      <c r="H1812" s="5">
        <f>+(M1812*26000)/0.829426</f>
        <v>61747280.649509422</v>
      </c>
      <c r="I1812" s="5">
        <f>+G1812-H1812</f>
        <v>3752719.3504905775</v>
      </c>
      <c r="J1812" s="5">
        <v>3000000</v>
      </c>
      <c r="K1812" s="5">
        <v>6250000</v>
      </c>
      <c r="L1812" s="5">
        <v>6550000</v>
      </c>
      <c r="M1812" s="7">
        <v>1969.8</v>
      </c>
      <c r="N1812" s="5">
        <v>63000000</v>
      </c>
      <c r="O1812" s="5">
        <v>66000000</v>
      </c>
      <c r="P1812" s="3">
        <v>0.97916666666666663</v>
      </c>
    </row>
    <row r="1813" spans="1:16" x14ac:dyDescent="0.25">
      <c r="A1813" t="s">
        <v>1115</v>
      </c>
      <c r="B1813" s="2">
        <v>45005</v>
      </c>
      <c r="C1813" t="str">
        <f>+"Tuáº§n "&amp;WEEKNUM(B1813)</f>
        <v>Tuáº§n 12</v>
      </c>
      <c r="D1813" t="s">
        <v>16</v>
      </c>
      <c r="E1813" t="s">
        <v>17</v>
      </c>
      <c r="F1813" s="5">
        <v>62800000</v>
      </c>
      <c r="G1813" s="5">
        <v>65800000</v>
      </c>
      <c r="H1813" s="5">
        <f>+(M1813*26000)/0.829426</f>
        <v>62041942.25886336</v>
      </c>
      <c r="I1813" s="5">
        <f>+G1813-H1813</f>
        <v>3758057.7411366403</v>
      </c>
      <c r="J1813" s="5">
        <v>3000000</v>
      </c>
      <c r="K1813" s="5">
        <v>6280000</v>
      </c>
      <c r="L1813" s="5">
        <v>6580000</v>
      </c>
      <c r="M1813" s="7">
        <v>1979.2</v>
      </c>
      <c r="N1813" s="5">
        <v>63300000</v>
      </c>
      <c r="O1813" s="5">
        <v>66300000</v>
      </c>
      <c r="P1813" s="3">
        <v>0.97916666666666663</v>
      </c>
    </row>
    <row r="1814" spans="1:16" x14ac:dyDescent="0.25">
      <c r="A1814" t="s">
        <v>1116</v>
      </c>
      <c r="B1814" s="2">
        <v>45006</v>
      </c>
      <c r="C1814" t="str">
        <f>+"Tuáº§n "&amp;WEEKNUM(B1814)</f>
        <v>Tuáº§n 12</v>
      </c>
      <c r="D1814" t="s">
        <v>18</v>
      </c>
      <c r="E1814" t="s">
        <v>17</v>
      </c>
      <c r="F1814" s="5">
        <v>61500000</v>
      </c>
      <c r="G1814" s="5">
        <v>64500000</v>
      </c>
      <c r="H1814" s="5">
        <f>+(M1814*26000)/0.829426</f>
        <v>60750446.694460988</v>
      </c>
      <c r="I1814" s="5">
        <f>+G1814-H1814</f>
        <v>3749553.305539012</v>
      </c>
      <c r="J1814" s="5">
        <v>3000000</v>
      </c>
      <c r="K1814" s="5">
        <v>6150000</v>
      </c>
      <c r="L1814" s="5">
        <v>6450000</v>
      </c>
      <c r="M1814" s="7">
        <v>1938</v>
      </c>
      <c r="N1814" s="5">
        <v>62000000</v>
      </c>
      <c r="O1814" s="5">
        <v>65000000</v>
      </c>
      <c r="P1814" s="3">
        <v>0.97916666666666663</v>
      </c>
    </row>
    <row r="1815" spans="1:16" x14ac:dyDescent="0.25">
      <c r="A1815" t="s">
        <v>1117</v>
      </c>
      <c r="B1815" s="2">
        <v>45007</v>
      </c>
      <c r="C1815" t="str">
        <f>+"Tuáº§n "&amp;WEEKNUM(B1815)</f>
        <v>Tuáº§n 12</v>
      </c>
      <c r="D1815" t="s">
        <v>19</v>
      </c>
      <c r="E1815" t="s">
        <v>17</v>
      </c>
      <c r="F1815" s="5">
        <v>61800000</v>
      </c>
      <c r="G1815" s="5">
        <v>64800000</v>
      </c>
      <c r="H1815" s="5">
        <f>+(M1815*26000)/0.829426</f>
        <v>61026300.115983829</v>
      </c>
      <c r="I1815" s="5">
        <f>+G1815-H1815</f>
        <v>3773699.8840161711</v>
      </c>
      <c r="J1815" s="5">
        <v>3000000</v>
      </c>
      <c r="K1815" s="5">
        <v>6180000</v>
      </c>
      <c r="L1815" s="5">
        <v>6480000</v>
      </c>
      <c r="M1815" s="7">
        <v>1946.8</v>
      </c>
      <c r="N1815" s="5">
        <v>62300000</v>
      </c>
      <c r="O1815" s="5">
        <v>65300000</v>
      </c>
      <c r="P1815" s="3">
        <v>0.97916666666666663</v>
      </c>
    </row>
    <row r="1816" spans="1:16" x14ac:dyDescent="0.25">
      <c r="A1816" t="s">
        <v>1118</v>
      </c>
      <c r="B1816" s="2">
        <v>45008</v>
      </c>
      <c r="C1816" t="str">
        <f>+"Tuáº§n "&amp;WEEKNUM(B1816)</f>
        <v>Tuáº§n 12</v>
      </c>
      <c r="D1816" t="s">
        <v>20</v>
      </c>
      <c r="E1816" t="s">
        <v>17</v>
      </c>
      <c r="F1816" s="5">
        <v>63300000</v>
      </c>
      <c r="G1816" s="5">
        <v>66300000</v>
      </c>
      <c r="H1816" s="5">
        <f>+(M1816*26000)/0.829426</f>
        <v>62499608.162753522</v>
      </c>
      <c r="I1816" s="5">
        <f>+G1816-H1816</f>
        <v>3800391.8372464776</v>
      </c>
      <c r="J1816" s="5">
        <v>3000000</v>
      </c>
      <c r="K1816" s="5">
        <v>6330000</v>
      </c>
      <c r="L1816" s="5">
        <v>6630000</v>
      </c>
      <c r="M1816" s="7">
        <v>1993.8</v>
      </c>
      <c r="N1816" s="5">
        <v>63800000</v>
      </c>
      <c r="O1816" s="5">
        <v>66800000</v>
      </c>
      <c r="P1816" s="3">
        <v>0.97916666666666663</v>
      </c>
    </row>
    <row r="1817" spans="1:16" x14ac:dyDescent="0.25">
      <c r="A1817" t="s">
        <v>1119</v>
      </c>
      <c r="B1817" s="2">
        <v>45009</v>
      </c>
      <c r="C1817" t="str">
        <f>+"Tuáº§n "&amp;WEEKNUM(B1817)</f>
        <v>Tuáº§n 12</v>
      </c>
      <c r="D1817" t="s">
        <v>21</v>
      </c>
      <c r="E1817" t="s">
        <v>17</v>
      </c>
      <c r="F1817" s="5">
        <v>62900000</v>
      </c>
      <c r="G1817" s="5">
        <v>65900000</v>
      </c>
      <c r="H1817" s="5">
        <f>+(M1817*26000)/0.829426</f>
        <v>62132848.500047021</v>
      </c>
      <c r="I1817" s="5">
        <f>+G1817-H1817</f>
        <v>3767151.4999529794</v>
      </c>
      <c r="J1817" s="5">
        <v>3000000</v>
      </c>
      <c r="K1817" s="5">
        <v>6290000</v>
      </c>
      <c r="L1817" s="5">
        <v>6590000</v>
      </c>
      <c r="M1817" s="7">
        <v>1982.1</v>
      </c>
      <c r="N1817" s="5">
        <v>63400000</v>
      </c>
      <c r="O1817" s="5">
        <v>66400000</v>
      </c>
      <c r="P1817" s="3">
        <v>0.97916666666666663</v>
      </c>
    </row>
    <row r="1818" spans="1:16" x14ac:dyDescent="0.25">
      <c r="A1818" t="s">
        <v>1120</v>
      </c>
      <c r="B1818" s="2">
        <v>45012</v>
      </c>
      <c r="C1818" t="str">
        <f>+"Tuáº§n "&amp;WEEKNUM(B1818)</f>
        <v>Tuáº§n 13</v>
      </c>
      <c r="D1818" t="s">
        <v>16</v>
      </c>
      <c r="E1818" t="s">
        <v>17</v>
      </c>
      <c r="F1818" s="5">
        <v>61900000</v>
      </c>
      <c r="G1818" s="5">
        <v>64900000</v>
      </c>
      <c r="H1818" s="5">
        <f>+(M1818*26000)/0.829426</f>
        <v>61201843.202407449</v>
      </c>
      <c r="I1818" s="5">
        <f>+G1818-H1818</f>
        <v>3698156.7975925505</v>
      </c>
      <c r="J1818" s="5">
        <v>3000000</v>
      </c>
      <c r="K1818" s="5">
        <v>6190000</v>
      </c>
      <c r="L1818" s="5">
        <v>6490000</v>
      </c>
      <c r="M1818" s="7">
        <v>1952.4</v>
      </c>
      <c r="N1818" s="5">
        <v>62400000</v>
      </c>
      <c r="O1818" s="5">
        <v>65400000</v>
      </c>
      <c r="P1818" s="3">
        <v>0.97916666666666663</v>
      </c>
    </row>
    <row r="1819" spans="1:16" x14ac:dyDescent="0.25">
      <c r="A1819" t="s">
        <v>1121</v>
      </c>
      <c r="B1819" s="2">
        <v>45013</v>
      </c>
      <c r="C1819" t="str">
        <f>+"Tuáº§n "&amp;WEEKNUM(B1819)</f>
        <v>Tuáº§n 13</v>
      </c>
      <c r="D1819" t="s">
        <v>18</v>
      </c>
      <c r="E1819" t="s">
        <v>17</v>
      </c>
      <c r="F1819" s="5">
        <v>62600000</v>
      </c>
      <c r="G1819" s="5">
        <v>65600000</v>
      </c>
      <c r="H1819" s="5">
        <f>+(M1819*26000)/0.829426</f>
        <v>61828782.796777532</v>
      </c>
      <c r="I1819" s="5">
        <f>+G1819-H1819</f>
        <v>3771217.2032224685</v>
      </c>
      <c r="J1819" s="5">
        <v>3000000</v>
      </c>
      <c r="K1819" s="5">
        <v>6260000</v>
      </c>
      <c r="L1819" s="5">
        <v>6560000</v>
      </c>
      <c r="M1819" s="7">
        <v>1972.4</v>
      </c>
      <c r="N1819" s="5">
        <v>63100000</v>
      </c>
      <c r="O1819" s="5">
        <v>66100000</v>
      </c>
      <c r="P1819" s="3">
        <v>0.97916666666666663</v>
      </c>
    </row>
    <row r="1820" spans="1:16" x14ac:dyDescent="0.25">
      <c r="A1820" t="s">
        <v>1122</v>
      </c>
      <c r="B1820" s="2">
        <v>45014</v>
      </c>
      <c r="C1820" t="str">
        <f>+"Tuáº§n "&amp;WEEKNUM(B1820)</f>
        <v>Tuáº§n 13</v>
      </c>
      <c r="D1820" t="s">
        <v>19</v>
      </c>
      <c r="E1820" t="s">
        <v>17</v>
      </c>
      <c r="F1820" s="5">
        <v>62400000</v>
      </c>
      <c r="G1820" s="5">
        <v>65400000</v>
      </c>
      <c r="H1820" s="5">
        <f>+(M1820*26000)/0.829426</f>
        <v>61631296.824550956</v>
      </c>
      <c r="I1820" s="5">
        <f>+G1820-H1820</f>
        <v>3768703.1754490435</v>
      </c>
      <c r="J1820" s="5">
        <v>3000000</v>
      </c>
      <c r="K1820" s="5">
        <v>6240000</v>
      </c>
      <c r="L1820" s="5">
        <v>6540000</v>
      </c>
      <c r="M1820" s="7">
        <v>1966.1</v>
      </c>
      <c r="N1820" s="5">
        <v>62900000</v>
      </c>
      <c r="O1820" s="5">
        <v>65900000</v>
      </c>
      <c r="P1820" s="3">
        <v>0.97916666666666663</v>
      </c>
    </row>
    <row r="1821" spans="1:16" x14ac:dyDescent="0.25">
      <c r="A1821" t="s">
        <v>1123</v>
      </c>
      <c r="B1821" s="2">
        <v>45015</v>
      </c>
      <c r="C1821" t="str">
        <f>+"Tuáº§n "&amp;WEEKNUM(B1821)</f>
        <v>Tuáº§n 13</v>
      </c>
      <c r="D1821" t="s">
        <v>20</v>
      </c>
      <c r="E1821" t="s">
        <v>17</v>
      </c>
      <c r="F1821" s="5">
        <v>62900000</v>
      </c>
      <c r="G1821" s="5">
        <v>65900000</v>
      </c>
      <c r="H1821" s="5">
        <f>+(M1821*26000)/0.829426</f>
        <v>62076423.936553717</v>
      </c>
      <c r="I1821" s="5">
        <f>+G1821-H1821</f>
        <v>3823576.0634462833</v>
      </c>
      <c r="J1821" s="5">
        <v>3000000</v>
      </c>
      <c r="K1821" s="5">
        <v>6290000</v>
      </c>
      <c r="L1821" s="5">
        <v>6590000</v>
      </c>
      <c r="M1821" s="7">
        <v>1980.3</v>
      </c>
      <c r="N1821" s="5">
        <v>63400000</v>
      </c>
      <c r="O1821" s="5">
        <v>66400000</v>
      </c>
      <c r="P1821" s="3">
        <v>0.97916666666666663</v>
      </c>
    </row>
    <row r="1822" spans="1:16" x14ac:dyDescent="0.25">
      <c r="A1822" t="s">
        <v>1124</v>
      </c>
      <c r="B1822" s="2">
        <v>45016</v>
      </c>
      <c r="C1822" t="str">
        <f>+"Tuáº§n "&amp;WEEKNUM(B1822)</f>
        <v>Tuáº§n 13</v>
      </c>
      <c r="D1822" t="s">
        <v>21</v>
      </c>
      <c r="E1822" t="s">
        <v>17</v>
      </c>
      <c r="F1822" s="5">
        <v>62500000</v>
      </c>
      <c r="G1822" s="5">
        <v>65500000</v>
      </c>
      <c r="H1822" s="5">
        <f>+(M1822*26000)/0.829426</f>
        <v>61722203.065734617</v>
      </c>
      <c r="I1822" s="5">
        <f>+G1822-H1822</f>
        <v>3777796.9342653826</v>
      </c>
      <c r="J1822" s="5">
        <v>3000000</v>
      </c>
      <c r="K1822" s="5">
        <v>6250000</v>
      </c>
      <c r="L1822" s="5">
        <v>6550000</v>
      </c>
      <c r="M1822" s="7">
        <v>1969</v>
      </c>
      <c r="N1822" s="5">
        <v>63000000</v>
      </c>
      <c r="O1822" s="5">
        <v>66000000</v>
      </c>
      <c r="P1822" s="3">
        <v>0.97916666666666663</v>
      </c>
    </row>
    <row r="1823" spans="1:16" x14ac:dyDescent="0.25">
      <c r="A1823" s="2">
        <v>44989</v>
      </c>
      <c r="B1823" s="2">
        <v>45019</v>
      </c>
      <c r="C1823" t="str">
        <f>+"Tuáº§n "&amp;WEEKNUM(B1823)</f>
        <v>Tuáº§n 14</v>
      </c>
      <c r="D1823" t="s">
        <v>16</v>
      </c>
      <c r="E1823" t="s">
        <v>17</v>
      </c>
      <c r="F1823" s="5">
        <v>63000000</v>
      </c>
      <c r="G1823" s="5">
        <v>66000000</v>
      </c>
      <c r="H1823" s="5">
        <f>+(M1823*26000)/0.829426</f>
        <v>62189273.063540325</v>
      </c>
      <c r="I1823" s="5">
        <f>+G1823-H1823</f>
        <v>3810726.9364596754</v>
      </c>
      <c r="J1823" s="5">
        <v>3000000</v>
      </c>
      <c r="K1823" s="5">
        <v>6300000</v>
      </c>
      <c r="L1823" s="5">
        <v>6600000</v>
      </c>
      <c r="M1823" s="7">
        <v>1983.9</v>
      </c>
      <c r="N1823" s="5">
        <v>63500000</v>
      </c>
      <c r="O1823" s="5">
        <v>66500000</v>
      </c>
      <c r="P1823" s="3">
        <v>0.97916666666666663</v>
      </c>
    </row>
    <row r="1824" spans="1:16" x14ac:dyDescent="0.25">
      <c r="A1824" s="2">
        <v>45020</v>
      </c>
      <c r="B1824" s="2">
        <v>45020</v>
      </c>
      <c r="C1824" t="str">
        <f>+"Tuáº§n "&amp;WEEKNUM(B1824)</f>
        <v>Tuáº§n 14</v>
      </c>
      <c r="D1824" t="s">
        <v>18</v>
      </c>
      <c r="E1824" t="s">
        <v>17</v>
      </c>
      <c r="F1824" s="5">
        <v>64300000</v>
      </c>
      <c r="G1824" s="5">
        <v>67300000</v>
      </c>
      <c r="H1824" s="5">
        <f>+(M1824*26000)/0.829426</f>
        <v>63389862.386759035</v>
      </c>
      <c r="I1824" s="5">
        <f>+G1824-H1824</f>
        <v>3910137.6132409647</v>
      </c>
      <c r="J1824" s="5">
        <v>3000000</v>
      </c>
      <c r="K1824" s="5">
        <v>6430000</v>
      </c>
      <c r="L1824" s="5">
        <v>6730000</v>
      </c>
      <c r="M1824" s="7">
        <v>2022.2</v>
      </c>
      <c r="N1824" s="5">
        <v>64800000</v>
      </c>
      <c r="O1824" s="5">
        <v>67800000</v>
      </c>
      <c r="P1824" s="3">
        <v>0.97916666666666663</v>
      </c>
    </row>
    <row r="1825" spans="1:16" x14ac:dyDescent="0.25">
      <c r="A1825" s="2">
        <v>45050</v>
      </c>
      <c r="B1825" s="2">
        <v>45021</v>
      </c>
      <c r="C1825" t="str">
        <f>+"Tuáº§n "&amp;WEEKNUM(B1825)</f>
        <v>Tuáº§n 14</v>
      </c>
      <c r="D1825" t="s">
        <v>19</v>
      </c>
      <c r="E1825" t="s">
        <v>17</v>
      </c>
      <c r="F1825" s="5">
        <v>64200000</v>
      </c>
      <c r="G1825" s="5">
        <v>67200000</v>
      </c>
      <c r="H1825" s="5">
        <f>+(M1825*26000)/0.829426</f>
        <v>63349111.313124977</v>
      </c>
      <c r="I1825" s="5">
        <f>+G1825-H1825</f>
        <v>3850888.6868750229</v>
      </c>
      <c r="J1825" s="5">
        <v>3000000</v>
      </c>
      <c r="K1825" s="5">
        <v>6420000</v>
      </c>
      <c r="L1825" s="5">
        <v>6720000</v>
      </c>
      <c r="M1825" s="7">
        <v>2020.9</v>
      </c>
      <c r="N1825" s="5">
        <v>64700000</v>
      </c>
      <c r="O1825" s="5">
        <v>67700000</v>
      </c>
      <c r="P1825" s="3">
        <v>0.97916666666666663</v>
      </c>
    </row>
    <row r="1826" spans="1:16" x14ac:dyDescent="0.25">
      <c r="A1826" s="2">
        <v>45081</v>
      </c>
      <c r="B1826" s="2">
        <v>45022</v>
      </c>
      <c r="C1826" t="str">
        <f>+"Tuáº§n "&amp;WEEKNUM(B1826)</f>
        <v>Tuáº§n 14</v>
      </c>
      <c r="D1826" t="s">
        <v>20</v>
      </c>
      <c r="E1826" t="s">
        <v>17</v>
      </c>
      <c r="F1826" s="5">
        <v>63900000</v>
      </c>
      <c r="G1826" s="5">
        <v>66900000</v>
      </c>
      <c r="H1826" s="5">
        <f>+(M1826*26000)/0.829426</f>
        <v>63066988.495658442</v>
      </c>
      <c r="I1826" s="5">
        <f>+G1826-H1826</f>
        <v>3833011.5043415576</v>
      </c>
      <c r="J1826" s="5">
        <v>3000000</v>
      </c>
      <c r="K1826" s="5">
        <v>6390000</v>
      </c>
      <c r="L1826" s="5">
        <v>6690000</v>
      </c>
      <c r="M1826" s="7">
        <v>2011.9</v>
      </c>
      <c r="N1826" s="5">
        <v>64400000</v>
      </c>
      <c r="O1826" s="5">
        <v>67400000</v>
      </c>
      <c r="P1826" s="3">
        <v>0.97916666666666663</v>
      </c>
    </row>
    <row r="1827" spans="1:16" x14ac:dyDescent="0.25">
      <c r="A1827" s="2">
        <v>45203</v>
      </c>
      <c r="B1827" s="2">
        <v>45026</v>
      </c>
      <c r="C1827" t="str">
        <f>+"Tuáº§n "&amp;WEEKNUM(B1827)</f>
        <v>Tuáº§n 15</v>
      </c>
      <c r="D1827" t="s">
        <v>16</v>
      </c>
      <c r="E1827" t="s">
        <v>17</v>
      </c>
      <c r="F1827" s="5">
        <v>63200000</v>
      </c>
      <c r="G1827" s="5">
        <v>66200000</v>
      </c>
      <c r="H1827" s="5">
        <f>+(M1827*26000)/0.829426</f>
        <v>62352277.35807655</v>
      </c>
      <c r="I1827" s="5">
        <f>+G1827-H1827</f>
        <v>3847722.6419234499</v>
      </c>
      <c r="J1827" s="5">
        <v>3000000</v>
      </c>
      <c r="K1827" s="5">
        <v>6320000</v>
      </c>
      <c r="L1827" s="5">
        <v>6620000</v>
      </c>
      <c r="M1827" s="7">
        <v>1989.1</v>
      </c>
      <c r="N1827" s="5">
        <v>63700000</v>
      </c>
      <c r="O1827" s="5">
        <v>66700000</v>
      </c>
      <c r="P1827" s="3">
        <v>0.97916666666666663</v>
      </c>
    </row>
    <row r="1828" spans="1:16" x14ac:dyDescent="0.25">
      <c r="A1828" s="2">
        <v>45234</v>
      </c>
      <c r="B1828" s="2">
        <v>45027</v>
      </c>
      <c r="C1828" t="str">
        <f>+"Tuáº§n "&amp;WEEKNUM(B1828)</f>
        <v>Tuáº§n 15</v>
      </c>
      <c r="D1828" t="s">
        <v>18</v>
      </c>
      <c r="E1828" t="s">
        <v>17</v>
      </c>
      <c r="F1828" s="5">
        <v>63700000</v>
      </c>
      <c r="G1828" s="5">
        <v>66700000</v>
      </c>
      <c r="H1828" s="5">
        <f>+(M1828*26000)/0.829426</f>
        <v>62844424.939657062</v>
      </c>
      <c r="I1828" s="5">
        <f>+G1828-H1828</f>
        <v>3855575.0603429377</v>
      </c>
      <c r="J1828" s="5">
        <v>3000000</v>
      </c>
      <c r="K1828" s="5">
        <v>6370000</v>
      </c>
      <c r="L1828" s="5">
        <v>6670000</v>
      </c>
      <c r="M1828" s="7">
        <v>2004.8</v>
      </c>
      <c r="N1828" s="5">
        <v>64200000</v>
      </c>
      <c r="O1828" s="5">
        <v>67200000</v>
      </c>
      <c r="P1828" s="3">
        <v>0.97916666666666663</v>
      </c>
    </row>
    <row r="1829" spans="1:16" x14ac:dyDescent="0.25">
      <c r="A1829" s="2">
        <v>45264</v>
      </c>
      <c r="B1829" s="2">
        <v>45028</v>
      </c>
      <c r="C1829" t="str">
        <f>+"Tuáº§n "&amp;WEEKNUM(B1829)</f>
        <v>Tuáº§n 15</v>
      </c>
      <c r="D1829" t="s">
        <v>19</v>
      </c>
      <c r="E1829" t="s">
        <v>17</v>
      </c>
      <c r="F1829" s="5">
        <v>63900000</v>
      </c>
      <c r="G1829" s="5">
        <v>66900000</v>
      </c>
      <c r="H1829" s="5">
        <f>+(M1829*26000)/0.829426</f>
        <v>63035641.515939936</v>
      </c>
      <c r="I1829" s="5">
        <f>+G1829-H1829</f>
        <v>3864358.484060064</v>
      </c>
      <c r="J1829" s="5">
        <v>3000000</v>
      </c>
      <c r="K1829" s="5">
        <v>6390000</v>
      </c>
      <c r="L1829" s="5">
        <v>6690000</v>
      </c>
      <c r="M1829" s="7">
        <v>2010.9</v>
      </c>
      <c r="N1829" s="5">
        <v>64400000</v>
      </c>
      <c r="O1829" s="5">
        <v>67400000</v>
      </c>
      <c r="P1829" s="3">
        <v>0.97916666666666663</v>
      </c>
    </row>
    <row r="1830" spans="1:16" x14ac:dyDescent="0.25">
      <c r="A1830" t="s">
        <v>1125</v>
      </c>
      <c r="B1830" s="2">
        <v>45029</v>
      </c>
      <c r="C1830" t="str">
        <f>+"Tuáº§n "&amp;WEEKNUM(B1830)</f>
        <v>Tuáº§n 15</v>
      </c>
      <c r="D1830" t="s">
        <v>20</v>
      </c>
      <c r="E1830" t="s">
        <v>17</v>
      </c>
      <c r="F1830" s="5">
        <v>64900000</v>
      </c>
      <c r="G1830" s="5">
        <v>67900000</v>
      </c>
      <c r="H1830" s="5">
        <f>+(M1830*26000)/0.829426</f>
        <v>63988589.699382462</v>
      </c>
      <c r="I1830" s="5">
        <f>+G1830-H1830</f>
        <v>3911410.3006175384</v>
      </c>
      <c r="J1830" s="5">
        <v>3000000</v>
      </c>
      <c r="K1830" s="5">
        <v>6490000</v>
      </c>
      <c r="L1830" s="5">
        <v>6790000</v>
      </c>
      <c r="M1830" s="7">
        <v>2041.3</v>
      </c>
      <c r="N1830" s="5">
        <v>65400000</v>
      </c>
      <c r="O1830" s="5">
        <v>68400000</v>
      </c>
      <c r="P1830" s="3">
        <v>0.97916666666666663</v>
      </c>
    </row>
    <row r="1831" spans="1:16" x14ac:dyDescent="0.25">
      <c r="A1831" t="s">
        <v>1126</v>
      </c>
      <c r="B1831" s="2">
        <v>45030</v>
      </c>
      <c r="C1831" t="str">
        <f>+"Tuáº§n "&amp;WEEKNUM(B1831)</f>
        <v>Tuáº§n 15</v>
      </c>
      <c r="D1831" t="s">
        <v>21</v>
      </c>
      <c r="E1831" t="s">
        <v>17</v>
      </c>
      <c r="F1831" s="5">
        <v>63600000</v>
      </c>
      <c r="G1831" s="5">
        <v>66600000</v>
      </c>
      <c r="H1831" s="5">
        <f>+(M1831*26000)/0.829426</f>
        <v>62762922.792388953</v>
      </c>
      <c r="I1831" s="5">
        <f>+G1831-H1831</f>
        <v>3837077.2076110467</v>
      </c>
      <c r="J1831" s="5">
        <v>3000000</v>
      </c>
      <c r="K1831" s="5">
        <v>6360000</v>
      </c>
      <c r="L1831" s="5">
        <v>6660000</v>
      </c>
      <c r="M1831" s="7">
        <v>2002.2</v>
      </c>
      <c r="N1831" s="5">
        <v>64100000</v>
      </c>
      <c r="O1831" s="5">
        <v>67100000</v>
      </c>
      <c r="P1831" s="3">
        <v>0.97916666666666663</v>
      </c>
    </row>
    <row r="1832" spans="1:16" x14ac:dyDescent="0.25">
      <c r="A1832" t="s">
        <v>1127</v>
      </c>
      <c r="B1832" s="2">
        <v>45033</v>
      </c>
      <c r="C1832" t="str">
        <f>+"Tuáº§n "&amp;WEEKNUM(B1832)</f>
        <v>Tuáº§n 16</v>
      </c>
      <c r="D1832" t="s">
        <v>16</v>
      </c>
      <c r="E1832" t="s">
        <v>17</v>
      </c>
      <c r="F1832" s="5">
        <v>63300000</v>
      </c>
      <c r="G1832" s="5">
        <v>66300000</v>
      </c>
      <c r="H1832" s="5">
        <f>+(M1832*26000)/0.829426</f>
        <v>62512146.954640917</v>
      </c>
      <c r="I1832" s="5">
        <f>+G1832-H1832</f>
        <v>3787853.0453590825</v>
      </c>
      <c r="J1832" s="5">
        <v>3000000</v>
      </c>
      <c r="K1832" s="5">
        <v>6330000</v>
      </c>
      <c r="L1832" s="5">
        <v>6630000</v>
      </c>
      <c r="M1832" s="7">
        <v>1994.2</v>
      </c>
      <c r="N1832" s="5">
        <v>63800000</v>
      </c>
      <c r="O1832" s="5">
        <v>66800000</v>
      </c>
      <c r="P1832" s="3">
        <v>0.97916666666666663</v>
      </c>
    </row>
    <row r="1833" spans="1:16" x14ac:dyDescent="0.25">
      <c r="A1833" t="s">
        <v>1128</v>
      </c>
      <c r="B1833" s="2">
        <v>45034</v>
      </c>
      <c r="C1833" t="str">
        <f>+"Tuáº§n "&amp;WEEKNUM(B1833)</f>
        <v>Tuáº§n 16</v>
      </c>
      <c r="D1833" t="s">
        <v>18</v>
      </c>
      <c r="E1833" t="s">
        <v>17</v>
      </c>
      <c r="F1833" s="5">
        <v>63800000</v>
      </c>
      <c r="G1833" s="5">
        <v>66800000</v>
      </c>
      <c r="H1833" s="5">
        <f>+(M1833*26000)/0.829426</f>
        <v>62925927.086925171</v>
      </c>
      <c r="I1833" s="5">
        <f>+G1833-H1833</f>
        <v>3874072.9130748287</v>
      </c>
      <c r="J1833" s="5">
        <v>3000000</v>
      </c>
      <c r="K1833" s="5">
        <v>6380000</v>
      </c>
      <c r="L1833" s="5">
        <v>6680000</v>
      </c>
      <c r="M1833" s="7">
        <v>2007.4</v>
      </c>
      <c r="N1833" s="5">
        <v>64300000</v>
      </c>
      <c r="O1833" s="5">
        <v>67300000</v>
      </c>
      <c r="P1833" s="3">
        <v>0.97916666666666663</v>
      </c>
    </row>
    <row r="1834" spans="1:16" x14ac:dyDescent="0.25">
      <c r="A1834" t="s">
        <v>1129</v>
      </c>
      <c r="B1834" s="2">
        <v>45035</v>
      </c>
      <c r="C1834" t="str">
        <f>+"Tuáº§n "&amp;WEEKNUM(B1834)</f>
        <v>Tuáº§n 16</v>
      </c>
      <c r="D1834" t="s">
        <v>19</v>
      </c>
      <c r="E1834" t="s">
        <v>17</v>
      </c>
      <c r="F1834" s="5">
        <v>63400000</v>
      </c>
      <c r="G1834" s="5">
        <v>66400000</v>
      </c>
      <c r="H1834" s="5">
        <f>+(M1834*26000)/0.829426</f>
        <v>62543493.934359424</v>
      </c>
      <c r="I1834" s="5">
        <f>+G1834-H1834</f>
        <v>3856506.0656405762</v>
      </c>
      <c r="J1834" s="5">
        <v>3000000</v>
      </c>
      <c r="K1834" s="5">
        <v>6340000</v>
      </c>
      <c r="L1834" s="5">
        <v>6640000</v>
      </c>
      <c r="M1834" s="7">
        <v>1995.2</v>
      </c>
      <c r="N1834" s="5">
        <v>63900000</v>
      </c>
      <c r="O1834" s="5">
        <v>66900000</v>
      </c>
      <c r="P1834" s="3">
        <v>0.97916666666666663</v>
      </c>
    </row>
    <row r="1835" spans="1:16" x14ac:dyDescent="0.25">
      <c r="A1835" t="s">
        <v>1130</v>
      </c>
      <c r="B1835" s="2">
        <v>45036</v>
      </c>
      <c r="C1835" t="str">
        <f>+"Tuáº§n "&amp;WEEKNUM(B1835)</f>
        <v>Tuáº§n 16</v>
      </c>
      <c r="D1835" t="s">
        <v>20</v>
      </c>
      <c r="E1835" t="s">
        <v>17</v>
      </c>
      <c r="F1835" s="5">
        <v>63800000</v>
      </c>
      <c r="G1835" s="5">
        <v>66800000</v>
      </c>
      <c r="H1835" s="5">
        <f>+(M1835*26000)/0.829426</f>
        <v>62932196.482868873</v>
      </c>
      <c r="I1835" s="5">
        <f>+G1835-H1835</f>
        <v>3867803.5171311274</v>
      </c>
      <c r="J1835" s="5">
        <v>3000000</v>
      </c>
      <c r="K1835" s="5">
        <v>6380000</v>
      </c>
      <c r="L1835" s="5">
        <v>6680000</v>
      </c>
      <c r="M1835" s="7">
        <v>2007.6</v>
      </c>
      <c r="N1835" s="5">
        <v>64300000</v>
      </c>
      <c r="O1835" s="5">
        <v>67300000</v>
      </c>
      <c r="P1835" s="3">
        <v>0.97916666666666663</v>
      </c>
    </row>
    <row r="1836" spans="1:16" x14ac:dyDescent="0.25">
      <c r="A1836" t="s">
        <v>1131</v>
      </c>
      <c r="B1836" s="2">
        <v>45037</v>
      </c>
      <c r="C1836" t="str">
        <f>+"Tuáº§n "&amp;WEEKNUM(B1836)</f>
        <v>Tuáº§n 16</v>
      </c>
      <c r="D1836" t="s">
        <v>21</v>
      </c>
      <c r="E1836" t="s">
        <v>17</v>
      </c>
      <c r="F1836" s="5">
        <v>62800000</v>
      </c>
      <c r="G1836" s="5">
        <v>65800000</v>
      </c>
      <c r="H1836" s="5">
        <f>+(M1836*26000)/0.829426</f>
        <v>62051346.352778912</v>
      </c>
      <c r="I1836" s="5">
        <f>+G1836-H1836</f>
        <v>3748653.6472210884</v>
      </c>
      <c r="J1836" s="5">
        <v>3000000</v>
      </c>
      <c r="K1836" s="5">
        <v>6280000</v>
      </c>
      <c r="L1836" s="5">
        <v>6580000</v>
      </c>
      <c r="M1836" s="7">
        <v>1979.5</v>
      </c>
      <c r="N1836" s="5">
        <v>63300000</v>
      </c>
      <c r="O1836" s="5">
        <v>66300000</v>
      </c>
      <c r="P1836" s="3">
        <v>0.97916666666666663</v>
      </c>
    </row>
    <row r="1837" spans="1:16" x14ac:dyDescent="0.25">
      <c r="A1837" t="s">
        <v>1132</v>
      </c>
      <c r="B1837" s="2">
        <v>45040</v>
      </c>
      <c r="C1837" t="str">
        <f>+"Tuáº§n "&amp;WEEKNUM(B1837)</f>
        <v>Tuáº§n 17</v>
      </c>
      <c r="D1837" t="s">
        <v>16</v>
      </c>
      <c r="E1837" t="s">
        <v>17</v>
      </c>
      <c r="F1837" s="5">
        <v>63200000</v>
      </c>
      <c r="G1837" s="5">
        <v>66200000</v>
      </c>
      <c r="H1837" s="5">
        <f>+(M1837*26000)/0.829426</f>
        <v>62352277.35807655</v>
      </c>
      <c r="I1837" s="5">
        <f>+G1837-H1837</f>
        <v>3847722.6419234499</v>
      </c>
      <c r="J1837" s="5">
        <v>3000000</v>
      </c>
      <c r="K1837" s="5">
        <v>6320000</v>
      </c>
      <c r="L1837" s="5">
        <v>6620000</v>
      </c>
      <c r="M1837" s="7">
        <v>1989.1</v>
      </c>
      <c r="N1837" s="5">
        <v>63700000</v>
      </c>
      <c r="O1837" s="5">
        <v>66700000</v>
      </c>
      <c r="P1837" s="3">
        <v>0.97916666666666663</v>
      </c>
    </row>
    <row r="1838" spans="1:16" x14ac:dyDescent="0.25">
      <c r="A1838" t="s">
        <v>1133</v>
      </c>
      <c r="B1838" s="2">
        <v>45041</v>
      </c>
      <c r="C1838" t="str">
        <f>+"Tuáº§n "&amp;WEEKNUM(B1838)</f>
        <v>Tuáº§n 17</v>
      </c>
      <c r="D1838" t="s">
        <v>18</v>
      </c>
      <c r="E1838" t="s">
        <v>17</v>
      </c>
      <c r="F1838" s="5">
        <v>63300000</v>
      </c>
      <c r="G1838" s="5">
        <v>66300000</v>
      </c>
      <c r="H1838" s="5">
        <f>+(M1838*26000)/0.829426</f>
        <v>62505877.558697216</v>
      </c>
      <c r="I1838" s="5">
        <f>+G1838-H1838</f>
        <v>3794122.4413027838</v>
      </c>
      <c r="J1838" s="5">
        <v>3000000</v>
      </c>
      <c r="K1838" s="5">
        <v>6330000</v>
      </c>
      <c r="L1838" s="5">
        <v>6630000</v>
      </c>
      <c r="M1838" s="7">
        <v>1994</v>
      </c>
      <c r="N1838" s="5">
        <v>63800000</v>
      </c>
      <c r="O1838" s="5">
        <v>66800000</v>
      </c>
      <c r="P1838" s="3">
        <v>0.97916666666666663</v>
      </c>
    </row>
    <row r="1839" spans="1:16" x14ac:dyDescent="0.25">
      <c r="A1839" t="s">
        <v>1134</v>
      </c>
      <c r="B1839" s="2">
        <v>45042</v>
      </c>
      <c r="C1839" t="str">
        <f>+"Tuáº§n "&amp;WEEKNUM(B1839)</f>
        <v>Tuáº§n 17</v>
      </c>
      <c r="D1839" t="s">
        <v>19</v>
      </c>
      <c r="E1839" t="s">
        <v>17</v>
      </c>
      <c r="F1839" s="5">
        <v>63000000</v>
      </c>
      <c r="G1839" s="5">
        <v>66000000</v>
      </c>
      <c r="H1839" s="5">
        <f>+(M1839*26000)/0.829426</f>
        <v>62245697.627033636</v>
      </c>
      <c r="I1839" s="5">
        <f>+G1839-H1839</f>
        <v>3754302.372966364</v>
      </c>
      <c r="J1839" s="5">
        <v>3000000</v>
      </c>
      <c r="K1839" s="5">
        <v>6300000</v>
      </c>
      <c r="L1839" s="5">
        <v>6600000</v>
      </c>
      <c r="M1839" s="7">
        <v>1985.7</v>
      </c>
      <c r="N1839" s="5">
        <v>63500000</v>
      </c>
      <c r="O1839" s="5">
        <v>66500000</v>
      </c>
      <c r="P1839" s="3">
        <v>0.97916666666666663</v>
      </c>
    </row>
    <row r="1840" spans="1:16" x14ac:dyDescent="0.25">
      <c r="A1840" t="s">
        <v>1135</v>
      </c>
      <c r="B1840" s="2">
        <v>45043</v>
      </c>
      <c r="C1840" t="str">
        <f>+"Tuáº§n "&amp;WEEKNUM(B1840)</f>
        <v>Tuáº§n 17</v>
      </c>
      <c r="D1840" t="s">
        <v>20</v>
      </c>
      <c r="E1840" t="s">
        <v>17</v>
      </c>
      <c r="F1840" s="5">
        <v>63200000</v>
      </c>
      <c r="G1840" s="5">
        <v>66200000</v>
      </c>
      <c r="H1840" s="5">
        <f>+(M1840*26000)/0.829426</f>
        <v>62377354.941851355</v>
      </c>
      <c r="I1840" s="5">
        <f>+G1840-H1840</f>
        <v>3822645.0581486449</v>
      </c>
      <c r="J1840" s="5">
        <v>3000000</v>
      </c>
      <c r="K1840" s="5">
        <v>6320000</v>
      </c>
      <c r="L1840" s="5">
        <v>6620000</v>
      </c>
      <c r="M1840" s="7">
        <v>1989.9</v>
      </c>
      <c r="N1840" s="5">
        <v>63700000</v>
      </c>
      <c r="O1840" s="5">
        <v>66700000</v>
      </c>
      <c r="P1840" s="3">
        <v>0.97916666666666663</v>
      </c>
    </row>
    <row r="1841" spans="1:16" x14ac:dyDescent="0.25">
      <c r="A1841" t="s">
        <v>1136</v>
      </c>
      <c r="B1841" s="2">
        <v>45044</v>
      </c>
      <c r="C1841" t="str">
        <f>+"Tuáº§n "&amp;WEEKNUM(B1841)</f>
        <v>Tuáº§n 17</v>
      </c>
      <c r="D1841" t="s">
        <v>21</v>
      </c>
      <c r="E1841" t="s">
        <v>17</v>
      </c>
      <c r="F1841" s="5">
        <v>63200000</v>
      </c>
      <c r="G1841" s="5">
        <v>66200000</v>
      </c>
      <c r="H1841" s="5">
        <f>+(M1841*26000)/0.829426</f>
        <v>62383624.337795056</v>
      </c>
      <c r="I1841" s="5">
        <f>+G1841-H1841</f>
        <v>3816375.6622049436</v>
      </c>
      <c r="J1841" s="5">
        <v>3000000</v>
      </c>
      <c r="K1841" s="5">
        <v>6320000</v>
      </c>
      <c r="L1841" s="5">
        <v>6620000</v>
      </c>
      <c r="M1841" s="7">
        <v>1990.1</v>
      </c>
      <c r="N1841" s="5">
        <v>63700000</v>
      </c>
      <c r="O1841" s="5">
        <v>66700000</v>
      </c>
      <c r="P1841" s="3">
        <v>0.97916666666666663</v>
      </c>
    </row>
    <row r="1842" spans="1:16" x14ac:dyDescent="0.25">
      <c r="A1842" s="2">
        <v>44931</v>
      </c>
      <c r="B1842" s="2">
        <v>45047</v>
      </c>
      <c r="C1842" t="str">
        <f>+"Tuáº§n "&amp;WEEKNUM(B1842)</f>
        <v>Tuáº§n 18</v>
      </c>
      <c r="D1842" t="s">
        <v>16</v>
      </c>
      <c r="E1842" t="s">
        <v>17</v>
      </c>
      <c r="F1842" s="5">
        <v>63000000</v>
      </c>
      <c r="G1842" s="5">
        <v>66000000</v>
      </c>
      <c r="H1842" s="5">
        <f>+(M1842*26000)/0.829426</f>
        <v>62173599.573681079</v>
      </c>
      <c r="I1842" s="5">
        <f>+G1842-H1842</f>
        <v>3826400.4263189211</v>
      </c>
      <c r="J1842" s="5">
        <v>3000000</v>
      </c>
      <c r="K1842" s="5">
        <v>6300000</v>
      </c>
      <c r="L1842" s="5">
        <v>6600000</v>
      </c>
      <c r="M1842" s="7">
        <v>1983.4</v>
      </c>
      <c r="N1842" s="5">
        <v>63500000</v>
      </c>
      <c r="O1842" s="5">
        <v>66500000</v>
      </c>
      <c r="P1842" s="3">
        <v>0.97916666666666663</v>
      </c>
    </row>
    <row r="1843" spans="1:16" x14ac:dyDescent="0.25">
      <c r="A1843" s="2">
        <v>44962</v>
      </c>
      <c r="B1843" s="2">
        <v>45048</v>
      </c>
      <c r="C1843" t="str">
        <f>+"Tuáº§n "&amp;WEEKNUM(B1843)</f>
        <v>Tuáº§n 18</v>
      </c>
      <c r="D1843" t="s">
        <v>18</v>
      </c>
      <c r="E1843" t="s">
        <v>17</v>
      </c>
      <c r="F1843" s="5">
        <v>64000000</v>
      </c>
      <c r="G1843" s="5">
        <v>67000000</v>
      </c>
      <c r="H1843" s="5">
        <f>+(M1843*26000)/0.829426</f>
        <v>63142221.24698285</v>
      </c>
      <c r="I1843" s="5">
        <f>+G1843-H1843</f>
        <v>3857778.7530171499</v>
      </c>
      <c r="J1843" s="5">
        <v>3000000</v>
      </c>
      <c r="K1843" s="5">
        <v>6400000</v>
      </c>
      <c r="L1843" s="5">
        <v>6700000</v>
      </c>
      <c r="M1843" s="7">
        <v>2014.3</v>
      </c>
      <c r="N1843" s="5">
        <v>64500000</v>
      </c>
      <c r="O1843" s="5">
        <v>67500000</v>
      </c>
      <c r="P1843" s="3">
        <v>0.97916666666666663</v>
      </c>
    </row>
    <row r="1844" spans="1:16" x14ac:dyDescent="0.25">
      <c r="A1844" s="2">
        <v>44990</v>
      </c>
      <c r="B1844" s="2">
        <v>45049</v>
      </c>
      <c r="C1844" t="str">
        <f>+"Tuáº§n "&amp;WEEKNUM(B1844)</f>
        <v>Tuáº§n 18</v>
      </c>
      <c r="D1844" t="s">
        <v>19</v>
      </c>
      <c r="E1844" t="s">
        <v>17</v>
      </c>
      <c r="F1844" s="5">
        <v>64500000</v>
      </c>
      <c r="G1844" s="5">
        <v>67500000</v>
      </c>
      <c r="H1844" s="5">
        <f>+(M1844*26000)/0.829426</f>
        <v>63590483.056957461</v>
      </c>
      <c r="I1844" s="5">
        <f>+G1844-H1844</f>
        <v>3909516.9430425391</v>
      </c>
      <c r="J1844" s="5">
        <v>3000000</v>
      </c>
      <c r="K1844" s="5">
        <v>6450000</v>
      </c>
      <c r="L1844" s="5">
        <v>6750000</v>
      </c>
      <c r="M1844" s="7">
        <v>2028.6</v>
      </c>
      <c r="N1844" s="5">
        <v>65000000</v>
      </c>
      <c r="O1844" s="5">
        <v>68000000</v>
      </c>
      <c r="P1844" s="3">
        <v>0.97916666666666663</v>
      </c>
    </row>
    <row r="1845" spans="1:16" x14ac:dyDescent="0.25">
      <c r="A1845" s="2">
        <v>45021</v>
      </c>
      <c r="B1845" s="2">
        <v>45050</v>
      </c>
      <c r="C1845" t="str">
        <f>+"Tuáº§n "&amp;WEEKNUM(B1845)</f>
        <v>Tuáº§n 18</v>
      </c>
      <c r="D1845" t="s">
        <v>20</v>
      </c>
      <c r="E1845" t="s">
        <v>17</v>
      </c>
      <c r="F1845" s="5">
        <v>65100000</v>
      </c>
      <c r="G1845" s="5">
        <v>68100000</v>
      </c>
      <c r="H1845" s="5">
        <f>+(M1845*26000)/0.829426</f>
        <v>64198614.463496439</v>
      </c>
      <c r="I1845" s="5">
        <f>+G1845-H1845</f>
        <v>3901385.5365035608</v>
      </c>
      <c r="J1845" s="5">
        <v>3000000</v>
      </c>
      <c r="K1845" s="5">
        <v>6510000</v>
      </c>
      <c r="L1845" s="5">
        <v>6810000</v>
      </c>
      <c r="M1845" s="7">
        <v>2048</v>
      </c>
      <c r="N1845" s="5">
        <v>65600000</v>
      </c>
      <c r="O1845" s="5">
        <v>68600000</v>
      </c>
      <c r="P1845" s="3">
        <v>0.97916666666666663</v>
      </c>
    </row>
    <row r="1846" spans="1:16" x14ac:dyDescent="0.25">
      <c r="A1846" s="2">
        <v>45051</v>
      </c>
      <c r="B1846" s="2">
        <v>45051</v>
      </c>
      <c r="C1846" t="str">
        <f>+"Tuáº§n "&amp;WEEKNUM(B1846)</f>
        <v>Tuáº§n 18</v>
      </c>
      <c r="D1846" t="s">
        <v>21</v>
      </c>
      <c r="E1846" t="s">
        <v>17</v>
      </c>
      <c r="F1846" s="5">
        <v>64100000</v>
      </c>
      <c r="G1846" s="5">
        <v>67100000</v>
      </c>
      <c r="H1846" s="5">
        <f>+(M1846*26000)/0.829426</f>
        <v>63239396.88411022</v>
      </c>
      <c r="I1846" s="5">
        <f>+G1846-H1846</f>
        <v>3860603.1158897802</v>
      </c>
      <c r="J1846" s="5">
        <v>3000000</v>
      </c>
      <c r="K1846" s="5">
        <v>6410000</v>
      </c>
      <c r="L1846" s="5">
        <v>6710000</v>
      </c>
      <c r="M1846" s="7">
        <v>2017.4</v>
      </c>
      <c r="N1846" s="5">
        <v>64600000</v>
      </c>
      <c r="O1846" s="5">
        <v>67600000</v>
      </c>
      <c r="P1846" s="3">
        <v>0.97916666666666663</v>
      </c>
    </row>
    <row r="1847" spans="1:16" x14ac:dyDescent="0.25">
      <c r="A1847" s="2">
        <v>45143</v>
      </c>
      <c r="B1847" s="2">
        <v>45054</v>
      </c>
      <c r="C1847" t="str">
        <f>+"Tuáº§n "&amp;WEEKNUM(B1847)</f>
        <v>Tuáº§n 19</v>
      </c>
      <c r="D1847" t="s">
        <v>16</v>
      </c>
      <c r="E1847" t="s">
        <v>17</v>
      </c>
      <c r="F1847" s="5">
        <v>64400000</v>
      </c>
      <c r="G1847" s="5">
        <v>67400000</v>
      </c>
      <c r="H1847" s="5">
        <f>+(M1847*26000)/0.829426</f>
        <v>63518385.003604904</v>
      </c>
      <c r="I1847" s="5">
        <f>+G1847-H1847</f>
        <v>3881614.9963950962</v>
      </c>
      <c r="J1847" s="5">
        <v>3000000</v>
      </c>
      <c r="K1847" s="5">
        <v>6440000</v>
      </c>
      <c r="L1847" s="5">
        <v>6740000</v>
      </c>
      <c r="M1847" s="7">
        <v>2026.3</v>
      </c>
      <c r="N1847" s="5">
        <v>64900000</v>
      </c>
      <c r="O1847" s="5">
        <v>67900000</v>
      </c>
      <c r="P1847" s="3">
        <v>0.97916666666666663</v>
      </c>
    </row>
    <row r="1848" spans="1:16" x14ac:dyDescent="0.25">
      <c r="A1848" s="2">
        <v>45174</v>
      </c>
      <c r="B1848" s="2">
        <v>45055</v>
      </c>
      <c r="C1848" t="str">
        <f>+"Tuáº§n "&amp;WEEKNUM(B1848)</f>
        <v>Tuáº§n 19</v>
      </c>
      <c r="D1848" t="s">
        <v>18</v>
      </c>
      <c r="E1848" t="s">
        <v>17</v>
      </c>
      <c r="F1848" s="5">
        <v>64700000</v>
      </c>
      <c r="G1848" s="5">
        <v>67700000</v>
      </c>
      <c r="H1848" s="5">
        <f>+(M1848*26000)/0.829426</f>
        <v>63828720.102818094</v>
      </c>
      <c r="I1848" s="5">
        <f>+G1848-H1848</f>
        <v>3871279.8971819058</v>
      </c>
      <c r="J1848" s="5">
        <v>3000000</v>
      </c>
      <c r="K1848" s="5">
        <v>6470000</v>
      </c>
      <c r="L1848" s="5">
        <v>6770000</v>
      </c>
      <c r="M1848" s="7">
        <v>2036.2</v>
      </c>
      <c r="N1848" s="5">
        <v>65200000</v>
      </c>
      <c r="O1848" s="5">
        <v>68200000</v>
      </c>
      <c r="P1848" s="3">
        <v>0.97916666666666663</v>
      </c>
    </row>
    <row r="1849" spans="1:16" x14ac:dyDescent="0.25">
      <c r="A1849" s="2">
        <v>45204</v>
      </c>
      <c r="B1849" s="2">
        <v>45056</v>
      </c>
      <c r="C1849" t="str">
        <f>+"Tuáº§n "&amp;WEEKNUM(B1849)</f>
        <v>Tuáº§n 19</v>
      </c>
      <c r="D1849" t="s">
        <v>19</v>
      </c>
      <c r="E1849" t="s">
        <v>17</v>
      </c>
      <c r="F1849" s="5">
        <v>64500000</v>
      </c>
      <c r="G1849" s="5">
        <v>67500000</v>
      </c>
      <c r="H1849" s="5">
        <f>+(M1849*26000)/0.829426</f>
        <v>63650042.318422623</v>
      </c>
      <c r="I1849" s="5">
        <f>+G1849-H1849</f>
        <v>3849957.681577377</v>
      </c>
      <c r="J1849" s="5">
        <v>3000000</v>
      </c>
      <c r="K1849" s="5">
        <v>6450000</v>
      </c>
      <c r="L1849" s="5">
        <v>6750000</v>
      </c>
      <c r="M1849" s="7">
        <v>2030.5</v>
      </c>
      <c r="N1849" s="5">
        <v>65000000</v>
      </c>
      <c r="O1849" s="5">
        <v>68000000</v>
      </c>
      <c r="P1849" s="3">
        <v>0.97916666666666663</v>
      </c>
    </row>
    <row r="1850" spans="1:16" x14ac:dyDescent="0.25">
      <c r="A1850" s="2">
        <v>45235</v>
      </c>
      <c r="B1850" s="2">
        <v>45057</v>
      </c>
      <c r="C1850" t="str">
        <f>+"Tuáº§n "&amp;WEEKNUM(B1850)</f>
        <v>Tuáº§n 19</v>
      </c>
      <c r="D1850" t="s">
        <v>20</v>
      </c>
      <c r="E1850" t="s">
        <v>17</v>
      </c>
      <c r="F1850" s="5">
        <v>64000000</v>
      </c>
      <c r="G1850" s="5">
        <v>67000000</v>
      </c>
      <c r="H1850" s="5">
        <f>+(M1850*26000)/0.829426</f>
        <v>63154760.038870253</v>
      </c>
      <c r="I1850" s="5">
        <f>+G1850-H1850</f>
        <v>3845239.9611297473</v>
      </c>
      <c r="J1850" s="5">
        <v>3000000</v>
      </c>
      <c r="K1850" s="5">
        <v>6400000</v>
      </c>
      <c r="L1850" s="5">
        <v>6700000</v>
      </c>
      <c r="M1850" s="7">
        <v>2014.7</v>
      </c>
      <c r="N1850" s="5">
        <v>64500000</v>
      </c>
      <c r="O1850" s="5">
        <v>67500000</v>
      </c>
      <c r="P1850" s="3">
        <v>0.97916666666666663</v>
      </c>
    </row>
    <row r="1851" spans="1:16" x14ac:dyDescent="0.25">
      <c r="A1851" s="2">
        <v>45265</v>
      </c>
      <c r="B1851" s="2">
        <v>45058</v>
      </c>
      <c r="C1851" t="str">
        <f>+"Tuáº§n "&amp;WEEKNUM(B1851)</f>
        <v>Tuáº§n 19</v>
      </c>
      <c r="D1851" t="s">
        <v>21</v>
      </c>
      <c r="E1851" t="s">
        <v>17</v>
      </c>
      <c r="F1851" s="5">
        <v>64000000</v>
      </c>
      <c r="G1851" s="5">
        <v>67000000</v>
      </c>
      <c r="H1851" s="5">
        <f>+(M1851*26000)/0.829426</f>
        <v>63148490.642926551</v>
      </c>
      <c r="I1851" s="5">
        <f>+G1851-H1851</f>
        <v>3851509.3570734486</v>
      </c>
      <c r="J1851" s="5">
        <v>3000000</v>
      </c>
      <c r="K1851" s="5">
        <v>6400000</v>
      </c>
      <c r="L1851" s="5">
        <v>6700000</v>
      </c>
      <c r="M1851" s="7">
        <v>2014.5</v>
      </c>
      <c r="N1851" s="5">
        <v>64500000</v>
      </c>
      <c r="O1851" s="5">
        <v>67500000</v>
      </c>
      <c r="P1851" s="3">
        <v>0.97916666666666663</v>
      </c>
    </row>
    <row r="1852" spans="1:16" x14ac:dyDescent="0.25">
      <c r="A1852" t="s">
        <v>1137</v>
      </c>
      <c r="B1852" s="2">
        <v>45061</v>
      </c>
      <c r="C1852" t="str">
        <f>+"Tuáº§n "&amp;WEEKNUM(B1852)</f>
        <v>Tuáº§n 20</v>
      </c>
      <c r="D1852" t="s">
        <v>16</v>
      </c>
      <c r="E1852" t="s">
        <v>17</v>
      </c>
      <c r="F1852" s="5">
        <v>64100000</v>
      </c>
      <c r="G1852" s="5">
        <v>67100000</v>
      </c>
      <c r="H1852" s="5">
        <f>+(M1852*26000)/0.829426</f>
        <v>63258205.071941316</v>
      </c>
      <c r="I1852" s="5">
        <f>+G1852-H1852</f>
        <v>3841794.9280586839</v>
      </c>
      <c r="J1852" s="5">
        <v>3000000</v>
      </c>
      <c r="K1852" s="5">
        <v>6410000</v>
      </c>
      <c r="L1852" s="5">
        <v>6710000</v>
      </c>
      <c r="M1852" s="7">
        <v>2018</v>
      </c>
      <c r="N1852" s="5">
        <v>64600000</v>
      </c>
      <c r="O1852" s="5">
        <v>67600000</v>
      </c>
      <c r="P1852" s="3">
        <v>0.97916666666666663</v>
      </c>
    </row>
    <row r="1853" spans="1:16" x14ac:dyDescent="0.25">
      <c r="A1853" t="s">
        <v>1138</v>
      </c>
      <c r="B1853" s="2">
        <v>45062</v>
      </c>
      <c r="C1853" t="str">
        <f>+"Tuáº§n "&amp;WEEKNUM(B1853)</f>
        <v>Tuáº§n 20</v>
      </c>
      <c r="D1853" t="s">
        <v>18</v>
      </c>
      <c r="E1853" t="s">
        <v>17</v>
      </c>
      <c r="F1853" s="5">
        <v>63100000</v>
      </c>
      <c r="G1853" s="5">
        <v>66100000</v>
      </c>
      <c r="H1853" s="5">
        <f>+(M1853*26000)/0.829426</f>
        <v>62330334.472273596</v>
      </c>
      <c r="I1853" s="5">
        <f>+G1853-H1853</f>
        <v>3769665.5277264044</v>
      </c>
      <c r="J1853" s="5">
        <v>3000000</v>
      </c>
      <c r="K1853" s="5">
        <v>6310000</v>
      </c>
      <c r="L1853" s="5">
        <v>6610000</v>
      </c>
      <c r="M1853" s="7">
        <v>1988.4</v>
      </c>
      <c r="N1853" s="5">
        <v>63600000</v>
      </c>
      <c r="O1853" s="5">
        <v>66600000</v>
      </c>
      <c r="P1853" s="3">
        <v>0.97916666666666663</v>
      </c>
    </row>
    <row r="1854" spans="1:16" x14ac:dyDescent="0.25">
      <c r="A1854" t="s">
        <v>1139</v>
      </c>
      <c r="B1854" s="2">
        <v>45063</v>
      </c>
      <c r="C1854" t="str">
        <f>+"Tuáº§n "&amp;WEEKNUM(B1854)</f>
        <v>Tuáº§n 20</v>
      </c>
      <c r="D1854" t="s">
        <v>19</v>
      </c>
      <c r="E1854" t="s">
        <v>17</v>
      </c>
      <c r="F1854" s="5">
        <v>62900000</v>
      </c>
      <c r="G1854" s="5">
        <v>65900000</v>
      </c>
      <c r="H1854" s="5">
        <f>+(M1854*26000)/0.829426</f>
        <v>62088962.728441112</v>
      </c>
      <c r="I1854" s="5">
        <f>+G1854-H1854</f>
        <v>3811037.2715588883</v>
      </c>
      <c r="J1854" s="5">
        <v>3000000</v>
      </c>
      <c r="K1854" s="5">
        <v>6290000</v>
      </c>
      <c r="L1854" s="5">
        <v>6590000</v>
      </c>
      <c r="M1854" s="7">
        <v>1980.7</v>
      </c>
      <c r="N1854" s="5">
        <v>63400000</v>
      </c>
      <c r="O1854" s="5">
        <v>66400000</v>
      </c>
      <c r="P1854" s="3">
        <v>0.97916666666666663</v>
      </c>
    </row>
    <row r="1855" spans="1:16" x14ac:dyDescent="0.25">
      <c r="A1855" t="s">
        <v>1140</v>
      </c>
      <c r="B1855" s="2">
        <v>45064</v>
      </c>
      <c r="C1855" t="str">
        <f>+"Tuáº§n "&amp;WEEKNUM(B1855)</f>
        <v>Tuáº§n 20</v>
      </c>
      <c r="D1855" t="s">
        <v>20</v>
      </c>
      <c r="E1855" t="s">
        <v>17</v>
      </c>
      <c r="F1855" s="5">
        <v>62100000</v>
      </c>
      <c r="G1855" s="5">
        <v>65100000</v>
      </c>
      <c r="H1855" s="5">
        <f>+(M1855*26000)/0.829426</f>
        <v>61330365.819253318</v>
      </c>
      <c r="I1855" s="5">
        <f>+G1855-H1855</f>
        <v>3769634.180746682</v>
      </c>
      <c r="J1855" s="5">
        <v>3000000</v>
      </c>
      <c r="K1855" s="5">
        <v>6210000</v>
      </c>
      <c r="L1855" s="5">
        <v>6510000</v>
      </c>
      <c r="M1855" s="7">
        <v>1956.5</v>
      </c>
      <c r="N1855" s="5">
        <v>62600000</v>
      </c>
      <c r="O1855" s="5">
        <v>65600000</v>
      </c>
      <c r="P1855" s="3">
        <v>0.97916666666666663</v>
      </c>
    </row>
    <row r="1856" spans="1:16" x14ac:dyDescent="0.25">
      <c r="A1856" t="s">
        <v>1141</v>
      </c>
      <c r="B1856" s="2">
        <v>45065</v>
      </c>
      <c r="C1856" t="str">
        <f>+"Tuáº§n "&amp;WEEKNUM(B1856)</f>
        <v>Tuáº§n 20</v>
      </c>
      <c r="D1856" t="s">
        <v>21</v>
      </c>
      <c r="E1856" t="s">
        <v>17</v>
      </c>
      <c r="F1856" s="5">
        <v>62800000</v>
      </c>
      <c r="G1856" s="5">
        <v>65800000</v>
      </c>
      <c r="H1856" s="5">
        <f>+(M1856*26000)/0.829426</f>
        <v>62026268.769004107</v>
      </c>
      <c r="I1856" s="5">
        <f>+G1856-H1856</f>
        <v>3773731.2309958935</v>
      </c>
      <c r="J1856" s="5">
        <v>3000000</v>
      </c>
      <c r="K1856" s="5">
        <v>6280000</v>
      </c>
      <c r="L1856" s="5">
        <v>6580000</v>
      </c>
      <c r="M1856" s="7">
        <v>1978.7</v>
      </c>
      <c r="N1856" s="5">
        <v>63300000</v>
      </c>
      <c r="O1856" s="5">
        <v>66300000</v>
      </c>
      <c r="P1856" s="3">
        <v>0.97916666666666663</v>
      </c>
    </row>
    <row r="1857" spans="1:16" x14ac:dyDescent="0.25">
      <c r="A1857" t="s">
        <v>1142</v>
      </c>
      <c r="B1857" s="2">
        <v>45068</v>
      </c>
      <c r="C1857" t="str">
        <f>+"Tuáº§n "&amp;WEEKNUM(B1857)</f>
        <v>Tuáº§n 21</v>
      </c>
      <c r="D1857" t="s">
        <v>16</v>
      </c>
      <c r="E1857" t="s">
        <v>17</v>
      </c>
      <c r="F1857" s="5">
        <v>62700000</v>
      </c>
      <c r="G1857" s="5">
        <v>65700000</v>
      </c>
      <c r="H1857" s="5">
        <f>+(M1857*26000)/0.829426</f>
        <v>61904015.548101939</v>
      </c>
      <c r="I1857" s="5">
        <f>+G1857-H1857</f>
        <v>3795984.4518980607</v>
      </c>
      <c r="J1857" s="5">
        <v>3000000</v>
      </c>
      <c r="K1857" s="5">
        <v>6270000</v>
      </c>
      <c r="L1857" s="5">
        <v>6570000</v>
      </c>
      <c r="M1857" s="7">
        <v>1974.8</v>
      </c>
      <c r="N1857" s="5">
        <v>63200000</v>
      </c>
      <c r="O1857" s="5">
        <v>66200000</v>
      </c>
      <c r="P1857" s="3">
        <v>0.97916666666666663</v>
      </c>
    </row>
    <row r="1858" spans="1:16" x14ac:dyDescent="0.25">
      <c r="A1858" t="s">
        <v>1143</v>
      </c>
      <c r="B1858" s="2">
        <v>45069</v>
      </c>
      <c r="C1858" t="str">
        <f>+"Tuáº§n "&amp;WEEKNUM(B1858)</f>
        <v>Tuáº§n 21</v>
      </c>
      <c r="D1858" t="s">
        <v>18</v>
      </c>
      <c r="E1858" t="s">
        <v>17</v>
      </c>
      <c r="F1858" s="5">
        <v>62600000</v>
      </c>
      <c r="G1858" s="5">
        <v>65600000</v>
      </c>
      <c r="H1858" s="5">
        <f>+(M1858*26000)/0.829426</f>
        <v>61828782.796777532</v>
      </c>
      <c r="I1858" s="5">
        <f>+G1858-H1858</f>
        <v>3771217.2032224685</v>
      </c>
      <c r="J1858" s="5">
        <v>3000000</v>
      </c>
      <c r="K1858" s="5">
        <v>6260000</v>
      </c>
      <c r="L1858" s="5">
        <v>6560000</v>
      </c>
      <c r="M1858" s="7">
        <v>1972.4</v>
      </c>
      <c r="N1858" s="5">
        <v>63100000</v>
      </c>
      <c r="O1858" s="5">
        <v>66100000</v>
      </c>
      <c r="P1858" s="3">
        <v>0.97916666666666663</v>
      </c>
    </row>
    <row r="1859" spans="1:16" x14ac:dyDescent="0.25">
      <c r="A1859" t="s">
        <v>1144</v>
      </c>
      <c r="B1859" s="2">
        <v>45070</v>
      </c>
      <c r="C1859" t="str">
        <f>+"Tuáº§n "&amp;WEEKNUM(B1859)</f>
        <v>Tuáº§n 21</v>
      </c>
      <c r="D1859" t="s">
        <v>19</v>
      </c>
      <c r="E1859" t="s">
        <v>17</v>
      </c>
      <c r="F1859" s="5">
        <v>62300000</v>
      </c>
      <c r="G1859" s="5">
        <v>65300000</v>
      </c>
      <c r="H1859" s="5">
        <f>+(M1859*26000)/0.829426</f>
        <v>61527851.791479893</v>
      </c>
      <c r="I1859" s="5">
        <f>+G1859-H1859</f>
        <v>3772148.208520107</v>
      </c>
      <c r="J1859" s="5">
        <v>3000000</v>
      </c>
      <c r="K1859" s="5">
        <v>6230000</v>
      </c>
      <c r="L1859" s="5">
        <v>6530000</v>
      </c>
      <c r="M1859" s="7">
        <v>1962.8</v>
      </c>
      <c r="N1859" s="5">
        <v>62800000</v>
      </c>
      <c r="O1859" s="5">
        <v>65800000</v>
      </c>
      <c r="P1859" s="3">
        <v>0.97916666666666663</v>
      </c>
    </row>
    <row r="1860" spans="1:16" x14ac:dyDescent="0.25">
      <c r="A1860" t="s">
        <v>1145</v>
      </c>
      <c r="B1860" s="2">
        <v>45071</v>
      </c>
      <c r="C1860" t="str">
        <f>+"Tuáº§n "&amp;WEEKNUM(B1860)</f>
        <v>Tuáº§n 21</v>
      </c>
      <c r="D1860" t="s">
        <v>20</v>
      </c>
      <c r="E1860" t="s">
        <v>17</v>
      </c>
      <c r="F1860" s="5">
        <v>61600000</v>
      </c>
      <c r="G1860" s="5">
        <v>64600000</v>
      </c>
      <c r="H1860" s="5">
        <f>+(M1860*26000)/0.829426</f>
        <v>60910316.291025363</v>
      </c>
      <c r="I1860" s="5">
        <f>+G1860-H1860</f>
        <v>3689683.7089746371</v>
      </c>
      <c r="J1860" s="5">
        <v>3000000</v>
      </c>
      <c r="K1860" s="5">
        <v>6160000</v>
      </c>
      <c r="L1860" s="5">
        <v>6460000</v>
      </c>
      <c r="M1860" s="7">
        <v>1943.1</v>
      </c>
      <c r="N1860" s="5">
        <v>62100000</v>
      </c>
      <c r="O1860" s="5">
        <v>65100000</v>
      </c>
      <c r="P1860" s="3">
        <v>0.97916666666666663</v>
      </c>
    </row>
    <row r="1861" spans="1:16" x14ac:dyDescent="0.25">
      <c r="A1861" t="s">
        <v>1146</v>
      </c>
      <c r="B1861" s="2">
        <v>45072</v>
      </c>
      <c r="C1861" t="str">
        <f>+"Tuáº§n "&amp;WEEKNUM(B1861)</f>
        <v>Tuáº§n 21</v>
      </c>
      <c r="D1861" t="s">
        <v>21</v>
      </c>
      <c r="E1861" t="s">
        <v>17</v>
      </c>
      <c r="F1861" s="5">
        <v>61700000</v>
      </c>
      <c r="G1861" s="5">
        <v>64700000</v>
      </c>
      <c r="H1861" s="5">
        <f>+(M1861*26000)/0.829426</f>
        <v>60941663.270743862</v>
      </c>
      <c r="I1861" s="5">
        <f>+G1861-H1861</f>
        <v>3758336.7292561382</v>
      </c>
      <c r="J1861" s="5">
        <v>3000000</v>
      </c>
      <c r="K1861" s="5">
        <v>6170000</v>
      </c>
      <c r="L1861" s="5">
        <v>6470000</v>
      </c>
      <c r="M1861" s="7">
        <v>1944.1</v>
      </c>
      <c r="N1861" s="5">
        <v>62200000</v>
      </c>
      <c r="O1861" s="5">
        <v>65200000</v>
      </c>
      <c r="P1861" s="3">
        <v>0.97916666666666663</v>
      </c>
    </row>
    <row r="1862" spans="1:16" x14ac:dyDescent="0.25">
      <c r="A1862" t="s">
        <v>1147</v>
      </c>
      <c r="B1862" s="2">
        <v>45076</v>
      </c>
      <c r="C1862" t="str">
        <f>+"Tuáº§n "&amp;WEEKNUM(B1862)</f>
        <v>Tuáº§n 22</v>
      </c>
      <c r="D1862" t="s">
        <v>18</v>
      </c>
      <c r="E1862" t="s">
        <v>17</v>
      </c>
      <c r="F1862" s="5">
        <v>62100000</v>
      </c>
      <c r="G1862" s="5">
        <v>65100000</v>
      </c>
      <c r="H1862" s="5">
        <f>+(M1862*26000)/0.829426</f>
        <v>61377386.28883107</v>
      </c>
      <c r="I1862" s="5">
        <f>+G1862-H1862</f>
        <v>3722613.7111689299</v>
      </c>
      <c r="J1862" s="5">
        <v>3000000</v>
      </c>
      <c r="K1862" s="5">
        <v>6210000</v>
      </c>
      <c r="L1862" s="5">
        <v>6510000</v>
      </c>
      <c r="M1862" s="7">
        <v>1958</v>
      </c>
      <c r="N1862" s="5">
        <v>62600000</v>
      </c>
      <c r="O1862" s="5">
        <v>65600000</v>
      </c>
      <c r="P1862" s="3">
        <v>0.97916666666666663</v>
      </c>
    </row>
    <row r="1863" spans="1:16" x14ac:dyDescent="0.25">
      <c r="A1863" t="s">
        <v>1148</v>
      </c>
      <c r="B1863" s="2">
        <v>45077</v>
      </c>
      <c r="C1863" t="str">
        <f>+"Tuáº§n "&amp;WEEKNUM(B1863)</f>
        <v>Tuáº§n 22</v>
      </c>
      <c r="D1863" t="s">
        <v>19</v>
      </c>
      <c r="E1863" t="s">
        <v>17</v>
      </c>
      <c r="F1863" s="5">
        <v>62300000</v>
      </c>
      <c r="G1863" s="5">
        <v>65300000</v>
      </c>
      <c r="H1863" s="5">
        <f>+(M1863*26000)/0.829426</f>
        <v>61562333.469170243</v>
      </c>
      <c r="I1863" s="5">
        <f>+G1863-H1863</f>
        <v>3737666.5308297575</v>
      </c>
      <c r="J1863" s="5">
        <v>3000000</v>
      </c>
      <c r="K1863" s="5">
        <v>6230000</v>
      </c>
      <c r="L1863" s="5">
        <v>6530000</v>
      </c>
      <c r="M1863" s="7">
        <v>1963.9</v>
      </c>
      <c r="N1863" s="5">
        <v>62800000</v>
      </c>
      <c r="O1863" s="5">
        <v>65800000</v>
      </c>
      <c r="P1863" s="3">
        <v>0.97916666666666663</v>
      </c>
    </row>
    <row r="1864" spans="1:16" x14ac:dyDescent="0.25">
      <c r="A1864" s="2">
        <v>44932</v>
      </c>
      <c r="B1864" s="2">
        <v>45078</v>
      </c>
      <c r="C1864" t="str">
        <f>+"Tuáº§n "&amp;WEEKNUM(B1864)</f>
        <v>Tuáº§n 22</v>
      </c>
      <c r="D1864" t="s">
        <v>20</v>
      </c>
      <c r="E1864" t="s">
        <v>17</v>
      </c>
      <c r="F1864" s="5">
        <v>62800000</v>
      </c>
      <c r="G1864" s="5">
        <v>65800000</v>
      </c>
      <c r="H1864" s="5">
        <f>+(M1864*26000)/0.829426</f>
        <v>62004325.883201152</v>
      </c>
      <c r="I1864" s="5">
        <f>+G1864-H1864</f>
        <v>3795674.1167988479</v>
      </c>
      <c r="J1864" s="5">
        <v>3000000</v>
      </c>
      <c r="K1864" s="5">
        <v>6280000</v>
      </c>
      <c r="L1864" s="5">
        <v>6580000</v>
      </c>
      <c r="M1864" s="7">
        <v>1978</v>
      </c>
      <c r="N1864" s="5">
        <v>63300000</v>
      </c>
      <c r="O1864" s="5">
        <v>66300000</v>
      </c>
      <c r="P1864" s="3">
        <v>0.97916666666666663</v>
      </c>
    </row>
    <row r="1865" spans="1:16" x14ac:dyDescent="0.25">
      <c r="A1865" s="2">
        <v>44963</v>
      </c>
      <c r="B1865" s="2">
        <v>45079</v>
      </c>
      <c r="C1865" t="str">
        <f>+"Tuáº§n "&amp;WEEKNUM(B1865)</f>
        <v>Tuáº§n 22</v>
      </c>
      <c r="D1865" t="s">
        <v>21</v>
      </c>
      <c r="E1865" t="s">
        <v>17</v>
      </c>
      <c r="F1865" s="5">
        <v>61900000</v>
      </c>
      <c r="G1865" s="5">
        <v>64900000</v>
      </c>
      <c r="H1865" s="5">
        <f>+(M1865*26000)/0.829426</f>
        <v>61201843.202407449</v>
      </c>
      <c r="I1865" s="5">
        <f>+G1865-H1865</f>
        <v>3698156.7975925505</v>
      </c>
      <c r="J1865" s="5">
        <v>3000000</v>
      </c>
      <c r="K1865" s="5">
        <v>6190000</v>
      </c>
      <c r="L1865" s="5">
        <v>6490000</v>
      </c>
      <c r="M1865" s="7">
        <v>1952.4</v>
      </c>
      <c r="N1865" s="5">
        <v>62400000</v>
      </c>
      <c r="O1865" s="5">
        <v>65400000</v>
      </c>
      <c r="P1865" s="3">
        <v>0.97916666666666663</v>
      </c>
    </row>
    <row r="1866" spans="1:16" x14ac:dyDescent="0.25">
      <c r="A1866" s="2">
        <v>45052</v>
      </c>
      <c r="B1866" s="2">
        <v>45082</v>
      </c>
      <c r="C1866" t="str">
        <f>+"Tuáº§n "&amp;WEEKNUM(B1866)</f>
        <v>Tuáº§n 23</v>
      </c>
      <c r="D1866" t="s">
        <v>16</v>
      </c>
      <c r="E1866" t="s">
        <v>17</v>
      </c>
      <c r="F1866" s="5">
        <v>62100000</v>
      </c>
      <c r="G1866" s="5">
        <v>65100000</v>
      </c>
      <c r="H1866" s="5">
        <f>+(M1866*26000)/0.829426</f>
        <v>61377386.28883107</v>
      </c>
      <c r="I1866" s="5">
        <f>+G1866-H1866</f>
        <v>3722613.7111689299</v>
      </c>
      <c r="J1866" s="5">
        <v>3000000</v>
      </c>
      <c r="K1866" s="5">
        <v>6210000</v>
      </c>
      <c r="L1866" s="5">
        <v>6510000</v>
      </c>
      <c r="M1866" s="7">
        <v>1958</v>
      </c>
      <c r="N1866" s="5">
        <v>62600000</v>
      </c>
      <c r="O1866" s="5">
        <v>65600000</v>
      </c>
      <c r="P1866" s="3">
        <v>0.97916666666666663</v>
      </c>
    </row>
    <row r="1867" spans="1:16" x14ac:dyDescent="0.25">
      <c r="A1867" s="2">
        <v>45083</v>
      </c>
      <c r="B1867" s="2">
        <v>45083</v>
      </c>
      <c r="C1867" t="str">
        <f>+"Tuáº§n "&amp;WEEKNUM(B1867)</f>
        <v>Tuáº§n 23</v>
      </c>
      <c r="D1867" t="s">
        <v>18</v>
      </c>
      <c r="E1867" t="s">
        <v>17</v>
      </c>
      <c r="F1867" s="5">
        <v>62400000</v>
      </c>
      <c r="G1867" s="5">
        <v>65400000</v>
      </c>
      <c r="H1867" s="5">
        <f>+(M1867*26000)/0.829426</f>
        <v>61612488.636719853</v>
      </c>
      <c r="I1867" s="5">
        <f>+G1867-H1867</f>
        <v>3787511.3632801473</v>
      </c>
      <c r="J1867" s="5">
        <v>3000000</v>
      </c>
      <c r="K1867" s="5">
        <v>6240000</v>
      </c>
      <c r="L1867" s="5">
        <v>6540000</v>
      </c>
      <c r="M1867" s="7">
        <v>1965.5</v>
      </c>
      <c r="N1867" s="5">
        <v>62900000</v>
      </c>
      <c r="O1867" s="5">
        <v>65900000</v>
      </c>
      <c r="P1867" s="3">
        <v>0.97916666666666663</v>
      </c>
    </row>
    <row r="1868" spans="1:16" x14ac:dyDescent="0.25">
      <c r="A1868" s="2">
        <v>45113</v>
      </c>
      <c r="B1868" s="2">
        <v>45084</v>
      </c>
      <c r="C1868" t="str">
        <f>+"Tuáº§n "&amp;WEEKNUM(B1868)</f>
        <v>Tuáº§n 23</v>
      </c>
      <c r="D1868" t="s">
        <v>19</v>
      </c>
      <c r="E1868" t="s">
        <v>17</v>
      </c>
      <c r="F1868" s="5">
        <v>61600000</v>
      </c>
      <c r="G1868" s="5">
        <v>64600000</v>
      </c>
      <c r="H1868" s="5">
        <f>+(M1868*26000)/0.829426</f>
        <v>60897777.49913796</v>
      </c>
      <c r="I1868" s="5">
        <f>+G1868-H1868</f>
        <v>3702222.5008620396</v>
      </c>
      <c r="J1868" s="5">
        <v>3000000</v>
      </c>
      <c r="K1868" s="5">
        <v>6160000</v>
      </c>
      <c r="L1868" s="5">
        <v>6460000</v>
      </c>
      <c r="M1868" s="7">
        <v>1942.7</v>
      </c>
      <c r="N1868" s="5">
        <v>62100000</v>
      </c>
      <c r="O1868" s="5">
        <v>65100000</v>
      </c>
      <c r="P1868" s="3">
        <v>0.97916666666666663</v>
      </c>
    </row>
    <row r="1869" spans="1:16" x14ac:dyDescent="0.25">
      <c r="A1869" s="2">
        <v>45144</v>
      </c>
      <c r="B1869" s="2">
        <v>45085</v>
      </c>
      <c r="C1869" t="str">
        <f>+"Tuáº§n "&amp;WEEKNUM(B1869)</f>
        <v>Tuáº§n 23</v>
      </c>
      <c r="D1869" t="s">
        <v>20</v>
      </c>
      <c r="E1869" t="s">
        <v>17</v>
      </c>
      <c r="F1869" s="5">
        <v>62300000</v>
      </c>
      <c r="G1869" s="5">
        <v>65300000</v>
      </c>
      <c r="H1869" s="5">
        <f>+(M1869*26000)/0.829426</f>
        <v>61552929.375254698</v>
      </c>
      <c r="I1869" s="5">
        <f>+G1869-H1869</f>
        <v>3747070.6247453019</v>
      </c>
      <c r="J1869" s="5">
        <v>3000000</v>
      </c>
      <c r="K1869" s="5">
        <v>6230000</v>
      </c>
      <c r="L1869" s="5">
        <v>6530000</v>
      </c>
      <c r="M1869" s="7">
        <v>1963.6</v>
      </c>
      <c r="N1869" s="5">
        <v>62800000</v>
      </c>
      <c r="O1869" s="5">
        <v>65800000</v>
      </c>
      <c r="P1869" s="3">
        <v>0.97916666666666663</v>
      </c>
    </row>
    <row r="1870" spans="1:16" x14ac:dyDescent="0.25">
      <c r="A1870" s="2">
        <v>45175</v>
      </c>
      <c r="B1870" s="2">
        <v>45086</v>
      </c>
      <c r="C1870" t="str">
        <f>+"Tuáº§n "&amp;WEEKNUM(B1870)</f>
        <v>Tuáº§n 23</v>
      </c>
      <c r="D1870" t="s">
        <v>21</v>
      </c>
      <c r="E1870" t="s">
        <v>17</v>
      </c>
      <c r="F1870" s="5">
        <v>62300000</v>
      </c>
      <c r="G1870" s="5">
        <v>65300000</v>
      </c>
      <c r="H1870" s="5">
        <f>+(M1870*26000)/0.829426</f>
        <v>61509043.603648789</v>
      </c>
      <c r="I1870" s="5">
        <f>+G1870-H1870</f>
        <v>3790956.3963512108</v>
      </c>
      <c r="J1870" s="5">
        <v>3000000</v>
      </c>
      <c r="K1870" s="5">
        <v>6230000</v>
      </c>
      <c r="L1870" s="5">
        <v>6530000</v>
      </c>
      <c r="M1870" s="7">
        <v>1962.2</v>
      </c>
      <c r="N1870" s="5">
        <v>62800000</v>
      </c>
      <c r="O1870" s="5">
        <v>65800000</v>
      </c>
      <c r="P1870" s="3">
        <v>0.97916666666666663</v>
      </c>
    </row>
    <row r="1871" spans="1:16" x14ac:dyDescent="0.25">
      <c r="A1871" s="2">
        <v>45266</v>
      </c>
      <c r="B1871" s="2">
        <v>45089</v>
      </c>
      <c r="C1871" t="str">
        <f>+"Tuáº§n "&amp;WEEKNUM(B1871)</f>
        <v>Tuáº§n 24</v>
      </c>
      <c r="D1871" t="s">
        <v>16</v>
      </c>
      <c r="E1871" t="s">
        <v>17</v>
      </c>
      <c r="F1871" s="5">
        <v>62000000</v>
      </c>
      <c r="G1871" s="5">
        <v>65000000</v>
      </c>
      <c r="H1871" s="5">
        <f>+(M1871*26000)/0.829426</f>
        <v>61292749.44359111</v>
      </c>
      <c r="I1871" s="5">
        <f>+G1871-H1871</f>
        <v>3707250.5564088896</v>
      </c>
      <c r="J1871" s="5">
        <v>3000000</v>
      </c>
      <c r="K1871" s="5">
        <v>6200000</v>
      </c>
      <c r="L1871" s="5">
        <v>6500000</v>
      </c>
      <c r="M1871" s="7">
        <v>1955.3</v>
      </c>
      <c r="N1871" s="5">
        <v>62500000</v>
      </c>
      <c r="O1871" s="5">
        <v>65500000</v>
      </c>
      <c r="P1871" s="3">
        <v>0.97916666666666663</v>
      </c>
    </row>
    <row r="1872" spans="1:16" x14ac:dyDescent="0.25">
      <c r="A1872" t="s">
        <v>1149</v>
      </c>
      <c r="B1872" s="2">
        <v>45090</v>
      </c>
      <c r="C1872" t="str">
        <f>+"Tuáº§n "&amp;WEEKNUM(B1872)</f>
        <v>Tuáº§n 24</v>
      </c>
      <c r="D1872" t="s">
        <v>18</v>
      </c>
      <c r="E1872" t="s">
        <v>17</v>
      </c>
      <c r="F1872" s="5">
        <v>61700000</v>
      </c>
      <c r="G1872" s="5">
        <v>64700000</v>
      </c>
      <c r="H1872" s="5">
        <f>+(M1872*26000)/0.829426</f>
        <v>60957336.760603115</v>
      </c>
      <c r="I1872" s="5">
        <f>+G1872-H1872</f>
        <v>3742663.239396885</v>
      </c>
      <c r="J1872" s="5">
        <v>3000000</v>
      </c>
      <c r="K1872" s="5">
        <v>6170000</v>
      </c>
      <c r="L1872" s="5">
        <v>6470000</v>
      </c>
      <c r="M1872" s="7">
        <v>1944.6</v>
      </c>
      <c r="N1872" s="5">
        <v>62200000</v>
      </c>
      <c r="O1872" s="5">
        <v>65200000</v>
      </c>
      <c r="P1872" s="3">
        <v>0.97916666666666663</v>
      </c>
    </row>
    <row r="1873" spans="1:16" x14ac:dyDescent="0.25">
      <c r="A1873" t="s">
        <v>1150</v>
      </c>
      <c r="B1873" s="2">
        <v>45091</v>
      </c>
      <c r="C1873" t="str">
        <f>+"Tuáº§n "&amp;WEEKNUM(B1873)</f>
        <v>Tuáº§n 24</v>
      </c>
      <c r="D1873" t="s">
        <v>19</v>
      </c>
      <c r="E1873" t="s">
        <v>17</v>
      </c>
      <c r="F1873" s="5">
        <v>62000000</v>
      </c>
      <c r="G1873" s="5">
        <v>65000000</v>
      </c>
      <c r="H1873" s="5">
        <f>+(M1873*26000)/0.829426</f>
        <v>61292749.44359111</v>
      </c>
      <c r="I1873" s="5">
        <f>+G1873-H1873</f>
        <v>3707250.5564088896</v>
      </c>
      <c r="J1873" s="5">
        <v>3000000</v>
      </c>
      <c r="K1873" s="5">
        <v>6200000</v>
      </c>
      <c r="L1873" s="5">
        <v>6500000</v>
      </c>
      <c r="M1873" s="7">
        <v>1955.3</v>
      </c>
      <c r="N1873" s="5">
        <v>62500000</v>
      </c>
      <c r="O1873" s="5">
        <v>65500000</v>
      </c>
      <c r="P1873" s="3">
        <v>0.97916666666666663</v>
      </c>
    </row>
    <row r="1874" spans="1:16" x14ac:dyDescent="0.25">
      <c r="A1874" t="s">
        <v>1151</v>
      </c>
      <c r="B1874" s="2">
        <v>45092</v>
      </c>
      <c r="C1874" t="str">
        <f>+"Tuáº§n "&amp;WEEKNUM(B1874)</f>
        <v>Tuáº§n 24</v>
      </c>
      <c r="D1874" t="s">
        <v>20</v>
      </c>
      <c r="E1874" t="s">
        <v>17</v>
      </c>
      <c r="F1874" s="5">
        <v>62100000</v>
      </c>
      <c r="G1874" s="5">
        <v>65100000</v>
      </c>
      <c r="H1874" s="5">
        <f>+(M1874*26000)/0.829426</f>
        <v>61371116.892887369</v>
      </c>
      <c r="I1874" s="5">
        <f>+G1874-H1874</f>
        <v>3728883.1071126312</v>
      </c>
      <c r="J1874" s="5">
        <v>3000000</v>
      </c>
      <c r="K1874" s="5">
        <v>6210000</v>
      </c>
      <c r="L1874" s="5">
        <v>6510000</v>
      </c>
      <c r="M1874" s="7">
        <v>1957.8</v>
      </c>
      <c r="N1874" s="5">
        <v>62600000</v>
      </c>
      <c r="O1874" s="5">
        <v>65600000</v>
      </c>
      <c r="P1874" s="3">
        <v>0.97916666666666663</v>
      </c>
    </row>
    <row r="1875" spans="1:16" x14ac:dyDescent="0.25">
      <c r="A1875" t="s">
        <v>1152</v>
      </c>
      <c r="B1875" s="2">
        <v>45093</v>
      </c>
      <c r="C1875" t="str">
        <f>+"Tuáº§n "&amp;WEEKNUM(B1875)</f>
        <v>Tuáº§n 24</v>
      </c>
      <c r="D1875" t="s">
        <v>21</v>
      </c>
      <c r="E1875" t="s">
        <v>17</v>
      </c>
      <c r="F1875" s="5">
        <v>62100000</v>
      </c>
      <c r="G1875" s="5">
        <v>65100000</v>
      </c>
      <c r="H1875" s="5">
        <f>+(M1875*26000)/0.829426</f>
        <v>61389925.080718473</v>
      </c>
      <c r="I1875" s="5">
        <f>+G1875-H1875</f>
        <v>3710074.9192815274</v>
      </c>
      <c r="J1875" s="5">
        <v>3000000</v>
      </c>
      <c r="K1875" s="5">
        <v>6210000</v>
      </c>
      <c r="L1875" s="5">
        <v>6510000</v>
      </c>
      <c r="M1875" s="7">
        <v>1958.4</v>
      </c>
      <c r="N1875" s="5">
        <v>62600000</v>
      </c>
      <c r="O1875" s="5">
        <v>65600000</v>
      </c>
      <c r="P1875" s="3">
        <v>0.97916666666666663</v>
      </c>
    </row>
    <row r="1876" spans="1:16" x14ac:dyDescent="0.25">
      <c r="A1876" t="s">
        <v>1153</v>
      </c>
      <c r="B1876" s="2">
        <v>45097</v>
      </c>
      <c r="C1876" t="str">
        <f>+"Tuáº§n "&amp;WEEKNUM(B1876)</f>
        <v>Tuáº§n 25</v>
      </c>
      <c r="D1876" t="s">
        <v>18</v>
      </c>
      <c r="E1876" t="s">
        <v>17</v>
      </c>
      <c r="F1876" s="5">
        <v>61400000</v>
      </c>
      <c r="G1876" s="5">
        <v>64400000</v>
      </c>
      <c r="H1876" s="5">
        <f>+(M1876*26000)/0.829426</f>
        <v>60672079.24516473</v>
      </c>
      <c r="I1876" s="5">
        <f>+G1876-H1876</f>
        <v>3727920.7548352703</v>
      </c>
      <c r="J1876" s="5">
        <v>3000000</v>
      </c>
      <c r="K1876" s="5">
        <v>6140000</v>
      </c>
      <c r="L1876" s="5">
        <v>6440000</v>
      </c>
      <c r="M1876" s="7">
        <v>1935.5</v>
      </c>
      <c r="N1876" s="5">
        <v>61900000</v>
      </c>
      <c r="O1876" s="5">
        <v>64900000</v>
      </c>
      <c r="P1876" s="3">
        <v>0.97916666666666663</v>
      </c>
    </row>
    <row r="1877" spans="1:16" x14ac:dyDescent="0.25">
      <c r="A1877" t="s">
        <v>1154</v>
      </c>
      <c r="B1877" s="2">
        <v>45098</v>
      </c>
      <c r="C1877" t="str">
        <f>+"Tuáº§n "&amp;WEEKNUM(B1877)</f>
        <v>Tuáº§n 25</v>
      </c>
      <c r="D1877" t="s">
        <v>19</v>
      </c>
      <c r="E1877" t="s">
        <v>17</v>
      </c>
      <c r="F1877" s="5">
        <v>61300000</v>
      </c>
      <c r="G1877" s="5">
        <v>64300000</v>
      </c>
      <c r="H1877" s="5">
        <f>+(M1877*26000)/0.829426</f>
        <v>60603115.889784023</v>
      </c>
      <c r="I1877" s="5">
        <f>+G1877-H1877</f>
        <v>3696884.1102159768</v>
      </c>
      <c r="J1877" s="5">
        <v>3000000</v>
      </c>
      <c r="K1877" s="5">
        <v>6130000</v>
      </c>
      <c r="L1877" s="5">
        <v>6430000</v>
      </c>
      <c r="M1877" s="7">
        <v>1933.3</v>
      </c>
      <c r="N1877" s="5">
        <v>61800000</v>
      </c>
      <c r="O1877" s="5">
        <v>64800000</v>
      </c>
      <c r="P1877" s="3">
        <v>0.97916666666666663</v>
      </c>
    </row>
    <row r="1878" spans="1:16" x14ac:dyDescent="0.25">
      <c r="A1878" t="s">
        <v>1155</v>
      </c>
      <c r="B1878" s="2">
        <v>45099</v>
      </c>
      <c r="C1878" t="str">
        <f>+"Tuáº§n "&amp;WEEKNUM(B1878)</f>
        <v>Tuáº§n 25</v>
      </c>
      <c r="D1878" t="s">
        <v>20</v>
      </c>
      <c r="E1878" t="s">
        <v>17</v>
      </c>
      <c r="F1878" s="5">
        <v>60600000</v>
      </c>
      <c r="G1878" s="5">
        <v>63600000</v>
      </c>
      <c r="H1878" s="5">
        <f>+(M1878*26000)/0.829426</f>
        <v>59957368.107582837</v>
      </c>
      <c r="I1878" s="5">
        <f>+G1878-H1878</f>
        <v>3642631.8924171627</v>
      </c>
      <c r="J1878" s="5">
        <v>3000000</v>
      </c>
      <c r="K1878" s="5">
        <v>6060000</v>
      </c>
      <c r="L1878" s="5">
        <v>6360000</v>
      </c>
      <c r="M1878" s="7">
        <v>1912.7</v>
      </c>
      <c r="N1878" s="5">
        <v>61100000</v>
      </c>
      <c r="O1878" s="5">
        <v>64100000</v>
      </c>
      <c r="P1878" s="3">
        <v>0.97916666666666663</v>
      </c>
    </row>
    <row r="1879" spans="1:16" x14ac:dyDescent="0.25">
      <c r="A1879" t="s">
        <v>1156</v>
      </c>
      <c r="B1879" s="2">
        <v>45100</v>
      </c>
      <c r="C1879" t="str">
        <f>+"Tuáº§n "&amp;WEEKNUM(B1879)</f>
        <v>Tuáº§n 25</v>
      </c>
      <c r="D1879" t="s">
        <v>21</v>
      </c>
      <c r="E1879" t="s">
        <v>17</v>
      </c>
      <c r="F1879" s="5">
        <v>60800000</v>
      </c>
      <c r="G1879" s="5">
        <v>63800000</v>
      </c>
      <c r="H1879" s="5">
        <f>+(M1879*26000)/0.829426</f>
        <v>60157988.777781263</v>
      </c>
      <c r="I1879" s="5">
        <f>+G1879-H1879</f>
        <v>3642011.222218737</v>
      </c>
      <c r="J1879" s="5">
        <v>3000000</v>
      </c>
      <c r="K1879" s="5">
        <v>6080000</v>
      </c>
      <c r="L1879" s="5">
        <v>6380000</v>
      </c>
      <c r="M1879" s="7">
        <v>1919.1</v>
      </c>
      <c r="N1879" s="5">
        <v>61300000</v>
      </c>
      <c r="O1879" s="5">
        <v>64300000</v>
      </c>
      <c r="P1879" s="3">
        <v>0.97916666666666663</v>
      </c>
    </row>
    <row r="1880" spans="1:16" x14ac:dyDescent="0.25">
      <c r="A1880" t="s">
        <v>1157</v>
      </c>
      <c r="B1880" s="2">
        <v>45103</v>
      </c>
      <c r="C1880" t="str">
        <f>+"Tuáº§n "&amp;WEEKNUM(B1880)</f>
        <v>Tuáº§n 26</v>
      </c>
      <c r="D1880" t="s">
        <v>16</v>
      </c>
      <c r="E1880" t="s">
        <v>17</v>
      </c>
      <c r="F1880" s="5">
        <v>61000000</v>
      </c>
      <c r="G1880" s="5">
        <v>64000000</v>
      </c>
      <c r="H1880" s="5">
        <f>+(M1880*26000)/0.829426</f>
        <v>60302184.884486377</v>
      </c>
      <c r="I1880" s="5">
        <f>+G1880-H1880</f>
        <v>3697815.1155136228</v>
      </c>
      <c r="J1880" s="5">
        <v>3000000</v>
      </c>
      <c r="K1880" s="5">
        <v>6100000</v>
      </c>
      <c r="L1880" s="5">
        <v>6400000</v>
      </c>
      <c r="M1880" s="7">
        <v>1923.7</v>
      </c>
      <c r="N1880" s="5">
        <v>61500000</v>
      </c>
      <c r="O1880" s="5">
        <v>64500000</v>
      </c>
      <c r="P1880" s="3">
        <v>0.97916666666666663</v>
      </c>
    </row>
    <row r="1881" spans="1:16" x14ac:dyDescent="0.25">
      <c r="A1881" t="s">
        <v>1158</v>
      </c>
      <c r="B1881" s="2">
        <v>45104</v>
      </c>
      <c r="C1881" t="str">
        <f>+"Tuáº§n "&amp;WEEKNUM(B1881)</f>
        <v>Tuáº§n 26</v>
      </c>
      <c r="D1881" t="s">
        <v>18</v>
      </c>
      <c r="E1881" t="s">
        <v>17</v>
      </c>
      <c r="F1881" s="5">
        <v>60700000</v>
      </c>
      <c r="G1881" s="5">
        <v>63700000</v>
      </c>
      <c r="H1881" s="5">
        <f>+(M1881*26000)/0.829426</f>
        <v>59998119.181216888</v>
      </c>
      <c r="I1881" s="5">
        <f>+G1881-H1881</f>
        <v>3701880.8187831119</v>
      </c>
      <c r="J1881" s="5">
        <v>3000000</v>
      </c>
      <c r="K1881" s="5">
        <v>6070000</v>
      </c>
      <c r="L1881" s="5">
        <v>6370000</v>
      </c>
      <c r="M1881" s="7">
        <v>1914</v>
      </c>
      <c r="N1881" s="5">
        <v>61200000</v>
      </c>
      <c r="O1881" s="5">
        <v>64200000</v>
      </c>
      <c r="P1881" s="3">
        <v>0.97916666666666663</v>
      </c>
    </row>
    <row r="1882" spans="1:16" x14ac:dyDescent="0.25">
      <c r="A1882" t="s">
        <v>1159</v>
      </c>
      <c r="B1882" s="2">
        <v>45105</v>
      </c>
      <c r="C1882" t="str">
        <f>+"Tuáº§n "&amp;WEEKNUM(B1882)</f>
        <v>Tuáº§n 26</v>
      </c>
      <c r="D1882" t="s">
        <v>19</v>
      </c>
      <c r="E1882" t="s">
        <v>17</v>
      </c>
      <c r="F1882" s="5">
        <v>60600000</v>
      </c>
      <c r="G1882" s="5">
        <v>63600000</v>
      </c>
      <c r="H1882" s="5">
        <f>+(M1882*26000)/0.829426</f>
        <v>59944829.315695435</v>
      </c>
      <c r="I1882" s="5">
        <f>+G1882-H1882</f>
        <v>3655170.6843045652</v>
      </c>
      <c r="J1882" s="5">
        <v>3000000</v>
      </c>
      <c r="K1882" s="5">
        <v>6060000</v>
      </c>
      <c r="L1882" s="5">
        <v>6360000</v>
      </c>
      <c r="M1882" s="7">
        <v>1912.3</v>
      </c>
      <c r="N1882" s="5">
        <v>61100000</v>
      </c>
      <c r="O1882" s="5">
        <v>64100000</v>
      </c>
      <c r="P1882" s="3">
        <v>0.97916666666666663</v>
      </c>
    </row>
    <row r="1883" spans="1:16" x14ac:dyDescent="0.25">
      <c r="A1883" t="s">
        <v>1160</v>
      </c>
      <c r="B1883" s="2">
        <v>45106</v>
      </c>
      <c r="C1883" t="str">
        <f>+"Tuáº§n "&amp;WEEKNUM(B1883)</f>
        <v>Tuáº§n 26</v>
      </c>
      <c r="D1883" t="s">
        <v>20</v>
      </c>
      <c r="E1883" t="s">
        <v>17</v>
      </c>
      <c r="F1883" s="5">
        <v>60500000</v>
      </c>
      <c r="G1883" s="5">
        <v>63500000</v>
      </c>
      <c r="H1883" s="5">
        <f>+(M1883*26000)/0.829426</f>
        <v>59847653.678568073</v>
      </c>
      <c r="I1883" s="5">
        <f>+G1883-H1883</f>
        <v>3652346.3214319274</v>
      </c>
      <c r="J1883" s="5">
        <v>3000000</v>
      </c>
      <c r="K1883" s="5">
        <v>6050000</v>
      </c>
      <c r="L1883" s="5">
        <v>6350000</v>
      </c>
      <c r="M1883" s="7">
        <v>1909.2</v>
      </c>
      <c r="N1883" s="5">
        <v>61000000</v>
      </c>
      <c r="O1883" s="5">
        <v>64000000</v>
      </c>
      <c r="P1883" s="3">
        <v>0.97916666666666663</v>
      </c>
    </row>
    <row r="1884" spans="1:16" x14ac:dyDescent="0.25">
      <c r="A1884" t="s">
        <v>1161</v>
      </c>
      <c r="B1884" s="2">
        <v>45107</v>
      </c>
      <c r="C1884" t="str">
        <f>+"Tuáº§n "&amp;WEEKNUM(B1884)</f>
        <v>Tuáº§n 26</v>
      </c>
      <c r="D1884" t="s">
        <v>21</v>
      </c>
      <c r="E1884" t="s">
        <v>17</v>
      </c>
      <c r="F1884" s="5">
        <v>60900000</v>
      </c>
      <c r="G1884" s="5">
        <v>63900000</v>
      </c>
      <c r="H1884" s="5">
        <f>+(M1884*26000)/0.829426</f>
        <v>60220682.737218268</v>
      </c>
      <c r="I1884" s="5">
        <f>+G1884-H1884</f>
        <v>3679317.2627817318</v>
      </c>
      <c r="J1884" s="5">
        <v>3000000</v>
      </c>
      <c r="K1884" s="5">
        <v>6090000</v>
      </c>
      <c r="L1884" s="5">
        <v>6390000</v>
      </c>
      <c r="M1884" s="7">
        <v>1921.1</v>
      </c>
      <c r="N1884" s="5">
        <v>61400000</v>
      </c>
      <c r="O1884" s="5">
        <v>64400000</v>
      </c>
      <c r="P1884" s="3">
        <v>0.97916666666666663</v>
      </c>
    </row>
    <row r="1885" spans="1:16" x14ac:dyDescent="0.25">
      <c r="A1885" s="2">
        <v>44992</v>
      </c>
      <c r="B1885" s="2">
        <v>45110</v>
      </c>
      <c r="C1885" t="str">
        <f>+"Tuáº§n "&amp;WEEKNUM(B1885)</f>
        <v>Tuáº§n 27</v>
      </c>
      <c r="D1885" t="s">
        <v>16</v>
      </c>
      <c r="E1885" t="s">
        <v>17</v>
      </c>
      <c r="F1885" s="5">
        <v>60900000</v>
      </c>
      <c r="G1885" s="5">
        <v>63900000</v>
      </c>
      <c r="H1885" s="5">
        <f>+(M1885*26000)/0.829426</f>
        <v>60239490.925049372</v>
      </c>
      <c r="I1885" s="5">
        <f>+G1885-H1885</f>
        <v>3660509.074950628</v>
      </c>
      <c r="J1885" s="5">
        <v>3000000</v>
      </c>
      <c r="K1885" s="5">
        <v>6090000</v>
      </c>
      <c r="L1885" s="5">
        <v>6390000</v>
      </c>
      <c r="M1885" s="7">
        <v>1921.7</v>
      </c>
      <c r="N1885" s="5">
        <v>61400000</v>
      </c>
      <c r="O1885" s="5">
        <v>64400000</v>
      </c>
      <c r="P1885" s="3">
        <v>0.97916666666666663</v>
      </c>
    </row>
    <row r="1886" spans="1:16" x14ac:dyDescent="0.25">
      <c r="A1886" s="2">
        <v>45053</v>
      </c>
      <c r="B1886" s="2">
        <v>45112</v>
      </c>
      <c r="C1886" t="str">
        <f>+"Tuáº§n "&amp;WEEKNUM(B1886)</f>
        <v>Tuáº§n 27</v>
      </c>
      <c r="D1886" t="s">
        <v>19</v>
      </c>
      <c r="E1886" t="s">
        <v>17</v>
      </c>
      <c r="F1886" s="5">
        <v>60800000</v>
      </c>
      <c r="G1886" s="5">
        <v>63800000</v>
      </c>
      <c r="H1886" s="5">
        <f>+(M1886*26000)/0.829426</f>
        <v>60173662.267640516</v>
      </c>
      <c r="I1886" s="5">
        <f>+G1886-H1886</f>
        <v>3626337.7323594838</v>
      </c>
      <c r="J1886" s="5">
        <v>3000000</v>
      </c>
      <c r="K1886" s="5">
        <v>6080000</v>
      </c>
      <c r="L1886" s="5">
        <v>6380000</v>
      </c>
      <c r="M1886" s="7">
        <v>1919.6</v>
      </c>
      <c r="N1886" s="5">
        <v>61300000</v>
      </c>
      <c r="O1886" s="5">
        <v>64300000</v>
      </c>
      <c r="P1886" s="3">
        <v>0.97916666666666663</v>
      </c>
    </row>
    <row r="1887" spans="1:16" x14ac:dyDescent="0.25">
      <c r="A1887" s="2">
        <v>45084</v>
      </c>
      <c r="B1887" s="2">
        <v>45113</v>
      </c>
      <c r="C1887" t="str">
        <f>+"Tuáº§n "&amp;WEEKNUM(B1887)</f>
        <v>Tuáº§n 27</v>
      </c>
      <c r="D1887" t="s">
        <v>20</v>
      </c>
      <c r="E1887" t="s">
        <v>17</v>
      </c>
      <c r="F1887" s="5">
        <v>60500000</v>
      </c>
      <c r="G1887" s="5">
        <v>63500000</v>
      </c>
      <c r="H1887" s="5">
        <f>+(M1887*26000)/0.829426</f>
        <v>59831980.188708819</v>
      </c>
      <c r="I1887" s="5">
        <f>+G1887-H1887</f>
        <v>3668019.8112911806</v>
      </c>
      <c r="J1887" s="5">
        <v>3000000</v>
      </c>
      <c r="K1887" s="5">
        <v>6050000</v>
      </c>
      <c r="L1887" s="5">
        <v>6350000</v>
      </c>
      <c r="M1887" s="7">
        <v>1908.7</v>
      </c>
      <c r="N1887" s="5">
        <v>61000000</v>
      </c>
      <c r="O1887" s="5">
        <v>64000000</v>
      </c>
      <c r="P1887" s="3">
        <v>0.97916666666666663</v>
      </c>
    </row>
    <row r="1888" spans="1:16" x14ac:dyDescent="0.25">
      <c r="A1888" s="2">
        <v>45114</v>
      </c>
      <c r="B1888" s="2">
        <v>45114</v>
      </c>
      <c r="C1888" t="str">
        <f>+"Tuáº§n "&amp;WEEKNUM(B1888)</f>
        <v>Tuáº§n 27</v>
      </c>
      <c r="D1888" t="s">
        <v>21</v>
      </c>
      <c r="E1888" t="s">
        <v>17</v>
      </c>
      <c r="F1888" s="5">
        <v>61100000</v>
      </c>
      <c r="G1888" s="5">
        <v>64100000</v>
      </c>
      <c r="H1888" s="5">
        <f>+(M1888*26000)/0.829426</f>
        <v>60380552.333782643</v>
      </c>
      <c r="I1888" s="5">
        <f>+G1888-H1888</f>
        <v>3719447.6662173569</v>
      </c>
      <c r="J1888" s="5">
        <v>3000000</v>
      </c>
      <c r="K1888" s="5">
        <v>6110000</v>
      </c>
      <c r="L1888" s="5">
        <v>6410000</v>
      </c>
      <c r="M1888" s="7">
        <v>1926.2</v>
      </c>
      <c r="N1888" s="5">
        <v>61600000</v>
      </c>
      <c r="O1888" s="5">
        <v>64600000</v>
      </c>
      <c r="P1888" s="3">
        <v>0.97916666666666663</v>
      </c>
    </row>
    <row r="1889" spans="1:16" x14ac:dyDescent="0.25">
      <c r="A1889" s="2">
        <v>45206</v>
      </c>
      <c r="B1889" s="2">
        <v>45117</v>
      </c>
      <c r="C1889" t="str">
        <f>+"Tuáº§n "&amp;WEEKNUM(B1889)</f>
        <v>Tuáº§n 28</v>
      </c>
      <c r="D1889" t="s">
        <v>16</v>
      </c>
      <c r="E1889" t="s">
        <v>17</v>
      </c>
      <c r="F1889" s="5">
        <v>61000000</v>
      </c>
      <c r="G1889" s="5">
        <v>64000000</v>
      </c>
      <c r="H1889" s="5">
        <f>+(M1889*26000)/0.829426</f>
        <v>60342935.958120435</v>
      </c>
      <c r="I1889" s="5">
        <f>+G1889-H1889</f>
        <v>3657064.0418795645</v>
      </c>
      <c r="J1889" s="5">
        <v>3000000</v>
      </c>
      <c r="K1889" s="5">
        <v>6100000</v>
      </c>
      <c r="L1889" s="5">
        <v>6400000</v>
      </c>
      <c r="M1889" s="7">
        <v>1925</v>
      </c>
      <c r="N1889" s="5">
        <v>61500000</v>
      </c>
      <c r="O1889" s="5">
        <v>64500000</v>
      </c>
      <c r="P1889" s="3">
        <v>0.97916666666666663</v>
      </c>
    </row>
    <row r="1890" spans="1:16" x14ac:dyDescent="0.25">
      <c r="A1890" s="2">
        <v>45237</v>
      </c>
      <c r="B1890" s="2">
        <v>45118</v>
      </c>
      <c r="C1890" t="str">
        <f>+"Tuáº§n "&amp;WEEKNUM(B1890)</f>
        <v>Tuáº§n 28</v>
      </c>
      <c r="D1890" t="s">
        <v>18</v>
      </c>
      <c r="E1890" t="s">
        <v>17</v>
      </c>
      <c r="F1890" s="5">
        <v>61200000</v>
      </c>
      <c r="G1890" s="5">
        <v>64200000</v>
      </c>
      <c r="H1890" s="5">
        <f>+(M1890*26000)/0.829426</f>
        <v>60540421.93034701</v>
      </c>
      <c r="I1890" s="5">
        <f>+G1890-H1890</f>
        <v>3659578.0696529895</v>
      </c>
      <c r="J1890" s="5">
        <v>3000000</v>
      </c>
      <c r="K1890" s="5">
        <v>6120000</v>
      </c>
      <c r="L1890" s="5">
        <v>6420000</v>
      </c>
      <c r="M1890" s="7">
        <v>1931.3</v>
      </c>
      <c r="N1890" s="5">
        <v>61700000</v>
      </c>
      <c r="O1890" s="5">
        <v>64700000</v>
      </c>
      <c r="P1890" s="3">
        <v>0.97916666666666663</v>
      </c>
    </row>
    <row r="1891" spans="1:16" x14ac:dyDescent="0.25">
      <c r="A1891" s="2">
        <v>45267</v>
      </c>
      <c r="B1891" s="2">
        <v>45119</v>
      </c>
      <c r="C1891" t="str">
        <f>+"Tuáº§n "&amp;WEEKNUM(B1891)</f>
        <v>Tuáº§n 28</v>
      </c>
      <c r="D1891" t="s">
        <v>19</v>
      </c>
      <c r="E1891" t="s">
        <v>17</v>
      </c>
      <c r="F1891" s="5">
        <v>62100000</v>
      </c>
      <c r="G1891" s="5">
        <v>65100000</v>
      </c>
      <c r="H1891" s="5">
        <f>+(M1891*26000)/0.829426</f>
        <v>61320961.725337766</v>
      </c>
      <c r="I1891" s="5">
        <f>+G1891-H1891</f>
        <v>3779038.2746622339</v>
      </c>
      <c r="J1891" s="5">
        <v>3000000</v>
      </c>
      <c r="K1891" s="5">
        <v>6210000</v>
      </c>
      <c r="L1891" s="5">
        <v>6510000</v>
      </c>
      <c r="M1891" s="7">
        <v>1956.2</v>
      </c>
      <c r="N1891" s="5">
        <v>62600000</v>
      </c>
      <c r="O1891" s="5">
        <v>65600000</v>
      </c>
      <c r="P1891" s="3">
        <v>0.97916666666666663</v>
      </c>
    </row>
    <row r="1892" spans="1:16" x14ac:dyDescent="0.25">
      <c r="A1892" t="s">
        <v>1162</v>
      </c>
      <c r="B1892" s="2">
        <v>45120</v>
      </c>
      <c r="C1892" t="str">
        <f>+"Tuáº§n "&amp;WEEKNUM(B1892)</f>
        <v>Tuáº§n 28</v>
      </c>
      <c r="D1892" t="s">
        <v>20</v>
      </c>
      <c r="E1892" t="s">
        <v>17</v>
      </c>
      <c r="F1892" s="5">
        <v>62200000</v>
      </c>
      <c r="G1892" s="5">
        <v>65200000</v>
      </c>
      <c r="H1892" s="5">
        <f>+(M1892*26000)/0.829426</f>
        <v>61415002.664493278</v>
      </c>
      <c r="I1892" s="5">
        <f>+G1892-H1892</f>
        <v>3784997.3355067223</v>
      </c>
      <c r="J1892" s="5">
        <v>3000000</v>
      </c>
      <c r="K1892" s="5">
        <v>6220000</v>
      </c>
      <c r="L1892" s="5">
        <v>6520000</v>
      </c>
      <c r="M1892" s="7">
        <v>1959.2</v>
      </c>
      <c r="N1892" s="5">
        <v>62700000</v>
      </c>
      <c r="O1892" s="5">
        <v>65700000</v>
      </c>
      <c r="P1892" s="3">
        <v>0.97916666666666663</v>
      </c>
    </row>
    <row r="1893" spans="1:16" x14ac:dyDescent="0.25">
      <c r="A1893" t="s">
        <v>1163</v>
      </c>
      <c r="B1893" s="2">
        <v>45121</v>
      </c>
      <c r="C1893" t="str">
        <f>+"Tuáº§n "&amp;WEEKNUM(B1893)</f>
        <v>Tuáº§n 28</v>
      </c>
      <c r="D1893" t="s">
        <v>21</v>
      </c>
      <c r="E1893" t="s">
        <v>17</v>
      </c>
      <c r="F1893" s="5">
        <v>62200000</v>
      </c>
      <c r="G1893" s="5">
        <v>65200000</v>
      </c>
      <c r="H1893" s="5">
        <f>+(M1893*26000)/0.829426</f>
        <v>61443214.946239933</v>
      </c>
      <c r="I1893" s="5">
        <f>+G1893-H1893</f>
        <v>3756785.0537600666</v>
      </c>
      <c r="J1893" s="5">
        <v>3000000</v>
      </c>
      <c r="K1893" s="5">
        <v>6220000</v>
      </c>
      <c r="L1893" s="5">
        <v>6520000</v>
      </c>
      <c r="M1893" s="7">
        <v>1960.1</v>
      </c>
      <c r="N1893" s="5">
        <v>62700000</v>
      </c>
      <c r="O1893" s="5">
        <v>65700000</v>
      </c>
      <c r="P1893" s="3">
        <v>0.97916666666666663</v>
      </c>
    </row>
    <row r="1894" spans="1:16" x14ac:dyDescent="0.25">
      <c r="A1894" t="s">
        <v>1164</v>
      </c>
      <c r="B1894" s="2">
        <v>45124</v>
      </c>
      <c r="C1894" t="str">
        <f>+"Tuáº§n "&amp;WEEKNUM(B1894)</f>
        <v>Tuáº§n 29</v>
      </c>
      <c r="D1894" t="s">
        <v>16</v>
      </c>
      <c r="E1894" t="s">
        <v>17</v>
      </c>
      <c r="F1894" s="5">
        <v>61900000</v>
      </c>
      <c r="G1894" s="5">
        <v>64900000</v>
      </c>
      <c r="H1894" s="5">
        <f>+(M1894*26000)/0.829426</f>
        <v>61201843.202407449</v>
      </c>
      <c r="I1894" s="5">
        <f>+G1894-H1894</f>
        <v>3698156.7975925505</v>
      </c>
      <c r="J1894" s="5">
        <v>3000000</v>
      </c>
      <c r="K1894" s="5">
        <v>6190000</v>
      </c>
      <c r="L1894" s="5">
        <v>6490000</v>
      </c>
      <c r="M1894" s="7">
        <v>1952.4</v>
      </c>
      <c r="N1894" s="5">
        <v>62400000</v>
      </c>
      <c r="O1894" s="5">
        <v>65400000</v>
      </c>
      <c r="P1894" s="3">
        <v>0.97916666666666663</v>
      </c>
    </row>
    <row r="1895" spans="1:16" x14ac:dyDescent="0.25">
      <c r="A1895" t="s">
        <v>1165</v>
      </c>
      <c r="B1895" s="2">
        <v>45125</v>
      </c>
      <c r="C1895" t="str">
        <f>+"Tuáº§n "&amp;WEEKNUM(B1895)</f>
        <v>Tuáº§n 29</v>
      </c>
      <c r="D1895" t="s">
        <v>18</v>
      </c>
      <c r="E1895" t="s">
        <v>17</v>
      </c>
      <c r="F1895" s="5">
        <v>62800000</v>
      </c>
      <c r="G1895" s="5">
        <v>65800000</v>
      </c>
      <c r="H1895" s="5">
        <f>+(M1895*26000)/0.829426</f>
        <v>61979248.299426347</v>
      </c>
      <c r="I1895" s="5">
        <f>+G1895-H1895</f>
        <v>3820751.700573653</v>
      </c>
      <c r="J1895" s="5">
        <v>3000000</v>
      </c>
      <c r="K1895" s="5">
        <v>6280000</v>
      </c>
      <c r="L1895" s="5">
        <v>6580000</v>
      </c>
      <c r="M1895" s="7">
        <v>1977.2</v>
      </c>
      <c r="N1895" s="5">
        <v>63300000</v>
      </c>
      <c r="O1895" s="5">
        <v>66300000</v>
      </c>
      <c r="P1895" s="3">
        <v>0.97916666666666663</v>
      </c>
    </row>
    <row r="1896" spans="1:16" x14ac:dyDescent="0.25">
      <c r="A1896" t="s">
        <v>1166</v>
      </c>
      <c r="B1896" s="2">
        <v>45126</v>
      </c>
      <c r="C1896" t="str">
        <f>+"Tuáº§n "&amp;WEEKNUM(B1896)</f>
        <v>Tuáº§n 29</v>
      </c>
      <c r="D1896" t="s">
        <v>19</v>
      </c>
      <c r="E1896" t="s">
        <v>17</v>
      </c>
      <c r="F1896" s="5">
        <v>62800000</v>
      </c>
      <c r="G1896" s="5">
        <v>65800000</v>
      </c>
      <c r="H1896" s="5">
        <f>+(M1896*26000)/0.829426</f>
        <v>61988652.393341899</v>
      </c>
      <c r="I1896" s="5">
        <f>+G1896-H1896</f>
        <v>3811347.6066581011</v>
      </c>
      <c r="J1896" s="5">
        <v>3000000</v>
      </c>
      <c r="K1896" s="5">
        <v>6280000</v>
      </c>
      <c r="L1896" s="5">
        <v>6580000</v>
      </c>
      <c r="M1896" s="7">
        <v>1977.5</v>
      </c>
      <c r="N1896" s="5">
        <v>63300000</v>
      </c>
      <c r="O1896" s="5">
        <v>66300000</v>
      </c>
      <c r="P1896" s="3">
        <v>0.97916666666666663</v>
      </c>
    </row>
    <row r="1897" spans="1:16" x14ac:dyDescent="0.25">
      <c r="A1897" t="s">
        <v>1167</v>
      </c>
      <c r="B1897" s="2">
        <v>45127</v>
      </c>
      <c r="C1897" t="str">
        <f>+"Tuáº§n "&amp;WEEKNUM(B1897)</f>
        <v>Tuáº§n 29</v>
      </c>
      <c r="D1897" t="s">
        <v>20</v>
      </c>
      <c r="E1897" t="s">
        <v>17</v>
      </c>
      <c r="F1897" s="5">
        <v>62500000</v>
      </c>
      <c r="G1897" s="5">
        <v>65500000</v>
      </c>
      <c r="H1897" s="5">
        <f>+(M1897*26000)/0.829426</f>
        <v>61700260.179931663</v>
      </c>
      <c r="I1897" s="5">
        <f>+G1897-H1897</f>
        <v>3799739.820068337</v>
      </c>
      <c r="J1897" s="5">
        <v>3000000</v>
      </c>
      <c r="K1897" s="5">
        <v>6250000</v>
      </c>
      <c r="L1897" s="5">
        <v>6550000</v>
      </c>
      <c r="M1897" s="7">
        <v>1968.3</v>
      </c>
      <c r="N1897" s="5">
        <v>63000000</v>
      </c>
      <c r="O1897" s="5">
        <v>66000000</v>
      </c>
      <c r="P1897" s="3">
        <v>0.97916666666666663</v>
      </c>
    </row>
    <row r="1898" spans="1:16" x14ac:dyDescent="0.25">
      <c r="A1898" t="s">
        <v>1168</v>
      </c>
      <c r="B1898" s="2">
        <v>45128</v>
      </c>
      <c r="C1898" t="str">
        <f>+"Tuáº§n "&amp;WEEKNUM(B1898)</f>
        <v>Tuáº§n 29</v>
      </c>
      <c r="D1898" t="s">
        <v>21</v>
      </c>
      <c r="E1898" t="s">
        <v>17</v>
      </c>
      <c r="F1898" s="5">
        <v>62300000</v>
      </c>
      <c r="G1898" s="5">
        <v>65300000</v>
      </c>
      <c r="H1898" s="5">
        <f>+(M1898*26000)/0.829426</f>
        <v>61574872.261057645</v>
      </c>
      <c r="I1898" s="5">
        <f>+G1898-H1898</f>
        <v>3725127.7389423549</v>
      </c>
      <c r="J1898" s="5">
        <v>3000000</v>
      </c>
      <c r="K1898" s="5">
        <v>6230000</v>
      </c>
      <c r="L1898" s="5">
        <v>6530000</v>
      </c>
      <c r="M1898" s="7">
        <v>1964.3</v>
      </c>
      <c r="N1898" s="5">
        <v>62800000</v>
      </c>
      <c r="O1898" s="5">
        <v>65800000</v>
      </c>
      <c r="P1898" s="3">
        <v>0.97916666666666663</v>
      </c>
    </row>
    <row r="1899" spans="1:16" x14ac:dyDescent="0.25">
      <c r="A1899" t="s">
        <v>1169</v>
      </c>
      <c r="B1899" s="2">
        <v>45131</v>
      </c>
      <c r="C1899" t="str">
        <f>+"Tuáº§n "&amp;WEEKNUM(B1899)</f>
        <v>Tuáº§n 30</v>
      </c>
      <c r="D1899" t="s">
        <v>16</v>
      </c>
      <c r="E1899" t="s">
        <v>17</v>
      </c>
      <c r="F1899" s="5">
        <v>62200000</v>
      </c>
      <c r="G1899" s="5">
        <v>65200000</v>
      </c>
      <c r="H1899" s="5">
        <f>+(M1899*26000)/0.829426</f>
        <v>61449484.342183627</v>
      </c>
      <c r="I1899" s="5">
        <f>+G1899-H1899</f>
        <v>3750515.6578163728</v>
      </c>
      <c r="J1899" s="5">
        <v>3000000</v>
      </c>
      <c r="K1899" s="5">
        <v>6220000</v>
      </c>
      <c r="L1899" s="5">
        <v>6520000</v>
      </c>
      <c r="M1899" s="7">
        <v>1960.3</v>
      </c>
      <c r="N1899" s="5">
        <v>62700000</v>
      </c>
      <c r="O1899" s="5">
        <v>65700000</v>
      </c>
      <c r="P1899" s="3">
        <v>0.97916666666666663</v>
      </c>
    </row>
    <row r="1900" spans="1:16" x14ac:dyDescent="0.25">
      <c r="A1900" t="s">
        <v>1170</v>
      </c>
      <c r="B1900" s="2">
        <v>45132</v>
      </c>
      <c r="C1900" t="str">
        <f>+"Tuáº§n "&amp;WEEKNUM(B1900)</f>
        <v>Tuáº§n 30</v>
      </c>
      <c r="D1900" t="s">
        <v>18</v>
      </c>
      <c r="E1900" t="s">
        <v>17</v>
      </c>
      <c r="F1900" s="5">
        <v>62300000</v>
      </c>
      <c r="G1900" s="5">
        <v>65300000</v>
      </c>
      <c r="H1900" s="5">
        <f>+(M1900*26000)/0.829426</f>
        <v>61505908.905676939</v>
      </c>
      <c r="I1900" s="5">
        <f>+G1900-H1900</f>
        <v>3794091.0943230614</v>
      </c>
      <c r="J1900" s="5">
        <v>3000000</v>
      </c>
      <c r="K1900" s="5">
        <v>6230000</v>
      </c>
      <c r="L1900" s="5">
        <v>6530000</v>
      </c>
      <c r="M1900" s="7">
        <v>1962.1</v>
      </c>
      <c r="N1900" s="5">
        <v>62800000</v>
      </c>
      <c r="O1900" s="5">
        <v>65800000</v>
      </c>
      <c r="P1900" s="3">
        <v>0.97916666666666663</v>
      </c>
    </row>
    <row r="1901" spans="1:16" x14ac:dyDescent="0.25">
      <c r="A1901" t="s">
        <v>1171</v>
      </c>
      <c r="B1901" s="2">
        <v>45133</v>
      </c>
      <c r="C1901" t="str">
        <f>+"Tuáº§n "&amp;WEEKNUM(B1901)</f>
        <v>Tuáº§n 30</v>
      </c>
      <c r="D1901" t="s">
        <v>19</v>
      </c>
      <c r="E1901" t="s">
        <v>17</v>
      </c>
      <c r="F1901" s="5">
        <v>62500000</v>
      </c>
      <c r="G1901" s="5">
        <v>65500000</v>
      </c>
      <c r="H1901" s="5">
        <f>+(M1901*26000)/0.829426</f>
        <v>61719068.367762767</v>
      </c>
      <c r="I1901" s="5">
        <f>+G1901-H1901</f>
        <v>3780931.6322372332</v>
      </c>
      <c r="J1901" s="5">
        <v>3000000</v>
      </c>
      <c r="K1901" s="5">
        <v>6250000</v>
      </c>
      <c r="L1901" s="5">
        <v>6550000</v>
      </c>
      <c r="M1901" s="7">
        <v>1968.9</v>
      </c>
      <c r="N1901" s="5">
        <v>63000000</v>
      </c>
      <c r="O1901" s="5">
        <v>66000000</v>
      </c>
      <c r="P1901" s="3">
        <v>0.97916666666666663</v>
      </c>
    </row>
    <row r="1902" spans="1:16" x14ac:dyDescent="0.25">
      <c r="A1902" t="s">
        <v>1172</v>
      </c>
      <c r="B1902" s="2">
        <v>45134</v>
      </c>
      <c r="C1902" t="str">
        <f>+"Tuáº§n "&amp;WEEKNUM(B1902)</f>
        <v>Tuáº§n 30</v>
      </c>
      <c r="D1902" t="s">
        <v>20</v>
      </c>
      <c r="E1902" t="s">
        <v>17</v>
      </c>
      <c r="F1902" s="5">
        <v>61700000</v>
      </c>
      <c r="G1902" s="5">
        <v>64700000</v>
      </c>
      <c r="H1902" s="5">
        <f>+(M1902*26000)/0.829426</f>
        <v>60982414.34437792</v>
      </c>
      <c r="I1902" s="5">
        <f>+G1902-H1902</f>
        <v>3717585.65562208</v>
      </c>
      <c r="J1902" s="5">
        <v>3000000</v>
      </c>
      <c r="K1902" s="5">
        <v>6170000</v>
      </c>
      <c r="L1902" s="5">
        <v>6470000</v>
      </c>
      <c r="M1902" s="7">
        <v>1945.4</v>
      </c>
      <c r="N1902" s="5">
        <v>62200000</v>
      </c>
      <c r="O1902" s="5">
        <v>65200000</v>
      </c>
      <c r="P1902" s="3">
        <v>0.97916666666666663</v>
      </c>
    </row>
    <row r="1903" spans="1:16" x14ac:dyDescent="0.25">
      <c r="A1903" t="s">
        <v>1173</v>
      </c>
      <c r="B1903" s="2">
        <v>45135</v>
      </c>
      <c r="C1903" t="str">
        <f>+"Tuáº§n "&amp;WEEKNUM(B1903)</f>
        <v>Tuáº§n 30</v>
      </c>
      <c r="D1903" t="s">
        <v>21</v>
      </c>
      <c r="E1903" t="s">
        <v>17</v>
      </c>
      <c r="F1903" s="5">
        <v>62200000</v>
      </c>
      <c r="G1903" s="5">
        <v>65200000</v>
      </c>
      <c r="H1903" s="5">
        <f>+(M1903*26000)/0.829426</f>
        <v>61452619.040155478</v>
      </c>
      <c r="I1903" s="5">
        <f>+G1903-H1903</f>
        <v>3747380.9598445222</v>
      </c>
      <c r="J1903" s="5">
        <v>3000000</v>
      </c>
      <c r="K1903" s="5">
        <v>6220000</v>
      </c>
      <c r="L1903" s="5">
        <v>6520000</v>
      </c>
      <c r="M1903" s="7">
        <v>1960.4</v>
      </c>
      <c r="N1903" s="5">
        <v>62700000</v>
      </c>
      <c r="O1903" s="5">
        <v>65700000</v>
      </c>
      <c r="P1903" s="3">
        <v>0.97916666666666663</v>
      </c>
    </row>
    <row r="1904" spans="1:16" x14ac:dyDescent="0.25">
      <c r="A1904" t="s">
        <v>1174</v>
      </c>
      <c r="B1904" s="2">
        <v>45138</v>
      </c>
      <c r="C1904" t="str">
        <f>+"Tuáº§n "&amp;WEEKNUM(B1904)</f>
        <v>Tuáº§n 31</v>
      </c>
      <c r="D1904" t="s">
        <v>16</v>
      </c>
      <c r="E1904" t="s">
        <v>17</v>
      </c>
      <c r="F1904" s="5">
        <v>62500000</v>
      </c>
      <c r="G1904" s="5">
        <v>65500000</v>
      </c>
      <c r="H1904" s="5">
        <f>+(M1904*26000)/0.829426</f>
        <v>61769223.535312369</v>
      </c>
      <c r="I1904" s="5">
        <f>+G1904-H1904</f>
        <v>3730776.4646876305</v>
      </c>
      <c r="J1904" s="5">
        <v>3000000</v>
      </c>
      <c r="K1904" s="5">
        <v>6250000</v>
      </c>
      <c r="L1904" s="5">
        <v>6550000</v>
      </c>
      <c r="M1904" s="7">
        <v>1970.5</v>
      </c>
      <c r="N1904" s="5">
        <v>63000000</v>
      </c>
      <c r="O1904" s="5">
        <v>66000000</v>
      </c>
      <c r="P1904" s="3">
        <v>0.97916666666666663</v>
      </c>
    </row>
    <row r="1905" spans="1:16" x14ac:dyDescent="0.25">
      <c r="A1905" s="2">
        <v>44934</v>
      </c>
      <c r="B1905" s="2">
        <v>45139</v>
      </c>
      <c r="C1905" t="str">
        <f>+"Tuáº§n "&amp;WEEKNUM(B1905)</f>
        <v>Tuáº§n 31</v>
      </c>
      <c r="D1905" t="s">
        <v>18</v>
      </c>
      <c r="E1905" t="s">
        <v>17</v>
      </c>
      <c r="F1905" s="5">
        <v>61600000</v>
      </c>
      <c r="G1905" s="5">
        <v>64600000</v>
      </c>
      <c r="H1905" s="5">
        <f>+(M1905*26000)/0.829426</f>
        <v>60835083.539700948</v>
      </c>
      <c r="I1905" s="5">
        <f>+G1905-H1905</f>
        <v>3764916.4602990523</v>
      </c>
      <c r="J1905" s="5">
        <v>3000000</v>
      </c>
      <c r="K1905" s="5">
        <v>6160000</v>
      </c>
      <c r="L1905" s="5">
        <v>6460000</v>
      </c>
      <c r="M1905" s="7">
        <v>1940.7</v>
      </c>
      <c r="N1905" s="5">
        <v>62100000</v>
      </c>
      <c r="O1905" s="5">
        <v>65100000</v>
      </c>
      <c r="P1905" s="3">
        <v>0.97916666666666663</v>
      </c>
    </row>
    <row r="1906" spans="1:16" x14ac:dyDescent="0.25">
      <c r="A1906" s="2">
        <v>44965</v>
      </c>
      <c r="B1906" s="2">
        <v>45140</v>
      </c>
      <c r="C1906" t="str">
        <f>+"Tuáº§n "&amp;WEEKNUM(B1906)</f>
        <v>Tuáº§n 31</v>
      </c>
      <c r="D1906" t="s">
        <v>19</v>
      </c>
      <c r="E1906" t="s">
        <v>17</v>
      </c>
      <c r="F1906" s="5">
        <v>61400000</v>
      </c>
      <c r="G1906" s="5">
        <v>64400000</v>
      </c>
      <c r="H1906" s="5">
        <f>+(M1906*26000)/0.829426</f>
        <v>60731638.506629884</v>
      </c>
      <c r="I1906" s="5">
        <f>+G1906-H1906</f>
        <v>3668361.4933701158</v>
      </c>
      <c r="J1906" s="5">
        <v>3000000</v>
      </c>
      <c r="K1906" s="5">
        <v>6140000</v>
      </c>
      <c r="L1906" s="5">
        <v>6440000</v>
      </c>
      <c r="M1906" s="7">
        <v>1937.4</v>
      </c>
      <c r="N1906" s="5">
        <v>61900000</v>
      </c>
      <c r="O1906" s="5">
        <v>64900000</v>
      </c>
      <c r="P1906" s="3">
        <v>0.97916666666666663</v>
      </c>
    </row>
    <row r="1907" spans="1:16" x14ac:dyDescent="0.25">
      <c r="A1907" s="2">
        <v>44993</v>
      </c>
      <c r="B1907" s="2">
        <v>45141</v>
      </c>
      <c r="C1907" t="str">
        <f>+"Tuáº§n "&amp;WEEKNUM(B1907)</f>
        <v>Tuáº§n 31</v>
      </c>
      <c r="D1907" t="s">
        <v>20</v>
      </c>
      <c r="E1907" t="s">
        <v>17</v>
      </c>
      <c r="F1907" s="5">
        <v>61300000</v>
      </c>
      <c r="G1907" s="5">
        <v>64300000</v>
      </c>
      <c r="H1907" s="5">
        <f>+(M1907*26000)/0.829426</f>
        <v>60562364.816149965</v>
      </c>
      <c r="I1907" s="5">
        <f>+G1907-H1907</f>
        <v>3737635.1838500351</v>
      </c>
      <c r="J1907" s="5">
        <v>3000000</v>
      </c>
      <c r="K1907" s="5">
        <v>6130000</v>
      </c>
      <c r="L1907" s="5">
        <v>6430000</v>
      </c>
      <c r="M1907" s="7">
        <v>1932</v>
      </c>
      <c r="N1907" s="5">
        <v>61800000</v>
      </c>
      <c r="O1907" s="5">
        <v>64800000</v>
      </c>
      <c r="P1907" s="3">
        <v>0.97916666666666663</v>
      </c>
    </row>
    <row r="1908" spans="1:16" x14ac:dyDescent="0.25">
      <c r="A1908" s="2">
        <v>45024</v>
      </c>
      <c r="B1908" s="2">
        <v>45142</v>
      </c>
      <c r="C1908" t="str">
        <f>+"Tuáº§n "&amp;WEEKNUM(B1908)</f>
        <v>Tuáº§n 31</v>
      </c>
      <c r="D1908" t="s">
        <v>21</v>
      </c>
      <c r="E1908" t="s">
        <v>17</v>
      </c>
      <c r="F1908" s="5">
        <v>61500000</v>
      </c>
      <c r="G1908" s="5">
        <v>64500000</v>
      </c>
      <c r="H1908" s="5">
        <f>+(M1908*26000)/0.829426</f>
        <v>60800601.862010598</v>
      </c>
      <c r="I1908" s="5">
        <f>+G1908-H1908</f>
        <v>3699398.1379894018</v>
      </c>
      <c r="J1908" s="5">
        <v>3000000</v>
      </c>
      <c r="K1908" s="5">
        <v>6150000</v>
      </c>
      <c r="L1908" s="5">
        <v>6450000</v>
      </c>
      <c r="M1908" s="7">
        <v>1939.6</v>
      </c>
      <c r="N1908" s="5">
        <v>62000000</v>
      </c>
      <c r="O1908" s="5">
        <v>65000000</v>
      </c>
      <c r="P1908" s="3">
        <v>0.97916666666666663</v>
      </c>
    </row>
    <row r="1909" spans="1:16" x14ac:dyDescent="0.25">
      <c r="A1909" s="2">
        <v>45115</v>
      </c>
      <c r="B1909" s="2">
        <v>45145</v>
      </c>
      <c r="C1909" t="str">
        <f>+"Tuáº§n "&amp;WEEKNUM(B1909)</f>
        <v>Tuáº§n 32</v>
      </c>
      <c r="D1909" t="s">
        <v>16</v>
      </c>
      <c r="E1909" t="s">
        <v>17</v>
      </c>
      <c r="F1909" s="5">
        <v>61300000</v>
      </c>
      <c r="G1909" s="5">
        <v>64300000</v>
      </c>
      <c r="H1909" s="5">
        <f>+(M1909*26000)/0.829426</f>
        <v>60609385.285727717</v>
      </c>
      <c r="I1909" s="5">
        <f>+G1909-H1909</f>
        <v>3690614.714272283</v>
      </c>
      <c r="J1909" s="5">
        <v>3000000</v>
      </c>
      <c r="K1909" s="5">
        <v>6130000</v>
      </c>
      <c r="L1909" s="5">
        <v>6430000</v>
      </c>
      <c r="M1909" s="7">
        <v>1933.5</v>
      </c>
      <c r="N1909" s="5">
        <v>61800000</v>
      </c>
      <c r="O1909" s="5">
        <v>64800000</v>
      </c>
      <c r="P1909" s="3">
        <v>0.97916666666666663</v>
      </c>
    </row>
    <row r="1910" spans="1:16" x14ac:dyDescent="0.25">
      <c r="A1910" s="2">
        <v>45146</v>
      </c>
      <c r="B1910" s="2">
        <v>45146</v>
      </c>
      <c r="C1910" t="str">
        <f>+"Tuáº§n "&amp;WEEKNUM(B1910)</f>
        <v>Tuáº§n 32</v>
      </c>
      <c r="D1910" t="s">
        <v>18</v>
      </c>
      <c r="E1910" t="s">
        <v>17</v>
      </c>
      <c r="F1910" s="5">
        <v>61000000</v>
      </c>
      <c r="G1910" s="5">
        <v>64000000</v>
      </c>
      <c r="H1910" s="5">
        <f>+(M1910*26000)/0.829426</f>
        <v>60314723.67637378</v>
      </c>
      <c r="I1910" s="5">
        <f>+G1910-H1910</f>
        <v>3685276.3236262202</v>
      </c>
      <c r="J1910" s="5">
        <v>3000000</v>
      </c>
      <c r="K1910" s="5">
        <v>6100000</v>
      </c>
      <c r="L1910" s="5">
        <v>6400000</v>
      </c>
      <c r="M1910" s="7">
        <v>1924.1</v>
      </c>
      <c r="N1910" s="5">
        <v>61500000</v>
      </c>
      <c r="O1910" s="5">
        <v>64500000</v>
      </c>
      <c r="P1910" s="3">
        <v>0.97916666666666663</v>
      </c>
    </row>
    <row r="1911" spans="1:16" x14ac:dyDescent="0.25">
      <c r="A1911" s="2">
        <v>45177</v>
      </c>
      <c r="B1911" s="2">
        <v>45147</v>
      </c>
      <c r="C1911" t="str">
        <f>+"Tuáº§n "&amp;WEEKNUM(B1911)</f>
        <v>Tuáº§n 32</v>
      </c>
      <c r="D1911" t="s">
        <v>19</v>
      </c>
      <c r="E1911" t="s">
        <v>17</v>
      </c>
      <c r="F1911" s="5">
        <v>60700000</v>
      </c>
      <c r="G1911" s="5">
        <v>63700000</v>
      </c>
      <c r="H1911" s="5">
        <f>+(M1911*26000)/0.829426</f>
        <v>60042004.952822797</v>
      </c>
      <c r="I1911" s="5">
        <f>+G1911-H1911</f>
        <v>3657995.047177203</v>
      </c>
      <c r="J1911" s="5">
        <v>3000000</v>
      </c>
      <c r="K1911" s="5">
        <v>6070000</v>
      </c>
      <c r="L1911" s="5">
        <v>6370000</v>
      </c>
      <c r="M1911" s="7">
        <v>1915.4</v>
      </c>
      <c r="N1911" s="5">
        <v>61200000</v>
      </c>
      <c r="O1911" s="5">
        <v>64200000</v>
      </c>
      <c r="P1911" s="3">
        <v>0.97916666666666663</v>
      </c>
    </row>
    <row r="1912" spans="1:16" x14ac:dyDescent="0.25">
      <c r="A1912" s="2">
        <v>45207</v>
      </c>
      <c r="B1912" s="2">
        <v>45148</v>
      </c>
      <c r="C1912" t="str">
        <f>+"Tuáº§n "&amp;WEEKNUM(B1912)</f>
        <v>Tuáº§n 32</v>
      </c>
      <c r="D1912" t="s">
        <v>20</v>
      </c>
      <c r="E1912" t="s">
        <v>17</v>
      </c>
      <c r="F1912" s="5">
        <v>60700000</v>
      </c>
      <c r="G1912" s="5">
        <v>63700000</v>
      </c>
      <c r="H1912" s="5">
        <f>+(M1912*26000)/0.829426</f>
        <v>60010657.973104291</v>
      </c>
      <c r="I1912" s="5">
        <f>+G1912-H1912</f>
        <v>3689342.0268957093</v>
      </c>
      <c r="J1912" s="5">
        <v>3000000</v>
      </c>
      <c r="K1912" s="5">
        <v>6070000</v>
      </c>
      <c r="L1912" s="5">
        <v>6370000</v>
      </c>
      <c r="M1912" s="7">
        <v>1914.4</v>
      </c>
      <c r="N1912" s="5">
        <v>61200000</v>
      </c>
      <c r="O1912" s="5">
        <v>64200000</v>
      </c>
      <c r="P1912" s="3">
        <v>0.97916666666666663</v>
      </c>
    </row>
    <row r="1913" spans="1:16" x14ac:dyDescent="0.25">
      <c r="A1913" s="2">
        <v>45238</v>
      </c>
      <c r="B1913" s="2">
        <v>45149</v>
      </c>
      <c r="C1913" t="str">
        <f>+"Tuáº§n "&amp;WEEKNUM(B1913)</f>
        <v>Tuáº§n 32</v>
      </c>
      <c r="D1913" t="s">
        <v>21</v>
      </c>
      <c r="E1913" t="s">
        <v>17</v>
      </c>
      <c r="F1913" s="5">
        <v>60600000</v>
      </c>
      <c r="G1913" s="5">
        <v>63600000</v>
      </c>
      <c r="H1913" s="5">
        <f>+(M1913*26000)/0.829426</f>
        <v>59963637.503526539</v>
      </c>
      <c r="I1913" s="5">
        <f>+G1913-H1913</f>
        <v>3636362.4964734614</v>
      </c>
      <c r="J1913" s="5">
        <v>3000000</v>
      </c>
      <c r="K1913" s="5">
        <v>6060000</v>
      </c>
      <c r="L1913" s="5">
        <v>6360000</v>
      </c>
      <c r="M1913" s="7">
        <v>1912.9</v>
      </c>
      <c r="N1913" s="5">
        <v>61100000</v>
      </c>
      <c r="O1913" s="5">
        <v>64100000</v>
      </c>
      <c r="P1913" s="3">
        <v>0.97916666666666663</v>
      </c>
    </row>
    <row r="1914" spans="1:16" x14ac:dyDescent="0.25">
      <c r="A1914" t="s">
        <v>1175</v>
      </c>
      <c r="B1914" s="2">
        <v>45152</v>
      </c>
      <c r="C1914" t="str">
        <f>+"Tuáº§n "&amp;WEEKNUM(B1914)</f>
        <v>Tuáº§n 33</v>
      </c>
      <c r="D1914" t="s">
        <v>16</v>
      </c>
      <c r="E1914" t="s">
        <v>17</v>
      </c>
      <c r="F1914" s="5">
        <v>60500000</v>
      </c>
      <c r="G1914" s="5">
        <v>63500000</v>
      </c>
      <c r="H1914" s="5">
        <f>+(M1914*26000)/0.829426</f>
        <v>59891539.450173974</v>
      </c>
      <c r="I1914" s="5">
        <f>+G1914-H1914</f>
        <v>3608460.549826026</v>
      </c>
      <c r="J1914" s="5">
        <v>3000000</v>
      </c>
      <c r="K1914" s="5">
        <v>6050000</v>
      </c>
      <c r="L1914" s="5">
        <v>6350000</v>
      </c>
      <c r="M1914" s="7">
        <v>1910.6</v>
      </c>
      <c r="N1914" s="5">
        <v>61000000</v>
      </c>
      <c r="O1914" s="5">
        <v>64000000</v>
      </c>
      <c r="P1914" s="3">
        <v>0.97916666666666663</v>
      </c>
    </row>
    <row r="1915" spans="1:16" x14ac:dyDescent="0.25">
      <c r="A1915" t="s">
        <v>1176</v>
      </c>
      <c r="B1915" s="2">
        <v>45153</v>
      </c>
      <c r="C1915" t="str">
        <f>+"Tuáº§n "&amp;WEEKNUM(B1915)</f>
        <v>Tuáº§n 33</v>
      </c>
      <c r="D1915" t="s">
        <v>18</v>
      </c>
      <c r="E1915" t="s">
        <v>17</v>
      </c>
      <c r="F1915" s="5">
        <v>60300000</v>
      </c>
      <c r="G1915" s="5">
        <v>63300000</v>
      </c>
      <c r="H1915" s="5">
        <f>+(M1915*26000)/0.829426</f>
        <v>59637628.914454095</v>
      </c>
      <c r="I1915" s="5">
        <f>+G1915-H1915</f>
        <v>3662371.0855459049</v>
      </c>
      <c r="J1915" s="5">
        <v>3000000</v>
      </c>
      <c r="K1915" s="5">
        <v>6030000</v>
      </c>
      <c r="L1915" s="5">
        <v>6330000</v>
      </c>
      <c r="M1915" s="7">
        <v>1902.5</v>
      </c>
      <c r="N1915" s="5">
        <v>60800000</v>
      </c>
      <c r="O1915" s="5">
        <v>63800000</v>
      </c>
      <c r="P1915" s="3">
        <v>0.97916666666666663</v>
      </c>
    </row>
    <row r="1916" spans="1:16" x14ac:dyDescent="0.25">
      <c r="A1916" t="s">
        <v>1177</v>
      </c>
      <c r="B1916" s="2">
        <v>45154</v>
      </c>
      <c r="C1916" t="str">
        <f>+"Tuáº§n "&amp;WEEKNUM(B1916)</f>
        <v>Tuáº§n 33</v>
      </c>
      <c r="D1916" t="s">
        <v>19</v>
      </c>
      <c r="E1916" t="s">
        <v>17</v>
      </c>
      <c r="F1916" s="5">
        <v>60100000</v>
      </c>
      <c r="G1916" s="5">
        <v>63100000</v>
      </c>
      <c r="H1916" s="5">
        <f>+(M1916*26000)/0.829426</f>
        <v>59437008.244255669</v>
      </c>
      <c r="I1916" s="5">
        <f>+G1916-H1916</f>
        <v>3662991.7557443306</v>
      </c>
      <c r="J1916" s="5">
        <v>3000000</v>
      </c>
      <c r="K1916" s="5">
        <v>6010000</v>
      </c>
      <c r="L1916" s="5">
        <v>6310000</v>
      </c>
      <c r="M1916" s="7">
        <v>1896.1</v>
      </c>
      <c r="N1916" s="5">
        <v>60600000</v>
      </c>
      <c r="O1916" s="5">
        <v>63600000</v>
      </c>
      <c r="P1916" s="3">
        <v>0.97916666666666663</v>
      </c>
    </row>
    <row r="1917" spans="1:16" x14ac:dyDescent="0.25">
      <c r="A1917" t="s">
        <v>1178</v>
      </c>
      <c r="B1917" s="2">
        <v>45155</v>
      </c>
      <c r="C1917" t="str">
        <f>+"Tuáº§n "&amp;WEEKNUM(B1917)</f>
        <v>Tuáº§n 33</v>
      </c>
      <c r="D1917" t="s">
        <v>20</v>
      </c>
      <c r="E1917" t="s">
        <v>17</v>
      </c>
      <c r="F1917" s="5">
        <v>59700000</v>
      </c>
      <c r="G1917" s="5">
        <v>62700000</v>
      </c>
      <c r="H1917" s="5">
        <f>+(M1917*26000)/0.829426</f>
        <v>59060844.487633616</v>
      </c>
      <c r="I1917" s="5">
        <f>+G1917-H1917</f>
        <v>3639155.5123663843</v>
      </c>
      <c r="J1917" s="5">
        <v>3000000</v>
      </c>
      <c r="K1917" s="5">
        <v>5970000</v>
      </c>
      <c r="L1917" s="5">
        <v>6270000</v>
      </c>
      <c r="M1917" s="7">
        <v>1884.1</v>
      </c>
      <c r="N1917" s="5">
        <v>60200000</v>
      </c>
      <c r="O1917" s="5">
        <v>63200000</v>
      </c>
      <c r="P1917" s="3">
        <v>0.97916666666666663</v>
      </c>
    </row>
    <row r="1918" spans="1:16" x14ac:dyDescent="0.25">
      <c r="A1918" t="s">
        <v>1179</v>
      </c>
      <c r="B1918" s="2">
        <v>45156</v>
      </c>
      <c r="C1918" t="str">
        <f>+"Tuáº§n "&amp;WEEKNUM(B1918)</f>
        <v>Tuáº§n 33</v>
      </c>
      <c r="D1918" t="s">
        <v>21</v>
      </c>
      <c r="E1918" t="s">
        <v>17</v>
      </c>
      <c r="F1918" s="5">
        <v>59700000</v>
      </c>
      <c r="G1918" s="5">
        <v>62700000</v>
      </c>
      <c r="H1918" s="5">
        <f>+(M1918*26000)/0.829426</f>
        <v>59123538.447070628</v>
      </c>
      <c r="I1918" s="5">
        <f>+G1918-H1918</f>
        <v>3576461.5529293716</v>
      </c>
      <c r="J1918" s="5">
        <v>3000000</v>
      </c>
      <c r="K1918" s="5">
        <v>5970000</v>
      </c>
      <c r="L1918" s="5">
        <v>6270000</v>
      </c>
      <c r="M1918" s="7">
        <v>1886.1</v>
      </c>
      <c r="N1918" s="5">
        <v>60200000</v>
      </c>
      <c r="O1918" s="5">
        <v>63200000</v>
      </c>
      <c r="P1918" s="3">
        <v>0.97916666666666663</v>
      </c>
    </row>
    <row r="1919" spans="1:16" x14ac:dyDescent="0.25">
      <c r="A1919" t="s">
        <v>1180</v>
      </c>
      <c r="B1919" s="2">
        <v>45159</v>
      </c>
      <c r="C1919" t="str">
        <f>+"Tuáº§n "&amp;WEEKNUM(B1919)</f>
        <v>Tuáº§n 34</v>
      </c>
      <c r="D1919" t="s">
        <v>16</v>
      </c>
      <c r="E1919" t="s">
        <v>17</v>
      </c>
      <c r="F1919" s="5">
        <v>60000000</v>
      </c>
      <c r="G1919" s="5">
        <v>63000000</v>
      </c>
      <c r="H1919" s="5">
        <f>+(M1919*26000)/0.829426</f>
        <v>59349236.701043852</v>
      </c>
      <c r="I1919" s="5">
        <f>+G1919-H1919</f>
        <v>3650763.2989561483</v>
      </c>
      <c r="J1919" s="5">
        <v>3000000</v>
      </c>
      <c r="K1919" s="5">
        <v>6000000</v>
      </c>
      <c r="L1919" s="5">
        <v>6300000</v>
      </c>
      <c r="M1919" s="7">
        <v>1893.3</v>
      </c>
      <c r="N1919" s="5">
        <v>60500000</v>
      </c>
      <c r="O1919" s="5">
        <v>63500000</v>
      </c>
      <c r="P1919" s="3">
        <v>0.97916666666666663</v>
      </c>
    </row>
    <row r="1920" spans="1:16" x14ac:dyDescent="0.25">
      <c r="A1920" t="s">
        <v>1181</v>
      </c>
      <c r="B1920" s="2">
        <v>45160</v>
      </c>
      <c r="C1920" t="str">
        <f>+"Tuáº§n "&amp;WEEKNUM(B1920)</f>
        <v>Tuáº§n 34</v>
      </c>
      <c r="D1920" t="s">
        <v>18</v>
      </c>
      <c r="E1920" t="s">
        <v>17</v>
      </c>
      <c r="F1920" s="5">
        <v>60100000</v>
      </c>
      <c r="G1920" s="5">
        <v>63100000</v>
      </c>
      <c r="H1920" s="5">
        <f>+(M1920*26000)/0.829426</f>
        <v>59446412.338171214</v>
      </c>
      <c r="I1920" s="5">
        <f>+G1920-H1920</f>
        <v>3653587.6618287861</v>
      </c>
      <c r="J1920" s="5">
        <v>3000000</v>
      </c>
      <c r="K1920" s="5">
        <v>6010000</v>
      </c>
      <c r="L1920" s="5">
        <v>6310000</v>
      </c>
      <c r="M1920" s="7">
        <v>1896.4</v>
      </c>
      <c r="N1920" s="5">
        <v>60600000</v>
      </c>
      <c r="O1920" s="5">
        <v>63600000</v>
      </c>
      <c r="P1920" s="3">
        <v>0.97916666666666663</v>
      </c>
    </row>
    <row r="1921" spans="1:16" x14ac:dyDescent="0.25">
      <c r="A1921" t="s">
        <v>1182</v>
      </c>
      <c r="B1921" s="2">
        <v>45161</v>
      </c>
      <c r="C1921" t="str">
        <f>+"Tuáº§n "&amp;WEEKNUM(B1921)</f>
        <v>Tuáº§n 34</v>
      </c>
      <c r="D1921" t="s">
        <v>19</v>
      </c>
      <c r="E1921" t="s">
        <v>17</v>
      </c>
      <c r="F1921" s="5">
        <v>60800000</v>
      </c>
      <c r="G1921" s="5">
        <v>63800000</v>
      </c>
      <c r="H1921" s="5">
        <f>+(M1921*26000)/0.829426</f>
        <v>60139180.589950159</v>
      </c>
      <c r="I1921" s="5">
        <f>+G1921-H1921</f>
        <v>3660819.4100498408</v>
      </c>
      <c r="J1921" s="5">
        <v>3000000</v>
      </c>
      <c r="K1921" s="5">
        <v>6080000</v>
      </c>
      <c r="L1921" s="5">
        <v>6380000</v>
      </c>
      <c r="M1921" s="7">
        <v>1918.5</v>
      </c>
      <c r="N1921" s="5">
        <v>61300000</v>
      </c>
      <c r="O1921" s="5">
        <v>64300000</v>
      </c>
      <c r="P1921" s="3">
        <v>0.97916666666666663</v>
      </c>
    </row>
    <row r="1922" spans="1:16" x14ac:dyDescent="0.25">
      <c r="A1922" t="s">
        <v>1183</v>
      </c>
      <c r="B1922" s="2">
        <v>45162</v>
      </c>
      <c r="C1922" t="str">
        <f>+"Tuáº§n "&amp;WEEKNUM(B1922)</f>
        <v>Tuáº§n 34</v>
      </c>
      <c r="D1922" t="s">
        <v>20</v>
      </c>
      <c r="E1922" t="s">
        <v>17</v>
      </c>
      <c r="F1922" s="5">
        <v>60800000</v>
      </c>
      <c r="G1922" s="5">
        <v>63800000</v>
      </c>
      <c r="H1922" s="5">
        <f>+(M1922*26000)/0.829426</f>
        <v>60129776.496034607</v>
      </c>
      <c r="I1922" s="5">
        <f>+G1922-H1922</f>
        <v>3670223.5039653927</v>
      </c>
      <c r="J1922" s="5">
        <v>3000000</v>
      </c>
      <c r="K1922" s="5">
        <v>6080000</v>
      </c>
      <c r="L1922" s="5">
        <v>6380000</v>
      </c>
      <c r="M1922" s="7">
        <v>1918.2</v>
      </c>
      <c r="N1922" s="5">
        <v>61300000</v>
      </c>
      <c r="O1922" s="5">
        <v>64300000</v>
      </c>
      <c r="P1922" s="3">
        <v>0.97916666666666663</v>
      </c>
    </row>
    <row r="1923" spans="1:16" x14ac:dyDescent="0.25">
      <c r="A1923" t="s">
        <v>1184</v>
      </c>
      <c r="B1923" s="2">
        <v>45163</v>
      </c>
      <c r="C1923" t="str">
        <f>+"Tuáº§n "&amp;WEEKNUM(B1923)</f>
        <v>Tuáº§n 34</v>
      </c>
      <c r="D1923" t="s">
        <v>21</v>
      </c>
      <c r="E1923" t="s">
        <v>17</v>
      </c>
      <c r="F1923" s="5">
        <v>60600000</v>
      </c>
      <c r="G1923" s="5">
        <v>63600000</v>
      </c>
      <c r="H1923" s="5">
        <f>+(M1923*26000)/0.829426</f>
        <v>59907212.940033227</v>
      </c>
      <c r="I1923" s="5">
        <f>+G1923-H1923</f>
        <v>3692787.0599667728</v>
      </c>
      <c r="J1923" s="5">
        <v>3000000</v>
      </c>
      <c r="K1923" s="5">
        <v>6060000</v>
      </c>
      <c r="L1923" s="5">
        <v>6360000</v>
      </c>
      <c r="M1923" s="7">
        <v>1911.1</v>
      </c>
      <c r="N1923" s="5">
        <v>61100000</v>
      </c>
      <c r="O1923" s="5">
        <v>64100000</v>
      </c>
      <c r="P1923" s="3">
        <v>0.97916666666666663</v>
      </c>
    </row>
    <row r="1924" spans="1:16" x14ac:dyDescent="0.25">
      <c r="A1924" t="s">
        <v>1185</v>
      </c>
      <c r="B1924" s="2">
        <v>45166</v>
      </c>
      <c r="C1924" t="str">
        <f>+"Tuáº§n "&amp;WEEKNUM(B1924)</f>
        <v>Tuáº§n 35</v>
      </c>
      <c r="D1924" t="s">
        <v>16</v>
      </c>
      <c r="E1924" t="s">
        <v>17</v>
      </c>
      <c r="F1924" s="5">
        <v>60800000</v>
      </c>
      <c r="G1924" s="5">
        <v>63800000</v>
      </c>
      <c r="H1924" s="5">
        <f>+(M1924*26000)/0.829426</f>
        <v>60120372.402119055</v>
      </c>
      <c r="I1924" s="5">
        <f>+G1924-H1924</f>
        <v>3679627.5978809446</v>
      </c>
      <c r="J1924" s="5">
        <v>3000000</v>
      </c>
      <c r="K1924" s="5">
        <v>6080000</v>
      </c>
      <c r="L1924" s="5">
        <v>6380000</v>
      </c>
      <c r="M1924" s="7">
        <v>1917.9</v>
      </c>
      <c r="N1924" s="5">
        <v>61300000</v>
      </c>
      <c r="O1924" s="5">
        <v>64300000</v>
      </c>
      <c r="P1924" s="3">
        <v>0.97916666666666663</v>
      </c>
    </row>
    <row r="1925" spans="1:16" x14ac:dyDescent="0.25">
      <c r="A1925" t="s">
        <v>1186</v>
      </c>
      <c r="B1925" s="2">
        <v>45167</v>
      </c>
      <c r="C1925" t="str">
        <f>+"Tuáº§n "&amp;WEEKNUM(B1925)</f>
        <v>Tuáº§n 35</v>
      </c>
      <c r="D1925" t="s">
        <v>18</v>
      </c>
      <c r="E1925" t="s">
        <v>17</v>
      </c>
      <c r="F1925" s="5">
        <v>61400000</v>
      </c>
      <c r="G1925" s="5">
        <v>64400000</v>
      </c>
      <c r="H1925" s="5">
        <f>+(M1925*26000)/0.829426</f>
        <v>60703426.224883236</v>
      </c>
      <c r="I1925" s="5">
        <f>+G1925-H1925</f>
        <v>3696573.775116764</v>
      </c>
      <c r="J1925" s="5">
        <v>3000000</v>
      </c>
      <c r="K1925" s="5">
        <v>6140000</v>
      </c>
      <c r="L1925" s="5">
        <v>6440000</v>
      </c>
      <c r="M1925" s="7">
        <v>1936.5</v>
      </c>
      <c r="N1925" s="5">
        <v>61900000</v>
      </c>
      <c r="O1925" s="5">
        <v>64900000</v>
      </c>
      <c r="P1925" s="3">
        <v>0.97916666666666663</v>
      </c>
    </row>
    <row r="1926" spans="1:16" x14ac:dyDescent="0.25">
      <c r="A1926" t="s">
        <v>1187</v>
      </c>
      <c r="B1926" s="2">
        <v>45168</v>
      </c>
      <c r="C1926" t="str">
        <f>+"Tuáº§n "&amp;WEEKNUM(B1926)</f>
        <v>Tuáº§n 35</v>
      </c>
      <c r="D1926" t="s">
        <v>19</v>
      </c>
      <c r="E1926" t="s">
        <v>17</v>
      </c>
      <c r="F1926" s="5">
        <v>61700000</v>
      </c>
      <c r="G1926" s="5">
        <v>64700000</v>
      </c>
      <c r="H1926" s="5">
        <f>+(M1926*26000)/0.829426</f>
        <v>60947932.666687563</v>
      </c>
      <c r="I1926" s="5">
        <f>+G1926-H1926</f>
        <v>3752067.3333124369</v>
      </c>
      <c r="J1926" s="5">
        <v>3000000</v>
      </c>
      <c r="K1926" s="5">
        <v>6170000</v>
      </c>
      <c r="L1926" s="5">
        <v>6470000</v>
      </c>
      <c r="M1926" s="7">
        <v>1944.3</v>
      </c>
      <c r="N1926" s="5">
        <v>62200000</v>
      </c>
      <c r="O1926" s="5">
        <v>65200000</v>
      </c>
      <c r="P1926" s="3">
        <v>0.97916666666666663</v>
      </c>
    </row>
    <row r="1927" spans="1:16" x14ac:dyDescent="0.25">
      <c r="A1927" t="s">
        <v>1188</v>
      </c>
      <c r="B1927" s="2">
        <v>45169</v>
      </c>
      <c r="C1927" t="str">
        <f>+"Tuáº§n "&amp;WEEKNUM(B1927)</f>
        <v>Tuáº§n 35</v>
      </c>
      <c r="D1927" t="s">
        <v>20</v>
      </c>
      <c r="E1927" t="s">
        <v>17</v>
      </c>
      <c r="F1927" s="5">
        <v>61500000</v>
      </c>
      <c r="G1927" s="5">
        <v>64500000</v>
      </c>
      <c r="H1927" s="5">
        <f>+(M1927*26000)/0.829426</f>
        <v>60756716.090404689</v>
      </c>
      <c r="I1927" s="5">
        <f>+G1927-H1927</f>
        <v>3743283.9095953107</v>
      </c>
      <c r="J1927" s="5">
        <v>3000000</v>
      </c>
      <c r="K1927" s="5">
        <v>6150000</v>
      </c>
      <c r="L1927" s="5">
        <v>6450000</v>
      </c>
      <c r="M1927" s="7">
        <v>1938.2</v>
      </c>
      <c r="N1927" s="5">
        <v>62000000</v>
      </c>
      <c r="O1927" s="5">
        <v>65000000</v>
      </c>
      <c r="P1927" s="3">
        <v>0.97916666666666663</v>
      </c>
    </row>
    <row r="1928" spans="1:16" x14ac:dyDescent="0.25">
      <c r="A1928" s="2">
        <v>44935</v>
      </c>
      <c r="B1928" s="2">
        <v>45170</v>
      </c>
      <c r="C1928" t="str">
        <f>+"Tuáº§n "&amp;WEEKNUM(B1928)</f>
        <v>Tuáº§n 35</v>
      </c>
      <c r="D1928" t="s">
        <v>21</v>
      </c>
      <c r="E1928" t="s">
        <v>17</v>
      </c>
      <c r="F1928" s="5">
        <v>61500000</v>
      </c>
      <c r="G1928" s="5">
        <v>64500000</v>
      </c>
      <c r="H1928" s="5">
        <f>+(M1928*26000)/0.829426</f>
        <v>60806871.257954299</v>
      </c>
      <c r="I1928" s="5">
        <f>+G1928-H1928</f>
        <v>3693128.7420457006</v>
      </c>
      <c r="J1928" s="5">
        <v>3000000</v>
      </c>
      <c r="K1928" s="5">
        <v>6150000</v>
      </c>
      <c r="L1928" s="5">
        <v>6450000</v>
      </c>
      <c r="M1928" s="7">
        <v>1939.8</v>
      </c>
      <c r="N1928" s="5">
        <v>62000000</v>
      </c>
      <c r="O1928" s="5">
        <v>65000000</v>
      </c>
      <c r="P1928" s="3">
        <v>0.97916666666666663</v>
      </c>
    </row>
    <row r="1929" spans="1:16" x14ac:dyDescent="0.25">
      <c r="A1929" s="2">
        <v>45055</v>
      </c>
      <c r="B1929" s="2">
        <v>45174</v>
      </c>
      <c r="C1929" t="str">
        <f>+"Tuáº§n "&amp;WEEKNUM(B1929)</f>
        <v>Tuáº§n 36</v>
      </c>
      <c r="D1929" t="s">
        <v>18</v>
      </c>
      <c r="E1929" t="s">
        <v>17</v>
      </c>
      <c r="F1929" s="5">
        <v>61100000</v>
      </c>
      <c r="G1929" s="5">
        <v>64100000</v>
      </c>
      <c r="H1929" s="5">
        <f>+(M1929*26000)/0.829426</f>
        <v>60380552.333782643</v>
      </c>
      <c r="I1929" s="5">
        <f>+G1929-H1929</f>
        <v>3719447.6662173569</v>
      </c>
      <c r="J1929" s="5">
        <v>3000000</v>
      </c>
      <c r="K1929" s="5">
        <v>6110000</v>
      </c>
      <c r="L1929" s="5">
        <v>6410000</v>
      </c>
      <c r="M1929" s="7">
        <v>1926.2</v>
      </c>
      <c r="N1929" s="5">
        <v>61600000</v>
      </c>
      <c r="O1929" s="5">
        <v>64600000</v>
      </c>
      <c r="P1929" s="3">
        <v>0.97916666666666663</v>
      </c>
    </row>
    <row r="1930" spans="1:16" x14ac:dyDescent="0.25">
      <c r="A1930" s="2">
        <v>45086</v>
      </c>
      <c r="B1930" s="2">
        <v>45175</v>
      </c>
      <c r="C1930" t="str">
        <f>+"Tuáº§n "&amp;WEEKNUM(B1930)</f>
        <v>Tuáº§n 36</v>
      </c>
      <c r="D1930" t="s">
        <v>19</v>
      </c>
      <c r="E1930" t="s">
        <v>17</v>
      </c>
      <c r="F1930" s="5">
        <v>60800000</v>
      </c>
      <c r="G1930" s="5">
        <v>63800000</v>
      </c>
      <c r="H1930" s="5">
        <f>+(M1930*26000)/0.829426</f>
        <v>60126641.798062757</v>
      </c>
      <c r="I1930" s="5">
        <f>+G1930-H1930</f>
        <v>3673358.2019372433</v>
      </c>
      <c r="J1930" s="5">
        <v>3000000</v>
      </c>
      <c r="K1930" s="5">
        <v>6080000</v>
      </c>
      <c r="L1930" s="5">
        <v>6380000</v>
      </c>
      <c r="M1930" s="7">
        <v>1918.1</v>
      </c>
      <c r="N1930" s="5">
        <v>61300000</v>
      </c>
      <c r="O1930" s="5">
        <v>64300000</v>
      </c>
      <c r="P1930" s="3">
        <v>0.97916666666666663</v>
      </c>
    </row>
    <row r="1931" spans="1:16" x14ac:dyDescent="0.25">
      <c r="A1931" s="2">
        <v>45116</v>
      </c>
      <c r="B1931" s="2">
        <v>45176</v>
      </c>
      <c r="C1931" t="str">
        <f>+"Tuáº§n "&amp;WEEKNUM(B1931)</f>
        <v>Tuáº§n 36</v>
      </c>
      <c r="D1931" t="s">
        <v>20</v>
      </c>
      <c r="E1931" t="s">
        <v>17</v>
      </c>
      <c r="F1931" s="5">
        <v>60800000</v>
      </c>
      <c r="G1931" s="5">
        <v>63800000</v>
      </c>
      <c r="H1931" s="5">
        <f>+(M1931*26000)/0.829426</f>
        <v>60107833.610231653</v>
      </c>
      <c r="I1931" s="5">
        <f>+G1931-H1931</f>
        <v>3692166.3897683471</v>
      </c>
      <c r="J1931" s="5">
        <v>3000000</v>
      </c>
      <c r="K1931" s="5">
        <v>6080000</v>
      </c>
      <c r="L1931" s="5">
        <v>6380000</v>
      </c>
      <c r="M1931" s="7">
        <v>1917.5</v>
      </c>
      <c r="N1931" s="5">
        <v>61300000</v>
      </c>
      <c r="O1931" s="5">
        <v>64300000</v>
      </c>
      <c r="P1931" s="3">
        <v>0.97916666666666663</v>
      </c>
    </row>
    <row r="1932" spans="1:16" x14ac:dyDescent="0.25">
      <c r="A1932" s="2">
        <v>45147</v>
      </c>
      <c r="B1932" s="2">
        <v>45177</v>
      </c>
      <c r="C1932" t="str">
        <f>+"Tuáº§n "&amp;WEEKNUM(B1932)</f>
        <v>Tuáº§n 36</v>
      </c>
      <c r="D1932" t="s">
        <v>21</v>
      </c>
      <c r="E1932" t="s">
        <v>17</v>
      </c>
      <c r="F1932" s="5">
        <v>60800000</v>
      </c>
      <c r="G1932" s="5">
        <v>63800000</v>
      </c>
      <c r="H1932" s="5">
        <f>+(M1932*26000)/0.829426</f>
        <v>60136045.891978309</v>
      </c>
      <c r="I1932" s="5">
        <f>+G1932-H1932</f>
        <v>3663954.1080216914</v>
      </c>
      <c r="J1932" s="5">
        <v>3000000</v>
      </c>
      <c r="K1932" s="5">
        <v>6080000</v>
      </c>
      <c r="L1932" s="5">
        <v>6380000</v>
      </c>
      <c r="M1932" s="7">
        <v>1918.4</v>
      </c>
      <c r="N1932" s="5">
        <v>61300000</v>
      </c>
      <c r="O1932" s="5">
        <v>64300000</v>
      </c>
      <c r="P1932" s="3">
        <v>0.97916666666666663</v>
      </c>
    </row>
    <row r="1933" spans="1:16" x14ac:dyDescent="0.25">
      <c r="A1933" s="2">
        <v>45239</v>
      </c>
      <c r="B1933" s="2">
        <v>45180</v>
      </c>
      <c r="C1933" t="str">
        <f>+"Tuáº§n "&amp;WEEKNUM(B1933)</f>
        <v>Tuáº§n 37</v>
      </c>
      <c r="D1933" t="s">
        <v>16</v>
      </c>
      <c r="E1933" t="s">
        <v>17</v>
      </c>
      <c r="F1933" s="5">
        <v>61000000</v>
      </c>
      <c r="G1933" s="5">
        <v>64000000</v>
      </c>
      <c r="H1933" s="5">
        <f>+(M1933*26000)/0.829426</f>
        <v>60289646.092598975</v>
      </c>
      <c r="I1933" s="5">
        <f>+G1933-H1933</f>
        <v>3710353.9074010253</v>
      </c>
      <c r="J1933" s="5">
        <v>3000000</v>
      </c>
      <c r="K1933" s="5">
        <v>6100000</v>
      </c>
      <c r="L1933" s="5">
        <v>6400000</v>
      </c>
      <c r="M1933" s="7">
        <v>1923.3</v>
      </c>
      <c r="N1933" s="5">
        <v>61500000</v>
      </c>
      <c r="O1933" s="5">
        <v>64500000</v>
      </c>
      <c r="P1933" s="3">
        <v>0.97916666666666663</v>
      </c>
    </row>
    <row r="1934" spans="1:16" x14ac:dyDescent="0.25">
      <c r="A1934" s="2">
        <v>45269</v>
      </c>
      <c r="B1934" s="2">
        <v>45181</v>
      </c>
      <c r="C1934" t="str">
        <f>+"Tuáº§n "&amp;WEEKNUM(B1934)</f>
        <v>Tuáº§n 37</v>
      </c>
      <c r="D1934" t="s">
        <v>18</v>
      </c>
      <c r="E1934" t="s">
        <v>17</v>
      </c>
      <c r="F1934" s="5">
        <v>60600000</v>
      </c>
      <c r="G1934" s="5">
        <v>63600000</v>
      </c>
      <c r="H1934" s="5">
        <f>+(M1934*26000)/0.829426</f>
        <v>59913482.335976928</v>
      </c>
      <c r="I1934" s="5">
        <f>+G1934-H1934</f>
        <v>3686517.6640230715</v>
      </c>
      <c r="J1934" s="5">
        <v>3000000</v>
      </c>
      <c r="K1934" s="5">
        <v>6060000</v>
      </c>
      <c r="L1934" s="5">
        <v>6360000</v>
      </c>
      <c r="M1934" s="7">
        <v>1911.3</v>
      </c>
      <c r="N1934" s="5">
        <v>61100000</v>
      </c>
      <c r="O1934" s="5">
        <v>64100000</v>
      </c>
      <c r="P1934" s="3">
        <v>0.97916666666666663</v>
      </c>
    </row>
    <row r="1935" spans="1:16" x14ac:dyDescent="0.25">
      <c r="A1935" t="s">
        <v>1189</v>
      </c>
      <c r="B1935" s="2">
        <v>45182</v>
      </c>
      <c r="C1935" t="str">
        <f>+"Tuáº§n "&amp;WEEKNUM(B1935)</f>
        <v>Tuáº§n 37</v>
      </c>
      <c r="D1935" t="s">
        <v>19</v>
      </c>
      <c r="E1935" t="s">
        <v>17</v>
      </c>
      <c r="F1935" s="5">
        <v>60500000</v>
      </c>
      <c r="G1935" s="5">
        <v>63500000</v>
      </c>
      <c r="H1935" s="5">
        <f>+(M1935*26000)/0.829426</f>
        <v>59844518.980596222</v>
      </c>
      <c r="I1935" s="5">
        <f>+G1935-H1935</f>
        <v>3655481.019403778</v>
      </c>
      <c r="J1935" s="5">
        <v>3000000</v>
      </c>
      <c r="K1935" s="5">
        <v>6050000</v>
      </c>
      <c r="L1935" s="5">
        <v>6350000</v>
      </c>
      <c r="M1935" s="7">
        <v>1909.1</v>
      </c>
      <c r="N1935" s="5">
        <v>61000000</v>
      </c>
      <c r="O1935" s="5">
        <v>64000000</v>
      </c>
      <c r="P1935" s="3">
        <v>0.97916666666666663</v>
      </c>
    </row>
    <row r="1936" spans="1:16" x14ac:dyDescent="0.25">
      <c r="A1936" t="s">
        <v>1190</v>
      </c>
      <c r="B1936" s="2">
        <v>45183</v>
      </c>
      <c r="C1936" t="str">
        <f>+"Tuáº§n "&amp;WEEKNUM(B1936)</f>
        <v>Tuáº§n 37</v>
      </c>
      <c r="D1936" t="s">
        <v>20</v>
      </c>
      <c r="E1936" t="s">
        <v>17</v>
      </c>
      <c r="F1936" s="5">
        <v>60500000</v>
      </c>
      <c r="G1936" s="5">
        <v>63500000</v>
      </c>
      <c r="H1936" s="5">
        <f>+(M1936*26000)/0.829426</f>
        <v>59872731.26234287</v>
      </c>
      <c r="I1936" s="5">
        <f>+G1936-H1936</f>
        <v>3627268.7376571298</v>
      </c>
      <c r="J1936" s="5">
        <v>3000000</v>
      </c>
      <c r="K1936" s="5">
        <v>6050000</v>
      </c>
      <c r="L1936" s="5">
        <v>6350000</v>
      </c>
      <c r="M1936" s="7">
        <v>1910</v>
      </c>
      <c r="N1936" s="5">
        <v>61000000</v>
      </c>
      <c r="O1936" s="5">
        <v>64000000</v>
      </c>
      <c r="P1936" s="3">
        <v>0.97916666666666663</v>
      </c>
    </row>
    <row r="1937" spans="1:16" x14ac:dyDescent="0.25">
      <c r="A1937" t="s">
        <v>1191</v>
      </c>
      <c r="B1937" s="2">
        <v>45184</v>
      </c>
      <c r="C1937" t="str">
        <f>+"Tuáº§n "&amp;WEEKNUM(B1937)</f>
        <v>Tuáº§n 37</v>
      </c>
      <c r="D1937" t="s">
        <v>21</v>
      </c>
      <c r="E1937" t="s">
        <v>17</v>
      </c>
      <c r="F1937" s="5">
        <v>61000000</v>
      </c>
      <c r="G1937" s="5">
        <v>64000000</v>
      </c>
      <c r="H1937" s="5">
        <f>+(M1937*26000)/0.829426</f>
        <v>60302184.884486377</v>
      </c>
      <c r="I1937" s="5">
        <f>+G1937-H1937</f>
        <v>3697815.1155136228</v>
      </c>
      <c r="J1937" s="5">
        <v>3000000</v>
      </c>
      <c r="K1937" s="5">
        <v>6100000</v>
      </c>
      <c r="L1937" s="5">
        <v>6400000</v>
      </c>
      <c r="M1937" s="7">
        <v>1923.7</v>
      </c>
      <c r="N1937" s="5">
        <v>61500000</v>
      </c>
      <c r="O1937" s="5">
        <v>64500000</v>
      </c>
      <c r="P1937" s="3">
        <v>0.97916666666666663</v>
      </c>
    </row>
    <row r="1938" spans="1:16" x14ac:dyDescent="0.25">
      <c r="A1938" t="s">
        <v>1192</v>
      </c>
      <c r="B1938" s="2">
        <v>45187</v>
      </c>
      <c r="C1938" t="str">
        <f>+"Tuáº§n "&amp;WEEKNUM(B1938)</f>
        <v>Tuáº§n 38</v>
      </c>
      <c r="D1938" t="s">
        <v>16</v>
      </c>
      <c r="E1938" t="s">
        <v>17</v>
      </c>
      <c r="F1938" s="5">
        <v>61200000</v>
      </c>
      <c r="G1938" s="5">
        <v>64200000</v>
      </c>
      <c r="H1938" s="5">
        <f>+(M1938*26000)/0.829426</f>
        <v>60546691.326290712</v>
      </c>
      <c r="I1938" s="5">
        <f>+G1938-H1938</f>
        <v>3653308.6737092882</v>
      </c>
      <c r="J1938" s="5">
        <v>3000000</v>
      </c>
      <c r="K1938" s="5">
        <v>6120000</v>
      </c>
      <c r="L1938" s="5">
        <v>6420000</v>
      </c>
      <c r="M1938" s="7">
        <v>1931.5</v>
      </c>
      <c r="N1938" s="5">
        <v>61700000</v>
      </c>
      <c r="O1938" s="5">
        <v>64700000</v>
      </c>
      <c r="P1938" s="3">
        <v>0.97916666666666663</v>
      </c>
    </row>
    <row r="1939" spans="1:16" x14ac:dyDescent="0.25">
      <c r="A1939" t="s">
        <v>1193</v>
      </c>
      <c r="B1939" s="2">
        <v>45188</v>
      </c>
      <c r="C1939" t="str">
        <f>+"Tuáº§n "&amp;WEEKNUM(B1939)</f>
        <v>Tuáº§n 38</v>
      </c>
      <c r="D1939" t="s">
        <v>18</v>
      </c>
      <c r="E1939" t="s">
        <v>17</v>
      </c>
      <c r="F1939" s="5">
        <v>61300000</v>
      </c>
      <c r="G1939" s="5">
        <v>64300000</v>
      </c>
      <c r="H1939" s="5">
        <f>+(M1939*26000)/0.829426</f>
        <v>60562364.816149965</v>
      </c>
      <c r="I1939" s="5">
        <f>+G1939-H1939</f>
        <v>3737635.1838500351</v>
      </c>
      <c r="J1939" s="5">
        <v>3000000</v>
      </c>
      <c r="K1939" s="5">
        <v>6130000</v>
      </c>
      <c r="L1939" s="5">
        <v>6430000</v>
      </c>
      <c r="M1939" s="7">
        <v>1932</v>
      </c>
      <c r="N1939" s="5">
        <v>61800000</v>
      </c>
      <c r="O1939" s="5">
        <v>64800000</v>
      </c>
      <c r="P1939" s="3">
        <v>0.97916666666666663</v>
      </c>
    </row>
    <row r="1940" spans="1:16" x14ac:dyDescent="0.25">
      <c r="A1940" t="s">
        <v>1194</v>
      </c>
      <c r="B1940" s="2">
        <v>45189</v>
      </c>
      <c r="C1940" t="str">
        <f>+"Tuáº§n "&amp;WEEKNUM(B1940)</f>
        <v>Tuáº§n 38</v>
      </c>
      <c r="D1940" t="s">
        <v>19</v>
      </c>
      <c r="E1940" t="s">
        <v>17</v>
      </c>
      <c r="F1940" s="5">
        <v>61700000</v>
      </c>
      <c r="G1940" s="5">
        <v>64700000</v>
      </c>
      <c r="H1940" s="5">
        <f>+(M1940*26000)/0.829426</f>
        <v>60988683.740321621</v>
      </c>
      <c r="I1940" s="5">
        <f>+G1940-H1940</f>
        <v>3711316.2596783787</v>
      </c>
      <c r="J1940" s="5">
        <v>3000000</v>
      </c>
      <c r="K1940" s="5">
        <v>6170000</v>
      </c>
      <c r="L1940" s="5">
        <v>6470000</v>
      </c>
      <c r="M1940" s="7">
        <v>1945.6</v>
      </c>
      <c r="N1940" s="5">
        <v>62200000</v>
      </c>
      <c r="O1940" s="5">
        <v>65200000</v>
      </c>
      <c r="P1940" s="3">
        <v>0.97916666666666663</v>
      </c>
    </row>
    <row r="1941" spans="1:16" x14ac:dyDescent="0.25">
      <c r="A1941" t="s">
        <v>1195</v>
      </c>
      <c r="B1941" s="2">
        <v>45190</v>
      </c>
      <c r="C1941" t="str">
        <f>+"Tuáº§n "&amp;WEEKNUM(B1941)</f>
        <v>Tuáº§n 38</v>
      </c>
      <c r="D1941" t="s">
        <v>20</v>
      </c>
      <c r="E1941" t="s">
        <v>17</v>
      </c>
      <c r="F1941" s="5">
        <v>60800000</v>
      </c>
      <c r="G1941" s="5">
        <v>63800000</v>
      </c>
      <c r="H1941" s="5">
        <f>+(M1941*26000)/0.829426</f>
        <v>60161123.475753114</v>
      </c>
      <c r="I1941" s="5">
        <f>+G1941-H1941</f>
        <v>3638876.5242468864</v>
      </c>
      <c r="J1941" s="5">
        <v>3000000</v>
      </c>
      <c r="K1941" s="5">
        <v>6080000</v>
      </c>
      <c r="L1941" s="5">
        <v>6380000</v>
      </c>
      <c r="M1941" s="7">
        <v>1919.2</v>
      </c>
      <c r="N1941" s="5">
        <v>61300000</v>
      </c>
      <c r="O1941" s="5">
        <v>64300000</v>
      </c>
      <c r="P1941" s="3">
        <v>0.97916666666666663</v>
      </c>
    </row>
    <row r="1942" spans="1:16" x14ac:dyDescent="0.25">
      <c r="A1942" t="s">
        <v>1196</v>
      </c>
      <c r="B1942" s="2">
        <v>45191</v>
      </c>
      <c r="C1942" t="str">
        <f>+"Tuáº§n "&amp;WEEKNUM(B1942)</f>
        <v>Tuáº§n 38</v>
      </c>
      <c r="D1942" t="s">
        <v>21</v>
      </c>
      <c r="E1942" t="s">
        <v>17</v>
      </c>
      <c r="F1942" s="5">
        <v>61000000</v>
      </c>
      <c r="G1942" s="5">
        <v>64000000</v>
      </c>
      <c r="H1942" s="5">
        <f>+(M1942*26000)/0.829426</f>
        <v>60355474.750007838</v>
      </c>
      <c r="I1942" s="5">
        <f>+G1942-H1942</f>
        <v>3644525.249992162</v>
      </c>
      <c r="J1942" s="5">
        <v>3000000</v>
      </c>
      <c r="K1942" s="5">
        <v>6100000</v>
      </c>
      <c r="L1942" s="5">
        <v>6400000</v>
      </c>
      <c r="M1942" s="7">
        <v>1925.4</v>
      </c>
      <c r="N1942" s="5">
        <v>61500000</v>
      </c>
      <c r="O1942" s="5">
        <v>64500000</v>
      </c>
      <c r="P1942" s="3">
        <v>0.97916666666666663</v>
      </c>
    </row>
    <row r="1943" spans="1:16" x14ac:dyDescent="0.25">
      <c r="A1943" t="s">
        <v>1197</v>
      </c>
      <c r="B1943" s="2">
        <v>45194</v>
      </c>
      <c r="C1943" t="str">
        <f>+"Tuáº§n "&amp;WEEKNUM(B1943)</f>
        <v>Tuáº§n 39</v>
      </c>
      <c r="D1943" t="s">
        <v>16</v>
      </c>
      <c r="E1943" t="s">
        <v>17</v>
      </c>
      <c r="F1943" s="5">
        <v>60700000</v>
      </c>
      <c r="G1943" s="5">
        <v>63700000</v>
      </c>
      <c r="H1943" s="5">
        <f>+(M1943*26000)/0.829426</f>
        <v>60079621.328484997</v>
      </c>
      <c r="I1943" s="5">
        <f>+G1943-H1943</f>
        <v>3620378.6715150028</v>
      </c>
      <c r="J1943" s="5">
        <v>3000000</v>
      </c>
      <c r="K1943" s="5">
        <v>6070000</v>
      </c>
      <c r="L1943" s="5">
        <v>6370000</v>
      </c>
      <c r="M1943" s="7">
        <v>1916.6</v>
      </c>
      <c r="N1943" s="5">
        <v>61200000</v>
      </c>
      <c r="O1943" s="5">
        <v>64200000</v>
      </c>
      <c r="P1943" s="3">
        <v>0.97916666666666663</v>
      </c>
    </row>
    <row r="1944" spans="1:16" x14ac:dyDescent="0.25">
      <c r="A1944" t="s">
        <v>1198</v>
      </c>
      <c r="B1944" s="2">
        <v>45195</v>
      </c>
      <c r="C1944" t="str">
        <f>+"Tuáº§n "&amp;WEEKNUM(B1944)</f>
        <v>Tuáº§n 39</v>
      </c>
      <c r="D1944" t="s">
        <v>18</v>
      </c>
      <c r="E1944" t="s">
        <v>17</v>
      </c>
      <c r="F1944" s="5">
        <v>60200000</v>
      </c>
      <c r="G1944" s="5">
        <v>63200000</v>
      </c>
      <c r="H1944" s="5">
        <f>+(M1944*26000)/0.829426</f>
        <v>59571800.257045232</v>
      </c>
      <c r="I1944" s="5">
        <f>+G1944-H1944</f>
        <v>3628199.7429547682</v>
      </c>
      <c r="J1944" s="5">
        <v>3000000</v>
      </c>
      <c r="K1944" s="5">
        <v>6020000</v>
      </c>
      <c r="L1944" s="5">
        <v>6320000</v>
      </c>
      <c r="M1944" s="7">
        <v>1900.4</v>
      </c>
      <c r="N1944" s="5">
        <v>60700000</v>
      </c>
      <c r="O1944" s="5">
        <v>63700000</v>
      </c>
      <c r="P1944" s="3">
        <v>0.97916666666666663</v>
      </c>
    </row>
    <row r="1945" spans="1:16" x14ac:dyDescent="0.25">
      <c r="A1945" t="s">
        <v>1199</v>
      </c>
      <c r="B1945" s="2">
        <v>45196</v>
      </c>
      <c r="C1945" t="str">
        <f>+"Tuáº§n "&amp;WEEKNUM(B1945)</f>
        <v>Tuáº§n 39</v>
      </c>
      <c r="D1945" t="s">
        <v>19</v>
      </c>
      <c r="E1945" t="s">
        <v>17</v>
      </c>
      <c r="F1945" s="5">
        <v>59300000</v>
      </c>
      <c r="G1945" s="5">
        <v>62300000</v>
      </c>
      <c r="H1945" s="5">
        <f>+(M1945*26000)/0.829426</f>
        <v>58669007.241152316</v>
      </c>
      <c r="I1945" s="5">
        <f>+G1945-H1945</f>
        <v>3630992.7588476837</v>
      </c>
      <c r="J1945" s="5">
        <v>3000000</v>
      </c>
      <c r="K1945" s="5">
        <v>5930000</v>
      </c>
      <c r="L1945" s="5">
        <v>6230000</v>
      </c>
      <c r="M1945" s="7">
        <v>1871.6</v>
      </c>
      <c r="N1945" s="5">
        <v>59800000</v>
      </c>
      <c r="O1945" s="5">
        <v>62800000</v>
      </c>
      <c r="P1945" s="3">
        <v>0.97916666666666663</v>
      </c>
    </row>
    <row r="1946" spans="1:16" x14ac:dyDescent="0.25">
      <c r="A1946" t="s">
        <v>1200</v>
      </c>
      <c r="B1946" s="2">
        <v>45197</v>
      </c>
      <c r="C1946" t="str">
        <f>+"Tuáº§n "&amp;WEEKNUM(B1946)</f>
        <v>Tuáº§n 39</v>
      </c>
      <c r="D1946" t="s">
        <v>20</v>
      </c>
      <c r="E1946" t="s">
        <v>17</v>
      </c>
      <c r="F1946" s="5">
        <v>58900000</v>
      </c>
      <c r="G1946" s="5">
        <v>61900000</v>
      </c>
      <c r="H1946" s="5">
        <f>+(M1946*26000)/0.829426</f>
        <v>58317921.068305068</v>
      </c>
      <c r="I1946" s="5">
        <f>+G1946-H1946</f>
        <v>3582078.9316949323</v>
      </c>
      <c r="J1946" s="5">
        <v>3000000</v>
      </c>
      <c r="K1946" s="5">
        <v>5890000</v>
      </c>
      <c r="L1946" s="5">
        <v>6190000</v>
      </c>
      <c r="M1946" s="7">
        <v>1860.4</v>
      </c>
      <c r="N1946" s="5">
        <v>59400000</v>
      </c>
      <c r="O1946" s="5">
        <v>62400000</v>
      </c>
      <c r="P1946" s="3">
        <v>0.97916666666666663</v>
      </c>
    </row>
    <row r="1947" spans="1:16" x14ac:dyDescent="0.25">
      <c r="A1947" t="s">
        <v>1201</v>
      </c>
      <c r="B1947" s="2">
        <v>45198</v>
      </c>
      <c r="C1947" t="str">
        <f>+"Tuáº§n "&amp;WEEKNUM(B1947)</f>
        <v>Tuáº§n 39</v>
      </c>
      <c r="D1947" t="s">
        <v>21</v>
      </c>
      <c r="E1947" t="s">
        <v>17</v>
      </c>
      <c r="F1947" s="5">
        <v>58500000</v>
      </c>
      <c r="G1947" s="5">
        <v>61500000</v>
      </c>
      <c r="H1947" s="5">
        <f>+(M1947*26000)/0.829426</f>
        <v>57932353.21776747</v>
      </c>
      <c r="I1947" s="5">
        <f>+G1947-H1947</f>
        <v>3567646.7822325304</v>
      </c>
      <c r="J1947" s="5">
        <v>3000000</v>
      </c>
      <c r="K1947" s="5">
        <v>5850000</v>
      </c>
      <c r="L1947" s="5">
        <v>6150000</v>
      </c>
      <c r="M1947" s="7">
        <v>1848.1</v>
      </c>
      <c r="N1947" s="5">
        <v>59000000</v>
      </c>
      <c r="O1947" s="5">
        <v>62000000</v>
      </c>
      <c r="P1947" s="3">
        <v>0.97916666666666663</v>
      </c>
    </row>
    <row r="1948" spans="1:16" x14ac:dyDescent="0.25">
      <c r="A1948" s="2">
        <v>44967</v>
      </c>
      <c r="B1948" s="2">
        <v>45201</v>
      </c>
      <c r="C1948" t="str">
        <f>+"Tuáº§n "&amp;WEEKNUM(B1948)</f>
        <v>Tuáº§n 40</v>
      </c>
      <c r="D1948" t="s">
        <v>16</v>
      </c>
      <c r="E1948" t="s">
        <v>17</v>
      </c>
      <c r="F1948" s="5">
        <v>57900000</v>
      </c>
      <c r="G1948" s="5">
        <v>60900000</v>
      </c>
      <c r="H1948" s="5">
        <f>+(M1948*26000)/0.829426</f>
        <v>57364972.884862542</v>
      </c>
      <c r="I1948" s="5">
        <f>+G1948-H1948</f>
        <v>3535027.1151374578</v>
      </c>
      <c r="J1948" s="5">
        <v>3000000</v>
      </c>
      <c r="K1948" s="5">
        <v>5790000</v>
      </c>
      <c r="L1948" s="5">
        <v>6090000</v>
      </c>
      <c r="M1948" s="7">
        <v>1830</v>
      </c>
      <c r="N1948" s="5">
        <v>58400000</v>
      </c>
      <c r="O1948" s="5">
        <v>61400000</v>
      </c>
      <c r="P1948" s="3">
        <v>0.97916666666666663</v>
      </c>
    </row>
    <row r="1949" spans="1:16" x14ac:dyDescent="0.25">
      <c r="A1949" s="2">
        <v>44995</v>
      </c>
      <c r="B1949" s="2">
        <v>45202</v>
      </c>
      <c r="C1949" t="str">
        <f>+"Tuáº§n "&amp;WEEKNUM(B1949)</f>
        <v>Tuáº§n 40</v>
      </c>
      <c r="D1949" t="s">
        <v>18</v>
      </c>
      <c r="E1949" t="s">
        <v>17</v>
      </c>
      <c r="F1949" s="5">
        <v>57700000</v>
      </c>
      <c r="G1949" s="5">
        <v>60700000</v>
      </c>
      <c r="H1949" s="5">
        <f>+(M1949*26000)/0.829426</f>
        <v>57195699.194382623</v>
      </c>
      <c r="I1949" s="5">
        <f>+G1949-H1949</f>
        <v>3504300.8056173772</v>
      </c>
      <c r="J1949" s="5">
        <v>3000000</v>
      </c>
      <c r="K1949" s="5">
        <v>5770000</v>
      </c>
      <c r="L1949" s="5">
        <v>6070000</v>
      </c>
      <c r="M1949" s="7">
        <v>1824.6</v>
      </c>
      <c r="N1949" s="5">
        <v>58200000</v>
      </c>
      <c r="O1949" s="5">
        <v>61200000</v>
      </c>
      <c r="P1949" s="3">
        <v>0.97916666666666663</v>
      </c>
    </row>
    <row r="1950" spans="1:16" x14ac:dyDescent="0.25">
      <c r="A1950" s="2">
        <v>45026</v>
      </c>
      <c r="B1950" s="2">
        <v>45203</v>
      </c>
      <c r="C1950" t="str">
        <f>+"Tuáº§n "&amp;WEEKNUM(B1950)</f>
        <v>Tuáº§n 40</v>
      </c>
      <c r="D1950" t="s">
        <v>19</v>
      </c>
      <c r="E1950" t="s">
        <v>17</v>
      </c>
      <c r="F1950" s="5">
        <v>57500000</v>
      </c>
      <c r="G1950" s="5">
        <v>60500000</v>
      </c>
      <c r="H1950" s="5">
        <f>+(M1950*26000)/0.829426</f>
        <v>57004482.618099749</v>
      </c>
      <c r="I1950" s="5">
        <f>+G1950-H1950</f>
        <v>3495517.3819002509</v>
      </c>
      <c r="J1950" s="5">
        <v>3000000</v>
      </c>
      <c r="K1950" s="5">
        <v>5750000</v>
      </c>
      <c r="L1950" s="5">
        <v>6050000</v>
      </c>
      <c r="M1950" s="7">
        <v>1818.5</v>
      </c>
      <c r="N1950" s="5">
        <v>58000000</v>
      </c>
      <c r="O1950" s="5">
        <v>61000000</v>
      </c>
      <c r="P1950" s="3">
        <v>0.97916666666666663</v>
      </c>
    </row>
    <row r="1951" spans="1:16" x14ac:dyDescent="0.25">
      <c r="A1951" s="2">
        <v>45056</v>
      </c>
      <c r="B1951" s="2">
        <v>45204</v>
      </c>
      <c r="C1951" t="str">
        <f>+"Tuáº§n "&amp;WEEKNUM(B1951)</f>
        <v>Tuáº§n 40</v>
      </c>
      <c r="D1951" t="s">
        <v>20</v>
      </c>
      <c r="E1951" t="s">
        <v>17</v>
      </c>
      <c r="F1951" s="5">
        <v>57400000</v>
      </c>
      <c r="G1951" s="5">
        <v>60400000</v>
      </c>
      <c r="H1951" s="5">
        <f>+(M1951*26000)/0.829426</f>
        <v>56944923.356634587</v>
      </c>
      <c r="I1951" s="5">
        <f>+G1951-H1951</f>
        <v>3455076.643365413</v>
      </c>
      <c r="J1951" s="5">
        <v>3000000</v>
      </c>
      <c r="K1951" s="5">
        <v>5740000</v>
      </c>
      <c r="L1951" s="5">
        <v>6040000</v>
      </c>
      <c r="M1951" s="7">
        <v>1816.6</v>
      </c>
      <c r="N1951" s="5">
        <v>57900000</v>
      </c>
      <c r="O1951" s="5">
        <v>60900000</v>
      </c>
      <c r="P1951" s="3">
        <v>0.97916666666666663</v>
      </c>
    </row>
    <row r="1952" spans="1:16" x14ac:dyDescent="0.25">
      <c r="A1952" s="2">
        <v>45087</v>
      </c>
      <c r="B1952" s="2">
        <v>45205</v>
      </c>
      <c r="C1952" t="str">
        <f>+"Tuáº§n "&amp;WEEKNUM(B1952)</f>
        <v>Tuáº§n 40</v>
      </c>
      <c r="D1952" t="s">
        <v>21</v>
      </c>
      <c r="E1952" t="s">
        <v>17</v>
      </c>
      <c r="F1952" s="5">
        <v>57900000</v>
      </c>
      <c r="G1952" s="5">
        <v>60900000</v>
      </c>
      <c r="H1952" s="5">
        <f>+(M1952*26000)/0.829426</f>
        <v>57371242.280806243</v>
      </c>
      <c r="I1952" s="5">
        <f>+G1952-H1952</f>
        <v>3528757.7191937566</v>
      </c>
      <c r="J1952" s="5">
        <v>3000000</v>
      </c>
      <c r="K1952" s="5">
        <v>5790000</v>
      </c>
      <c r="L1952" s="5">
        <v>6090000</v>
      </c>
      <c r="M1952" s="7">
        <v>1830.2</v>
      </c>
      <c r="N1952" s="5">
        <v>58400000</v>
      </c>
      <c r="O1952" s="5">
        <v>61400000</v>
      </c>
      <c r="P1952" s="3">
        <v>0.97916666666666663</v>
      </c>
    </row>
    <row r="1953" spans="1:16" x14ac:dyDescent="0.25">
      <c r="A1953" s="2">
        <v>45179</v>
      </c>
      <c r="B1953" s="2">
        <v>45208</v>
      </c>
      <c r="C1953" t="str">
        <f>+"Tuáº§n "&amp;WEEKNUM(B1953)</f>
        <v>Tuáº§n 41</v>
      </c>
      <c r="D1953" t="s">
        <v>16</v>
      </c>
      <c r="E1953" t="s">
        <v>17</v>
      </c>
      <c r="F1953" s="5">
        <v>58500000</v>
      </c>
      <c r="G1953" s="5">
        <v>61500000</v>
      </c>
      <c r="H1953" s="5">
        <f>+(M1953*26000)/0.829426</f>
        <v>57976238.989373371</v>
      </c>
      <c r="I1953" s="5">
        <f>+G1953-H1953</f>
        <v>3523761.010626629</v>
      </c>
      <c r="J1953" s="5">
        <v>3000000</v>
      </c>
      <c r="K1953" s="5">
        <v>5850000</v>
      </c>
      <c r="L1953" s="5">
        <v>6150000</v>
      </c>
      <c r="M1953" s="7">
        <v>1849.5</v>
      </c>
      <c r="N1953" s="5">
        <v>59000000</v>
      </c>
      <c r="O1953" s="5">
        <v>62000000</v>
      </c>
      <c r="P1953" s="3">
        <v>0.97916666666666663</v>
      </c>
    </row>
    <row r="1954" spans="1:16" x14ac:dyDescent="0.25">
      <c r="A1954" s="2">
        <v>45209</v>
      </c>
      <c r="B1954" s="2">
        <v>45209</v>
      </c>
      <c r="C1954" t="str">
        <f>+"Tuáº§n "&amp;WEEKNUM(B1954)</f>
        <v>Tuáº§n 41</v>
      </c>
      <c r="D1954" t="s">
        <v>18</v>
      </c>
      <c r="E1954" t="s">
        <v>17</v>
      </c>
      <c r="F1954" s="5">
        <v>58900000</v>
      </c>
      <c r="G1954" s="5">
        <v>61900000</v>
      </c>
      <c r="H1954" s="5">
        <f>+(M1954*26000)/0.829426</f>
        <v>58336729.256136172</v>
      </c>
      <c r="I1954" s="5">
        <f>+G1954-H1954</f>
        <v>3563270.7438638285</v>
      </c>
      <c r="J1954" s="5">
        <v>3000000</v>
      </c>
      <c r="K1954" s="5">
        <v>5890000</v>
      </c>
      <c r="L1954" s="5">
        <v>6190000</v>
      </c>
      <c r="M1954" s="7">
        <v>1861</v>
      </c>
      <c r="N1954" s="5">
        <v>59400000</v>
      </c>
      <c r="O1954" s="5">
        <v>62400000</v>
      </c>
      <c r="P1954" s="3">
        <v>0.97916666666666663</v>
      </c>
    </row>
    <row r="1955" spans="1:16" x14ac:dyDescent="0.25">
      <c r="A1955" s="2">
        <v>45240</v>
      </c>
      <c r="B1955" s="2">
        <v>45210</v>
      </c>
      <c r="C1955" t="str">
        <f>+"Tuáº§n "&amp;WEEKNUM(B1955)</f>
        <v>Tuáº§n 41</v>
      </c>
      <c r="D1955" t="s">
        <v>19</v>
      </c>
      <c r="E1955" t="s">
        <v>17</v>
      </c>
      <c r="F1955" s="5">
        <v>59300000</v>
      </c>
      <c r="G1955" s="5">
        <v>62300000</v>
      </c>
      <c r="H1955" s="5">
        <f>+(M1955*26000)/0.829426</f>
        <v>58706623.616814516</v>
      </c>
      <c r="I1955" s="5">
        <f>+G1955-H1955</f>
        <v>3593376.3831854835</v>
      </c>
      <c r="J1955" s="5">
        <v>3000000</v>
      </c>
      <c r="K1955" s="5">
        <v>5930000</v>
      </c>
      <c r="L1955" s="5">
        <v>6230000</v>
      </c>
      <c r="M1955" s="7">
        <v>1872.8</v>
      </c>
      <c r="N1955" s="5">
        <v>59800000</v>
      </c>
      <c r="O1955" s="5">
        <v>62800000</v>
      </c>
      <c r="P1955" s="3">
        <v>0.97916666666666663</v>
      </c>
    </row>
    <row r="1956" spans="1:16" x14ac:dyDescent="0.25">
      <c r="A1956" s="2">
        <v>45270</v>
      </c>
      <c r="B1956" s="2">
        <v>45211</v>
      </c>
      <c r="C1956" t="str">
        <f>+"Tuáº§n "&amp;WEEKNUM(B1956)</f>
        <v>Tuáº§n 41</v>
      </c>
      <c r="D1956" t="s">
        <v>20</v>
      </c>
      <c r="E1956" t="s">
        <v>17</v>
      </c>
      <c r="F1956" s="5">
        <v>59200000</v>
      </c>
      <c r="G1956" s="5">
        <v>62200000</v>
      </c>
      <c r="H1956" s="5">
        <f>+(M1956*26000)/0.829426</f>
        <v>58596909.187799759</v>
      </c>
      <c r="I1956" s="5">
        <f>+G1956-H1956</f>
        <v>3603090.8122002408</v>
      </c>
      <c r="J1956" s="5">
        <v>3000000</v>
      </c>
      <c r="K1956" s="5">
        <v>5920000</v>
      </c>
      <c r="L1956" s="5">
        <v>6220000</v>
      </c>
      <c r="M1956" s="7">
        <v>1869.3</v>
      </c>
      <c r="N1956" s="5">
        <v>59700000</v>
      </c>
      <c r="O1956" s="5">
        <v>62700000</v>
      </c>
      <c r="P1956" s="3">
        <v>0.97916666666666663</v>
      </c>
    </row>
    <row r="1957" spans="1:16" x14ac:dyDescent="0.25">
      <c r="A1957" t="s">
        <v>1202</v>
      </c>
      <c r="B1957" s="2">
        <v>45212</v>
      </c>
      <c r="C1957" t="str">
        <f>+"Tuáº§n "&amp;WEEKNUM(B1957)</f>
        <v>Tuáº§n 41</v>
      </c>
      <c r="D1957" t="s">
        <v>21</v>
      </c>
      <c r="E1957" t="s">
        <v>17</v>
      </c>
      <c r="F1957" s="5">
        <v>61100000</v>
      </c>
      <c r="G1957" s="5">
        <v>64100000</v>
      </c>
      <c r="H1957" s="5">
        <f>+(M1957*26000)/0.829426</f>
        <v>60418168.709444843</v>
      </c>
      <c r="I1957" s="5">
        <f>+G1957-H1957</f>
        <v>3681831.2905551568</v>
      </c>
      <c r="J1957" s="5">
        <v>3000000</v>
      </c>
      <c r="K1957" s="5">
        <v>6110000</v>
      </c>
      <c r="L1957" s="5">
        <v>6410000</v>
      </c>
      <c r="M1957" s="7">
        <v>1927.4</v>
      </c>
      <c r="N1957" s="5">
        <v>61600000</v>
      </c>
      <c r="O1957" s="5">
        <v>64600000</v>
      </c>
      <c r="P1957" s="3">
        <v>0.97916666666666663</v>
      </c>
    </row>
    <row r="1958" spans="1:16" x14ac:dyDescent="0.25">
      <c r="A1958" t="s">
        <v>1203</v>
      </c>
      <c r="B1958" s="2">
        <v>45215</v>
      </c>
      <c r="C1958" t="str">
        <f>+"Tuáº§n "&amp;WEEKNUM(B1958)</f>
        <v>Tuáº§n 42</v>
      </c>
      <c r="D1958" t="s">
        <v>16</v>
      </c>
      <c r="E1958" t="s">
        <v>17</v>
      </c>
      <c r="F1958" s="5">
        <v>60900000</v>
      </c>
      <c r="G1958" s="5">
        <v>63900000</v>
      </c>
      <c r="H1958" s="5">
        <f>+(M1958*26000)/0.829426</f>
        <v>60220682.737218268</v>
      </c>
      <c r="I1958" s="5">
        <f>+G1958-H1958</f>
        <v>3679317.2627817318</v>
      </c>
      <c r="J1958" s="5">
        <v>3000000</v>
      </c>
      <c r="K1958" s="5">
        <v>6090000</v>
      </c>
      <c r="L1958" s="5">
        <v>6390000</v>
      </c>
      <c r="M1958" s="7">
        <v>1921.1</v>
      </c>
      <c r="N1958" s="5">
        <v>61400000</v>
      </c>
      <c r="O1958" s="5">
        <v>64400000</v>
      </c>
      <c r="P1958" s="3">
        <v>0.97916666666666663</v>
      </c>
    </row>
    <row r="1959" spans="1:16" x14ac:dyDescent="0.25">
      <c r="A1959" t="s">
        <v>1204</v>
      </c>
      <c r="B1959" s="2">
        <v>45216</v>
      </c>
      <c r="C1959" t="str">
        <f>+"Tuáº§n "&amp;WEEKNUM(B1959)</f>
        <v>Tuáº§n 42</v>
      </c>
      <c r="D1959" t="s">
        <v>18</v>
      </c>
      <c r="E1959" t="s">
        <v>17</v>
      </c>
      <c r="F1959" s="5">
        <v>61000000</v>
      </c>
      <c r="G1959" s="5">
        <v>64000000</v>
      </c>
      <c r="H1959" s="5">
        <f>+(M1959*26000)/0.829426</f>
        <v>60270837.904767878</v>
      </c>
      <c r="I1959" s="5">
        <f>+G1959-H1959</f>
        <v>3729162.0952321216</v>
      </c>
      <c r="J1959" s="5">
        <v>3000000</v>
      </c>
      <c r="K1959" s="5">
        <v>6100000</v>
      </c>
      <c r="L1959" s="5">
        <v>6400000</v>
      </c>
      <c r="M1959" s="7">
        <v>1922.7</v>
      </c>
      <c r="N1959" s="5">
        <v>61500000</v>
      </c>
      <c r="O1959" s="5">
        <v>64500000</v>
      </c>
      <c r="P1959" s="3">
        <v>0.97916666666666663</v>
      </c>
    </row>
    <row r="1960" spans="1:16" x14ac:dyDescent="0.25">
      <c r="A1960" t="s">
        <v>1205</v>
      </c>
      <c r="B1960" s="2">
        <v>45217</v>
      </c>
      <c r="C1960" t="str">
        <f>+"Tuáº§n "&amp;WEEKNUM(B1960)</f>
        <v>Tuáº§n 42</v>
      </c>
      <c r="D1960" t="s">
        <v>19</v>
      </c>
      <c r="E1960" t="s">
        <v>17</v>
      </c>
      <c r="F1960" s="5">
        <v>62000000</v>
      </c>
      <c r="G1960" s="5">
        <v>65000000</v>
      </c>
      <c r="H1960" s="5">
        <f>+(M1960*26000)/0.829426</f>
        <v>61292749.44359111</v>
      </c>
      <c r="I1960" s="5">
        <f>+G1960-H1960</f>
        <v>3707250.5564088896</v>
      </c>
      <c r="J1960" s="5">
        <v>3000000</v>
      </c>
      <c r="K1960" s="5">
        <v>6200000</v>
      </c>
      <c r="L1960" s="5">
        <v>6500000</v>
      </c>
      <c r="M1960" s="7">
        <v>1955.3</v>
      </c>
      <c r="N1960" s="5">
        <v>62500000</v>
      </c>
      <c r="O1960" s="5">
        <v>65500000</v>
      </c>
      <c r="P1960" s="3">
        <v>0.97916666666666663</v>
      </c>
    </row>
    <row r="1961" spans="1:16" x14ac:dyDescent="0.25">
      <c r="A1961" t="s">
        <v>1206</v>
      </c>
      <c r="B1961" s="2">
        <v>45218</v>
      </c>
      <c r="C1961" t="str">
        <f>+"Tuáº§n "&amp;WEEKNUM(B1961)</f>
        <v>Tuáº§n 42</v>
      </c>
      <c r="D1961" t="s">
        <v>20</v>
      </c>
      <c r="E1961" t="s">
        <v>17</v>
      </c>
      <c r="F1961" s="5">
        <v>62500000</v>
      </c>
      <c r="G1961" s="5">
        <v>65500000</v>
      </c>
      <c r="H1961" s="5">
        <f>+(M1961*26000)/0.829426</f>
        <v>61703394.877903514</v>
      </c>
      <c r="I1961" s="5">
        <f>+G1961-H1961</f>
        <v>3796605.1220964864</v>
      </c>
      <c r="J1961" s="5">
        <v>3000000</v>
      </c>
      <c r="K1961" s="5">
        <v>6250000</v>
      </c>
      <c r="L1961" s="5">
        <v>6550000</v>
      </c>
      <c r="M1961" s="7">
        <v>1968.4</v>
      </c>
      <c r="N1961" s="5">
        <v>63000000</v>
      </c>
      <c r="O1961" s="5">
        <v>66000000</v>
      </c>
      <c r="P1961" s="3">
        <v>0.97916666666666663</v>
      </c>
    </row>
    <row r="1962" spans="1:16" x14ac:dyDescent="0.25">
      <c r="A1962" t="s">
        <v>1207</v>
      </c>
      <c r="B1962" s="2">
        <v>45219</v>
      </c>
      <c r="C1962" t="str">
        <f>+"Tuáº§n "&amp;WEEKNUM(B1962)</f>
        <v>Tuáº§n 42</v>
      </c>
      <c r="D1962" t="s">
        <v>21</v>
      </c>
      <c r="E1962" t="s">
        <v>17</v>
      </c>
      <c r="F1962" s="5">
        <v>62900000</v>
      </c>
      <c r="G1962" s="5">
        <v>65900000</v>
      </c>
      <c r="H1962" s="5">
        <f>+(M1962*26000)/0.829426</f>
        <v>62145387.291934423</v>
      </c>
      <c r="I1962" s="5">
        <f>+G1962-H1962</f>
        <v>3754612.7080655769</v>
      </c>
      <c r="J1962" s="5">
        <v>3000000</v>
      </c>
      <c r="K1962" s="5">
        <v>6290000</v>
      </c>
      <c r="L1962" s="5">
        <v>6590000</v>
      </c>
      <c r="M1962" s="7">
        <v>1982.5</v>
      </c>
      <c r="N1962" s="5">
        <v>63400000</v>
      </c>
      <c r="O1962" s="5">
        <v>66400000</v>
      </c>
      <c r="P1962" s="3">
        <v>0.97916666666666663</v>
      </c>
    </row>
    <row r="1963" spans="1:16" x14ac:dyDescent="0.25">
      <c r="A1963" t="s">
        <v>1208</v>
      </c>
      <c r="B1963" s="2">
        <v>45222</v>
      </c>
      <c r="C1963" t="str">
        <f>+"Tuáº§n "&amp;WEEKNUM(B1963)</f>
        <v>Tuáº§n 43</v>
      </c>
      <c r="D1963" t="s">
        <v>16</v>
      </c>
      <c r="E1963" t="s">
        <v>17</v>
      </c>
      <c r="F1963" s="5">
        <v>62700000</v>
      </c>
      <c r="G1963" s="5">
        <v>65700000</v>
      </c>
      <c r="H1963" s="5">
        <f>+(M1963*26000)/0.829426</f>
        <v>61951036.017679699</v>
      </c>
      <c r="I1963" s="5">
        <f>+G1963-H1963</f>
        <v>3748963.9823203012</v>
      </c>
      <c r="J1963" s="5">
        <v>3000000</v>
      </c>
      <c r="K1963" s="5">
        <v>6270000</v>
      </c>
      <c r="L1963" s="5">
        <v>6570000</v>
      </c>
      <c r="M1963" s="7">
        <v>1976.3</v>
      </c>
      <c r="N1963" s="5">
        <v>63200000</v>
      </c>
      <c r="O1963" s="5">
        <v>66200000</v>
      </c>
      <c r="P1963" s="3">
        <v>0.97916666666666663</v>
      </c>
    </row>
    <row r="1964" spans="1:16" x14ac:dyDescent="0.25">
      <c r="A1964" t="s">
        <v>1209</v>
      </c>
      <c r="B1964" s="2">
        <v>45223</v>
      </c>
      <c r="C1964" t="str">
        <f>+"Tuáº§n "&amp;WEEKNUM(B1964)</f>
        <v>Tuáº§n 43</v>
      </c>
      <c r="D1964" t="s">
        <v>18</v>
      </c>
      <c r="E1964" t="s">
        <v>17</v>
      </c>
      <c r="F1964" s="5">
        <v>62700000</v>
      </c>
      <c r="G1964" s="5">
        <v>65700000</v>
      </c>
      <c r="H1964" s="5">
        <f>+(M1964*26000)/0.829426</f>
        <v>61910284.944045641</v>
      </c>
      <c r="I1964" s="5">
        <f>+G1964-H1964</f>
        <v>3789715.0559543595</v>
      </c>
      <c r="J1964" s="5">
        <v>3000000</v>
      </c>
      <c r="K1964" s="5">
        <v>6270000</v>
      </c>
      <c r="L1964" s="5">
        <v>6570000</v>
      </c>
      <c r="M1964" s="7">
        <v>1975</v>
      </c>
      <c r="N1964" s="5">
        <v>63200000</v>
      </c>
      <c r="O1964" s="5">
        <v>66200000</v>
      </c>
      <c r="P1964" s="3">
        <v>0.97916666666666663</v>
      </c>
    </row>
    <row r="1965" spans="1:16" x14ac:dyDescent="0.25">
      <c r="A1965" t="s">
        <v>1210</v>
      </c>
      <c r="B1965" s="2">
        <v>45224</v>
      </c>
      <c r="C1965" t="str">
        <f>+"Tuáº§n "&amp;WEEKNUM(B1965)</f>
        <v>Tuáº§n 43</v>
      </c>
      <c r="D1965" t="s">
        <v>19</v>
      </c>
      <c r="E1965" t="s">
        <v>17</v>
      </c>
      <c r="F1965" s="5">
        <v>63000000</v>
      </c>
      <c r="G1965" s="5">
        <v>66000000</v>
      </c>
      <c r="H1965" s="5">
        <f>+(M1965*26000)/0.829426</f>
        <v>62195542.459484026</v>
      </c>
      <c r="I1965" s="5">
        <f>+G1965-H1965</f>
        <v>3804457.5405159742</v>
      </c>
      <c r="J1965" s="5">
        <v>3000000</v>
      </c>
      <c r="K1965" s="5">
        <v>6300000</v>
      </c>
      <c r="L1965" s="5">
        <v>6600000</v>
      </c>
      <c r="M1965" s="7">
        <v>1984.1</v>
      </c>
      <c r="N1965" s="5">
        <v>63500000</v>
      </c>
      <c r="O1965" s="5">
        <v>66500000</v>
      </c>
      <c r="P1965" s="3">
        <v>0.97916666666666663</v>
      </c>
    </row>
    <row r="1966" spans="1:16" x14ac:dyDescent="0.25">
      <c r="A1966" t="s">
        <v>1211</v>
      </c>
      <c r="B1966" s="2">
        <v>45225</v>
      </c>
      <c r="C1966" t="str">
        <f>+"Tuáº§n "&amp;WEEKNUM(B1966)</f>
        <v>Tuáº§n 43</v>
      </c>
      <c r="D1966" t="s">
        <v>20</v>
      </c>
      <c r="E1966" t="s">
        <v>17</v>
      </c>
      <c r="F1966" s="5">
        <v>63100000</v>
      </c>
      <c r="G1966" s="5">
        <v>66100000</v>
      </c>
      <c r="H1966" s="5">
        <f>+(M1966*26000)/0.829426</f>
        <v>62292718.096611388</v>
      </c>
      <c r="I1966" s="5">
        <f>+G1966-H1966</f>
        <v>3807281.903388612</v>
      </c>
      <c r="J1966" s="5">
        <v>3000000</v>
      </c>
      <c r="K1966" s="5">
        <v>6310000</v>
      </c>
      <c r="L1966" s="5">
        <v>6610000</v>
      </c>
      <c r="M1966" s="7">
        <v>1987.2</v>
      </c>
      <c r="N1966" s="5">
        <v>63600000</v>
      </c>
      <c r="O1966" s="5">
        <v>66600000</v>
      </c>
      <c r="P1966" s="3">
        <v>0.97916666666666663</v>
      </c>
    </row>
    <row r="1967" spans="1:16" x14ac:dyDescent="0.25">
      <c r="A1967" t="s">
        <v>1212</v>
      </c>
      <c r="B1967" s="2">
        <v>45226</v>
      </c>
      <c r="C1967" t="str">
        <f>+"Tuáº§n "&amp;WEEKNUM(B1967)</f>
        <v>Tuáº§n 43</v>
      </c>
      <c r="D1967" t="s">
        <v>21</v>
      </c>
      <c r="E1967" t="s">
        <v>17</v>
      </c>
      <c r="F1967" s="5">
        <v>63100000</v>
      </c>
      <c r="G1967" s="5">
        <v>66100000</v>
      </c>
      <c r="H1967" s="5">
        <f>+(M1967*26000)/0.829426</f>
        <v>62336603.868217297</v>
      </c>
      <c r="I1967" s="5">
        <f>+G1967-H1967</f>
        <v>3763396.1317827031</v>
      </c>
      <c r="J1967" s="5">
        <v>3000000</v>
      </c>
      <c r="K1967" s="5">
        <v>6310000</v>
      </c>
      <c r="L1967" s="5">
        <v>6610000</v>
      </c>
      <c r="M1967" s="7">
        <v>1988.6</v>
      </c>
      <c r="N1967" s="5">
        <v>63600000</v>
      </c>
      <c r="O1967" s="5">
        <v>66600000</v>
      </c>
      <c r="P1967" s="3">
        <v>0.97916666666666663</v>
      </c>
    </row>
    <row r="1968" spans="1:16" x14ac:dyDescent="0.25">
      <c r="A1968" t="s">
        <v>1213</v>
      </c>
      <c r="B1968" s="2">
        <v>45229</v>
      </c>
      <c r="C1968" t="str">
        <f>+"Tuáº§n "&amp;WEEKNUM(B1968)</f>
        <v>Tuáº§n 44</v>
      </c>
      <c r="D1968" t="s">
        <v>16</v>
      </c>
      <c r="E1968" t="s">
        <v>17</v>
      </c>
      <c r="F1968" s="5">
        <v>63400000</v>
      </c>
      <c r="G1968" s="5">
        <v>66400000</v>
      </c>
      <c r="H1968" s="5">
        <f>+(M1968*26000)/0.829426</f>
        <v>62574840.91407793</v>
      </c>
      <c r="I1968" s="5">
        <f>+G1968-H1968</f>
        <v>3825159.0859220698</v>
      </c>
      <c r="J1968" s="5">
        <v>3000000</v>
      </c>
      <c r="K1968" s="5">
        <v>6340000</v>
      </c>
      <c r="L1968" s="5">
        <v>6640000</v>
      </c>
      <c r="M1968" s="7">
        <v>1996.2</v>
      </c>
      <c r="N1968" s="5">
        <v>63900000</v>
      </c>
      <c r="O1968" s="5">
        <v>66900000</v>
      </c>
      <c r="P1968" s="3">
        <v>0.97916666666666663</v>
      </c>
    </row>
    <row r="1969" spans="1:16" x14ac:dyDescent="0.25">
      <c r="A1969" t="s">
        <v>1214</v>
      </c>
      <c r="B1969" s="2">
        <v>45230</v>
      </c>
      <c r="C1969" t="str">
        <f>+"Tuáº§n "&amp;WEEKNUM(B1969)</f>
        <v>Tuáº§n 44</v>
      </c>
      <c r="D1969" t="s">
        <v>18</v>
      </c>
      <c r="E1969" t="s">
        <v>17</v>
      </c>
      <c r="F1969" s="5">
        <v>63000000</v>
      </c>
      <c r="G1969" s="5">
        <v>66000000</v>
      </c>
      <c r="H1969" s="5">
        <f>+(M1969*26000)/0.829426</f>
        <v>62230024.137174383</v>
      </c>
      <c r="I1969" s="5">
        <f>+G1969-H1969</f>
        <v>3769975.8628256172</v>
      </c>
      <c r="J1969" s="5">
        <v>3000000</v>
      </c>
      <c r="K1969" s="5">
        <v>6300000</v>
      </c>
      <c r="L1969" s="5">
        <v>6600000</v>
      </c>
      <c r="M1969" s="7">
        <v>1985.2</v>
      </c>
      <c r="N1969" s="5">
        <v>63500000</v>
      </c>
      <c r="O1969" s="5">
        <v>66500000</v>
      </c>
      <c r="P1969" s="3">
        <v>0.97916666666666663</v>
      </c>
    </row>
    <row r="1970" spans="1:16" x14ac:dyDescent="0.25">
      <c r="A1970" s="2">
        <v>44937</v>
      </c>
      <c r="B1970" s="2">
        <v>45231</v>
      </c>
      <c r="C1970" t="str">
        <f>+"Tuáº§n "&amp;WEEKNUM(B1970)</f>
        <v>Tuáº§n 44</v>
      </c>
      <c r="D1970" t="s">
        <v>19</v>
      </c>
      <c r="E1970" t="s">
        <v>17</v>
      </c>
      <c r="F1970" s="5">
        <v>62800000</v>
      </c>
      <c r="G1970" s="5">
        <v>65800000</v>
      </c>
      <c r="H1970" s="5">
        <f>+(M1970*26000)/0.829426</f>
        <v>62029403.466975957</v>
      </c>
      <c r="I1970" s="5">
        <f>+G1970-H1970</f>
        <v>3770596.5330240428</v>
      </c>
      <c r="J1970" s="5">
        <v>3000000</v>
      </c>
      <c r="K1970" s="5">
        <v>6280000</v>
      </c>
      <c r="L1970" s="5">
        <v>6580000</v>
      </c>
      <c r="M1970" s="7">
        <v>1978.8</v>
      </c>
      <c r="N1970" s="5">
        <v>63300000</v>
      </c>
      <c r="O1970" s="5">
        <v>66300000</v>
      </c>
      <c r="P1970" s="3">
        <v>0.97916666666666663</v>
      </c>
    </row>
    <row r="1971" spans="1:16" x14ac:dyDescent="0.25">
      <c r="A1971" s="2">
        <v>44968</v>
      </c>
      <c r="B1971" s="2">
        <v>45232</v>
      </c>
      <c r="C1971" t="str">
        <f>+"Tuáº§n "&amp;WEEKNUM(B1971)</f>
        <v>Tuáº§n 44</v>
      </c>
      <c r="D1971" t="s">
        <v>20</v>
      </c>
      <c r="E1971" t="s">
        <v>17</v>
      </c>
      <c r="F1971" s="5">
        <v>63000000</v>
      </c>
      <c r="G1971" s="5">
        <v>66000000</v>
      </c>
      <c r="H1971" s="5">
        <f>+(M1971*26000)/0.829426</f>
        <v>62242562.929061785</v>
      </c>
      <c r="I1971" s="5">
        <f>+G1971-H1971</f>
        <v>3757437.0709382147</v>
      </c>
      <c r="J1971" s="5">
        <v>3000000</v>
      </c>
      <c r="K1971" s="5">
        <v>6300000</v>
      </c>
      <c r="L1971" s="5">
        <v>6600000</v>
      </c>
      <c r="M1971" s="7">
        <v>1985.6</v>
      </c>
      <c r="N1971" s="5">
        <v>63500000</v>
      </c>
      <c r="O1971" s="5">
        <v>66500000</v>
      </c>
      <c r="P1971" s="3">
        <v>0.97916666666666663</v>
      </c>
    </row>
    <row r="1972" spans="1:16" x14ac:dyDescent="0.25">
      <c r="A1972" s="2">
        <v>44996</v>
      </c>
      <c r="B1972" s="2">
        <v>45233</v>
      </c>
      <c r="C1972" t="str">
        <f>+"Tuáº§n "&amp;WEEKNUM(B1972)</f>
        <v>Tuáº§n 44</v>
      </c>
      <c r="D1972" t="s">
        <v>21</v>
      </c>
      <c r="E1972" t="s">
        <v>17</v>
      </c>
      <c r="F1972" s="5">
        <v>63200000</v>
      </c>
      <c r="G1972" s="5">
        <v>66200000</v>
      </c>
      <c r="H1972" s="5">
        <f>+(M1972*26000)/0.829426</f>
        <v>62427510.109400958</v>
      </c>
      <c r="I1972" s="5">
        <f>+G1972-H1972</f>
        <v>3772489.8905990422</v>
      </c>
      <c r="J1972" s="5">
        <v>3000000</v>
      </c>
      <c r="K1972" s="5">
        <v>6320000</v>
      </c>
      <c r="L1972" s="5">
        <v>6620000</v>
      </c>
      <c r="M1972" s="7">
        <v>1991.5</v>
      </c>
      <c r="N1972" s="5">
        <v>63700000</v>
      </c>
      <c r="O1972" s="5">
        <v>66700000</v>
      </c>
      <c r="P1972" s="3">
        <v>0.97916666666666663</v>
      </c>
    </row>
    <row r="1973" spans="1:16" x14ac:dyDescent="0.25">
      <c r="A1973" s="2">
        <v>45088</v>
      </c>
      <c r="B1973" s="2">
        <v>45236</v>
      </c>
      <c r="C1973" t="str">
        <f>+"Tuáº§n "&amp;WEEKNUM(B1973)</f>
        <v>Tuáº§n 45</v>
      </c>
      <c r="D1973" t="s">
        <v>16</v>
      </c>
      <c r="E1973" t="s">
        <v>17</v>
      </c>
      <c r="F1973" s="5">
        <v>62900000</v>
      </c>
      <c r="G1973" s="5">
        <v>65900000</v>
      </c>
      <c r="H1973" s="5">
        <f>+(M1973*26000)/0.829426</f>
        <v>62117175.010187767</v>
      </c>
      <c r="I1973" s="5">
        <f>+G1973-H1973</f>
        <v>3782824.9898122326</v>
      </c>
      <c r="J1973" s="5">
        <v>3000000</v>
      </c>
      <c r="K1973" s="5">
        <v>6290000</v>
      </c>
      <c r="L1973" s="5">
        <v>6590000</v>
      </c>
      <c r="M1973" s="7">
        <v>1981.6</v>
      </c>
      <c r="N1973" s="5">
        <v>63400000</v>
      </c>
      <c r="O1973" s="5">
        <v>66400000</v>
      </c>
      <c r="P1973" s="3">
        <v>0.97916666666666663</v>
      </c>
    </row>
    <row r="1974" spans="1:16" x14ac:dyDescent="0.25">
      <c r="A1974" s="2">
        <v>45118</v>
      </c>
      <c r="B1974" s="2">
        <v>45237</v>
      </c>
      <c r="C1974" t="str">
        <f>+"Tuáº§n "&amp;WEEKNUM(B1974)</f>
        <v>Tuáº§n 45</v>
      </c>
      <c r="D1974" t="s">
        <v>18</v>
      </c>
      <c r="E1974" t="s">
        <v>17</v>
      </c>
      <c r="F1974" s="5">
        <v>62400000</v>
      </c>
      <c r="G1974" s="5">
        <v>65400000</v>
      </c>
      <c r="H1974" s="5">
        <f>+(M1974*26000)/0.829426</f>
        <v>61653239.710353911</v>
      </c>
      <c r="I1974" s="5">
        <f>+G1974-H1974</f>
        <v>3746760.2896460891</v>
      </c>
      <c r="J1974" s="5">
        <v>3000000</v>
      </c>
      <c r="K1974" s="5">
        <v>6240000</v>
      </c>
      <c r="L1974" s="5">
        <v>6540000</v>
      </c>
      <c r="M1974" s="7">
        <v>1966.8</v>
      </c>
      <c r="N1974" s="5">
        <v>62900000</v>
      </c>
      <c r="O1974" s="5">
        <v>65900000</v>
      </c>
      <c r="P1974" s="3">
        <v>0.97916666666666663</v>
      </c>
    </row>
    <row r="1975" spans="1:16" x14ac:dyDescent="0.25">
      <c r="A1975" s="2">
        <v>45149</v>
      </c>
      <c r="B1975" s="2">
        <v>45238</v>
      </c>
      <c r="C1975" t="str">
        <f>+"Tuáº§n "&amp;WEEKNUM(B1975)</f>
        <v>Tuáº§n 45</v>
      </c>
      <c r="D1975" t="s">
        <v>19</v>
      </c>
      <c r="E1975" t="s">
        <v>17</v>
      </c>
      <c r="F1975" s="5">
        <v>61900000</v>
      </c>
      <c r="G1975" s="5">
        <v>64900000</v>
      </c>
      <c r="H1975" s="5">
        <f>+(M1975*26000)/0.829426</f>
        <v>61173630.920660794</v>
      </c>
      <c r="I1975" s="5">
        <f>+G1975-H1975</f>
        <v>3726369.0793392062</v>
      </c>
      <c r="J1975" s="5">
        <v>3000000</v>
      </c>
      <c r="K1975" s="5">
        <v>6190000</v>
      </c>
      <c r="L1975" s="5">
        <v>6490000</v>
      </c>
      <c r="M1975" s="7">
        <v>1951.5</v>
      </c>
      <c r="N1975" s="5">
        <v>62400000</v>
      </c>
      <c r="O1975" s="5">
        <v>65400000</v>
      </c>
      <c r="P1975" s="3">
        <v>0.97916666666666663</v>
      </c>
    </row>
    <row r="1976" spans="1:16" x14ac:dyDescent="0.25">
      <c r="A1976" s="2">
        <v>45180</v>
      </c>
      <c r="B1976" s="2">
        <v>45239</v>
      </c>
      <c r="C1976" t="str">
        <f>+"Tuáº§n "&amp;WEEKNUM(B1976)</f>
        <v>Tuáº§n 45</v>
      </c>
      <c r="D1976" t="s">
        <v>20</v>
      </c>
      <c r="E1976" t="s">
        <v>17</v>
      </c>
      <c r="F1976" s="5">
        <v>62300000</v>
      </c>
      <c r="G1976" s="5">
        <v>65300000</v>
      </c>
      <c r="H1976" s="5">
        <f>+(M1976*26000)/0.829426</f>
        <v>61571737.563085794</v>
      </c>
      <c r="I1976" s="5">
        <f>+G1976-H1976</f>
        <v>3728262.4369142056</v>
      </c>
      <c r="J1976" s="5">
        <v>3000000</v>
      </c>
      <c r="K1976" s="5">
        <v>6230000</v>
      </c>
      <c r="L1976" s="5">
        <v>6530000</v>
      </c>
      <c r="M1976" s="7">
        <v>1964.2</v>
      </c>
      <c r="N1976" s="5">
        <v>62800000</v>
      </c>
      <c r="O1976" s="5">
        <v>65800000</v>
      </c>
      <c r="P1976" s="3">
        <v>0.97916666666666663</v>
      </c>
    </row>
    <row r="1977" spans="1:16" x14ac:dyDescent="0.25">
      <c r="A1977" s="2">
        <v>45210</v>
      </c>
      <c r="B1977" s="2">
        <v>45240</v>
      </c>
      <c r="C1977" t="str">
        <f>+"Tuáº§n "&amp;WEEKNUM(B1977)</f>
        <v>Tuáº§n 45</v>
      </c>
      <c r="D1977" t="s">
        <v>21</v>
      </c>
      <c r="E1977" t="s">
        <v>17</v>
      </c>
      <c r="F1977" s="5">
        <v>61300000</v>
      </c>
      <c r="G1977" s="5">
        <v>64300000</v>
      </c>
      <c r="H1977" s="5">
        <f>+(M1977*26000)/0.829426</f>
        <v>60581173.003981069</v>
      </c>
      <c r="I1977" s="5">
        <f>+G1977-H1977</f>
        <v>3718826.9960189313</v>
      </c>
      <c r="J1977" s="5">
        <v>3000000</v>
      </c>
      <c r="K1977" s="5">
        <v>6130000</v>
      </c>
      <c r="L1977" s="5">
        <v>6430000</v>
      </c>
      <c r="M1977" s="7">
        <v>1932.6</v>
      </c>
      <c r="N1977" s="5">
        <v>61800000</v>
      </c>
      <c r="O1977" s="5">
        <v>64800000</v>
      </c>
      <c r="P1977" s="3">
        <v>0.97916666666666663</v>
      </c>
    </row>
    <row r="1978" spans="1:16" x14ac:dyDescent="0.25">
      <c r="A1978" t="s">
        <v>1215</v>
      </c>
      <c r="B1978" s="2">
        <v>45243</v>
      </c>
      <c r="C1978" t="str">
        <f>+"Tuáº§n "&amp;WEEKNUM(B1978)</f>
        <v>Tuáº§n 46</v>
      </c>
      <c r="D1978" t="s">
        <v>16</v>
      </c>
      <c r="E1978" t="s">
        <v>17</v>
      </c>
      <c r="F1978" s="5">
        <v>61700000</v>
      </c>
      <c r="G1978" s="5">
        <v>64700000</v>
      </c>
      <c r="H1978" s="5">
        <f>+(M1978*26000)/0.829426</f>
        <v>60985549.042349771</v>
      </c>
      <c r="I1978" s="5">
        <f>+G1978-H1978</f>
        <v>3714450.9576502293</v>
      </c>
      <c r="J1978" s="5">
        <v>3000000</v>
      </c>
      <c r="K1978" s="5">
        <v>6170000</v>
      </c>
      <c r="L1978" s="5">
        <v>6470000</v>
      </c>
      <c r="M1978" s="7">
        <v>1945.5</v>
      </c>
      <c r="N1978" s="5">
        <v>62200000</v>
      </c>
      <c r="O1978" s="5">
        <v>65200000</v>
      </c>
      <c r="P1978" s="3">
        <v>0.97916666666666663</v>
      </c>
    </row>
    <row r="1979" spans="1:16" x14ac:dyDescent="0.25">
      <c r="A1979" t="s">
        <v>1216</v>
      </c>
      <c r="B1979" s="2">
        <v>45244</v>
      </c>
      <c r="C1979" t="str">
        <f>+"Tuáº§n "&amp;WEEKNUM(B1979)</f>
        <v>Tuáº§n 46</v>
      </c>
      <c r="D1979" t="s">
        <v>18</v>
      </c>
      <c r="E1979" t="s">
        <v>17</v>
      </c>
      <c r="F1979" s="5">
        <v>62300000</v>
      </c>
      <c r="G1979" s="5">
        <v>65300000</v>
      </c>
      <c r="H1979" s="5">
        <f>+(M1979*26000)/0.829426</f>
        <v>61496504.811761387</v>
      </c>
      <c r="I1979" s="5">
        <f>+G1979-H1979</f>
        <v>3803495.1882386133</v>
      </c>
      <c r="J1979" s="5">
        <v>3000000</v>
      </c>
      <c r="K1979" s="5">
        <v>6230000</v>
      </c>
      <c r="L1979" s="5">
        <v>6530000</v>
      </c>
      <c r="M1979" s="7">
        <v>1961.8</v>
      </c>
      <c r="N1979" s="5">
        <v>62800000</v>
      </c>
      <c r="O1979" s="5">
        <v>65800000</v>
      </c>
      <c r="P1979" s="3">
        <v>0.97916666666666663</v>
      </c>
    </row>
    <row r="1980" spans="1:16" x14ac:dyDescent="0.25">
      <c r="A1980" t="s">
        <v>1217</v>
      </c>
      <c r="B1980" s="2">
        <v>45245</v>
      </c>
      <c r="C1980" t="str">
        <f>+"Tuáº§n "&amp;WEEKNUM(B1980)</f>
        <v>Tuáº§n 46</v>
      </c>
      <c r="D1980" t="s">
        <v>19</v>
      </c>
      <c r="E1980" t="s">
        <v>17</v>
      </c>
      <c r="F1980" s="5">
        <v>62200000</v>
      </c>
      <c r="G1980" s="5">
        <v>65200000</v>
      </c>
      <c r="H1980" s="5">
        <f>+(M1980*26000)/0.829426</f>
        <v>61443214.946239933</v>
      </c>
      <c r="I1980" s="5">
        <f>+G1980-H1980</f>
        <v>3756785.0537600666</v>
      </c>
      <c r="J1980" s="5">
        <v>3000000</v>
      </c>
      <c r="K1980" s="5">
        <v>6220000</v>
      </c>
      <c r="L1980" s="5">
        <v>6520000</v>
      </c>
      <c r="M1980" s="7">
        <v>1960.1</v>
      </c>
      <c r="N1980" s="5">
        <v>62700000</v>
      </c>
      <c r="O1980" s="5">
        <v>65700000</v>
      </c>
      <c r="P1980" s="3">
        <v>0.97916666666666663</v>
      </c>
    </row>
    <row r="1981" spans="1:16" x14ac:dyDescent="0.25">
      <c r="A1981" t="s">
        <v>1218</v>
      </c>
      <c r="B1981" s="2">
        <v>45246</v>
      </c>
      <c r="C1981" t="str">
        <f>+"Tuáº§n "&amp;WEEKNUM(B1981)</f>
        <v>Tuáº§n 46</v>
      </c>
      <c r="D1981" t="s">
        <v>20</v>
      </c>
      <c r="E1981" t="s">
        <v>17</v>
      </c>
      <c r="F1981" s="5">
        <v>63000000</v>
      </c>
      <c r="G1981" s="5">
        <v>66000000</v>
      </c>
      <c r="H1981" s="5">
        <f>+(M1981*26000)/0.829426</f>
        <v>62189273.063540325</v>
      </c>
      <c r="I1981" s="5">
        <f>+G1981-H1981</f>
        <v>3810726.9364596754</v>
      </c>
      <c r="J1981" s="5">
        <v>3000000</v>
      </c>
      <c r="K1981" s="5">
        <v>6300000</v>
      </c>
      <c r="L1981" s="5">
        <v>6600000</v>
      </c>
      <c r="M1981" s="7">
        <v>1983.9</v>
      </c>
      <c r="N1981" s="5">
        <v>63500000</v>
      </c>
      <c r="O1981" s="5">
        <v>66500000</v>
      </c>
      <c r="P1981" s="3">
        <v>0.97916666666666663</v>
      </c>
    </row>
    <row r="1982" spans="1:16" x14ac:dyDescent="0.25">
      <c r="A1982" t="s">
        <v>1219</v>
      </c>
      <c r="B1982" s="2">
        <v>45247</v>
      </c>
      <c r="C1982" t="str">
        <f>+"Tuáº§n "&amp;WEEKNUM(B1982)</f>
        <v>Tuáº§n 46</v>
      </c>
      <c r="D1982" t="s">
        <v>21</v>
      </c>
      <c r="E1982" t="s">
        <v>17</v>
      </c>
      <c r="F1982" s="5">
        <v>62900000</v>
      </c>
      <c r="G1982" s="5">
        <v>65900000</v>
      </c>
      <c r="H1982" s="5">
        <f>+(M1982*26000)/0.829426</f>
        <v>62117175.010187767</v>
      </c>
      <c r="I1982" s="5">
        <f>+G1982-H1982</f>
        <v>3782824.9898122326</v>
      </c>
      <c r="J1982" s="5">
        <v>3000000</v>
      </c>
      <c r="K1982" s="5">
        <v>6290000</v>
      </c>
      <c r="L1982" s="5">
        <v>6590000</v>
      </c>
      <c r="M1982" s="7">
        <v>1981.6</v>
      </c>
      <c r="N1982" s="5">
        <v>63400000</v>
      </c>
      <c r="O1982" s="5">
        <v>66400000</v>
      </c>
      <c r="P1982" s="3">
        <v>0.97916666666666663</v>
      </c>
    </row>
    <row r="1983" spans="1:16" x14ac:dyDescent="0.25">
      <c r="A1983" t="s">
        <v>1220</v>
      </c>
      <c r="B1983" s="2">
        <v>45250</v>
      </c>
      <c r="C1983" t="str">
        <f>+"Tuáº§n "&amp;WEEKNUM(B1983)</f>
        <v>Tuáº§n 47</v>
      </c>
      <c r="D1983" t="s">
        <v>16</v>
      </c>
      <c r="E1983" t="s">
        <v>17</v>
      </c>
      <c r="F1983" s="5">
        <v>62800000</v>
      </c>
      <c r="G1983" s="5">
        <v>65800000</v>
      </c>
      <c r="H1983" s="5">
        <f>+(M1983*26000)/0.829426</f>
        <v>61994921.7892856</v>
      </c>
      <c r="I1983" s="5">
        <f>+G1983-H1983</f>
        <v>3805078.2107143998</v>
      </c>
      <c r="J1983" s="5">
        <v>3000000</v>
      </c>
      <c r="K1983" s="5">
        <v>6280000</v>
      </c>
      <c r="L1983" s="5">
        <v>6580000</v>
      </c>
      <c r="M1983" s="7">
        <v>1977.7</v>
      </c>
      <c r="N1983" s="5">
        <v>63300000</v>
      </c>
      <c r="O1983" s="5">
        <v>66300000</v>
      </c>
      <c r="P1983" s="3">
        <v>0.97916666666666663</v>
      </c>
    </row>
    <row r="1984" spans="1:16" x14ac:dyDescent="0.25">
      <c r="A1984" t="s">
        <v>1221</v>
      </c>
      <c r="B1984" s="2">
        <v>45251</v>
      </c>
      <c r="C1984" t="str">
        <f>+"Tuáº§n "&amp;WEEKNUM(B1984)</f>
        <v>Tuáº§n 47</v>
      </c>
      <c r="D1984" t="s">
        <v>18</v>
      </c>
      <c r="E1984" t="s">
        <v>17</v>
      </c>
      <c r="F1984" s="5">
        <v>63500000</v>
      </c>
      <c r="G1984" s="5">
        <v>66500000</v>
      </c>
      <c r="H1984" s="5">
        <f>+(M1984*26000)/0.829426</f>
        <v>62672016.551205292</v>
      </c>
      <c r="I1984" s="5">
        <f>+G1984-H1984</f>
        <v>3827983.4487947077</v>
      </c>
      <c r="J1984" s="5">
        <v>3000000</v>
      </c>
      <c r="K1984" s="5">
        <v>6350000</v>
      </c>
      <c r="L1984" s="5">
        <v>6650000</v>
      </c>
      <c r="M1984" s="7">
        <v>1999.3</v>
      </c>
      <c r="N1984" s="5">
        <v>64000000</v>
      </c>
      <c r="O1984" s="5">
        <v>67000000</v>
      </c>
      <c r="P1984" s="3">
        <v>0.97916666666666663</v>
      </c>
    </row>
    <row r="1985" spans="1:16" x14ac:dyDescent="0.25">
      <c r="A1985" t="s">
        <v>1222</v>
      </c>
      <c r="B1985" s="2">
        <v>45252</v>
      </c>
      <c r="C1985" t="str">
        <f>+"Tuáº§n "&amp;WEEKNUM(B1985)</f>
        <v>Tuáº§n 47</v>
      </c>
      <c r="D1985" t="s">
        <v>19</v>
      </c>
      <c r="E1985" t="s">
        <v>17</v>
      </c>
      <c r="F1985" s="5">
        <v>63200000</v>
      </c>
      <c r="G1985" s="5">
        <v>66200000</v>
      </c>
      <c r="H1985" s="5">
        <f>+(M1985*26000)/0.829426</f>
        <v>62424375.411429107</v>
      </c>
      <c r="I1985" s="5">
        <f>+G1985-H1985</f>
        <v>3775624.5885708928</v>
      </c>
      <c r="J1985" s="5">
        <v>3000000</v>
      </c>
      <c r="K1985" s="5">
        <v>6320000</v>
      </c>
      <c r="L1985" s="5">
        <v>6620000</v>
      </c>
      <c r="M1985" s="7">
        <v>1991.4</v>
      </c>
      <c r="N1985" s="5">
        <v>63700000</v>
      </c>
      <c r="O1985" s="5">
        <v>66700000</v>
      </c>
      <c r="P1985" s="3">
        <v>0.97916666666666663</v>
      </c>
    </row>
    <row r="1986" spans="1:16" x14ac:dyDescent="0.25">
      <c r="A1986" t="s">
        <v>1223</v>
      </c>
      <c r="B1986" s="2">
        <v>45254</v>
      </c>
      <c r="C1986" t="str">
        <f>+"Tuáº§n "&amp;WEEKNUM(B1986)</f>
        <v>Tuáº§n 47</v>
      </c>
      <c r="D1986" t="s">
        <v>21</v>
      </c>
      <c r="E1986" t="s">
        <v>17</v>
      </c>
      <c r="F1986" s="5">
        <v>63600000</v>
      </c>
      <c r="G1986" s="5">
        <v>66600000</v>
      </c>
      <c r="H1986" s="5">
        <f>+(M1986*26000)/0.829426</f>
        <v>62762922.792388953</v>
      </c>
      <c r="I1986" s="5">
        <f>+G1986-H1986</f>
        <v>3837077.2076110467</v>
      </c>
      <c r="J1986" s="5">
        <v>3000000</v>
      </c>
      <c r="K1986" s="5">
        <v>6360000</v>
      </c>
      <c r="L1986" s="5">
        <v>6660000</v>
      </c>
      <c r="M1986" s="7">
        <v>2002.2</v>
      </c>
      <c r="N1986" s="5">
        <v>64100000</v>
      </c>
      <c r="O1986" s="5">
        <v>67100000</v>
      </c>
      <c r="P1986" s="3">
        <v>0.97916666666666663</v>
      </c>
    </row>
    <row r="1987" spans="1:16" x14ac:dyDescent="0.25">
      <c r="A1987" t="s">
        <v>1224</v>
      </c>
      <c r="B1987" s="2">
        <v>45257</v>
      </c>
      <c r="C1987" t="str">
        <f>+"Tuáº§n "&amp;WEEKNUM(B1987)</f>
        <v>Tuáº§n 48</v>
      </c>
      <c r="D1987" t="s">
        <v>16</v>
      </c>
      <c r="E1987" t="s">
        <v>17</v>
      </c>
      <c r="F1987" s="5">
        <v>63900000</v>
      </c>
      <c r="G1987" s="5">
        <v>66900000</v>
      </c>
      <c r="H1987" s="5">
        <f>+(M1987*26000)/0.829426</f>
        <v>63063853.797686592</v>
      </c>
      <c r="I1987" s="5">
        <f>+G1987-H1987</f>
        <v>3836146.2023134083</v>
      </c>
      <c r="J1987" s="5">
        <v>3000000</v>
      </c>
      <c r="K1987" s="5">
        <v>6390000</v>
      </c>
      <c r="L1987" s="5">
        <v>6690000</v>
      </c>
      <c r="M1987" s="7">
        <v>2011.8</v>
      </c>
      <c r="N1987" s="5">
        <v>64400000</v>
      </c>
      <c r="O1987" s="5">
        <v>67400000</v>
      </c>
      <c r="P1987" s="3">
        <v>0.97916666666666663</v>
      </c>
    </row>
    <row r="1988" spans="1:16" x14ac:dyDescent="0.25">
      <c r="A1988" t="s">
        <v>1225</v>
      </c>
      <c r="B1988" s="2">
        <v>45258</v>
      </c>
      <c r="C1988" t="str">
        <f>+"Tuáº§n "&amp;WEEKNUM(B1988)</f>
        <v>Tuáº§n 48</v>
      </c>
      <c r="D1988" t="s">
        <v>18</v>
      </c>
      <c r="E1988" t="s">
        <v>17</v>
      </c>
      <c r="F1988" s="5">
        <v>64800000</v>
      </c>
      <c r="G1988" s="5">
        <v>67800000</v>
      </c>
      <c r="H1988" s="5">
        <f>+(M1988*26000)/0.829426</f>
        <v>63938434.531832859</v>
      </c>
      <c r="I1988" s="5">
        <f>+G1988-H1988</f>
        <v>3861565.4681671411</v>
      </c>
      <c r="J1988" s="5">
        <v>3000000</v>
      </c>
      <c r="K1988" s="5">
        <v>6480000</v>
      </c>
      <c r="L1988" s="5">
        <v>6780000</v>
      </c>
      <c r="M1988" s="7">
        <v>2039.7</v>
      </c>
      <c r="N1988" s="5">
        <v>65300000</v>
      </c>
      <c r="O1988" s="5">
        <v>68300000</v>
      </c>
      <c r="P1988" s="3">
        <v>0.97916666666666663</v>
      </c>
    </row>
    <row r="1989" spans="1:16" x14ac:dyDescent="0.25">
      <c r="A1989" t="s">
        <v>1226</v>
      </c>
      <c r="B1989" s="2">
        <v>45259</v>
      </c>
      <c r="C1989" t="str">
        <f>+"Tuáº§n "&amp;WEEKNUM(B1989)</f>
        <v>Tuáº§n 48</v>
      </c>
      <c r="D1989" t="s">
        <v>19</v>
      </c>
      <c r="E1989" t="s">
        <v>17</v>
      </c>
      <c r="F1989" s="5">
        <v>65100000</v>
      </c>
      <c r="G1989" s="5">
        <v>68100000</v>
      </c>
      <c r="H1989" s="5">
        <f>+(M1989*26000)/0.829426</f>
        <v>64170402.181749791</v>
      </c>
      <c r="I1989" s="5">
        <f>+G1989-H1989</f>
        <v>3929597.8182502091</v>
      </c>
      <c r="J1989" s="5">
        <v>3000000</v>
      </c>
      <c r="K1989" s="5">
        <v>6510000</v>
      </c>
      <c r="L1989" s="5">
        <v>6810000</v>
      </c>
      <c r="M1989" s="7">
        <v>2047.1</v>
      </c>
      <c r="N1989" s="5">
        <v>65600000</v>
      </c>
      <c r="O1989" s="5">
        <v>68600000</v>
      </c>
      <c r="P1989" s="3">
        <v>0.97916666666666663</v>
      </c>
    </row>
    <row r="1990" spans="1:16" x14ac:dyDescent="0.25">
      <c r="A1990" t="s">
        <v>1227</v>
      </c>
      <c r="B1990" s="2">
        <v>45260</v>
      </c>
      <c r="C1990" t="str">
        <f>+"Tuáº§n "&amp;WEEKNUM(B1990)</f>
        <v>Tuáº§n 48</v>
      </c>
      <c r="D1990" t="s">
        <v>20</v>
      </c>
      <c r="E1990" t="s">
        <v>17</v>
      </c>
      <c r="F1990" s="5">
        <v>64800000</v>
      </c>
      <c r="G1990" s="5">
        <v>67800000</v>
      </c>
      <c r="H1990" s="5">
        <f>+(M1990*26000)/0.829426</f>
        <v>63888279.364283249</v>
      </c>
      <c r="I1990" s="5">
        <f>+G1990-H1990</f>
        <v>3911720.6357167512</v>
      </c>
      <c r="J1990" s="5">
        <v>3000000</v>
      </c>
      <c r="K1990" s="5">
        <v>6480000</v>
      </c>
      <c r="L1990" s="5">
        <v>6780000</v>
      </c>
      <c r="M1990" s="7">
        <v>2038.1</v>
      </c>
      <c r="N1990" s="5">
        <v>65300000</v>
      </c>
      <c r="O1990" s="5">
        <v>68300000</v>
      </c>
      <c r="P1990" s="3">
        <v>0.97916666666666663</v>
      </c>
    </row>
    <row r="1991" spans="1:16" x14ac:dyDescent="0.25">
      <c r="A1991" s="2">
        <v>44938</v>
      </c>
      <c r="B1991" s="2">
        <v>45261</v>
      </c>
      <c r="C1991" t="str">
        <f>+"Tuáº§n "&amp;WEEKNUM(B1991)</f>
        <v>Tuáº§n 48</v>
      </c>
      <c r="D1991" t="s">
        <v>21</v>
      </c>
      <c r="E1991" t="s">
        <v>17</v>
      </c>
      <c r="F1991" s="5">
        <v>65900000</v>
      </c>
      <c r="G1991" s="5">
        <v>68900000</v>
      </c>
      <c r="H1991" s="5">
        <f>+(M1991*26000)/0.829426</f>
        <v>64919594.99702204</v>
      </c>
      <c r="I1991" s="5">
        <f>+G1991-H1991</f>
        <v>3980405.0029779598</v>
      </c>
      <c r="J1991" s="5">
        <v>3000000</v>
      </c>
      <c r="K1991" s="5">
        <v>6590000</v>
      </c>
      <c r="L1991" s="5">
        <v>6890000</v>
      </c>
      <c r="M1991" s="7">
        <v>2071</v>
      </c>
      <c r="N1991" s="5">
        <v>66400000</v>
      </c>
      <c r="O1991" s="5">
        <v>69400000</v>
      </c>
      <c r="P1991" s="3">
        <v>0.97916666666666663</v>
      </c>
    </row>
    <row r="1992" spans="1:16" x14ac:dyDescent="0.25">
      <c r="A1992" s="2">
        <v>45028</v>
      </c>
      <c r="B1992" s="2">
        <v>45264</v>
      </c>
      <c r="C1992" t="str">
        <f>+"Tuáº§n "&amp;WEEKNUM(B1992)</f>
        <v>Tuáº§n 49</v>
      </c>
      <c r="D1992" t="s">
        <v>16</v>
      </c>
      <c r="E1992" t="s">
        <v>17</v>
      </c>
      <c r="F1992" s="5">
        <v>64300000</v>
      </c>
      <c r="G1992" s="5">
        <v>67300000</v>
      </c>
      <c r="H1992" s="5">
        <f>+(M1992*26000)/0.829426</f>
        <v>63449421.648224197</v>
      </c>
      <c r="I1992" s="5">
        <f>+G1992-H1992</f>
        <v>3850578.3517758027</v>
      </c>
      <c r="J1992" s="5">
        <v>3000000</v>
      </c>
      <c r="K1992" s="5">
        <v>6430000</v>
      </c>
      <c r="L1992" s="5">
        <v>6730000</v>
      </c>
      <c r="M1992" s="7">
        <v>2024.1</v>
      </c>
      <c r="N1992" s="5">
        <v>64800000</v>
      </c>
      <c r="O1992" s="5">
        <v>67800000</v>
      </c>
      <c r="P1992" s="3">
        <v>0.97916666666666663</v>
      </c>
    </row>
    <row r="1993" spans="1:16" x14ac:dyDescent="0.25">
      <c r="A1993" s="2">
        <v>45058</v>
      </c>
      <c r="B1993" s="2">
        <v>45265</v>
      </c>
      <c r="C1993" t="str">
        <f>+"Tuáº§n "&amp;WEEKNUM(B1993)</f>
        <v>Tuáº§n 49</v>
      </c>
      <c r="D1993" t="s">
        <v>18</v>
      </c>
      <c r="E1993" t="s">
        <v>17</v>
      </c>
      <c r="F1993" s="5">
        <v>64100000</v>
      </c>
      <c r="G1993" s="5">
        <v>67100000</v>
      </c>
      <c r="H1993" s="5">
        <f>+(M1993*26000)/0.829426</f>
        <v>63273878.561800569</v>
      </c>
      <c r="I1993" s="5">
        <f>+G1993-H1993</f>
        <v>3826121.4381994307</v>
      </c>
      <c r="J1993" s="5">
        <v>3000000</v>
      </c>
      <c r="K1993" s="5">
        <v>6410000</v>
      </c>
      <c r="L1993" s="5">
        <v>6710000</v>
      </c>
      <c r="M1993" s="7">
        <v>2018.5</v>
      </c>
      <c r="N1993" s="5">
        <v>64600000</v>
      </c>
      <c r="O1993" s="5">
        <v>67600000</v>
      </c>
      <c r="P1993" s="3">
        <v>0.97916666666666663</v>
      </c>
    </row>
    <row r="1994" spans="1:16" x14ac:dyDescent="0.25">
      <c r="A1994" s="2">
        <v>45089</v>
      </c>
      <c r="B1994" s="2">
        <v>45266</v>
      </c>
      <c r="C1994" t="str">
        <f>+"Tuáº§n "&amp;WEEKNUM(B1994)</f>
        <v>Tuáº§n 49</v>
      </c>
      <c r="D1994" t="s">
        <v>19</v>
      </c>
      <c r="E1994" t="s">
        <v>17</v>
      </c>
      <c r="F1994" s="5">
        <v>64500000</v>
      </c>
      <c r="G1994" s="5">
        <v>67500000</v>
      </c>
      <c r="H1994" s="5">
        <f>+(M1994*26000)/0.829426</f>
        <v>63650042.318422623</v>
      </c>
      <c r="I1994" s="5">
        <f>+G1994-H1994</f>
        <v>3849957.681577377</v>
      </c>
      <c r="J1994" s="5">
        <v>3000000</v>
      </c>
      <c r="K1994" s="5">
        <v>6450000</v>
      </c>
      <c r="L1994" s="5">
        <v>6750000</v>
      </c>
      <c r="M1994" s="7">
        <v>2030.5</v>
      </c>
      <c r="N1994" s="5">
        <v>65000000</v>
      </c>
      <c r="O1994" s="5">
        <v>68000000</v>
      </c>
      <c r="P1994" s="3">
        <v>0.97916666666666663</v>
      </c>
    </row>
    <row r="1995" spans="1:16" x14ac:dyDescent="0.25">
      <c r="A1995" s="2">
        <v>45119</v>
      </c>
      <c r="B1995" s="2">
        <v>45267</v>
      </c>
      <c r="C1995" t="str">
        <f>+"Tuáº§n "&amp;WEEKNUM(B1995)</f>
        <v>Tuáº§n 49</v>
      </c>
      <c r="D1995" t="s">
        <v>20</v>
      </c>
      <c r="E1995" t="s">
        <v>17</v>
      </c>
      <c r="F1995" s="5">
        <v>64500000</v>
      </c>
      <c r="G1995" s="5">
        <v>67500000</v>
      </c>
      <c r="H1995" s="5">
        <f>+(M1995*26000)/0.829426</f>
        <v>63631234.130591519</v>
      </c>
      <c r="I1995" s="5">
        <f>+G1995-H1995</f>
        <v>3868765.8694084808</v>
      </c>
      <c r="J1995" s="5">
        <v>3000000</v>
      </c>
      <c r="K1995" s="5">
        <v>6450000</v>
      </c>
      <c r="L1995" s="5">
        <v>6750000</v>
      </c>
      <c r="M1995" s="7">
        <v>2029.9</v>
      </c>
      <c r="N1995" s="5">
        <v>65000000</v>
      </c>
      <c r="O1995" s="5">
        <v>68000000</v>
      </c>
      <c r="P1995" s="3">
        <v>0.97916666666666663</v>
      </c>
    </row>
    <row r="1996" spans="1:16" x14ac:dyDescent="0.25">
      <c r="A1996" s="2">
        <v>45150</v>
      </c>
      <c r="B1996" s="2">
        <v>45268</v>
      </c>
      <c r="C1996" t="str">
        <f>+"Tuáº§n "&amp;WEEKNUM(B1996)</f>
        <v>Tuáº§n 49</v>
      </c>
      <c r="D1996" t="s">
        <v>21</v>
      </c>
      <c r="E1996" t="s">
        <v>17</v>
      </c>
      <c r="F1996" s="5">
        <v>63500000</v>
      </c>
      <c r="G1996" s="5">
        <v>66500000</v>
      </c>
      <c r="H1996" s="5">
        <f>+(M1996*26000)/0.829426</f>
        <v>62640669.571486786</v>
      </c>
      <c r="I1996" s="5">
        <f>+G1996-H1996</f>
        <v>3859330.428513214</v>
      </c>
      <c r="J1996" s="5">
        <v>3000000</v>
      </c>
      <c r="K1996" s="5">
        <v>6350000</v>
      </c>
      <c r="L1996" s="5">
        <v>6650000</v>
      </c>
      <c r="M1996" s="7">
        <v>1998.3</v>
      </c>
      <c r="N1996" s="5">
        <v>64000000</v>
      </c>
      <c r="O1996" s="5">
        <v>67000000</v>
      </c>
      <c r="P1996" s="3">
        <v>0.97916666666666663</v>
      </c>
    </row>
    <row r="1997" spans="1:16" x14ac:dyDescent="0.25">
      <c r="A1997" s="2">
        <v>45242</v>
      </c>
      <c r="B1997" s="2">
        <v>45271</v>
      </c>
      <c r="C1997" t="str">
        <f>+"Tuáº§n "&amp;WEEKNUM(B1997)</f>
        <v>Tuáº§n 50</v>
      </c>
      <c r="D1997" t="s">
        <v>16</v>
      </c>
      <c r="E1997" t="s">
        <v>17</v>
      </c>
      <c r="F1997" s="5">
        <v>62800000</v>
      </c>
      <c r="G1997" s="5">
        <v>65800000</v>
      </c>
      <c r="H1997" s="5">
        <f>+(M1997*26000)/0.829426</f>
        <v>62004325.883201152</v>
      </c>
      <c r="I1997" s="5">
        <f>+G1997-H1997</f>
        <v>3795674.1167988479</v>
      </c>
      <c r="J1997" s="5">
        <v>3000000</v>
      </c>
      <c r="K1997" s="5">
        <v>6280000</v>
      </c>
      <c r="L1997" s="5">
        <v>6580000</v>
      </c>
      <c r="M1997" s="7">
        <v>1978</v>
      </c>
      <c r="N1997" s="5">
        <v>63300000</v>
      </c>
      <c r="O1997" s="5">
        <v>66300000</v>
      </c>
      <c r="P1997" s="3">
        <v>0.97916666666666663</v>
      </c>
    </row>
    <row r="1998" spans="1:16" x14ac:dyDescent="0.25">
      <c r="A1998" s="2">
        <v>45272</v>
      </c>
      <c r="B1998" s="2">
        <v>45272</v>
      </c>
      <c r="C1998" t="str">
        <f>+"Tuáº§n "&amp;WEEKNUM(B1998)</f>
        <v>Tuáº§n 50</v>
      </c>
      <c r="D1998" t="s">
        <v>18</v>
      </c>
      <c r="E1998" t="s">
        <v>17</v>
      </c>
      <c r="F1998" s="5">
        <v>62800000</v>
      </c>
      <c r="G1998" s="5">
        <v>65800000</v>
      </c>
      <c r="H1998" s="5">
        <f>+(M1998*26000)/0.829426</f>
        <v>61998056.487257451</v>
      </c>
      <c r="I1998" s="5">
        <f>+G1998-H1998</f>
        <v>3801943.5127425492</v>
      </c>
      <c r="J1998" s="5">
        <v>3000000</v>
      </c>
      <c r="K1998" s="5">
        <v>6280000</v>
      </c>
      <c r="L1998" s="5">
        <v>6580000</v>
      </c>
      <c r="M1998" s="7">
        <v>1977.8</v>
      </c>
      <c r="N1998" s="5">
        <v>63300000</v>
      </c>
      <c r="O1998" s="5">
        <v>66300000</v>
      </c>
      <c r="P1998" s="3">
        <v>0.97916666666666663</v>
      </c>
    </row>
    <row r="1999" spans="1:16" x14ac:dyDescent="0.25">
      <c r="A1999" t="s">
        <v>1228</v>
      </c>
      <c r="B1999" s="2">
        <v>45273</v>
      </c>
      <c r="C1999" t="str">
        <f>+"Tuáº§n "&amp;WEEKNUM(B1999)</f>
        <v>Tuáº§n 50</v>
      </c>
      <c r="D1999" t="s">
        <v>19</v>
      </c>
      <c r="E1999" t="s">
        <v>17</v>
      </c>
      <c r="F1999" s="5">
        <v>62900000</v>
      </c>
      <c r="G1999" s="5">
        <v>65900000</v>
      </c>
      <c r="H1999" s="5">
        <f>+(M1999*26000)/0.829426</f>
        <v>62139117.895990722</v>
      </c>
      <c r="I1999" s="5">
        <f>+G1999-H1999</f>
        <v>3760882.1040092781</v>
      </c>
      <c r="J1999" s="5">
        <v>3000000</v>
      </c>
      <c r="K1999" s="5">
        <v>6290000</v>
      </c>
      <c r="L1999" s="5">
        <v>6590000</v>
      </c>
      <c r="M1999" s="7">
        <v>1982.3</v>
      </c>
      <c r="N1999" s="5">
        <v>63400000</v>
      </c>
      <c r="O1999" s="5">
        <v>66400000</v>
      </c>
      <c r="P1999" s="3">
        <v>0.97916666666666663</v>
      </c>
    </row>
    <row r="2000" spans="1:16" x14ac:dyDescent="0.25">
      <c r="A2000" t="s">
        <v>1229</v>
      </c>
      <c r="B2000" s="2">
        <v>45274</v>
      </c>
      <c r="C2000" t="str">
        <f>+"Tuáº§n "&amp;WEEKNUM(B2000)</f>
        <v>Tuáº§n 50</v>
      </c>
      <c r="D2000" t="s">
        <v>20</v>
      </c>
      <c r="E2000" t="s">
        <v>17</v>
      </c>
      <c r="F2000" s="5">
        <v>64500000</v>
      </c>
      <c r="G2000" s="5">
        <v>67500000</v>
      </c>
      <c r="H2000" s="5">
        <f>+(M2000*26000)/0.829426</f>
        <v>63640638.224507071</v>
      </c>
      <c r="I2000" s="5">
        <f>+G2000-H2000</f>
        <v>3859361.7754929289</v>
      </c>
      <c r="J2000" s="5">
        <v>3000000</v>
      </c>
      <c r="K2000" s="5">
        <v>6450000</v>
      </c>
      <c r="L2000" s="5">
        <v>6750000</v>
      </c>
      <c r="M2000" s="7">
        <v>2030.2</v>
      </c>
      <c r="N2000" s="5">
        <v>65000000</v>
      </c>
      <c r="O2000" s="5">
        <v>68000000</v>
      </c>
      <c r="P2000" s="3">
        <v>0.97916666666666663</v>
      </c>
    </row>
    <row r="2001" spans="1:16" x14ac:dyDescent="0.25">
      <c r="A2001" t="s">
        <v>1230</v>
      </c>
      <c r="B2001" s="2">
        <v>45275</v>
      </c>
      <c r="C2001" t="str">
        <f>+"Tuáº§n "&amp;WEEKNUM(B2001)</f>
        <v>Tuáº§n 50</v>
      </c>
      <c r="D2001" t="s">
        <v>21</v>
      </c>
      <c r="E2001" t="s">
        <v>17</v>
      </c>
      <c r="F2001" s="5">
        <v>64200000</v>
      </c>
      <c r="G2001" s="5">
        <v>67200000</v>
      </c>
      <c r="H2001" s="5">
        <f>+(M2001*26000)/0.829426</f>
        <v>63355380.709068678</v>
      </c>
      <c r="I2001" s="5">
        <f>+G2001-H2001</f>
        <v>3844619.2909313217</v>
      </c>
      <c r="J2001" s="5">
        <v>3000000</v>
      </c>
      <c r="K2001" s="5">
        <v>6420000</v>
      </c>
      <c r="L2001" s="5">
        <v>6720000</v>
      </c>
      <c r="M2001" s="7">
        <v>2021.1</v>
      </c>
      <c r="N2001" s="5">
        <v>64700000</v>
      </c>
      <c r="O2001" s="5">
        <v>67700000</v>
      </c>
      <c r="P2001" s="3">
        <v>0.97916666666666663</v>
      </c>
    </row>
    <row r="2002" spans="1:16" x14ac:dyDescent="0.25">
      <c r="A2002" t="s">
        <v>1231</v>
      </c>
      <c r="B2002" s="2">
        <v>45278</v>
      </c>
      <c r="C2002" t="str">
        <f>+"Tuáº§n "&amp;WEEKNUM(B2002)</f>
        <v>Tuáº§n 51</v>
      </c>
      <c r="D2002" t="s">
        <v>16</v>
      </c>
      <c r="E2002" t="s">
        <v>17</v>
      </c>
      <c r="F2002" s="5">
        <v>64400000</v>
      </c>
      <c r="G2002" s="5">
        <v>67400000</v>
      </c>
      <c r="H2002" s="5">
        <f>+(M2002*26000)/0.829426</f>
        <v>63518385.003604904</v>
      </c>
      <c r="I2002" s="5">
        <f>+G2002-H2002</f>
        <v>3881614.9963950962</v>
      </c>
      <c r="J2002" s="5">
        <v>3000000</v>
      </c>
      <c r="K2002" s="5">
        <v>6440000</v>
      </c>
      <c r="L2002" s="5">
        <v>6740000</v>
      </c>
      <c r="M2002" s="7">
        <v>2026.3</v>
      </c>
      <c r="N2002" s="5">
        <v>64900000</v>
      </c>
      <c r="O2002" s="5">
        <v>67900000</v>
      </c>
      <c r="P2002" s="3">
        <v>0.97916666666666663</v>
      </c>
    </row>
    <row r="2003" spans="1:16" x14ac:dyDescent="0.25">
      <c r="A2003" t="s">
        <v>1232</v>
      </c>
      <c r="B2003" s="2">
        <v>45279</v>
      </c>
      <c r="C2003" t="str">
        <f>+"Tuáº§n "&amp;WEEKNUM(B2003)</f>
        <v>Tuáº§n 51</v>
      </c>
      <c r="D2003" t="s">
        <v>18</v>
      </c>
      <c r="E2003" t="s">
        <v>17</v>
      </c>
      <c r="F2003" s="5">
        <v>64800000</v>
      </c>
      <c r="G2003" s="5">
        <v>67800000</v>
      </c>
      <c r="H2003" s="5">
        <f>+(M2003*26000)/0.829426</f>
        <v>63897683.458198801</v>
      </c>
      <c r="I2003" s="5">
        <f>+G2003-H2003</f>
        <v>3902316.5418011993</v>
      </c>
      <c r="J2003" s="5">
        <v>3000000</v>
      </c>
      <c r="K2003" s="5">
        <v>6480000</v>
      </c>
      <c r="L2003" s="5">
        <v>6780000</v>
      </c>
      <c r="M2003" s="7">
        <v>2038.4</v>
      </c>
      <c r="N2003" s="5">
        <v>65300000</v>
      </c>
      <c r="O2003" s="5">
        <v>68300000</v>
      </c>
      <c r="P2003" s="3">
        <v>0.97916666666666663</v>
      </c>
    </row>
    <row r="2004" spans="1:16" x14ac:dyDescent="0.25">
      <c r="A2004" t="s">
        <v>1233</v>
      </c>
      <c r="B2004" s="2">
        <v>45280</v>
      </c>
      <c r="C2004" t="str">
        <f>+"Tuáº§n "&amp;WEEKNUM(B2004)</f>
        <v>Tuáº§n 51</v>
      </c>
      <c r="D2004" t="s">
        <v>19</v>
      </c>
      <c r="E2004" t="s">
        <v>17</v>
      </c>
      <c r="F2004" s="5">
        <v>64700000</v>
      </c>
      <c r="G2004" s="5">
        <v>67700000</v>
      </c>
      <c r="H2004" s="5">
        <f>+(M2004*26000)/0.829426</f>
        <v>63775430.237296633</v>
      </c>
      <c r="I2004" s="5">
        <f>+G2004-H2004</f>
        <v>3924569.7627033666</v>
      </c>
      <c r="J2004" s="5">
        <v>3000000</v>
      </c>
      <c r="K2004" s="5">
        <v>6470000</v>
      </c>
      <c r="L2004" s="5">
        <v>6770000</v>
      </c>
      <c r="M2004" s="7">
        <v>2034.5</v>
      </c>
      <c r="N2004" s="5">
        <v>65200000</v>
      </c>
      <c r="O2004" s="5">
        <v>68200000</v>
      </c>
      <c r="P2004" s="3">
        <v>0.97916666666666663</v>
      </c>
    </row>
    <row r="2005" spans="1:16" x14ac:dyDescent="0.25">
      <c r="A2005" t="s">
        <v>1234</v>
      </c>
      <c r="B2005" s="2">
        <v>45281</v>
      </c>
      <c r="C2005" t="str">
        <f>+"Tuáº§n "&amp;WEEKNUM(B2005)</f>
        <v>Tuáº§n 51</v>
      </c>
      <c r="D2005" t="s">
        <v>20</v>
      </c>
      <c r="E2005" t="s">
        <v>17</v>
      </c>
      <c r="F2005" s="5">
        <v>64800000</v>
      </c>
      <c r="G2005" s="5">
        <v>67800000</v>
      </c>
      <c r="H2005" s="5">
        <f>+(M2005*26000)/0.829426</f>
        <v>63919626.344001755</v>
      </c>
      <c r="I2005" s="5">
        <f>+G2005-H2005</f>
        <v>3880373.6559982449</v>
      </c>
      <c r="J2005" s="5">
        <v>3000000</v>
      </c>
      <c r="K2005" s="5">
        <v>6480000</v>
      </c>
      <c r="L2005" s="5">
        <v>6780000</v>
      </c>
      <c r="M2005" s="7">
        <v>2039.1</v>
      </c>
      <c r="N2005" s="5">
        <v>65300000</v>
      </c>
      <c r="O2005" s="5">
        <v>68300000</v>
      </c>
      <c r="P2005" s="3">
        <v>0.97916666666666663</v>
      </c>
    </row>
    <row r="2006" spans="1:16" x14ac:dyDescent="0.25">
      <c r="A2006" t="s">
        <v>1235</v>
      </c>
      <c r="B2006" s="2">
        <v>45282</v>
      </c>
      <c r="C2006" t="str">
        <f>+"Tuáº§n "&amp;WEEKNUM(B2006)</f>
        <v>Tuáº§n 51</v>
      </c>
      <c r="D2006" t="s">
        <v>21</v>
      </c>
      <c r="E2006" t="s">
        <v>17</v>
      </c>
      <c r="F2006" s="5">
        <v>65400000</v>
      </c>
      <c r="G2006" s="5">
        <v>68400000</v>
      </c>
      <c r="H2006" s="5">
        <f>+(M2006*26000)/0.829426</f>
        <v>64483871.978934832</v>
      </c>
      <c r="I2006" s="5">
        <f>+G2006-H2006</f>
        <v>3916128.0210651681</v>
      </c>
      <c r="J2006" s="5">
        <v>3000000</v>
      </c>
      <c r="K2006" s="5">
        <v>6540000</v>
      </c>
      <c r="L2006" s="5">
        <v>6840000</v>
      </c>
      <c r="M2006" s="7">
        <v>2057.1</v>
      </c>
      <c r="N2006" s="5">
        <v>65900000</v>
      </c>
      <c r="O2006" s="5">
        <v>68900000</v>
      </c>
      <c r="P2006" s="3">
        <v>0.97916666666666663</v>
      </c>
    </row>
    <row r="2007" spans="1:16" x14ac:dyDescent="0.25">
      <c r="A2007" t="s">
        <v>1236</v>
      </c>
      <c r="B2007" s="2">
        <v>45286</v>
      </c>
      <c r="C2007" t="str">
        <f>+"Tuáº§n "&amp;WEEKNUM(B2007)</f>
        <v>Tuáº§n 52</v>
      </c>
      <c r="D2007" t="s">
        <v>18</v>
      </c>
      <c r="E2007" t="s">
        <v>17</v>
      </c>
      <c r="F2007" s="5">
        <v>65500000</v>
      </c>
      <c r="G2007" s="5">
        <v>68500000</v>
      </c>
      <c r="H2007" s="5">
        <f>+(M2007*26000)/0.829426</f>
        <v>64518353.656625174</v>
      </c>
      <c r="I2007" s="5">
        <f>+G2007-H2007</f>
        <v>3981646.343374826</v>
      </c>
      <c r="J2007" s="5">
        <v>3000000</v>
      </c>
      <c r="K2007" s="5">
        <v>6550000</v>
      </c>
      <c r="L2007" s="5">
        <v>6850000</v>
      </c>
      <c r="M2007" s="7">
        <v>2058.1999999999998</v>
      </c>
      <c r="N2007" s="5">
        <v>66000000</v>
      </c>
      <c r="O2007" s="5">
        <v>69000000</v>
      </c>
      <c r="P2007" s="3">
        <v>0.97916666666666663</v>
      </c>
    </row>
    <row r="2008" spans="1:16" x14ac:dyDescent="0.25">
      <c r="A2008" t="s">
        <v>1237</v>
      </c>
      <c r="B2008" s="2">
        <v>45287</v>
      </c>
      <c r="C2008" t="str">
        <f>+"Tuáº§n "&amp;WEEKNUM(B2008)</f>
        <v>Tuáº§n 52</v>
      </c>
      <c r="D2008" t="s">
        <v>19</v>
      </c>
      <c r="E2008" t="s">
        <v>17</v>
      </c>
      <c r="F2008" s="5">
        <v>66200000</v>
      </c>
      <c r="G2008" s="5">
        <v>69200000</v>
      </c>
      <c r="H2008" s="5">
        <f>+(M2008*26000)/0.829426</f>
        <v>65261277.075953729</v>
      </c>
      <c r="I2008" s="5">
        <f>+G2008-H2008</f>
        <v>3938722.9240462705</v>
      </c>
      <c r="J2008" s="5">
        <v>3000000</v>
      </c>
      <c r="K2008" s="5">
        <v>6620000</v>
      </c>
      <c r="L2008" s="5">
        <v>6920000</v>
      </c>
      <c r="M2008" s="7">
        <v>2081.9</v>
      </c>
      <c r="N2008" s="5">
        <v>66700000</v>
      </c>
      <c r="O2008" s="5">
        <v>69700000</v>
      </c>
      <c r="P2008" s="3">
        <v>0.97916666666666663</v>
      </c>
    </row>
    <row r="2009" spans="1:16" x14ac:dyDescent="0.25">
      <c r="A2009" t="s">
        <v>1238</v>
      </c>
      <c r="B2009" s="2">
        <v>45288</v>
      </c>
      <c r="C2009" t="str">
        <f>+"Tuáº§n "&amp;WEEKNUM(B2009)</f>
        <v>Tuáº§n 52</v>
      </c>
      <c r="D2009" t="s">
        <v>20</v>
      </c>
      <c r="E2009" t="s">
        <v>17</v>
      </c>
      <c r="F2009" s="5">
        <v>66000000</v>
      </c>
      <c r="G2009" s="5">
        <v>69000000</v>
      </c>
      <c r="H2009" s="5">
        <f>+(M2009*26000)/0.829426</f>
        <v>65010501.238205701</v>
      </c>
      <c r="I2009" s="5">
        <f>+G2009-H2009</f>
        <v>3989498.7617942989</v>
      </c>
      <c r="J2009" s="5">
        <v>3000000</v>
      </c>
      <c r="K2009" s="5">
        <v>6600000</v>
      </c>
      <c r="L2009" s="5">
        <v>6900000</v>
      </c>
      <c r="M2009" s="7">
        <v>2073.9</v>
      </c>
      <c r="N2009" s="5">
        <v>66500000</v>
      </c>
      <c r="O2009" s="5">
        <v>69500000</v>
      </c>
      <c r="P2009" s="3">
        <v>0.97916666666666663</v>
      </c>
    </row>
    <row r="2010" spans="1:16" x14ac:dyDescent="0.25">
      <c r="A2010" t="s">
        <v>1239</v>
      </c>
      <c r="B2010" s="2">
        <v>45289</v>
      </c>
      <c r="C2010" t="str">
        <f>+"Tuáº§n "&amp;WEEKNUM(B2010)</f>
        <v>Tuáº§n 52</v>
      </c>
      <c r="D2010" t="s">
        <v>21</v>
      </c>
      <c r="E2010" t="s">
        <v>17</v>
      </c>
      <c r="F2010" s="5">
        <v>65600000</v>
      </c>
      <c r="G2010" s="5">
        <v>68600000</v>
      </c>
      <c r="H2010" s="5">
        <f>+(M2010*26000)/0.829426</f>
        <v>64650010.971442901</v>
      </c>
      <c r="I2010" s="5">
        <f>+G2010-H2010</f>
        <v>3949989.0285570994</v>
      </c>
      <c r="J2010" s="5">
        <v>3000000</v>
      </c>
      <c r="K2010" s="5">
        <v>6560000</v>
      </c>
      <c r="L2010" s="5">
        <v>6860000</v>
      </c>
      <c r="M2010" s="7">
        <v>2062.4</v>
      </c>
      <c r="N2010" s="5">
        <v>66100000</v>
      </c>
      <c r="O2010" s="5">
        <v>69100000</v>
      </c>
      <c r="P2010" s="3">
        <v>0.97916666666666663</v>
      </c>
    </row>
    <row r="2011" spans="1:16" x14ac:dyDescent="0.25">
      <c r="A2011" s="2">
        <v>45323</v>
      </c>
      <c r="B2011" s="2">
        <v>45293</v>
      </c>
      <c r="C2011" t="str">
        <f>+"Tuáº§n "&amp;WEEKNUM(B2011)</f>
        <v>Tuáº§n 1</v>
      </c>
      <c r="D2011" t="s">
        <v>18</v>
      </c>
      <c r="E2011" t="s">
        <v>17</v>
      </c>
      <c r="F2011" s="5">
        <v>68000000</v>
      </c>
      <c r="G2011" s="5">
        <v>71000000</v>
      </c>
      <c r="H2011" s="5">
        <f>+(M2011*26000)/0.829426</f>
        <v>64712704.930879913</v>
      </c>
      <c r="I2011" s="5">
        <f>+G2011-H2011</f>
        <v>6287295.0691200867</v>
      </c>
      <c r="J2011" s="5">
        <v>3000000</v>
      </c>
      <c r="K2011" s="5">
        <v>6800000</v>
      </c>
      <c r="L2011" s="5">
        <v>7100000</v>
      </c>
      <c r="M2011" s="7">
        <v>2064.4</v>
      </c>
      <c r="N2011" s="5">
        <v>68500000</v>
      </c>
      <c r="O2011" s="5">
        <v>71500000</v>
      </c>
      <c r="P2011" s="3">
        <v>0.97916666666666663</v>
      </c>
    </row>
    <row r="2012" spans="1:16" x14ac:dyDescent="0.25">
      <c r="A2012" s="2">
        <v>45352</v>
      </c>
      <c r="B2012" s="2">
        <v>45294</v>
      </c>
      <c r="C2012" t="str">
        <f>+"Tuáº§n "&amp;WEEKNUM(B2012)</f>
        <v>Tuáº§n 1</v>
      </c>
      <c r="D2012" t="s">
        <v>19</v>
      </c>
      <c r="E2012" t="s">
        <v>17</v>
      </c>
      <c r="F2012" s="5">
        <v>67000000</v>
      </c>
      <c r="G2012" s="5">
        <v>70000000</v>
      </c>
      <c r="H2012" s="5">
        <f>+(M2012*26000)/0.829426</f>
        <v>63766026.143381089</v>
      </c>
      <c r="I2012" s="5">
        <f>+G2012-H2012</f>
        <v>6233973.856618911</v>
      </c>
      <c r="J2012" s="5">
        <v>3000000</v>
      </c>
      <c r="K2012" s="5">
        <v>6700000</v>
      </c>
      <c r="L2012" s="5">
        <v>7000000</v>
      </c>
      <c r="M2012" s="7">
        <v>2034.2</v>
      </c>
      <c r="N2012" s="5">
        <v>67500000</v>
      </c>
      <c r="O2012" s="5">
        <v>70500000</v>
      </c>
      <c r="P2012" s="3">
        <v>0.97916666666666663</v>
      </c>
    </row>
    <row r="2013" spans="1:16" x14ac:dyDescent="0.25">
      <c r="A2013" s="2">
        <v>45383</v>
      </c>
      <c r="B2013" s="2">
        <v>45295</v>
      </c>
      <c r="C2013" t="str">
        <f>+"Tuáº§n "&amp;WEEKNUM(B2013)</f>
        <v>Tuáº§n 1</v>
      </c>
      <c r="D2013" t="s">
        <v>20</v>
      </c>
      <c r="E2013" t="s">
        <v>17</v>
      </c>
      <c r="F2013" s="5">
        <v>67300000</v>
      </c>
      <c r="G2013" s="5">
        <v>70300000</v>
      </c>
      <c r="H2013" s="5">
        <f>+(M2013*26000)/0.829426</f>
        <v>64019936.679100968</v>
      </c>
      <c r="I2013" s="5">
        <f>+G2013-H2013</f>
        <v>6280063.3208990321</v>
      </c>
      <c r="J2013" s="5">
        <v>3000000</v>
      </c>
      <c r="K2013" s="5">
        <v>6730000</v>
      </c>
      <c r="L2013" s="5">
        <v>7030000</v>
      </c>
      <c r="M2013" s="7">
        <v>2042.3</v>
      </c>
      <c r="N2013" s="5">
        <v>67800000</v>
      </c>
      <c r="O2013" s="5">
        <v>70800000</v>
      </c>
      <c r="P2013" s="3">
        <v>0.97916666666666663</v>
      </c>
    </row>
    <row r="2014" spans="1:16" x14ac:dyDescent="0.25">
      <c r="A2014" s="2">
        <v>45413</v>
      </c>
      <c r="B2014" s="2">
        <v>45296</v>
      </c>
      <c r="C2014" t="str">
        <f>+"Tuáº§n "&amp;WEEKNUM(B2014)</f>
        <v>Tuáº§n 1</v>
      </c>
      <c r="D2014" t="s">
        <v>21</v>
      </c>
      <c r="E2014" t="s">
        <v>17</v>
      </c>
      <c r="F2014" s="5">
        <v>67300000</v>
      </c>
      <c r="G2014" s="5">
        <v>70300000</v>
      </c>
      <c r="H2014" s="5">
        <f>+(M2014*26000)/0.829426</f>
        <v>64023071.377072819</v>
      </c>
      <c r="I2014" s="5">
        <f>+G2014-H2014</f>
        <v>6276928.6229271814</v>
      </c>
      <c r="J2014" s="5">
        <v>3000000</v>
      </c>
      <c r="K2014" s="5">
        <v>6730000</v>
      </c>
      <c r="L2014" s="5">
        <v>7030000</v>
      </c>
      <c r="M2014" s="7">
        <v>2042.4</v>
      </c>
      <c r="N2014" s="5">
        <v>67800000</v>
      </c>
      <c r="O2014" s="5">
        <v>70800000</v>
      </c>
      <c r="P2014" s="3">
        <v>0.97916666666666663</v>
      </c>
    </row>
    <row r="2015" spans="1:16" x14ac:dyDescent="0.25">
      <c r="A2015" s="2">
        <v>45505</v>
      </c>
      <c r="B2015" s="2">
        <v>45299</v>
      </c>
      <c r="C2015" t="str">
        <f>+"Tuáº§n "&amp;WEEKNUM(B2015)</f>
        <v>Tuáº§n 2</v>
      </c>
      <c r="D2015" t="s">
        <v>16</v>
      </c>
      <c r="E2015" t="s">
        <v>17</v>
      </c>
      <c r="F2015" s="5">
        <v>66700000</v>
      </c>
      <c r="G2015" s="5">
        <v>69700000</v>
      </c>
      <c r="H2015" s="5">
        <f>+(M2015*26000)/0.829426</f>
        <v>63527789.097520456</v>
      </c>
      <c r="I2015" s="5">
        <f>+G2015-H2015</f>
        <v>6172210.9024795443</v>
      </c>
      <c r="J2015" s="5">
        <v>3000000</v>
      </c>
      <c r="K2015" s="5">
        <v>6670000</v>
      </c>
      <c r="L2015" s="5">
        <v>6970000</v>
      </c>
      <c r="M2015" s="7">
        <v>2026.6</v>
      </c>
      <c r="N2015" s="5">
        <v>67200000</v>
      </c>
      <c r="O2015" s="5">
        <v>70200000</v>
      </c>
      <c r="P2015" s="3">
        <v>0.97916666666666663</v>
      </c>
    </row>
    <row r="2016" spans="1:16" x14ac:dyDescent="0.25">
      <c r="A2016" s="2">
        <v>45536</v>
      </c>
      <c r="B2016" s="2">
        <v>45300</v>
      </c>
      <c r="C2016" t="str">
        <f>+"Tuáº§n "&amp;WEEKNUM(B2016)</f>
        <v>Tuáº§n 2</v>
      </c>
      <c r="D2016" t="s">
        <v>18</v>
      </c>
      <c r="E2016" t="s">
        <v>17</v>
      </c>
      <c r="F2016" s="5">
        <v>66700000</v>
      </c>
      <c r="G2016" s="5">
        <v>69700000</v>
      </c>
      <c r="H2016" s="5">
        <f>+(M2016*26000)/0.829426</f>
        <v>63521519.701576754</v>
      </c>
      <c r="I2016" s="5">
        <f>+G2016-H2016</f>
        <v>6178480.2984232455</v>
      </c>
      <c r="J2016" s="5">
        <v>3000000</v>
      </c>
      <c r="K2016" s="5">
        <v>6670000</v>
      </c>
      <c r="L2016" s="5">
        <v>6970000</v>
      </c>
      <c r="M2016" s="7">
        <v>2026.4</v>
      </c>
      <c r="N2016" s="5">
        <v>67200000</v>
      </c>
      <c r="O2016" s="5">
        <v>70200000</v>
      </c>
      <c r="P2016" s="3">
        <v>0.97916666666666663</v>
      </c>
    </row>
    <row r="2017" spans="1:16" x14ac:dyDescent="0.25">
      <c r="A2017" s="2">
        <v>45566</v>
      </c>
      <c r="B2017" s="2">
        <v>45301</v>
      </c>
      <c r="C2017" t="str">
        <f>+"Tuáº§n "&amp;WEEKNUM(B2017)</f>
        <v>Tuáº§n 2</v>
      </c>
      <c r="D2017" t="s">
        <v>19</v>
      </c>
      <c r="E2017" t="s">
        <v>17</v>
      </c>
      <c r="F2017" s="5">
        <v>66600000</v>
      </c>
      <c r="G2017" s="5">
        <v>69600000</v>
      </c>
      <c r="H2017" s="5">
        <f>+(M2017*26000)/0.829426</f>
        <v>63374188.896899782</v>
      </c>
      <c r="I2017" s="5">
        <f>+G2017-H2017</f>
        <v>6225811.1031002179</v>
      </c>
      <c r="J2017" s="5">
        <v>3000000</v>
      </c>
      <c r="K2017" s="5">
        <v>6660000</v>
      </c>
      <c r="L2017" s="5">
        <v>6960000</v>
      </c>
      <c r="M2017" s="7">
        <v>2021.7</v>
      </c>
      <c r="N2017" s="5">
        <v>67100000</v>
      </c>
      <c r="O2017" s="5">
        <v>70100000</v>
      </c>
      <c r="P2017" s="3">
        <v>0.97916666666666663</v>
      </c>
    </row>
    <row r="2018" spans="1:16" x14ac:dyDescent="0.25">
      <c r="A2018" s="2">
        <v>45597</v>
      </c>
      <c r="B2018" s="2">
        <v>45302</v>
      </c>
      <c r="C2018" t="str">
        <f>+"Tuáº§n "&amp;WEEKNUM(B2018)</f>
        <v>Tuáº§n 2</v>
      </c>
      <c r="D2018" t="s">
        <v>20</v>
      </c>
      <c r="E2018" t="s">
        <v>17</v>
      </c>
      <c r="F2018" s="5">
        <v>66300000</v>
      </c>
      <c r="G2018" s="5">
        <v>69300000</v>
      </c>
      <c r="H2018" s="5">
        <f>+(M2018*26000)/0.829426</f>
        <v>63142221.24698285</v>
      </c>
      <c r="I2018" s="5">
        <f>+G2018-H2018</f>
        <v>6157778.7530171499</v>
      </c>
      <c r="J2018" s="5">
        <v>3000000</v>
      </c>
      <c r="K2018" s="5">
        <v>6630000</v>
      </c>
      <c r="L2018" s="5">
        <v>6930000</v>
      </c>
      <c r="M2018" s="7">
        <v>2014.3</v>
      </c>
      <c r="N2018" s="5">
        <v>66800000</v>
      </c>
      <c r="O2018" s="5">
        <v>69800000</v>
      </c>
      <c r="P2018" s="3">
        <v>0.97916666666666663</v>
      </c>
    </row>
    <row r="2019" spans="1:16" x14ac:dyDescent="0.25">
      <c r="A2019" s="2">
        <v>45627</v>
      </c>
      <c r="B2019" s="2">
        <v>45303</v>
      </c>
      <c r="C2019" t="str">
        <f>+"Tuáº§n "&amp;WEEKNUM(B2019)</f>
        <v>Tuáº§n 2</v>
      </c>
      <c r="D2019" t="s">
        <v>21</v>
      </c>
      <c r="E2019" t="s">
        <v>17</v>
      </c>
      <c r="F2019" s="5">
        <v>67400000</v>
      </c>
      <c r="G2019" s="5">
        <v>70400000</v>
      </c>
      <c r="H2019" s="5">
        <f>+(M2019*26000)/0.829426</f>
        <v>64157863.389862388</v>
      </c>
      <c r="I2019" s="5">
        <f>+G2019-H2019</f>
        <v>6242136.6101376116</v>
      </c>
      <c r="J2019" s="5">
        <v>3000000</v>
      </c>
      <c r="K2019" s="5">
        <v>6740000</v>
      </c>
      <c r="L2019" s="5">
        <v>7040000</v>
      </c>
      <c r="M2019" s="7">
        <v>2046.7</v>
      </c>
      <c r="N2019" s="5">
        <v>67900000</v>
      </c>
      <c r="O2019" s="5">
        <v>70900000</v>
      </c>
      <c r="P2019" s="3">
        <v>0.97916666666666663</v>
      </c>
    </row>
    <row r="2020" spans="1:16" x14ac:dyDescent="0.25">
      <c r="A2020" t="s">
        <v>1240</v>
      </c>
      <c r="B2020" s="2">
        <v>45307</v>
      </c>
      <c r="C2020" t="str">
        <f>+"Tuáº§n "&amp;WEEKNUM(B2020)</f>
        <v>Tuáº§n 3</v>
      </c>
      <c r="D2020" t="s">
        <v>18</v>
      </c>
      <c r="E2020" t="s">
        <v>17</v>
      </c>
      <c r="F2020" s="5">
        <v>66700000</v>
      </c>
      <c r="G2020" s="5">
        <v>69700000</v>
      </c>
      <c r="H2020" s="5">
        <f>+(M2020*26000)/0.829426</f>
        <v>63508980.909689352</v>
      </c>
      <c r="I2020" s="5">
        <f>+G2020-H2020</f>
        <v>6191019.0903106481</v>
      </c>
      <c r="J2020" s="5">
        <v>3000000</v>
      </c>
      <c r="K2020" s="5">
        <v>6670000</v>
      </c>
      <c r="L2020" s="5">
        <v>6970000</v>
      </c>
      <c r="M2020" s="7">
        <v>2026</v>
      </c>
      <c r="N2020" s="5">
        <v>67200000</v>
      </c>
      <c r="O2020" s="5">
        <v>70200000</v>
      </c>
      <c r="P2020" s="3">
        <v>0.97916666666666663</v>
      </c>
    </row>
    <row r="2021" spans="1:16" x14ac:dyDescent="0.25">
      <c r="A2021" t="s">
        <v>1241</v>
      </c>
      <c r="B2021" s="2">
        <v>45308</v>
      </c>
      <c r="C2021" t="str">
        <f>+"Tuáº§n "&amp;WEEKNUM(B2021)</f>
        <v>Tuáº§n 3</v>
      </c>
      <c r="D2021" t="s">
        <v>19</v>
      </c>
      <c r="E2021" t="s">
        <v>17</v>
      </c>
      <c r="F2021" s="5">
        <v>65900000</v>
      </c>
      <c r="G2021" s="5">
        <v>68900000</v>
      </c>
      <c r="H2021" s="5">
        <f>+(M2021*26000)/0.829426</f>
        <v>62775461.584276356</v>
      </c>
      <c r="I2021" s="5">
        <f>+G2021-H2021</f>
        <v>6124538.4157236442</v>
      </c>
      <c r="J2021" s="5">
        <v>3000000</v>
      </c>
      <c r="K2021" s="5">
        <v>6590000</v>
      </c>
      <c r="L2021" s="5">
        <v>6890000</v>
      </c>
      <c r="M2021" s="7">
        <v>2002.6</v>
      </c>
      <c r="N2021" s="5">
        <v>66400000</v>
      </c>
      <c r="O2021" s="5">
        <v>69400000</v>
      </c>
      <c r="P2021" s="3">
        <v>0.97916666666666663</v>
      </c>
    </row>
    <row r="2022" spans="1:16" x14ac:dyDescent="0.25">
      <c r="A2022" t="s">
        <v>1242</v>
      </c>
      <c r="B2022" s="2">
        <v>45309</v>
      </c>
      <c r="C2022" t="str">
        <f>+"Tuáº§n "&amp;WEEKNUM(B2022)</f>
        <v>Tuáº§n 3</v>
      </c>
      <c r="D2022" t="s">
        <v>20</v>
      </c>
      <c r="E2022" t="s">
        <v>17</v>
      </c>
      <c r="F2022" s="5">
        <v>66400000</v>
      </c>
      <c r="G2022" s="5">
        <v>69400000</v>
      </c>
      <c r="H2022" s="5">
        <f>+(M2022*26000)/0.829426</f>
        <v>63277013.25977242</v>
      </c>
      <c r="I2022" s="5">
        <f>+G2022-H2022</f>
        <v>6122986.7402275801</v>
      </c>
      <c r="J2022" s="5">
        <v>3000000</v>
      </c>
      <c r="K2022" s="5">
        <v>6640000</v>
      </c>
      <c r="L2022" s="5">
        <v>6940000</v>
      </c>
      <c r="M2022" s="7">
        <v>2018.6</v>
      </c>
      <c r="N2022" s="5">
        <v>66900000</v>
      </c>
      <c r="O2022" s="5">
        <v>69900000</v>
      </c>
      <c r="P2022" s="3">
        <v>0.97916666666666663</v>
      </c>
    </row>
    <row r="2023" spans="1:16" x14ac:dyDescent="0.25">
      <c r="A2023" t="s">
        <v>1243</v>
      </c>
      <c r="B2023" s="2">
        <v>45310</v>
      </c>
      <c r="C2023" t="str">
        <f>+"Tuáº§n "&amp;WEEKNUM(B2023)</f>
        <v>Tuáº§n 3</v>
      </c>
      <c r="D2023" t="s">
        <v>21</v>
      </c>
      <c r="E2023" t="s">
        <v>17</v>
      </c>
      <c r="F2023" s="5">
        <v>66700000</v>
      </c>
      <c r="G2023" s="5">
        <v>69700000</v>
      </c>
      <c r="H2023" s="5">
        <f>+(M2023*26000)/0.829426</f>
        <v>63524654.399548605</v>
      </c>
      <c r="I2023" s="5">
        <f>+G2023-H2023</f>
        <v>6175345.6004513949</v>
      </c>
      <c r="J2023" s="5">
        <v>3000000</v>
      </c>
      <c r="K2023" s="5">
        <v>6670000</v>
      </c>
      <c r="L2023" s="5">
        <v>6970000</v>
      </c>
      <c r="M2023" s="7">
        <v>2026.5</v>
      </c>
      <c r="N2023" s="5">
        <v>67200000</v>
      </c>
      <c r="O2023" s="5">
        <v>70200000</v>
      </c>
      <c r="P2023" s="3">
        <v>0.97916666666666663</v>
      </c>
    </row>
    <row r="2024" spans="1:16" x14ac:dyDescent="0.25">
      <c r="A2024" t="s">
        <v>1244</v>
      </c>
      <c r="B2024" s="2">
        <v>45313</v>
      </c>
      <c r="C2024" t="str">
        <f>+"Tuáº§n "&amp;WEEKNUM(B2024)</f>
        <v>Tuáº§n 4</v>
      </c>
      <c r="D2024" t="s">
        <v>16</v>
      </c>
      <c r="E2024" t="s">
        <v>17</v>
      </c>
      <c r="F2024" s="5">
        <v>66500000</v>
      </c>
      <c r="G2024" s="5">
        <v>69500000</v>
      </c>
      <c r="H2024" s="5">
        <f>+(M2024*26000)/0.829426</f>
        <v>63314629.635434628</v>
      </c>
      <c r="I2024" s="5">
        <f>+G2024-H2024</f>
        <v>6185370.3645653725</v>
      </c>
      <c r="J2024" s="5">
        <v>3000000</v>
      </c>
      <c r="K2024" s="5">
        <v>6650000</v>
      </c>
      <c r="L2024" s="5">
        <v>6950000</v>
      </c>
      <c r="M2024" s="7">
        <v>2019.8</v>
      </c>
      <c r="N2024" s="5">
        <v>67000000</v>
      </c>
      <c r="O2024" s="5">
        <v>70000000</v>
      </c>
      <c r="P2024" s="3">
        <v>0.97916666666666663</v>
      </c>
    </row>
    <row r="2025" spans="1:16" x14ac:dyDescent="0.25">
      <c r="A2025" t="s">
        <v>1245</v>
      </c>
      <c r="B2025" s="2">
        <v>45314</v>
      </c>
      <c r="C2025" t="str">
        <f>+"Tuáº§n "&amp;WEEKNUM(B2025)</f>
        <v>Tuáº§n 4</v>
      </c>
      <c r="D2025" t="s">
        <v>18</v>
      </c>
      <c r="E2025" t="s">
        <v>17</v>
      </c>
      <c r="F2025" s="5">
        <v>66600000</v>
      </c>
      <c r="G2025" s="5">
        <v>69600000</v>
      </c>
      <c r="H2025" s="5">
        <f>+(M2025*26000)/0.829426</f>
        <v>63436882.856336795</v>
      </c>
      <c r="I2025" s="5">
        <f>+G2025-H2025</f>
        <v>6163117.1436632052</v>
      </c>
      <c r="J2025" s="5">
        <v>3000000</v>
      </c>
      <c r="K2025" s="5">
        <v>6660000</v>
      </c>
      <c r="L2025" s="5">
        <v>6960000</v>
      </c>
      <c r="M2025" s="7">
        <v>2023.7</v>
      </c>
      <c r="N2025" s="5">
        <v>67100000</v>
      </c>
      <c r="O2025" s="5">
        <v>70100000</v>
      </c>
      <c r="P2025" s="3">
        <v>0.97916666666666663</v>
      </c>
    </row>
    <row r="2026" spans="1:16" x14ac:dyDescent="0.25">
      <c r="A2026" t="s">
        <v>1246</v>
      </c>
      <c r="B2026" s="2">
        <v>45315</v>
      </c>
      <c r="C2026" t="str">
        <f>+"Tuáº§n "&amp;WEEKNUM(B2026)</f>
        <v>Tuáº§n 4</v>
      </c>
      <c r="D2026" t="s">
        <v>19</v>
      </c>
      <c r="E2026" t="s">
        <v>17</v>
      </c>
      <c r="F2026" s="5">
        <v>66300000</v>
      </c>
      <c r="G2026" s="5">
        <v>69300000</v>
      </c>
      <c r="H2026" s="5">
        <f>+(M2026*26000)/0.829426</f>
        <v>63129682.455095455</v>
      </c>
      <c r="I2026" s="5">
        <f>+G2026-H2026</f>
        <v>6170317.5449045449</v>
      </c>
      <c r="J2026" s="5">
        <v>3000000</v>
      </c>
      <c r="K2026" s="5">
        <v>6630000</v>
      </c>
      <c r="L2026" s="5">
        <v>6930000</v>
      </c>
      <c r="M2026" s="7">
        <v>2013.9</v>
      </c>
      <c r="N2026" s="5">
        <v>66800000</v>
      </c>
      <c r="O2026" s="5">
        <v>69800000</v>
      </c>
      <c r="P2026" s="3">
        <v>0.97916666666666663</v>
      </c>
    </row>
    <row r="2027" spans="1:16" x14ac:dyDescent="0.25">
      <c r="A2027" t="s">
        <v>1247</v>
      </c>
      <c r="B2027" s="2">
        <v>45316</v>
      </c>
      <c r="C2027" t="str">
        <f>+"Tuáº§n "&amp;WEEKNUM(B2027)</f>
        <v>Tuáº§n 4</v>
      </c>
      <c r="D2027" t="s">
        <v>20</v>
      </c>
      <c r="E2027" t="s">
        <v>17</v>
      </c>
      <c r="F2027" s="5">
        <v>66400000</v>
      </c>
      <c r="G2027" s="5">
        <v>69400000</v>
      </c>
      <c r="H2027" s="5">
        <f>+(M2027*26000)/0.829426</f>
        <v>63223723.394250967</v>
      </c>
      <c r="I2027" s="5">
        <f>+G2027-H2027</f>
        <v>6176276.6057490334</v>
      </c>
      <c r="J2027" s="5">
        <v>3000000</v>
      </c>
      <c r="K2027" s="5">
        <v>6640000</v>
      </c>
      <c r="L2027" s="5">
        <v>6940000</v>
      </c>
      <c r="M2027" s="7">
        <v>2016.9</v>
      </c>
      <c r="N2027" s="5">
        <v>66900000</v>
      </c>
      <c r="O2027" s="5">
        <v>69900000</v>
      </c>
      <c r="P2027" s="3">
        <v>0.97916666666666663</v>
      </c>
    </row>
    <row r="2028" spans="1:16" x14ac:dyDescent="0.25">
      <c r="A2028" t="s">
        <v>1248</v>
      </c>
      <c r="B2028" s="2">
        <v>45317</v>
      </c>
      <c r="C2028" t="str">
        <f>+"Tuáº§n "&amp;WEEKNUM(B2028)</f>
        <v>Tuáº§n 4</v>
      </c>
      <c r="D2028" t="s">
        <v>21</v>
      </c>
      <c r="E2028" t="s">
        <v>17</v>
      </c>
      <c r="F2028" s="5">
        <v>66400000</v>
      </c>
      <c r="G2028" s="5">
        <v>69400000</v>
      </c>
      <c r="H2028" s="5">
        <f>+(M2028*26000)/0.829426</f>
        <v>63220588.696279116</v>
      </c>
      <c r="I2028" s="5">
        <f>+G2028-H2028</f>
        <v>6179411.303720884</v>
      </c>
      <c r="J2028" s="5">
        <v>3000000</v>
      </c>
      <c r="K2028" s="5">
        <v>6640000</v>
      </c>
      <c r="L2028" s="5">
        <v>6940000</v>
      </c>
      <c r="M2028" s="7">
        <v>2016.8</v>
      </c>
      <c r="N2028" s="5">
        <v>66900000</v>
      </c>
      <c r="O2028" s="5">
        <v>69900000</v>
      </c>
      <c r="P2028" s="3">
        <v>0.97916666666666663</v>
      </c>
    </row>
    <row r="2029" spans="1:16" x14ac:dyDescent="0.25">
      <c r="A2029" t="s">
        <v>1249</v>
      </c>
      <c r="B2029" s="2">
        <v>45320</v>
      </c>
      <c r="C2029" t="str">
        <f>+"Tuáº§n "&amp;WEEKNUM(B2029)</f>
        <v>Tuáº§n 5</v>
      </c>
      <c r="D2029" t="s">
        <v>16</v>
      </c>
      <c r="E2029" t="s">
        <v>17</v>
      </c>
      <c r="F2029" s="5">
        <v>66700000</v>
      </c>
      <c r="G2029" s="5">
        <v>69700000</v>
      </c>
      <c r="H2029" s="5">
        <f>+(M2029*26000)/0.829426</f>
        <v>63483903.325914547</v>
      </c>
      <c r="I2029" s="5">
        <f>+G2029-H2029</f>
        <v>6216096.6740854532</v>
      </c>
      <c r="J2029" s="5">
        <v>3000000</v>
      </c>
      <c r="K2029" s="5">
        <v>6670000</v>
      </c>
      <c r="L2029" s="5">
        <v>6970000</v>
      </c>
      <c r="M2029" s="7">
        <v>2025.2</v>
      </c>
      <c r="N2029" s="5">
        <v>67200000</v>
      </c>
      <c r="O2029" s="5">
        <v>70200000</v>
      </c>
      <c r="P2029" s="3">
        <v>0.97916666666666663</v>
      </c>
    </row>
    <row r="2030" spans="1:16" x14ac:dyDescent="0.25">
      <c r="A2030" t="s">
        <v>1250</v>
      </c>
      <c r="B2030" s="2">
        <v>45321</v>
      </c>
      <c r="C2030" t="str">
        <f>+"Tuáº§n "&amp;WEEKNUM(B2030)</f>
        <v>Tuáº§n 5</v>
      </c>
      <c r="D2030" t="s">
        <v>18</v>
      </c>
      <c r="E2030" t="s">
        <v>17</v>
      </c>
      <c r="F2030" s="5">
        <v>66900000</v>
      </c>
      <c r="G2030" s="5">
        <v>69900000</v>
      </c>
      <c r="H2030" s="5">
        <f>+(M2030*26000)/0.829426</f>
        <v>63681389.298141122</v>
      </c>
      <c r="I2030" s="5">
        <f>+G2030-H2030</f>
        <v>6218610.7018588781</v>
      </c>
      <c r="J2030" s="5">
        <v>3000000</v>
      </c>
      <c r="K2030" s="5">
        <v>6690000</v>
      </c>
      <c r="L2030" s="5">
        <v>6990000</v>
      </c>
      <c r="M2030" s="7">
        <v>2031.5</v>
      </c>
      <c r="N2030" s="5">
        <v>67400000</v>
      </c>
      <c r="O2030" s="5">
        <v>70400000</v>
      </c>
      <c r="P2030" s="3">
        <v>0.97916666666666663</v>
      </c>
    </row>
    <row r="2031" spans="1:16" x14ac:dyDescent="0.25">
      <c r="A2031" t="s">
        <v>1251</v>
      </c>
      <c r="B2031" s="2">
        <v>45322</v>
      </c>
      <c r="C2031" t="str">
        <f>+"Tuáº§n "&amp;WEEKNUM(B2031)</f>
        <v>Tuáº§n 5</v>
      </c>
      <c r="D2031" t="s">
        <v>19</v>
      </c>
      <c r="E2031" t="s">
        <v>17</v>
      </c>
      <c r="F2031" s="5">
        <v>67500000</v>
      </c>
      <c r="G2031" s="5">
        <v>70500000</v>
      </c>
      <c r="H2031" s="5">
        <f>+(M2031*26000)/0.829426</f>
        <v>64211153.255383842</v>
      </c>
      <c r="I2031" s="5">
        <f>+G2031-H2031</f>
        <v>6288846.7446161583</v>
      </c>
      <c r="J2031" s="5">
        <v>3000000</v>
      </c>
      <c r="K2031" s="5">
        <v>6750000</v>
      </c>
      <c r="L2031" s="5">
        <v>7050000</v>
      </c>
      <c r="M2031" s="7">
        <v>2048.4</v>
      </c>
      <c r="N2031" s="5">
        <v>68000000</v>
      </c>
      <c r="O2031" s="5">
        <v>71000000</v>
      </c>
      <c r="P2031" s="3">
        <v>0.97916666666666663</v>
      </c>
    </row>
    <row r="2032" spans="1:16" x14ac:dyDescent="0.25">
      <c r="A2032" s="2">
        <v>45293</v>
      </c>
      <c r="B2032" s="2">
        <v>45323</v>
      </c>
      <c r="C2032" t="str">
        <f>+"Tuáº§n "&amp;WEEKNUM(B2032)</f>
        <v>Tuáº§n 5</v>
      </c>
      <c r="D2032" t="s">
        <v>20</v>
      </c>
      <c r="E2032" t="s">
        <v>17</v>
      </c>
      <c r="F2032" s="5">
        <v>67600000</v>
      </c>
      <c r="G2032" s="5">
        <v>70600000</v>
      </c>
      <c r="H2032" s="5">
        <f>+(M2032*26000)/0.829426</f>
        <v>64355349.362088963</v>
      </c>
      <c r="I2032" s="5">
        <f>+G2032-H2032</f>
        <v>6244650.6379110366</v>
      </c>
      <c r="J2032" s="5">
        <v>3000000</v>
      </c>
      <c r="K2032" s="5">
        <v>6760000</v>
      </c>
      <c r="L2032" s="5">
        <v>7060000</v>
      </c>
      <c r="M2032" s="7">
        <v>2053</v>
      </c>
      <c r="N2032" s="5">
        <v>68100000</v>
      </c>
      <c r="O2032" s="5">
        <v>71100000</v>
      </c>
      <c r="P2032" s="3">
        <v>0.97916666666666663</v>
      </c>
    </row>
    <row r="2033" spans="1:16" x14ac:dyDescent="0.25">
      <c r="A2033" s="2">
        <v>45324</v>
      </c>
      <c r="B2033" s="2">
        <v>45324</v>
      </c>
      <c r="C2033" t="str">
        <f>+"Tuáº§n "&amp;WEEKNUM(B2033)</f>
        <v>Tuáº§n 5</v>
      </c>
      <c r="D2033" t="s">
        <v>21</v>
      </c>
      <c r="E2033" t="s">
        <v>17</v>
      </c>
      <c r="F2033" s="5">
        <v>67100000</v>
      </c>
      <c r="G2033" s="5">
        <v>70100000</v>
      </c>
      <c r="H2033" s="5">
        <f>+(M2033*26000)/0.829426</f>
        <v>63825585.404846244</v>
      </c>
      <c r="I2033" s="5">
        <f>+G2033-H2033</f>
        <v>6274414.5951537564</v>
      </c>
      <c r="J2033" s="5">
        <v>3000000</v>
      </c>
      <c r="K2033" s="5">
        <v>6710000</v>
      </c>
      <c r="L2033" s="5">
        <v>7010000</v>
      </c>
      <c r="M2033" s="7">
        <v>2036.1</v>
      </c>
      <c r="N2033" s="5">
        <v>67600000</v>
      </c>
      <c r="O2033" s="5">
        <v>70600000</v>
      </c>
      <c r="P2033" s="3">
        <v>0.97916666666666663</v>
      </c>
    </row>
    <row r="2034" spans="1:16" x14ac:dyDescent="0.25">
      <c r="A2034" s="2">
        <v>45414</v>
      </c>
      <c r="B2034" s="2">
        <v>45327</v>
      </c>
      <c r="C2034" t="str">
        <f>+"Tuáº§n "&amp;WEEKNUM(B2034)</f>
        <v>Tuáº§n 6</v>
      </c>
      <c r="D2034" t="s">
        <v>16</v>
      </c>
      <c r="E2034" t="s">
        <v>17</v>
      </c>
      <c r="F2034" s="5">
        <v>66700000</v>
      </c>
      <c r="G2034" s="5">
        <v>69700000</v>
      </c>
      <c r="H2034" s="5">
        <f>+(M2034*26000)/0.829426</f>
        <v>63499576.8157738</v>
      </c>
      <c r="I2034" s="5">
        <f>+G2034-H2034</f>
        <v>6200423.1842262</v>
      </c>
      <c r="J2034" s="5">
        <v>3000000</v>
      </c>
      <c r="K2034" s="5">
        <v>6670000</v>
      </c>
      <c r="L2034" s="5">
        <v>6970000</v>
      </c>
      <c r="M2034" s="7">
        <v>2025.7</v>
      </c>
      <c r="N2034" s="5">
        <v>67200000</v>
      </c>
      <c r="O2034" s="5">
        <v>70200000</v>
      </c>
      <c r="P2034" s="3">
        <v>0.97916666666666663</v>
      </c>
    </row>
    <row r="2035" spans="1:16" x14ac:dyDescent="0.25">
      <c r="A2035" s="2">
        <v>45445</v>
      </c>
      <c r="B2035" s="2">
        <v>45328</v>
      </c>
      <c r="C2035" t="str">
        <f>+"Tuáº§n "&amp;WEEKNUM(B2035)</f>
        <v>Tuáº§n 6</v>
      </c>
      <c r="D2035" t="s">
        <v>18</v>
      </c>
      <c r="E2035" t="s">
        <v>17</v>
      </c>
      <c r="F2035" s="5">
        <v>67000000</v>
      </c>
      <c r="G2035" s="5">
        <v>70000000</v>
      </c>
      <c r="H2035" s="5">
        <f>+(M2035*26000)/0.829426</f>
        <v>63775430.237296633</v>
      </c>
      <c r="I2035" s="5">
        <f>+G2035-H2035</f>
        <v>6224569.7627033666</v>
      </c>
      <c r="J2035" s="5">
        <v>3000000</v>
      </c>
      <c r="K2035" s="5">
        <v>6700000</v>
      </c>
      <c r="L2035" s="5">
        <v>7000000</v>
      </c>
      <c r="M2035" s="7">
        <v>2034.5</v>
      </c>
      <c r="N2035" s="5">
        <v>67500000</v>
      </c>
      <c r="O2035" s="5">
        <v>70500000</v>
      </c>
      <c r="P2035" s="3">
        <v>0.97916666666666663</v>
      </c>
    </row>
    <row r="2036" spans="1:16" x14ac:dyDescent="0.25">
      <c r="A2036" s="2">
        <v>45475</v>
      </c>
      <c r="B2036" s="2">
        <v>45329</v>
      </c>
      <c r="C2036" t="str">
        <f>+"Tuáº§n "&amp;WEEKNUM(B2036)</f>
        <v>Tuáº§n 6</v>
      </c>
      <c r="D2036" t="s">
        <v>19</v>
      </c>
      <c r="E2036" t="s">
        <v>17</v>
      </c>
      <c r="F2036" s="5">
        <v>67000000</v>
      </c>
      <c r="G2036" s="5">
        <v>70000000</v>
      </c>
      <c r="H2036" s="5">
        <f>+(M2036*26000)/0.829426</f>
        <v>63797373.123099588</v>
      </c>
      <c r="I2036" s="5">
        <f>+G2036-H2036</f>
        <v>6202626.8769004121</v>
      </c>
      <c r="J2036" s="5">
        <v>3000000</v>
      </c>
      <c r="K2036" s="5">
        <v>6700000</v>
      </c>
      <c r="L2036" s="5">
        <v>7000000</v>
      </c>
      <c r="M2036" s="7">
        <v>2035.2</v>
      </c>
      <c r="N2036" s="5">
        <v>67500000</v>
      </c>
      <c r="O2036" s="5">
        <v>70500000</v>
      </c>
      <c r="P2036" s="3">
        <v>0.97916666666666663</v>
      </c>
    </row>
    <row r="2037" spans="1:16" x14ac:dyDescent="0.25">
      <c r="A2037" s="2">
        <v>45506</v>
      </c>
      <c r="B2037" s="2">
        <v>45330</v>
      </c>
      <c r="C2037" t="str">
        <f>+"Tuáº§n "&amp;WEEKNUM(B2037)</f>
        <v>Tuáº§n 6</v>
      </c>
      <c r="D2037" t="s">
        <v>20</v>
      </c>
      <c r="E2037" t="s">
        <v>17</v>
      </c>
      <c r="F2037" s="5">
        <v>66900000</v>
      </c>
      <c r="G2037" s="5">
        <v>69900000</v>
      </c>
      <c r="H2037" s="5">
        <f>+(M2037*26000)/0.829426</f>
        <v>63703332.183944076</v>
      </c>
      <c r="I2037" s="5">
        <f>+G2037-H2037</f>
        <v>6196667.8160559237</v>
      </c>
      <c r="J2037" s="5">
        <v>3000000</v>
      </c>
      <c r="K2037" s="5">
        <v>6690000</v>
      </c>
      <c r="L2037" s="5">
        <v>6990000</v>
      </c>
      <c r="M2037" s="7">
        <v>2032.2</v>
      </c>
      <c r="N2037" s="5">
        <v>67400000</v>
      </c>
      <c r="O2037" s="5">
        <v>70400000</v>
      </c>
      <c r="P2037" s="3">
        <v>0.97916666666666663</v>
      </c>
    </row>
    <row r="2038" spans="1:16" x14ac:dyDescent="0.25">
      <c r="A2038" s="2">
        <v>45537</v>
      </c>
      <c r="B2038" s="2">
        <v>45331</v>
      </c>
      <c r="C2038" t="str">
        <f>+"Tuáº§n "&amp;WEEKNUM(B2038)</f>
        <v>Tuáº§n 6</v>
      </c>
      <c r="D2038" t="s">
        <v>21</v>
      </c>
      <c r="E2038" t="s">
        <v>17</v>
      </c>
      <c r="F2038" s="5">
        <v>66600000</v>
      </c>
      <c r="G2038" s="5">
        <v>69600000</v>
      </c>
      <c r="H2038" s="5">
        <f>+(M2038*26000)/0.829426</f>
        <v>63424344.064449392</v>
      </c>
      <c r="I2038" s="5">
        <f>+G2038-H2038</f>
        <v>6175655.9355506077</v>
      </c>
      <c r="J2038" s="5">
        <v>3000000</v>
      </c>
      <c r="K2038" s="5">
        <v>6660000</v>
      </c>
      <c r="L2038" s="5">
        <v>6960000</v>
      </c>
      <c r="M2038" s="7">
        <v>2023.3</v>
      </c>
      <c r="N2038" s="5">
        <v>67100000</v>
      </c>
      <c r="O2038" s="5">
        <v>70100000</v>
      </c>
      <c r="P2038" s="3">
        <v>0.97916666666666663</v>
      </c>
    </row>
    <row r="2039" spans="1:16" x14ac:dyDescent="0.25">
      <c r="A2039" s="2">
        <v>45628</v>
      </c>
      <c r="B2039" s="2">
        <v>45334</v>
      </c>
      <c r="C2039" t="str">
        <f>+"Tuáº§n "&amp;WEEKNUM(B2039)</f>
        <v>Tuáº§n 7</v>
      </c>
      <c r="D2039" t="s">
        <v>16</v>
      </c>
      <c r="E2039" t="s">
        <v>17</v>
      </c>
      <c r="F2039" s="5">
        <v>66400000</v>
      </c>
      <c r="G2039" s="5">
        <v>69400000</v>
      </c>
      <c r="H2039" s="5">
        <f>+(M2039*26000)/0.829426</f>
        <v>63264474.467885017</v>
      </c>
      <c r="I2039" s="5">
        <f>+G2039-H2039</f>
        <v>6135525.5321149826</v>
      </c>
      <c r="J2039" s="5">
        <v>3000000</v>
      </c>
      <c r="K2039" s="5">
        <v>6640000</v>
      </c>
      <c r="L2039" s="5">
        <v>6940000</v>
      </c>
      <c r="M2039" s="7">
        <v>2018.2</v>
      </c>
      <c r="N2039" s="5">
        <v>66900000</v>
      </c>
      <c r="O2039" s="5">
        <v>69900000</v>
      </c>
      <c r="P2039" s="3">
        <v>0.97916666666666663</v>
      </c>
    </row>
    <row r="2040" spans="1:16" x14ac:dyDescent="0.25">
      <c r="A2040" t="s">
        <v>1252</v>
      </c>
      <c r="B2040" s="2">
        <v>45335</v>
      </c>
      <c r="C2040" t="str">
        <f>+"Tuáº§n "&amp;WEEKNUM(B2040)</f>
        <v>Tuáº§n 7</v>
      </c>
      <c r="D2040" t="s">
        <v>18</v>
      </c>
      <c r="E2040" t="s">
        <v>17</v>
      </c>
      <c r="F2040" s="5">
        <v>65600000</v>
      </c>
      <c r="G2040" s="5">
        <v>68600000</v>
      </c>
      <c r="H2040" s="5">
        <f>+(M2040*26000)/0.829426</f>
        <v>62471395.881006867</v>
      </c>
      <c r="I2040" s="5">
        <f>+G2040-H2040</f>
        <v>6128604.1189931333</v>
      </c>
      <c r="J2040" s="5">
        <v>3000000</v>
      </c>
      <c r="K2040" s="5">
        <v>6560000</v>
      </c>
      <c r="L2040" s="5">
        <v>6860000</v>
      </c>
      <c r="M2040" s="7">
        <v>1992.9</v>
      </c>
      <c r="N2040" s="5">
        <v>66100000</v>
      </c>
      <c r="O2040" s="5">
        <v>69100000</v>
      </c>
      <c r="P2040" s="3">
        <v>0.97916666666666663</v>
      </c>
    </row>
    <row r="2041" spans="1:16" x14ac:dyDescent="0.25">
      <c r="A2041" t="s">
        <v>1253</v>
      </c>
      <c r="B2041" s="2">
        <v>45336</v>
      </c>
      <c r="C2041" t="str">
        <f>+"Tuáº§n "&amp;WEEKNUM(B2041)</f>
        <v>Tuáº§n 7</v>
      </c>
      <c r="D2041" t="s">
        <v>19</v>
      </c>
      <c r="E2041" t="s">
        <v>17</v>
      </c>
      <c r="F2041" s="5">
        <v>65500000</v>
      </c>
      <c r="G2041" s="5">
        <v>68500000</v>
      </c>
      <c r="H2041" s="5">
        <f>+(M2041*26000)/0.829426</f>
        <v>62389893.733738758</v>
      </c>
      <c r="I2041" s="5">
        <f>+G2041-H2041</f>
        <v>6110106.2662612423</v>
      </c>
      <c r="J2041" s="5">
        <v>3000000</v>
      </c>
      <c r="K2041" s="5">
        <v>6550000</v>
      </c>
      <c r="L2041" s="5">
        <v>6850000</v>
      </c>
      <c r="M2041" s="7">
        <v>1990.3</v>
      </c>
      <c r="N2041" s="5">
        <v>66000000</v>
      </c>
      <c r="O2041" s="5">
        <v>69000000</v>
      </c>
      <c r="P2041" s="3">
        <v>0.97916666666666663</v>
      </c>
    </row>
    <row r="2042" spans="1:16" x14ac:dyDescent="0.25">
      <c r="A2042" t="s">
        <v>1254</v>
      </c>
      <c r="B2042" s="2">
        <v>45337</v>
      </c>
      <c r="C2042" t="str">
        <f>+"Tuáº§n "&amp;WEEKNUM(B2042)</f>
        <v>Tuáº§n 7</v>
      </c>
      <c r="D2042" t="s">
        <v>20</v>
      </c>
      <c r="E2042" t="s">
        <v>17</v>
      </c>
      <c r="F2042" s="5">
        <v>65900000</v>
      </c>
      <c r="G2042" s="5">
        <v>68900000</v>
      </c>
      <c r="H2042" s="5">
        <f>+(M2042*26000)/0.829426</f>
        <v>62759788.094417103</v>
      </c>
      <c r="I2042" s="5">
        <f>+G2042-H2042</f>
        <v>6140211.9055828974</v>
      </c>
      <c r="J2042" s="5">
        <v>3000000</v>
      </c>
      <c r="K2042" s="5">
        <v>6590000</v>
      </c>
      <c r="L2042" s="5">
        <v>6890000</v>
      </c>
      <c r="M2042" s="7">
        <v>2002.1</v>
      </c>
      <c r="N2042" s="5">
        <v>66400000</v>
      </c>
      <c r="O2042" s="5">
        <v>69400000</v>
      </c>
      <c r="P2042" s="3">
        <v>0.97916666666666663</v>
      </c>
    </row>
    <row r="2043" spans="1:16" x14ac:dyDescent="0.25">
      <c r="A2043" t="s">
        <v>1255</v>
      </c>
      <c r="B2043" s="2">
        <v>45338</v>
      </c>
      <c r="C2043" t="str">
        <f>+"Tuáº§n "&amp;WEEKNUM(B2043)</f>
        <v>Tuáº§n 7</v>
      </c>
      <c r="D2043" t="s">
        <v>21</v>
      </c>
      <c r="E2043" t="s">
        <v>17</v>
      </c>
      <c r="F2043" s="5">
        <v>66200000</v>
      </c>
      <c r="G2043" s="5">
        <v>69200000</v>
      </c>
      <c r="H2043" s="5">
        <f>+(M2043*26000)/0.829426</f>
        <v>63054449.70377104</v>
      </c>
      <c r="I2043" s="5">
        <f>+G2043-H2043</f>
        <v>6145550.2962289602</v>
      </c>
      <c r="J2043" s="5">
        <v>3000000</v>
      </c>
      <c r="K2043" s="5">
        <v>6620000</v>
      </c>
      <c r="L2043" s="5">
        <v>6920000</v>
      </c>
      <c r="M2043" s="7">
        <v>2011.5</v>
      </c>
      <c r="N2043" s="5">
        <v>66700000</v>
      </c>
      <c r="O2043" s="5">
        <v>69700000</v>
      </c>
      <c r="P2043" s="3">
        <v>0.97916666666666663</v>
      </c>
    </row>
    <row r="2044" spans="1:16" x14ac:dyDescent="0.25">
      <c r="A2044" t="s">
        <v>1256</v>
      </c>
      <c r="B2044" s="2">
        <v>45342</v>
      </c>
      <c r="C2044" t="str">
        <f>+"Tuáº§n "&amp;WEEKNUM(B2044)</f>
        <v>Tuáº§n 8</v>
      </c>
      <c r="D2044" t="s">
        <v>18</v>
      </c>
      <c r="E2044" t="s">
        <v>17</v>
      </c>
      <c r="F2044" s="5">
        <v>66800000</v>
      </c>
      <c r="G2044" s="5">
        <v>69800000</v>
      </c>
      <c r="H2044" s="5">
        <f>+(M2044*26000)/0.829426</f>
        <v>63556001.379267111</v>
      </c>
      <c r="I2044" s="5">
        <f>+G2044-H2044</f>
        <v>6243998.6207328886</v>
      </c>
      <c r="J2044" s="5">
        <v>3000000</v>
      </c>
      <c r="K2044" s="5">
        <v>6680000</v>
      </c>
      <c r="L2044" s="5">
        <v>6980000</v>
      </c>
      <c r="M2044" s="7">
        <v>2027.5</v>
      </c>
      <c r="N2044" s="5">
        <v>67300000</v>
      </c>
      <c r="O2044" s="5">
        <v>70300000</v>
      </c>
      <c r="P2044" s="3">
        <v>0.97916666666666663</v>
      </c>
    </row>
    <row r="2045" spans="1:16" x14ac:dyDescent="0.25">
      <c r="A2045" t="s">
        <v>1257</v>
      </c>
      <c r="B2045" s="2">
        <v>45343</v>
      </c>
      <c r="C2045" t="str">
        <f>+"Tuáº§n "&amp;WEEKNUM(B2045)</f>
        <v>Tuáº§n 8</v>
      </c>
      <c r="D2045" t="s">
        <v>19</v>
      </c>
      <c r="E2045" t="s">
        <v>17</v>
      </c>
      <c r="F2045" s="5">
        <v>66600000</v>
      </c>
      <c r="G2045" s="5">
        <v>69600000</v>
      </c>
      <c r="H2045" s="5">
        <f>+(M2045*26000)/0.829426</f>
        <v>63392997.084730886</v>
      </c>
      <c r="I2045" s="5">
        <f>+G2045-H2045</f>
        <v>6207002.9152691141</v>
      </c>
      <c r="J2045" s="5">
        <v>3000000</v>
      </c>
      <c r="K2045" s="5">
        <v>6660000</v>
      </c>
      <c r="L2045" s="5">
        <v>6960000</v>
      </c>
      <c r="M2045" s="7">
        <v>2022.3</v>
      </c>
      <c r="N2045" s="5">
        <v>67100000</v>
      </c>
      <c r="O2045" s="5">
        <v>70100000</v>
      </c>
      <c r="P2045" s="3">
        <v>0.97916666666666663</v>
      </c>
    </row>
    <row r="2046" spans="1:16" x14ac:dyDescent="0.25">
      <c r="A2046" t="s">
        <v>1258</v>
      </c>
      <c r="B2046" s="2">
        <v>45344</v>
      </c>
      <c r="C2046" t="str">
        <f>+"Tuáº§n "&amp;WEEKNUM(B2046)</f>
        <v>Tuáº§n 8</v>
      </c>
      <c r="D2046" t="s">
        <v>20</v>
      </c>
      <c r="E2046" t="s">
        <v>17</v>
      </c>
      <c r="F2046" s="5">
        <v>66500000</v>
      </c>
      <c r="G2046" s="5">
        <v>69500000</v>
      </c>
      <c r="H2046" s="5">
        <f>+(M2046*26000)/0.829426</f>
        <v>63311494.937462777</v>
      </c>
      <c r="I2046" s="5">
        <f>+G2046-H2046</f>
        <v>6188505.0625372231</v>
      </c>
      <c r="J2046" s="5">
        <v>3000000</v>
      </c>
      <c r="K2046" s="5">
        <v>6650000</v>
      </c>
      <c r="L2046" s="5">
        <v>6950000</v>
      </c>
      <c r="M2046" s="7">
        <v>2019.7</v>
      </c>
      <c r="N2046" s="5">
        <v>67000000</v>
      </c>
      <c r="O2046" s="5">
        <v>70000000</v>
      </c>
      <c r="P2046" s="3">
        <v>0.97916666666666663</v>
      </c>
    </row>
    <row r="2047" spans="1:16" x14ac:dyDescent="0.25">
      <c r="A2047" t="s">
        <v>1259</v>
      </c>
      <c r="B2047" s="2">
        <v>45345</v>
      </c>
      <c r="C2047" t="str">
        <f>+"Tuáº§n "&amp;WEEKNUM(B2047)</f>
        <v>Tuáº§n 8</v>
      </c>
      <c r="D2047" t="s">
        <v>21</v>
      </c>
      <c r="E2047" t="s">
        <v>17</v>
      </c>
      <c r="F2047" s="5">
        <v>67100000</v>
      </c>
      <c r="G2047" s="5">
        <v>70100000</v>
      </c>
      <c r="H2047" s="5">
        <f>+(M2047*26000)/0.829426</f>
        <v>63903952.854142502</v>
      </c>
      <c r="I2047" s="5">
        <f>+G2047-H2047</f>
        <v>6196047.145857498</v>
      </c>
      <c r="J2047" s="5">
        <v>3000000</v>
      </c>
      <c r="K2047" s="5">
        <v>6710000</v>
      </c>
      <c r="L2047" s="5">
        <v>7010000</v>
      </c>
      <c r="M2047" s="7">
        <v>2038.6</v>
      </c>
      <c r="N2047" s="5">
        <v>67600000</v>
      </c>
      <c r="O2047" s="5">
        <v>70600000</v>
      </c>
      <c r="P2047" s="3">
        <v>0.97916666666666663</v>
      </c>
    </row>
    <row r="2048" spans="1:16" x14ac:dyDescent="0.25">
      <c r="A2048" t="s">
        <v>1260</v>
      </c>
      <c r="B2048" s="2">
        <v>45348</v>
      </c>
      <c r="C2048" t="str">
        <f>+"Tuáº§n "&amp;WEEKNUM(B2048)</f>
        <v>Tuáº§n 9</v>
      </c>
      <c r="D2048" t="s">
        <v>16</v>
      </c>
      <c r="E2048" t="s">
        <v>17</v>
      </c>
      <c r="F2048" s="5">
        <v>66800000</v>
      </c>
      <c r="G2048" s="5">
        <v>69800000</v>
      </c>
      <c r="H2048" s="5">
        <f>+(M2048*26000)/0.829426</f>
        <v>63587348.35898561</v>
      </c>
      <c r="I2048" s="5">
        <f>+G2048-H2048</f>
        <v>6212651.6410143897</v>
      </c>
      <c r="J2048" s="5">
        <v>3000000</v>
      </c>
      <c r="K2048" s="5">
        <v>6680000</v>
      </c>
      <c r="L2048" s="5">
        <v>6980000</v>
      </c>
      <c r="M2048" s="7">
        <v>2028.5</v>
      </c>
      <c r="N2048" s="5">
        <v>67300000</v>
      </c>
      <c r="O2048" s="5">
        <v>70300000</v>
      </c>
      <c r="P2048" s="3">
        <v>0.97916666666666663</v>
      </c>
    </row>
    <row r="2049" spans="1:16" x14ac:dyDescent="0.25">
      <c r="A2049" t="s">
        <v>1261</v>
      </c>
      <c r="B2049" s="2">
        <v>45349</v>
      </c>
      <c r="C2049" t="str">
        <f>+"Tuáº§n "&amp;WEEKNUM(B2049)</f>
        <v>Tuáº§n 9</v>
      </c>
      <c r="D2049" t="s">
        <v>18</v>
      </c>
      <c r="E2049" t="s">
        <v>17</v>
      </c>
      <c r="F2049" s="5">
        <v>67000000</v>
      </c>
      <c r="G2049" s="5">
        <v>70000000</v>
      </c>
      <c r="H2049" s="5">
        <f>+(M2049*26000)/0.829426</f>
        <v>63759756.747437388</v>
      </c>
      <c r="I2049" s="5">
        <f>+G2049-H2049</f>
        <v>6240243.2525626123</v>
      </c>
      <c r="J2049" s="5">
        <v>3000000</v>
      </c>
      <c r="K2049" s="5">
        <v>6700000</v>
      </c>
      <c r="L2049" s="5">
        <v>7000000</v>
      </c>
      <c r="M2049" s="7">
        <v>2034</v>
      </c>
      <c r="N2049" s="5">
        <v>67500000</v>
      </c>
      <c r="O2049" s="5">
        <v>70500000</v>
      </c>
      <c r="P2049" s="3">
        <v>0.97916666666666663</v>
      </c>
    </row>
    <row r="2050" spans="1:16" x14ac:dyDescent="0.25">
      <c r="A2050" t="s">
        <v>1262</v>
      </c>
      <c r="B2050" s="2">
        <v>45350</v>
      </c>
      <c r="C2050" t="str">
        <f>+"Tuáº§n "&amp;WEEKNUM(B2050)</f>
        <v>Tuáº§n 9</v>
      </c>
      <c r="D2050" t="s">
        <v>19</v>
      </c>
      <c r="E2050" t="s">
        <v>17</v>
      </c>
      <c r="F2050" s="5">
        <v>66900000</v>
      </c>
      <c r="G2050" s="5">
        <v>69900000</v>
      </c>
      <c r="H2050" s="5">
        <f>+(M2050*26000)/0.829426</f>
        <v>63728409.767718881</v>
      </c>
      <c r="I2050" s="5">
        <f>+G2050-H2050</f>
        <v>6171590.2322811186</v>
      </c>
      <c r="J2050" s="5">
        <v>3000000</v>
      </c>
      <c r="K2050" s="5">
        <v>6690000</v>
      </c>
      <c r="L2050" s="5">
        <v>6990000</v>
      </c>
      <c r="M2050" s="7">
        <v>2033</v>
      </c>
      <c r="N2050" s="5">
        <v>67400000</v>
      </c>
      <c r="O2050" s="5">
        <v>70400000</v>
      </c>
      <c r="P2050" s="3">
        <v>0.97916666666666663</v>
      </c>
    </row>
    <row r="2051" spans="1:16" x14ac:dyDescent="0.25">
      <c r="A2051" t="s">
        <v>1263</v>
      </c>
      <c r="B2051" s="2">
        <v>45351</v>
      </c>
      <c r="C2051" t="str">
        <f>+"Tuáº§n "&amp;WEEKNUM(B2051)</f>
        <v>Tuáº§n 9</v>
      </c>
      <c r="D2051" t="s">
        <v>20</v>
      </c>
      <c r="E2051" t="s">
        <v>17</v>
      </c>
      <c r="F2051" s="5">
        <v>67400000</v>
      </c>
      <c r="G2051" s="5">
        <v>70400000</v>
      </c>
      <c r="H2051" s="5">
        <f>+(M2051*26000)/0.829426</f>
        <v>64126516.410143882</v>
      </c>
      <c r="I2051" s="5">
        <f>+G2051-H2051</f>
        <v>6273483.589856118</v>
      </c>
      <c r="J2051" s="5">
        <v>3000000</v>
      </c>
      <c r="K2051" s="5">
        <v>6740000</v>
      </c>
      <c r="L2051" s="5">
        <v>7040000</v>
      </c>
      <c r="M2051" s="7">
        <v>2045.7</v>
      </c>
      <c r="N2051" s="5">
        <v>67900000</v>
      </c>
      <c r="O2051" s="5">
        <v>70900000</v>
      </c>
      <c r="P2051" s="3">
        <v>0.97916666666666663</v>
      </c>
    </row>
    <row r="2052" spans="1:16" x14ac:dyDescent="0.25">
      <c r="A2052" s="2">
        <v>45294</v>
      </c>
      <c r="B2052" s="2">
        <v>45352</v>
      </c>
      <c r="C2052" t="str">
        <f>+"Tuáº§n "&amp;WEEKNUM(B2052)</f>
        <v>Tuáº§n 9</v>
      </c>
      <c r="D2052" t="s">
        <v>21</v>
      </c>
      <c r="E2052" t="s">
        <v>17</v>
      </c>
      <c r="F2052" s="5">
        <v>68800000</v>
      </c>
      <c r="G2052" s="5">
        <v>71800000</v>
      </c>
      <c r="H2052" s="5">
        <f>+(M2052*26000)/0.829426</f>
        <v>65418011.974546254</v>
      </c>
      <c r="I2052" s="5">
        <f>+G2052-H2052</f>
        <v>6381988.0254537463</v>
      </c>
      <c r="J2052" s="5">
        <v>3000000</v>
      </c>
      <c r="K2052" s="5">
        <v>6880000</v>
      </c>
      <c r="L2052" s="5">
        <v>7180000</v>
      </c>
      <c r="M2052" s="7">
        <v>2086.9</v>
      </c>
      <c r="N2052" s="5">
        <v>69300000</v>
      </c>
      <c r="O2052" s="5">
        <v>72300000</v>
      </c>
      <c r="P2052" s="3">
        <v>0.97916666666666663</v>
      </c>
    </row>
    <row r="2053" spans="1:16" x14ac:dyDescent="0.25">
      <c r="A2053" s="2">
        <v>45385</v>
      </c>
      <c r="B2053" s="2">
        <v>45355</v>
      </c>
      <c r="C2053" t="str">
        <f>+"Tuáº§n "&amp;WEEKNUM(B2053)</f>
        <v>Tuáº§n 10</v>
      </c>
      <c r="D2053" t="s">
        <v>16</v>
      </c>
      <c r="E2053" t="s">
        <v>17</v>
      </c>
      <c r="F2053" s="5">
        <v>69900000</v>
      </c>
      <c r="G2053" s="5">
        <v>72900000</v>
      </c>
      <c r="H2053" s="5">
        <f>+(M2053*26000)/0.829426</f>
        <v>66383498.949876174</v>
      </c>
      <c r="I2053" s="5">
        <f>+G2053-H2053</f>
        <v>6516501.0501238257</v>
      </c>
      <c r="J2053" s="5">
        <v>3000000</v>
      </c>
      <c r="K2053" s="5">
        <v>6990000</v>
      </c>
      <c r="L2053" s="5">
        <v>7290000</v>
      </c>
      <c r="M2053" s="7">
        <v>2117.6999999999998</v>
      </c>
      <c r="N2053" s="5">
        <v>70400000</v>
      </c>
      <c r="O2053" s="5">
        <v>73400000</v>
      </c>
      <c r="P2053" s="3">
        <v>0.97916666666666663</v>
      </c>
    </row>
    <row r="2054" spans="1:16" x14ac:dyDescent="0.25">
      <c r="A2054" s="2">
        <v>45415</v>
      </c>
      <c r="B2054" s="2">
        <v>45356</v>
      </c>
      <c r="C2054" t="str">
        <f>+"Tuáº§n "&amp;WEEKNUM(B2054)</f>
        <v>Tuáº§n 10</v>
      </c>
      <c r="D2054" t="s">
        <v>18</v>
      </c>
      <c r="E2054" t="s">
        <v>17</v>
      </c>
      <c r="F2054" s="5">
        <v>70400000</v>
      </c>
      <c r="G2054" s="5">
        <v>73400000</v>
      </c>
      <c r="H2054" s="5">
        <f>+(M2054*26000)/0.829426</f>
        <v>66878781.229428545</v>
      </c>
      <c r="I2054" s="5">
        <f>+G2054-H2054</f>
        <v>6521218.7705714554</v>
      </c>
      <c r="J2054" s="5">
        <v>3000000</v>
      </c>
      <c r="K2054" s="5">
        <v>7040000</v>
      </c>
      <c r="L2054" s="5">
        <v>7340000</v>
      </c>
      <c r="M2054" s="7">
        <v>2133.5</v>
      </c>
      <c r="N2054" s="5">
        <v>70900000</v>
      </c>
      <c r="O2054" s="5">
        <v>73900000</v>
      </c>
      <c r="P2054" s="3">
        <v>0.97916666666666663</v>
      </c>
    </row>
    <row r="2055" spans="1:16" x14ac:dyDescent="0.25">
      <c r="A2055" s="2">
        <v>45446</v>
      </c>
      <c r="B2055" s="2">
        <v>45357</v>
      </c>
      <c r="C2055" t="str">
        <f>+"Tuáº§n "&amp;WEEKNUM(B2055)</f>
        <v>Tuáº§n 10</v>
      </c>
      <c r="D2055" t="s">
        <v>19</v>
      </c>
      <c r="E2055" t="s">
        <v>17</v>
      </c>
      <c r="F2055" s="5">
        <v>71000000</v>
      </c>
      <c r="G2055" s="5">
        <v>74000000</v>
      </c>
      <c r="H2055" s="5">
        <f>+(M2055*26000)/0.829426</f>
        <v>67405410.488699421</v>
      </c>
      <c r="I2055" s="5">
        <f>+G2055-H2055</f>
        <v>6594589.5113005787</v>
      </c>
      <c r="J2055" s="5">
        <v>3000000</v>
      </c>
      <c r="K2055" s="5">
        <v>7100000</v>
      </c>
      <c r="L2055" s="5">
        <v>7400000</v>
      </c>
      <c r="M2055" s="7">
        <v>2150.3000000000002</v>
      </c>
      <c r="N2055" s="5">
        <v>71500000</v>
      </c>
      <c r="O2055" s="5">
        <v>74500000</v>
      </c>
      <c r="P2055" s="3">
        <v>0.97916666666666663</v>
      </c>
    </row>
    <row r="2056" spans="1:16" x14ac:dyDescent="0.25">
      <c r="A2056" s="2">
        <v>45476</v>
      </c>
      <c r="B2056" s="2">
        <v>45358</v>
      </c>
      <c r="C2056" t="str">
        <f>+"Tuáº§n "&amp;WEEKNUM(B2056)</f>
        <v>Tuáº§n 10</v>
      </c>
      <c r="D2056" t="s">
        <v>20</v>
      </c>
      <c r="E2056" t="s">
        <v>17</v>
      </c>
      <c r="F2056" s="5">
        <v>71200000</v>
      </c>
      <c r="G2056" s="5">
        <v>74200000</v>
      </c>
      <c r="H2056" s="5">
        <f>+(M2056*26000)/0.829426</f>
        <v>67646782.23253189</v>
      </c>
      <c r="I2056" s="5">
        <f>+G2056-H2056</f>
        <v>6553217.7674681097</v>
      </c>
      <c r="J2056" s="5">
        <v>3000000</v>
      </c>
      <c r="K2056" s="5">
        <v>7120000</v>
      </c>
      <c r="L2056" s="5">
        <v>7420000</v>
      </c>
      <c r="M2056" s="7">
        <v>2158</v>
      </c>
      <c r="N2056" s="5">
        <v>71700000</v>
      </c>
      <c r="O2056" s="5">
        <v>74700000</v>
      </c>
      <c r="P2056" s="3">
        <v>0.97916666666666663</v>
      </c>
    </row>
    <row r="2057" spans="1:16" x14ac:dyDescent="0.25">
      <c r="A2057" s="2">
        <v>45507</v>
      </c>
      <c r="B2057" s="2">
        <v>45359</v>
      </c>
      <c r="C2057" t="str">
        <f>+"Tuáº§n "&amp;WEEKNUM(B2057)</f>
        <v>Tuáº§n 10</v>
      </c>
      <c r="D2057" t="s">
        <v>21</v>
      </c>
      <c r="E2057" t="s">
        <v>17</v>
      </c>
      <c r="F2057" s="5">
        <v>72000000</v>
      </c>
      <c r="G2057" s="5">
        <v>75000000</v>
      </c>
      <c r="H2057" s="5">
        <f>+(M2057*26000)/0.829426</f>
        <v>68292530.014733076</v>
      </c>
      <c r="I2057" s="5">
        <f>+G2057-H2057</f>
        <v>6707469.9852669239</v>
      </c>
      <c r="J2057" s="5">
        <v>3000000</v>
      </c>
      <c r="K2057" s="5">
        <v>7200000</v>
      </c>
      <c r="L2057" s="5">
        <v>7500000</v>
      </c>
      <c r="M2057" s="7">
        <v>2178.6</v>
      </c>
      <c r="N2057" s="5">
        <v>72500000</v>
      </c>
      <c r="O2057" s="5">
        <v>75500000</v>
      </c>
      <c r="P2057" s="3">
        <v>0.97916666666666663</v>
      </c>
    </row>
    <row r="2058" spans="1:16" x14ac:dyDescent="0.25">
      <c r="A2058" s="2">
        <v>45599</v>
      </c>
      <c r="B2058" s="2">
        <v>45362</v>
      </c>
      <c r="C2058" t="str">
        <f>+"Tuáº§n "&amp;WEEKNUM(B2058)</f>
        <v>Tuáº§n 11</v>
      </c>
      <c r="D2058" t="s">
        <v>16</v>
      </c>
      <c r="E2058" t="s">
        <v>17</v>
      </c>
      <c r="F2058" s="5">
        <v>72100000</v>
      </c>
      <c r="G2058" s="5">
        <v>75100000</v>
      </c>
      <c r="H2058" s="5">
        <f>+(M2058*26000)/0.829426</f>
        <v>68414783.235635251</v>
      </c>
      <c r="I2058" s="5">
        <f>+G2058-H2058</f>
        <v>6685216.7643647492</v>
      </c>
      <c r="J2058" s="5">
        <v>3000000</v>
      </c>
      <c r="K2058" s="5">
        <v>7210000</v>
      </c>
      <c r="L2058" s="5">
        <v>7510000</v>
      </c>
      <c r="M2058" s="7">
        <v>2182.5</v>
      </c>
      <c r="N2058" s="5">
        <v>72600000</v>
      </c>
      <c r="O2058" s="5">
        <v>75600000</v>
      </c>
      <c r="P2058" s="3">
        <v>0.97916666666666663</v>
      </c>
    </row>
    <row r="2059" spans="1:16" x14ac:dyDescent="0.25">
      <c r="A2059" s="2">
        <v>45629</v>
      </c>
      <c r="B2059" s="2">
        <v>45363</v>
      </c>
      <c r="C2059" t="str">
        <f>+"Tuáº§n "&amp;WEEKNUM(B2059)</f>
        <v>Tuáº§n 11</v>
      </c>
      <c r="D2059" t="s">
        <v>18</v>
      </c>
      <c r="E2059" t="s">
        <v>17</v>
      </c>
      <c r="F2059" s="5">
        <v>71300000</v>
      </c>
      <c r="G2059" s="5">
        <v>74300000</v>
      </c>
      <c r="H2059" s="5">
        <f>+(M2059*26000)/0.829426</f>
        <v>67722014.983856305</v>
      </c>
      <c r="I2059" s="5">
        <f>+G2059-H2059</f>
        <v>6577985.0161436945</v>
      </c>
      <c r="J2059" s="5">
        <v>3000000</v>
      </c>
      <c r="K2059" s="5">
        <v>7130000</v>
      </c>
      <c r="L2059" s="5">
        <v>7430000</v>
      </c>
      <c r="M2059" s="7">
        <v>2160.4</v>
      </c>
      <c r="N2059" s="5">
        <v>71800000</v>
      </c>
      <c r="O2059" s="5">
        <v>74800000</v>
      </c>
      <c r="P2059" s="3">
        <v>0.97916666666666663</v>
      </c>
    </row>
    <row r="2060" spans="1:16" x14ac:dyDescent="0.25">
      <c r="A2060" t="s">
        <v>1264</v>
      </c>
      <c r="B2060" s="2">
        <v>45364</v>
      </c>
      <c r="C2060" t="str">
        <f>+"Tuáº§n "&amp;WEEKNUM(B2060)</f>
        <v>Tuáº§n 11</v>
      </c>
      <c r="D2060" t="s">
        <v>19</v>
      </c>
      <c r="E2060" t="s">
        <v>17</v>
      </c>
      <c r="F2060" s="5">
        <v>71800000</v>
      </c>
      <c r="G2060" s="5">
        <v>74800000</v>
      </c>
      <c r="H2060" s="5">
        <f>+(M2060*26000)/0.829426</f>
        <v>68192219.679633871</v>
      </c>
      <c r="I2060" s="5">
        <f>+G2060-H2060</f>
        <v>6607780.3203661293</v>
      </c>
      <c r="J2060" s="5">
        <v>3000000</v>
      </c>
      <c r="K2060" s="5">
        <v>7180000</v>
      </c>
      <c r="L2060" s="5">
        <v>7480000</v>
      </c>
      <c r="M2060" s="7">
        <v>2175.4</v>
      </c>
      <c r="N2060" s="5">
        <v>72300000</v>
      </c>
      <c r="O2060" s="5">
        <v>75300000</v>
      </c>
      <c r="P2060" s="3">
        <v>0.97916666666666663</v>
      </c>
    </row>
    <row r="2061" spans="1:16" x14ac:dyDescent="0.25">
      <c r="A2061" t="s">
        <v>1265</v>
      </c>
      <c r="B2061" s="2">
        <v>45365</v>
      </c>
      <c r="C2061" t="str">
        <f>+"Tuáº§n "&amp;WEEKNUM(B2061)</f>
        <v>Tuáº§n 11</v>
      </c>
      <c r="D2061" t="s">
        <v>20</v>
      </c>
      <c r="E2061" t="s">
        <v>17</v>
      </c>
      <c r="F2061" s="5">
        <v>71400000</v>
      </c>
      <c r="G2061" s="5">
        <v>74400000</v>
      </c>
      <c r="H2061" s="5">
        <f>+(M2061*26000)/0.829426</f>
        <v>67803517.131124422</v>
      </c>
      <c r="I2061" s="5">
        <f>+G2061-H2061</f>
        <v>6596482.868875578</v>
      </c>
      <c r="J2061" s="5">
        <v>3000000</v>
      </c>
      <c r="K2061" s="5">
        <v>7140000</v>
      </c>
      <c r="L2061" s="5">
        <v>7440000</v>
      </c>
      <c r="M2061" s="7">
        <v>2163</v>
      </c>
      <c r="N2061" s="5">
        <v>71900000</v>
      </c>
      <c r="O2061" s="5">
        <v>74900000</v>
      </c>
      <c r="P2061" s="3">
        <v>0.97916666666666663</v>
      </c>
    </row>
    <row r="2062" spans="1:16" x14ac:dyDescent="0.25">
      <c r="A2062" t="s">
        <v>1266</v>
      </c>
      <c r="B2062" s="2">
        <v>45366</v>
      </c>
      <c r="C2062" t="str">
        <f>+"Tuáº§n "&amp;WEEKNUM(B2062)</f>
        <v>Tuáº§n 11</v>
      </c>
      <c r="D2062" t="s">
        <v>21</v>
      </c>
      <c r="E2062" t="s">
        <v>17</v>
      </c>
      <c r="F2062" s="5">
        <v>71200000</v>
      </c>
      <c r="G2062" s="5">
        <v>74200000</v>
      </c>
      <c r="H2062" s="5">
        <f>+(M2062*26000)/0.829426</f>
        <v>67624839.346728951</v>
      </c>
      <c r="I2062" s="5">
        <f>+G2062-H2062</f>
        <v>6575160.6532710493</v>
      </c>
      <c r="J2062" s="5">
        <v>3000000</v>
      </c>
      <c r="K2062" s="5">
        <v>7120000</v>
      </c>
      <c r="L2062" s="5">
        <v>7420000</v>
      </c>
      <c r="M2062" s="7">
        <v>2157.3000000000002</v>
      </c>
      <c r="N2062" s="5">
        <v>71700000</v>
      </c>
      <c r="O2062" s="5">
        <v>74700000</v>
      </c>
      <c r="P2062" s="3">
        <v>0.97916666666666663</v>
      </c>
    </row>
    <row r="2063" spans="1:16" x14ac:dyDescent="0.25">
      <c r="A2063" t="s">
        <v>1267</v>
      </c>
      <c r="B2063" s="2">
        <v>45369</v>
      </c>
      <c r="C2063" t="str">
        <f>+"Tuáº§n "&amp;WEEKNUM(B2063)</f>
        <v>Tuáº§n 12</v>
      </c>
      <c r="D2063" t="s">
        <v>16</v>
      </c>
      <c r="E2063" t="s">
        <v>17</v>
      </c>
      <c r="F2063" s="5">
        <v>71300000</v>
      </c>
      <c r="G2063" s="5">
        <v>74300000</v>
      </c>
      <c r="H2063" s="5">
        <f>+(M2063*26000)/0.829426</f>
        <v>67731419.077771842</v>
      </c>
      <c r="I2063" s="5">
        <f>+G2063-H2063</f>
        <v>6568580.9222281575</v>
      </c>
      <c r="J2063" s="5">
        <v>3000000</v>
      </c>
      <c r="K2063" s="5">
        <v>7130000</v>
      </c>
      <c r="L2063" s="5">
        <v>7430000</v>
      </c>
      <c r="M2063" s="7">
        <v>2160.6999999999998</v>
      </c>
      <c r="N2063" s="5">
        <v>71800000</v>
      </c>
      <c r="O2063" s="5">
        <v>74800000</v>
      </c>
      <c r="P2063" s="3">
        <v>0.97916666666666663</v>
      </c>
    </row>
    <row r="2064" spans="1:16" x14ac:dyDescent="0.25">
      <c r="A2064" t="s">
        <v>1268</v>
      </c>
      <c r="B2064" s="2">
        <v>45370</v>
      </c>
      <c r="C2064" t="str">
        <f>+"Tuáº§n "&amp;WEEKNUM(B2064)</f>
        <v>Tuáº§n 12</v>
      </c>
      <c r="D2064" t="s">
        <v>18</v>
      </c>
      <c r="E2064" t="s">
        <v>17</v>
      </c>
      <c r="F2064" s="5">
        <v>71200000</v>
      </c>
      <c r="G2064" s="5">
        <v>74200000</v>
      </c>
      <c r="H2064" s="5">
        <f>+(M2064*26000)/0.829426</f>
        <v>67593492.367010444</v>
      </c>
      <c r="I2064" s="5">
        <f>+G2064-H2064</f>
        <v>6606507.6329895556</v>
      </c>
      <c r="J2064" s="5">
        <v>3000000</v>
      </c>
      <c r="K2064" s="5">
        <v>7120000</v>
      </c>
      <c r="L2064" s="5">
        <v>7420000</v>
      </c>
      <c r="M2064" s="7">
        <v>2156.3000000000002</v>
      </c>
      <c r="N2064" s="5">
        <v>71700000</v>
      </c>
      <c r="O2064" s="5">
        <v>74700000</v>
      </c>
      <c r="P2064" s="3">
        <v>0.97916666666666663</v>
      </c>
    </row>
    <row r="2065" spans="1:16" x14ac:dyDescent="0.25">
      <c r="A2065" t="s">
        <v>1269</v>
      </c>
      <c r="B2065" s="2">
        <v>45371</v>
      </c>
      <c r="C2065" t="str">
        <f>+"Tuáº§n "&amp;WEEKNUM(B2065)</f>
        <v>Tuáº§n 12</v>
      </c>
      <c r="D2065" t="s">
        <v>19</v>
      </c>
      <c r="E2065" t="s">
        <v>17</v>
      </c>
      <c r="F2065" s="5">
        <v>71200000</v>
      </c>
      <c r="G2065" s="5">
        <v>74200000</v>
      </c>
      <c r="H2065" s="5">
        <f>+(M2065*26000)/0.829426</f>
        <v>67643647.53456004</v>
      </c>
      <c r="I2065" s="5">
        <f>+G2065-H2065</f>
        <v>6556352.4654399604</v>
      </c>
      <c r="J2065" s="5">
        <v>3000000</v>
      </c>
      <c r="K2065" s="5">
        <v>7120000</v>
      </c>
      <c r="L2065" s="5">
        <v>7420000</v>
      </c>
      <c r="M2065" s="7">
        <v>2157.9</v>
      </c>
      <c r="N2065" s="5">
        <v>71700000</v>
      </c>
      <c r="O2065" s="5">
        <v>74700000</v>
      </c>
      <c r="P2065" s="3">
        <v>0.97916666666666663</v>
      </c>
    </row>
    <row r="2066" spans="1:16" x14ac:dyDescent="0.25">
      <c r="A2066" t="s">
        <v>1270</v>
      </c>
      <c r="B2066" s="2">
        <v>45372</v>
      </c>
      <c r="C2066" t="str">
        <f>+"Tuáº§n "&amp;WEEKNUM(B2066)</f>
        <v>Tuáº§n 12</v>
      </c>
      <c r="D2066" t="s">
        <v>20</v>
      </c>
      <c r="E2066" t="s">
        <v>17</v>
      </c>
      <c r="F2066" s="5">
        <v>72100000</v>
      </c>
      <c r="G2066" s="5">
        <v>75100000</v>
      </c>
      <c r="H2066" s="5">
        <f>+(M2066*26000)/0.829426</f>
        <v>68411648.5376634</v>
      </c>
      <c r="I2066" s="5">
        <f>+G2066-H2066</f>
        <v>6688351.4623365998</v>
      </c>
      <c r="J2066" s="5">
        <v>3000000</v>
      </c>
      <c r="K2066" s="5">
        <v>7210000</v>
      </c>
      <c r="L2066" s="5">
        <v>7510000</v>
      </c>
      <c r="M2066" s="7">
        <v>2182.4</v>
      </c>
      <c r="N2066" s="5">
        <v>72600000</v>
      </c>
      <c r="O2066" s="5">
        <v>75600000</v>
      </c>
      <c r="P2066" s="3">
        <v>0.97916666666666663</v>
      </c>
    </row>
    <row r="2067" spans="1:16" x14ac:dyDescent="0.25">
      <c r="A2067" t="s">
        <v>1271</v>
      </c>
      <c r="B2067" s="2">
        <v>45373</v>
      </c>
      <c r="C2067" t="str">
        <f>+"Tuáº§n "&amp;WEEKNUM(B2067)</f>
        <v>Tuáº§n 12</v>
      </c>
      <c r="D2067" t="s">
        <v>21</v>
      </c>
      <c r="E2067" t="s">
        <v>17</v>
      </c>
      <c r="F2067" s="5">
        <v>71200000</v>
      </c>
      <c r="G2067" s="5">
        <v>74200000</v>
      </c>
      <c r="H2067" s="5">
        <f>+(M2067*26000)/0.829426</f>
        <v>67649916.930503741</v>
      </c>
      <c r="I2067" s="5">
        <f>+G2067-H2067</f>
        <v>6550083.0694962591</v>
      </c>
      <c r="J2067" s="5">
        <v>3000000</v>
      </c>
      <c r="K2067" s="5">
        <v>7120000</v>
      </c>
      <c r="L2067" s="5">
        <v>7420000</v>
      </c>
      <c r="M2067" s="7">
        <v>2158.1</v>
      </c>
      <c r="N2067" s="5">
        <v>71700000</v>
      </c>
      <c r="O2067" s="5">
        <v>74700000</v>
      </c>
      <c r="P2067" s="3">
        <v>0.97916666666666663</v>
      </c>
    </row>
    <row r="2068" spans="1:16" x14ac:dyDescent="0.25">
      <c r="A2068" t="s">
        <v>1272</v>
      </c>
      <c r="B2068" s="2">
        <v>45376</v>
      </c>
      <c r="C2068" t="str">
        <f>+"Tuáº§n "&amp;WEEKNUM(B2068)</f>
        <v>Tuáº§n 13</v>
      </c>
      <c r="D2068" t="s">
        <v>16</v>
      </c>
      <c r="E2068" t="s">
        <v>17</v>
      </c>
      <c r="F2068" s="5">
        <v>71800000</v>
      </c>
      <c r="G2068" s="5">
        <v>74800000</v>
      </c>
      <c r="H2068" s="5">
        <f>+(M2068*26000)/0.829426</f>
        <v>68173411.491802767</v>
      </c>
      <c r="I2068" s="5">
        <f>+G2068-H2068</f>
        <v>6626588.5081972331</v>
      </c>
      <c r="J2068" s="5">
        <v>3000000</v>
      </c>
      <c r="K2068" s="5">
        <v>7180000</v>
      </c>
      <c r="L2068" s="5">
        <v>7480000</v>
      </c>
      <c r="M2068" s="7">
        <v>2174.8000000000002</v>
      </c>
      <c r="N2068" s="5">
        <v>72300000</v>
      </c>
      <c r="O2068" s="5">
        <v>75300000</v>
      </c>
      <c r="P2068" s="3">
        <v>0.97916666666666663</v>
      </c>
    </row>
    <row r="2069" spans="1:16" x14ac:dyDescent="0.25">
      <c r="A2069" t="s">
        <v>1273</v>
      </c>
      <c r="B2069" s="2">
        <v>45377</v>
      </c>
      <c r="C2069" t="str">
        <f>+"Tuáº§n "&amp;WEEKNUM(B2069)</f>
        <v>Tuáº§n 13</v>
      </c>
      <c r="D2069" t="s">
        <v>18</v>
      </c>
      <c r="E2069" t="s">
        <v>17</v>
      </c>
      <c r="F2069" s="5">
        <v>71900000</v>
      </c>
      <c r="G2069" s="5">
        <v>74900000</v>
      </c>
      <c r="H2069" s="5">
        <f>+(M2069*26000)/0.829426</f>
        <v>68198489.075577572</v>
      </c>
      <c r="I2069" s="5">
        <f>+G2069-H2069</f>
        <v>6701510.924422428</v>
      </c>
      <c r="J2069" s="5">
        <v>3000000</v>
      </c>
      <c r="K2069" s="5">
        <v>7190000</v>
      </c>
      <c r="L2069" s="5">
        <v>7490000</v>
      </c>
      <c r="M2069" s="7">
        <v>2175.6</v>
      </c>
      <c r="N2069" s="5">
        <v>72400000</v>
      </c>
      <c r="O2069" s="5">
        <v>75400000</v>
      </c>
      <c r="P2069" s="3">
        <v>0.97916666666666663</v>
      </c>
    </row>
    <row r="2070" spans="1:16" x14ac:dyDescent="0.25">
      <c r="A2070" t="s">
        <v>1274</v>
      </c>
      <c r="B2070" s="2">
        <v>45378</v>
      </c>
      <c r="C2070" t="str">
        <f>+"Tuáº§n "&amp;WEEKNUM(B2070)</f>
        <v>Tuáº§n 13</v>
      </c>
      <c r="D2070" t="s">
        <v>19</v>
      </c>
      <c r="E2070" t="s">
        <v>17</v>
      </c>
      <c r="F2070" s="5">
        <v>72400000</v>
      </c>
      <c r="G2070" s="5">
        <v>75400000</v>
      </c>
      <c r="H2070" s="5">
        <f>+(M2070*26000)/0.829426</f>
        <v>68668693.771355137</v>
      </c>
      <c r="I2070" s="5">
        <f>+G2070-H2070</f>
        <v>6731306.2286448628</v>
      </c>
      <c r="J2070" s="5">
        <v>3000000</v>
      </c>
      <c r="K2070" s="5">
        <v>7240000</v>
      </c>
      <c r="L2070" s="5">
        <v>7540000</v>
      </c>
      <c r="M2070" s="7">
        <v>2190.6</v>
      </c>
      <c r="N2070" s="5">
        <v>72900000</v>
      </c>
      <c r="O2070" s="5">
        <v>75900000</v>
      </c>
      <c r="P2070" s="3">
        <v>0.97916666666666663</v>
      </c>
    </row>
    <row r="2071" spans="1:16" x14ac:dyDescent="0.25">
      <c r="A2071" t="s">
        <v>1275</v>
      </c>
      <c r="B2071" s="2">
        <v>45379</v>
      </c>
      <c r="C2071" t="str">
        <f>+"Tuáº§n "&amp;WEEKNUM(B2071)</f>
        <v>Tuáº§n 13</v>
      </c>
      <c r="D2071" t="s">
        <v>20</v>
      </c>
      <c r="E2071" t="s">
        <v>17</v>
      </c>
      <c r="F2071" s="5">
        <v>73300000</v>
      </c>
      <c r="G2071" s="5">
        <v>76300000</v>
      </c>
      <c r="H2071" s="5">
        <f>+(M2071*26000)/0.829426</f>
        <v>69508792.827811047</v>
      </c>
      <c r="I2071" s="5">
        <f>+G2071-H2071</f>
        <v>6791207.1721889526</v>
      </c>
      <c r="J2071" s="5">
        <v>3000000</v>
      </c>
      <c r="K2071" s="5">
        <v>7330000</v>
      </c>
      <c r="L2071" s="5">
        <v>7630000</v>
      </c>
      <c r="M2071" s="7">
        <v>2217.4</v>
      </c>
      <c r="N2071" s="5">
        <v>73800000</v>
      </c>
      <c r="O2071" s="5">
        <v>76800000</v>
      </c>
      <c r="P2071" s="3">
        <v>0.97916666666666663</v>
      </c>
    </row>
    <row r="2072" spans="1:16" x14ac:dyDescent="0.25">
      <c r="A2072" s="2">
        <v>45295</v>
      </c>
      <c r="B2072" s="2">
        <v>45383</v>
      </c>
      <c r="C2072" t="str">
        <f>+"Tuáº§n "&amp;WEEKNUM(B2072)</f>
        <v>Tuáº§n 14</v>
      </c>
      <c r="D2072" t="s">
        <v>16</v>
      </c>
      <c r="E2072" t="s">
        <v>17</v>
      </c>
      <c r="F2072" s="5">
        <v>73900000</v>
      </c>
      <c r="G2072" s="5">
        <v>76900000</v>
      </c>
      <c r="H2072" s="5">
        <f>+(M2072*26000)/0.829426</f>
        <v>70107520.140434474</v>
      </c>
      <c r="I2072" s="5">
        <f>+G2072-H2072</f>
        <v>6792479.8595655262</v>
      </c>
      <c r="J2072" s="5">
        <v>3000000</v>
      </c>
      <c r="K2072" s="5">
        <v>7390000</v>
      </c>
      <c r="L2072" s="5">
        <v>7690000</v>
      </c>
      <c r="M2072" s="7">
        <v>2236.5</v>
      </c>
      <c r="N2072" s="5">
        <v>74400000</v>
      </c>
      <c r="O2072" s="5">
        <v>77400000</v>
      </c>
      <c r="P2072" s="3">
        <v>0.97916666666666663</v>
      </c>
    </row>
    <row r="2073" spans="1:16" x14ac:dyDescent="0.25">
      <c r="A2073" s="2">
        <v>45326</v>
      </c>
      <c r="B2073" s="2">
        <v>45384</v>
      </c>
      <c r="C2073" t="str">
        <f>+"Tuáº§n "&amp;WEEKNUM(B2073)</f>
        <v>Tuáº§n 14</v>
      </c>
      <c r="D2073" t="s">
        <v>18</v>
      </c>
      <c r="E2073" t="s">
        <v>17</v>
      </c>
      <c r="F2073" s="5">
        <v>74800000</v>
      </c>
      <c r="G2073" s="5">
        <v>77800000</v>
      </c>
      <c r="H2073" s="5">
        <f>+(M2073*26000)/0.829426</f>
        <v>70875521.143537819</v>
      </c>
      <c r="I2073" s="5">
        <f>+G2073-H2073</f>
        <v>6924478.8564621806</v>
      </c>
      <c r="J2073" s="5">
        <v>3000000</v>
      </c>
      <c r="K2073" s="5">
        <v>7480000</v>
      </c>
      <c r="L2073" s="5">
        <v>7780000</v>
      </c>
      <c r="M2073" s="7">
        <v>2261</v>
      </c>
      <c r="N2073" s="5">
        <v>75300000</v>
      </c>
      <c r="O2073" s="5">
        <v>78300000</v>
      </c>
      <c r="P2073" s="3">
        <v>0.97916666666666663</v>
      </c>
    </row>
    <row r="2074" spans="1:16" x14ac:dyDescent="0.25">
      <c r="A2074" s="2">
        <v>45355</v>
      </c>
      <c r="B2074" s="2">
        <v>45385</v>
      </c>
      <c r="C2074" t="str">
        <f>+"Tuáº§n "&amp;WEEKNUM(B2074)</f>
        <v>Tuáº§n 14</v>
      </c>
      <c r="D2074" t="s">
        <v>19</v>
      </c>
      <c r="E2074" t="s">
        <v>17</v>
      </c>
      <c r="F2074" s="5">
        <v>75900000</v>
      </c>
      <c r="G2074" s="5">
        <v>78900000</v>
      </c>
      <c r="H2074" s="5">
        <f>+(M2074*26000)/0.829426</f>
        <v>71922510.266135857</v>
      </c>
      <c r="I2074" s="5">
        <f>+G2074-H2074</f>
        <v>6977489.7338641435</v>
      </c>
      <c r="J2074" s="5">
        <v>3000000</v>
      </c>
      <c r="K2074" s="5">
        <v>7590000</v>
      </c>
      <c r="L2074" s="5">
        <v>7890000</v>
      </c>
      <c r="M2074" s="7">
        <v>2294.4</v>
      </c>
      <c r="N2074" s="5">
        <v>76400000</v>
      </c>
      <c r="O2074" s="5">
        <v>79400000</v>
      </c>
      <c r="P2074" s="3">
        <v>0.97916666666666663</v>
      </c>
    </row>
    <row r="2075" spans="1:16" x14ac:dyDescent="0.25">
      <c r="A2075" s="2">
        <v>45386</v>
      </c>
      <c r="B2075" s="2">
        <v>45386</v>
      </c>
      <c r="C2075" t="str">
        <f>+"Tuáº§n "&amp;WEEKNUM(B2075)</f>
        <v>Tuáº§n 14</v>
      </c>
      <c r="D2075" t="s">
        <v>20</v>
      </c>
      <c r="E2075" t="s">
        <v>17</v>
      </c>
      <c r="F2075" s="5">
        <v>75700000</v>
      </c>
      <c r="G2075" s="5">
        <v>78700000</v>
      </c>
      <c r="H2075" s="5">
        <f>+(M2075*26000)/0.829426</f>
        <v>71746967.179712251</v>
      </c>
      <c r="I2075" s="5">
        <f>+G2075-H2075</f>
        <v>6953032.8202877492</v>
      </c>
      <c r="J2075" s="5">
        <v>3000000</v>
      </c>
      <c r="K2075" s="5">
        <v>7570000</v>
      </c>
      <c r="L2075" s="5">
        <v>7870000</v>
      </c>
      <c r="M2075" s="7">
        <v>2288.8000000000002</v>
      </c>
      <c r="N2075" s="5">
        <v>76200000</v>
      </c>
      <c r="O2075" s="5">
        <v>79200000</v>
      </c>
      <c r="P2075" s="3">
        <v>0.97916666666666663</v>
      </c>
    </row>
    <row r="2076" spans="1:16" x14ac:dyDescent="0.25">
      <c r="A2076" s="2">
        <v>45416</v>
      </c>
      <c r="B2076" s="2">
        <v>45387</v>
      </c>
      <c r="C2076" t="str">
        <f>+"Tuáº§n "&amp;WEEKNUM(B2076)</f>
        <v>Tuáº§n 14</v>
      </c>
      <c r="D2076" t="s">
        <v>21</v>
      </c>
      <c r="E2076" t="s">
        <v>17</v>
      </c>
      <c r="F2076" s="5">
        <v>77000000</v>
      </c>
      <c r="G2076" s="5">
        <v>80000000</v>
      </c>
      <c r="H2076" s="5">
        <f>+(M2076*26000)/0.829426</f>
        <v>72903670.73132503</v>
      </c>
      <c r="I2076" s="5">
        <f>+G2076-H2076</f>
        <v>7096329.2686749697</v>
      </c>
      <c r="J2076" s="5">
        <v>3000000</v>
      </c>
      <c r="K2076" s="5">
        <v>7700000</v>
      </c>
      <c r="L2076" s="5">
        <v>8000000</v>
      </c>
      <c r="M2076" s="7">
        <v>2325.6999999999998</v>
      </c>
      <c r="N2076" s="5">
        <v>77500000</v>
      </c>
      <c r="O2076" s="5">
        <v>80500000</v>
      </c>
      <c r="P2076" s="3">
        <v>0.97916666666666663</v>
      </c>
    </row>
    <row r="2077" spans="1:16" x14ac:dyDescent="0.25">
      <c r="A2077" s="2">
        <v>45508</v>
      </c>
      <c r="B2077" s="2">
        <v>45390</v>
      </c>
      <c r="C2077" t="str">
        <f>+"Tuáº§n "&amp;WEEKNUM(B2077)</f>
        <v>Tuáº§n 15</v>
      </c>
      <c r="D2077" t="s">
        <v>16</v>
      </c>
      <c r="E2077" t="s">
        <v>17</v>
      </c>
      <c r="F2077" s="5">
        <v>77200000</v>
      </c>
      <c r="G2077" s="5">
        <v>80200000</v>
      </c>
      <c r="H2077" s="5">
        <f>+(M2077*26000)/0.829426</f>
        <v>73091752.609636053</v>
      </c>
      <c r="I2077" s="5">
        <f>+G2077-H2077</f>
        <v>7108247.3903639466</v>
      </c>
      <c r="J2077" s="5">
        <v>3000000</v>
      </c>
      <c r="K2077" s="5">
        <v>7720000</v>
      </c>
      <c r="L2077" s="5">
        <v>8020000</v>
      </c>
      <c r="M2077" s="7">
        <v>2331.6999999999998</v>
      </c>
      <c r="N2077" s="5">
        <v>77700000</v>
      </c>
      <c r="O2077" s="5">
        <v>80700000</v>
      </c>
      <c r="P2077" s="3">
        <v>0.97916666666666663</v>
      </c>
    </row>
    <row r="2078" spans="1:16" x14ac:dyDescent="0.25">
      <c r="A2078" s="2">
        <v>45539</v>
      </c>
      <c r="B2078" s="2">
        <v>45391</v>
      </c>
      <c r="C2078" t="str">
        <f>+"Tuáº§n "&amp;WEEKNUM(B2078)</f>
        <v>Tuáº§n 15</v>
      </c>
      <c r="D2078" t="s">
        <v>18</v>
      </c>
      <c r="E2078" t="s">
        <v>17</v>
      </c>
      <c r="F2078" s="5">
        <v>77600000</v>
      </c>
      <c r="G2078" s="5">
        <v>80600000</v>
      </c>
      <c r="H2078" s="5">
        <f>+(M2078*26000)/0.829426</f>
        <v>73461646.970314413</v>
      </c>
      <c r="I2078" s="5">
        <f>+G2078-H2078</f>
        <v>7138353.0296855867</v>
      </c>
      <c r="J2078" s="5">
        <v>3000000</v>
      </c>
      <c r="K2078" s="5">
        <v>7760000</v>
      </c>
      <c r="L2078" s="5">
        <v>8060000</v>
      </c>
      <c r="M2078" s="7">
        <v>2343.5</v>
      </c>
      <c r="N2078" s="5">
        <v>78100000</v>
      </c>
      <c r="O2078" s="5">
        <v>81100000</v>
      </c>
      <c r="P2078" s="3">
        <v>0.97916666666666663</v>
      </c>
    </row>
    <row r="2079" spans="1:16" x14ac:dyDescent="0.25">
      <c r="A2079" s="2">
        <v>45569</v>
      </c>
      <c r="B2079" s="2">
        <v>45392</v>
      </c>
      <c r="C2079" t="str">
        <f>+"Tuáº§n "&amp;WEEKNUM(B2079)</f>
        <v>Tuáº§n 15</v>
      </c>
      <c r="D2079" t="s">
        <v>19</v>
      </c>
      <c r="E2079" t="s">
        <v>17</v>
      </c>
      <c r="F2079" s="5">
        <v>77100000</v>
      </c>
      <c r="G2079" s="5">
        <v>80100000</v>
      </c>
      <c r="H2079" s="5">
        <f>+(M2079*26000)/0.829426</f>
        <v>73025923.952227205</v>
      </c>
      <c r="I2079" s="5">
        <f>+G2079-H2079</f>
        <v>7074076.047772795</v>
      </c>
      <c r="J2079" s="5">
        <v>3000000</v>
      </c>
      <c r="K2079" s="5">
        <v>7710000</v>
      </c>
      <c r="L2079" s="5">
        <v>8010000</v>
      </c>
      <c r="M2079" s="7">
        <v>2329.6</v>
      </c>
      <c r="N2079" s="5">
        <v>77600000</v>
      </c>
      <c r="O2079" s="5">
        <v>80600000</v>
      </c>
      <c r="P2079" s="3">
        <v>0.97916666666666663</v>
      </c>
    </row>
    <row r="2080" spans="1:16" x14ac:dyDescent="0.25">
      <c r="A2080" s="2">
        <v>45600</v>
      </c>
      <c r="B2080" s="2">
        <v>45393</v>
      </c>
      <c r="C2080" t="str">
        <f>+"Tuáº§n "&amp;WEEKNUM(B2080)</f>
        <v>Tuáº§n 15</v>
      </c>
      <c r="D2080" t="s">
        <v>20</v>
      </c>
      <c r="E2080" t="s">
        <v>17</v>
      </c>
      <c r="F2080" s="5">
        <v>78000000</v>
      </c>
      <c r="G2080" s="5">
        <v>81000000</v>
      </c>
      <c r="H2080" s="5">
        <f>+(M2080*26000)/0.829426</f>
        <v>73815867.84113352</v>
      </c>
      <c r="I2080" s="5">
        <f>+G2080-H2080</f>
        <v>7184132.15886648</v>
      </c>
      <c r="J2080" s="5">
        <v>3000000</v>
      </c>
      <c r="K2080" s="5">
        <v>7800000</v>
      </c>
      <c r="L2080" s="5">
        <v>8100000</v>
      </c>
      <c r="M2080" s="7">
        <v>2354.8000000000002</v>
      </c>
      <c r="N2080" s="5">
        <v>78500000</v>
      </c>
      <c r="O2080" s="5">
        <v>81500000</v>
      </c>
      <c r="P2080" s="3">
        <v>0.97916666666666663</v>
      </c>
    </row>
    <row r="2081" spans="1:16" x14ac:dyDescent="0.25">
      <c r="A2081" s="2">
        <v>45630</v>
      </c>
      <c r="B2081" s="2">
        <v>45394</v>
      </c>
      <c r="C2081" t="str">
        <f>+"Tuáº§n "&amp;WEEKNUM(B2081)</f>
        <v>Tuáº§n 15</v>
      </c>
      <c r="D2081" t="s">
        <v>21</v>
      </c>
      <c r="E2081" t="s">
        <v>17</v>
      </c>
      <c r="F2081" s="5">
        <v>78100000</v>
      </c>
      <c r="G2081" s="5">
        <v>81100000</v>
      </c>
      <c r="H2081" s="5">
        <f>+(M2081*26000)/0.829426</f>
        <v>73859753.612739399</v>
      </c>
      <c r="I2081" s="5">
        <f>+G2081-H2081</f>
        <v>7240246.3872606009</v>
      </c>
      <c r="J2081" s="5">
        <v>3000000</v>
      </c>
      <c r="K2081" s="5">
        <v>7810000</v>
      </c>
      <c r="L2081" s="5">
        <v>8110000</v>
      </c>
      <c r="M2081" s="7">
        <v>2356.1999999999998</v>
      </c>
      <c r="N2081" s="5">
        <v>78600000</v>
      </c>
      <c r="O2081" s="5">
        <v>81600000</v>
      </c>
      <c r="P2081" s="3">
        <v>0.97916666666666663</v>
      </c>
    </row>
    <row r="2082" spans="1:16" x14ac:dyDescent="0.25">
      <c r="A2082" t="s">
        <v>1276</v>
      </c>
      <c r="B2082" s="2">
        <v>45397</v>
      </c>
      <c r="C2082" t="str">
        <f>+"Tuáº§n "&amp;WEEKNUM(B2082)</f>
        <v>Tuáº§n 16</v>
      </c>
      <c r="D2082" t="s">
        <v>16</v>
      </c>
      <c r="E2082" t="s">
        <v>17</v>
      </c>
      <c r="F2082" s="5">
        <v>78400000</v>
      </c>
      <c r="G2082" s="5">
        <v>81400000</v>
      </c>
      <c r="H2082" s="5">
        <f>+(M2082*26000)/0.829426</f>
        <v>74160684.61803706</v>
      </c>
      <c r="I2082" s="5">
        <f>+G2082-H2082</f>
        <v>7239315.3819629401</v>
      </c>
      <c r="J2082" s="5">
        <v>3000000</v>
      </c>
      <c r="K2082" s="5">
        <v>7840000</v>
      </c>
      <c r="L2082" s="5">
        <v>8140000</v>
      </c>
      <c r="M2082" s="7">
        <v>2365.8000000000002</v>
      </c>
      <c r="N2082" s="5">
        <v>78900000</v>
      </c>
      <c r="O2082" s="5">
        <v>81900000</v>
      </c>
      <c r="P2082" s="3">
        <v>0.97916666666666663</v>
      </c>
    </row>
    <row r="2083" spans="1:16" x14ac:dyDescent="0.25">
      <c r="A2083" t="s">
        <v>1277</v>
      </c>
      <c r="B2083" s="2">
        <v>45398</v>
      </c>
      <c r="C2083" t="str">
        <f>+"Tuáº§n "&amp;WEEKNUM(B2083)</f>
        <v>Tuáº§n 16</v>
      </c>
      <c r="D2083" t="s">
        <v>18</v>
      </c>
      <c r="E2083" t="s">
        <v>17</v>
      </c>
      <c r="F2083" s="5">
        <v>79300000</v>
      </c>
      <c r="G2083" s="5">
        <v>82300000</v>
      </c>
      <c r="H2083" s="5">
        <f>+(M2083*26000)/0.829426</f>
        <v>74944359.110999659</v>
      </c>
      <c r="I2083" s="5">
        <f>+G2083-H2083</f>
        <v>7355640.8890003413</v>
      </c>
      <c r="J2083" s="5">
        <v>3000000</v>
      </c>
      <c r="K2083" s="5">
        <v>7930000</v>
      </c>
      <c r="L2083" s="5">
        <v>8230000</v>
      </c>
      <c r="M2083" s="7">
        <v>2390.8000000000002</v>
      </c>
      <c r="N2083" s="5">
        <v>79800000</v>
      </c>
      <c r="O2083" s="5">
        <v>82800000</v>
      </c>
      <c r="P2083" s="3">
        <v>0.97916666666666663</v>
      </c>
    </row>
    <row r="2084" spans="1:16" x14ac:dyDescent="0.25">
      <c r="A2084" t="s">
        <v>1278</v>
      </c>
      <c r="B2084" s="2">
        <v>45399</v>
      </c>
      <c r="C2084" t="str">
        <f>+"Tuáº§n "&amp;WEEKNUM(B2084)</f>
        <v>Tuáº§n 16</v>
      </c>
      <c r="D2084" t="s">
        <v>19</v>
      </c>
      <c r="E2084" t="s">
        <v>17</v>
      </c>
      <c r="F2084" s="5">
        <v>78600000</v>
      </c>
      <c r="G2084" s="5">
        <v>81600000</v>
      </c>
      <c r="H2084" s="5">
        <f>+(M2084*26000)/0.829426</f>
        <v>74345631.798376217</v>
      </c>
      <c r="I2084" s="5">
        <f>+G2084-H2084</f>
        <v>7254368.2016237825</v>
      </c>
      <c r="J2084" s="5">
        <v>3000000</v>
      </c>
      <c r="K2084" s="5">
        <v>7860000</v>
      </c>
      <c r="L2084" s="5">
        <v>8160000</v>
      </c>
      <c r="M2084" s="7">
        <v>2371.6999999999998</v>
      </c>
      <c r="N2084" s="5">
        <v>79100000</v>
      </c>
      <c r="O2084" s="5">
        <v>82100000</v>
      </c>
      <c r="P2084" s="3">
        <v>0.97916666666666663</v>
      </c>
    </row>
    <row r="2085" spans="1:16" x14ac:dyDescent="0.25">
      <c r="A2085" t="s">
        <v>1279</v>
      </c>
      <c r="B2085" s="2">
        <v>45400</v>
      </c>
      <c r="C2085" t="str">
        <f>+"Tuáº§n "&amp;WEEKNUM(B2085)</f>
        <v>Tuáº§n 16</v>
      </c>
      <c r="D2085" t="s">
        <v>20</v>
      </c>
      <c r="E2085" t="s">
        <v>17</v>
      </c>
      <c r="F2085" s="5">
        <v>79000000</v>
      </c>
      <c r="G2085" s="5">
        <v>82000000</v>
      </c>
      <c r="H2085" s="5">
        <f>+(M2085*26000)/0.829426</f>
        <v>74677909.783392385</v>
      </c>
      <c r="I2085" s="5">
        <f>+G2085-H2085</f>
        <v>7322090.2166076154</v>
      </c>
      <c r="J2085" s="5">
        <v>3000000</v>
      </c>
      <c r="K2085" s="5">
        <v>7900000</v>
      </c>
      <c r="L2085" s="5">
        <v>8200000</v>
      </c>
      <c r="M2085" s="7">
        <v>2382.3000000000002</v>
      </c>
      <c r="N2085" s="5">
        <v>79500000</v>
      </c>
      <c r="O2085" s="5">
        <v>82500000</v>
      </c>
      <c r="P2085" s="3">
        <v>0.97916666666666663</v>
      </c>
    </row>
    <row r="2086" spans="1:16" x14ac:dyDescent="0.25">
      <c r="A2086" t="s">
        <v>1280</v>
      </c>
      <c r="B2086" s="2">
        <v>45401</v>
      </c>
      <c r="C2086" t="str">
        <f>+"Tuáº§n "&amp;WEEKNUM(B2086)</f>
        <v>Tuáº§n 16</v>
      </c>
      <c r="D2086" t="s">
        <v>21</v>
      </c>
      <c r="E2086" t="s">
        <v>17</v>
      </c>
      <c r="F2086" s="5">
        <v>79500000</v>
      </c>
      <c r="G2086" s="5">
        <v>82500000</v>
      </c>
      <c r="H2086" s="5">
        <f>+(M2086*26000)/0.829426</f>
        <v>75182596.156860292</v>
      </c>
      <c r="I2086" s="5">
        <f>+G2086-H2086</f>
        <v>7317403.843139708</v>
      </c>
      <c r="J2086" s="5">
        <v>3000000</v>
      </c>
      <c r="K2086" s="5">
        <v>7950000</v>
      </c>
      <c r="L2086" s="5">
        <v>8250000</v>
      </c>
      <c r="M2086" s="7">
        <v>2398.4</v>
      </c>
      <c r="N2086" s="5">
        <v>80000000</v>
      </c>
      <c r="O2086" s="5">
        <v>83000000</v>
      </c>
      <c r="P2086" s="3">
        <v>0.97916666666666663</v>
      </c>
    </row>
    <row r="2087" spans="1:16" x14ac:dyDescent="0.25">
      <c r="A2087" t="s">
        <v>1281</v>
      </c>
      <c r="B2087" s="2">
        <v>45404</v>
      </c>
      <c r="C2087" t="str">
        <f>+"Tuáº§n "&amp;WEEKNUM(B2087)</f>
        <v>Tuáº§n 17</v>
      </c>
      <c r="D2087" t="s">
        <v>16</v>
      </c>
      <c r="E2087" t="s">
        <v>17</v>
      </c>
      <c r="F2087" s="5">
        <v>77200000</v>
      </c>
      <c r="G2087" s="5">
        <v>80200000</v>
      </c>
      <c r="H2087" s="5">
        <f>+(M2087*26000)/0.829426</f>
        <v>73107426.099495307</v>
      </c>
      <c r="I2087" s="5">
        <f>+G2087-H2087</f>
        <v>7092573.9005046934</v>
      </c>
      <c r="J2087" s="5">
        <v>3000000</v>
      </c>
      <c r="K2087" s="5">
        <v>7720000</v>
      </c>
      <c r="L2087" s="5">
        <v>8020000</v>
      </c>
      <c r="M2087" s="7">
        <v>2332.1999999999998</v>
      </c>
      <c r="N2087" s="5">
        <v>77700000</v>
      </c>
      <c r="O2087" s="5">
        <v>80700000</v>
      </c>
      <c r="P2087" s="3">
        <v>0.97916666666666663</v>
      </c>
    </row>
    <row r="2088" spans="1:16" x14ac:dyDescent="0.25">
      <c r="A2088" t="s">
        <v>1282</v>
      </c>
      <c r="B2088" s="2">
        <v>45405</v>
      </c>
      <c r="C2088" t="str">
        <f>+"Tuáº§n "&amp;WEEKNUM(B2088)</f>
        <v>Tuáº§n 17</v>
      </c>
      <c r="D2088" t="s">
        <v>18</v>
      </c>
      <c r="E2088" t="s">
        <v>17</v>
      </c>
      <c r="F2088" s="5">
        <v>77100000</v>
      </c>
      <c r="G2088" s="5">
        <v>80100000</v>
      </c>
      <c r="H2088" s="5">
        <f>+(M2088*26000)/0.829426</f>
        <v>72966364.690762043</v>
      </c>
      <c r="I2088" s="5">
        <f>+G2088-H2088</f>
        <v>7133635.309237957</v>
      </c>
      <c r="J2088" s="5">
        <v>3000000</v>
      </c>
      <c r="K2088" s="5">
        <v>7710000</v>
      </c>
      <c r="L2088" s="5">
        <v>8010000</v>
      </c>
      <c r="M2088" s="7">
        <v>2327.6999999999998</v>
      </c>
      <c r="N2088" s="5">
        <v>77600000</v>
      </c>
      <c r="O2088" s="5">
        <v>80600000</v>
      </c>
      <c r="P2088" s="3">
        <v>0.97916666666666663</v>
      </c>
    </row>
    <row r="2089" spans="1:16" x14ac:dyDescent="0.25">
      <c r="A2089" t="s">
        <v>1283</v>
      </c>
      <c r="B2089" s="2">
        <v>45406</v>
      </c>
      <c r="C2089" t="str">
        <f>+"Tuáº§n "&amp;WEEKNUM(B2089)</f>
        <v>Tuáº§n 17</v>
      </c>
      <c r="D2089" t="s">
        <v>19</v>
      </c>
      <c r="E2089" t="s">
        <v>17</v>
      </c>
      <c r="F2089" s="5">
        <v>77000000</v>
      </c>
      <c r="G2089" s="5">
        <v>80000000</v>
      </c>
      <c r="H2089" s="5">
        <f>+(M2089*26000)/0.829426</f>
        <v>72866054.355662838</v>
      </c>
      <c r="I2089" s="5">
        <f>+G2089-H2089</f>
        <v>7133945.6443371624</v>
      </c>
      <c r="J2089" s="5">
        <v>3000000</v>
      </c>
      <c r="K2089" s="5">
        <v>7700000</v>
      </c>
      <c r="L2089" s="5">
        <v>8000000</v>
      </c>
      <c r="M2089" s="7">
        <v>2324.5</v>
      </c>
      <c r="N2089" s="5">
        <v>77500000</v>
      </c>
      <c r="O2089" s="5">
        <v>80500000</v>
      </c>
      <c r="P2089" s="3">
        <v>0.97916666666666663</v>
      </c>
    </row>
    <row r="2090" spans="1:16" x14ac:dyDescent="0.25">
      <c r="A2090" t="s">
        <v>1284</v>
      </c>
      <c r="B2090" s="2">
        <v>45407</v>
      </c>
      <c r="C2090" t="str">
        <f>+"Tuáº§n "&amp;WEEKNUM(B2090)</f>
        <v>Tuáº§n 17</v>
      </c>
      <c r="D2090" t="s">
        <v>20</v>
      </c>
      <c r="E2090" t="s">
        <v>17</v>
      </c>
      <c r="F2090" s="5">
        <v>77200000</v>
      </c>
      <c r="G2090" s="5">
        <v>80200000</v>
      </c>
      <c r="H2090" s="5">
        <f>+(M2090*26000)/0.829426</f>
        <v>73032193.348170906</v>
      </c>
      <c r="I2090" s="5">
        <f>+G2090-H2090</f>
        <v>7167806.6518290937</v>
      </c>
      <c r="J2090" s="5">
        <v>3000000</v>
      </c>
      <c r="K2090" s="5">
        <v>7720000</v>
      </c>
      <c r="L2090" s="5">
        <v>8020000</v>
      </c>
      <c r="M2090" s="7">
        <v>2329.8000000000002</v>
      </c>
      <c r="N2090" s="5">
        <v>77700000</v>
      </c>
      <c r="O2090" s="5">
        <v>80700000</v>
      </c>
      <c r="P2090" s="3">
        <v>0.97916666666666663</v>
      </c>
    </row>
    <row r="2091" spans="1:16" x14ac:dyDescent="0.25">
      <c r="A2091" t="s">
        <v>1285</v>
      </c>
      <c r="B2091" s="2">
        <v>45408</v>
      </c>
      <c r="C2091" t="str">
        <f>+"Tuáº§n "&amp;WEEKNUM(B2091)</f>
        <v>Tuáº§n 17</v>
      </c>
      <c r="D2091" t="s">
        <v>21</v>
      </c>
      <c r="E2091" t="s">
        <v>17</v>
      </c>
      <c r="F2091" s="5">
        <v>77300000</v>
      </c>
      <c r="G2091" s="5">
        <v>80300000</v>
      </c>
      <c r="H2091" s="5">
        <f>+(M2091*26000)/0.829426</f>
        <v>73188928.246763438</v>
      </c>
      <c r="I2091" s="5">
        <f>+G2091-H2091</f>
        <v>7111071.753236562</v>
      </c>
      <c r="J2091" s="5">
        <v>3000000</v>
      </c>
      <c r="K2091" s="5">
        <v>7730000</v>
      </c>
      <c r="L2091" s="5">
        <v>8030000</v>
      </c>
      <c r="M2091" s="7">
        <v>2334.8000000000002</v>
      </c>
      <c r="N2091" s="5">
        <v>77800000</v>
      </c>
      <c r="O2091" s="5">
        <v>80800000</v>
      </c>
      <c r="P2091" s="3">
        <v>0.97916666666666663</v>
      </c>
    </row>
    <row r="2092" spans="1:16" x14ac:dyDescent="0.25">
      <c r="A2092" t="s">
        <v>1286</v>
      </c>
      <c r="B2092" s="2">
        <v>45411</v>
      </c>
      <c r="C2092" t="str">
        <f>+"Tuáº§n "&amp;WEEKNUM(B2092)</f>
        <v>Tuáº§n 18</v>
      </c>
      <c r="D2092" t="s">
        <v>16</v>
      </c>
      <c r="E2092" t="s">
        <v>17</v>
      </c>
      <c r="F2092" s="5">
        <v>77700000</v>
      </c>
      <c r="G2092" s="5">
        <v>80700000</v>
      </c>
      <c r="H2092" s="5">
        <f>+(M2092*26000)/0.829426</f>
        <v>73521206.231779575</v>
      </c>
      <c r="I2092" s="5">
        <f>+G2092-H2092</f>
        <v>7178793.7682204247</v>
      </c>
      <c r="J2092" s="5">
        <v>3000000</v>
      </c>
      <c r="K2092" s="5">
        <v>7770000</v>
      </c>
      <c r="L2092" s="5">
        <v>8070000</v>
      </c>
      <c r="M2092" s="7">
        <v>2345.4</v>
      </c>
      <c r="N2092" s="5">
        <v>78200000</v>
      </c>
      <c r="O2092" s="5">
        <v>81200000</v>
      </c>
      <c r="P2092" s="3">
        <v>0.97916666666666663</v>
      </c>
    </row>
    <row r="2093" spans="1:16" x14ac:dyDescent="0.25">
      <c r="A2093" t="s">
        <v>1287</v>
      </c>
      <c r="B2093" s="2">
        <v>45412</v>
      </c>
      <c r="C2093" t="str">
        <f>+"Tuáº§n "&amp;WEEKNUM(B2093)</f>
        <v>Tuáº§n 18</v>
      </c>
      <c r="D2093" t="s">
        <v>18</v>
      </c>
      <c r="E2093" t="s">
        <v>17</v>
      </c>
      <c r="F2093" s="5">
        <v>75800000</v>
      </c>
      <c r="G2093" s="5">
        <v>78800000</v>
      </c>
      <c r="H2093" s="5">
        <f>+(M2093*26000)/0.829426</f>
        <v>71828469.326980352</v>
      </c>
      <c r="I2093" s="5">
        <f>+G2093-H2093</f>
        <v>6971530.6730196476</v>
      </c>
      <c r="J2093" s="5">
        <v>3000000</v>
      </c>
      <c r="K2093" s="5">
        <v>7580000</v>
      </c>
      <c r="L2093" s="5">
        <v>7880000</v>
      </c>
      <c r="M2093" s="7">
        <v>2291.4</v>
      </c>
      <c r="N2093" s="5">
        <v>76300000</v>
      </c>
      <c r="O2093" s="5">
        <v>79300000</v>
      </c>
      <c r="P2093" s="3">
        <v>0.97916666666666663</v>
      </c>
    </row>
    <row r="2094" spans="1:16" x14ac:dyDescent="0.25">
      <c r="A2094" s="2">
        <v>45296</v>
      </c>
      <c r="B2094" s="2">
        <v>45413</v>
      </c>
      <c r="C2094" t="str">
        <f>+"Tuáº§n "&amp;WEEKNUM(B2094)</f>
        <v>Tuáº§n 18</v>
      </c>
      <c r="D2094" t="s">
        <v>19</v>
      </c>
      <c r="E2094" t="s">
        <v>17</v>
      </c>
      <c r="F2094" s="5">
        <v>76100000</v>
      </c>
      <c r="G2094" s="5">
        <v>79100000</v>
      </c>
      <c r="H2094" s="5">
        <f>+(M2094*26000)/0.829426</f>
        <v>72094918.654587626</v>
      </c>
      <c r="I2094" s="5">
        <f>+G2094-H2094</f>
        <v>7005081.3454123735</v>
      </c>
      <c r="J2094" s="5">
        <v>3000000</v>
      </c>
      <c r="K2094" s="5">
        <v>7610000</v>
      </c>
      <c r="L2094" s="5">
        <v>7910000</v>
      </c>
      <c r="M2094" s="7">
        <v>2299.9</v>
      </c>
      <c r="N2094" s="5">
        <v>76600000</v>
      </c>
      <c r="O2094" s="5">
        <v>79600000</v>
      </c>
      <c r="P2094" s="3">
        <v>0.97916666666666663</v>
      </c>
    </row>
    <row r="2095" spans="1:16" x14ac:dyDescent="0.25">
      <c r="A2095" s="2">
        <v>45327</v>
      </c>
      <c r="B2095" s="2">
        <v>45414</v>
      </c>
      <c r="C2095" t="str">
        <f>+"Tuáº§n "&amp;WEEKNUM(B2095)</f>
        <v>Tuáº§n 18</v>
      </c>
      <c r="D2095" t="s">
        <v>20</v>
      </c>
      <c r="E2095" t="s">
        <v>17</v>
      </c>
      <c r="F2095" s="5">
        <v>76100000</v>
      </c>
      <c r="G2095" s="5">
        <v>79100000</v>
      </c>
      <c r="H2095" s="5">
        <f>+(M2095*26000)/0.829426</f>
        <v>72072975.768784672</v>
      </c>
      <c r="I2095" s="5">
        <f>+G2095-H2095</f>
        <v>7027024.231215328</v>
      </c>
      <c r="J2095" s="5">
        <v>3000000</v>
      </c>
      <c r="K2095" s="5">
        <v>7610000</v>
      </c>
      <c r="L2095" s="5">
        <v>7910000</v>
      </c>
      <c r="M2095" s="7">
        <v>2299.1999999999998</v>
      </c>
      <c r="N2095" s="5">
        <v>76600000</v>
      </c>
      <c r="O2095" s="5">
        <v>79600000</v>
      </c>
      <c r="P2095" s="3">
        <v>0.97916666666666663</v>
      </c>
    </row>
    <row r="2096" spans="1:16" x14ac:dyDescent="0.25">
      <c r="A2096" s="2">
        <v>45356</v>
      </c>
      <c r="B2096" s="2">
        <v>45415</v>
      </c>
      <c r="C2096" t="str">
        <f>+"Tuáº§n "&amp;WEEKNUM(B2096)</f>
        <v>Tuáº§n 18</v>
      </c>
      <c r="D2096" t="s">
        <v>21</v>
      </c>
      <c r="E2096" t="s">
        <v>17</v>
      </c>
      <c r="F2096" s="5">
        <v>76100000</v>
      </c>
      <c r="G2096" s="5">
        <v>79100000</v>
      </c>
      <c r="H2096" s="5">
        <f>+(M2096*26000)/0.829426</f>
        <v>72066706.372840971</v>
      </c>
      <c r="I2096" s="5">
        <f>+G2096-H2096</f>
        <v>7033293.6271590292</v>
      </c>
      <c r="J2096" s="5">
        <v>3000000</v>
      </c>
      <c r="K2096" s="5">
        <v>7610000</v>
      </c>
      <c r="L2096" s="5">
        <v>7910000</v>
      </c>
      <c r="M2096" s="7">
        <v>2299</v>
      </c>
      <c r="N2096" s="5">
        <v>76600000</v>
      </c>
      <c r="O2096" s="5">
        <v>79600000</v>
      </c>
      <c r="P2096" s="3">
        <v>0.97916666666666663</v>
      </c>
    </row>
    <row r="2097" spans="1:16" x14ac:dyDescent="0.25">
      <c r="A2097" s="2">
        <v>45448</v>
      </c>
      <c r="B2097" s="2">
        <v>45418</v>
      </c>
      <c r="C2097" t="str">
        <f>+"Tuáº§n "&amp;WEEKNUM(B2097)</f>
        <v>Tuáº§n 19</v>
      </c>
      <c r="D2097" t="s">
        <v>16</v>
      </c>
      <c r="E2097" t="s">
        <v>17</v>
      </c>
      <c r="F2097" s="5">
        <v>76900000</v>
      </c>
      <c r="G2097" s="5">
        <v>79900000</v>
      </c>
      <c r="H2097" s="5">
        <f>+(M2097*26000)/0.829426</f>
        <v>72775148.114479169</v>
      </c>
      <c r="I2097" s="5">
        <f>+G2097-H2097</f>
        <v>7124851.8855208308</v>
      </c>
      <c r="J2097" s="5">
        <v>3000000</v>
      </c>
      <c r="K2097" s="5">
        <v>7690000</v>
      </c>
      <c r="L2097" s="5">
        <v>7990000</v>
      </c>
      <c r="M2097" s="7">
        <v>2321.6</v>
      </c>
      <c r="N2097" s="5">
        <v>77400000</v>
      </c>
      <c r="O2097" s="5">
        <v>80400000</v>
      </c>
      <c r="P2097" s="3">
        <v>0.97916666666666663</v>
      </c>
    </row>
    <row r="2098" spans="1:16" x14ac:dyDescent="0.25">
      <c r="A2098" s="2">
        <v>45478</v>
      </c>
      <c r="B2098" s="2">
        <v>45419</v>
      </c>
      <c r="C2098" t="str">
        <f>+"Tuáº§n "&amp;WEEKNUM(B2098)</f>
        <v>Tuáº§n 19</v>
      </c>
      <c r="D2098" t="s">
        <v>18</v>
      </c>
      <c r="E2098" t="s">
        <v>17</v>
      </c>
      <c r="F2098" s="5">
        <v>76700000</v>
      </c>
      <c r="G2098" s="5">
        <v>79700000</v>
      </c>
      <c r="H2098" s="5">
        <f>+(M2098*26000)/0.829426</f>
        <v>72574527.444280729</v>
      </c>
      <c r="I2098" s="5">
        <f>+G2098-H2098</f>
        <v>7125472.5557192713</v>
      </c>
      <c r="J2098" s="5">
        <v>3000000</v>
      </c>
      <c r="K2098" s="5">
        <v>7670000</v>
      </c>
      <c r="L2098" s="5">
        <v>7970000</v>
      </c>
      <c r="M2098" s="7">
        <v>2315.1999999999998</v>
      </c>
      <c r="N2098" s="5">
        <v>77200000</v>
      </c>
      <c r="O2098" s="5">
        <v>80200000</v>
      </c>
      <c r="P2098" s="3">
        <v>0.97916666666666663</v>
      </c>
    </row>
    <row r="2099" spans="1:16" x14ac:dyDescent="0.25">
      <c r="A2099" s="2">
        <v>45509</v>
      </c>
      <c r="B2099" s="2">
        <v>45420</v>
      </c>
      <c r="C2099" t="str">
        <f>+"Tuáº§n "&amp;WEEKNUM(B2099)</f>
        <v>Tuáº§n 19</v>
      </c>
      <c r="D2099" t="s">
        <v>19</v>
      </c>
      <c r="E2099" t="s">
        <v>17</v>
      </c>
      <c r="F2099" s="5">
        <v>76600000</v>
      </c>
      <c r="G2099" s="5">
        <v>79600000</v>
      </c>
      <c r="H2099" s="5">
        <f>+(M2099*26000)/0.829426</f>
        <v>72524372.276731133</v>
      </c>
      <c r="I2099" s="5">
        <f>+G2099-H2099</f>
        <v>7075627.7232688665</v>
      </c>
      <c r="J2099" s="5">
        <v>3000000</v>
      </c>
      <c r="K2099" s="5">
        <v>7660000</v>
      </c>
      <c r="L2099" s="5">
        <v>7960000</v>
      </c>
      <c r="M2099" s="7">
        <v>2313.6</v>
      </c>
      <c r="N2099" s="5">
        <v>77100000</v>
      </c>
      <c r="O2099" s="5">
        <v>80100000</v>
      </c>
      <c r="P2099" s="3">
        <v>0.97916666666666663</v>
      </c>
    </row>
    <row r="2100" spans="1:16" x14ac:dyDescent="0.25">
      <c r="A2100" s="2">
        <v>45540</v>
      </c>
      <c r="B2100" s="2">
        <v>45421</v>
      </c>
      <c r="C2100" t="str">
        <f>+"Tuáº§n "&amp;WEEKNUM(B2100)</f>
        <v>Tuáº§n 19</v>
      </c>
      <c r="D2100" t="s">
        <v>20</v>
      </c>
      <c r="E2100" t="s">
        <v>17</v>
      </c>
      <c r="F2100" s="5">
        <v>77200000</v>
      </c>
      <c r="G2100" s="5">
        <v>80200000</v>
      </c>
      <c r="H2100" s="5">
        <f>+(M2100*26000)/0.829426</f>
        <v>73104291.401523471</v>
      </c>
      <c r="I2100" s="5">
        <f>+G2100-H2100</f>
        <v>7095708.5984765291</v>
      </c>
      <c r="J2100" s="5">
        <v>3000000</v>
      </c>
      <c r="K2100" s="5">
        <v>7720000</v>
      </c>
      <c r="L2100" s="5">
        <v>8020000</v>
      </c>
      <c r="M2100" s="7">
        <v>2332.1</v>
      </c>
      <c r="N2100" s="5">
        <v>77700000</v>
      </c>
      <c r="O2100" s="5">
        <v>80700000</v>
      </c>
      <c r="P2100" s="3">
        <v>0.97916666666666663</v>
      </c>
    </row>
    <row r="2101" spans="1:16" x14ac:dyDescent="0.25">
      <c r="A2101" s="2">
        <v>45570</v>
      </c>
      <c r="B2101" s="2">
        <v>45422</v>
      </c>
      <c r="C2101" t="str">
        <f>+"Tuáº§n "&amp;WEEKNUM(B2101)</f>
        <v>Tuáº§n 19</v>
      </c>
      <c r="D2101" t="s">
        <v>21</v>
      </c>
      <c r="E2101" t="s">
        <v>17</v>
      </c>
      <c r="F2101" s="5">
        <v>78400000</v>
      </c>
      <c r="G2101" s="5">
        <v>81400000</v>
      </c>
      <c r="H2101" s="5">
        <f>+(M2101*26000)/0.829426</f>
        <v>74207705.087614819</v>
      </c>
      <c r="I2101" s="5">
        <f>+G2101-H2101</f>
        <v>7192294.9123851806</v>
      </c>
      <c r="J2101" s="5">
        <v>3000000</v>
      </c>
      <c r="K2101" s="5">
        <v>7840000</v>
      </c>
      <c r="L2101" s="5">
        <v>8140000</v>
      </c>
      <c r="M2101" s="7">
        <v>2367.3000000000002</v>
      </c>
      <c r="N2101" s="5">
        <v>78900000</v>
      </c>
      <c r="O2101" s="5">
        <v>81900000</v>
      </c>
      <c r="P2101" s="3">
        <v>0.97916666666666663</v>
      </c>
    </row>
    <row r="2102" spans="1:16" x14ac:dyDescent="0.25">
      <c r="A2102" t="s">
        <v>1288</v>
      </c>
      <c r="B2102" s="2">
        <v>45425</v>
      </c>
      <c r="C2102" t="str">
        <f>+"Tuáº§n "&amp;WEEKNUM(B2102)</f>
        <v>Tuáº§n 20</v>
      </c>
      <c r="D2102" t="s">
        <v>16</v>
      </c>
      <c r="E2102" t="s">
        <v>17</v>
      </c>
      <c r="F2102" s="5">
        <v>77400000</v>
      </c>
      <c r="G2102" s="5">
        <v>80400000</v>
      </c>
      <c r="H2102" s="5">
        <f>+(M2102*26000)/0.829426</f>
        <v>73229679.320397481</v>
      </c>
      <c r="I2102" s="5">
        <f>+G2102-H2102</f>
        <v>7170320.6796025187</v>
      </c>
      <c r="J2102" s="5">
        <v>3000000</v>
      </c>
      <c r="K2102" s="5">
        <v>7740000</v>
      </c>
      <c r="L2102" s="5">
        <v>8040000</v>
      </c>
      <c r="M2102" s="7">
        <v>2336.1</v>
      </c>
      <c r="N2102" s="5">
        <v>77900000</v>
      </c>
      <c r="O2102" s="5">
        <v>80900000</v>
      </c>
      <c r="P2102" s="3">
        <v>0.97916666666666663</v>
      </c>
    </row>
    <row r="2103" spans="1:16" x14ac:dyDescent="0.25">
      <c r="A2103" t="s">
        <v>1289</v>
      </c>
      <c r="B2103" s="2">
        <v>45426</v>
      </c>
      <c r="C2103" t="str">
        <f>+"Tuáº§n "&amp;WEEKNUM(B2103)</f>
        <v>Tuáº§n 20</v>
      </c>
      <c r="D2103" t="s">
        <v>18</v>
      </c>
      <c r="E2103" t="s">
        <v>17</v>
      </c>
      <c r="F2103" s="5">
        <v>78000000</v>
      </c>
      <c r="G2103" s="5">
        <v>81000000</v>
      </c>
      <c r="H2103" s="5">
        <f>+(M2103*26000)/0.829426</f>
        <v>73771982.069527596</v>
      </c>
      <c r="I2103" s="5">
        <f>+G2103-H2103</f>
        <v>7228017.9304724038</v>
      </c>
      <c r="J2103" s="5">
        <v>3000000</v>
      </c>
      <c r="K2103" s="5">
        <v>7800000</v>
      </c>
      <c r="L2103" s="5">
        <v>8100000</v>
      </c>
      <c r="M2103" s="7">
        <v>2353.4</v>
      </c>
      <c r="N2103" s="5">
        <v>78500000</v>
      </c>
      <c r="O2103" s="5">
        <v>81500000</v>
      </c>
      <c r="P2103" s="3">
        <v>0.97916666666666663</v>
      </c>
    </row>
    <row r="2104" spans="1:16" x14ac:dyDescent="0.25">
      <c r="A2104" t="s">
        <v>1290</v>
      </c>
      <c r="B2104" s="2">
        <v>45427</v>
      </c>
      <c r="C2104" t="str">
        <f>+"Tuáº§n "&amp;WEEKNUM(B2104)</f>
        <v>Tuáº§n 20</v>
      </c>
      <c r="D2104" t="s">
        <v>19</v>
      </c>
      <c r="E2104" t="s">
        <v>17</v>
      </c>
      <c r="F2104" s="5">
        <v>79200000</v>
      </c>
      <c r="G2104" s="5">
        <v>82200000</v>
      </c>
      <c r="H2104" s="5">
        <f>+(M2104*26000)/0.829426</f>
        <v>74878530.45359078</v>
      </c>
      <c r="I2104" s="5">
        <f>+G2104-H2104</f>
        <v>7321469.5464092195</v>
      </c>
      <c r="J2104" s="5">
        <v>3000000</v>
      </c>
      <c r="K2104" s="5">
        <v>7920000</v>
      </c>
      <c r="L2104" s="5">
        <v>8220000</v>
      </c>
      <c r="M2104" s="7">
        <v>2388.6999999999998</v>
      </c>
      <c r="N2104" s="5">
        <v>79700000</v>
      </c>
      <c r="O2104" s="5">
        <v>82700000</v>
      </c>
      <c r="P2104" s="3">
        <v>0.97916666666666663</v>
      </c>
    </row>
    <row r="2105" spans="1:16" x14ac:dyDescent="0.25">
      <c r="A2105" t="s">
        <v>1291</v>
      </c>
      <c r="B2105" s="2">
        <v>45428</v>
      </c>
      <c r="C2105" t="str">
        <f>+"Tuáº§n "&amp;WEEKNUM(B2105)</f>
        <v>Tuáº§n 20</v>
      </c>
      <c r="D2105" t="s">
        <v>20</v>
      </c>
      <c r="E2105" t="s">
        <v>17</v>
      </c>
      <c r="F2105" s="5">
        <v>78900000</v>
      </c>
      <c r="G2105" s="5">
        <v>81900000</v>
      </c>
      <c r="H2105" s="5">
        <f>+(M2105*26000)/0.829426</f>
        <v>74605811.730039805</v>
      </c>
      <c r="I2105" s="5">
        <f>+G2105-H2105</f>
        <v>7294188.2699601948</v>
      </c>
      <c r="J2105" s="5">
        <v>3000000</v>
      </c>
      <c r="K2105" s="5">
        <v>7890000</v>
      </c>
      <c r="L2105" s="5">
        <v>8190000</v>
      </c>
      <c r="M2105" s="7">
        <v>2380</v>
      </c>
      <c r="N2105" s="5">
        <v>79400000</v>
      </c>
      <c r="O2105" s="5">
        <v>82400000</v>
      </c>
      <c r="P2105" s="3">
        <v>0.97916666666666663</v>
      </c>
    </row>
    <row r="2106" spans="1:16" x14ac:dyDescent="0.25">
      <c r="A2106" t="s">
        <v>1292</v>
      </c>
      <c r="B2106" s="2">
        <v>45429</v>
      </c>
      <c r="C2106" t="str">
        <f>+"Tuáº§n "&amp;WEEKNUM(B2106)</f>
        <v>Tuáº§n 20</v>
      </c>
      <c r="D2106" t="s">
        <v>21</v>
      </c>
      <c r="E2106" t="s">
        <v>17</v>
      </c>
      <c r="F2106" s="5">
        <v>80000000</v>
      </c>
      <c r="G2106" s="5">
        <v>83000000</v>
      </c>
      <c r="H2106" s="5">
        <f>+(M2106*26000)/0.829426</f>
        <v>75615184.476975635</v>
      </c>
      <c r="I2106" s="5">
        <f>+G2106-H2106</f>
        <v>7384815.5230243653</v>
      </c>
      <c r="J2106" s="5">
        <v>3000000</v>
      </c>
      <c r="K2106" s="5">
        <v>8000000</v>
      </c>
      <c r="L2106" s="5">
        <v>8300000</v>
      </c>
      <c r="M2106" s="7">
        <v>2412.1999999999998</v>
      </c>
      <c r="N2106" s="5">
        <v>80500000</v>
      </c>
      <c r="O2106" s="5">
        <v>83500000</v>
      </c>
      <c r="P2106" s="3">
        <v>0.97916666666666663</v>
      </c>
    </row>
    <row r="2107" spans="1:16" x14ac:dyDescent="0.25">
      <c r="A2107" t="s">
        <v>1293</v>
      </c>
      <c r="B2107" s="2">
        <v>45432</v>
      </c>
      <c r="C2107" t="str">
        <f>+"Tuáº§n "&amp;WEEKNUM(B2107)</f>
        <v>Tuáº§n 21</v>
      </c>
      <c r="D2107" t="s">
        <v>16</v>
      </c>
      <c r="E2107" t="s">
        <v>17</v>
      </c>
      <c r="F2107" s="5">
        <v>80700000</v>
      </c>
      <c r="G2107" s="5">
        <v>83700000</v>
      </c>
      <c r="H2107" s="5">
        <f>+(M2107*26000)/0.829426</f>
        <v>76295413.936867177</v>
      </c>
      <c r="I2107" s="5">
        <f>+G2107-H2107</f>
        <v>7404586.0631328225</v>
      </c>
      <c r="J2107" s="5">
        <v>3000000</v>
      </c>
      <c r="K2107" s="5">
        <v>8070000</v>
      </c>
      <c r="L2107" s="5">
        <v>8370000</v>
      </c>
      <c r="M2107" s="7">
        <v>2433.9</v>
      </c>
      <c r="N2107" s="5">
        <v>81200000</v>
      </c>
      <c r="O2107" s="5">
        <v>84200000</v>
      </c>
      <c r="P2107" s="3">
        <v>0.97916666666666663</v>
      </c>
    </row>
    <row r="2108" spans="1:16" x14ac:dyDescent="0.25">
      <c r="A2108" t="s">
        <v>1294</v>
      </c>
      <c r="B2108" s="2">
        <v>45433</v>
      </c>
      <c r="C2108" t="str">
        <f>+"Tuáº§n "&amp;WEEKNUM(B2108)</f>
        <v>Tuáº§n 21</v>
      </c>
      <c r="D2108" t="s">
        <v>18</v>
      </c>
      <c r="E2108" t="s">
        <v>17</v>
      </c>
      <c r="F2108" s="5">
        <v>80300000</v>
      </c>
      <c r="G2108" s="5">
        <v>83300000</v>
      </c>
      <c r="H2108" s="5">
        <f>+(M2108*26000)/0.829426</f>
        <v>75912980.78430143</v>
      </c>
      <c r="I2108" s="5">
        <f>+G2108-H2108</f>
        <v>7387019.21569857</v>
      </c>
      <c r="J2108" s="5">
        <v>3000000</v>
      </c>
      <c r="K2108" s="5">
        <v>8030000</v>
      </c>
      <c r="L2108" s="5">
        <v>8330000</v>
      </c>
      <c r="M2108" s="7">
        <v>2421.6999999999998</v>
      </c>
      <c r="N2108" s="5">
        <v>80800000</v>
      </c>
      <c r="O2108" s="5">
        <v>83800000</v>
      </c>
      <c r="P2108" s="3">
        <v>0.97916666666666663</v>
      </c>
    </row>
    <row r="2109" spans="1:16" x14ac:dyDescent="0.25">
      <c r="A2109" t="s">
        <v>1295</v>
      </c>
      <c r="B2109" s="2">
        <v>45434</v>
      </c>
      <c r="C2109" t="str">
        <f>+"Tuáº§n "&amp;WEEKNUM(B2109)</f>
        <v>Tuáº§n 21</v>
      </c>
      <c r="D2109" t="s">
        <v>19</v>
      </c>
      <c r="E2109" t="s">
        <v>17</v>
      </c>
      <c r="F2109" s="5">
        <v>79200000</v>
      </c>
      <c r="G2109" s="5">
        <v>82200000</v>
      </c>
      <c r="H2109" s="5">
        <f>+(M2109*26000)/0.829426</f>
        <v>74894203.943450034</v>
      </c>
      <c r="I2109" s="5">
        <f>+G2109-H2109</f>
        <v>7305796.0565499663</v>
      </c>
      <c r="J2109" s="5">
        <v>3000000</v>
      </c>
      <c r="K2109" s="5">
        <v>7920000</v>
      </c>
      <c r="L2109" s="5">
        <v>8220000</v>
      </c>
      <c r="M2109" s="7">
        <v>2389.1999999999998</v>
      </c>
      <c r="N2109" s="5">
        <v>79700000</v>
      </c>
      <c r="O2109" s="5">
        <v>82700000</v>
      </c>
      <c r="P2109" s="3">
        <v>0.97916666666666663</v>
      </c>
    </row>
    <row r="2110" spans="1:16" x14ac:dyDescent="0.25">
      <c r="A2110" t="s">
        <v>1296</v>
      </c>
      <c r="B2110" s="2">
        <v>45435</v>
      </c>
      <c r="C2110" t="str">
        <f>+"Tuáº§n "&amp;WEEKNUM(B2110)</f>
        <v>Tuáº§n 21</v>
      </c>
      <c r="D2110" t="s">
        <v>20</v>
      </c>
      <c r="E2110" t="s">
        <v>17</v>
      </c>
      <c r="F2110" s="5">
        <v>77300000</v>
      </c>
      <c r="G2110" s="5">
        <v>80300000</v>
      </c>
      <c r="H2110" s="5">
        <f>+(M2110*26000)/0.829426</f>
        <v>73195197.642707124</v>
      </c>
      <c r="I2110" s="5">
        <f>+G2110-H2110</f>
        <v>7104802.3572928756</v>
      </c>
      <c r="J2110" s="5">
        <v>3000000</v>
      </c>
      <c r="K2110" s="5">
        <v>7730000</v>
      </c>
      <c r="L2110" s="5">
        <v>8030000</v>
      </c>
      <c r="M2110" s="7">
        <v>2335</v>
      </c>
      <c r="N2110" s="5">
        <v>77800000</v>
      </c>
      <c r="O2110" s="5">
        <v>80800000</v>
      </c>
      <c r="P2110" s="3">
        <v>0.97916666666666663</v>
      </c>
    </row>
    <row r="2111" spans="1:16" x14ac:dyDescent="0.25">
      <c r="A2111" t="s">
        <v>1297</v>
      </c>
      <c r="B2111" s="2">
        <v>45436</v>
      </c>
      <c r="C2111" t="str">
        <f>+"Tuáº§n "&amp;WEEKNUM(B2111)</f>
        <v>Tuáº§n 21</v>
      </c>
      <c r="D2111" t="s">
        <v>21</v>
      </c>
      <c r="E2111" t="s">
        <v>17</v>
      </c>
      <c r="F2111" s="5">
        <v>77200000</v>
      </c>
      <c r="G2111" s="5">
        <v>80200000</v>
      </c>
      <c r="H2111" s="5">
        <f>+(M2111*26000)/0.829426</f>
        <v>73116830.193410859</v>
      </c>
      <c r="I2111" s="5">
        <f>+G2111-H2111</f>
        <v>7083169.8065891415</v>
      </c>
      <c r="J2111" s="5">
        <v>3000000</v>
      </c>
      <c r="K2111" s="5">
        <v>7720000</v>
      </c>
      <c r="L2111" s="5">
        <v>8020000</v>
      </c>
      <c r="M2111" s="7">
        <v>2332.5</v>
      </c>
      <c r="N2111" s="5">
        <v>77700000</v>
      </c>
      <c r="O2111" s="5">
        <v>80700000</v>
      </c>
      <c r="P2111" s="3">
        <v>0.97916666666666663</v>
      </c>
    </row>
    <row r="2112" spans="1:16" x14ac:dyDescent="0.25">
      <c r="A2112" t="s">
        <v>1298</v>
      </c>
      <c r="B2112" s="2">
        <v>45440</v>
      </c>
      <c r="C2112" t="str">
        <f>+"Tuáº§n "&amp;WEEKNUM(B2112)</f>
        <v>Tuáº§n 22</v>
      </c>
      <c r="D2112" t="s">
        <v>18</v>
      </c>
      <c r="E2112" t="s">
        <v>17</v>
      </c>
      <c r="F2112" s="5">
        <v>78000000</v>
      </c>
      <c r="G2112" s="5">
        <v>81000000</v>
      </c>
      <c r="H2112" s="5">
        <f>+(M2112*26000)/0.829426</f>
        <v>73828406.633020893</v>
      </c>
      <c r="I2112" s="5">
        <f>+G2112-H2112</f>
        <v>7171593.3669791073</v>
      </c>
      <c r="J2112" s="5">
        <v>3000000</v>
      </c>
      <c r="K2112" s="5">
        <v>7800000</v>
      </c>
      <c r="L2112" s="5">
        <v>8100000</v>
      </c>
      <c r="M2112" s="7">
        <v>2355.1999999999998</v>
      </c>
      <c r="N2112" s="5">
        <v>78500000</v>
      </c>
      <c r="O2112" s="5">
        <v>81500000</v>
      </c>
      <c r="P2112" s="3">
        <v>0.97916666666666663</v>
      </c>
    </row>
    <row r="2113" spans="1:16" x14ac:dyDescent="0.25">
      <c r="A2113" t="s">
        <v>1299</v>
      </c>
      <c r="B2113" s="2">
        <v>45441</v>
      </c>
      <c r="C2113" t="str">
        <f>+"Tuáº§n "&amp;WEEKNUM(B2113)</f>
        <v>Tuáº§n 22</v>
      </c>
      <c r="D2113" t="s">
        <v>19</v>
      </c>
      <c r="E2113" t="s">
        <v>17</v>
      </c>
      <c r="F2113" s="5">
        <v>77500000</v>
      </c>
      <c r="G2113" s="5">
        <v>80500000</v>
      </c>
      <c r="H2113" s="5">
        <f>+(M2113*26000)/0.829426</f>
        <v>73361336.635215208</v>
      </c>
      <c r="I2113" s="5">
        <f>+G2113-H2113</f>
        <v>7138663.3647847921</v>
      </c>
      <c r="J2113" s="5">
        <v>3000000</v>
      </c>
      <c r="K2113" s="5">
        <v>7750000</v>
      </c>
      <c r="L2113" s="5">
        <v>8050000</v>
      </c>
      <c r="M2113" s="7">
        <v>2340.3000000000002</v>
      </c>
      <c r="N2113" s="5">
        <v>78000000</v>
      </c>
      <c r="O2113" s="5">
        <v>81000000</v>
      </c>
      <c r="P2113" s="3">
        <v>0.97916666666666663</v>
      </c>
    </row>
    <row r="2114" spans="1:16" x14ac:dyDescent="0.25">
      <c r="A2114" t="s">
        <v>1300</v>
      </c>
      <c r="B2114" s="2">
        <v>45442</v>
      </c>
      <c r="C2114" t="str">
        <f>+"Tuáº§n "&amp;WEEKNUM(B2114)</f>
        <v>Tuáº§n 22</v>
      </c>
      <c r="D2114" t="s">
        <v>20</v>
      </c>
      <c r="E2114" t="s">
        <v>17</v>
      </c>
      <c r="F2114" s="5">
        <v>77600000</v>
      </c>
      <c r="G2114" s="5">
        <v>80600000</v>
      </c>
      <c r="H2114" s="5">
        <f>+(M2114*26000)/0.829426</f>
        <v>73442838.78248331</v>
      </c>
      <c r="I2114" s="5">
        <f>+G2114-H2114</f>
        <v>7157161.2175166905</v>
      </c>
      <c r="J2114" s="5">
        <v>3000000</v>
      </c>
      <c r="K2114" s="5">
        <v>7760000</v>
      </c>
      <c r="L2114" s="5">
        <v>8060000</v>
      </c>
      <c r="M2114" s="7">
        <v>2342.9</v>
      </c>
      <c r="N2114" s="5">
        <v>78100000</v>
      </c>
      <c r="O2114" s="5">
        <v>81100000</v>
      </c>
      <c r="P2114" s="3">
        <v>0.97916666666666663</v>
      </c>
    </row>
    <row r="2115" spans="1:16" x14ac:dyDescent="0.25">
      <c r="A2115" t="s">
        <v>1301</v>
      </c>
      <c r="B2115" s="2">
        <v>45443</v>
      </c>
      <c r="C2115" t="str">
        <f>+"Tuáº§n "&amp;WEEKNUM(B2115)</f>
        <v>Tuáº§n 22</v>
      </c>
      <c r="D2115" t="s">
        <v>21</v>
      </c>
      <c r="E2115" t="s">
        <v>17</v>
      </c>
      <c r="F2115" s="5">
        <v>76900000</v>
      </c>
      <c r="G2115" s="5">
        <v>79900000</v>
      </c>
      <c r="H2115" s="5">
        <f>+(M2115*26000)/0.829426</f>
        <v>72815899.188113227</v>
      </c>
      <c r="I2115" s="5">
        <f>+G2115-H2115</f>
        <v>7084100.8118867725</v>
      </c>
      <c r="J2115" s="5">
        <v>3000000</v>
      </c>
      <c r="K2115" s="5">
        <v>7690000</v>
      </c>
      <c r="L2115" s="5">
        <v>7990000</v>
      </c>
      <c r="M2115" s="7">
        <v>2322.9</v>
      </c>
      <c r="N2115" s="5">
        <v>77400000</v>
      </c>
      <c r="O2115" s="5">
        <v>80400000</v>
      </c>
      <c r="P2115" s="3">
        <v>0.97916666666666663</v>
      </c>
    </row>
    <row r="2116" spans="1:16" x14ac:dyDescent="0.25">
      <c r="A2116" s="2">
        <v>45357</v>
      </c>
      <c r="B2116" s="2">
        <v>45446</v>
      </c>
      <c r="C2116" t="str">
        <f>+"Tuáº§n "&amp;WEEKNUM(B2116)</f>
        <v>Tuáº§n 23</v>
      </c>
      <c r="D2116" t="s">
        <v>16</v>
      </c>
      <c r="E2116" t="s">
        <v>17</v>
      </c>
      <c r="F2116" s="5">
        <v>77700000</v>
      </c>
      <c r="G2116" s="5">
        <v>80700000</v>
      </c>
      <c r="H2116" s="5">
        <f>+(M2116*26000)/0.829426</f>
        <v>73558822.607441768</v>
      </c>
      <c r="I2116" s="5">
        <f>+G2116-H2116</f>
        <v>7141177.3925582319</v>
      </c>
      <c r="J2116" s="5">
        <v>3000000</v>
      </c>
      <c r="K2116" s="5">
        <v>7770000</v>
      </c>
      <c r="L2116" s="5">
        <v>8070000</v>
      </c>
      <c r="M2116" s="7">
        <v>2346.6</v>
      </c>
      <c r="N2116" s="5">
        <v>78200000</v>
      </c>
      <c r="O2116" s="5">
        <v>81200000</v>
      </c>
      <c r="P2116" s="3">
        <v>0.97916666666666663</v>
      </c>
    </row>
    <row r="2117" spans="1:16" x14ac:dyDescent="0.25">
      <c r="A2117" s="2">
        <v>45388</v>
      </c>
      <c r="B2117" s="2">
        <v>45447</v>
      </c>
      <c r="C2117" t="str">
        <f>+"Tuáº§n "&amp;WEEKNUM(B2117)</f>
        <v>Tuáº§n 23</v>
      </c>
      <c r="D2117" t="s">
        <v>18</v>
      </c>
      <c r="E2117" t="s">
        <v>17</v>
      </c>
      <c r="F2117" s="5">
        <v>77000000</v>
      </c>
      <c r="G2117" s="5">
        <v>80000000</v>
      </c>
      <c r="H2117" s="5">
        <f>+(M2117*26000)/0.829426</f>
        <v>72897401.335381329</v>
      </c>
      <c r="I2117" s="5">
        <f>+G2117-H2117</f>
        <v>7102598.6646186709</v>
      </c>
      <c r="J2117" s="5">
        <v>3000000</v>
      </c>
      <c r="K2117" s="5">
        <v>7700000</v>
      </c>
      <c r="L2117" s="5">
        <v>8000000</v>
      </c>
      <c r="M2117" s="7">
        <v>2325.5</v>
      </c>
      <c r="N2117" s="5">
        <v>77500000</v>
      </c>
      <c r="O2117" s="5">
        <v>80500000</v>
      </c>
      <c r="P2117" s="3">
        <v>0.97916666666666663</v>
      </c>
    </row>
    <row r="2118" spans="1:16" x14ac:dyDescent="0.25">
      <c r="A2118" s="2">
        <v>45418</v>
      </c>
      <c r="B2118" s="2">
        <v>45448</v>
      </c>
      <c r="C2118" t="str">
        <f>+"Tuáº§n "&amp;WEEKNUM(B2118)</f>
        <v>Tuáº§n 23</v>
      </c>
      <c r="D2118" t="s">
        <v>19</v>
      </c>
      <c r="E2118" t="s">
        <v>17</v>
      </c>
      <c r="F2118" s="5">
        <v>78000000</v>
      </c>
      <c r="G2118" s="5">
        <v>81000000</v>
      </c>
      <c r="H2118" s="5">
        <f>+(M2118*26000)/0.829426</f>
        <v>73793924.955330551</v>
      </c>
      <c r="I2118" s="5">
        <f>+G2118-H2118</f>
        <v>7206075.0446694493</v>
      </c>
      <c r="J2118" s="5">
        <v>3000000</v>
      </c>
      <c r="K2118" s="5">
        <v>7800000</v>
      </c>
      <c r="L2118" s="5">
        <v>8100000</v>
      </c>
      <c r="M2118" s="7">
        <v>2354.1</v>
      </c>
      <c r="N2118" s="5">
        <v>78500000</v>
      </c>
      <c r="O2118" s="5">
        <v>81500000</v>
      </c>
      <c r="P2118" s="3">
        <v>0.97916666666666663</v>
      </c>
    </row>
    <row r="2119" spans="1:16" x14ac:dyDescent="0.25">
      <c r="A2119" s="2">
        <v>45449</v>
      </c>
      <c r="B2119" s="2">
        <v>45449</v>
      </c>
      <c r="C2119" t="str">
        <f>+"Tuáº§n "&amp;WEEKNUM(B2119)</f>
        <v>Tuáº§n 23</v>
      </c>
      <c r="D2119" t="s">
        <v>20</v>
      </c>
      <c r="E2119" t="s">
        <v>17</v>
      </c>
      <c r="F2119" s="5">
        <v>78500000</v>
      </c>
      <c r="G2119" s="5">
        <v>81500000</v>
      </c>
      <c r="H2119" s="5">
        <f>+(M2119*26000)/0.829426</f>
        <v>74301746.026770324</v>
      </c>
      <c r="I2119" s="5">
        <f>+G2119-H2119</f>
        <v>7198253.9732296765</v>
      </c>
      <c r="J2119" s="5">
        <v>3000000</v>
      </c>
      <c r="K2119" s="5">
        <v>7850000</v>
      </c>
      <c r="L2119" s="5">
        <v>8150000</v>
      </c>
      <c r="M2119" s="7">
        <v>2370.3000000000002</v>
      </c>
      <c r="N2119" s="5">
        <v>79000000</v>
      </c>
      <c r="O2119" s="5">
        <v>82000000</v>
      </c>
      <c r="P2119" s="3">
        <v>0.97916666666666663</v>
      </c>
    </row>
    <row r="2120" spans="1:16" x14ac:dyDescent="0.25">
      <c r="A2120" s="2">
        <v>45479</v>
      </c>
      <c r="B2120" s="2">
        <v>45450</v>
      </c>
      <c r="C2120" t="str">
        <f>+"Tuáº§n "&amp;WEEKNUM(B2120)</f>
        <v>Tuáº§n 23</v>
      </c>
      <c r="D2120" t="s">
        <v>21</v>
      </c>
      <c r="E2120" t="s">
        <v>17</v>
      </c>
      <c r="F2120" s="5">
        <v>76300000</v>
      </c>
      <c r="G2120" s="5">
        <v>79300000</v>
      </c>
      <c r="H2120" s="5">
        <f>+(M2120*26000)/0.829426</f>
        <v>72261057.647095695</v>
      </c>
      <c r="I2120" s="5">
        <f>+G2120-H2120</f>
        <v>7038942.3529043049</v>
      </c>
      <c r="J2120" s="5">
        <v>3000000</v>
      </c>
      <c r="K2120" s="5">
        <v>7630000</v>
      </c>
      <c r="L2120" s="5">
        <v>7930000</v>
      </c>
      <c r="M2120" s="7">
        <v>2305.1999999999998</v>
      </c>
      <c r="N2120" s="5">
        <v>76800000</v>
      </c>
      <c r="O2120" s="5">
        <v>79800000</v>
      </c>
      <c r="P2120" s="3">
        <v>0.97916666666666663</v>
      </c>
    </row>
    <row r="2121" spans="1:16" x14ac:dyDescent="0.25">
      <c r="A2121" s="2">
        <v>45571</v>
      </c>
      <c r="B2121" s="2">
        <v>45453</v>
      </c>
      <c r="C2121" t="str">
        <f>+"Tuáº§n "&amp;WEEKNUM(B2121)</f>
        <v>Tuáº§n 24</v>
      </c>
      <c r="D2121" t="s">
        <v>16</v>
      </c>
      <c r="E2121" t="s">
        <v>17</v>
      </c>
      <c r="F2121" s="5">
        <v>76400000</v>
      </c>
      <c r="G2121" s="5">
        <v>79400000</v>
      </c>
      <c r="H2121" s="5">
        <f>+(M2121*26000)/0.829426</f>
        <v>72339425.096391961</v>
      </c>
      <c r="I2121" s="5">
        <f>+G2121-H2121</f>
        <v>7060574.903608039</v>
      </c>
      <c r="J2121" s="5">
        <v>3000000</v>
      </c>
      <c r="K2121" s="5">
        <v>7640000</v>
      </c>
      <c r="L2121" s="5">
        <v>7940000</v>
      </c>
      <c r="M2121" s="7">
        <v>2307.6999999999998</v>
      </c>
      <c r="N2121" s="5">
        <v>76900000</v>
      </c>
      <c r="O2121" s="5">
        <v>79900000</v>
      </c>
      <c r="P2121" s="3">
        <v>0.97916666666666663</v>
      </c>
    </row>
    <row r="2122" spans="1:16" x14ac:dyDescent="0.25">
      <c r="A2122" s="2">
        <v>45602</v>
      </c>
      <c r="B2122" s="2">
        <v>45454</v>
      </c>
      <c r="C2122" t="str">
        <f>+"Tuáº§n "&amp;WEEKNUM(B2122)</f>
        <v>Tuáº§n 24</v>
      </c>
      <c r="D2122" t="s">
        <v>18</v>
      </c>
      <c r="E2122" t="s">
        <v>17</v>
      </c>
      <c r="F2122" s="5">
        <v>76400000</v>
      </c>
      <c r="G2122" s="5">
        <v>79400000</v>
      </c>
      <c r="H2122" s="5">
        <f>+(M2122*26000)/0.829426</f>
        <v>72333155.70044826</v>
      </c>
      <c r="I2122" s="5">
        <f>+G2122-H2122</f>
        <v>7066844.2995517403</v>
      </c>
      <c r="J2122" s="5">
        <v>3000000</v>
      </c>
      <c r="K2122" s="5">
        <v>7640000</v>
      </c>
      <c r="L2122" s="5">
        <v>7940000</v>
      </c>
      <c r="M2122" s="7">
        <v>2307.5</v>
      </c>
      <c r="N2122" s="5">
        <v>76900000</v>
      </c>
      <c r="O2122" s="5">
        <v>79900000</v>
      </c>
      <c r="P2122" s="3">
        <v>0.97916666666666663</v>
      </c>
    </row>
    <row r="2123" spans="1:16" x14ac:dyDescent="0.25">
      <c r="A2123" s="2">
        <v>45632</v>
      </c>
      <c r="B2123" s="2">
        <v>45455</v>
      </c>
      <c r="C2123" t="str">
        <f>+"Tuáº§n "&amp;WEEKNUM(B2123)</f>
        <v>Tuáº§n 24</v>
      </c>
      <c r="D2123" t="s">
        <v>19</v>
      </c>
      <c r="E2123" t="s">
        <v>17</v>
      </c>
      <c r="F2123" s="5">
        <v>77400000</v>
      </c>
      <c r="G2123" s="5">
        <v>80400000</v>
      </c>
      <c r="H2123" s="5">
        <f>+(M2123*26000)/0.829426</f>
        <v>73226544.622425631</v>
      </c>
      <c r="I2123" s="5">
        <f>+G2123-H2123</f>
        <v>7173455.3775743693</v>
      </c>
      <c r="J2123" s="5">
        <v>3000000</v>
      </c>
      <c r="K2123" s="5">
        <v>7740000</v>
      </c>
      <c r="L2123" s="5">
        <v>8040000</v>
      </c>
      <c r="M2123" s="7">
        <v>2336</v>
      </c>
      <c r="N2123" s="5">
        <v>77900000</v>
      </c>
      <c r="O2123" s="5">
        <v>80900000</v>
      </c>
      <c r="P2123" s="3">
        <v>0.97916666666666663</v>
      </c>
    </row>
    <row r="2124" spans="1:16" x14ac:dyDescent="0.25">
      <c r="A2124" t="s">
        <v>1302</v>
      </c>
      <c r="B2124" s="2">
        <v>45456</v>
      </c>
      <c r="C2124" t="str">
        <f>+"Tuáº§n "&amp;WEEKNUM(B2124)</f>
        <v>Tuáº§n 24</v>
      </c>
      <c r="D2124" t="s">
        <v>20</v>
      </c>
      <c r="E2124" t="s">
        <v>17</v>
      </c>
      <c r="F2124" s="5">
        <v>76100000</v>
      </c>
      <c r="G2124" s="5">
        <v>79100000</v>
      </c>
      <c r="H2124" s="5">
        <f>+(M2124*26000)/0.829426</f>
        <v>72104322.748503178</v>
      </c>
      <c r="I2124" s="5">
        <f>+G2124-H2124</f>
        <v>6995677.2514968216</v>
      </c>
      <c r="J2124" s="5">
        <v>3000000</v>
      </c>
      <c r="K2124" s="5">
        <v>7610000</v>
      </c>
      <c r="L2124" s="5">
        <v>7910000</v>
      </c>
      <c r="M2124" s="7">
        <v>2300.1999999999998</v>
      </c>
      <c r="N2124" s="5">
        <v>76600000</v>
      </c>
      <c r="O2124" s="5">
        <v>79600000</v>
      </c>
      <c r="P2124" s="3">
        <v>0.97916666666666663</v>
      </c>
    </row>
    <row r="2125" spans="1:16" x14ac:dyDescent="0.25">
      <c r="A2125" t="s">
        <v>1303</v>
      </c>
      <c r="B2125" s="2">
        <v>45457</v>
      </c>
      <c r="C2125" t="str">
        <f>+"Tuáº§n "&amp;WEEKNUM(B2125)</f>
        <v>Tuáº§n 24</v>
      </c>
      <c r="D2125" t="s">
        <v>21</v>
      </c>
      <c r="E2125" t="s">
        <v>17</v>
      </c>
      <c r="F2125" s="5">
        <v>77200000</v>
      </c>
      <c r="G2125" s="5">
        <v>80200000</v>
      </c>
      <c r="H2125" s="5">
        <f>+(M2125*26000)/0.829426</f>
        <v>73082348.515720516</v>
      </c>
      <c r="I2125" s="5">
        <f>+G2125-H2125</f>
        <v>7117651.4842794836</v>
      </c>
      <c r="J2125" s="5">
        <v>3000000</v>
      </c>
      <c r="K2125" s="5">
        <v>7720000</v>
      </c>
      <c r="L2125" s="5">
        <v>8020000</v>
      </c>
      <c r="M2125" s="7">
        <v>2331.4</v>
      </c>
      <c r="N2125" s="5">
        <v>77700000</v>
      </c>
      <c r="O2125" s="5">
        <v>80700000</v>
      </c>
      <c r="P2125" s="3">
        <v>0.97916666666666663</v>
      </c>
    </row>
    <row r="2126" spans="1:16" x14ac:dyDescent="0.25">
      <c r="A2126" t="s">
        <v>1304</v>
      </c>
      <c r="B2126" s="2">
        <v>45460</v>
      </c>
      <c r="C2126" t="str">
        <f>+"Tuáº§n "&amp;WEEKNUM(B2126)</f>
        <v>Tuáº§n 25</v>
      </c>
      <c r="D2126" t="s">
        <v>16</v>
      </c>
      <c r="E2126" t="s">
        <v>17</v>
      </c>
      <c r="F2126" s="5">
        <v>76600000</v>
      </c>
      <c r="G2126" s="5">
        <v>79600000</v>
      </c>
      <c r="H2126" s="5">
        <f>+(M2126*26000)/0.829426</f>
        <v>72486755.901068926</v>
      </c>
      <c r="I2126" s="5">
        <f>+G2126-H2126</f>
        <v>7113244.0989310741</v>
      </c>
      <c r="J2126" s="5">
        <v>3000000</v>
      </c>
      <c r="K2126" s="5">
        <v>7660000</v>
      </c>
      <c r="L2126" s="5">
        <v>7960000</v>
      </c>
      <c r="M2126" s="7">
        <v>2312.4</v>
      </c>
      <c r="N2126" s="5">
        <v>77100000</v>
      </c>
      <c r="O2126" s="5">
        <v>80100000</v>
      </c>
      <c r="P2126" s="3">
        <v>0.97916666666666663</v>
      </c>
    </row>
    <row r="2127" spans="1:16" x14ac:dyDescent="0.25">
      <c r="A2127" t="s">
        <v>1305</v>
      </c>
      <c r="B2127" s="2">
        <v>45461</v>
      </c>
      <c r="C2127" t="str">
        <f>+"Tuáº§n "&amp;WEEKNUM(B2127)</f>
        <v>Tuáº§n 25</v>
      </c>
      <c r="D2127" t="s">
        <v>18</v>
      </c>
      <c r="E2127" t="s">
        <v>17</v>
      </c>
      <c r="F2127" s="5">
        <v>77200000</v>
      </c>
      <c r="G2127" s="5">
        <v>80200000</v>
      </c>
      <c r="H2127" s="5">
        <f>+(M2127*26000)/0.829426</f>
        <v>73051001.53600201</v>
      </c>
      <c r="I2127" s="5">
        <f>+G2127-H2127</f>
        <v>7148998.4639979899</v>
      </c>
      <c r="J2127" s="5">
        <v>3000000</v>
      </c>
      <c r="K2127" s="5">
        <v>7720000</v>
      </c>
      <c r="L2127" s="5">
        <v>8020000</v>
      </c>
      <c r="M2127" s="7">
        <v>2330.4</v>
      </c>
      <c r="N2127" s="5">
        <v>77700000</v>
      </c>
      <c r="O2127" s="5">
        <v>80700000</v>
      </c>
      <c r="P2127" s="3">
        <v>0.97916666666666663</v>
      </c>
    </row>
    <row r="2128" spans="1:16" x14ac:dyDescent="0.25">
      <c r="A2128" t="s">
        <v>1306</v>
      </c>
      <c r="B2128" s="2">
        <v>45463</v>
      </c>
      <c r="C2128" t="str">
        <f>+"Tuáº§n "&amp;WEEKNUM(B2128)</f>
        <v>Tuáº§n 25</v>
      </c>
      <c r="D2128" t="s">
        <v>20</v>
      </c>
      <c r="E2128" t="s">
        <v>17</v>
      </c>
      <c r="F2128" s="5">
        <v>78000000</v>
      </c>
      <c r="G2128" s="5">
        <v>81000000</v>
      </c>
      <c r="H2128" s="5">
        <f>+(M2128*26000)/0.829426</f>
        <v>73784520.861415014</v>
      </c>
      <c r="I2128" s="5">
        <f>+G2128-H2128</f>
        <v>7215479.1385849863</v>
      </c>
      <c r="J2128" s="5">
        <v>3000000</v>
      </c>
      <c r="K2128" s="5">
        <v>7800000</v>
      </c>
      <c r="L2128" s="5">
        <v>8100000</v>
      </c>
      <c r="M2128" s="7">
        <v>2353.8000000000002</v>
      </c>
      <c r="N2128" s="5">
        <v>78500000</v>
      </c>
      <c r="O2128" s="5">
        <v>81500000</v>
      </c>
      <c r="P2128" s="3">
        <v>0.97916666666666663</v>
      </c>
    </row>
    <row r="2129" spans="1:16" x14ac:dyDescent="0.25">
      <c r="A2129" t="s">
        <v>1307</v>
      </c>
      <c r="B2129" s="2">
        <v>45464</v>
      </c>
      <c r="C2129" t="str">
        <f>+"Tuáº§n "&amp;WEEKNUM(B2129)</f>
        <v>Tuáº§n 25</v>
      </c>
      <c r="D2129" t="s">
        <v>21</v>
      </c>
      <c r="E2129" t="s">
        <v>17</v>
      </c>
      <c r="F2129" s="5">
        <v>76700000</v>
      </c>
      <c r="G2129" s="5">
        <v>79700000</v>
      </c>
      <c r="H2129" s="5">
        <f>+(M2129*26000)/0.829426</f>
        <v>72612143.819942951</v>
      </c>
      <c r="I2129" s="5">
        <f>+G2129-H2129</f>
        <v>7087856.1800570488</v>
      </c>
      <c r="J2129" s="5">
        <v>3000000</v>
      </c>
      <c r="K2129" s="5">
        <v>7670000</v>
      </c>
      <c r="L2129" s="5">
        <v>7970000</v>
      </c>
      <c r="M2129" s="7">
        <v>2316.4</v>
      </c>
      <c r="N2129" s="5">
        <v>77200000</v>
      </c>
      <c r="O2129" s="5">
        <v>80200000</v>
      </c>
      <c r="P2129" s="3">
        <v>0.97916666666666663</v>
      </c>
    </row>
    <row r="2130" spans="1:16" x14ac:dyDescent="0.25">
      <c r="A2130" t="s">
        <v>1308</v>
      </c>
      <c r="B2130" s="2">
        <v>45467</v>
      </c>
      <c r="C2130" t="str">
        <f>+"Tuáº§n "&amp;WEEKNUM(B2130)</f>
        <v>Tuáº§n 26</v>
      </c>
      <c r="D2130" t="s">
        <v>16</v>
      </c>
      <c r="E2130" t="s">
        <v>17</v>
      </c>
      <c r="F2130" s="5">
        <v>77200000</v>
      </c>
      <c r="G2130" s="5">
        <v>80200000</v>
      </c>
      <c r="H2130" s="5">
        <f>+(M2130*26000)/0.829426</f>
        <v>73038462.744114608</v>
      </c>
      <c r="I2130" s="5">
        <f>+G2130-H2130</f>
        <v>7161537.2558853924</v>
      </c>
      <c r="J2130" s="5">
        <v>3000000</v>
      </c>
      <c r="K2130" s="5">
        <v>7720000</v>
      </c>
      <c r="L2130" s="5">
        <v>8020000</v>
      </c>
      <c r="M2130" s="7">
        <v>2330</v>
      </c>
      <c r="N2130" s="5">
        <v>77700000</v>
      </c>
      <c r="O2130" s="5">
        <v>80700000</v>
      </c>
      <c r="P2130" s="3">
        <v>0.97916666666666663</v>
      </c>
    </row>
    <row r="2131" spans="1:16" x14ac:dyDescent="0.25">
      <c r="A2131" t="s">
        <v>1309</v>
      </c>
      <c r="B2131" s="2">
        <v>45468</v>
      </c>
      <c r="C2131" t="str">
        <f>+"Tuáº§n "&amp;WEEKNUM(B2131)</f>
        <v>Tuáº§n 26</v>
      </c>
      <c r="D2131" t="s">
        <v>18</v>
      </c>
      <c r="E2131" t="s">
        <v>17</v>
      </c>
      <c r="F2131" s="5">
        <v>76700000</v>
      </c>
      <c r="G2131" s="5">
        <v>79700000</v>
      </c>
      <c r="H2131" s="5">
        <f>+(M2131*26000)/0.829426</f>
        <v>72618413.215886652</v>
      </c>
      <c r="I2131" s="5">
        <f>+G2131-H2131</f>
        <v>7081586.7841133475</v>
      </c>
      <c r="J2131" s="5">
        <v>3000000</v>
      </c>
      <c r="K2131" s="5">
        <v>7670000</v>
      </c>
      <c r="L2131" s="5">
        <v>7970000</v>
      </c>
      <c r="M2131" s="7">
        <v>2316.6</v>
      </c>
      <c r="N2131" s="5">
        <v>77200000</v>
      </c>
      <c r="O2131" s="5">
        <v>80200000</v>
      </c>
      <c r="P2131" s="3">
        <v>0.97916666666666663</v>
      </c>
    </row>
    <row r="2132" spans="1:16" x14ac:dyDescent="0.25">
      <c r="A2132" t="s">
        <v>1310</v>
      </c>
      <c r="B2132" s="2">
        <v>45469</v>
      </c>
      <c r="C2132" t="str">
        <f>+"Tuáº§n "&amp;WEEKNUM(B2132)</f>
        <v>Tuáº§n 26</v>
      </c>
      <c r="D2132" t="s">
        <v>19</v>
      </c>
      <c r="E2132" t="s">
        <v>17</v>
      </c>
      <c r="F2132" s="5">
        <v>76100000</v>
      </c>
      <c r="G2132" s="5">
        <v>79100000</v>
      </c>
      <c r="H2132" s="5">
        <f>+(M2132*26000)/0.829426</f>
        <v>72072975.768784672</v>
      </c>
      <c r="I2132" s="5">
        <f>+G2132-H2132</f>
        <v>7027024.231215328</v>
      </c>
      <c r="J2132" s="5">
        <v>3000000</v>
      </c>
      <c r="K2132" s="5">
        <v>7610000</v>
      </c>
      <c r="L2132" s="5">
        <v>7910000</v>
      </c>
      <c r="M2132" s="7">
        <v>2299.1999999999998</v>
      </c>
      <c r="N2132" s="5">
        <v>76600000</v>
      </c>
      <c r="O2132" s="5">
        <v>79600000</v>
      </c>
      <c r="P2132" s="3">
        <v>0.97916666666666663</v>
      </c>
    </row>
    <row r="2133" spans="1:16" x14ac:dyDescent="0.25">
      <c r="A2133" t="s">
        <v>1311</v>
      </c>
      <c r="B2133" s="2">
        <v>45470</v>
      </c>
      <c r="C2133" t="str">
        <f>+"Tuáº§n "&amp;WEEKNUM(B2133)</f>
        <v>Tuáº§n 26</v>
      </c>
      <c r="D2133" t="s">
        <v>20</v>
      </c>
      <c r="E2133" t="s">
        <v>17</v>
      </c>
      <c r="F2133" s="5">
        <v>77000000</v>
      </c>
      <c r="G2133" s="5">
        <v>80000000</v>
      </c>
      <c r="H2133" s="5">
        <f>+(M2133*26000)/0.829426</f>
        <v>72866054.355662838</v>
      </c>
      <c r="I2133" s="5">
        <f>+G2133-H2133</f>
        <v>7133945.6443371624</v>
      </c>
      <c r="J2133" s="5">
        <v>3000000</v>
      </c>
      <c r="K2133" s="5">
        <v>7700000</v>
      </c>
      <c r="L2133" s="5">
        <v>8000000</v>
      </c>
      <c r="M2133" s="7">
        <v>2324.5</v>
      </c>
      <c r="N2133" s="5">
        <v>77500000</v>
      </c>
      <c r="O2133" s="5">
        <v>80500000</v>
      </c>
      <c r="P2133" s="3">
        <v>0.97916666666666663</v>
      </c>
    </row>
    <row r="2134" spans="1:16" x14ac:dyDescent="0.25">
      <c r="A2134" t="s">
        <v>1312</v>
      </c>
      <c r="B2134" s="2">
        <v>45471</v>
      </c>
      <c r="C2134" t="str">
        <f>+"Tuáº§n "&amp;WEEKNUM(B2134)</f>
        <v>Tuáº§n 26</v>
      </c>
      <c r="D2134" t="s">
        <v>21</v>
      </c>
      <c r="E2134" t="s">
        <v>17</v>
      </c>
      <c r="F2134" s="5">
        <v>77100000</v>
      </c>
      <c r="G2134" s="5">
        <v>80100000</v>
      </c>
      <c r="H2134" s="5">
        <f>+(M2134*26000)/0.829426</f>
        <v>72966364.690762043</v>
      </c>
      <c r="I2134" s="5">
        <f>+G2134-H2134</f>
        <v>7133635.309237957</v>
      </c>
      <c r="J2134" s="5">
        <v>3000000</v>
      </c>
      <c r="K2134" s="5">
        <v>7710000</v>
      </c>
      <c r="L2134" s="5">
        <v>8010000</v>
      </c>
      <c r="M2134" s="7">
        <v>2327.6999999999998</v>
      </c>
      <c r="N2134" s="5">
        <v>77600000</v>
      </c>
      <c r="O2134" s="5">
        <v>80600000</v>
      </c>
      <c r="P2134" s="3">
        <v>0.97916666666666663</v>
      </c>
    </row>
    <row r="2135" spans="1:16" x14ac:dyDescent="0.25">
      <c r="A2135" s="2">
        <v>45298</v>
      </c>
      <c r="B2135" s="2">
        <v>45474</v>
      </c>
      <c r="C2135" t="str">
        <f>+"Tuáº§n "&amp;WEEKNUM(B2135)</f>
        <v>Tuáº§n 27</v>
      </c>
      <c r="D2135" t="s">
        <v>16</v>
      </c>
      <c r="E2135" t="s">
        <v>17</v>
      </c>
      <c r="F2135" s="5">
        <v>77100000</v>
      </c>
      <c r="G2135" s="5">
        <v>80100000</v>
      </c>
      <c r="H2135" s="5">
        <f>+(M2135*26000)/0.829426</f>
        <v>72963229.992790192</v>
      </c>
      <c r="I2135" s="5">
        <f>+G2135-H2135</f>
        <v>7136770.0072098076</v>
      </c>
      <c r="J2135" s="5">
        <v>3000000</v>
      </c>
      <c r="K2135" s="5">
        <v>7710000</v>
      </c>
      <c r="L2135" s="5">
        <v>8010000</v>
      </c>
      <c r="M2135" s="7">
        <v>2327.6</v>
      </c>
      <c r="N2135" s="5">
        <v>77600000</v>
      </c>
      <c r="O2135" s="5">
        <v>80600000</v>
      </c>
      <c r="P2135" s="3">
        <v>0.97916666666666663</v>
      </c>
    </row>
    <row r="2136" spans="1:16" x14ac:dyDescent="0.25">
      <c r="A2136" s="2">
        <v>45329</v>
      </c>
      <c r="B2136" s="2">
        <v>45475</v>
      </c>
      <c r="C2136" t="str">
        <f>+"Tuáº§n "&amp;WEEKNUM(B2136)</f>
        <v>Tuáº§n 27</v>
      </c>
      <c r="D2136" t="s">
        <v>18</v>
      </c>
      <c r="E2136" t="s">
        <v>17</v>
      </c>
      <c r="F2136" s="5">
        <v>76900000</v>
      </c>
      <c r="G2136" s="5">
        <v>79900000</v>
      </c>
      <c r="H2136" s="5">
        <f>+(M2136*26000)/0.829426</f>
        <v>72819033.886085078</v>
      </c>
      <c r="I2136" s="5">
        <f>+G2136-H2136</f>
        <v>7080966.1139149219</v>
      </c>
      <c r="J2136" s="5">
        <v>3000000</v>
      </c>
      <c r="K2136" s="5">
        <v>7690000</v>
      </c>
      <c r="L2136" s="5">
        <v>7990000</v>
      </c>
      <c r="M2136" s="7">
        <v>2323</v>
      </c>
      <c r="N2136" s="5">
        <v>77400000</v>
      </c>
      <c r="O2136" s="5">
        <v>80400000</v>
      </c>
      <c r="P2136" s="3">
        <v>0.97916666666666663</v>
      </c>
    </row>
    <row r="2137" spans="1:16" x14ac:dyDescent="0.25">
      <c r="A2137" s="2">
        <v>45358</v>
      </c>
      <c r="B2137" s="2">
        <v>45476</v>
      </c>
      <c r="C2137" t="str">
        <f>+"Tuáº§n "&amp;WEEKNUM(B2137)</f>
        <v>Tuáº§n 27</v>
      </c>
      <c r="D2137" t="s">
        <v>19</v>
      </c>
      <c r="E2137" t="s">
        <v>17</v>
      </c>
      <c r="F2137" s="5">
        <v>78200000</v>
      </c>
      <c r="G2137" s="5">
        <v>81200000</v>
      </c>
      <c r="H2137" s="5">
        <f>+(M2137*26000)/0.829426</f>
        <v>73972602.739726037</v>
      </c>
      <c r="I2137" s="5">
        <f>+G2137-H2137</f>
        <v>7227397.2602739632</v>
      </c>
      <c r="J2137" s="5">
        <v>3000000</v>
      </c>
      <c r="K2137" s="5">
        <v>7820000</v>
      </c>
      <c r="L2137" s="5">
        <v>8120000</v>
      </c>
      <c r="M2137" s="7">
        <v>2359.8000000000002</v>
      </c>
      <c r="N2137" s="5">
        <v>78700000</v>
      </c>
      <c r="O2137" s="5">
        <v>81700000</v>
      </c>
      <c r="P2137" s="3">
        <v>0.97916666666666663</v>
      </c>
    </row>
    <row r="2138" spans="1:16" x14ac:dyDescent="0.25">
      <c r="A2138" s="2">
        <v>45419</v>
      </c>
      <c r="B2138" s="2">
        <v>45478</v>
      </c>
      <c r="C2138" t="str">
        <f>+"Tuáº§n "&amp;WEEKNUM(B2138)</f>
        <v>Tuáº§n 27</v>
      </c>
      <c r="D2138" t="s">
        <v>21</v>
      </c>
      <c r="E2138" t="s">
        <v>17</v>
      </c>
      <c r="F2138" s="5">
        <v>79200000</v>
      </c>
      <c r="G2138" s="5">
        <v>82200000</v>
      </c>
      <c r="H2138" s="5">
        <f>+(M2138*26000)/0.829426</f>
        <v>74872261.057647094</v>
      </c>
      <c r="I2138" s="5">
        <f>+G2138-H2138</f>
        <v>7327738.9423529059</v>
      </c>
      <c r="J2138" s="5">
        <v>3000000</v>
      </c>
      <c r="K2138" s="5">
        <v>7920000</v>
      </c>
      <c r="L2138" s="5">
        <v>8220000</v>
      </c>
      <c r="M2138" s="7">
        <v>2388.5</v>
      </c>
      <c r="N2138" s="5">
        <v>79700000</v>
      </c>
      <c r="O2138" s="5">
        <v>82700000</v>
      </c>
      <c r="P2138" s="3">
        <v>0.97916666666666663</v>
      </c>
    </row>
    <row r="2139" spans="1:16" x14ac:dyDescent="0.25">
      <c r="A2139" s="2">
        <v>45511</v>
      </c>
      <c r="B2139" s="2">
        <v>45481</v>
      </c>
      <c r="C2139" t="str">
        <f>+"Tuáº§n "&amp;WEEKNUM(B2139)</f>
        <v>Tuáº§n 28</v>
      </c>
      <c r="D2139" t="s">
        <v>16</v>
      </c>
      <c r="E2139" t="s">
        <v>17</v>
      </c>
      <c r="F2139" s="5">
        <v>78000000</v>
      </c>
      <c r="G2139" s="5">
        <v>81000000</v>
      </c>
      <c r="H2139" s="5">
        <f>+(M2139*26000)/0.829426</f>
        <v>73828406.633020893</v>
      </c>
      <c r="I2139" s="5">
        <f>+G2139-H2139</f>
        <v>7171593.3669791073</v>
      </c>
      <c r="J2139" s="5">
        <v>3000000</v>
      </c>
      <c r="K2139" s="5">
        <v>7800000</v>
      </c>
      <c r="L2139" s="5">
        <v>8100000</v>
      </c>
      <c r="M2139" s="7">
        <v>2355.1999999999998</v>
      </c>
      <c r="N2139" s="5">
        <v>78500000</v>
      </c>
      <c r="O2139" s="5">
        <v>81500000</v>
      </c>
      <c r="P2139" s="3">
        <v>0.97916666666666663</v>
      </c>
    </row>
    <row r="2140" spans="1:16" x14ac:dyDescent="0.25">
      <c r="A2140" s="2">
        <v>45542</v>
      </c>
      <c r="B2140" s="2">
        <v>45482</v>
      </c>
      <c r="C2140" t="str">
        <f>+"Tuáº§n "&amp;WEEKNUM(B2140)</f>
        <v>Tuáº§n 28</v>
      </c>
      <c r="D2140" t="s">
        <v>18</v>
      </c>
      <c r="E2140" t="s">
        <v>17</v>
      </c>
      <c r="F2140" s="5">
        <v>78200000</v>
      </c>
      <c r="G2140" s="5">
        <v>81200000</v>
      </c>
      <c r="H2140" s="5">
        <f>+(M2140*26000)/0.829426</f>
        <v>73982006.833641574</v>
      </c>
      <c r="I2140" s="5">
        <f>+G2140-H2140</f>
        <v>7217993.1663584262</v>
      </c>
      <c r="J2140" s="5">
        <v>3000000</v>
      </c>
      <c r="K2140" s="5">
        <v>7820000</v>
      </c>
      <c r="L2140" s="5">
        <v>8120000</v>
      </c>
      <c r="M2140" s="7">
        <v>2360.1</v>
      </c>
      <c r="N2140" s="5">
        <v>78700000</v>
      </c>
      <c r="O2140" s="5">
        <v>81700000</v>
      </c>
      <c r="P2140" s="3">
        <v>0.97916666666666663</v>
      </c>
    </row>
    <row r="2141" spans="1:16" x14ac:dyDescent="0.25">
      <c r="A2141" s="2">
        <v>45572</v>
      </c>
      <c r="B2141" s="2">
        <v>45483</v>
      </c>
      <c r="C2141" t="str">
        <f>+"Tuáº§n "&amp;WEEKNUM(B2141)</f>
        <v>Tuáº§n 28</v>
      </c>
      <c r="D2141" t="s">
        <v>19</v>
      </c>
      <c r="E2141" t="s">
        <v>17</v>
      </c>
      <c r="F2141" s="5">
        <v>78600000</v>
      </c>
      <c r="G2141" s="5">
        <v>81600000</v>
      </c>
      <c r="H2141" s="5">
        <f>+(M2141*26000)/0.829426</f>
        <v>74361305.288235471</v>
      </c>
      <c r="I2141" s="5">
        <f>+G2141-H2141</f>
        <v>7238694.7117645293</v>
      </c>
      <c r="J2141" s="5">
        <v>3000000</v>
      </c>
      <c r="K2141" s="5">
        <v>7860000</v>
      </c>
      <c r="L2141" s="5">
        <v>8160000</v>
      </c>
      <c r="M2141" s="7">
        <v>2372.1999999999998</v>
      </c>
      <c r="N2141" s="5">
        <v>79100000</v>
      </c>
      <c r="O2141" s="5">
        <v>82100000</v>
      </c>
      <c r="P2141" s="3">
        <v>0.97916666666666663</v>
      </c>
    </row>
    <row r="2142" spans="1:16" x14ac:dyDescent="0.25">
      <c r="A2142" s="2">
        <v>45603</v>
      </c>
      <c r="B2142" s="2">
        <v>45484</v>
      </c>
      <c r="C2142" t="str">
        <f>+"Tuáº§n "&amp;WEEKNUM(B2142)</f>
        <v>Tuáº§n 28</v>
      </c>
      <c r="D2142" t="s">
        <v>20</v>
      </c>
      <c r="E2142" t="s">
        <v>17</v>
      </c>
      <c r="F2142" s="5">
        <v>80100000</v>
      </c>
      <c r="G2142" s="5">
        <v>83100000</v>
      </c>
      <c r="H2142" s="5">
        <f>+(M2142*26000)/0.829426</f>
        <v>75702956.020187452</v>
      </c>
      <c r="I2142" s="5">
        <f>+G2142-H2142</f>
        <v>7397043.9798125476</v>
      </c>
      <c r="J2142" s="5">
        <v>3000000</v>
      </c>
      <c r="K2142" s="5">
        <v>8010000</v>
      </c>
      <c r="L2142" s="5">
        <v>8310000</v>
      </c>
      <c r="M2142" s="7">
        <v>2415</v>
      </c>
      <c r="N2142" s="5">
        <v>80600000</v>
      </c>
      <c r="O2142" s="5">
        <v>83600000</v>
      </c>
      <c r="P2142" s="3">
        <v>0.97916666666666663</v>
      </c>
    </row>
    <row r="2143" spans="1:16" x14ac:dyDescent="0.25">
      <c r="A2143" s="2">
        <v>45633</v>
      </c>
      <c r="B2143" s="2">
        <v>45485</v>
      </c>
      <c r="C2143" t="str">
        <f>+"Tuáº§n "&amp;WEEKNUM(B2143)</f>
        <v>Tuáº§n 28</v>
      </c>
      <c r="D2143" t="s">
        <v>21</v>
      </c>
      <c r="E2143" t="s">
        <v>17</v>
      </c>
      <c r="F2143" s="5">
        <v>80100000</v>
      </c>
      <c r="G2143" s="5">
        <v>83100000</v>
      </c>
      <c r="H2143" s="5">
        <f>+(M2143*26000)/0.829426</f>
        <v>75671609.040468946</v>
      </c>
      <c r="I2143" s="5">
        <f>+G2143-H2143</f>
        <v>7428390.9595310539</v>
      </c>
      <c r="J2143" s="5">
        <v>3000000</v>
      </c>
      <c r="K2143" s="5">
        <v>8010000</v>
      </c>
      <c r="L2143" s="5">
        <v>8310000</v>
      </c>
      <c r="M2143" s="7">
        <v>2414</v>
      </c>
      <c r="N2143" s="5">
        <v>80600000</v>
      </c>
      <c r="O2143" s="5">
        <v>83600000</v>
      </c>
      <c r="P2143" s="3">
        <v>0.97916666666666663</v>
      </c>
    </row>
    <row r="2144" spans="1:16" x14ac:dyDescent="0.25">
      <c r="A2144" t="s">
        <v>1313</v>
      </c>
      <c r="B2144" s="2">
        <v>45488</v>
      </c>
      <c r="C2144" t="str">
        <f>+"Tuáº§n "&amp;WEEKNUM(B2144)</f>
        <v>Tuáº§n 29</v>
      </c>
      <c r="D2144" t="s">
        <v>16</v>
      </c>
      <c r="E2144" t="s">
        <v>17</v>
      </c>
      <c r="F2144" s="5">
        <v>80400000</v>
      </c>
      <c r="G2144" s="5">
        <v>83400000</v>
      </c>
      <c r="H2144" s="5">
        <f>+(M2144*26000)/0.829426</f>
        <v>75950597.159963638</v>
      </c>
      <c r="I2144" s="5">
        <f>+G2144-H2144</f>
        <v>7449402.8400363624</v>
      </c>
      <c r="J2144" s="5">
        <v>3000000</v>
      </c>
      <c r="K2144" s="5">
        <v>8040000</v>
      </c>
      <c r="L2144" s="5">
        <v>8340000</v>
      </c>
      <c r="M2144" s="7">
        <v>2422.9</v>
      </c>
      <c r="N2144" s="5">
        <v>80900000</v>
      </c>
      <c r="O2144" s="5">
        <v>83900000</v>
      </c>
      <c r="P2144" s="3">
        <v>0.97916666666666663</v>
      </c>
    </row>
    <row r="2145" spans="1:16" x14ac:dyDescent="0.25">
      <c r="A2145" t="s">
        <v>1314</v>
      </c>
      <c r="B2145" s="2">
        <v>45489</v>
      </c>
      <c r="C2145" t="str">
        <f>+"Tuáº§n "&amp;WEEKNUM(B2145)</f>
        <v>Tuáº§n 29</v>
      </c>
      <c r="D2145" t="s">
        <v>18</v>
      </c>
      <c r="E2145" t="s">
        <v>17</v>
      </c>
      <c r="F2145" s="5">
        <v>81700000</v>
      </c>
      <c r="G2145" s="5">
        <v>84700000</v>
      </c>
      <c r="H2145" s="5">
        <f>+(M2145*26000)/0.829426</f>
        <v>77188802.858844548</v>
      </c>
      <c r="I2145" s="5">
        <f>+G2145-H2145</f>
        <v>7511197.1411554515</v>
      </c>
      <c r="J2145" s="5">
        <v>3000000</v>
      </c>
      <c r="K2145" s="5">
        <v>8170000</v>
      </c>
      <c r="L2145" s="5">
        <v>8470000</v>
      </c>
      <c r="M2145" s="7">
        <v>2462.4</v>
      </c>
      <c r="N2145" s="5">
        <v>82200000</v>
      </c>
      <c r="O2145" s="5">
        <v>85200000</v>
      </c>
      <c r="P2145" s="3">
        <v>0.97916666666666663</v>
      </c>
    </row>
    <row r="2146" spans="1:16" x14ac:dyDescent="0.25">
      <c r="A2146" t="s">
        <v>1315</v>
      </c>
      <c r="B2146" s="2">
        <v>45490</v>
      </c>
      <c r="C2146" t="str">
        <f>+"Tuáº§n "&amp;WEEKNUM(B2146)</f>
        <v>Tuáº§n 29</v>
      </c>
      <c r="D2146" t="s">
        <v>19</v>
      </c>
      <c r="E2146" t="s">
        <v>17</v>
      </c>
      <c r="F2146" s="5">
        <v>81500000</v>
      </c>
      <c r="G2146" s="5">
        <v>84500000</v>
      </c>
      <c r="H2146" s="5">
        <f>+(M2146*26000)/0.829426</f>
        <v>76950565.81298393</v>
      </c>
      <c r="I2146" s="5">
        <f>+G2146-H2146</f>
        <v>7549434.1870160699</v>
      </c>
      <c r="J2146" s="5">
        <v>3000000</v>
      </c>
      <c r="K2146" s="5">
        <v>8150000</v>
      </c>
      <c r="L2146" s="5">
        <v>8450000</v>
      </c>
      <c r="M2146" s="7">
        <v>2454.8000000000002</v>
      </c>
      <c r="N2146" s="5">
        <v>82000000</v>
      </c>
      <c r="O2146" s="5">
        <v>85000000</v>
      </c>
      <c r="P2146" s="3">
        <v>0.97916666666666663</v>
      </c>
    </row>
    <row r="2147" spans="1:16" x14ac:dyDescent="0.25">
      <c r="A2147" t="s">
        <v>1316</v>
      </c>
      <c r="B2147" s="2">
        <v>45491</v>
      </c>
      <c r="C2147" t="str">
        <f>+"Tuáº§n "&amp;WEEKNUM(B2147)</f>
        <v>Tuáº§n 29</v>
      </c>
      <c r="D2147" t="s">
        <v>20</v>
      </c>
      <c r="E2147" t="s">
        <v>17</v>
      </c>
      <c r="F2147" s="5">
        <v>81400000</v>
      </c>
      <c r="G2147" s="5">
        <v>84400000</v>
      </c>
      <c r="H2147" s="5">
        <f>+(M2147*26000)/0.829426</f>
        <v>76856524.873828411</v>
      </c>
      <c r="I2147" s="5">
        <f>+G2147-H2147</f>
        <v>7543475.1261715889</v>
      </c>
      <c r="J2147" s="5">
        <v>3000000</v>
      </c>
      <c r="K2147" s="5">
        <v>8140000</v>
      </c>
      <c r="L2147" s="5">
        <v>8440000</v>
      </c>
      <c r="M2147" s="7">
        <v>2451.8000000000002</v>
      </c>
      <c r="N2147" s="5">
        <v>81900000</v>
      </c>
      <c r="O2147" s="5">
        <v>84900000</v>
      </c>
      <c r="P2147" s="3">
        <v>0.97916666666666663</v>
      </c>
    </row>
    <row r="2148" spans="1:16" x14ac:dyDescent="0.25">
      <c r="A2148" t="s">
        <v>1317</v>
      </c>
      <c r="B2148" s="2">
        <v>45492</v>
      </c>
      <c r="C2148" t="str">
        <f>+"Tuáº§n "&amp;WEEKNUM(B2148)</f>
        <v>Tuáº§n 29</v>
      </c>
      <c r="D2148" t="s">
        <v>21</v>
      </c>
      <c r="E2148" t="s">
        <v>17</v>
      </c>
      <c r="F2148" s="5">
        <v>79400000</v>
      </c>
      <c r="G2148" s="5">
        <v>82400000</v>
      </c>
      <c r="H2148" s="5">
        <f>+(M2148*26000)/0.829426</f>
        <v>75091689.915676624</v>
      </c>
      <c r="I2148" s="5">
        <f>+G2148-H2148</f>
        <v>7308310.0843233764</v>
      </c>
      <c r="J2148" s="5">
        <v>3000000</v>
      </c>
      <c r="K2148" s="5">
        <v>7940000</v>
      </c>
      <c r="L2148" s="5">
        <v>8240000</v>
      </c>
      <c r="M2148" s="7">
        <v>2395.5</v>
      </c>
      <c r="N2148" s="5">
        <v>79900000</v>
      </c>
      <c r="O2148" s="5">
        <v>82900000</v>
      </c>
      <c r="P2148" s="3">
        <v>0.97916666666666663</v>
      </c>
    </row>
    <row r="2149" spans="1:16" x14ac:dyDescent="0.25">
      <c r="A2149" t="s">
        <v>1318</v>
      </c>
      <c r="B2149" s="2">
        <v>45495</v>
      </c>
      <c r="C2149" t="str">
        <f>+"Tuáº§n "&amp;WEEKNUM(B2149)</f>
        <v>Tuáº§n 30</v>
      </c>
      <c r="D2149" t="s">
        <v>16</v>
      </c>
      <c r="E2149" t="s">
        <v>17</v>
      </c>
      <c r="F2149" s="5">
        <v>79300000</v>
      </c>
      <c r="G2149" s="5">
        <v>82300000</v>
      </c>
      <c r="H2149" s="5">
        <f>+(M2149*26000)/0.829426</f>
        <v>74981975.486661866</v>
      </c>
      <c r="I2149" s="5">
        <f>+G2149-H2149</f>
        <v>7318024.5133381337</v>
      </c>
      <c r="J2149" s="5">
        <v>3000000</v>
      </c>
      <c r="K2149" s="5">
        <v>7930000</v>
      </c>
      <c r="L2149" s="5">
        <v>8230000</v>
      </c>
      <c r="M2149" s="7">
        <v>2392</v>
      </c>
      <c r="N2149" s="5">
        <v>79800000</v>
      </c>
      <c r="O2149" s="5">
        <v>82800000</v>
      </c>
      <c r="P2149" s="3">
        <v>0.97916666666666663</v>
      </c>
    </row>
    <row r="2150" spans="1:16" x14ac:dyDescent="0.25">
      <c r="A2150" t="s">
        <v>1319</v>
      </c>
      <c r="B2150" s="2">
        <v>45496</v>
      </c>
      <c r="C2150" t="str">
        <f>+"Tuáº§n "&amp;WEEKNUM(B2150)</f>
        <v>Tuáº§n 30</v>
      </c>
      <c r="D2150" t="s">
        <v>18</v>
      </c>
      <c r="E2150" t="s">
        <v>17</v>
      </c>
      <c r="F2150" s="5">
        <v>79700000</v>
      </c>
      <c r="G2150" s="5">
        <v>82700000</v>
      </c>
      <c r="H2150" s="5">
        <f>+(M2150*26000)/0.829426</f>
        <v>75376947.431115016</v>
      </c>
      <c r="I2150" s="5">
        <f>+G2150-H2150</f>
        <v>7323052.5688849837</v>
      </c>
      <c r="J2150" s="5">
        <v>3000000</v>
      </c>
      <c r="K2150" s="5">
        <v>7970000</v>
      </c>
      <c r="L2150" s="5">
        <v>8270000</v>
      </c>
      <c r="M2150" s="7">
        <v>2404.6</v>
      </c>
      <c r="N2150" s="5">
        <v>80200000</v>
      </c>
      <c r="O2150" s="5">
        <v>83200000</v>
      </c>
      <c r="P2150" s="3">
        <v>0.97916666666666663</v>
      </c>
    </row>
    <row r="2151" spans="1:16" x14ac:dyDescent="0.25">
      <c r="A2151" t="s">
        <v>1320</v>
      </c>
      <c r="B2151" s="2">
        <v>45497</v>
      </c>
      <c r="C2151" t="str">
        <f>+"Tuáº§n "&amp;WEEKNUM(B2151)</f>
        <v>Tuáº§n 30</v>
      </c>
      <c r="D2151" t="s">
        <v>19</v>
      </c>
      <c r="E2151" t="s">
        <v>17</v>
      </c>
      <c r="F2151" s="5">
        <v>80000000</v>
      </c>
      <c r="G2151" s="5">
        <v>83000000</v>
      </c>
      <c r="H2151" s="5">
        <f>+(M2151*26000)/0.829426</f>
        <v>75649666.154666007</v>
      </c>
      <c r="I2151" s="5">
        <f>+G2151-H2151</f>
        <v>7350333.8453339934</v>
      </c>
      <c r="J2151" s="5">
        <v>3000000</v>
      </c>
      <c r="K2151" s="5">
        <v>8000000</v>
      </c>
      <c r="L2151" s="5">
        <v>8300000</v>
      </c>
      <c r="M2151" s="7">
        <v>2413.3000000000002</v>
      </c>
      <c r="N2151" s="5">
        <v>80500000</v>
      </c>
      <c r="O2151" s="5">
        <v>83500000</v>
      </c>
      <c r="P2151" s="3">
        <v>0.97916666666666663</v>
      </c>
    </row>
    <row r="2152" spans="1:16" x14ac:dyDescent="0.25">
      <c r="A2152" t="s">
        <v>1321</v>
      </c>
      <c r="B2152" s="2">
        <v>45498</v>
      </c>
      <c r="C2152" t="str">
        <f>+"Tuáº§n "&amp;WEEKNUM(B2152)</f>
        <v>Tuáº§n 30</v>
      </c>
      <c r="D2152" t="s">
        <v>20</v>
      </c>
      <c r="E2152" t="s">
        <v>17</v>
      </c>
      <c r="F2152" s="5">
        <v>77900000</v>
      </c>
      <c r="G2152" s="5">
        <v>80900000</v>
      </c>
      <c r="H2152" s="5">
        <f>+(M2152*26000)/0.829426</f>
        <v>73724961.599949852</v>
      </c>
      <c r="I2152" s="5">
        <f>+G2152-H2152</f>
        <v>7175038.4000501484</v>
      </c>
      <c r="J2152" s="5">
        <v>3000000</v>
      </c>
      <c r="K2152" s="5">
        <v>7790000</v>
      </c>
      <c r="L2152" s="5">
        <v>8090000</v>
      </c>
      <c r="M2152" s="7">
        <v>2351.9</v>
      </c>
      <c r="N2152" s="5">
        <v>78400000</v>
      </c>
      <c r="O2152" s="5">
        <v>81400000</v>
      </c>
      <c r="P2152" s="3">
        <v>0.97916666666666663</v>
      </c>
    </row>
    <row r="2153" spans="1:16" x14ac:dyDescent="0.25">
      <c r="A2153" t="s">
        <v>1322</v>
      </c>
      <c r="B2153" s="2">
        <v>45499</v>
      </c>
      <c r="C2153" t="str">
        <f>+"Tuáº§n "&amp;WEEKNUM(B2153)</f>
        <v>Tuáº§n 30</v>
      </c>
      <c r="D2153" t="s">
        <v>21</v>
      </c>
      <c r="E2153" t="s">
        <v>17</v>
      </c>
      <c r="F2153" s="5">
        <v>78900000</v>
      </c>
      <c r="G2153" s="5">
        <v>81900000</v>
      </c>
      <c r="H2153" s="5">
        <f>+(M2153*26000)/0.829426</f>
        <v>74605811.730039805</v>
      </c>
      <c r="I2153" s="5">
        <f>+G2153-H2153</f>
        <v>7294188.2699601948</v>
      </c>
      <c r="J2153" s="5">
        <v>3000000</v>
      </c>
      <c r="K2153" s="5">
        <v>7890000</v>
      </c>
      <c r="L2153" s="5">
        <v>8190000</v>
      </c>
      <c r="M2153" s="7">
        <v>2380</v>
      </c>
      <c r="N2153" s="5">
        <v>79400000</v>
      </c>
      <c r="O2153" s="5">
        <v>82400000</v>
      </c>
      <c r="P2153" s="3">
        <v>0.97916666666666663</v>
      </c>
    </row>
    <row r="2154" spans="1:16" x14ac:dyDescent="0.25">
      <c r="A2154" t="s">
        <v>1323</v>
      </c>
      <c r="B2154" s="2">
        <v>45502</v>
      </c>
      <c r="C2154" t="str">
        <f>+"Tuáº§n "&amp;WEEKNUM(B2154)</f>
        <v>Tuáº§n 31</v>
      </c>
      <c r="D2154" t="s">
        <v>16</v>
      </c>
      <c r="E2154" t="s">
        <v>17</v>
      </c>
      <c r="F2154" s="5">
        <v>78800000</v>
      </c>
      <c r="G2154" s="5">
        <v>81800000</v>
      </c>
      <c r="H2154" s="5">
        <f>+(M2154*26000)/0.829426</f>
        <v>74521174.884799853</v>
      </c>
      <c r="I2154" s="5">
        <f>+G2154-H2154</f>
        <v>7278825.115200147</v>
      </c>
      <c r="J2154" s="5">
        <v>3000000</v>
      </c>
      <c r="K2154" s="5">
        <v>7880000</v>
      </c>
      <c r="L2154" s="5">
        <v>8180000</v>
      </c>
      <c r="M2154" s="7">
        <v>2377.3000000000002</v>
      </c>
      <c r="N2154" s="5">
        <v>79300000</v>
      </c>
      <c r="O2154" s="5">
        <v>82300000</v>
      </c>
      <c r="P2154" s="3">
        <v>0.97916666666666663</v>
      </c>
    </row>
    <row r="2155" spans="1:16" x14ac:dyDescent="0.25">
      <c r="A2155" t="s">
        <v>1324</v>
      </c>
      <c r="B2155" s="2">
        <v>45503</v>
      </c>
      <c r="C2155" t="str">
        <f>+"Tuáº§n "&amp;WEEKNUM(B2155)</f>
        <v>Tuáº§n 31</v>
      </c>
      <c r="D2155" t="s">
        <v>18</v>
      </c>
      <c r="E2155" t="s">
        <v>17</v>
      </c>
      <c r="F2155" s="5">
        <v>79700000</v>
      </c>
      <c r="G2155" s="5">
        <v>82700000</v>
      </c>
      <c r="H2155" s="5">
        <f>+(M2155*26000)/0.829426</f>
        <v>75389486.223002419</v>
      </c>
      <c r="I2155" s="5">
        <f>+G2155-H2155</f>
        <v>7310513.7769975811</v>
      </c>
      <c r="J2155" s="5">
        <v>3000000</v>
      </c>
      <c r="K2155" s="5">
        <v>7970000</v>
      </c>
      <c r="L2155" s="5">
        <v>8270000</v>
      </c>
      <c r="M2155" s="7">
        <v>2405</v>
      </c>
      <c r="N2155" s="5">
        <v>80200000</v>
      </c>
      <c r="O2155" s="5">
        <v>83200000</v>
      </c>
      <c r="P2155" s="3">
        <v>0.97916666666666663</v>
      </c>
    </row>
    <row r="2156" spans="1:16" x14ac:dyDescent="0.25">
      <c r="A2156" t="s">
        <v>1325</v>
      </c>
      <c r="B2156" s="2">
        <v>45504</v>
      </c>
      <c r="C2156" t="str">
        <f>+"Tuáº§n "&amp;WEEKNUM(B2156)</f>
        <v>Tuáº§n 31</v>
      </c>
      <c r="D2156" t="s">
        <v>19</v>
      </c>
      <c r="E2156" t="s">
        <v>17</v>
      </c>
      <c r="F2156" s="5">
        <v>80500000</v>
      </c>
      <c r="G2156" s="5">
        <v>83500000</v>
      </c>
      <c r="H2156" s="5">
        <f>+(M2156*26000)/0.829426</f>
        <v>76063446.286950245</v>
      </c>
      <c r="I2156" s="5">
        <f>+G2156-H2156</f>
        <v>7436553.7130497545</v>
      </c>
      <c r="J2156" s="5">
        <v>3000000</v>
      </c>
      <c r="K2156" s="5">
        <v>8050000</v>
      </c>
      <c r="L2156" s="5">
        <v>8350000</v>
      </c>
      <c r="M2156" s="7">
        <v>2426.5</v>
      </c>
      <c r="N2156" s="5">
        <v>81000000</v>
      </c>
      <c r="O2156" s="5">
        <v>84000000</v>
      </c>
      <c r="P2156" s="3">
        <v>0.97916666666666663</v>
      </c>
    </row>
    <row r="2157" spans="1:16" x14ac:dyDescent="0.25">
      <c r="A2157" s="2">
        <v>45299</v>
      </c>
      <c r="B2157" s="2">
        <v>45505</v>
      </c>
      <c r="C2157" t="str">
        <f>+"Tuáº§n "&amp;WEEKNUM(B2157)</f>
        <v>Tuáº§n 31</v>
      </c>
      <c r="D2157" t="s">
        <v>20</v>
      </c>
      <c r="E2157" t="s">
        <v>17</v>
      </c>
      <c r="F2157" s="5">
        <v>80800000</v>
      </c>
      <c r="G2157" s="5">
        <v>83800000</v>
      </c>
      <c r="H2157" s="5">
        <f>+(M2157*26000)/0.829426</f>
        <v>76329895.614557534</v>
      </c>
      <c r="I2157" s="5">
        <f>+G2157-H2157</f>
        <v>7470104.3854424655</v>
      </c>
      <c r="J2157" s="5">
        <v>3000000</v>
      </c>
      <c r="K2157" s="5">
        <v>8080000</v>
      </c>
      <c r="L2157" s="5">
        <v>8380000</v>
      </c>
      <c r="M2157" s="7">
        <v>2435</v>
      </c>
      <c r="N2157" s="5">
        <v>81300000</v>
      </c>
      <c r="O2157" s="5">
        <v>84300000</v>
      </c>
      <c r="P2157" s="3">
        <v>0.97916666666666663</v>
      </c>
    </row>
    <row r="2158" spans="1:16" x14ac:dyDescent="0.25">
      <c r="A2158" s="2">
        <v>45330</v>
      </c>
      <c r="B2158" s="2">
        <v>45506</v>
      </c>
      <c r="C2158" t="str">
        <f>+"Tuáº§n "&amp;WEEKNUM(B2158)</f>
        <v>Tuáº§n 31</v>
      </c>
      <c r="D2158" t="s">
        <v>21</v>
      </c>
      <c r="E2158" t="s">
        <v>17</v>
      </c>
      <c r="F2158" s="5">
        <v>80500000</v>
      </c>
      <c r="G2158" s="5">
        <v>83500000</v>
      </c>
      <c r="H2158" s="5">
        <f>+(M2158*26000)/0.829426</f>
        <v>76038368.70317544</v>
      </c>
      <c r="I2158" s="5">
        <f>+G2158-H2158</f>
        <v>7461631.2968245596</v>
      </c>
      <c r="J2158" s="5">
        <v>3000000</v>
      </c>
      <c r="K2158" s="5">
        <v>8050000</v>
      </c>
      <c r="L2158" s="5">
        <v>8350000</v>
      </c>
      <c r="M2158" s="7">
        <v>2425.6999999999998</v>
      </c>
      <c r="N2158" s="5">
        <v>81000000</v>
      </c>
      <c r="O2158" s="5">
        <v>84000000</v>
      </c>
      <c r="P2158" s="3">
        <v>0.97916666666666663</v>
      </c>
    </row>
    <row r="2159" spans="1:16" x14ac:dyDescent="0.25">
      <c r="A2159" s="2">
        <v>45420</v>
      </c>
      <c r="B2159" s="2">
        <v>45509</v>
      </c>
      <c r="C2159" t="str">
        <f>+"Tuáº§n "&amp;WEEKNUM(B2159)</f>
        <v>Tuáº§n 32</v>
      </c>
      <c r="D2159" t="s">
        <v>16</v>
      </c>
      <c r="E2159" t="s">
        <v>17</v>
      </c>
      <c r="F2159" s="5">
        <v>79600000</v>
      </c>
      <c r="G2159" s="5">
        <v>82600000</v>
      </c>
      <c r="H2159" s="5">
        <f>+(M2159*26000)/0.829426</f>
        <v>75286041.189931348</v>
      </c>
      <c r="I2159" s="5">
        <f>+G2159-H2159</f>
        <v>7313958.810068652</v>
      </c>
      <c r="J2159" s="5">
        <v>3000000</v>
      </c>
      <c r="K2159" s="5">
        <v>7960000</v>
      </c>
      <c r="L2159" s="5">
        <v>8260000</v>
      </c>
      <c r="M2159" s="7">
        <v>2401.6999999999998</v>
      </c>
      <c r="N2159" s="5">
        <v>80100000</v>
      </c>
      <c r="O2159" s="5">
        <v>83100000</v>
      </c>
      <c r="P2159" s="3">
        <v>0.97916666666666663</v>
      </c>
    </row>
    <row r="2160" spans="1:16" x14ac:dyDescent="0.25">
      <c r="A2160" s="2">
        <v>45451</v>
      </c>
      <c r="B2160" s="2">
        <v>45510</v>
      </c>
      <c r="C2160" t="str">
        <f>+"Tuáº§n "&amp;WEEKNUM(B2160)</f>
        <v>Tuáº§n 32</v>
      </c>
      <c r="D2160" t="s">
        <v>18</v>
      </c>
      <c r="E2160" t="s">
        <v>17</v>
      </c>
      <c r="F2160" s="5">
        <v>79200000</v>
      </c>
      <c r="G2160" s="5">
        <v>82200000</v>
      </c>
      <c r="H2160" s="5">
        <f>+(M2160*26000)/0.829426</f>
        <v>74891069.245478198</v>
      </c>
      <c r="I2160" s="5">
        <f>+G2160-H2160</f>
        <v>7308930.7545218021</v>
      </c>
      <c r="J2160" s="5">
        <v>3000000</v>
      </c>
      <c r="K2160" s="5">
        <v>7920000</v>
      </c>
      <c r="L2160" s="5">
        <v>8220000</v>
      </c>
      <c r="M2160" s="7">
        <v>2389.1</v>
      </c>
      <c r="N2160" s="5">
        <v>79700000</v>
      </c>
      <c r="O2160" s="5">
        <v>82700000</v>
      </c>
      <c r="P2160" s="3">
        <v>0.97916666666666663</v>
      </c>
    </row>
    <row r="2161" spans="1:16" x14ac:dyDescent="0.25">
      <c r="A2161" s="2">
        <v>45481</v>
      </c>
      <c r="B2161" s="2">
        <v>45511</v>
      </c>
      <c r="C2161" t="str">
        <f>+"Tuáº§n "&amp;WEEKNUM(B2161)</f>
        <v>Tuáº§n 32</v>
      </c>
      <c r="D2161" t="s">
        <v>19</v>
      </c>
      <c r="E2161" t="s">
        <v>17</v>
      </c>
      <c r="F2161" s="5">
        <v>79200000</v>
      </c>
      <c r="G2161" s="5">
        <v>82200000</v>
      </c>
      <c r="H2161" s="5">
        <f>+(M2161*26000)/0.829426</f>
        <v>74934955.017084107</v>
      </c>
      <c r="I2161" s="5">
        <f>+G2161-H2161</f>
        <v>7265044.9829158932</v>
      </c>
      <c r="J2161" s="5">
        <v>3000000</v>
      </c>
      <c r="K2161" s="5">
        <v>7920000</v>
      </c>
      <c r="L2161" s="5">
        <v>8220000</v>
      </c>
      <c r="M2161" s="7">
        <v>2390.5</v>
      </c>
      <c r="N2161" s="5">
        <v>79700000</v>
      </c>
      <c r="O2161" s="5">
        <v>82700000</v>
      </c>
      <c r="P2161" s="3">
        <v>0.97916666666666663</v>
      </c>
    </row>
    <row r="2162" spans="1:16" x14ac:dyDescent="0.25">
      <c r="A2162" s="2">
        <v>45512</v>
      </c>
      <c r="B2162" s="2">
        <v>45512</v>
      </c>
      <c r="C2162" t="str">
        <f>+"Tuáº§n "&amp;WEEKNUM(B2162)</f>
        <v>Tuáº§n 32</v>
      </c>
      <c r="D2162" t="s">
        <v>20</v>
      </c>
      <c r="E2162" t="s">
        <v>17</v>
      </c>
      <c r="F2162" s="5">
        <v>80300000</v>
      </c>
      <c r="G2162" s="5">
        <v>83300000</v>
      </c>
      <c r="H2162" s="5">
        <f>+(M2162*26000)/0.829426</f>
        <v>75928654.274160683</v>
      </c>
      <c r="I2162" s="5">
        <f>+G2162-H2162</f>
        <v>7371345.7258393168</v>
      </c>
      <c r="J2162" s="5">
        <v>3000000</v>
      </c>
      <c r="K2162" s="5">
        <v>8030000</v>
      </c>
      <c r="L2162" s="5">
        <v>8330000</v>
      </c>
      <c r="M2162" s="7">
        <v>2422.1999999999998</v>
      </c>
      <c r="N2162" s="5">
        <v>80800000</v>
      </c>
      <c r="O2162" s="5">
        <v>83800000</v>
      </c>
      <c r="P2162" s="3">
        <v>0.97916666666666663</v>
      </c>
    </row>
    <row r="2163" spans="1:16" x14ac:dyDescent="0.25">
      <c r="A2163" s="2">
        <v>45543</v>
      </c>
      <c r="B2163" s="2">
        <v>45513</v>
      </c>
      <c r="C2163" t="str">
        <f>+"Tuáº§n "&amp;WEEKNUM(B2163)</f>
        <v>Tuáº§n 32</v>
      </c>
      <c r="D2163" t="s">
        <v>21</v>
      </c>
      <c r="E2163" t="s">
        <v>17</v>
      </c>
      <c r="F2163" s="5">
        <v>80700000</v>
      </c>
      <c r="G2163" s="5">
        <v>83700000</v>
      </c>
      <c r="H2163" s="5">
        <f>+(M2163*26000)/0.829426</f>
        <v>76238989.373373881</v>
      </c>
      <c r="I2163" s="5">
        <f>+G2163-H2163</f>
        <v>7461010.626626119</v>
      </c>
      <c r="J2163" s="5">
        <v>3000000</v>
      </c>
      <c r="K2163" s="5">
        <v>8070000</v>
      </c>
      <c r="L2163" s="5">
        <v>8370000</v>
      </c>
      <c r="M2163" s="7">
        <v>2432.1</v>
      </c>
      <c r="N2163" s="5">
        <v>81200000</v>
      </c>
      <c r="O2163" s="5">
        <v>84200000</v>
      </c>
      <c r="P2163" s="3">
        <v>0.97916666666666663</v>
      </c>
    </row>
    <row r="2164" spans="1:16" x14ac:dyDescent="0.25">
      <c r="A2164" s="2">
        <v>45634</v>
      </c>
      <c r="B2164" s="2">
        <v>45516</v>
      </c>
      <c r="C2164" t="str">
        <f>+"Tuáº§n "&amp;WEEKNUM(B2164)</f>
        <v>Tuáº§n 33</v>
      </c>
      <c r="D2164" t="s">
        <v>16</v>
      </c>
      <c r="E2164" t="s">
        <v>17</v>
      </c>
      <c r="F2164" s="5">
        <v>81700000</v>
      </c>
      <c r="G2164" s="5">
        <v>84700000</v>
      </c>
      <c r="H2164" s="5">
        <f>+(M2164*26000)/0.829426</f>
        <v>77188802.858844548</v>
      </c>
      <c r="I2164" s="5">
        <f>+G2164-H2164</f>
        <v>7511197.1411554515</v>
      </c>
      <c r="J2164" s="5">
        <v>3000000</v>
      </c>
      <c r="K2164" s="5">
        <v>8170000</v>
      </c>
      <c r="L2164" s="5">
        <v>8470000</v>
      </c>
      <c r="M2164" s="7">
        <v>2462.4</v>
      </c>
      <c r="N2164" s="5">
        <v>82200000</v>
      </c>
      <c r="O2164" s="5">
        <v>85200000</v>
      </c>
      <c r="P2164" s="3">
        <v>0.97916666666666663</v>
      </c>
    </row>
    <row r="2165" spans="1:16" x14ac:dyDescent="0.25">
      <c r="A2165" t="s">
        <v>1326</v>
      </c>
      <c r="B2165" s="2">
        <v>45517</v>
      </c>
      <c r="C2165" t="str">
        <f>+"Tuáº§n "&amp;WEEKNUM(B2165)</f>
        <v>Tuáº§n 33</v>
      </c>
      <c r="D2165" t="s">
        <v>18</v>
      </c>
      <c r="E2165" t="s">
        <v>17</v>
      </c>
      <c r="F2165" s="5">
        <v>81900000</v>
      </c>
      <c r="G2165" s="5">
        <v>84900000</v>
      </c>
      <c r="H2165" s="5">
        <f>+(M2165*26000)/0.829426</f>
        <v>77323594.871634111</v>
      </c>
      <c r="I2165" s="5">
        <f>+G2165-H2165</f>
        <v>7576405.1283658892</v>
      </c>
      <c r="J2165" s="5">
        <v>3000000</v>
      </c>
      <c r="K2165" s="5">
        <v>8190000</v>
      </c>
      <c r="L2165" s="5">
        <v>8490000</v>
      </c>
      <c r="M2165" s="7">
        <v>2466.6999999999998</v>
      </c>
      <c r="N2165" s="5">
        <v>82400000</v>
      </c>
      <c r="O2165" s="5">
        <v>85400000</v>
      </c>
      <c r="P2165" s="3">
        <v>0.97916666666666663</v>
      </c>
    </row>
    <row r="2166" spans="1:16" x14ac:dyDescent="0.25">
      <c r="A2166" t="s">
        <v>1327</v>
      </c>
      <c r="B2166" s="2">
        <v>45518</v>
      </c>
      <c r="C2166" t="str">
        <f>+"Tuáº§n "&amp;WEEKNUM(B2166)</f>
        <v>Tuáº§n 33</v>
      </c>
      <c r="D2166" t="s">
        <v>19</v>
      </c>
      <c r="E2166" t="s">
        <v>17</v>
      </c>
      <c r="F2166" s="5">
        <v>80900000</v>
      </c>
      <c r="G2166" s="5">
        <v>83900000</v>
      </c>
      <c r="H2166" s="5">
        <f>+(M2166*26000)/0.829426</f>
        <v>76467822.325318962</v>
      </c>
      <c r="I2166" s="5">
        <f>+G2166-H2166</f>
        <v>7432177.6746810377</v>
      </c>
      <c r="J2166" s="5">
        <v>3000000</v>
      </c>
      <c r="K2166" s="5">
        <v>8090000</v>
      </c>
      <c r="L2166" s="5">
        <v>8390000</v>
      </c>
      <c r="M2166" s="7">
        <v>2439.4</v>
      </c>
      <c r="N2166" s="5">
        <v>81400000</v>
      </c>
      <c r="O2166" s="5">
        <v>84400000</v>
      </c>
      <c r="P2166" s="3">
        <v>0.97916666666666663</v>
      </c>
    </row>
    <row r="2167" spans="1:16" x14ac:dyDescent="0.25">
      <c r="A2167" t="s">
        <v>1328</v>
      </c>
      <c r="B2167" s="2">
        <v>45519</v>
      </c>
      <c r="C2167" t="str">
        <f>+"Tuáº§n "&amp;WEEKNUM(B2167)</f>
        <v>Tuáº§n 33</v>
      </c>
      <c r="D2167" t="s">
        <v>20</v>
      </c>
      <c r="E2167" t="s">
        <v>17</v>
      </c>
      <c r="F2167" s="5">
        <v>81400000</v>
      </c>
      <c r="G2167" s="5">
        <v>84400000</v>
      </c>
      <c r="H2167" s="5">
        <f>+(M2167*26000)/0.829426</f>
        <v>76897275.947462469</v>
      </c>
      <c r="I2167" s="5">
        <f>+G2167-H2167</f>
        <v>7502724.0525375307</v>
      </c>
      <c r="J2167" s="5">
        <v>3000000</v>
      </c>
      <c r="K2167" s="5">
        <v>8140000</v>
      </c>
      <c r="L2167" s="5">
        <v>8440000</v>
      </c>
      <c r="M2167" s="7">
        <v>2453.1</v>
      </c>
      <c r="N2167" s="5">
        <v>81900000</v>
      </c>
      <c r="O2167" s="5">
        <v>84900000</v>
      </c>
      <c r="P2167" s="3">
        <v>0.97916666666666663</v>
      </c>
    </row>
    <row r="2168" spans="1:16" x14ac:dyDescent="0.25">
      <c r="A2168" t="s">
        <v>1329</v>
      </c>
      <c r="B2168" s="2">
        <v>45520</v>
      </c>
      <c r="C2168" t="str">
        <f>+"Tuáº§n "&amp;WEEKNUM(B2168)</f>
        <v>Tuáº§n 33</v>
      </c>
      <c r="D2168" t="s">
        <v>21</v>
      </c>
      <c r="E2168" t="s">
        <v>17</v>
      </c>
      <c r="F2168" s="5">
        <v>83000000</v>
      </c>
      <c r="G2168" s="5">
        <v>86000000</v>
      </c>
      <c r="H2168" s="5">
        <f>+(M2168*26000)/0.829426</f>
        <v>78323563.524654403</v>
      </c>
      <c r="I2168" s="5">
        <f>+G2168-H2168</f>
        <v>7676436.4753455967</v>
      </c>
      <c r="J2168" s="5">
        <v>3000000</v>
      </c>
      <c r="K2168" s="5">
        <v>8300000</v>
      </c>
      <c r="L2168" s="5">
        <v>8600000</v>
      </c>
      <c r="M2168" s="7">
        <v>2498.6</v>
      </c>
      <c r="N2168" s="5">
        <v>83500000</v>
      </c>
      <c r="O2168" s="5">
        <v>86500000</v>
      </c>
      <c r="P2168" s="3">
        <v>0.97916666666666663</v>
      </c>
    </row>
    <row r="2169" spans="1:16" x14ac:dyDescent="0.25">
      <c r="A2169" t="s">
        <v>1330</v>
      </c>
      <c r="B2169" s="2">
        <v>45523</v>
      </c>
      <c r="C2169" t="str">
        <f>+"Tuáº§n "&amp;WEEKNUM(B2169)</f>
        <v>Tuáº§n 34</v>
      </c>
      <c r="D2169" t="s">
        <v>16</v>
      </c>
      <c r="E2169" t="s">
        <v>17</v>
      </c>
      <c r="F2169" s="5">
        <v>83100000</v>
      </c>
      <c r="G2169" s="5">
        <v>86100000</v>
      </c>
      <c r="H2169" s="5">
        <f>+(M2169*26000)/0.829426</f>
        <v>78423873.859753624</v>
      </c>
      <c r="I2169" s="5">
        <f>+G2169-H2169</f>
        <v>7676126.1402463764</v>
      </c>
      <c r="J2169" s="5">
        <v>3000000</v>
      </c>
      <c r="K2169" s="5">
        <v>8310000</v>
      </c>
      <c r="L2169" s="5">
        <v>8610000</v>
      </c>
      <c r="M2169" s="7">
        <v>2501.8000000000002</v>
      </c>
      <c r="N2169" s="5">
        <v>83600000</v>
      </c>
      <c r="O2169" s="5">
        <v>86600000</v>
      </c>
      <c r="P2169" s="3">
        <v>0.97916666666666663</v>
      </c>
    </row>
    <row r="2170" spans="1:16" x14ac:dyDescent="0.25">
      <c r="A2170" t="s">
        <v>1331</v>
      </c>
      <c r="B2170" s="2">
        <v>45524</v>
      </c>
      <c r="C2170" t="str">
        <f>+"Tuáº§n "&amp;WEEKNUM(B2170)</f>
        <v>Tuáº§n 34</v>
      </c>
      <c r="D2170" t="s">
        <v>18</v>
      </c>
      <c r="E2170" t="s">
        <v>17</v>
      </c>
      <c r="F2170" s="5">
        <v>83400000</v>
      </c>
      <c r="G2170" s="5">
        <v>86400000</v>
      </c>
      <c r="H2170" s="5">
        <f>+(M2170*26000)/0.829426</f>
        <v>78721670.167079404</v>
      </c>
      <c r="I2170" s="5">
        <f>+G2170-H2170</f>
        <v>7678329.832920596</v>
      </c>
      <c r="J2170" s="5">
        <v>3000000</v>
      </c>
      <c r="K2170" s="5">
        <v>8340000</v>
      </c>
      <c r="L2170" s="5">
        <v>8640000</v>
      </c>
      <c r="M2170" s="7">
        <v>2511.3000000000002</v>
      </c>
      <c r="N2170" s="5">
        <v>83900000</v>
      </c>
      <c r="O2170" s="5">
        <v>86900000</v>
      </c>
      <c r="P2170" s="3">
        <v>0.97916666666666663</v>
      </c>
    </row>
    <row r="2171" spans="1:16" x14ac:dyDescent="0.25">
      <c r="A2171" t="s">
        <v>1332</v>
      </c>
      <c r="B2171" s="2">
        <v>45525</v>
      </c>
      <c r="C2171" t="str">
        <f>+"Tuáº§n "&amp;WEEKNUM(B2171)</f>
        <v>Tuáº§n 34</v>
      </c>
      <c r="D2171" t="s">
        <v>19</v>
      </c>
      <c r="E2171" t="s">
        <v>17</v>
      </c>
      <c r="F2171" s="5">
        <v>83300000</v>
      </c>
      <c r="G2171" s="5">
        <v>86300000</v>
      </c>
      <c r="H2171" s="5">
        <f>+(M2171*26000)/0.829426</f>
        <v>78630763.925895736</v>
      </c>
      <c r="I2171" s="5">
        <f>+G2171-H2171</f>
        <v>7669236.0741042644</v>
      </c>
      <c r="J2171" s="5">
        <v>3000000</v>
      </c>
      <c r="K2171" s="5">
        <v>8330000</v>
      </c>
      <c r="L2171" s="5">
        <v>8630000</v>
      </c>
      <c r="M2171" s="7">
        <v>2508.4</v>
      </c>
      <c r="N2171" s="5">
        <v>83800000</v>
      </c>
      <c r="O2171" s="5">
        <v>86800000</v>
      </c>
      <c r="P2171" s="3">
        <v>0.97916666666666663</v>
      </c>
    </row>
    <row r="2172" spans="1:16" x14ac:dyDescent="0.25">
      <c r="A2172" t="s">
        <v>1333</v>
      </c>
      <c r="B2172" s="2">
        <v>45526</v>
      </c>
      <c r="C2172" t="str">
        <f>+"Tuáº§n "&amp;WEEKNUM(B2172)</f>
        <v>Tuáº§n 34</v>
      </c>
      <c r="D2172" t="s">
        <v>20</v>
      </c>
      <c r="E2172" t="s">
        <v>17</v>
      </c>
      <c r="F2172" s="5">
        <v>82300000</v>
      </c>
      <c r="G2172" s="5">
        <v>85300000</v>
      </c>
      <c r="H2172" s="5">
        <f>+(M2172*26000)/0.829426</f>
        <v>77706028.024199873</v>
      </c>
      <c r="I2172" s="5">
        <f>+G2172-H2172</f>
        <v>7593971.9758001268</v>
      </c>
      <c r="J2172" s="5">
        <v>3000000</v>
      </c>
      <c r="K2172" s="5">
        <v>8230000</v>
      </c>
      <c r="L2172" s="5">
        <v>8530000</v>
      </c>
      <c r="M2172" s="7">
        <v>2478.9</v>
      </c>
      <c r="N2172" s="5">
        <v>82800000</v>
      </c>
      <c r="O2172" s="5">
        <v>85800000</v>
      </c>
      <c r="P2172" s="3">
        <v>0.97916666666666663</v>
      </c>
    </row>
    <row r="2173" spans="1:16" x14ac:dyDescent="0.25">
      <c r="A2173" t="s">
        <v>1334</v>
      </c>
      <c r="B2173" s="2">
        <v>45527</v>
      </c>
      <c r="C2173" t="str">
        <f>+"Tuáº§n "&amp;WEEKNUM(B2173)</f>
        <v>Tuáº§n 34</v>
      </c>
      <c r="D2173" t="s">
        <v>21</v>
      </c>
      <c r="E2173" t="s">
        <v>17</v>
      </c>
      <c r="F2173" s="5">
        <v>83300000</v>
      </c>
      <c r="G2173" s="5">
        <v>86300000</v>
      </c>
      <c r="H2173" s="5">
        <f>+(M2173*26000)/0.829426</f>
        <v>78630763.925895736</v>
      </c>
      <c r="I2173" s="5">
        <f>+G2173-H2173</f>
        <v>7669236.0741042644</v>
      </c>
      <c r="J2173" s="5">
        <v>3000000</v>
      </c>
      <c r="K2173" s="5">
        <v>8330000</v>
      </c>
      <c r="L2173" s="5">
        <v>8630000</v>
      </c>
      <c r="M2173" s="7">
        <v>2508.4</v>
      </c>
      <c r="N2173" s="5">
        <v>83800000</v>
      </c>
      <c r="O2173" s="5">
        <v>86800000</v>
      </c>
      <c r="P2173" s="3">
        <v>0.97916666666666663</v>
      </c>
    </row>
    <row r="2174" spans="1:16" x14ac:dyDescent="0.25">
      <c r="A2174" t="s">
        <v>1335</v>
      </c>
      <c r="B2174" s="2">
        <v>45530</v>
      </c>
      <c r="C2174" t="str">
        <f>+"Tuáº§n "&amp;WEEKNUM(B2174)</f>
        <v>Tuáº§n 35</v>
      </c>
      <c r="D2174" t="s">
        <v>16</v>
      </c>
      <c r="E2174" t="s">
        <v>17</v>
      </c>
      <c r="F2174" s="5">
        <v>83600000</v>
      </c>
      <c r="G2174" s="5">
        <v>86600000</v>
      </c>
      <c r="H2174" s="5">
        <f>+(M2174*26000)/0.829426</f>
        <v>78922290.837277815</v>
      </c>
      <c r="I2174" s="5">
        <f>+G2174-H2174</f>
        <v>7677709.1627221853</v>
      </c>
      <c r="J2174" s="5">
        <v>3000000</v>
      </c>
      <c r="K2174" s="5">
        <v>8360000</v>
      </c>
      <c r="L2174" s="5">
        <v>8660000</v>
      </c>
      <c r="M2174" s="7">
        <v>2517.6999999999998</v>
      </c>
      <c r="N2174" s="5">
        <v>84100000</v>
      </c>
      <c r="O2174" s="5">
        <v>87100000</v>
      </c>
      <c r="P2174" s="3">
        <v>0.97916666666666663</v>
      </c>
    </row>
    <row r="2175" spans="1:16" x14ac:dyDescent="0.25">
      <c r="A2175" t="s">
        <v>1336</v>
      </c>
      <c r="B2175" s="2">
        <v>45531</v>
      </c>
      <c r="C2175" t="str">
        <f>+"Tuáº§n "&amp;WEEKNUM(B2175)</f>
        <v>Tuáº§n 35</v>
      </c>
      <c r="D2175" t="s">
        <v>18</v>
      </c>
      <c r="E2175" t="s">
        <v>17</v>
      </c>
      <c r="F2175" s="5">
        <v>83600000</v>
      </c>
      <c r="G2175" s="5">
        <v>86600000</v>
      </c>
      <c r="H2175" s="5">
        <f>+(M2175*26000)/0.829426</f>
        <v>78869000.971756369</v>
      </c>
      <c r="I2175" s="5">
        <f>+G2175-H2175</f>
        <v>7730999.0282436311</v>
      </c>
      <c r="J2175" s="5">
        <v>3000000</v>
      </c>
      <c r="K2175" s="5">
        <v>8360000</v>
      </c>
      <c r="L2175" s="5">
        <v>8660000</v>
      </c>
      <c r="M2175" s="7">
        <v>2516</v>
      </c>
      <c r="N2175" s="5">
        <v>84100000</v>
      </c>
      <c r="O2175" s="5">
        <v>87100000</v>
      </c>
      <c r="P2175" s="3">
        <v>0.97916666666666663</v>
      </c>
    </row>
    <row r="2176" spans="1:16" x14ac:dyDescent="0.25">
      <c r="A2176" t="s">
        <v>1337</v>
      </c>
      <c r="B2176" s="2">
        <v>45532</v>
      </c>
      <c r="C2176" t="str">
        <f>+"Tuáº§n "&amp;WEEKNUM(B2176)</f>
        <v>Tuáº§n 35</v>
      </c>
      <c r="D2176" t="s">
        <v>19</v>
      </c>
      <c r="E2176" t="s">
        <v>17</v>
      </c>
      <c r="F2176" s="5">
        <v>83000000</v>
      </c>
      <c r="G2176" s="5">
        <v>86000000</v>
      </c>
      <c r="H2176" s="5">
        <f>+(M2176*26000)/0.829426</f>
        <v>78398796.275978804</v>
      </c>
      <c r="I2176" s="5">
        <f>+G2176-H2176</f>
        <v>7601203.7240211964</v>
      </c>
      <c r="J2176" s="5">
        <v>3000000</v>
      </c>
      <c r="K2176" s="5">
        <v>8300000</v>
      </c>
      <c r="L2176" s="5">
        <v>8600000</v>
      </c>
      <c r="M2176" s="7">
        <v>2501</v>
      </c>
      <c r="N2176" s="5">
        <v>83500000</v>
      </c>
      <c r="O2176" s="5">
        <v>86500000</v>
      </c>
      <c r="P2176" s="3">
        <v>0.97916666666666663</v>
      </c>
    </row>
    <row r="2177" spans="1:16" x14ac:dyDescent="0.25">
      <c r="A2177" t="s">
        <v>1338</v>
      </c>
      <c r="B2177" s="2">
        <v>45533</v>
      </c>
      <c r="C2177" t="str">
        <f>+"Tuáº§n "&amp;WEEKNUM(B2177)</f>
        <v>Tuáº§n 35</v>
      </c>
      <c r="D2177" t="s">
        <v>20</v>
      </c>
      <c r="E2177" t="s">
        <v>17</v>
      </c>
      <c r="F2177" s="5">
        <v>83900000</v>
      </c>
      <c r="G2177" s="5">
        <v>86900000</v>
      </c>
      <c r="H2177" s="5">
        <f>+(M2177*26000)/0.829426</f>
        <v>79173066.675025851</v>
      </c>
      <c r="I2177" s="5">
        <f>+G2177-H2177</f>
        <v>7726933.3249741495</v>
      </c>
      <c r="J2177" s="5">
        <v>3000000</v>
      </c>
      <c r="K2177" s="5">
        <v>8390000</v>
      </c>
      <c r="L2177" s="5">
        <v>8690000</v>
      </c>
      <c r="M2177" s="7">
        <v>2525.6999999999998</v>
      </c>
      <c r="N2177" s="5">
        <v>84400000</v>
      </c>
      <c r="O2177" s="5">
        <v>87400000</v>
      </c>
      <c r="P2177" s="3">
        <v>0.97916666666666663</v>
      </c>
    </row>
    <row r="2178" spans="1:16" x14ac:dyDescent="0.25">
      <c r="A2178" t="s">
        <v>1339</v>
      </c>
      <c r="B2178" s="2">
        <v>45534</v>
      </c>
      <c r="C2178" t="str">
        <f>+"Tuáº§n "&amp;WEEKNUM(B2178)</f>
        <v>Tuáº§n 35</v>
      </c>
      <c r="D2178" t="s">
        <v>21</v>
      </c>
      <c r="E2178" t="s">
        <v>17</v>
      </c>
      <c r="F2178" s="5">
        <v>82800000</v>
      </c>
      <c r="G2178" s="5">
        <v>85800000</v>
      </c>
      <c r="H2178" s="5">
        <f>+(M2178*26000)/0.829426</f>
        <v>78173098.022005588</v>
      </c>
      <c r="I2178" s="5">
        <f>+G2178-H2178</f>
        <v>7626901.9779944122</v>
      </c>
      <c r="J2178" s="5">
        <v>3000000</v>
      </c>
      <c r="K2178" s="5">
        <v>8280000</v>
      </c>
      <c r="L2178" s="5">
        <v>8580000</v>
      </c>
      <c r="M2178" s="7">
        <v>2493.8000000000002</v>
      </c>
      <c r="N2178" s="5">
        <v>83300000</v>
      </c>
      <c r="O2178" s="5">
        <v>86300000</v>
      </c>
      <c r="P2178" s="3">
        <v>0.97916666666666663</v>
      </c>
    </row>
    <row r="2179" spans="1:16" x14ac:dyDescent="0.25">
      <c r="A2179" s="2">
        <v>45360</v>
      </c>
      <c r="B2179" s="2">
        <v>45538</v>
      </c>
      <c r="C2179" t="str">
        <f>+"Tuáº§n "&amp;WEEKNUM(B2179)</f>
        <v>Tuáº§n 36</v>
      </c>
      <c r="D2179" t="s">
        <v>18</v>
      </c>
      <c r="E2179" t="s">
        <v>17</v>
      </c>
      <c r="F2179" s="5">
        <v>82700000</v>
      </c>
      <c r="G2179" s="5">
        <v>85700000</v>
      </c>
      <c r="H2179" s="5">
        <f>+(M2179*26000)/0.829426</f>
        <v>78050844.801103413</v>
      </c>
      <c r="I2179" s="5">
        <f>+G2179-H2179</f>
        <v>7649155.1988965869</v>
      </c>
      <c r="J2179" s="5">
        <v>3000000</v>
      </c>
      <c r="K2179" s="5">
        <v>8270000</v>
      </c>
      <c r="L2179" s="5">
        <v>8570000</v>
      </c>
      <c r="M2179" s="7">
        <v>2489.9</v>
      </c>
      <c r="N2179" s="5">
        <v>83200000</v>
      </c>
      <c r="O2179" s="5">
        <v>86200000</v>
      </c>
      <c r="P2179" s="3">
        <v>0.97916666666666663</v>
      </c>
    </row>
    <row r="2180" spans="1:16" x14ac:dyDescent="0.25">
      <c r="A2180" s="2">
        <v>45391</v>
      </c>
      <c r="B2180" s="2">
        <v>45539</v>
      </c>
      <c r="C2180" t="str">
        <f>+"Tuáº§n "&amp;WEEKNUM(B2180)</f>
        <v>Tuáº§n 36</v>
      </c>
      <c r="D2180" t="s">
        <v>19</v>
      </c>
      <c r="E2180" t="s">
        <v>17</v>
      </c>
      <c r="F2180" s="5">
        <v>82800000</v>
      </c>
      <c r="G2180" s="5">
        <v>85800000</v>
      </c>
      <c r="H2180" s="5">
        <f>+(M2180*26000)/0.829426</f>
        <v>78160559.230118185</v>
      </c>
      <c r="I2180" s="5">
        <f>+G2180-H2180</f>
        <v>7639440.7698818147</v>
      </c>
      <c r="J2180" s="5">
        <v>3000000</v>
      </c>
      <c r="K2180" s="5">
        <v>8280000</v>
      </c>
      <c r="L2180" s="5">
        <v>8580000</v>
      </c>
      <c r="M2180" s="7">
        <v>2493.4</v>
      </c>
      <c r="N2180" s="5">
        <v>83300000</v>
      </c>
      <c r="O2180" s="5">
        <v>86300000</v>
      </c>
      <c r="P2180" s="3">
        <v>0.97916666666666663</v>
      </c>
    </row>
    <row r="2181" spans="1:16" x14ac:dyDescent="0.25">
      <c r="A2181" s="2">
        <v>45421</v>
      </c>
      <c r="B2181" s="2">
        <v>45540</v>
      </c>
      <c r="C2181" t="str">
        <f>+"Tuáº§n "&amp;WEEKNUM(B2181)</f>
        <v>Tuáº§n 36</v>
      </c>
      <c r="D2181" t="s">
        <v>20</v>
      </c>
      <c r="E2181" t="s">
        <v>17</v>
      </c>
      <c r="F2181" s="5">
        <v>83400000</v>
      </c>
      <c r="G2181" s="5">
        <v>86400000</v>
      </c>
      <c r="H2181" s="5">
        <f>+(M2181*26000)/0.829426</f>
        <v>78724804.865051255</v>
      </c>
      <c r="I2181" s="5">
        <f>+G2181-H2181</f>
        <v>7675195.1349487454</v>
      </c>
      <c r="J2181" s="5">
        <v>3000000</v>
      </c>
      <c r="K2181" s="5">
        <v>8340000</v>
      </c>
      <c r="L2181" s="5">
        <v>8640000</v>
      </c>
      <c r="M2181" s="7">
        <v>2511.4</v>
      </c>
      <c r="N2181" s="5">
        <v>83900000</v>
      </c>
      <c r="O2181" s="5">
        <v>86900000</v>
      </c>
      <c r="P2181" s="3">
        <v>0.97916666666666663</v>
      </c>
    </row>
    <row r="2182" spans="1:16" x14ac:dyDescent="0.25">
      <c r="A2182" s="2">
        <v>45452</v>
      </c>
      <c r="B2182" s="2">
        <v>45541</v>
      </c>
      <c r="C2182" t="str">
        <f>+"Tuáº§n "&amp;WEEKNUM(B2182)</f>
        <v>Tuáº§n 36</v>
      </c>
      <c r="D2182" t="s">
        <v>21</v>
      </c>
      <c r="E2182" t="s">
        <v>17</v>
      </c>
      <c r="F2182" s="5">
        <v>82800000</v>
      </c>
      <c r="G2182" s="5">
        <v>85800000</v>
      </c>
      <c r="H2182" s="5">
        <f>+(M2182*26000)/0.829426</f>
        <v>78163693.928090036</v>
      </c>
      <c r="I2182" s="5">
        <f>+G2182-H2182</f>
        <v>7636306.0719099641</v>
      </c>
      <c r="J2182" s="5">
        <v>3000000</v>
      </c>
      <c r="K2182" s="5">
        <v>8280000</v>
      </c>
      <c r="L2182" s="5">
        <v>8580000</v>
      </c>
      <c r="M2182" s="7">
        <v>2493.5</v>
      </c>
      <c r="N2182" s="5">
        <v>83300000</v>
      </c>
      <c r="O2182" s="5">
        <v>86300000</v>
      </c>
      <c r="P2182" s="3">
        <v>0.97916666666666663</v>
      </c>
    </row>
    <row r="2183" spans="1:16" x14ac:dyDescent="0.25">
      <c r="A2183" s="2">
        <v>45544</v>
      </c>
      <c r="B2183" s="2">
        <v>45544</v>
      </c>
      <c r="C2183" t="str">
        <f>+"Tuáº§n "&amp;WEEKNUM(B2183)</f>
        <v>Tuáº§n 37</v>
      </c>
      <c r="D2183" t="s">
        <v>16</v>
      </c>
      <c r="E2183" t="s">
        <v>17</v>
      </c>
      <c r="F2183" s="5">
        <v>83100000</v>
      </c>
      <c r="G2183" s="5">
        <v>86100000</v>
      </c>
      <c r="H2183" s="5">
        <f>+(M2183*26000)/0.829426</f>
        <v>78423873.859753624</v>
      </c>
      <c r="I2183" s="5">
        <f>+G2183-H2183</f>
        <v>7676126.1402463764</v>
      </c>
      <c r="J2183" s="5">
        <v>3000000</v>
      </c>
      <c r="K2183" s="5">
        <v>8310000</v>
      </c>
      <c r="L2183" s="5">
        <v>8610000</v>
      </c>
      <c r="M2183" s="7">
        <v>2501.8000000000002</v>
      </c>
      <c r="N2183" s="5">
        <v>83600000</v>
      </c>
      <c r="O2183" s="5">
        <v>86600000</v>
      </c>
      <c r="P2183" s="3">
        <v>0.97916666666666663</v>
      </c>
    </row>
    <row r="2184" spans="1:16" x14ac:dyDescent="0.25">
      <c r="A2184" s="2">
        <v>45574</v>
      </c>
      <c r="B2184" s="2">
        <v>45545</v>
      </c>
      <c r="C2184" t="str">
        <f>+"Tuáº§n "&amp;WEEKNUM(B2184)</f>
        <v>Tuáº§n 37</v>
      </c>
      <c r="D2184" t="s">
        <v>18</v>
      </c>
      <c r="E2184" t="s">
        <v>17</v>
      </c>
      <c r="F2184" s="5">
        <v>83400000</v>
      </c>
      <c r="G2184" s="5">
        <v>86400000</v>
      </c>
      <c r="H2184" s="5">
        <f>+(M2184*26000)/0.829426</f>
        <v>78753017.14679791</v>
      </c>
      <c r="I2184" s="5">
        <f>+G2184-H2184</f>
        <v>7646982.8532020897</v>
      </c>
      <c r="J2184" s="5">
        <v>3000000</v>
      </c>
      <c r="K2184" s="5">
        <v>8340000</v>
      </c>
      <c r="L2184" s="5">
        <v>8640000</v>
      </c>
      <c r="M2184" s="7">
        <v>2512.3000000000002</v>
      </c>
      <c r="N2184" s="5">
        <v>83900000</v>
      </c>
      <c r="O2184" s="5">
        <v>86900000</v>
      </c>
      <c r="P2184" s="3">
        <v>0.97916666666666663</v>
      </c>
    </row>
    <row r="2185" spans="1:16" x14ac:dyDescent="0.25">
      <c r="A2185" s="2">
        <v>45605</v>
      </c>
      <c r="B2185" s="2">
        <v>45546</v>
      </c>
      <c r="C2185" t="str">
        <f>+"Tuáº§n "&amp;WEEKNUM(B2185)</f>
        <v>Tuáº§n 37</v>
      </c>
      <c r="D2185" t="s">
        <v>19</v>
      </c>
      <c r="E2185" t="s">
        <v>17</v>
      </c>
      <c r="F2185" s="5">
        <v>83400000</v>
      </c>
      <c r="G2185" s="5">
        <v>86400000</v>
      </c>
      <c r="H2185" s="5">
        <f>+(M2185*26000)/0.829426</f>
        <v>78746747.750854209</v>
      </c>
      <c r="I2185" s="5">
        <f>+G2185-H2185</f>
        <v>7653252.2491457909</v>
      </c>
      <c r="J2185" s="5">
        <v>3000000</v>
      </c>
      <c r="K2185" s="5">
        <v>8340000</v>
      </c>
      <c r="L2185" s="5">
        <v>8640000</v>
      </c>
      <c r="M2185" s="7">
        <v>2512.1</v>
      </c>
      <c r="N2185" s="5">
        <v>83900000</v>
      </c>
      <c r="O2185" s="5">
        <v>86900000</v>
      </c>
      <c r="P2185" s="3">
        <v>0.97916666666666663</v>
      </c>
    </row>
    <row r="2186" spans="1:16" x14ac:dyDescent="0.25">
      <c r="A2186" s="2">
        <v>45635</v>
      </c>
      <c r="B2186" s="2">
        <v>45547</v>
      </c>
      <c r="C2186" t="str">
        <f>+"Tuáº§n "&amp;WEEKNUM(B2186)</f>
        <v>Tuáº§n 37</v>
      </c>
      <c r="D2186" t="s">
        <v>20</v>
      </c>
      <c r="E2186" t="s">
        <v>17</v>
      </c>
      <c r="F2186" s="5">
        <v>84800000</v>
      </c>
      <c r="G2186" s="5">
        <v>87800000</v>
      </c>
      <c r="H2186" s="5">
        <f>+(M2186*26000)/0.829426</f>
        <v>79972414.657847703</v>
      </c>
      <c r="I2186" s="5">
        <f>+G2186-H2186</f>
        <v>7827585.3421522975</v>
      </c>
      <c r="J2186" s="5">
        <v>3000000</v>
      </c>
      <c r="K2186" s="5">
        <v>8480000</v>
      </c>
      <c r="L2186" s="5">
        <v>8780000</v>
      </c>
      <c r="M2186" s="7">
        <v>2551.1999999999998</v>
      </c>
      <c r="N2186" s="5">
        <v>85300000</v>
      </c>
      <c r="O2186" s="5">
        <v>88300000</v>
      </c>
      <c r="P2186" s="3">
        <v>0.97916666666666663</v>
      </c>
    </row>
    <row r="2187" spans="1:16" x14ac:dyDescent="0.25">
      <c r="A2187" t="s">
        <v>1340</v>
      </c>
      <c r="B2187" s="2">
        <v>45548</v>
      </c>
      <c r="C2187" t="str">
        <f>+"Tuáº§n "&amp;WEEKNUM(B2187)</f>
        <v>Tuáº§n 37</v>
      </c>
      <c r="D2187" t="s">
        <v>21</v>
      </c>
      <c r="E2187" t="s">
        <v>17</v>
      </c>
      <c r="F2187" s="5">
        <v>85800000</v>
      </c>
      <c r="G2187" s="5">
        <v>88800000</v>
      </c>
      <c r="H2187" s="5">
        <f>+(M2187*26000)/0.829426</f>
        <v>80915958.747374684</v>
      </c>
      <c r="I2187" s="5">
        <f>+G2187-H2187</f>
        <v>7884041.2526253164</v>
      </c>
      <c r="J2187" s="5">
        <v>3000000</v>
      </c>
      <c r="K2187" s="5">
        <v>8580000</v>
      </c>
      <c r="L2187" s="5">
        <v>8880000</v>
      </c>
      <c r="M2187" s="7">
        <v>2581.3000000000002</v>
      </c>
      <c r="N2187" s="5">
        <v>86300000</v>
      </c>
      <c r="O2187" s="5">
        <v>89300000</v>
      </c>
      <c r="P2187" s="3">
        <v>0.97916666666666663</v>
      </c>
    </row>
    <row r="2188" spans="1:16" x14ac:dyDescent="0.25">
      <c r="A2188" t="s">
        <v>1341</v>
      </c>
      <c r="B2188" s="2">
        <v>45551</v>
      </c>
      <c r="C2188" t="str">
        <f>+"Tuáº§n "&amp;WEEKNUM(B2188)</f>
        <v>Tuáº§n 38</v>
      </c>
      <c r="D2188" t="s">
        <v>16</v>
      </c>
      <c r="E2188" t="s">
        <v>17</v>
      </c>
      <c r="F2188" s="5">
        <v>85800000</v>
      </c>
      <c r="G2188" s="5">
        <v>88800000</v>
      </c>
      <c r="H2188" s="5">
        <f>+(M2188*26000)/0.829426</f>
        <v>80887746.465628043</v>
      </c>
      <c r="I2188" s="5">
        <f>+G2188-H2188</f>
        <v>7912253.5343719572</v>
      </c>
      <c r="J2188" s="5">
        <v>3000000</v>
      </c>
      <c r="K2188" s="5">
        <v>8580000</v>
      </c>
      <c r="L2188" s="5">
        <v>8880000</v>
      </c>
      <c r="M2188" s="7">
        <v>2580.4</v>
      </c>
      <c r="N2188" s="5">
        <v>86300000</v>
      </c>
      <c r="O2188" s="5">
        <v>89300000</v>
      </c>
      <c r="P2188" s="3">
        <v>0.97916666666666663</v>
      </c>
    </row>
    <row r="2189" spans="1:16" x14ac:dyDescent="0.25">
      <c r="A2189" t="s">
        <v>1342</v>
      </c>
      <c r="B2189" s="2">
        <v>45552</v>
      </c>
      <c r="C2189" t="str">
        <f>+"Tuáº§n "&amp;WEEKNUM(B2189)</f>
        <v>Tuáº§n 38</v>
      </c>
      <c r="D2189" t="s">
        <v>18</v>
      </c>
      <c r="E2189" t="s">
        <v>17</v>
      </c>
      <c r="F2189" s="5">
        <v>85200000</v>
      </c>
      <c r="G2189" s="5">
        <v>88200000</v>
      </c>
      <c r="H2189" s="5">
        <f>+(M2189*26000)/0.829426</f>
        <v>80383060.092160136</v>
      </c>
      <c r="I2189" s="5">
        <f>+G2189-H2189</f>
        <v>7816939.9078398645</v>
      </c>
      <c r="J2189" s="5">
        <v>3000000</v>
      </c>
      <c r="K2189" s="5">
        <v>8520000</v>
      </c>
      <c r="L2189" s="5">
        <v>8820000</v>
      </c>
      <c r="M2189" s="7">
        <v>2564.3000000000002</v>
      </c>
      <c r="N2189" s="5">
        <v>85700000</v>
      </c>
      <c r="O2189" s="5">
        <v>88700000</v>
      </c>
      <c r="P2189" s="3">
        <v>0.97916666666666663</v>
      </c>
    </row>
    <row r="2190" spans="1:16" x14ac:dyDescent="0.25">
      <c r="A2190" t="s">
        <v>1343</v>
      </c>
      <c r="B2190" s="2">
        <v>45553</v>
      </c>
      <c r="C2190" t="str">
        <f>+"Tuáº§n "&amp;WEEKNUM(B2190)</f>
        <v>Tuáº§n 38</v>
      </c>
      <c r="D2190" t="s">
        <v>19</v>
      </c>
      <c r="E2190" t="s">
        <v>17</v>
      </c>
      <c r="F2190" s="5">
        <v>85400000</v>
      </c>
      <c r="G2190" s="5">
        <v>88400000</v>
      </c>
      <c r="H2190" s="5">
        <f>+(M2190*26000)/0.829426</f>
        <v>80583680.762358531</v>
      </c>
      <c r="I2190" s="5">
        <f>+G2190-H2190</f>
        <v>7816319.2376414686</v>
      </c>
      <c r="J2190" s="5">
        <v>3000000</v>
      </c>
      <c r="K2190" s="5">
        <v>8540000</v>
      </c>
      <c r="L2190" s="5">
        <v>8840000</v>
      </c>
      <c r="M2190" s="7">
        <v>2570.6999999999998</v>
      </c>
      <c r="N2190" s="5">
        <v>85900000</v>
      </c>
      <c r="O2190" s="5">
        <v>88900000</v>
      </c>
      <c r="P2190" s="3">
        <v>0.97916666666666663</v>
      </c>
    </row>
    <row r="2191" spans="1:16" x14ac:dyDescent="0.25">
      <c r="A2191" t="s">
        <v>1344</v>
      </c>
      <c r="B2191" s="2">
        <v>45554</v>
      </c>
      <c r="C2191" t="str">
        <f>+"Tuáº§n "&amp;WEEKNUM(B2191)</f>
        <v>Tuáº§n 38</v>
      </c>
      <c r="D2191" t="s">
        <v>20</v>
      </c>
      <c r="E2191" t="s">
        <v>17</v>
      </c>
      <c r="F2191" s="5">
        <v>86000000</v>
      </c>
      <c r="G2191" s="5">
        <v>89000000</v>
      </c>
      <c r="H2191" s="5">
        <f>+(M2191*26000)/0.829426</f>
        <v>81125983.511488661</v>
      </c>
      <c r="I2191" s="5">
        <f>+G2191-H2191</f>
        <v>7874016.4885113388</v>
      </c>
      <c r="J2191" s="5">
        <v>3000000</v>
      </c>
      <c r="K2191" s="5">
        <v>8600000</v>
      </c>
      <c r="L2191" s="5">
        <v>8900000</v>
      </c>
      <c r="M2191" s="7">
        <v>2588</v>
      </c>
      <c r="N2191" s="5">
        <v>86500000</v>
      </c>
      <c r="O2191" s="5">
        <v>89500000</v>
      </c>
      <c r="P2191" s="3">
        <v>0.97916666666666663</v>
      </c>
    </row>
    <row r="2192" spans="1:16" x14ac:dyDescent="0.25">
      <c r="A2192" t="s">
        <v>1345</v>
      </c>
      <c r="B2192" s="2">
        <v>45555</v>
      </c>
      <c r="C2192" t="str">
        <f>+"Tuáº§n "&amp;WEEKNUM(B2192)</f>
        <v>Tuáº§n 38</v>
      </c>
      <c r="D2192" t="s">
        <v>21</v>
      </c>
      <c r="E2192" t="s">
        <v>17</v>
      </c>
      <c r="F2192" s="5">
        <v>87100000</v>
      </c>
      <c r="G2192" s="5">
        <v>90100000</v>
      </c>
      <c r="H2192" s="5">
        <f>+(M2192*26000)/0.829426</f>
        <v>82125952.164508954</v>
      </c>
      <c r="I2192" s="5">
        <f>+G2192-H2192</f>
        <v>7974047.8354910463</v>
      </c>
      <c r="J2192" s="5">
        <v>3000000</v>
      </c>
      <c r="K2192" s="5">
        <v>8710000</v>
      </c>
      <c r="L2192" s="5">
        <v>9010000</v>
      </c>
      <c r="M2192" s="7">
        <v>2619.9</v>
      </c>
      <c r="N2192" s="5">
        <v>87600000</v>
      </c>
      <c r="O2192" s="5">
        <v>90600000</v>
      </c>
      <c r="P2192" s="3">
        <v>0.97916666666666663</v>
      </c>
    </row>
    <row r="2193" spans="1:16" x14ac:dyDescent="0.25">
      <c r="A2193" t="s">
        <v>1346</v>
      </c>
      <c r="B2193" s="2">
        <v>45558</v>
      </c>
      <c r="C2193" t="str">
        <f>+"Tuáº§n "&amp;WEEKNUM(B2193)</f>
        <v>Tuáº§n 39</v>
      </c>
      <c r="D2193" t="s">
        <v>16</v>
      </c>
      <c r="E2193" t="s">
        <v>17</v>
      </c>
      <c r="F2193" s="5">
        <v>87400000</v>
      </c>
      <c r="G2193" s="5">
        <v>90400000</v>
      </c>
      <c r="H2193" s="5">
        <f>+(M2193*26000)/0.829426</f>
        <v>82332842.230651081</v>
      </c>
      <c r="I2193" s="5">
        <f>+G2193-H2193</f>
        <v>8067157.7693489194</v>
      </c>
      <c r="J2193" s="5">
        <v>3000000</v>
      </c>
      <c r="K2193" s="5">
        <v>8740000</v>
      </c>
      <c r="L2193" s="5">
        <v>9040000</v>
      </c>
      <c r="M2193" s="7">
        <v>2626.5</v>
      </c>
      <c r="N2193" s="5">
        <v>87900000</v>
      </c>
      <c r="O2193" s="5">
        <v>90900000</v>
      </c>
      <c r="P2193" s="3">
        <v>0.97916666666666663</v>
      </c>
    </row>
    <row r="2194" spans="1:16" x14ac:dyDescent="0.25">
      <c r="A2194" t="s">
        <v>1347</v>
      </c>
      <c r="B2194" s="2">
        <v>45559</v>
      </c>
      <c r="C2194" t="str">
        <f>+"Tuáº§n "&amp;WEEKNUM(B2194)</f>
        <v>Tuáº§n 39</v>
      </c>
      <c r="D2194" t="s">
        <v>18</v>
      </c>
      <c r="E2194" t="s">
        <v>17</v>
      </c>
      <c r="F2194" s="5">
        <v>88200000</v>
      </c>
      <c r="G2194" s="5">
        <v>91200000</v>
      </c>
      <c r="H2194" s="5">
        <f>+(M2194*26000)/0.829426</f>
        <v>83107112.629698128</v>
      </c>
      <c r="I2194" s="5">
        <f>+G2194-H2194</f>
        <v>8092887.3703018725</v>
      </c>
      <c r="J2194" s="5">
        <v>3000000</v>
      </c>
      <c r="K2194" s="5">
        <v>8820000</v>
      </c>
      <c r="L2194" s="5">
        <v>9120000</v>
      </c>
      <c r="M2194" s="7">
        <v>2651.2</v>
      </c>
      <c r="N2194" s="5">
        <v>88700000</v>
      </c>
      <c r="O2194" s="5">
        <v>91700000</v>
      </c>
      <c r="P2194" s="3">
        <v>0.97916666666666663</v>
      </c>
    </row>
    <row r="2195" spans="1:16" x14ac:dyDescent="0.25">
      <c r="A2195" t="s">
        <v>1348</v>
      </c>
      <c r="B2195" s="2">
        <v>45560</v>
      </c>
      <c r="C2195" t="str">
        <f>+"Tuáº§n "&amp;WEEKNUM(B2195)</f>
        <v>Tuáº§n 39</v>
      </c>
      <c r="D2195" t="s">
        <v>19</v>
      </c>
      <c r="E2195" t="s">
        <v>17</v>
      </c>
      <c r="F2195" s="5">
        <v>88500000</v>
      </c>
      <c r="G2195" s="5">
        <v>91500000</v>
      </c>
      <c r="H2195" s="5">
        <f>+(M2195*26000)/0.829426</f>
        <v>83357888.467446163</v>
      </c>
      <c r="I2195" s="5">
        <f>+G2195-H2195</f>
        <v>8142111.5325538367</v>
      </c>
      <c r="J2195" s="5">
        <v>3000000</v>
      </c>
      <c r="K2195" s="5">
        <v>8850000</v>
      </c>
      <c r="L2195" s="5">
        <v>9150000</v>
      </c>
      <c r="M2195" s="7">
        <v>2659.2</v>
      </c>
      <c r="N2195" s="5">
        <v>89000000</v>
      </c>
      <c r="O2195" s="5">
        <v>92000000</v>
      </c>
      <c r="P2195" s="3">
        <v>0.97916666666666663</v>
      </c>
    </row>
    <row r="2196" spans="1:16" x14ac:dyDescent="0.25">
      <c r="A2196" t="s">
        <v>1349</v>
      </c>
      <c r="B2196" s="2">
        <v>45561</v>
      </c>
      <c r="C2196" t="str">
        <f>+"Tuáº§n "&amp;WEEKNUM(B2196)</f>
        <v>Tuáº§n 39</v>
      </c>
      <c r="D2196" t="s">
        <v>20</v>
      </c>
      <c r="E2196" t="s">
        <v>17</v>
      </c>
      <c r="F2196" s="5">
        <v>88900000</v>
      </c>
      <c r="G2196" s="5">
        <v>91900000</v>
      </c>
      <c r="H2196" s="5">
        <f>+(M2196*26000)/0.829426</f>
        <v>83693301.150434151</v>
      </c>
      <c r="I2196" s="5">
        <f>+G2196-H2196</f>
        <v>8206698.8495658487</v>
      </c>
      <c r="J2196" s="5">
        <v>3000000</v>
      </c>
      <c r="K2196" s="5">
        <v>8890000</v>
      </c>
      <c r="L2196" s="5">
        <v>9190000</v>
      </c>
      <c r="M2196" s="7">
        <v>2669.9</v>
      </c>
      <c r="N2196" s="5">
        <v>89400000</v>
      </c>
      <c r="O2196" s="5">
        <v>92400000</v>
      </c>
      <c r="P2196" s="3">
        <v>0.97916666666666663</v>
      </c>
    </row>
    <row r="2197" spans="1:16" x14ac:dyDescent="0.25">
      <c r="A2197" t="s">
        <v>1350</v>
      </c>
      <c r="B2197" s="2">
        <v>45562</v>
      </c>
      <c r="C2197" t="str">
        <f>+"Tuáº§n "&amp;WEEKNUM(B2197)</f>
        <v>Tuáº§n 39</v>
      </c>
      <c r="D2197" t="s">
        <v>21</v>
      </c>
      <c r="E2197" t="s">
        <v>17</v>
      </c>
      <c r="F2197" s="5">
        <v>88000000</v>
      </c>
      <c r="G2197" s="5">
        <v>91000000</v>
      </c>
      <c r="H2197" s="5">
        <f>+(M2197*26000)/0.829426</f>
        <v>82890818.469640449</v>
      </c>
      <c r="I2197" s="5">
        <f>+G2197-H2197</f>
        <v>8109181.5303595513</v>
      </c>
      <c r="J2197" s="5">
        <v>3000000</v>
      </c>
      <c r="K2197" s="5">
        <v>8800000</v>
      </c>
      <c r="L2197" s="5">
        <v>9100000</v>
      </c>
      <c r="M2197" s="7">
        <v>2644.3</v>
      </c>
      <c r="N2197" s="5">
        <v>88500000</v>
      </c>
      <c r="O2197" s="5">
        <v>91500000</v>
      </c>
      <c r="P2197" s="3">
        <v>0.97916666666666663</v>
      </c>
    </row>
    <row r="2198" spans="1:16" x14ac:dyDescent="0.25">
      <c r="A2198" t="s">
        <v>1351</v>
      </c>
      <c r="B2198" s="2">
        <v>45565</v>
      </c>
      <c r="C2198" t="str">
        <f>+"Tuáº§n "&amp;WEEKNUM(B2198)</f>
        <v>Tuáº§n 40</v>
      </c>
      <c r="D2198" t="s">
        <v>16</v>
      </c>
      <c r="E2198" t="s">
        <v>17</v>
      </c>
      <c r="F2198" s="5">
        <v>87700000</v>
      </c>
      <c r="G2198" s="5">
        <v>90700000</v>
      </c>
      <c r="H2198" s="5">
        <f>+(M2198*26000)/0.829426</f>
        <v>82633773.235948712</v>
      </c>
      <c r="I2198" s="5">
        <f>+G2198-H2198</f>
        <v>8066226.7640512884</v>
      </c>
      <c r="J2198" s="5">
        <v>3000000</v>
      </c>
      <c r="K2198" s="5">
        <v>8770000</v>
      </c>
      <c r="L2198" s="5">
        <v>9070000</v>
      </c>
      <c r="M2198" s="7">
        <v>2636.1</v>
      </c>
      <c r="N2198" s="5">
        <v>88200000</v>
      </c>
      <c r="O2198" s="5">
        <v>91200000</v>
      </c>
      <c r="P2198" s="3">
        <v>0.97916666666666663</v>
      </c>
    </row>
    <row r="2199" spans="1:16" x14ac:dyDescent="0.25">
      <c r="A2199" s="2">
        <v>45301</v>
      </c>
      <c r="B2199" s="2">
        <v>45566</v>
      </c>
      <c r="C2199" t="str">
        <f>+"Tuáº§n "&amp;WEEKNUM(B2199)</f>
        <v>Tuáº§n 40</v>
      </c>
      <c r="D2199" t="s">
        <v>18</v>
      </c>
      <c r="E2199" t="s">
        <v>17</v>
      </c>
      <c r="F2199" s="5">
        <v>88800000</v>
      </c>
      <c r="G2199" s="5">
        <v>91800000</v>
      </c>
      <c r="H2199" s="5">
        <f>+(M2199*26000)/0.829426</f>
        <v>83611799.00316605</v>
      </c>
      <c r="I2199" s="5">
        <f>+G2199-H2199</f>
        <v>8188200.9968339503</v>
      </c>
      <c r="J2199" s="5">
        <v>3000000</v>
      </c>
      <c r="K2199" s="5">
        <v>8880000</v>
      </c>
      <c r="L2199" s="5">
        <v>9180000</v>
      </c>
      <c r="M2199" s="7">
        <v>2667.3</v>
      </c>
      <c r="N2199" s="5">
        <v>89300000</v>
      </c>
      <c r="O2199" s="5">
        <v>92300000</v>
      </c>
      <c r="P2199" s="3">
        <v>0.97916666666666663</v>
      </c>
    </row>
    <row r="2200" spans="1:16" x14ac:dyDescent="0.25">
      <c r="A2200" s="2">
        <v>45332</v>
      </c>
      <c r="B2200" s="2">
        <v>45567</v>
      </c>
      <c r="C2200" t="str">
        <f>+"Tuáº§n "&amp;WEEKNUM(B2200)</f>
        <v>Tuáº§n 40</v>
      </c>
      <c r="D2200" t="s">
        <v>19</v>
      </c>
      <c r="E2200" t="s">
        <v>17</v>
      </c>
      <c r="F2200" s="5">
        <v>88100000</v>
      </c>
      <c r="G2200" s="5">
        <v>91100000</v>
      </c>
      <c r="H2200" s="5">
        <f>+(M2200*26000)/0.829426</f>
        <v>82978590.012852266</v>
      </c>
      <c r="I2200" s="5">
        <f>+G2200-H2200</f>
        <v>8121409.9871477336</v>
      </c>
      <c r="J2200" s="5">
        <v>3000000</v>
      </c>
      <c r="K2200" s="5">
        <v>8810000</v>
      </c>
      <c r="L2200" s="5">
        <v>9110000</v>
      </c>
      <c r="M2200" s="7">
        <v>2647.1</v>
      </c>
      <c r="N2200" s="5">
        <v>88600000</v>
      </c>
      <c r="O2200" s="5">
        <v>91600000</v>
      </c>
      <c r="P2200" s="3">
        <v>0.97916666666666663</v>
      </c>
    </row>
    <row r="2201" spans="1:16" x14ac:dyDescent="0.25">
      <c r="A2201" s="2">
        <v>45361</v>
      </c>
      <c r="B2201" s="2">
        <v>45568</v>
      </c>
      <c r="C2201" t="str">
        <f>+"Tuáº§n "&amp;WEEKNUM(B2201)</f>
        <v>Tuáº§n 40</v>
      </c>
      <c r="D2201" t="s">
        <v>20</v>
      </c>
      <c r="E2201" t="s">
        <v>17</v>
      </c>
      <c r="F2201" s="5">
        <v>88400000</v>
      </c>
      <c r="G2201" s="5">
        <v>91400000</v>
      </c>
      <c r="H2201" s="5">
        <f>+(M2201*26000)/0.829426</f>
        <v>83292059.8100373</v>
      </c>
      <c r="I2201" s="5">
        <f>+G2201-H2201</f>
        <v>8107940.1899627</v>
      </c>
      <c r="J2201" s="5">
        <v>3000000</v>
      </c>
      <c r="K2201" s="5">
        <v>8840000</v>
      </c>
      <c r="L2201" s="5">
        <v>9140000</v>
      </c>
      <c r="M2201" s="7">
        <v>2657.1</v>
      </c>
      <c r="N2201" s="5">
        <v>88900000</v>
      </c>
      <c r="O2201" s="5">
        <v>91900000</v>
      </c>
      <c r="P2201" s="3">
        <v>0.97916666666666663</v>
      </c>
    </row>
    <row r="2202" spans="1:16" x14ac:dyDescent="0.25">
      <c r="A2202" s="2">
        <v>45392</v>
      </c>
      <c r="B2202" s="2">
        <v>45569</v>
      </c>
      <c r="C2202" t="str">
        <f>+"Tuáº§n "&amp;WEEKNUM(B2202)</f>
        <v>Tuáº§n 40</v>
      </c>
      <c r="D2202" t="s">
        <v>21</v>
      </c>
      <c r="E2202" t="s">
        <v>17</v>
      </c>
      <c r="F2202" s="5">
        <v>88000000</v>
      </c>
      <c r="G2202" s="5">
        <v>91000000</v>
      </c>
      <c r="H2202" s="5">
        <f>+(M2202*26000)/0.829426</f>
        <v>82937838.939218208</v>
      </c>
      <c r="I2202" s="5">
        <f>+G2202-H2202</f>
        <v>8062161.0607817918</v>
      </c>
      <c r="J2202" s="5">
        <v>3000000</v>
      </c>
      <c r="K2202" s="5">
        <v>8800000</v>
      </c>
      <c r="L2202" s="5">
        <v>9100000</v>
      </c>
      <c r="M2202" s="7">
        <v>2645.8</v>
      </c>
      <c r="N2202" s="5">
        <v>88500000</v>
      </c>
      <c r="O2202" s="5">
        <v>91500000</v>
      </c>
      <c r="P2202" s="3">
        <v>0.97916666666666663</v>
      </c>
    </row>
    <row r="2203" spans="1:16" x14ac:dyDescent="0.25">
      <c r="A2203" s="2">
        <v>45483</v>
      </c>
      <c r="B2203" s="2">
        <v>45572</v>
      </c>
      <c r="C2203" t="str">
        <f>+"Tuáº§n "&amp;WEEKNUM(B2203)</f>
        <v>Tuáº§n 41</v>
      </c>
      <c r="D2203" t="s">
        <v>16</v>
      </c>
      <c r="E2203" t="s">
        <v>17</v>
      </c>
      <c r="F2203" s="5">
        <v>88000000</v>
      </c>
      <c r="G2203" s="5">
        <v>91000000</v>
      </c>
      <c r="H2203" s="5">
        <f>+(M2203*26000)/0.829426</f>
        <v>82906491.959499702</v>
      </c>
      <c r="I2203" s="5">
        <f>+G2203-H2203</f>
        <v>8093508.0405002981</v>
      </c>
      <c r="J2203" s="5">
        <v>3000000</v>
      </c>
      <c r="K2203" s="5">
        <v>8800000</v>
      </c>
      <c r="L2203" s="5">
        <v>9100000</v>
      </c>
      <c r="M2203" s="7">
        <v>2644.8</v>
      </c>
      <c r="N2203" s="5">
        <v>88500000</v>
      </c>
      <c r="O2203" s="5">
        <v>91500000</v>
      </c>
      <c r="P2203" s="3">
        <v>0.97916666666666663</v>
      </c>
    </row>
    <row r="2204" spans="1:16" x14ac:dyDescent="0.25">
      <c r="A2204" s="2">
        <v>45514</v>
      </c>
      <c r="B2204" s="2">
        <v>45573</v>
      </c>
      <c r="C2204" t="str">
        <f>+"Tuáº§n "&amp;WEEKNUM(B2204)</f>
        <v>Tuáº§n 41</v>
      </c>
      <c r="D2204" t="s">
        <v>18</v>
      </c>
      <c r="E2204" t="s">
        <v>17</v>
      </c>
      <c r="F2204" s="5">
        <v>87000000</v>
      </c>
      <c r="G2204" s="5">
        <v>90000000</v>
      </c>
      <c r="H2204" s="5">
        <f>+(M2204*26000)/0.829426</f>
        <v>81972351.963888273</v>
      </c>
      <c r="I2204" s="5">
        <f>+G2204-H2204</f>
        <v>8027648.0361117274</v>
      </c>
      <c r="J2204" s="5">
        <v>3000000</v>
      </c>
      <c r="K2204" s="5">
        <v>8700000</v>
      </c>
      <c r="L2204" s="5">
        <v>9000000</v>
      </c>
      <c r="M2204" s="7">
        <v>2615</v>
      </c>
      <c r="N2204" s="5">
        <v>87500000</v>
      </c>
      <c r="O2204" s="5">
        <v>90500000</v>
      </c>
      <c r="P2204" s="3">
        <v>0.97916666666666663</v>
      </c>
    </row>
    <row r="2205" spans="1:16" x14ac:dyDescent="0.25">
      <c r="A2205" s="2">
        <v>45545</v>
      </c>
      <c r="B2205" s="2">
        <v>45574</v>
      </c>
      <c r="C2205" t="str">
        <f>+"Tuáº§n "&amp;WEEKNUM(B2205)</f>
        <v>Tuáº§n 41</v>
      </c>
      <c r="D2205" t="s">
        <v>19</v>
      </c>
      <c r="E2205" t="s">
        <v>17</v>
      </c>
      <c r="F2205" s="5">
        <v>86700000</v>
      </c>
      <c r="G2205" s="5">
        <v>89700000</v>
      </c>
      <c r="H2205" s="5">
        <f>+(M2205*26000)/0.829426</f>
        <v>81690229.146421745</v>
      </c>
      <c r="I2205" s="5">
        <f>+G2205-H2205</f>
        <v>8009770.8535782546</v>
      </c>
      <c r="J2205" s="5">
        <v>3000000</v>
      </c>
      <c r="K2205" s="5">
        <v>8670000</v>
      </c>
      <c r="L2205" s="5">
        <v>8970000</v>
      </c>
      <c r="M2205" s="7">
        <v>2606</v>
      </c>
      <c r="N2205" s="5">
        <v>87200000</v>
      </c>
      <c r="O2205" s="5">
        <v>90200000</v>
      </c>
      <c r="P2205" s="3">
        <v>0.97916666666666663</v>
      </c>
    </row>
    <row r="2206" spans="1:16" x14ac:dyDescent="0.25">
      <c r="A2206" s="2">
        <v>45575</v>
      </c>
      <c r="B2206" s="2">
        <v>45575</v>
      </c>
      <c r="C2206" t="str">
        <f>+"Tuáº§n "&amp;WEEKNUM(B2206)</f>
        <v>Tuáº§n 41</v>
      </c>
      <c r="D2206" t="s">
        <v>20</v>
      </c>
      <c r="E2206" t="s">
        <v>17</v>
      </c>
      <c r="F2206" s="5">
        <v>87200000</v>
      </c>
      <c r="G2206" s="5">
        <v>90200000</v>
      </c>
      <c r="H2206" s="5">
        <f>+(M2206*26000)/0.829426</f>
        <v>82147895.050311908</v>
      </c>
      <c r="I2206" s="5">
        <f>+G2206-H2206</f>
        <v>8052104.9496880919</v>
      </c>
      <c r="J2206" s="5">
        <v>3000000</v>
      </c>
      <c r="K2206" s="5">
        <v>8720000</v>
      </c>
      <c r="L2206" s="5">
        <v>9020000</v>
      </c>
      <c r="M2206" s="7">
        <v>2620.6</v>
      </c>
      <c r="N2206" s="5">
        <v>87700000</v>
      </c>
      <c r="O2206" s="5">
        <v>90700000</v>
      </c>
      <c r="P2206" s="3">
        <v>0.97916666666666663</v>
      </c>
    </row>
    <row r="2207" spans="1:16" x14ac:dyDescent="0.25">
      <c r="A2207" s="2">
        <v>45606</v>
      </c>
      <c r="B2207" s="2">
        <v>45576</v>
      </c>
      <c r="C2207" t="str">
        <f>+"Tuáº§n "&amp;WEEKNUM(B2207)</f>
        <v>Tuáº§n 41</v>
      </c>
      <c r="D2207" t="s">
        <v>21</v>
      </c>
      <c r="E2207" t="s">
        <v>17</v>
      </c>
      <c r="F2207" s="5">
        <v>88400000</v>
      </c>
      <c r="G2207" s="5">
        <v>91400000</v>
      </c>
      <c r="H2207" s="5">
        <f>+(M2207*26000)/0.829426</f>
        <v>83307733.299896553</v>
      </c>
      <c r="I2207" s="5">
        <f>+G2207-H2207</f>
        <v>8092266.7001034468</v>
      </c>
      <c r="J2207" s="5">
        <v>3000000</v>
      </c>
      <c r="K2207" s="5">
        <v>8840000</v>
      </c>
      <c r="L2207" s="5">
        <v>9140000</v>
      </c>
      <c r="M2207" s="7">
        <v>2657.6</v>
      </c>
      <c r="N2207" s="5">
        <v>88900000</v>
      </c>
      <c r="O2207" s="5">
        <v>91900000</v>
      </c>
      <c r="P2207" s="3">
        <v>0.97916666666666663</v>
      </c>
    </row>
    <row r="2208" spans="1:16" x14ac:dyDescent="0.25">
      <c r="A2208" t="s">
        <v>1352</v>
      </c>
      <c r="B2208" s="2">
        <v>45579</v>
      </c>
      <c r="C2208" t="str">
        <f>+"Tuáº§n "&amp;WEEKNUM(B2208)</f>
        <v>Tuáº§n 42</v>
      </c>
      <c r="D2208" t="s">
        <v>16</v>
      </c>
      <c r="E2208" t="s">
        <v>17</v>
      </c>
      <c r="F2208" s="5">
        <v>88100000</v>
      </c>
      <c r="G2208" s="5">
        <v>91100000</v>
      </c>
      <c r="H2208" s="5">
        <f>+(M2208*26000)/0.829426</f>
        <v>83000532.898655221</v>
      </c>
      <c r="I2208" s="5">
        <f>+G2208-H2208</f>
        <v>8099467.1013447791</v>
      </c>
      <c r="J2208" s="5">
        <v>3000000</v>
      </c>
      <c r="K2208" s="5">
        <v>8810000</v>
      </c>
      <c r="L2208" s="5">
        <v>9110000</v>
      </c>
      <c r="M2208" s="7">
        <v>2647.8</v>
      </c>
      <c r="N2208" s="5">
        <v>88600000</v>
      </c>
      <c r="O2208" s="5">
        <v>91600000</v>
      </c>
      <c r="P2208" s="3">
        <v>0.97916666666666663</v>
      </c>
    </row>
    <row r="2209" spans="1:16" x14ac:dyDescent="0.25">
      <c r="A2209" t="s">
        <v>1353</v>
      </c>
      <c r="B2209" s="2">
        <v>45580</v>
      </c>
      <c r="C2209" t="str">
        <f>+"Tuáº§n "&amp;WEEKNUM(B2209)</f>
        <v>Tuáº§n 42</v>
      </c>
      <c r="D2209" t="s">
        <v>18</v>
      </c>
      <c r="E2209" t="s">
        <v>17</v>
      </c>
      <c r="F2209" s="5">
        <v>88600000</v>
      </c>
      <c r="G2209" s="5">
        <v>91600000</v>
      </c>
      <c r="H2209" s="5">
        <f>+(M2209*26000)/0.829426</f>
        <v>83426851.822826877</v>
      </c>
      <c r="I2209" s="5">
        <f>+G2209-H2209</f>
        <v>8173148.1771731228</v>
      </c>
      <c r="J2209" s="5">
        <v>3000000</v>
      </c>
      <c r="K2209" s="5">
        <v>8860000</v>
      </c>
      <c r="L2209" s="5">
        <v>9160000</v>
      </c>
      <c r="M2209" s="7">
        <v>2661.4</v>
      </c>
      <c r="N2209" s="5">
        <v>89100000</v>
      </c>
      <c r="O2209" s="5">
        <v>92100000</v>
      </c>
      <c r="P2209" s="3">
        <v>0.97916666666666663</v>
      </c>
    </row>
    <row r="2210" spans="1:16" x14ac:dyDescent="0.25">
      <c r="A2210" t="s">
        <v>1354</v>
      </c>
      <c r="B2210" s="2">
        <v>45581</v>
      </c>
      <c r="C2210" t="str">
        <f>+"Tuáº§n "&amp;WEEKNUM(B2210)</f>
        <v>Tuáº§n 42</v>
      </c>
      <c r="D2210" t="s">
        <v>19</v>
      </c>
      <c r="E2210" t="s">
        <v>17</v>
      </c>
      <c r="F2210" s="5">
        <v>89000000</v>
      </c>
      <c r="G2210" s="5">
        <v>92000000</v>
      </c>
      <c r="H2210" s="5">
        <f>+(M2210*26000)/0.829426</f>
        <v>83821823.767280027</v>
      </c>
      <c r="I2210" s="5">
        <f>+G2210-H2210</f>
        <v>8178176.2327199727</v>
      </c>
      <c r="J2210" s="5">
        <v>3000000</v>
      </c>
      <c r="K2210" s="5">
        <v>8900000</v>
      </c>
      <c r="L2210" s="5">
        <v>9200000</v>
      </c>
      <c r="M2210" s="7">
        <v>2674</v>
      </c>
      <c r="N2210" s="5">
        <v>89500000</v>
      </c>
      <c r="O2210" s="5">
        <v>92500000</v>
      </c>
      <c r="P2210" s="3">
        <v>0.97916666666666663</v>
      </c>
    </row>
    <row r="2211" spans="1:16" x14ac:dyDescent="0.25">
      <c r="A2211" t="s">
        <v>1355</v>
      </c>
      <c r="B2211" s="2">
        <v>45582</v>
      </c>
      <c r="C2211" t="str">
        <f>+"Tuáº§n "&amp;WEEKNUM(B2211)</f>
        <v>Tuáº§n 42</v>
      </c>
      <c r="D2211" t="s">
        <v>20</v>
      </c>
      <c r="E2211" t="s">
        <v>17</v>
      </c>
      <c r="F2211" s="5">
        <v>89600000</v>
      </c>
      <c r="G2211" s="5">
        <v>92600000</v>
      </c>
      <c r="H2211" s="5">
        <f>+(M2211*26000)/0.829426</f>
        <v>84354722.42249459</v>
      </c>
      <c r="I2211" s="5">
        <f>+G2211-H2211</f>
        <v>8245277.5775054097</v>
      </c>
      <c r="J2211" s="5">
        <v>3000000</v>
      </c>
      <c r="K2211" s="5">
        <v>8960000</v>
      </c>
      <c r="L2211" s="5">
        <v>9260000</v>
      </c>
      <c r="M2211" s="7">
        <v>2691</v>
      </c>
      <c r="N2211" s="5">
        <v>90100000</v>
      </c>
      <c r="O2211" s="5">
        <v>93100000</v>
      </c>
      <c r="P2211" s="3">
        <v>0.97916666666666663</v>
      </c>
    </row>
    <row r="2212" spans="1:16" x14ac:dyDescent="0.25">
      <c r="A2212" t="s">
        <v>1356</v>
      </c>
      <c r="B2212" s="2">
        <v>45583</v>
      </c>
      <c r="C2212" t="str">
        <f>+"Tuáº§n "&amp;WEEKNUM(B2212)</f>
        <v>Tuáº§n 42</v>
      </c>
      <c r="D2212" t="s">
        <v>21</v>
      </c>
      <c r="E2212" t="s">
        <v>17</v>
      </c>
      <c r="F2212" s="5">
        <v>90400000</v>
      </c>
      <c r="G2212" s="5">
        <v>93400000</v>
      </c>
      <c r="H2212" s="5">
        <f>+(M2212*26000)/0.829426</f>
        <v>85066298.862104639</v>
      </c>
      <c r="I2212" s="5">
        <f>+G2212-H2212</f>
        <v>8333701.1378953606</v>
      </c>
      <c r="J2212" s="5">
        <v>3000000</v>
      </c>
      <c r="K2212" s="5">
        <v>9040000</v>
      </c>
      <c r="L2212" s="5">
        <v>9340000</v>
      </c>
      <c r="M2212" s="7">
        <v>2713.7</v>
      </c>
      <c r="N2212" s="5">
        <v>90900000</v>
      </c>
      <c r="O2212" s="5">
        <v>93900000</v>
      </c>
      <c r="P2212" s="3">
        <v>0.97916666666666663</v>
      </c>
    </row>
    <row r="2213" spans="1:16" x14ac:dyDescent="0.25">
      <c r="A2213" t="s">
        <v>1357</v>
      </c>
      <c r="B2213" s="2">
        <v>45586</v>
      </c>
      <c r="C2213" t="str">
        <f>+"Tuáº§n "&amp;WEEKNUM(B2213)</f>
        <v>Tuáº§n 43</v>
      </c>
      <c r="D2213" t="s">
        <v>16</v>
      </c>
      <c r="E2213" t="s">
        <v>17</v>
      </c>
      <c r="F2213" s="5">
        <v>90700000</v>
      </c>
      <c r="G2213" s="5">
        <v>93700000</v>
      </c>
      <c r="H2213" s="5">
        <f>+(M2213*26000)/0.829426</f>
        <v>85360960.471458569</v>
      </c>
      <c r="I2213" s="5">
        <f>+G2213-H2213</f>
        <v>8339039.5285414308</v>
      </c>
      <c r="J2213" s="5">
        <v>3000000</v>
      </c>
      <c r="K2213" s="5">
        <v>9070000</v>
      </c>
      <c r="L2213" s="5">
        <v>9370000</v>
      </c>
      <c r="M2213" s="7">
        <v>2723.1</v>
      </c>
      <c r="N2213" s="5">
        <v>91200000</v>
      </c>
      <c r="O2213" s="5">
        <v>94200000</v>
      </c>
      <c r="P2213" s="3">
        <v>0.97916666666666663</v>
      </c>
    </row>
    <row r="2214" spans="1:16" x14ac:dyDescent="0.25">
      <c r="A2214" t="s">
        <v>1358</v>
      </c>
      <c r="B2214" s="2">
        <v>45587</v>
      </c>
      <c r="C2214" t="str">
        <f>+"Tuáº§n "&amp;WEEKNUM(B2214)</f>
        <v>Tuáº§n 43</v>
      </c>
      <c r="D2214" t="s">
        <v>18</v>
      </c>
      <c r="E2214" t="s">
        <v>17</v>
      </c>
      <c r="F2214" s="5">
        <v>91400000</v>
      </c>
      <c r="G2214" s="5">
        <v>94400000</v>
      </c>
      <c r="H2214" s="5">
        <f>+(M2214*26000)/0.829426</f>
        <v>86022381.743519008</v>
      </c>
      <c r="I2214" s="5">
        <f>+G2214-H2214</f>
        <v>8377618.2564809918</v>
      </c>
      <c r="J2214" s="5">
        <v>3000000</v>
      </c>
      <c r="K2214" s="5">
        <v>9140000</v>
      </c>
      <c r="L2214" s="5">
        <v>9440000</v>
      </c>
      <c r="M2214" s="7">
        <v>2744.2</v>
      </c>
      <c r="N2214" s="5">
        <v>91900000</v>
      </c>
      <c r="O2214" s="5">
        <v>94900000</v>
      </c>
      <c r="P2214" s="3">
        <v>0.97916666666666663</v>
      </c>
    </row>
    <row r="2215" spans="1:16" x14ac:dyDescent="0.25">
      <c r="A2215" t="s">
        <v>1359</v>
      </c>
      <c r="B2215" s="2">
        <v>45588</v>
      </c>
      <c r="C2215" t="str">
        <f>+"Tuáº§n "&amp;WEEKNUM(B2215)</f>
        <v>Tuáº§n 43</v>
      </c>
      <c r="D2215" t="s">
        <v>19</v>
      </c>
      <c r="E2215" t="s">
        <v>17</v>
      </c>
      <c r="F2215" s="5">
        <v>90400000</v>
      </c>
      <c r="G2215" s="5">
        <v>93400000</v>
      </c>
      <c r="H2215" s="5">
        <f>+(M2215*26000)/0.829426</f>
        <v>85088241.747907594</v>
      </c>
      <c r="I2215" s="5">
        <f>+G2215-H2215</f>
        <v>8311758.2520924062</v>
      </c>
      <c r="J2215" s="5">
        <v>3000000</v>
      </c>
      <c r="K2215" s="5">
        <v>9040000</v>
      </c>
      <c r="L2215" s="5">
        <v>9340000</v>
      </c>
      <c r="M2215" s="7">
        <v>2714.4</v>
      </c>
      <c r="N2215" s="5">
        <v>90900000</v>
      </c>
      <c r="O2215" s="5">
        <v>93900000</v>
      </c>
      <c r="P2215" s="3">
        <v>0.97916666666666663</v>
      </c>
    </row>
    <row r="2216" spans="1:16" x14ac:dyDescent="0.25">
      <c r="A2216" t="s">
        <v>1360</v>
      </c>
      <c r="B2216" s="2">
        <v>45589</v>
      </c>
      <c r="C2216" t="str">
        <f>+"Tuáº§n "&amp;WEEKNUM(B2216)</f>
        <v>Tuáº§n 43</v>
      </c>
      <c r="D2216" t="s">
        <v>20</v>
      </c>
      <c r="E2216" t="s">
        <v>17</v>
      </c>
      <c r="F2216" s="5">
        <v>91100000</v>
      </c>
      <c r="G2216" s="5">
        <v>94100000</v>
      </c>
      <c r="H2216" s="5">
        <f>+(M2216*26000)/0.829426</f>
        <v>85730854.832136929</v>
      </c>
      <c r="I2216" s="5">
        <f>+G2216-H2216</f>
        <v>8369145.167863071</v>
      </c>
      <c r="J2216" s="5">
        <v>3000000</v>
      </c>
      <c r="K2216" s="5">
        <v>9110000</v>
      </c>
      <c r="L2216" s="5">
        <v>9410000</v>
      </c>
      <c r="M2216" s="7">
        <v>2734.9</v>
      </c>
      <c r="N2216" s="5">
        <v>91600000</v>
      </c>
      <c r="O2216" s="5">
        <v>94600000</v>
      </c>
      <c r="P2216" s="3">
        <v>0.97916666666666663</v>
      </c>
    </row>
    <row r="2217" spans="1:16" x14ac:dyDescent="0.25">
      <c r="A2217" t="s">
        <v>1361</v>
      </c>
      <c r="B2217" s="2">
        <v>45590</v>
      </c>
      <c r="C2217" t="str">
        <f>+"Tuáº§n "&amp;WEEKNUM(B2217)</f>
        <v>Tuáº§n 43</v>
      </c>
      <c r="D2217" t="s">
        <v>21</v>
      </c>
      <c r="E2217" t="s">
        <v>17</v>
      </c>
      <c r="F2217" s="5">
        <v>91300000</v>
      </c>
      <c r="G2217" s="5">
        <v>94300000</v>
      </c>
      <c r="H2217" s="5">
        <f>+(M2217*26000)/0.829426</f>
        <v>85918936.710447952</v>
      </c>
      <c r="I2217" s="5">
        <f>+G2217-H2217</f>
        <v>8381063.2895520478</v>
      </c>
      <c r="J2217" s="5">
        <v>3000000</v>
      </c>
      <c r="K2217" s="5">
        <v>9130000</v>
      </c>
      <c r="L2217" s="5">
        <v>9430000</v>
      </c>
      <c r="M2217" s="7">
        <v>2740.9</v>
      </c>
      <c r="N2217" s="5">
        <v>91800000</v>
      </c>
      <c r="O2217" s="5">
        <v>94800000</v>
      </c>
      <c r="P2217" s="3">
        <v>0.97916666666666663</v>
      </c>
    </row>
    <row r="2218" spans="1:16" x14ac:dyDescent="0.25">
      <c r="A2218" t="s">
        <v>1362</v>
      </c>
      <c r="B2218" s="2">
        <v>45593</v>
      </c>
      <c r="C2218" t="str">
        <f>+"Tuáº§n "&amp;WEEKNUM(B2218)</f>
        <v>Tuáº§n 44</v>
      </c>
      <c r="D2218" t="s">
        <v>16</v>
      </c>
      <c r="E2218" t="s">
        <v>17</v>
      </c>
      <c r="F2218" s="5">
        <v>91400000</v>
      </c>
      <c r="G2218" s="5">
        <v>94400000</v>
      </c>
      <c r="H2218" s="5">
        <f>+(M2218*26000)/0.829426</f>
        <v>85981630.66988495</v>
      </c>
      <c r="I2218" s="5">
        <f>+G2218-H2218</f>
        <v>8418369.3301150501</v>
      </c>
      <c r="J2218" s="5">
        <v>3000000</v>
      </c>
      <c r="K2218" s="5">
        <v>9140000</v>
      </c>
      <c r="L2218" s="5">
        <v>9440000</v>
      </c>
      <c r="M2218" s="7">
        <v>2742.9</v>
      </c>
      <c r="N2218" s="5">
        <v>91900000</v>
      </c>
      <c r="O2218" s="5">
        <v>94900000</v>
      </c>
      <c r="P2218" s="3">
        <v>0.97916666666666663</v>
      </c>
    </row>
    <row r="2219" spans="1:16" x14ac:dyDescent="0.25">
      <c r="A2219" t="s">
        <v>1363</v>
      </c>
      <c r="B2219" s="2">
        <v>45594</v>
      </c>
      <c r="C2219" t="str">
        <f>+"Tuáº§n "&amp;WEEKNUM(B2219)</f>
        <v>Tuáº§n 44</v>
      </c>
      <c r="D2219" t="s">
        <v>18</v>
      </c>
      <c r="E2219" t="s">
        <v>17</v>
      </c>
      <c r="F2219" s="5">
        <v>92200000</v>
      </c>
      <c r="G2219" s="5">
        <v>95200000</v>
      </c>
      <c r="H2219" s="5">
        <f>+(M2219*26000)/0.829426</f>
        <v>86780978.652706817</v>
      </c>
      <c r="I2219" s="5">
        <f>+G2219-H2219</f>
        <v>8419021.3472931832</v>
      </c>
      <c r="J2219" s="5">
        <v>3000000</v>
      </c>
      <c r="K2219" s="5">
        <v>9220000</v>
      </c>
      <c r="L2219" s="5">
        <v>9520000</v>
      </c>
      <c r="M2219" s="7">
        <v>2768.4</v>
      </c>
      <c r="N2219" s="5">
        <v>92700000</v>
      </c>
      <c r="O2219" s="5">
        <v>95700000</v>
      </c>
      <c r="P2219" s="3">
        <v>0.97916666666666663</v>
      </c>
    </row>
    <row r="2220" spans="1:16" x14ac:dyDescent="0.25">
      <c r="A2220" t="s">
        <v>1364</v>
      </c>
      <c r="B2220" s="2">
        <v>45595</v>
      </c>
      <c r="C2220" t="str">
        <f>+"Tuáº§n "&amp;WEEKNUM(B2220)</f>
        <v>Tuáº§n 44</v>
      </c>
      <c r="D2220" t="s">
        <v>19</v>
      </c>
      <c r="E2220" t="s">
        <v>17</v>
      </c>
      <c r="F2220" s="5">
        <v>92900000</v>
      </c>
      <c r="G2220" s="5">
        <v>95900000</v>
      </c>
      <c r="H2220" s="5">
        <f>+(M2220*26000)/0.829426</f>
        <v>87411052.945048749</v>
      </c>
      <c r="I2220" s="5">
        <f>+G2220-H2220</f>
        <v>8488947.0549512506</v>
      </c>
      <c r="J2220" s="5">
        <v>3000000</v>
      </c>
      <c r="K2220" s="5">
        <v>9290000</v>
      </c>
      <c r="L2220" s="5">
        <v>9590000</v>
      </c>
      <c r="M2220" s="7">
        <v>2788.5</v>
      </c>
      <c r="N2220" s="5">
        <v>93400000</v>
      </c>
      <c r="O2220" s="5">
        <v>96400000</v>
      </c>
      <c r="P2220" s="3">
        <v>0.97916666666666663</v>
      </c>
    </row>
    <row r="2221" spans="1:16" x14ac:dyDescent="0.25">
      <c r="A2221" t="s">
        <v>1365</v>
      </c>
      <c r="B2221" s="2">
        <v>45596</v>
      </c>
      <c r="C2221" t="str">
        <f>+"Tuáº§n "&amp;WEEKNUM(B2221)</f>
        <v>Tuáº§n 44</v>
      </c>
      <c r="D2221" t="s">
        <v>20</v>
      </c>
      <c r="E2221" t="s">
        <v>17</v>
      </c>
      <c r="F2221" s="5">
        <v>91200000</v>
      </c>
      <c r="G2221" s="5">
        <v>94200000</v>
      </c>
      <c r="H2221" s="5">
        <f>+(M2221*26000)/0.829426</f>
        <v>85837434.563179836</v>
      </c>
      <c r="I2221" s="5">
        <f>+G2221-H2221</f>
        <v>8362565.4368201643</v>
      </c>
      <c r="J2221" s="5">
        <v>3000000</v>
      </c>
      <c r="K2221" s="5">
        <v>9120000</v>
      </c>
      <c r="L2221" s="5">
        <v>9420000</v>
      </c>
      <c r="M2221" s="7">
        <v>2738.3</v>
      </c>
      <c r="N2221" s="5">
        <v>91700000</v>
      </c>
      <c r="O2221" s="5">
        <v>94700000</v>
      </c>
      <c r="P2221" s="3">
        <v>0.97916666666666663</v>
      </c>
    </row>
    <row r="2222" spans="1:16" x14ac:dyDescent="0.25">
      <c r="A2222" s="2">
        <v>45302</v>
      </c>
      <c r="B2222" s="2">
        <v>45597</v>
      </c>
      <c r="C2222" t="str">
        <f>+"Tuáº§n "&amp;WEEKNUM(B2222)</f>
        <v>Tuáº§n 44</v>
      </c>
      <c r="D2222" t="s">
        <v>21</v>
      </c>
      <c r="E2222" t="s">
        <v>17</v>
      </c>
      <c r="F2222" s="5">
        <v>91200000</v>
      </c>
      <c r="G2222" s="5">
        <v>94200000</v>
      </c>
      <c r="H2222" s="5">
        <f>+(M2222*26000)/0.829426</f>
        <v>85846838.657095388</v>
      </c>
      <c r="I2222" s="5">
        <f>+G2222-H2222</f>
        <v>8353161.3429046124</v>
      </c>
      <c r="J2222" s="5">
        <v>3000000</v>
      </c>
      <c r="K2222" s="5">
        <v>9120000</v>
      </c>
      <c r="L2222" s="5">
        <v>9420000</v>
      </c>
      <c r="M2222" s="7">
        <v>2738.6</v>
      </c>
      <c r="N2222" s="5">
        <v>91700000</v>
      </c>
      <c r="O2222" s="5">
        <v>94700000</v>
      </c>
      <c r="P2222" s="3">
        <v>0.97916666666666663</v>
      </c>
    </row>
    <row r="2223" spans="1:16" x14ac:dyDescent="0.25">
      <c r="A2223" s="2">
        <v>45393</v>
      </c>
      <c r="B2223" s="2">
        <v>45600</v>
      </c>
      <c r="C2223" t="str">
        <f>+"Tuáº§n "&amp;WEEKNUM(B2223)</f>
        <v>Tuáº§n 45</v>
      </c>
      <c r="D2223" t="s">
        <v>16</v>
      </c>
      <c r="E2223" t="s">
        <v>17</v>
      </c>
      <c r="F2223" s="5">
        <v>91100000</v>
      </c>
      <c r="G2223" s="5">
        <v>94100000</v>
      </c>
      <c r="H2223" s="5">
        <f>+(M2223*26000)/0.829426</f>
        <v>85768471.207799122</v>
      </c>
      <c r="I2223" s="5">
        <f>+G2223-H2223</f>
        <v>8331528.7922008783</v>
      </c>
      <c r="J2223" s="5">
        <v>3000000</v>
      </c>
      <c r="K2223" s="5">
        <v>9110000</v>
      </c>
      <c r="L2223" s="5">
        <v>9410000</v>
      </c>
      <c r="M2223" s="7">
        <v>2736.1</v>
      </c>
      <c r="N2223" s="5">
        <v>91600000</v>
      </c>
      <c r="O2223" s="5">
        <v>94600000</v>
      </c>
      <c r="P2223" s="3">
        <v>0.97916666666666663</v>
      </c>
    </row>
    <row r="2224" spans="1:16" x14ac:dyDescent="0.25">
      <c r="A2224" s="2">
        <v>45423</v>
      </c>
      <c r="B2224" s="2">
        <v>45601</v>
      </c>
      <c r="C2224" t="str">
        <f>+"Tuáº§n "&amp;WEEKNUM(B2224)</f>
        <v>Tuáº§n 45</v>
      </c>
      <c r="D2224" t="s">
        <v>18</v>
      </c>
      <c r="E2224" t="s">
        <v>17</v>
      </c>
      <c r="F2224" s="5">
        <v>91300000</v>
      </c>
      <c r="G2224" s="5">
        <v>94300000</v>
      </c>
      <c r="H2224" s="5">
        <f>+(M2224*26000)/0.829426</f>
        <v>85900128.522616848</v>
      </c>
      <c r="I2224" s="5">
        <f>+G2224-H2224</f>
        <v>8399871.4773831517</v>
      </c>
      <c r="J2224" s="5">
        <v>3000000</v>
      </c>
      <c r="K2224" s="5">
        <v>9130000</v>
      </c>
      <c r="L2224" s="5">
        <v>9430000</v>
      </c>
      <c r="M2224" s="7">
        <v>2740.3</v>
      </c>
      <c r="N2224" s="5">
        <v>91800000</v>
      </c>
      <c r="O2224" s="5">
        <v>94800000</v>
      </c>
      <c r="P2224" s="3">
        <v>0.97916666666666663</v>
      </c>
    </row>
    <row r="2225" spans="1:16" x14ac:dyDescent="0.25">
      <c r="A2225" s="2">
        <v>45454</v>
      </c>
      <c r="B2225" s="2">
        <v>45602</v>
      </c>
      <c r="C2225" t="str">
        <f>+"Tuáº§n "&amp;WEEKNUM(B2225)</f>
        <v>Tuáº§n 45</v>
      </c>
      <c r="D2225" t="s">
        <v>19</v>
      </c>
      <c r="E2225" t="s">
        <v>17</v>
      </c>
      <c r="F2225" s="5">
        <v>88800000</v>
      </c>
      <c r="G2225" s="5">
        <v>91800000</v>
      </c>
      <c r="H2225" s="5">
        <f>+(M2225*26000)/0.829426</f>
        <v>83621203.097081602</v>
      </c>
      <c r="I2225" s="5">
        <f>+G2225-H2225</f>
        <v>8178796.9029183984</v>
      </c>
      <c r="J2225" s="5">
        <v>3000000</v>
      </c>
      <c r="K2225" s="5">
        <v>8880000</v>
      </c>
      <c r="L2225" s="5">
        <v>9180000</v>
      </c>
      <c r="M2225" s="7">
        <v>2667.6</v>
      </c>
      <c r="N2225" s="5">
        <v>89300000</v>
      </c>
      <c r="O2225" s="5">
        <v>92300000</v>
      </c>
      <c r="P2225" s="3">
        <v>0.97916666666666663</v>
      </c>
    </row>
    <row r="2226" spans="1:16" x14ac:dyDescent="0.25">
      <c r="A2226" s="2">
        <v>45484</v>
      </c>
      <c r="B2226" s="2">
        <v>45603</v>
      </c>
      <c r="C2226" t="str">
        <f>+"Tuáº§n "&amp;WEEKNUM(B2226)</f>
        <v>Tuáº§n 45</v>
      </c>
      <c r="D2226" t="s">
        <v>20</v>
      </c>
      <c r="E2226" t="s">
        <v>17</v>
      </c>
      <c r="F2226" s="5">
        <v>89800000</v>
      </c>
      <c r="G2226" s="5">
        <v>92800000</v>
      </c>
      <c r="H2226" s="5">
        <f>+(M2226*26000)/0.829426</f>
        <v>84586690.072411522</v>
      </c>
      <c r="I2226" s="5">
        <f>+G2226-H2226</f>
        <v>8213309.9275884777</v>
      </c>
      <c r="J2226" s="5">
        <v>3000000</v>
      </c>
      <c r="K2226" s="5">
        <v>8980000</v>
      </c>
      <c r="L2226" s="5">
        <v>9280000</v>
      </c>
      <c r="M2226" s="7">
        <v>2698.4</v>
      </c>
      <c r="N2226" s="5">
        <v>90300000</v>
      </c>
      <c r="O2226" s="5">
        <v>93300000</v>
      </c>
      <c r="P2226" s="3">
        <v>0.97916666666666663</v>
      </c>
    </row>
    <row r="2227" spans="1:16" x14ac:dyDescent="0.25">
      <c r="A2227" s="2">
        <v>45515</v>
      </c>
      <c r="B2227" s="2">
        <v>45604</v>
      </c>
      <c r="C2227" t="str">
        <f>+"Tuáº§n "&amp;WEEKNUM(B2227)</f>
        <v>Tuáº§n 45</v>
      </c>
      <c r="D2227" t="s">
        <v>21</v>
      </c>
      <c r="E2227" t="s">
        <v>17</v>
      </c>
      <c r="F2227" s="5">
        <v>89500000</v>
      </c>
      <c r="G2227" s="5">
        <v>92500000</v>
      </c>
      <c r="H2227" s="5">
        <f>+(M2227*26000)/0.829426</f>
        <v>84245007.993479833</v>
      </c>
      <c r="I2227" s="5">
        <f>+G2227-H2227</f>
        <v>8254992.006520167</v>
      </c>
      <c r="J2227" s="5">
        <v>3000000</v>
      </c>
      <c r="K2227" s="5">
        <v>8950000</v>
      </c>
      <c r="L2227" s="5">
        <v>9250000</v>
      </c>
      <c r="M2227" s="7">
        <v>2687.5</v>
      </c>
      <c r="N2227" s="5">
        <v>90000000</v>
      </c>
      <c r="O2227" s="5">
        <v>93000000</v>
      </c>
      <c r="P2227" s="3">
        <v>0.97916666666666663</v>
      </c>
    </row>
    <row r="2228" spans="1:16" x14ac:dyDescent="0.25">
      <c r="A2228" s="2">
        <v>45607</v>
      </c>
      <c r="B2228" s="2">
        <v>45607</v>
      </c>
      <c r="C2228" t="str">
        <f>+"Tuáº§n "&amp;WEEKNUM(B2228)</f>
        <v>Tuáº§n 46</v>
      </c>
      <c r="D2228" t="s">
        <v>16</v>
      </c>
      <c r="E2228" t="s">
        <v>17</v>
      </c>
      <c r="F2228" s="5">
        <v>86800000</v>
      </c>
      <c r="G2228" s="5">
        <v>89800000</v>
      </c>
      <c r="H2228" s="5">
        <f>+(M2228*26000)/0.829426</f>
        <v>81853233.440957963</v>
      </c>
      <c r="I2228" s="5">
        <f>+G2228-H2228</f>
        <v>7946766.5590420365</v>
      </c>
      <c r="J2228" s="5">
        <v>3000000</v>
      </c>
      <c r="K2228" s="5">
        <v>8680000</v>
      </c>
      <c r="L2228" s="5">
        <v>8980000</v>
      </c>
      <c r="M2228" s="7">
        <v>2611.1999999999998</v>
      </c>
      <c r="N2228" s="5">
        <v>87300000</v>
      </c>
      <c r="O2228" s="5">
        <v>90300000</v>
      </c>
      <c r="P2228" s="3">
        <v>0.97916666666666663</v>
      </c>
    </row>
    <row r="2229" spans="1:16" x14ac:dyDescent="0.25">
      <c r="A2229" s="2">
        <v>45637</v>
      </c>
      <c r="B2229" s="2">
        <v>45608</v>
      </c>
      <c r="C2229" t="str">
        <f>+"Tuáº§n "&amp;WEEKNUM(B2229)</f>
        <v>Tuáº§n 46</v>
      </c>
      <c r="D2229" t="s">
        <v>18</v>
      </c>
      <c r="E2229" t="s">
        <v>17</v>
      </c>
      <c r="F2229" s="5">
        <v>86500000</v>
      </c>
      <c r="G2229" s="5">
        <v>89500000</v>
      </c>
      <c r="H2229" s="5">
        <f>+(M2229*26000)/0.829426</f>
        <v>81502147.268110722</v>
      </c>
      <c r="I2229" s="5">
        <f>+G2229-H2229</f>
        <v>7997852.7318892777</v>
      </c>
      <c r="J2229" s="5">
        <v>3000000</v>
      </c>
      <c r="K2229" s="5">
        <v>8650000</v>
      </c>
      <c r="L2229" s="5">
        <v>8950000</v>
      </c>
      <c r="M2229" s="7">
        <v>2600</v>
      </c>
      <c r="N2229" s="5">
        <v>87000000</v>
      </c>
      <c r="O2229" s="5">
        <v>90000000</v>
      </c>
      <c r="P2229" s="3">
        <v>0.97916666666666663</v>
      </c>
    </row>
    <row r="2230" spans="1:16" x14ac:dyDescent="0.25">
      <c r="A2230" t="s">
        <v>1366</v>
      </c>
      <c r="B2230" s="2">
        <v>45609</v>
      </c>
      <c r="C2230" t="str">
        <f>+"Tuáº§n "&amp;WEEKNUM(B2230)</f>
        <v>Tuáº§n 46</v>
      </c>
      <c r="D2230" t="s">
        <v>19</v>
      </c>
      <c r="E2230" t="s">
        <v>17</v>
      </c>
      <c r="F2230" s="5">
        <v>85800000</v>
      </c>
      <c r="G2230" s="5">
        <v>88800000</v>
      </c>
      <c r="H2230" s="5">
        <f>+(M2230*26000)/0.829426</f>
        <v>80900285.257515445</v>
      </c>
      <c r="I2230" s="5">
        <f>+G2230-H2230</f>
        <v>7899714.7424845546</v>
      </c>
      <c r="J2230" s="5">
        <v>3000000</v>
      </c>
      <c r="K2230" s="5">
        <v>8580000</v>
      </c>
      <c r="L2230" s="5">
        <v>8880000</v>
      </c>
      <c r="M2230" s="7">
        <v>2580.8000000000002</v>
      </c>
      <c r="N2230" s="5">
        <v>86300000</v>
      </c>
      <c r="O2230" s="5">
        <v>89300000</v>
      </c>
      <c r="P2230" s="3">
        <v>0.97916666666666663</v>
      </c>
    </row>
    <row r="2231" spans="1:16" x14ac:dyDescent="0.25">
      <c r="A2231" t="s">
        <v>1367</v>
      </c>
      <c r="B2231" s="2">
        <v>45610</v>
      </c>
      <c r="C2231" t="str">
        <f>+"Tuáº§n "&amp;WEEKNUM(B2231)</f>
        <v>Tuáº§n 46</v>
      </c>
      <c r="D2231" t="s">
        <v>20</v>
      </c>
      <c r="E2231" t="s">
        <v>17</v>
      </c>
      <c r="F2231" s="5">
        <v>85400000</v>
      </c>
      <c r="G2231" s="5">
        <v>88400000</v>
      </c>
      <c r="H2231" s="5">
        <f>+(M2231*26000)/0.829426</f>
        <v>80505313.31306228</v>
      </c>
      <c r="I2231" s="5">
        <f>+G2231-H2231</f>
        <v>7894686.6869377196</v>
      </c>
      <c r="J2231" s="5">
        <v>3000000</v>
      </c>
      <c r="K2231" s="5">
        <v>8540000</v>
      </c>
      <c r="L2231" s="5">
        <v>8840000</v>
      </c>
      <c r="M2231" s="7">
        <v>2568.1999999999998</v>
      </c>
      <c r="N2231" s="5">
        <v>85900000</v>
      </c>
      <c r="O2231" s="5">
        <v>88900000</v>
      </c>
      <c r="P2231" s="3">
        <v>0.97916666666666663</v>
      </c>
    </row>
    <row r="2232" spans="1:16" x14ac:dyDescent="0.25">
      <c r="A2232" t="s">
        <v>1368</v>
      </c>
      <c r="B2232" s="2">
        <v>45611</v>
      </c>
      <c r="C2232" t="str">
        <f>+"Tuáº§n "&amp;WEEKNUM(B2232)</f>
        <v>Tuáº§n 46</v>
      </c>
      <c r="D2232" t="s">
        <v>21</v>
      </c>
      <c r="E2232" t="s">
        <v>17</v>
      </c>
      <c r="F2232" s="5">
        <v>85300000</v>
      </c>
      <c r="G2232" s="5">
        <v>88300000</v>
      </c>
      <c r="H2232" s="5">
        <f>+(M2232*26000)/0.829426</f>
        <v>80426945.863766015</v>
      </c>
      <c r="I2232" s="5">
        <f>+G2232-H2232</f>
        <v>7873054.1362339854</v>
      </c>
      <c r="J2232" s="5">
        <v>3000000</v>
      </c>
      <c r="K2232" s="5">
        <v>8530000</v>
      </c>
      <c r="L2232" s="5">
        <v>8830000</v>
      </c>
      <c r="M2232" s="7">
        <v>2565.6999999999998</v>
      </c>
      <c r="N2232" s="5">
        <v>85800000</v>
      </c>
      <c r="O2232" s="5">
        <v>88800000</v>
      </c>
      <c r="P2232" s="3">
        <v>0.97916666666666663</v>
      </c>
    </row>
    <row r="2233" spans="1:16" x14ac:dyDescent="0.25">
      <c r="A2233" t="s">
        <v>1369</v>
      </c>
      <c r="B2233" s="2">
        <v>45614</v>
      </c>
      <c r="C2233" t="str">
        <f>+"Tuáº§n "&amp;WEEKNUM(B2233)</f>
        <v>Tuáº§n 47</v>
      </c>
      <c r="D2233" t="s">
        <v>16</v>
      </c>
      <c r="E2233" t="s">
        <v>17</v>
      </c>
      <c r="F2233" s="5">
        <v>86800000</v>
      </c>
      <c r="G2233" s="5">
        <v>89800000</v>
      </c>
      <c r="H2233" s="5">
        <f>+(M2233*26000)/0.829426</f>
        <v>81834425.25312686</v>
      </c>
      <c r="I2233" s="5">
        <f>+G2233-H2233</f>
        <v>7965574.7468731403</v>
      </c>
      <c r="J2233" s="5">
        <v>3000000</v>
      </c>
      <c r="K2233" s="5">
        <v>8680000</v>
      </c>
      <c r="L2233" s="5">
        <v>8980000</v>
      </c>
      <c r="M2233" s="7">
        <v>2610.6</v>
      </c>
      <c r="N2233" s="5">
        <v>87300000</v>
      </c>
      <c r="O2233" s="5">
        <v>90300000</v>
      </c>
      <c r="P2233" s="3">
        <v>0.97916666666666663</v>
      </c>
    </row>
    <row r="2234" spans="1:16" x14ac:dyDescent="0.25">
      <c r="A2234" t="s">
        <v>1370</v>
      </c>
      <c r="B2234" s="2">
        <v>45615</v>
      </c>
      <c r="C2234" t="str">
        <f>+"Tuáº§n "&amp;WEEKNUM(B2234)</f>
        <v>Tuáº§n 47</v>
      </c>
      <c r="D2234" t="s">
        <v>18</v>
      </c>
      <c r="E2234" t="s">
        <v>17</v>
      </c>
      <c r="F2234" s="5">
        <v>87400000</v>
      </c>
      <c r="G2234" s="5">
        <v>90400000</v>
      </c>
      <c r="H2234" s="5">
        <f>+(M2234*26000)/0.829426</f>
        <v>82351650.418482184</v>
      </c>
      <c r="I2234" s="5">
        <f>+G2234-H2234</f>
        <v>8048349.5815178156</v>
      </c>
      <c r="J2234" s="5">
        <v>3000000</v>
      </c>
      <c r="K2234" s="5">
        <v>8740000</v>
      </c>
      <c r="L2234" s="5">
        <v>9040000</v>
      </c>
      <c r="M2234" s="7">
        <v>2627.1</v>
      </c>
      <c r="N2234" s="5">
        <v>87900000</v>
      </c>
      <c r="O2234" s="5">
        <v>90900000</v>
      </c>
      <c r="P2234" s="3">
        <v>0.97916666666666663</v>
      </c>
    </row>
    <row r="2235" spans="1:16" x14ac:dyDescent="0.25">
      <c r="A2235" t="s">
        <v>1371</v>
      </c>
      <c r="B2235" s="2">
        <v>45616</v>
      </c>
      <c r="C2235" t="str">
        <f>+"Tuáº§n "&amp;WEEKNUM(B2235)</f>
        <v>Tuáº§n 47</v>
      </c>
      <c r="D2235" t="s">
        <v>19</v>
      </c>
      <c r="E2235" t="s">
        <v>17</v>
      </c>
      <c r="F2235" s="5">
        <v>88100000</v>
      </c>
      <c r="G2235" s="5">
        <v>91100000</v>
      </c>
      <c r="H2235" s="5">
        <f>+(M2235*26000)/0.829426</f>
        <v>83013071.690542623</v>
      </c>
      <c r="I2235" s="5">
        <f>+G2235-H2235</f>
        <v>8086928.3094573766</v>
      </c>
      <c r="J2235" s="5">
        <v>3000000</v>
      </c>
      <c r="K2235" s="5">
        <v>8810000</v>
      </c>
      <c r="L2235" s="5">
        <v>9110000</v>
      </c>
      <c r="M2235" s="7">
        <v>2648.2</v>
      </c>
      <c r="N2235" s="5">
        <v>88600000</v>
      </c>
      <c r="O2235" s="5">
        <v>91600000</v>
      </c>
      <c r="P2235" s="3">
        <v>0.97916666666666663</v>
      </c>
    </row>
    <row r="2236" spans="1:16" x14ac:dyDescent="0.25">
      <c r="A2236" t="s">
        <v>1372</v>
      </c>
      <c r="B2236" s="2">
        <v>45617</v>
      </c>
      <c r="C2236" t="str">
        <f>+"Tuáº§n "&amp;WEEKNUM(B2236)</f>
        <v>Tuáº§n 47</v>
      </c>
      <c r="D2236" t="s">
        <v>20</v>
      </c>
      <c r="E2236" t="s">
        <v>17</v>
      </c>
      <c r="F2236" s="5">
        <v>88900000</v>
      </c>
      <c r="G2236" s="5">
        <v>91900000</v>
      </c>
      <c r="H2236" s="5">
        <f>+(M2236*26000)/0.829426</f>
        <v>83762264.505814865</v>
      </c>
      <c r="I2236" s="5">
        <f>+G2236-H2236</f>
        <v>8137735.4941851348</v>
      </c>
      <c r="J2236" s="5">
        <v>3000000</v>
      </c>
      <c r="K2236" s="5">
        <v>8890000</v>
      </c>
      <c r="L2236" s="5">
        <v>9190000</v>
      </c>
      <c r="M2236" s="7">
        <v>2672.1</v>
      </c>
      <c r="N2236" s="5">
        <v>89400000</v>
      </c>
      <c r="O2236" s="5">
        <v>92400000</v>
      </c>
      <c r="P2236" s="3">
        <v>0.97916666666666663</v>
      </c>
    </row>
    <row r="2237" spans="1:16" x14ac:dyDescent="0.25">
      <c r="A2237" t="s">
        <v>1373</v>
      </c>
      <c r="B2237" s="2">
        <v>45618</v>
      </c>
      <c r="C2237" t="str">
        <f>+"Tuáº§n "&amp;WEEKNUM(B2237)</f>
        <v>Tuáº§n 47</v>
      </c>
      <c r="D2237" t="s">
        <v>21</v>
      </c>
      <c r="E2237" t="s">
        <v>17</v>
      </c>
      <c r="F2237" s="5">
        <v>90200000</v>
      </c>
      <c r="G2237" s="5">
        <v>93200000</v>
      </c>
      <c r="H2237" s="5">
        <f>+(M2237*26000)/0.829426</f>
        <v>84947180.339174315</v>
      </c>
      <c r="I2237" s="5">
        <f>+G2237-H2237</f>
        <v>8252819.6608256847</v>
      </c>
      <c r="J2237" s="5">
        <v>3000000</v>
      </c>
      <c r="K2237" s="5">
        <v>9020000</v>
      </c>
      <c r="L2237" s="5">
        <v>9320000</v>
      </c>
      <c r="M2237" s="7">
        <v>2709.9</v>
      </c>
      <c r="N2237" s="5">
        <v>90700000</v>
      </c>
      <c r="O2237" s="5">
        <v>93700000</v>
      </c>
      <c r="P2237" s="3">
        <v>0.97916666666666663</v>
      </c>
    </row>
    <row r="2238" spans="1:16" x14ac:dyDescent="0.25">
      <c r="A2238" t="s">
        <v>1374</v>
      </c>
      <c r="B2238" s="2">
        <v>45621</v>
      </c>
      <c r="C2238" t="str">
        <f>+"Tuáº§n "&amp;WEEKNUM(B2238)</f>
        <v>Tuáº§n 48</v>
      </c>
      <c r="D2238" t="s">
        <v>16</v>
      </c>
      <c r="E2238" t="s">
        <v>17</v>
      </c>
      <c r="F2238" s="5">
        <v>87000000</v>
      </c>
      <c r="G2238" s="5">
        <v>90000000</v>
      </c>
      <c r="H2238" s="5">
        <f>+(M2238*26000)/0.829426</f>
        <v>82028776.527381584</v>
      </c>
      <c r="I2238" s="5">
        <f>+G2238-H2238</f>
        <v>7971223.472618416</v>
      </c>
      <c r="J2238" s="5">
        <v>3000000</v>
      </c>
      <c r="K2238" s="5">
        <v>8700000</v>
      </c>
      <c r="L2238" s="5">
        <v>9000000</v>
      </c>
      <c r="M2238" s="7">
        <v>2616.8000000000002</v>
      </c>
      <c r="N2238" s="5">
        <v>87500000</v>
      </c>
      <c r="O2238" s="5">
        <v>90500000</v>
      </c>
      <c r="P2238" s="3">
        <v>0.97916666666666663</v>
      </c>
    </row>
    <row r="2239" spans="1:16" x14ac:dyDescent="0.25">
      <c r="A2239" t="s">
        <v>1375</v>
      </c>
      <c r="B2239" s="2">
        <v>45622</v>
      </c>
      <c r="C2239" t="str">
        <f>+"Tuáº§n "&amp;WEEKNUM(B2239)</f>
        <v>Tuáº§n 48</v>
      </c>
      <c r="D2239" t="s">
        <v>18</v>
      </c>
      <c r="E2239" t="s">
        <v>17</v>
      </c>
      <c r="F2239" s="5">
        <v>87200000</v>
      </c>
      <c r="G2239" s="5">
        <v>90200000</v>
      </c>
      <c r="H2239" s="5">
        <f>+(M2239*26000)/0.829426</f>
        <v>82138490.956396356</v>
      </c>
      <c r="I2239" s="5">
        <f>+G2239-H2239</f>
        <v>8061509.0436036438</v>
      </c>
      <c r="J2239" s="5">
        <v>3000000</v>
      </c>
      <c r="K2239" s="5">
        <v>8720000</v>
      </c>
      <c r="L2239" s="5">
        <v>9020000</v>
      </c>
      <c r="M2239" s="7">
        <v>2620.3000000000002</v>
      </c>
      <c r="N2239" s="5">
        <v>87700000</v>
      </c>
      <c r="O2239" s="5">
        <v>90700000</v>
      </c>
      <c r="P2239" s="3">
        <v>0.97916666666666663</v>
      </c>
    </row>
    <row r="2240" spans="1:16" x14ac:dyDescent="0.25">
      <c r="A2240" t="s">
        <v>1376</v>
      </c>
      <c r="B2240" s="2">
        <v>45623</v>
      </c>
      <c r="C2240" t="str">
        <f>+"Tuáº§n "&amp;WEEKNUM(B2240)</f>
        <v>Tuáº§n 48</v>
      </c>
      <c r="D2240" t="s">
        <v>19</v>
      </c>
      <c r="E2240" t="s">
        <v>17</v>
      </c>
      <c r="F2240" s="5">
        <v>87800000</v>
      </c>
      <c r="G2240" s="5">
        <v>90800000</v>
      </c>
      <c r="H2240" s="5">
        <f>+(M2240*26000)/0.829426</f>
        <v>82752891.758879036</v>
      </c>
      <c r="I2240" s="5">
        <f>+G2240-H2240</f>
        <v>8047108.2411209643</v>
      </c>
      <c r="J2240" s="5">
        <v>3000000</v>
      </c>
      <c r="K2240" s="5">
        <v>8780000</v>
      </c>
      <c r="L2240" s="5">
        <v>9080000</v>
      </c>
      <c r="M2240" s="7">
        <v>2639.9</v>
      </c>
      <c r="N2240" s="5">
        <v>88300000</v>
      </c>
      <c r="O2240" s="5">
        <v>91300000</v>
      </c>
      <c r="P2240" s="3">
        <v>0.97916666666666663</v>
      </c>
    </row>
    <row r="2241" spans="1:16" x14ac:dyDescent="0.25">
      <c r="A2241" t="s">
        <v>1377</v>
      </c>
      <c r="B2241" s="2">
        <v>45625</v>
      </c>
      <c r="C2241" t="str">
        <f>+"Tuáº§n "&amp;WEEKNUM(B2241)</f>
        <v>Tuáº§n 48</v>
      </c>
      <c r="D2241" t="s">
        <v>21</v>
      </c>
      <c r="E2241" t="s">
        <v>17</v>
      </c>
      <c r="F2241" s="5">
        <v>88400000</v>
      </c>
      <c r="G2241" s="5">
        <v>91400000</v>
      </c>
      <c r="H2241" s="5">
        <f>+(M2241*26000)/0.829426</f>
        <v>83288925.112065449</v>
      </c>
      <c r="I2241" s="5">
        <f>+G2241-H2241</f>
        <v>8111074.8879345506</v>
      </c>
      <c r="J2241" s="5">
        <v>3000000</v>
      </c>
      <c r="K2241" s="5">
        <v>8840000</v>
      </c>
      <c r="L2241" s="5">
        <v>9140000</v>
      </c>
      <c r="M2241" s="7">
        <v>2657</v>
      </c>
      <c r="N2241" s="5">
        <v>88900000</v>
      </c>
      <c r="O2241" s="5">
        <v>91900000</v>
      </c>
      <c r="P2241" s="3">
        <v>0.97916666666666663</v>
      </c>
    </row>
    <row r="2242" spans="1:16" x14ac:dyDescent="0.25">
      <c r="A2242" s="2">
        <v>45334</v>
      </c>
      <c r="B2242" s="2">
        <v>45628</v>
      </c>
      <c r="C2242" t="str">
        <f>+"Tuáº§n "&amp;WEEKNUM(B2242)</f>
        <v>Tuáº§n 49</v>
      </c>
      <c r="D2242" t="s">
        <v>16</v>
      </c>
      <c r="E2242" t="s">
        <v>17</v>
      </c>
      <c r="F2242" s="5">
        <v>87700000</v>
      </c>
      <c r="G2242" s="5">
        <v>90700000</v>
      </c>
      <c r="H2242" s="5">
        <f>+(M2242*26000)/0.829426</f>
        <v>82596156.860286519</v>
      </c>
      <c r="I2242" s="5">
        <f>+G2242-H2242</f>
        <v>8103843.1397134811</v>
      </c>
      <c r="J2242" s="5">
        <v>3000000</v>
      </c>
      <c r="K2242" s="5">
        <v>8770000</v>
      </c>
      <c r="L2242" s="5">
        <v>9070000</v>
      </c>
      <c r="M2242" s="7">
        <v>2634.9</v>
      </c>
      <c r="N2242" s="5">
        <v>88200000</v>
      </c>
      <c r="O2242" s="5">
        <v>91200000</v>
      </c>
      <c r="P2242" s="3">
        <v>0.97916666666666663</v>
      </c>
    </row>
    <row r="2243" spans="1:16" x14ac:dyDescent="0.25">
      <c r="A2243" s="2">
        <v>45363</v>
      </c>
      <c r="B2243" s="2">
        <v>45629</v>
      </c>
      <c r="C2243" t="str">
        <f>+"Tuáº§n "&amp;WEEKNUM(B2243)</f>
        <v>Tuáº§n 49</v>
      </c>
      <c r="D2243" t="s">
        <v>18</v>
      </c>
      <c r="E2243" t="s">
        <v>17</v>
      </c>
      <c r="F2243" s="5">
        <v>88000000</v>
      </c>
      <c r="G2243" s="5">
        <v>91000000</v>
      </c>
      <c r="H2243" s="5">
        <f>+(M2243*26000)/0.829426</f>
        <v>82903357.261527851</v>
      </c>
      <c r="I2243" s="5">
        <f>+G2243-H2243</f>
        <v>8096642.7384721488</v>
      </c>
      <c r="J2243" s="5">
        <v>3000000</v>
      </c>
      <c r="K2243" s="5">
        <v>8800000</v>
      </c>
      <c r="L2243" s="5">
        <v>9100000</v>
      </c>
      <c r="M2243" s="7">
        <v>2644.7</v>
      </c>
      <c r="N2243" s="5">
        <v>88500000</v>
      </c>
      <c r="O2243" s="5">
        <v>91500000</v>
      </c>
      <c r="P2243" s="3">
        <v>0.97916666666666663</v>
      </c>
    </row>
    <row r="2244" spans="1:16" x14ac:dyDescent="0.25">
      <c r="A2244" s="2">
        <v>45394</v>
      </c>
      <c r="B2244" s="2">
        <v>45630</v>
      </c>
      <c r="C2244" t="str">
        <f>+"Tuáº§n "&amp;WEEKNUM(B2244)</f>
        <v>Tuáº§n 49</v>
      </c>
      <c r="D2244" t="s">
        <v>19</v>
      </c>
      <c r="E2244" t="s">
        <v>17</v>
      </c>
      <c r="F2244" s="5">
        <v>88300000</v>
      </c>
      <c r="G2244" s="5">
        <v>91300000</v>
      </c>
      <c r="H2244" s="5">
        <f>+(M2244*26000)/0.829426</f>
        <v>83188614.776966244</v>
      </c>
      <c r="I2244" s="5">
        <f>+G2244-H2244</f>
        <v>8111385.223033756</v>
      </c>
      <c r="J2244" s="5">
        <v>3000000</v>
      </c>
      <c r="K2244" s="5">
        <v>8830000</v>
      </c>
      <c r="L2244" s="5">
        <v>9130000</v>
      </c>
      <c r="M2244" s="7">
        <v>2653.8</v>
      </c>
      <c r="N2244" s="5">
        <v>88800000</v>
      </c>
      <c r="O2244" s="5">
        <v>91800000</v>
      </c>
      <c r="P2244" s="3">
        <v>0.97916666666666663</v>
      </c>
    </row>
    <row r="2245" spans="1:16" x14ac:dyDescent="0.25">
      <c r="A2245" s="2">
        <v>45424</v>
      </c>
      <c r="B2245" s="2">
        <v>45631</v>
      </c>
      <c r="C2245" t="str">
        <f>+"Tuáº§n "&amp;WEEKNUM(B2245)</f>
        <v>Tuáº§n 49</v>
      </c>
      <c r="D2245" t="s">
        <v>20</v>
      </c>
      <c r="E2245" t="s">
        <v>17</v>
      </c>
      <c r="F2245" s="5">
        <v>87400000</v>
      </c>
      <c r="G2245" s="5">
        <v>90400000</v>
      </c>
      <c r="H2245" s="5">
        <f>+(M2245*26000)/0.829426</f>
        <v>82335976.928622931</v>
      </c>
      <c r="I2245" s="5">
        <f>+G2245-H2245</f>
        <v>8064023.0713770688</v>
      </c>
      <c r="J2245" s="5">
        <v>3000000</v>
      </c>
      <c r="K2245" s="5">
        <v>8740000</v>
      </c>
      <c r="L2245" s="5">
        <v>9040000</v>
      </c>
      <c r="M2245" s="7">
        <v>2626.6</v>
      </c>
      <c r="N2245" s="5">
        <v>87900000</v>
      </c>
      <c r="O2245" s="5">
        <v>90900000</v>
      </c>
      <c r="P2245" s="3">
        <v>0.97916666666666663</v>
      </c>
    </row>
    <row r="2246" spans="1:16" x14ac:dyDescent="0.25">
      <c r="A2246" s="2">
        <v>45455</v>
      </c>
      <c r="B2246" s="2">
        <v>45632</v>
      </c>
      <c r="C2246" t="str">
        <f>+"Tuáº§n "&amp;WEEKNUM(B2246)</f>
        <v>Tuáº§n 49</v>
      </c>
      <c r="D2246" t="s">
        <v>21</v>
      </c>
      <c r="E2246" t="s">
        <v>17</v>
      </c>
      <c r="F2246" s="5">
        <v>87800000</v>
      </c>
      <c r="G2246" s="5">
        <v>90800000</v>
      </c>
      <c r="H2246" s="5">
        <f>+(M2246*26000)/0.829426</f>
        <v>82712140.685244977</v>
      </c>
      <c r="I2246" s="5">
        <f>+G2246-H2246</f>
        <v>8087859.3147550225</v>
      </c>
      <c r="J2246" s="5">
        <v>3000000</v>
      </c>
      <c r="K2246" s="5">
        <v>8780000</v>
      </c>
      <c r="L2246" s="5">
        <v>9080000</v>
      </c>
      <c r="M2246" s="7">
        <v>2638.6</v>
      </c>
      <c r="N2246" s="5">
        <v>88300000</v>
      </c>
      <c r="O2246" s="5">
        <v>91300000</v>
      </c>
      <c r="P2246" s="3">
        <v>0.97916666666666663</v>
      </c>
    </row>
    <row r="2247" spans="1:16" x14ac:dyDescent="0.25">
      <c r="A2247" s="2">
        <v>45547</v>
      </c>
      <c r="B2247" s="2">
        <v>45635</v>
      </c>
      <c r="C2247" t="str">
        <f>+"Tuáº§n "&amp;WEEKNUM(B2247)</f>
        <v>Tuáº§n 50</v>
      </c>
      <c r="D2247" t="s">
        <v>16</v>
      </c>
      <c r="E2247" t="s">
        <v>17</v>
      </c>
      <c r="F2247" s="5">
        <v>88700000</v>
      </c>
      <c r="G2247" s="5">
        <v>91700000</v>
      </c>
      <c r="H2247" s="5">
        <f>+(M2247*26000)/0.829426</f>
        <v>83536566.251841635</v>
      </c>
      <c r="I2247" s="5">
        <f>+G2247-H2247</f>
        <v>8163433.7481583655</v>
      </c>
      <c r="J2247" s="5">
        <v>3000000</v>
      </c>
      <c r="K2247" s="5">
        <v>8870000</v>
      </c>
      <c r="L2247" s="5">
        <v>9170000</v>
      </c>
      <c r="M2247" s="7">
        <v>2664.9</v>
      </c>
      <c r="N2247" s="5">
        <v>89200000</v>
      </c>
      <c r="O2247" s="5">
        <v>92200000</v>
      </c>
      <c r="P2247" s="3">
        <v>0.97916666666666663</v>
      </c>
    </row>
    <row r="2248" spans="1:16" x14ac:dyDescent="0.25">
      <c r="A2248" s="2">
        <v>45577</v>
      </c>
      <c r="B2248" s="2">
        <v>45636</v>
      </c>
      <c r="C2248" t="str">
        <f>+"Tuáº§n "&amp;WEEKNUM(B2248)</f>
        <v>Tuáº§n 50</v>
      </c>
      <c r="D2248" t="s">
        <v>18</v>
      </c>
      <c r="E2248" t="s">
        <v>17</v>
      </c>
      <c r="F2248" s="5">
        <v>89800000</v>
      </c>
      <c r="G2248" s="5">
        <v>92800000</v>
      </c>
      <c r="H2248" s="5">
        <f>+(M2248*26000)/0.829426</f>
        <v>84561612.488636717</v>
      </c>
      <c r="I2248" s="5">
        <f>+G2248-H2248</f>
        <v>8238387.5113632828</v>
      </c>
      <c r="J2248" s="5">
        <v>3000000</v>
      </c>
      <c r="K2248" s="5">
        <v>8980000</v>
      </c>
      <c r="L2248" s="5">
        <v>9280000</v>
      </c>
      <c r="M2248" s="7">
        <v>2697.6</v>
      </c>
      <c r="N2248" s="5">
        <v>90300000</v>
      </c>
      <c r="O2248" s="5">
        <v>93300000</v>
      </c>
      <c r="P2248" s="3">
        <v>0.97916666666666663</v>
      </c>
    </row>
    <row r="2249" spans="1:16" x14ac:dyDescent="0.25">
      <c r="A2249" s="2">
        <v>45608</v>
      </c>
      <c r="B2249" s="2">
        <v>45637</v>
      </c>
      <c r="C2249" t="str">
        <f>+"Tuáº§n "&amp;WEEKNUM(B2249)</f>
        <v>Tuáº§n 50</v>
      </c>
      <c r="D2249" t="s">
        <v>19</v>
      </c>
      <c r="E2249" t="s">
        <v>17</v>
      </c>
      <c r="F2249" s="5">
        <v>91100000</v>
      </c>
      <c r="G2249" s="5">
        <v>94100000</v>
      </c>
      <c r="H2249" s="5">
        <f>+(M2249*26000)/0.829426</f>
        <v>85696373.154446572</v>
      </c>
      <c r="I2249" s="5">
        <f>+G2249-H2249</f>
        <v>8403626.8455534279</v>
      </c>
      <c r="J2249" s="5">
        <v>3000000</v>
      </c>
      <c r="K2249" s="5">
        <v>9110000</v>
      </c>
      <c r="L2249" s="5">
        <v>9410000</v>
      </c>
      <c r="M2249" s="7">
        <v>2733.8</v>
      </c>
      <c r="N2249" s="5">
        <v>91600000</v>
      </c>
      <c r="O2249" s="5">
        <v>94600000</v>
      </c>
      <c r="P2249" s="3">
        <v>0.97916666666666663</v>
      </c>
    </row>
    <row r="2250" spans="1:16" x14ac:dyDescent="0.25">
      <c r="A2250" s="2">
        <v>45638</v>
      </c>
      <c r="B2250" s="2">
        <v>45638</v>
      </c>
      <c r="C2250" t="str">
        <f>+"Tuáº§n "&amp;WEEKNUM(B2250)</f>
        <v>Tuáº§n 50</v>
      </c>
      <c r="D2250" t="s">
        <v>20</v>
      </c>
      <c r="E2250" t="s">
        <v>17</v>
      </c>
      <c r="F2250" s="5">
        <v>89500000</v>
      </c>
      <c r="G2250" s="5">
        <v>92500000</v>
      </c>
      <c r="H2250" s="5">
        <f>+(M2250*26000)/0.829426</f>
        <v>84245007.993479833</v>
      </c>
      <c r="I2250" s="5">
        <f>+G2250-H2250</f>
        <v>8254992.006520167</v>
      </c>
      <c r="J2250" s="5">
        <v>3000000</v>
      </c>
      <c r="K2250" s="5">
        <v>8950000</v>
      </c>
      <c r="L2250" s="5">
        <v>9250000</v>
      </c>
      <c r="M2250" s="7">
        <v>2687.5</v>
      </c>
      <c r="N2250" s="5">
        <v>90000000</v>
      </c>
      <c r="O2250" s="5">
        <v>93000000</v>
      </c>
      <c r="P2250" s="3">
        <v>0.97916666666666663</v>
      </c>
    </row>
    <row r="2251" spans="1:16" x14ac:dyDescent="0.25">
      <c r="A2251" t="s">
        <v>1378</v>
      </c>
      <c r="B2251" s="2">
        <v>45639</v>
      </c>
      <c r="C2251" t="str">
        <f>+"Tuáº§n "&amp;WEEKNUM(B2251)</f>
        <v>Tuáº§n 50</v>
      </c>
      <c r="D2251" t="s">
        <v>21</v>
      </c>
      <c r="E2251" t="s">
        <v>17</v>
      </c>
      <c r="F2251" s="5">
        <v>88400000</v>
      </c>
      <c r="G2251" s="5">
        <v>91400000</v>
      </c>
      <c r="H2251" s="5">
        <f>+(M2251*26000)/0.829426</f>
        <v>83257578.132346943</v>
      </c>
      <c r="I2251" s="5">
        <f>+G2251-H2251</f>
        <v>8142421.867653057</v>
      </c>
      <c r="J2251" s="5">
        <v>3000000</v>
      </c>
      <c r="K2251" s="5">
        <v>8840000</v>
      </c>
      <c r="L2251" s="5">
        <v>9140000</v>
      </c>
      <c r="M2251" s="7">
        <v>2656</v>
      </c>
      <c r="N2251" s="5">
        <v>88900000</v>
      </c>
      <c r="O2251" s="5">
        <v>91900000</v>
      </c>
      <c r="P2251" s="3">
        <v>0.97916666666666663</v>
      </c>
    </row>
    <row r="2252" spans="1:16" x14ac:dyDescent="0.25">
      <c r="A2252" t="s">
        <v>1379</v>
      </c>
      <c r="B2252" s="2">
        <v>45642</v>
      </c>
      <c r="C2252" t="str">
        <f>+"Tuáº§n "&amp;WEEKNUM(B2252)</f>
        <v>Tuáº§n 51</v>
      </c>
      <c r="D2252" t="s">
        <v>16</v>
      </c>
      <c r="E2252" t="s">
        <v>17</v>
      </c>
      <c r="F2252" s="5">
        <v>88200000</v>
      </c>
      <c r="G2252" s="5">
        <v>91200000</v>
      </c>
      <c r="H2252" s="5">
        <f>+(M2252*26000)/0.829426</f>
        <v>83113382.025641829</v>
      </c>
      <c r="I2252" s="5">
        <f>+G2252-H2252</f>
        <v>8086617.9743581712</v>
      </c>
      <c r="J2252" s="5">
        <v>3000000</v>
      </c>
      <c r="K2252" s="5">
        <v>8820000</v>
      </c>
      <c r="L2252" s="5">
        <v>9120000</v>
      </c>
      <c r="M2252" s="7">
        <v>2651.4</v>
      </c>
      <c r="N2252" s="5">
        <v>88700000</v>
      </c>
      <c r="O2252" s="5">
        <v>91700000</v>
      </c>
      <c r="P2252" s="3">
        <v>0.97916666666666663</v>
      </c>
    </row>
    <row r="2253" spans="1:16" x14ac:dyDescent="0.25">
      <c r="A2253" t="s">
        <v>1380</v>
      </c>
      <c r="B2253" s="2">
        <v>45643</v>
      </c>
      <c r="C2253" t="str">
        <f>+"Tuáº§n "&amp;WEEKNUM(B2253)</f>
        <v>Tuáº§n 51</v>
      </c>
      <c r="D2253" t="s">
        <v>18</v>
      </c>
      <c r="E2253" t="s">
        <v>17</v>
      </c>
      <c r="F2253" s="5">
        <v>88000000</v>
      </c>
      <c r="G2253" s="5">
        <v>91000000</v>
      </c>
      <c r="H2253" s="5">
        <f>+(M2253*26000)/0.829426</f>
        <v>82893953.167612299</v>
      </c>
      <c r="I2253" s="5">
        <f>+G2253-H2253</f>
        <v>8106046.8323877007</v>
      </c>
      <c r="J2253" s="5">
        <v>3000000</v>
      </c>
      <c r="K2253" s="5">
        <v>8800000</v>
      </c>
      <c r="L2253" s="5">
        <v>9100000</v>
      </c>
      <c r="M2253" s="7">
        <v>2644.4</v>
      </c>
      <c r="N2253" s="5">
        <v>88500000</v>
      </c>
      <c r="O2253" s="5">
        <v>91500000</v>
      </c>
      <c r="P2253" s="3">
        <v>0.97916666666666663</v>
      </c>
    </row>
    <row r="2254" spans="1:16" x14ac:dyDescent="0.25">
      <c r="A2254" t="s">
        <v>1381</v>
      </c>
      <c r="B2254" s="2">
        <v>45644</v>
      </c>
      <c r="C2254" t="str">
        <f>+"Tuáº§n "&amp;WEEKNUM(B2254)</f>
        <v>Tuáº§n 51</v>
      </c>
      <c r="D2254" t="s">
        <v>19</v>
      </c>
      <c r="E2254" t="s">
        <v>17</v>
      </c>
      <c r="F2254" s="5">
        <v>87700000</v>
      </c>
      <c r="G2254" s="5">
        <v>90700000</v>
      </c>
      <c r="H2254" s="5">
        <f>+(M2254*26000)/0.829426</f>
        <v>82646312.027836114</v>
      </c>
      <c r="I2254" s="5">
        <f>+G2254-H2254</f>
        <v>8053687.9721638858</v>
      </c>
      <c r="J2254" s="5">
        <v>3000000</v>
      </c>
      <c r="K2254" s="5">
        <v>8770000</v>
      </c>
      <c r="L2254" s="5">
        <v>9070000</v>
      </c>
      <c r="M2254" s="7">
        <v>2636.5</v>
      </c>
      <c r="N2254" s="5">
        <v>88200000</v>
      </c>
      <c r="O2254" s="5">
        <v>91200000</v>
      </c>
      <c r="P2254" s="3">
        <v>0.97916666666666663</v>
      </c>
    </row>
    <row r="2255" spans="1:16" x14ac:dyDescent="0.25">
      <c r="A2255" t="s">
        <v>1382</v>
      </c>
      <c r="B2255" s="2">
        <v>45645</v>
      </c>
      <c r="C2255" t="str">
        <f>+"Tuáº§n "&amp;WEEKNUM(B2255)</f>
        <v>Tuáº§n 51</v>
      </c>
      <c r="D2255" t="s">
        <v>20</v>
      </c>
      <c r="E2255" t="s">
        <v>17</v>
      </c>
      <c r="F2255" s="5">
        <v>86200000</v>
      </c>
      <c r="G2255" s="5">
        <v>89200000</v>
      </c>
      <c r="H2255" s="5">
        <f>+(M2255*26000)/0.829426</f>
        <v>81257640.826306388</v>
      </c>
      <c r="I2255" s="5">
        <f>+G2255-H2255</f>
        <v>7942359.1736936122</v>
      </c>
      <c r="J2255" s="5">
        <v>3000000</v>
      </c>
      <c r="K2255" s="5">
        <v>8620000</v>
      </c>
      <c r="L2255" s="5">
        <v>8920000</v>
      </c>
      <c r="M2255" s="7">
        <v>2592.1999999999998</v>
      </c>
      <c r="N2255" s="5">
        <v>86700000</v>
      </c>
      <c r="O2255" s="5">
        <v>89700000</v>
      </c>
      <c r="P2255" s="3">
        <v>0.97916666666666663</v>
      </c>
    </row>
    <row r="2256" spans="1:16" x14ac:dyDescent="0.25">
      <c r="A2256" t="s">
        <v>1383</v>
      </c>
      <c r="B2256" s="2">
        <v>45646</v>
      </c>
      <c r="C2256" t="str">
        <f>+"Tuáº§n "&amp;WEEKNUM(B2256)</f>
        <v>Tuáº§n 51</v>
      </c>
      <c r="D2256" t="s">
        <v>21</v>
      </c>
      <c r="E2256" t="s">
        <v>17</v>
      </c>
      <c r="F2256" s="5">
        <v>87400000</v>
      </c>
      <c r="G2256" s="5">
        <v>90400000</v>
      </c>
      <c r="H2256" s="5">
        <f>+(M2256*26000)/0.829426</f>
        <v>82401805.58603178</v>
      </c>
      <c r="I2256" s="5">
        <f>+G2256-H2256</f>
        <v>7998194.4139682204</v>
      </c>
      <c r="J2256" s="5">
        <v>3000000</v>
      </c>
      <c r="K2256" s="5">
        <v>8740000</v>
      </c>
      <c r="L2256" s="5">
        <v>9040000</v>
      </c>
      <c r="M2256" s="7">
        <v>2628.7</v>
      </c>
      <c r="N2256" s="5">
        <v>87900000</v>
      </c>
      <c r="O2256" s="5">
        <v>90900000</v>
      </c>
      <c r="P2256" s="3">
        <v>0.97916666666666663</v>
      </c>
    </row>
    <row r="2257" spans="1:16" x14ac:dyDescent="0.25">
      <c r="A2257" t="s">
        <v>1384</v>
      </c>
      <c r="B2257" s="2">
        <v>45649</v>
      </c>
      <c r="C2257" t="str">
        <f>+"Tuáº§n "&amp;WEEKNUM(B2257)</f>
        <v>Tuáº§n 52</v>
      </c>
      <c r="D2257" t="s">
        <v>16</v>
      </c>
      <c r="E2257" t="s">
        <v>17</v>
      </c>
      <c r="F2257" s="5">
        <v>86900000</v>
      </c>
      <c r="G2257" s="5">
        <v>89900000</v>
      </c>
      <c r="H2257" s="5">
        <f>+(M2257*26000)/0.829426</f>
        <v>81887715.11864832</v>
      </c>
      <c r="I2257" s="5">
        <f>+G2257-H2257</f>
        <v>8012284.8813516796</v>
      </c>
      <c r="J2257" s="5">
        <v>3000000</v>
      </c>
      <c r="K2257" s="5">
        <v>8690000</v>
      </c>
      <c r="L2257" s="5">
        <v>8990000</v>
      </c>
      <c r="M2257" s="7">
        <v>2612.3000000000002</v>
      </c>
      <c r="N2257" s="5">
        <v>87400000</v>
      </c>
      <c r="O2257" s="5">
        <v>90400000</v>
      </c>
      <c r="P2257" s="3">
        <v>0.97916666666666663</v>
      </c>
    </row>
    <row r="2258" spans="1:16" x14ac:dyDescent="0.25">
      <c r="A2258" t="s">
        <v>1385</v>
      </c>
      <c r="B2258" s="2">
        <v>45650</v>
      </c>
      <c r="C2258" t="str">
        <f>+"Tuáº§n "&amp;WEEKNUM(B2258)</f>
        <v>Tuáº§n 52</v>
      </c>
      <c r="D2258" t="s">
        <v>18</v>
      </c>
      <c r="E2258" t="s">
        <v>17</v>
      </c>
      <c r="F2258" s="5">
        <v>87100000</v>
      </c>
      <c r="G2258" s="5">
        <v>90100000</v>
      </c>
      <c r="H2258" s="5">
        <f>+(M2258*26000)/0.829426</f>
        <v>82129086.862480804</v>
      </c>
      <c r="I2258" s="5">
        <f>+G2258-H2258</f>
        <v>7970913.1375191957</v>
      </c>
      <c r="J2258" s="5">
        <v>3000000</v>
      </c>
      <c r="K2258" s="5">
        <v>8710000</v>
      </c>
      <c r="L2258" s="5">
        <v>9010000</v>
      </c>
      <c r="M2258" s="7">
        <v>2620</v>
      </c>
      <c r="N2258" s="5">
        <v>87600000</v>
      </c>
      <c r="O2258" s="5">
        <v>90600000</v>
      </c>
      <c r="P2258" s="3">
        <v>0.97916666666666663</v>
      </c>
    </row>
    <row r="2259" spans="1:16" x14ac:dyDescent="0.25">
      <c r="A2259" t="s">
        <v>1386</v>
      </c>
      <c r="B2259" s="2">
        <v>45652</v>
      </c>
      <c r="C2259" t="str">
        <f>+"Tuáº§n "&amp;WEEKNUM(B2259)</f>
        <v>Tuáº§n 52</v>
      </c>
      <c r="D2259" t="s">
        <v>20</v>
      </c>
      <c r="E2259" t="s">
        <v>17</v>
      </c>
      <c r="F2259" s="5">
        <v>87800000</v>
      </c>
      <c r="G2259" s="5">
        <v>90800000</v>
      </c>
      <c r="H2259" s="5">
        <f>+(M2259*26000)/0.829426</f>
        <v>82718410.081188679</v>
      </c>
      <c r="I2259" s="5">
        <f>+G2259-H2259</f>
        <v>8081589.9188113213</v>
      </c>
      <c r="J2259" s="5">
        <v>3000000</v>
      </c>
      <c r="K2259" s="5">
        <v>8780000</v>
      </c>
      <c r="L2259" s="5">
        <v>9080000</v>
      </c>
      <c r="M2259" s="7">
        <v>2638.8</v>
      </c>
      <c r="N2259" s="5">
        <v>88300000</v>
      </c>
      <c r="O2259" s="5">
        <v>91300000</v>
      </c>
      <c r="P2259" s="3">
        <v>0.97916666666666663</v>
      </c>
    </row>
    <row r="2260" spans="1:16" x14ac:dyDescent="0.25">
      <c r="A2260" t="s">
        <v>1387</v>
      </c>
      <c r="B2260" s="2">
        <v>45653</v>
      </c>
      <c r="C2260" t="str">
        <f>+"Tuáº§n "&amp;WEEKNUM(B2260)</f>
        <v>Tuáº§n 52</v>
      </c>
      <c r="D2260" t="s">
        <v>21</v>
      </c>
      <c r="E2260" t="s">
        <v>17</v>
      </c>
      <c r="F2260" s="5">
        <v>87000000</v>
      </c>
      <c r="G2260" s="5">
        <v>90000000</v>
      </c>
      <c r="H2260" s="5">
        <f>+(M2260*26000)/0.829426</f>
        <v>82041315.319268987</v>
      </c>
      <c r="I2260" s="5">
        <f>+G2260-H2260</f>
        <v>7958684.6807310134</v>
      </c>
      <c r="J2260" s="5">
        <v>3000000</v>
      </c>
      <c r="K2260" s="5">
        <v>8700000</v>
      </c>
      <c r="L2260" s="5">
        <v>9000000</v>
      </c>
      <c r="M2260" s="7">
        <v>2617.1999999999998</v>
      </c>
      <c r="N2260" s="5">
        <v>87500000</v>
      </c>
      <c r="O2260" s="5">
        <v>90500000</v>
      </c>
      <c r="P2260" s="3">
        <v>0.97916666666666663</v>
      </c>
    </row>
    <row r="2261" spans="1:16" x14ac:dyDescent="0.25">
      <c r="A2261" t="s">
        <v>1388</v>
      </c>
      <c r="B2261" s="2">
        <v>45656</v>
      </c>
      <c r="C2261" t="str">
        <f>+"Tuáº§n "&amp;WEEKNUM(B2261)</f>
        <v>Tuáº§n 53</v>
      </c>
      <c r="D2261" t="s">
        <v>16</v>
      </c>
      <c r="E2261" t="s">
        <v>17</v>
      </c>
      <c r="F2261" s="5">
        <v>86700000</v>
      </c>
      <c r="G2261" s="5">
        <v>89700000</v>
      </c>
      <c r="H2261" s="5">
        <f>+(M2261*26000)/0.829426</f>
        <v>81693363.844393596</v>
      </c>
      <c r="I2261" s="5">
        <f>+G2261-H2261</f>
        <v>8006636.1556064039</v>
      </c>
      <c r="J2261" s="5">
        <v>3000000</v>
      </c>
      <c r="K2261" s="5">
        <v>8670000</v>
      </c>
      <c r="L2261" s="5">
        <v>8970000</v>
      </c>
      <c r="M2261" s="7">
        <v>2606.1</v>
      </c>
      <c r="N2261" s="5">
        <v>87200000</v>
      </c>
      <c r="O2261" s="5">
        <v>90200000</v>
      </c>
      <c r="P2261" s="3">
        <v>0.97916666666666663</v>
      </c>
    </row>
    <row r="2262" spans="1:16" x14ac:dyDescent="0.25">
      <c r="A2262" t="s">
        <v>1389</v>
      </c>
      <c r="B2262" s="2">
        <v>45657</v>
      </c>
      <c r="C2262" t="str">
        <f>+"Tuáº§n "&amp;WEEKNUM(B2262)</f>
        <v>Tuáº§n 53</v>
      </c>
      <c r="D2262" t="s">
        <v>18</v>
      </c>
      <c r="E2262" t="s">
        <v>17</v>
      </c>
      <c r="F2262" s="5">
        <v>87500000</v>
      </c>
      <c r="G2262" s="5">
        <v>90500000</v>
      </c>
      <c r="H2262" s="5">
        <f>+(M2262*26000)/0.829426</f>
        <v>82417479.075891033</v>
      </c>
      <c r="I2262" s="5">
        <f>+G2262-H2262</f>
        <v>8082520.9241089672</v>
      </c>
      <c r="J2262" s="5">
        <v>3000000</v>
      </c>
      <c r="K2262" s="5">
        <v>8750000</v>
      </c>
      <c r="L2262" s="5">
        <v>9050000</v>
      </c>
      <c r="M2262" s="7">
        <v>2629.2</v>
      </c>
      <c r="N2262" s="5">
        <v>88000000</v>
      </c>
      <c r="O2262" s="5">
        <v>91000000</v>
      </c>
      <c r="P2262" s="3">
        <v>0.97916666666666663</v>
      </c>
    </row>
    <row r="2263" spans="1:16" x14ac:dyDescent="0.25">
      <c r="A2263" s="2">
        <v>45689</v>
      </c>
      <c r="B2263" s="2">
        <v>45659</v>
      </c>
      <c r="C2263" t="str">
        <f>+"Tuáº§n "&amp;WEEKNUM(B2263)</f>
        <v>Tuáº§n 1</v>
      </c>
      <c r="D2263" t="s">
        <v>20</v>
      </c>
      <c r="E2263" t="s">
        <v>17</v>
      </c>
      <c r="F2263" s="5">
        <v>93100000</v>
      </c>
      <c r="G2263" s="5">
        <v>96100000</v>
      </c>
      <c r="H2263" s="5">
        <f>+(M2263*26000)/0.829426</f>
        <v>83348484.373530611</v>
      </c>
      <c r="I2263" s="5">
        <f>+G2263-H2263</f>
        <v>12751515.626469389</v>
      </c>
      <c r="J2263" s="5">
        <v>3000000</v>
      </c>
      <c r="K2263" s="5">
        <v>9310000</v>
      </c>
      <c r="L2263" s="5">
        <v>9610000</v>
      </c>
      <c r="M2263" s="7">
        <v>2658.9</v>
      </c>
      <c r="N2263" s="5">
        <v>93600000</v>
      </c>
      <c r="O2263" s="5">
        <v>96600000</v>
      </c>
      <c r="P2263" s="3">
        <v>0.97916666666666663</v>
      </c>
    </row>
    <row r="2264" spans="1:16" x14ac:dyDescent="0.25">
      <c r="A2264" s="2">
        <v>45717</v>
      </c>
      <c r="B2264" s="2">
        <v>45660</v>
      </c>
      <c r="C2264" t="str">
        <f>+"Tuáº§n "&amp;WEEKNUM(B2264)</f>
        <v>Tuáº§n 1</v>
      </c>
      <c r="D2264" t="s">
        <v>21</v>
      </c>
      <c r="E2264" t="s">
        <v>17</v>
      </c>
      <c r="F2264" s="5">
        <v>92600000</v>
      </c>
      <c r="G2264" s="5">
        <v>95600000</v>
      </c>
      <c r="H2264" s="5">
        <f>+(M2264*26000)/0.829426</f>
        <v>82912761.355443403</v>
      </c>
      <c r="I2264" s="5">
        <f>+G2264-H2264</f>
        <v>12687238.644556597</v>
      </c>
      <c r="J2264" s="5">
        <v>3000000</v>
      </c>
      <c r="K2264" s="5">
        <v>9260000</v>
      </c>
      <c r="L2264" s="5">
        <v>9560000</v>
      </c>
      <c r="M2264" s="7">
        <v>2645</v>
      </c>
      <c r="N2264" s="5">
        <v>93100000</v>
      </c>
      <c r="O2264" s="5">
        <v>96100000</v>
      </c>
      <c r="P2264" s="3">
        <v>0.97916666666666663</v>
      </c>
    </row>
    <row r="2265" spans="1:16" x14ac:dyDescent="0.25">
      <c r="A2265" s="2">
        <v>45809</v>
      </c>
      <c r="B2265" s="2">
        <v>45663</v>
      </c>
      <c r="C2265" t="str">
        <f>+"Tuáº§n "&amp;WEEKNUM(B2265)</f>
        <v>Tuáº§n 2</v>
      </c>
      <c r="D2265" t="s">
        <v>16</v>
      </c>
      <c r="E2265" t="s">
        <v>17</v>
      </c>
      <c r="F2265" s="5">
        <v>92300000</v>
      </c>
      <c r="G2265" s="5">
        <v>95300000</v>
      </c>
      <c r="H2265" s="5">
        <f>+(M2265*26000)/0.829426</f>
        <v>82705871.289301276</v>
      </c>
      <c r="I2265" s="5">
        <f>+G2265-H2265</f>
        <v>12594128.710698724</v>
      </c>
      <c r="J2265" s="5">
        <v>3000000</v>
      </c>
      <c r="K2265" s="5">
        <v>9230000</v>
      </c>
      <c r="L2265" s="5">
        <v>9530000</v>
      </c>
      <c r="M2265" s="7">
        <v>2638.4</v>
      </c>
      <c r="N2265" s="5">
        <v>92800000</v>
      </c>
      <c r="O2265" s="5">
        <v>95800000</v>
      </c>
      <c r="P2265" s="3">
        <v>0.97916666666666663</v>
      </c>
    </row>
    <row r="2266" spans="1:16" x14ac:dyDescent="0.25">
      <c r="A2266" s="2">
        <v>45839</v>
      </c>
      <c r="B2266" s="2">
        <v>45664</v>
      </c>
      <c r="C2266" t="str">
        <f>+"Tuáº§n "&amp;WEEKNUM(B2266)</f>
        <v>Tuáº§n 2</v>
      </c>
      <c r="D2266" t="s">
        <v>18</v>
      </c>
      <c r="E2266" t="s">
        <v>17</v>
      </c>
      <c r="F2266" s="5">
        <v>93000000</v>
      </c>
      <c r="G2266" s="5">
        <v>96000000</v>
      </c>
      <c r="H2266" s="5">
        <f>+(M2266*26000)/0.829426</f>
        <v>83279521.018149897</v>
      </c>
      <c r="I2266" s="5">
        <f>+G2266-H2266</f>
        <v>12720478.981850103</v>
      </c>
      <c r="J2266" s="5">
        <v>3000000</v>
      </c>
      <c r="K2266" s="5">
        <v>9300000</v>
      </c>
      <c r="L2266" s="5">
        <v>9600000</v>
      </c>
      <c r="M2266" s="7">
        <v>2656.7</v>
      </c>
      <c r="N2266" s="5">
        <v>93500000</v>
      </c>
      <c r="O2266" s="5">
        <v>96500000</v>
      </c>
      <c r="P2266" s="3">
        <v>0.97916666666666663</v>
      </c>
    </row>
    <row r="2267" spans="1:16" x14ac:dyDescent="0.25">
      <c r="A2267" s="2">
        <v>45870</v>
      </c>
      <c r="B2267" s="2">
        <v>45665</v>
      </c>
      <c r="C2267" t="str">
        <f>+"Tuáº§n "&amp;WEEKNUM(B2267)</f>
        <v>Tuáº§n 2</v>
      </c>
      <c r="D2267" t="s">
        <v>19</v>
      </c>
      <c r="E2267" t="s">
        <v>17</v>
      </c>
      <c r="F2267" s="5">
        <v>93300000</v>
      </c>
      <c r="G2267" s="5">
        <v>96300000</v>
      </c>
      <c r="H2267" s="5">
        <f>+(M2267*26000)/0.829426</f>
        <v>83524027.459954232</v>
      </c>
      <c r="I2267" s="5">
        <f>+G2267-H2267</f>
        <v>12775972.540045768</v>
      </c>
      <c r="J2267" s="5">
        <v>3000000</v>
      </c>
      <c r="K2267" s="5">
        <v>9330000</v>
      </c>
      <c r="L2267" s="5">
        <v>9630000</v>
      </c>
      <c r="M2267" s="7">
        <v>2664.5</v>
      </c>
      <c r="N2267" s="5">
        <v>93800000</v>
      </c>
      <c r="O2267" s="5">
        <v>96800000</v>
      </c>
      <c r="P2267" s="3">
        <v>0.97916666666666663</v>
      </c>
    </row>
    <row r="2268" spans="1:16" x14ac:dyDescent="0.25">
      <c r="A2268" s="2">
        <v>45901</v>
      </c>
      <c r="B2268" s="2">
        <v>45666</v>
      </c>
      <c r="C2268" t="str">
        <f>+"Tuáº§n "&amp;WEEKNUM(B2268)</f>
        <v>Tuáº§n 2</v>
      </c>
      <c r="D2268" t="s">
        <v>20</v>
      </c>
      <c r="E2268" t="s">
        <v>17</v>
      </c>
      <c r="F2268" s="5">
        <v>94000000</v>
      </c>
      <c r="G2268" s="5">
        <v>97000000</v>
      </c>
      <c r="H2268" s="5">
        <f>+(M2268*26000)/0.829426</f>
        <v>84129024.16852136</v>
      </c>
      <c r="I2268" s="5">
        <f>+G2268-H2268</f>
        <v>12870975.83147864</v>
      </c>
      <c r="J2268" s="5">
        <v>3000000</v>
      </c>
      <c r="K2268" s="5">
        <v>9400000</v>
      </c>
      <c r="L2268" s="5">
        <v>9700000</v>
      </c>
      <c r="M2268" s="7">
        <v>2683.8</v>
      </c>
      <c r="N2268" s="5">
        <v>94500000</v>
      </c>
      <c r="O2268" s="5">
        <v>97500000</v>
      </c>
      <c r="P2268" s="3">
        <v>0.97916666666666663</v>
      </c>
    </row>
    <row r="2269" spans="1:16" x14ac:dyDescent="0.25">
      <c r="A2269" s="2">
        <v>45931</v>
      </c>
      <c r="B2269" s="2">
        <v>45667</v>
      </c>
      <c r="C2269" t="str">
        <f>+"Tuáº§n "&amp;WEEKNUM(B2269)</f>
        <v>Tuáº§n 2</v>
      </c>
      <c r="D2269" t="s">
        <v>21</v>
      </c>
      <c r="E2269" t="s">
        <v>17</v>
      </c>
      <c r="F2269" s="5">
        <v>94900000</v>
      </c>
      <c r="G2269" s="5">
        <v>97900000</v>
      </c>
      <c r="H2269" s="5">
        <f>+(M2269*26000)/0.829426</f>
        <v>84903294.567568421</v>
      </c>
      <c r="I2269" s="5">
        <f>+G2269-H2269</f>
        <v>12996705.432431579</v>
      </c>
      <c r="J2269" s="5">
        <v>3000000</v>
      </c>
      <c r="K2269" s="5">
        <v>9490000</v>
      </c>
      <c r="L2269" s="5">
        <v>9790000</v>
      </c>
      <c r="M2269" s="7">
        <v>2708.5</v>
      </c>
      <c r="N2269" s="5">
        <v>95400000</v>
      </c>
      <c r="O2269" s="5">
        <v>98400000</v>
      </c>
      <c r="P2269" s="3">
        <v>0.97916666666666663</v>
      </c>
    </row>
    <row r="2270" spans="1:16" x14ac:dyDescent="0.25">
      <c r="A2270" t="s">
        <v>1390</v>
      </c>
      <c r="B2270" s="2">
        <v>45670</v>
      </c>
      <c r="C2270" t="str">
        <f>+"Tuáº§n "&amp;WEEKNUM(B2270)</f>
        <v>Tuáº§n 3</v>
      </c>
      <c r="D2270" t="s">
        <v>16</v>
      </c>
      <c r="E2270" t="s">
        <v>17</v>
      </c>
      <c r="F2270" s="5">
        <v>93600000</v>
      </c>
      <c r="G2270" s="5">
        <v>96600000</v>
      </c>
      <c r="H2270" s="5">
        <f>+(M2270*26000)/0.829426</f>
        <v>83806150.277420774</v>
      </c>
      <c r="I2270" s="5">
        <f>+G2270-H2270</f>
        <v>12793849.722579226</v>
      </c>
      <c r="J2270" s="5">
        <v>3000000</v>
      </c>
      <c r="K2270" s="5">
        <v>9360000</v>
      </c>
      <c r="L2270" s="5">
        <v>9660000</v>
      </c>
      <c r="M2270" s="7">
        <v>2673.5</v>
      </c>
      <c r="N2270" s="5">
        <v>94100000</v>
      </c>
      <c r="O2270" s="5">
        <v>97100000</v>
      </c>
      <c r="P2270" s="3">
        <v>0.97916666666666663</v>
      </c>
    </row>
    <row r="2271" spans="1:16" x14ac:dyDescent="0.25">
      <c r="A2271" t="s">
        <v>1391</v>
      </c>
      <c r="B2271" s="2">
        <v>45671</v>
      </c>
      <c r="C2271" t="str">
        <f>+"Tuáº§n "&amp;WEEKNUM(B2271)</f>
        <v>Tuáº§n 3</v>
      </c>
      <c r="D2271" t="s">
        <v>18</v>
      </c>
      <c r="E2271" t="s">
        <v>17</v>
      </c>
      <c r="F2271" s="5">
        <v>93800000</v>
      </c>
      <c r="G2271" s="5">
        <v>96800000</v>
      </c>
      <c r="H2271" s="5">
        <f>+(M2271*26000)/0.829426</f>
        <v>83931538.196294785</v>
      </c>
      <c r="I2271" s="5">
        <f>+G2271-H2271</f>
        <v>12868461.803705215</v>
      </c>
      <c r="J2271" s="5">
        <v>3000000</v>
      </c>
      <c r="K2271" s="5">
        <v>9380000</v>
      </c>
      <c r="L2271" s="5">
        <v>9680000</v>
      </c>
      <c r="M2271" s="7">
        <v>2677.5</v>
      </c>
      <c r="N2271" s="5">
        <v>94300000</v>
      </c>
      <c r="O2271" s="5">
        <v>97300000</v>
      </c>
      <c r="P2271" s="3">
        <v>0.97916666666666663</v>
      </c>
    </row>
    <row r="2272" spans="1:16" x14ac:dyDescent="0.25">
      <c r="A2272" t="s">
        <v>1392</v>
      </c>
      <c r="B2272" s="2">
        <v>45672</v>
      </c>
      <c r="C2272" t="str">
        <f>+"Tuáº§n "&amp;WEEKNUM(B2272)</f>
        <v>Tuáº§n 3</v>
      </c>
      <c r="D2272" t="s">
        <v>19</v>
      </c>
      <c r="E2272" t="s">
        <v>17</v>
      </c>
      <c r="F2272" s="5">
        <v>95000000</v>
      </c>
      <c r="G2272" s="5">
        <v>98000000</v>
      </c>
      <c r="H2272" s="5">
        <f>+(M2272*26000)/0.829426</f>
        <v>85028682.486442432</v>
      </c>
      <c r="I2272" s="5">
        <f>+G2272-H2272</f>
        <v>12971317.513557568</v>
      </c>
      <c r="J2272" s="5">
        <v>3000000</v>
      </c>
      <c r="K2272" s="5">
        <v>9500000</v>
      </c>
      <c r="L2272" s="5">
        <v>9800000</v>
      </c>
      <c r="M2272" s="7">
        <v>2712.5</v>
      </c>
      <c r="N2272" s="5">
        <v>95500000</v>
      </c>
      <c r="O2272" s="5">
        <v>98500000</v>
      </c>
      <c r="P2272" s="3">
        <v>0.97916666666666663</v>
      </c>
    </row>
    <row r="2273" spans="1:16" x14ac:dyDescent="0.25">
      <c r="A2273" t="s">
        <v>1393</v>
      </c>
      <c r="B2273" s="2">
        <v>45673</v>
      </c>
      <c r="C2273" t="str">
        <f>+"Tuáº§n "&amp;WEEKNUM(B2273)</f>
        <v>Tuáº§n 3</v>
      </c>
      <c r="D2273" t="s">
        <v>20</v>
      </c>
      <c r="E2273" t="s">
        <v>17</v>
      </c>
      <c r="F2273" s="5">
        <v>96200000</v>
      </c>
      <c r="G2273" s="5">
        <v>99200000</v>
      </c>
      <c r="H2273" s="5">
        <f>+(M2273*26000)/0.829426</f>
        <v>86091345.098899722</v>
      </c>
      <c r="I2273" s="5">
        <f>+G2273-H2273</f>
        <v>13108654.901100278</v>
      </c>
      <c r="J2273" s="5">
        <v>3000000</v>
      </c>
      <c r="K2273" s="5">
        <v>9620000</v>
      </c>
      <c r="L2273" s="5">
        <v>9920000</v>
      </c>
      <c r="M2273" s="7">
        <v>2746.4</v>
      </c>
      <c r="N2273" s="5">
        <v>96700000</v>
      </c>
      <c r="O2273" s="5">
        <v>99700000</v>
      </c>
      <c r="P2273" s="3">
        <v>0.97916666666666663</v>
      </c>
    </row>
    <row r="2274" spans="1:16" x14ac:dyDescent="0.25">
      <c r="A2274" t="s">
        <v>1394</v>
      </c>
      <c r="B2274" s="2">
        <v>45674</v>
      </c>
      <c r="C2274" t="str">
        <f>+"Tuáº§n "&amp;WEEKNUM(B2274)</f>
        <v>Tuáº§n 3</v>
      </c>
      <c r="D2274" t="s">
        <v>21</v>
      </c>
      <c r="E2274" t="s">
        <v>17</v>
      </c>
      <c r="F2274" s="5">
        <v>96200000</v>
      </c>
      <c r="G2274" s="5">
        <v>99200000</v>
      </c>
      <c r="H2274" s="5">
        <f>+(M2274*26000)/0.829426</f>
        <v>86025516.441490859</v>
      </c>
      <c r="I2274" s="5">
        <f>+G2274-H2274</f>
        <v>13174483.558509141</v>
      </c>
      <c r="J2274" s="5">
        <v>3000000</v>
      </c>
      <c r="K2274" s="5">
        <v>9620000</v>
      </c>
      <c r="L2274" s="5">
        <v>9920000</v>
      </c>
      <c r="M2274" s="7">
        <v>2744.3</v>
      </c>
      <c r="N2274" s="5">
        <v>96700000</v>
      </c>
      <c r="O2274" s="5">
        <v>99700000</v>
      </c>
      <c r="P2274" s="3">
        <v>0.97916666666666663</v>
      </c>
    </row>
    <row r="2275" spans="1:16" x14ac:dyDescent="0.25">
      <c r="A2275" t="s">
        <v>1395</v>
      </c>
      <c r="B2275" s="2">
        <v>45678</v>
      </c>
      <c r="C2275" t="str">
        <f>+"Tuáº§n "&amp;WEEKNUM(B2275)</f>
        <v>Tuáº§n 4</v>
      </c>
      <c r="D2275" t="s">
        <v>18</v>
      </c>
      <c r="E2275" t="s">
        <v>17</v>
      </c>
      <c r="F2275" s="5">
        <v>96600000</v>
      </c>
      <c r="G2275" s="5">
        <v>99600000</v>
      </c>
      <c r="H2275" s="5">
        <f>+(M2275*26000)/0.829426</f>
        <v>86360929.124478862</v>
      </c>
      <c r="I2275" s="5">
        <f>+G2275-H2275</f>
        <v>13239070.875521138</v>
      </c>
      <c r="J2275" s="5">
        <v>3000000</v>
      </c>
      <c r="K2275" s="5">
        <v>9660000</v>
      </c>
      <c r="L2275" s="5">
        <v>9960000</v>
      </c>
      <c r="M2275" s="7">
        <v>2755</v>
      </c>
      <c r="N2275" s="5">
        <v>97100000</v>
      </c>
      <c r="O2275" s="5">
        <v>100100000</v>
      </c>
      <c r="P2275" s="3">
        <v>0.97916666666666663</v>
      </c>
    </row>
    <row r="2276" spans="1:16" x14ac:dyDescent="0.25">
      <c r="A2276" t="s">
        <v>1396</v>
      </c>
      <c r="B2276" s="2">
        <v>45679</v>
      </c>
      <c r="C2276" t="str">
        <f>+"Tuáº§n "&amp;WEEKNUM(B2276)</f>
        <v>Tuáº§n 4</v>
      </c>
      <c r="D2276" t="s">
        <v>19</v>
      </c>
      <c r="E2276" t="s">
        <v>17</v>
      </c>
      <c r="F2276" s="5">
        <v>97000000</v>
      </c>
      <c r="G2276" s="5">
        <v>100000000</v>
      </c>
      <c r="H2276" s="5">
        <f>+(M2276*26000)/0.829426</f>
        <v>86755901.068932012</v>
      </c>
      <c r="I2276" s="5">
        <f>+G2276-H2276</f>
        <v>13244098.931067988</v>
      </c>
      <c r="J2276" s="5">
        <v>3000000</v>
      </c>
      <c r="K2276" s="5">
        <v>9700000</v>
      </c>
      <c r="L2276" s="5">
        <v>10000000</v>
      </c>
      <c r="M2276" s="7">
        <v>2767.6</v>
      </c>
      <c r="N2276" s="5">
        <v>97500000</v>
      </c>
      <c r="O2276" s="5">
        <v>100500000</v>
      </c>
      <c r="P2276" s="3">
        <v>0.97916666666666663</v>
      </c>
    </row>
    <row r="2277" spans="1:16" x14ac:dyDescent="0.25">
      <c r="A2277" t="s">
        <v>1397</v>
      </c>
      <c r="B2277" s="2">
        <v>45680</v>
      </c>
      <c r="C2277" t="str">
        <f>+"Tuáº§n "&amp;WEEKNUM(B2277)</f>
        <v>Tuáº§n 4</v>
      </c>
      <c r="D2277" t="s">
        <v>20</v>
      </c>
      <c r="E2277" t="s">
        <v>17</v>
      </c>
      <c r="F2277" s="5">
        <v>96800000</v>
      </c>
      <c r="G2277" s="5">
        <v>99800000</v>
      </c>
      <c r="H2277" s="5">
        <f>+(M2277*26000)/0.829426</f>
        <v>86614839.660198733</v>
      </c>
      <c r="I2277" s="5">
        <f>+G2277-H2277</f>
        <v>13185160.339801267</v>
      </c>
      <c r="J2277" s="5">
        <v>3000000</v>
      </c>
      <c r="K2277" s="5">
        <v>9680000</v>
      </c>
      <c r="L2277" s="5">
        <v>9980000</v>
      </c>
      <c r="M2277" s="7">
        <v>2763.1</v>
      </c>
      <c r="N2277" s="5">
        <v>97300000</v>
      </c>
      <c r="O2277" s="5">
        <v>100300000</v>
      </c>
      <c r="P2277" s="3">
        <v>0.97916666666666663</v>
      </c>
    </row>
    <row r="2278" spans="1:16" x14ac:dyDescent="0.25">
      <c r="A2278" t="s">
        <v>1398</v>
      </c>
      <c r="B2278" s="2">
        <v>45681</v>
      </c>
      <c r="C2278" t="str">
        <f>+"Tuáº§n "&amp;WEEKNUM(B2278)</f>
        <v>Tuáº§n 4</v>
      </c>
      <c r="D2278" t="s">
        <v>21</v>
      </c>
      <c r="E2278" t="s">
        <v>17</v>
      </c>
      <c r="F2278" s="5">
        <v>97400000</v>
      </c>
      <c r="G2278" s="5">
        <v>100400000</v>
      </c>
      <c r="H2278" s="5">
        <f>+(M2278*26000)/0.829426</f>
        <v>87059966.772201493</v>
      </c>
      <c r="I2278" s="5">
        <f>+G2278-H2278</f>
        <v>13340033.227798507</v>
      </c>
      <c r="J2278" s="5">
        <v>3000000</v>
      </c>
      <c r="K2278" s="5">
        <v>9740000</v>
      </c>
      <c r="L2278" s="5">
        <v>10040000</v>
      </c>
      <c r="M2278" s="7">
        <v>2777.3</v>
      </c>
      <c r="N2278" s="5">
        <v>97900000</v>
      </c>
      <c r="O2278" s="5">
        <v>100900000</v>
      </c>
      <c r="P2278" s="3">
        <v>0.97916666666666663</v>
      </c>
    </row>
    <row r="2279" spans="1:16" x14ac:dyDescent="0.25">
      <c r="A2279" t="s">
        <v>1399</v>
      </c>
      <c r="B2279" s="2">
        <v>45684</v>
      </c>
      <c r="C2279" t="str">
        <f>+"Tuáº§n "&amp;WEEKNUM(B2279)</f>
        <v>Tuáº§n 5</v>
      </c>
      <c r="D2279" t="s">
        <v>16</v>
      </c>
      <c r="E2279" t="s">
        <v>17</v>
      </c>
      <c r="F2279" s="5">
        <v>95900000</v>
      </c>
      <c r="G2279" s="5">
        <v>98900000</v>
      </c>
      <c r="H2279" s="5">
        <f>+(M2279*26000)/0.829426</f>
        <v>85812356.979405031</v>
      </c>
      <c r="I2279" s="5">
        <f>+G2279-H2279</f>
        <v>13087643.020594969</v>
      </c>
      <c r="J2279" s="5">
        <v>3000000</v>
      </c>
      <c r="K2279" s="5">
        <v>9590000</v>
      </c>
      <c r="L2279" s="5">
        <v>9890000</v>
      </c>
      <c r="M2279" s="7">
        <v>2737.5</v>
      </c>
      <c r="N2279" s="5">
        <v>96400000</v>
      </c>
      <c r="O2279" s="5">
        <v>99400000</v>
      </c>
      <c r="P2279" s="3">
        <v>0.97916666666666663</v>
      </c>
    </row>
    <row r="2280" spans="1:16" x14ac:dyDescent="0.25">
      <c r="A2280" t="s">
        <v>1400</v>
      </c>
      <c r="B2280" s="2">
        <v>45685</v>
      </c>
      <c r="C2280" t="str">
        <f>+"Tuáº§n "&amp;WEEKNUM(B2280)</f>
        <v>Tuáº§n 5</v>
      </c>
      <c r="D2280" t="s">
        <v>18</v>
      </c>
      <c r="E2280" t="s">
        <v>17</v>
      </c>
      <c r="F2280" s="5">
        <v>97000000</v>
      </c>
      <c r="G2280" s="5">
        <v>100000000</v>
      </c>
      <c r="H2280" s="5">
        <f>+(M2280*26000)/0.829426</f>
        <v>86730823.485157207</v>
      </c>
      <c r="I2280" s="5">
        <f>+G2280-H2280</f>
        <v>13269176.514842793</v>
      </c>
      <c r="J2280" s="5">
        <v>3000000</v>
      </c>
      <c r="K2280" s="5">
        <v>9700000</v>
      </c>
      <c r="L2280" s="5">
        <v>10000000</v>
      </c>
      <c r="M2280" s="7">
        <v>2766.8</v>
      </c>
      <c r="N2280" s="5">
        <v>97500000</v>
      </c>
      <c r="O2280" s="5">
        <v>100500000</v>
      </c>
      <c r="P2280" s="3">
        <v>0.97916666666666663</v>
      </c>
    </row>
    <row r="2281" spans="1:16" x14ac:dyDescent="0.25">
      <c r="A2281" t="s">
        <v>1401</v>
      </c>
      <c r="B2281" s="2">
        <v>45686</v>
      </c>
      <c r="C2281" t="str">
        <f>+"Tuáº§n "&amp;WEEKNUM(B2281)</f>
        <v>Tuáº§n 5</v>
      </c>
      <c r="D2281" t="s">
        <v>19</v>
      </c>
      <c r="E2281" t="s">
        <v>17</v>
      </c>
      <c r="F2281" s="5">
        <v>97100000</v>
      </c>
      <c r="G2281" s="5">
        <v>100100000</v>
      </c>
      <c r="H2281" s="5">
        <f>+(M2281*26000)/0.829426</f>
        <v>86802921.538509771</v>
      </c>
      <c r="I2281" s="5">
        <f>+G2281-H2281</f>
        <v>13297078.461490229</v>
      </c>
      <c r="J2281" s="5">
        <v>3000000</v>
      </c>
      <c r="K2281" s="5">
        <v>9710000</v>
      </c>
      <c r="L2281" s="5">
        <v>10010000</v>
      </c>
      <c r="M2281" s="7">
        <v>2769.1</v>
      </c>
      <c r="N2281" s="5">
        <v>97600000</v>
      </c>
      <c r="O2281" s="5">
        <v>100600000</v>
      </c>
      <c r="P2281" s="3">
        <v>0.97916666666666663</v>
      </c>
    </row>
    <row r="2282" spans="1:16" x14ac:dyDescent="0.25">
      <c r="A2282" t="s">
        <v>1402</v>
      </c>
      <c r="B2282" s="2">
        <v>45687</v>
      </c>
      <c r="C2282" t="str">
        <f>+"Tuáº§n "&amp;WEEKNUM(B2282)</f>
        <v>Tuáº§n 5</v>
      </c>
      <c r="D2282" t="s">
        <v>20</v>
      </c>
      <c r="E2282" t="s">
        <v>17</v>
      </c>
      <c r="F2282" s="5">
        <v>99000000</v>
      </c>
      <c r="G2282" s="5">
        <v>102000000</v>
      </c>
      <c r="H2282" s="5">
        <f>+(M2282*26000)/0.829426</f>
        <v>88492523.745337144</v>
      </c>
      <c r="I2282" s="5">
        <f>+G2282-H2282</f>
        <v>13507476.254662856</v>
      </c>
      <c r="J2282" s="5">
        <v>3000000</v>
      </c>
      <c r="K2282" s="5">
        <v>9900000</v>
      </c>
      <c r="L2282" s="5">
        <v>10200000</v>
      </c>
      <c r="M2282" s="7">
        <v>2823</v>
      </c>
      <c r="N2282" s="5">
        <v>99500000</v>
      </c>
      <c r="O2282" s="5">
        <v>102500000</v>
      </c>
      <c r="P2282" s="3">
        <v>0.97916666666666663</v>
      </c>
    </row>
    <row r="2283" spans="1:16" x14ac:dyDescent="0.25">
      <c r="A2283" t="s">
        <v>1403</v>
      </c>
      <c r="B2283" s="2">
        <v>45688</v>
      </c>
      <c r="C2283" t="str">
        <f>+"Tuáº§n "&amp;WEEKNUM(B2283)</f>
        <v>Tuáº§n 5</v>
      </c>
      <c r="D2283" t="s">
        <v>21</v>
      </c>
      <c r="E2283" t="s">
        <v>17</v>
      </c>
      <c r="F2283" s="5">
        <v>98600000</v>
      </c>
      <c r="G2283" s="5">
        <v>101600000</v>
      </c>
      <c r="H2283" s="5">
        <f>+(M2283*26000)/0.829426</f>
        <v>88163380.458292842</v>
      </c>
      <c r="I2283" s="5">
        <f>+G2283-H2283</f>
        <v>13436619.541707158</v>
      </c>
      <c r="J2283" s="5">
        <v>3000000</v>
      </c>
      <c r="K2283" s="5">
        <v>9860000</v>
      </c>
      <c r="L2283" s="5">
        <v>10160000</v>
      </c>
      <c r="M2283" s="7">
        <v>2812.5</v>
      </c>
      <c r="N2283" s="5">
        <v>99100000</v>
      </c>
      <c r="O2283" s="5">
        <v>102100000</v>
      </c>
      <c r="P2283" s="3">
        <v>0.97916666666666663</v>
      </c>
    </row>
    <row r="2284" spans="1:16" x14ac:dyDescent="0.25">
      <c r="A2284" s="2">
        <v>45718</v>
      </c>
      <c r="B2284" s="2">
        <v>45691</v>
      </c>
      <c r="C2284" t="str">
        <f>+"Tuáº§n "&amp;WEEKNUM(B2284)</f>
        <v>Tuáº§n 6</v>
      </c>
      <c r="D2284" t="s">
        <v>16</v>
      </c>
      <c r="E2284" t="s">
        <v>17</v>
      </c>
      <c r="F2284" s="5">
        <v>99400000</v>
      </c>
      <c r="G2284" s="5">
        <v>102400000</v>
      </c>
      <c r="H2284" s="5">
        <f>+(M2284*26000)/0.829426</f>
        <v>88834205.824268833</v>
      </c>
      <c r="I2284" s="5">
        <f>+G2284-H2284</f>
        <v>13565794.175731167</v>
      </c>
      <c r="J2284" s="5">
        <v>3000000</v>
      </c>
      <c r="K2284" s="5">
        <v>9940000</v>
      </c>
      <c r="L2284" s="5">
        <v>10240000</v>
      </c>
      <c r="M2284" s="7">
        <v>2833.9</v>
      </c>
      <c r="N2284" s="5">
        <v>99900000</v>
      </c>
      <c r="O2284" s="5">
        <v>102900000</v>
      </c>
      <c r="P2284" s="3">
        <v>0.97916666666666663</v>
      </c>
    </row>
    <row r="2285" spans="1:16" x14ac:dyDescent="0.25">
      <c r="A2285" s="2">
        <v>45749</v>
      </c>
      <c r="B2285" s="2">
        <v>45692</v>
      </c>
      <c r="C2285" t="str">
        <f>+"Tuáº§n "&amp;WEEKNUM(B2285)</f>
        <v>Tuáº§n 6</v>
      </c>
      <c r="D2285" t="s">
        <v>18</v>
      </c>
      <c r="E2285" t="s">
        <v>17</v>
      </c>
      <c r="F2285" s="5">
        <v>100100000</v>
      </c>
      <c r="G2285" s="5">
        <v>103100000</v>
      </c>
      <c r="H2285" s="5">
        <f>+(M2285*26000)/0.829426</f>
        <v>89442337.230807811</v>
      </c>
      <c r="I2285" s="5">
        <f>+G2285-H2285</f>
        <v>13657662.769192189</v>
      </c>
      <c r="J2285" s="5">
        <v>3000000</v>
      </c>
      <c r="K2285" s="5">
        <v>10010000</v>
      </c>
      <c r="L2285" s="5">
        <v>10310000</v>
      </c>
      <c r="M2285" s="7">
        <v>2853.3</v>
      </c>
      <c r="N2285" s="5">
        <v>100600000</v>
      </c>
      <c r="O2285" s="5">
        <v>103600000</v>
      </c>
      <c r="P2285" s="3">
        <v>0.97916666666666663</v>
      </c>
    </row>
    <row r="2286" spans="1:16" x14ac:dyDescent="0.25">
      <c r="A2286" s="2">
        <v>45779</v>
      </c>
      <c r="B2286" s="2">
        <v>45693</v>
      </c>
      <c r="C2286" t="str">
        <f>+"Tuáº§n "&amp;WEEKNUM(B2286)</f>
        <v>Tuáº§n 6</v>
      </c>
      <c r="D2286" t="s">
        <v>19</v>
      </c>
      <c r="E2286" t="s">
        <v>17</v>
      </c>
      <c r="F2286" s="5">
        <v>100800000</v>
      </c>
      <c r="G2286" s="5">
        <v>103800000</v>
      </c>
      <c r="H2286" s="5">
        <f>+(M2286*26000)/0.829426</f>
        <v>90015986.959656432</v>
      </c>
      <c r="I2286" s="5">
        <f>+G2286-H2286</f>
        <v>13784013.040343568</v>
      </c>
      <c r="J2286" s="5">
        <v>3000000</v>
      </c>
      <c r="K2286" s="5">
        <v>10080000</v>
      </c>
      <c r="L2286" s="5">
        <v>10380000</v>
      </c>
      <c r="M2286" s="7">
        <v>2871.6</v>
      </c>
      <c r="N2286" s="5">
        <v>101300000</v>
      </c>
      <c r="O2286" s="5">
        <v>104300000</v>
      </c>
      <c r="P2286" s="3">
        <v>0.97916666666666663</v>
      </c>
    </row>
    <row r="2287" spans="1:16" x14ac:dyDescent="0.25">
      <c r="A2287" s="2">
        <v>45810</v>
      </c>
      <c r="B2287" s="2">
        <v>45694</v>
      </c>
      <c r="C2287" t="str">
        <f>+"Tuáº§n "&amp;WEEKNUM(B2287)</f>
        <v>Tuáº§n 6</v>
      </c>
      <c r="D2287" t="s">
        <v>20</v>
      </c>
      <c r="E2287" t="s">
        <v>17</v>
      </c>
      <c r="F2287" s="5">
        <v>100200000</v>
      </c>
      <c r="G2287" s="5">
        <v>103200000</v>
      </c>
      <c r="H2287" s="5">
        <f>+(M2287*26000)/0.829426</f>
        <v>89526974.076047778</v>
      </c>
      <c r="I2287" s="5">
        <f>+G2287-H2287</f>
        <v>13673025.923952222</v>
      </c>
      <c r="J2287" s="5">
        <v>3000000</v>
      </c>
      <c r="K2287" s="5">
        <v>10020000</v>
      </c>
      <c r="L2287" s="5">
        <v>10320000</v>
      </c>
      <c r="M2287" s="7">
        <v>2856</v>
      </c>
      <c r="N2287" s="5">
        <v>100700000</v>
      </c>
      <c r="O2287" s="5">
        <v>103700000</v>
      </c>
      <c r="P2287" s="3">
        <v>0.97916666666666663</v>
      </c>
    </row>
    <row r="2288" spans="1:16" x14ac:dyDescent="0.25">
      <c r="A2288" s="2">
        <v>45840</v>
      </c>
      <c r="B2288" s="2">
        <v>45695</v>
      </c>
      <c r="C2288" t="str">
        <f>+"Tuáº§n "&amp;WEEKNUM(B2288)</f>
        <v>Tuáº§n 6</v>
      </c>
      <c r="D2288" t="s">
        <v>21</v>
      </c>
      <c r="E2288" t="s">
        <v>17</v>
      </c>
      <c r="F2288" s="5">
        <v>100600000</v>
      </c>
      <c r="G2288" s="5">
        <v>103600000</v>
      </c>
      <c r="H2288" s="5">
        <f>+(M2288*26000)/0.829426</f>
        <v>89881194.94686687</v>
      </c>
      <c r="I2288" s="5">
        <f>+G2288-H2288</f>
        <v>13718805.05313313</v>
      </c>
      <c r="J2288" s="5">
        <v>3000000</v>
      </c>
      <c r="K2288" s="5">
        <v>10060000</v>
      </c>
      <c r="L2288" s="5">
        <v>10360000</v>
      </c>
      <c r="M2288" s="7">
        <v>2867.3</v>
      </c>
      <c r="N2288" s="5">
        <v>101100000</v>
      </c>
      <c r="O2288" s="5">
        <v>104100000</v>
      </c>
      <c r="P2288" s="3">
        <v>0.97916666666666663</v>
      </c>
    </row>
    <row r="2289" spans="1:16" x14ac:dyDescent="0.25">
      <c r="A2289" s="2">
        <v>45932</v>
      </c>
      <c r="B2289" s="2">
        <v>45698</v>
      </c>
      <c r="C2289" t="str">
        <f>+"Tuáº§n "&amp;WEEKNUM(B2289)</f>
        <v>Tuáº§n 7</v>
      </c>
      <c r="D2289" t="s">
        <v>16</v>
      </c>
      <c r="E2289" t="s">
        <v>17</v>
      </c>
      <c r="F2289" s="5">
        <v>102300000</v>
      </c>
      <c r="G2289" s="5">
        <v>105300000</v>
      </c>
      <c r="H2289" s="5">
        <f>+(M2289*26000)/0.829426</f>
        <v>91354502.993636563</v>
      </c>
      <c r="I2289" s="5">
        <f>+G2289-H2289</f>
        <v>13945497.006363437</v>
      </c>
      <c r="J2289" s="5">
        <v>3000000</v>
      </c>
      <c r="K2289" s="5">
        <v>10230000</v>
      </c>
      <c r="L2289" s="5">
        <v>10530000</v>
      </c>
      <c r="M2289" s="7">
        <v>2914.3</v>
      </c>
      <c r="N2289" s="5">
        <v>102800000</v>
      </c>
      <c r="O2289" s="5">
        <v>105800000</v>
      </c>
      <c r="P2289" s="3">
        <v>0.97916666666666663</v>
      </c>
    </row>
    <row r="2290" spans="1:16" x14ac:dyDescent="0.25">
      <c r="A2290" s="2">
        <v>45963</v>
      </c>
      <c r="B2290" s="2">
        <v>45699</v>
      </c>
      <c r="C2290" t="str">
        <f>+"Tuáº§n "&amp;WEEKNUM(B2290)</f>
        <v>Tuáº§n 7</v>
      </c>
      <c r="D2290" t="s">
        <v>18</v>
      </c>
      <c r="E2290" t="s">
        <v>17</v>
      </c>
      <c r="F2290" s="5">
        <v>102200000</v>
      </c>
      <c r="G2290" s="5">
        <v>105200000</v>
      </c>
      <c r="H2290" s="5">
        <f>+(M2290*26000)/0.829426</f>
        <v>91298078.430143252</v>
      </c>
      <c r="I2290" s="5">
        <f>+G2290-H2290</f>
        <v>13901921.569856748</v>
      </c>
      <c r="J2290" s="5">
        <v>3000000</v>
      </c>
      <c r="K2290" s="5">
        <v>10220000</v>
      </c>
      <c r="L2290" s="5">
        <v>10520000</v>
      </c>
      <c r="M2290" s="7">
        <v>2912.5</v>
      </c>
      <c r="N2290" s="5">
        <v>102700000</v>
      </c>
      <c r="O2290" s="5">
        <v>105700000</v>
      </c>
      <c r="P2290" s="3">
        <v>0.97916666666666663</v>
      </c>
    </row>
    <row r="2291" spans="1:16" x14ac:dyDescent="0.25">
      <c r="A2291" s="2">
        <v>45993</v>
      </c>
      <c r="B2291" s="2">
        <v>45700</v>
      </c>
      <c r="C2291" t="str">
        <f>+"Tuáº§n "&amp;WEEKNUM(B2291)</f>
        <v>Tuáº§n 7</v>
      </c>
      <c r="D2291" t="s">
        <v>19</v>
      </c>
      <c r="E2291" t="s">
        <v>17</v>
      </c>
      <c r="F2291" s="5">
        <v>102100000</v>
      </c>
      <c r="G2291" s="5">
        <v>105100000</v>
      </c>
      <c r="H2291" s="5">
        <f>+(M2291*26000)/0.829426</f>
        <v>91188364.001128495</v>
      </c>
      <c r="I2291" s="5">
        <f>+G2291-H2291</f>
        <v>13911635.998871505</v>
      </c>
      <c r="J2291" s="5">
        <v>3000000</v>
      </c>
      <c r="K2291" s="5">
        <v>10210000</v>
      </c>
      <c r="L2291" s="5">
        <v>10510000</v>
      </c>
      <c r="M2291" s="7">
        <v>2909</v>
      </c>
      <c r="N2291" s="5">
        <v>102600000</v>
      </c>
      <c r="O2291" s="5">
        <v>105600000</v>
      </c>
      <c r="P2291" s="3">
        <v>0.97916666666666663</v>
      </c>
    </row>
    <row r="2292" spans="1:16" x14ac:dyDescent="0.25">
      <c r="A2292" t="s">
        <v>1404</v>
      </c>
      <c r="B2292" s="2">
        <v>45701</v>
      </c>
      <c r="C2292" t="str">
        <f>+"Tuáº§n "&amp;WEEKNUM(B2292)</f>
        <v>Tuáº§n 7</v>
      </c>
      <c r="D2292" t="s">
        <v>20</v>
      </c>
      <c r="E2292" t="s">
        <v>17</v>
      </c>
      <c r="F2292" s="5">
        <v>102700000</v>
      </c>
      <c r="G2292" s="5">
        <v>105700000</v>
      </c>
      <c r="H2292" s="5">
        <f>+(M2292*26000)/0.829426</f>
        <v>91718127.958371207</v>
      </c>
      <c r="I2292" s="5">
        <f>+G2292-H2292</f>
        <v>13981872.041628793</v>
      </c>
      <c r="J2292" s="5">
        <v>3000000</v>
      </c>
      <c r="K2292" s="5">
        <v>10270000</v>
      </c>
      <c r="L2292" s="5">
        <v>10570000</v>
      </c>
      <c r="M2292" s="7">
        <v>2925.9</v>
      </c>
      <c r="N2292" s="5">
        <v>103200000</v>
      </c>
      <c r="O2292" s="5">
        <v>106200000</v>
      </c>
      <c r="P2292" s="3">
        <v>0.97916666666666663</v>
      </c>
    </row>
    <row r="2293" spans="1:16" x14ac:dyDescent="0.25">
      <c r="A2293" t="s">
        <v>1405</v>
      </c>
      <c r="B2293" s="2">
        <v>45702</v>
      </c>
      <c r="C2293" t="str">
        <f>+"Tuáº§n "&amp;WEEKNUM(B2293)</f>
        <v>Tuáº§n 7</v>
      </c>
      <c r="D2293" t="s">
        <v>21</v>
      </c>
      <c r="E2293" t="s">
        <v>17</v>
      </c>
      <c r="F2293" s="5">
        <v>101200000</v>
      </c>
      <c r="G2293" s="5">
        <v>104200000</v>
      </c>
      <c r="H2293" s="5">
        <f>+(M2293*26000)/0.829426</f>
        <v>90392150.716278493</v>
      </c>
      <c r="I2293" s="5">
        <f>+G2293-H2293</f>
        <v>13807849.283721507</v>
      </c>
      <c r="J2293" s="5">
        <v>3000000</v>
      </c>
      <c r="K2293" s="5">
        <v>10120000</v>
      </c>
      <c r="L2293" s="5">
        <v>10420000</v>
      </c>
      <c r="M2293" s="7">
        <v>2883.6</v>
      </c>
      <c r="N2293" s="5">
        <v>101700000</v>
      </c>
      <c r="O2293" s="5">
        <v>104700000</v>
      </c>
      <c r="P2293" s="3">
        <v>0.97916666666666663</v>
      </c>
    </row>
    <row r="2294" spans="1:16" x14ac:dyDescent="0.25">
      <c r="A2294" t="s">
        <v>1406</v>
      </c>
      <c r="B2294" s="2">
        <v>45706</v>
      </c>
      <c r="C2294" t="str">
        <f>+"Tuáº§n "&amp;WEEKNUM(B2294)</f>
        <v>Tuáº§n 8</v>
      </c>
      <c r="D2294" t="s">
        <v>18</v>
      </c>
      <c r="E2294" t="s">
        <v>17</v>
      </c>
      <c r="F2294" s="5">
        <v>102900000</v>
      </c>
      <c r="G2294" s="5">
        <v>105900000</v>
      </c>
      <c r="H2294" s="5">
        <f>+(M2294*26000)/0.829426</f>
        <v>91896805.742766678</v>
      </c>
      <c r="I2294" s="5">
        <f>+G2294-H2294</f>
        <v>14003194.257233322</v>
      </c>
      <c r="J2294" s="5">
        <v>3000000</v>
      </c>
      <c r="K2294" s="5">
        <v>10290000</v>
      </c>
      <c r="L2294" s="5">
        <v>10590000</v>
      </c>
      <c r="M2294" s="7">
        <v>2931.6</v>
      </c>
      <c r="N2294" s="5">
        <v>103400000</v>
      </c>
      <c r="O2294" s="5">
        <v>106400000</v>
      </c>
      <c r="P2294" s="3">
        <v>0.97916666666666663</v>
      </c>
    </row>
    <row r="2295" spans="1:16" x14ac:dyDescent="0.25">
      <c r="A2295" t="s">
        <v>1407</v>
      </c>
      <c r="B2295" s="2">
        <v>45707</v>
      </c>
      <c r="C2295" t="str">
        <f>+"Tuáº§n "&amp;WEEKNUM(B2295)</f>
        <v>Tuáº§n 8</v>
      </c>
      <c r="D2295" t="s">
        <v>19</v>
      </c>
      <c r="E2295" t="s">
        <v>17</v>
      </c>
      <c r="F2295" s="5">
        <v>102500000</v>
      </c>
      <c r="G2295" s="5">
        <v>105500000</v>
      </c>
      <c r="H2295" s="5">
        <f>+(M2295*26000)/0.829426</f>
        <v>91514372.590200931</v>
      </c>
      <c r="I2295" s="5">
        <f>+G2295-H2295</f>
        <v>13985627.409799069</v>
      </c>
      <c r="J2295" s="5">
        <v>3000000</v>
      </c>
      <c r="K2295" s="5">
        <v>10250000</v>
      </c>
      <c r="L2295" s="5">
        <v>10550000</v>
      </c>
      <c r="M2295" s="7">
        <v>2919.4</v>
      </c>
      <c r="N2295" s="5">
        <v>103000000</v>
      </c>
      <c r="O2295" s="5">
        <v>106000000</v>
      </c>
      <c r="P2295" s="3">
        <v>0.97916666666666663</v>
      </c>
    </row>
    <row r="2296" spans="1:16" x14ac:dyDescent="0.25">
      <c r="A2296" t="s">
        <v>1408</v>
      </c>
      <c r="B2296" s="2">
        <v>45708</v>
      </c>
      <c r="C2296" t="str">
        <f>+"Tuáº§n "&amp;WEEKNUM(B2296)</f>
        <v>Tuáº§n 8</v>
      </c>
      <c r="D2296" t="s">
        <v>20</v>
      </c>
      <c r="E2296" t="s">
        <v>17</v>
      </c>
      <c r="F2296" s="5">
        <v>103200000</v>
      </c>
      <c r="G2296" s="5">
        <v>106200000</v>
      </c>
      <c r="H2296" s="5">
        <f>+(M2296*26000)/0.829426</f>
        <v>92160120.372402117</v>
      </c>
      <c r="I2296" s="5">
        <f>+G2296-H2296</f>
        <v>14039879.627597883</v>
      </c>
      <c r="J2296" s="5">
        <v>3000000</v>
      </c>
      <c r="K2296" s="5">
        <v>10320000</v>
      </c>
      <c r="L2296" s="5">
        <v>10620000</v>
      </c>
      <c r="M2296" s="7">
        <v>2940</v>
      </c>
      <c r="N2296" s="5">
        <v>103700000</v>
      </c>
      <c r="O2296" s="5">
        <v>106700000</v>
      </c>
      <c r="P2296" s="3">
        <v>0.97916666666666663</v>
      </c>
    </row>
    <row r="2297" spans="1:16" x14ac:dyDescent="0.25">
      <c r="A2297" t="s">
        <v>1409</v>
      </c>
      <c r="B2297" s="2">
        <v>45709</v>
      </c>
      <c r="C2297" t="str">
        <f>+"Tuáº§n "&amp;WEEKNUM(B2297)</f>
        <v>Tuáº§n 8</v>
      </c>
      <c r="D2297" t="s">
        <v>21</v>
      </c>
      <c r="E2297" t="s">
        <v>17</v>
      </c>
      <c r="F2297" s="5">
        <v>103200000</v>
      </c>
      <c r="G2297" s="5">
        <v>106200000</v>
      </c>
      <c r="H2297" s="5">
        <f>+(M2297*26000)/0.829426</f>
        <v>92084887.621077716</v>
      </c>
      <c r="I2297" s="5">
        <f>+G2297-H2297</f>
        <v>14115112.378922284</v>
      </c>
      <c r="J2297" s="5">
        <v>3000000</v>
      </c>
      <c r="K2297" s="5">
        <v>10320000</v>
      </c>
      <c r="L2297" s="5">
        <v>10620000</v>
      </c>
      <c r="M2297" s="7">
        <v>2937.6</v>
      </c>
      <c r="N2297" s="5">
        <v>103700000</v>
      </c>
      <c r="O2297" s="5">
        <v>106700000</v>
      </c>
      <c r="P2297" s="3">
        <v>0.97916666666666663</v>
      </c>
    </row>
    <row r="2298" spans="1:16" x14ac:dyDescent="0.25">
      <c r="A2298" t="s">
        <v>1410</v>
      </c>
      <c r="B2298" s="2">
        <v>45712</v>
      </c>
      <c r="C2298" t="str">
        <f>+"Tuáº§n "&amp;WEEKNUM(B2298)</f>
        <v>Tuáº§n 9</v>
      </c>
      <c r="D2298" t="s">
        <v>16</v>
      </c>
      <c r="E2298" t="s">
        <v>17</v>
      </c>
      <c r="F2298" s="5">
        <v>103500000</v>
      </c>
      <c r="G2298" s="5">
        <v>106500000</v>
      </c>
      <c r="H2298" s="5">
        <f>+(M2298*26000)/0.829426</f>
        <v>92407761.512178302</v>
      </c>
      <c r="I2298" s="5">
        <f>+G2298-H2298</f>
        <v>14092238.487821698</v>
      </c>
      <c r="J2298" s="5">
        <v>3000000</v>
      </c>
      <c r="K2298" s="5">
        <v>10350000</v>
      </c>
      <c r="L2298" s="5">
        <v>10650000</v>
      </c>
      <c r="M2298" s="7">
        <v>2947.9</v>
      </c>
      <c r="N2298" s="5">
        <v>104000000</v>
      </c>
      <c r="O2298" s="5">
        <v>107000000</v>
      </c>
      <c r="P2298" s="3">
        <v>0.97916666666666663</v>
      </c>
    </row>
    <row r="2299" spans="1:16" x14ac:dyDescent="0.25">
      <c r="A2299" t="s">
        <v>1411</v>
      </c>
      <c r="B2299" s="2">
        <v>45713</v>
      </c>
      <c r="C2299" t="str">
        <f>+"Tuáº§n "&amp;WEEKNUM(B2299)</f>
        <v>Tuáº§n 9</v>
      </c>
      <c r="D2299" t="s">
        <v>18</v>
      </c>
      <c r="E2299" t="s">
        <v>17</v>
      </c>
      <c r="F2299" s="5">
        <v>102000000</v>
      </c>
      <c r="G2299" s="5">
        <v>105000000</v>
      </c>
      <c r="H2299" s="5">
        <f>+(M2299*26000)/0.829426</f>
        <v>91047302.592395216</v>
      </c>
      <c r="I2299" s="5">
        <f>+G2299-H2299</f>
        <v>13952697.407604784</v>
      </c>
      <c r="J2299" s="5">
        <v>3000000</v>
      </c>
      <c r="K2299" s="5">
        <v>10200000</v>
      </c>
      <c r="L2299" s="5">
        <v>10500000</v>
      </c>
      <c r="M2299" s="7">
        <v>2904.5</v>
      </c>
      <c r="N2299" s="5">
        <v>102500000</v>
      </c>
      <c r="O2299" s="5">
        <v>105500000</v>
      </c>
      <c r="P2299" s="3">
        <v>0.97916666666666663</v>
      </c>
    </row>
    <row r="2300" spans="1:16" x14ac:dyDescent="0.25">
      <c r="A2300" t="s">
        <v>1412</v>
      </c>
      <c r="B2300" s="2">
        <v>45714</v>
      </c>
      <c r="C2300" t="str">
        <f>+"Tuáº§n "&amp;WEEKNUM(B2300)</f>
        <v>Tuáº§n 9</v>
      </c>
      <c r="D2300" t="s">
        <v>19</v>
      </c>
      <c r="E2300" t="s">
        <v>17</v>
      </c>
      <c r="F2300" s="5">
        <v>102400000</v>
      </c>
      <c r="G2300" s="5">
        <v>105400000</v>
      </c>
      <c r="H2300" s="5">
        <f>+(M2300*26000)/0.829426</f>
        <v>91432870.442932829</v>
      </c>
      <c r="I2300" s="5">
        <f>+G2300-H2300</f>
        <v>13967129.557067171</v>
      </c>
      <c r="J2300" s="5">
        <v>3000000</v>
      </c>
      <c r="K2300" s="5">
        <v>10240000</v>
      </c>
      <c r="L2300" s="5">
        <v>10540000</v>
      </c>
      <c r="M2300" s="7">
        <v>2916.8</v>
      </c>
      <c r="N2300" s="5">
        <v>102900000</v>
      </c>
      <c r="O2300" s="5">
        <v>105900000</v>
      </c>
      <c r="P2300" s="3">
        <v>0.97916666666666663</v>
      </c>
    </row>
    <row r="2301" spans="1:16" x14ac:dyDescent="0.25">
      <c r="A2301" t="s">
        <v>1413</v>
      </c>
      <c r="B2301" s="2">
        <v>45715</v>
      </c>
      <c r="C2301" t="str">
        <f>+"Tuáº§n "&amp;WEEKNUM(B2301)</f>
        <v>Tuáº§n 9</v>
      </c>
      <c r="D2301" t="s">
        <v>20</v>
      </c>
      <c r="E2301" t="s">
        <v>17</v>
      </c>
      <c r="F2301" s="5">
        <v>101200000</v>
      </c>
      <c r="G2301" s="5">
        <v>104200000</v>
      </c>
      <c r="H2301" s="5">
        <f>+(M2301*26000)/0.829426</f>
        <v>90379611.924391091</v>
      </c>
      <c r="I2301" s="5">
        <f>+G2301-H2301</f>
        <v>13820388.075608909</v>
      </c>
      <c r="J2301" s="5">
        <v>3000000</v>
      </c>
      <c r="K2301" s="5">
        <v>10120000</v>
      </c>
      <c r="L2301" s="5">
        <v>10420000</v>
      </c>
      <c r="M2301" s="7">
        <v>2883.2</v>
      </c>
      <c r="N2301" s="5">
        <v>101700000</v>
      </c>
      <c r="O2301" s="5">
        <v>104700000</v>
      </c>
      <c r="P2301" s="3">
        <v>0.97916666666666663</v>
      </c>
    </row>
    <row r="2302" spans="1:16" x14ac:dyDescent="0.25">
      <c r="A2302" t="s">
        <v>1414</v>
      </c>
      <c r="B2302" s="2">
        <v>45716</v>
      </c>
      <c r="C2302" t="str">
        <f>+"Tuáº§n "&amp;WEEKNUM(B2302)</f>
        <v>Tuáº§n 9</v>
      </c>
      <c r="D2302" t="s">
        <v>21</v>
      </c>
      <c r="E2302" t="s">
        <v>17</v>
      </c>
      <c r="F2302" s="5">
        <v>99500000</v>
      </c>
      <c r="G2302" s="5">
        <v>102500000</v>
      </c>
      <c r="H2302" s="5">
        <f>+(M2302*26000)/0.829426</f>
        <v>88925112.065452501</v>
      </c>
      <c r="I2302" s="5">
        <f>+G2302-H2302</f>
        <v>13574887.934547499</v>
      </c>
      <c r="J2302" s="5">
        <v>3000000</v>
      </c>
      <c r="K2302" s="5">
        <v>9950000</v>
      </c>
      <c r="L2302" s="5">
        <v>10250000</v>
      </c>
      <c r="M2302" s="7">
        <v>2836.8</v>
      </c>
      <c r="N2302" s="5">
        <v>100000000</v>
      </c>
      <c r="O2302" s="5">
        <v>103000000</v>
      </c>
      <c r="P2302" s="3">
        <v>0.97916666666666663</v>
      </c>
    </row>
    <row r="2303" spans="1:16" x14ac:dyDescent="0.25">
      <c r="A2303" s="2">
        <v>45719</v>
      </c>
      <c r="B2303" s="2">
        <v>45719</v>
      </c>
      <c r="C2303" t="str">
        <f>+"Tuáº§n "&amp;WEEKNUM(B2303)</f>
        <v>Tuáº§n 10</v>
      </c>
      <c r="D2303" t="s">
        <v>16</v>
      </c>
      <c r="E2303" t="s">
        <v>17</v>
      </c>
      <c r="F2303" s="5">
        <v>101400000</v>
      </c>
      <c r="G2303" s="5">
        <v>104400000</v>
      </c>
      <c r="H2303" s="5">
        <f>+(M2303*26000)/0.829426</f>
        <v>90599040.78242062</v>
      </c>
      <c r="I2303" s="5">
        <f>+G2303-H2303</f>
        <v>13800959.21757938</v>
      </c>
      <c r="J2303" s="5">
        <v>3000000</v>
      </c>
      <c r="K2303" s="5">
        <v>10140000</v>
      </c>
      <c r="L2303" s="5">
        <v>10440000</v>
      </c>
      <c r="M2303" s="7">
        <v>2890.2</v>
      </c>
      <c r="N2303" s="5">
        <v>101900000</v>
      </c>
      <c r="O2303" s="5">
        <v>104900000</v>
      </c>
      <c r="P2303" s="3">
        <v>0.97916666666666663</v>
      </c>
    </row>
    <row r="2304" spans="1:16" x14ac:dyDescent="0.25">
      <c r="A2304" s="2">
        <v>45750</v>
      </c>
      <c r="B2304" s="2">
        <v>45720</v>
      </c>
      <c r="C2304" t="str">
        <f>+"Tuáº§n "&amp;WEEKNUM(B2304)</f>
        <v>Tuáº§n 10</v>
      </c>
      <c r="D2304" t="s">
        <v>18</v>
      </c>
      <c r="E2304" t="s">
        <v>17</v>
      </c>
      <c r="F2304" s="5">
        <v>102100000</v>
      </c>
      <c r="G2304" s="5">
        <v>105100000</v>
      </c>
      <c r="H2304" s="5">
        <f>+(M2304*26000)/0.829426</f>
        <v>91207172.188959599</v>
      </c>
      <c r="I2304" s="5">
        <f>+G2304-H2304</f>
        <v>13892827.811040401</v>
      </c>
      <c r="J2304" s="5">
        <v>3000000</v>
      </c>
      <c r="K2304" s="5">
        <v>10210000</v>
      </c>
      <c r="L2304" s="5">
        <v>10510000</v>
      </c>
      <c r="M2304" s="7">
        <v>2909.6</v>
      </c>
      <c r="N2304" s="5">
        <v>102600000</v>
      </c>
      <c r="O2304" s="5">
        <v>105600000</v>
      </c>
      <c r="P2304" s="3">
        <v>0.97916666666666663</v>
      </c>
    </row>
    <row r="2305" spans="1:16" x14ac:dyDescent="0.25">
      <c r="A2305" s="2">
        <v>45780</v>
      </c>
      <c r="B2305" s="2">
        <v>45721</v>
      </c>
      <c r="C2305" t="str">
        <f>+"Tuáº§n "&amp;WEEKNUM(B2305)</f>
        <v>Tuáº§n 10</v>
      </c>
      <c r="D2305" t="s">
        <v>19</v>
      </c>
      <c r="E2305" t="s">
        <v>17</v>
      </c>
      <c r="F2305" s="5">
        <v>102300000</v>
      </c>
      <c r="G2305" s="5">
        <v>105300000</v>
      </c>
      <c r="H2305" s="5">
        <f>+(M2305*26000)/0.829426</f>
        <v>91385849.97335507</v>
      </c>
      <c r="I2305" s="5">
        <f>+G2305-H2305</f>
        <v>13914150.02664493</v>
      </c>
      <c r="J2305" s="5">
        <v>3000000</v>
      </c>
      <c r="K2305" s="5">
        <v>10230000</v>
      </c>
      <c r="L2305" s="5">
        <v>10530000</v>
      </c>
      <c r="M2305" s="7">
        <v>2915.3</v>
      </c>
      <c r="N2305" s="5">
        <v>102800000</v>
      </c>
      <c r="O2305" s="5">
        <v>105800000</v>
      </c>
      <c r="P2305" s="3">
        <v>0.97916666666666663</v>
      </c>
    </row>
    <row r="2306" spans="1:16" x14ac:dyDescent="0.25">
      <c r="A2306" s="2">
        <v>45811</v>
      </c>
      <c r="B2306" s="2">
        <v>45722</v>
      </c>
      <c r="C2306" t="str">
        <f>+"Tuáº§n "&amp;WEEKNUM(B2306)</f>
        <v>Tuáº§n 10</v>
      </c>
      <c r="D2306" t="s">
        <v>20</v>
      </c>
      <c r="E2306" t="s">
        <v>17</v>
      </c>
      <c r="F2306" s="5">
        <v>102400000</v>
      </c>
      <c r="G2306" s="5">
        <v>105400000</v>
      </c>
      <c r="H2306" s="5">
        <f>+(M2306*26000)/0.829426</f>
        <v>91426601.046989128</v>
      </c>
      <c r="I2306" s="5">
        <f>+G2306-H2306</f>
        <v>13973398.953010872</v>
      </c>
      <c r="J2306" s="5">
        <v>3000000</v>
      </c>
      <c r="K2306" s="5">
        <v>10240000</v>
      </c>
      <c r="L2306" s="5">
        <v>10540000</v>
      </c>
      <c r="M2306" s="7">
        <v>2916.6</v>
      </c>
      <c r="N2306" s="5">
        <v>102900000</v>
      </c>
      <c r="O2306" s="5">
        <v>105900000</v>
      </c>
      <c r="P2306" s="3">
        <v>0.97916666666666663</v>
      </c>
    </row>
    <row r="2307" spans="1:16" x14ac:dyDescent="0.25">
      <c r="A2307" s="2">
        <v>45841</v>
      </c>
      <c r="B2307" s="2">
        <v>45723</v>
      </c>
      <c r="C2307" t="str">
        <f>+"Tuáº§n "&amp;WEEKNUM(B2307)</f>
        <v>Tuáº§n 10</v>
      </c>
      <c r="D2307" t="s">
        <v>21</v>
      </c>
      <c r="E2307" t="s">
        <v>17</v>
      </c>
      <c r="F2307" s="5">
        <v>102000000</v>
      </c>
      <c r="G2307" s="5">
        <v>105000000</v>
      </c>
      <c r="H2307" s="5">
        <f>+(M2307*26000)/0.829426</f>
        <v>91053571.988338917</v>
      </c>
      <c r="I2307" s="5">
        <f>+G2307-H2307</f>
        <v>13946428.011661083</v>
      </c>
      <c r="J2307" s="5">
        <v>3000000</v>
      </c>
      <c r="K2307" s="5">
        <v>10200000</v>
      </c>
      <c r="L2307" s="5">
        <v>10500000</v>
      </c>
      <c r="M2307" s="7">
        <v>2904.7</v>
      </c>
      <c r="N2307" s="5">
        <v>102500000</v>
      </c>
      <c r="O2307" s="5">
        <v>105500000</v>
      </c>
      <c r="P2307" s="3">
        <v>0.97916666666666663</v>
      </c>
    </row>
    <row r="2308" spans="1:16" x14ac:dyDescent="0.25">
      <c r="A2308" s="2">
        <v>45933</v>
      </c>
      <c r="B2308" s="2">
        <v>45726</v>
      </c>
      <c r="C2308" t="str">
        <f>+"Tuáº§n "&amp;WEEKNUM(B2308)</f>
        <v>Tuáº§n 11</v>
      </c>
      <c r="D2308" t="s">
        <v>16</v>
      </c>
      <c r="E2308" t="s">
        <v>17</v>
      </c>
      <c r="F2308" s="5">
        <v>101500000</v>
      </c>
      <c r="G2308" s="5">
        <v>104500000</v>
      </c>
      <c r="H2308" s="5">
        <f>+(M2308*26000)/0.829426</f>
        <v>90624118.36619541</v>
      </c>
      <c r="I2308" s="5">
        <f>+G2308-H2308</f>
        <v>13875881.63380459</v>
      </c>
      <c r="J2308" s="5">
        <v>3000000</v>
      </c>
      <c r="K2308" s="5">
        <v>10150000</v>
      </c>
      <c r="L2308" s="5">
        <v>10450000</v>
      </c>
      <c r="M2308" s="7">
        <v>2891</v>
      </c>
      <c r="N2308" s="5">
        <v>102000000</v>
      </c>
      <c r="O2308" s="5">
        <v>105000000</v>
      </c>
      <c r="P2308" s="3">
        <v>0.97916666666666663</v>
      </c>
    </row>
    <row r="2309" spans="1:16" x14ac:dyDescent="0.25">
      <c r="A2309" s="2">
        <v>45964</v>
      </c>
      <c r="B2309" s="2">
        <v>45727</v>
      </c>
      <c r="C2309" t="str">
        <f>+"Tuáº§n "&amp;WEEKNUM(B2309)</f>
        <v>Tuáº§n 11</v>
      </c>
      <c r="D2309" t="s">
        <v>18</v>
      </c>
      <c r="E2309" t="s">
        <v>17</v>
      </c>
      <c r="F2309" s="5">
        <v>102300000</v>
      </c>
      <c r="G2309" s="5">
        <v>105300000</v>
      </c>
      <c r="H2309" s="5">
        <f>+(M2309*26000)/0.829426</f>
        <v>91310617.222030655</v>
      </c>
      <c r="I2309" s="5">
        <f>+G2309-H2309</f>
        <v>13989382.777969345</v>
      </c>
      <c r="J2309" s="5">
        <v>3000000</v>
      </c>
      <c r="K2309" s="5">
        <v>10230000</v>
      </c>
      <c r="L2309" s="5">
        <v>10530000</v>
      </c>
      <c r="M2309" s="7">
        <v>2912.9</v>
      </c>
      <c r="N2309" s="5">
        <v>102800000</v>
      </c>
      <c r="O2309" s="5">
        <v>105800000</v>
      </c>
      <c r="P2309" s="3">
        <v>0.97916666666666663</v>
      </c>
    </row>
    <row r="2310" spans="1:16" x14ac:dyDescent="0.25">
      <c r="A2310" s="2">
        <v>45994</v>
      </c>
      <c r="B2310" s="2">
        <v>45728</v>
      </c>
      <c r="C2310" t="str">
        <f>+"Tuáº§n "&amp;WEEKNUM(B2310)</f>
        <v>Tuáº§n 11</v>
      </c>
      <c r="D2310" t="s">
        <v>19</v>
      </c>
      <c r="E2310" t="s">
        <v>17</v>
      </c>
      <c r="F2310" s="5">
        <v>103200000</v>
      </c>
      <c r="G2310" s="5">
        <v>106200000</v>
      </c>
      <c r="H2310" s="5">
        <f>+(M2310*26000)/0.829426</f>
        <v>92131908.090655461</v>
      </c>
      <c r="I2310" s="5">
        <f>+G2310-H2310</f>
        <v>14068091.909344539</v>
      </c>
      <c r="J2310" s="5">
        <v>3000000</v>
      </c>
      <c r="K2310" s="5">
        <v>10320000</v>
      </c>
      <c r="L2310" s="5">
        <v>10620000</v>
      </c>
      <c r="M2310" s="7">
        <v>2939.1</v>
      </c>
      <c r="N2310" s="5">
        <v>103700000</v>
      </c>
      <c r="O2310" s="5">
        <v>106700000</v>
      </c>
      <c r="P2310" s="3">
        <v>0.97916666666666663</v>
      </c>
    </row>
    <row r="2311" spans="1:16" x14ac:dyDescent="0.25">
      <c r="A2311" t="s">
        <v>1415</v>
      </c>
      <c r="B2311" s="2">
        <v>45729</v>
      </c>
      <c r="C2311" t="str">
        <f>+"Tuáº§n "&amp;WEEKNUM(B2311)</f>
        <v>Tuáº§n 11</v>
      </c>
      <c r="D2311" t="s">
        <v>20</v>
      </c>
      <c r="E2311" t="s">
        <v>17</v>
      </c>
      <c r="F2311" s="5">
        <v>104800000</v>
      </c>
      <c r="G2311" s="5">
        <v>107800000</v>
      </c>
      <c r="H2311" s="5">
        <f>+(M2311*26000)/0.829426</f>
        <v>93548791.573931858</v>
      </c>
      <c r="I2311" s="5">
        <f>+G2311-H2311</f>
        <v>14251208.426068142</v>
      </c>
      <c r="J2311" s="5">
        <v>3000000</v>
      </c>
      <c r="K2311" s="5">
        <v>10480000</v>
      </c>
      <c r="L2311" s="5">
        <v>10780000</v>
      </c>
      <c r="M2311" s="7">
        <v>2984.3</v>
      </c>
      <c r="N2311" s="5">
        <v>105300000</v>
      </c>
      <c r="O2311" s="5">
        <v>108300000</v>
      </c>
      <c r="P2311" s="3">
        <v>0.97916666666666663</v>
      </c>
    </row>
    <row r="2312" spans="1:16" x14ac:dyDescent="0.25">
      <c r="A2312" t="s">
        <v>1416</v>
      </c>
      <c r="B2312" s="2">
        <v>45730</v>
      </c>
      <c r="C2312" t="str">
        <f>+"Tuáº§n "&amp;WEEKNUM(B2312)</f>
        <v>Tuáº§n 11</v>
      </c>
      <c r="D2312" t="s">
        <v>21</v>
      </c>
      <c r="E2312" t="s">
        <v>17</v>
      </c>
      <c r="F2312" s="5">
        <v>105200000</v>
      </c>
      <c r="G2312" s="5">
        <v>108200000</v>
      </c>
      <c r="H2312" s="5">
        <f>+(M2312*26000)/0.829426</f>
        <v>93868530.767060593</v>
      </c>
      <c r="I2312" s="5">
        <f>+G2312-H2312</f>
        <v>14331469.232939407</v>
      </c>
      <c r="J2312" s="5">
        <v>3000000</v>
      </c>
      <c r="K2312" s="5">
        <v>10520000</v>
      </c>
      <c r="L2312" s="5">
        <v>10820000</v>
      </c>
      <c r="M2312" s="7">
        <v>2994.5</v>
      </c>
      <c r="N2312" s="5">
        <v>105700000</v>
      </c>
      <c r="O2312" s="5">
        <v>108700000</v>
      </c>
      <c r="P2312" s="3">
        <v>0.97916666666666663</v>
      </c>
    </row>
    <row r="2313" spans="1:16" x14ac:dyDescent="0.25">
      <c r="A2313" t="s">
        <v>1417</v>
      </c>
      <c r="B2313" s="2">
        <v>45733</v>
      </c>
      <c r="C2313" t="str">
        <f>+"Tuáº§n "&amp;WEEKNUM(B2313)</f>
        <v>Tuáº§n 12</v>
      </c>
      <c r="D2313" t="s">
        <v>16</v>
      </c>
      <c r="E2313" t="s">
        <v>17</v>
      </c>
      <c r="F2313" s="5">
        <v>105400000</v>
      </c>
      <c r="G2313" s="5">
        <v>108400000</v>
      </c>
      <c r="H2313" s="5">
        <f>+(M2313*26000)/0.829426</f>
        <v>94040939.155512363</v>
      </c>
      <c r="I2313" s="5">
        <f>+G2313-H2313</f>
        <v>14359060.844487637</v>
      </c>
      <c r="J2313" s="5">
        <v>3000000</v>
      </c>
      <c r="K2313" s="5">
        <v>10540000</v>
      </c>
      <c r="L2313" s="5">
        <v>10840000</v>
      </c>
      <c r="M2313" s="7">
        <v>3000</v>
      </c>
      <c r="N2313" s="5">
        <v>105900000</v>
      </c>
      <c r="O2313" s="5">
        <v>108900000</v>
      </c>
      <c r="P2313" s="3">
        <v>0.97916666666666663</v>
      </c>
    </row>
    <row r="2314" spans="1:16" x14ac:dyDescent="0.25">
      <c r="A2314" t="s">
        <v>1418</v>
      </c>
      <c r="B2314" s="2">
        <v>45734</v>
      </c>
      <c r="C2314" t="str">
        <f>+"Tuáº§n "&amp;WEEKNUM(B2314)</f>
        <v>Tuáº§n 12</v>
      </c>
      <c r="D2314" t="s">
        <v>18</v>
      </c>
      <c r="E2314" t="s">
        <v>17</v>
      </c>
      <c r="F2314" s="5">
        <v>106700000</v>
      </c>
      <c r="G2314" s="5">
        <v>109700000</v>
      </c>
      <c r="H2314" s="5">
        <f>+(M2314*26000)/0.829426</f>
        <v>95141218.143631861</v>
      </c>
      <c r="I2314" s="5">
        <f>+G2314-H2314</f>
        <v>14558781.856368139</v>
      </c>
      <c r="J2314" s="5">
        <v>3000000</v>
      </c>
      <c r="K2314" s="5">
        <v>10670000</v>
      </c>
      <c r="L2314" s="5">
        <v>10970000</v>
      </c>
      <c r="M2314" s="7">
        <v>3035.1</v>
      </c>
      <c r="N2314" s="5">
        <v>107200000</v>
      </c>
      <c r="O2314" s="5">
        <v>110200000</v>
      </c>
      <c r="P2314" s="3">
        <v>0.97916666666666663</v>
      </c>
    </row>
    <row r="2315" spans="1:16" x14ac:dyDescent="0.25">
      <c r="A2315" t="s">
        <v>1419</v>
      </c>
      <c r="B2315" s="2">
        <v>45735</v>
      </c>
      <c r="C2315" t="str">
        <f>+"Tuáº§n "&amp;WEEKNUM(B2315)</f>
        <v>Tuáº§n 12</v>
      </c>
      <c r="D2315" t="s">
        <v>19</v>
      </c>
      <c r="E2315" t="s">
        <v>17</v>
      </c>
      <c r="F2315" s="5">
        <v>106700000</v>
      </c>
      <c r="G2315" s="5">
        <v>109700000</v>
      </c>
      <c r="H2315" s="5">
        <f>+(M2315*26000)/0.829426</f>
        <v>95166295.727406666</v>
      </c>
      <c r="I2315" s="5">
        <f>+G2315-H2315</f>
        <v>14533704.272593334</v>
      </c>
      <c r="J2315" s="5">
        <v>3000000</v>
      </c>
      <c r="K2315" s="5">
        <v>10670000</v>
      </c>
      <c r="L2315" s="5">
        <v>10970000</v>
      </c>
      <c r="M2315" s="7">
        <v>3035.9</v>
      </c>
      <c r="N2315" s="5">
        <v>107200000</v>
      </c>
      <c r="O2315" s="5">
        <v>110200000</v>
      </c>
      <c r="P2315" s="3">
        <v>0.97916666666666663</v>
      </c>
    </row>
    <row r="2316" spans="1:16" x14ac:dyDescent="0.25">
      <c r="A2316" t="s">
        <v>1420</v>
      </c>
      <c r="B2316" s="2">
        <v>45736</v>
      </c>
      <c r="C2316" t="str">
        <f>+"Tuáº§n "&amp;WEEKNUM(B2316)</f>
        <v>Tuáº§n 12</v>
      </c>
      <c r="D2316" t="s">
        <v>20</v>
      </c>
      <c r="E2316" t="s">
        <v>17</v>
      </c>
      <c r="F2316" s="5">
        <v>106900000</v>
      </c>
      <c r="G2316" s="5">
        <v>109900000</v>
      </c>
      <c r="H2316" s="5">
        <f>+(M2316*26000)/0.829426</f>
        <v>95294818.344252527</v>
      </c>
      <c r="I2316" s="5">
        <f>+G2316-H2316</f>
        <v>14605181.655747473</v>
      </c>
      <c r="J2316" s="5">
        <v>3000000</v>
      </c>
      <c r="K2316" s="5">
        <v>10690000</v>
      </c>
      <c r="L2316" s="5">
        <v>10990000</v>
      </c>
      <c r="M2316" s="7">
        <v>3040</v>
      </c>
      <c r="N2316" s="5">
        <v>107400000</v>
      </c>
      <c r="O2316" s="5">
        <v>110400000</v>
      </c>
      <c r="P2316" s="3">
        <v>0.97916666666666663</v>
      </c>
    </row>
    <row r="2317" spans="1:16" x14ac:dyDescent="0.25">
      <c r="A2317" t="s">
        <v>1421</v>
      </c>
      <c r="B2317" s="2">
        <v>45737</v>
      </c>
      <c r="C2317" t="str">
        <f>+"Tuáº§n "&amp;WEEKNUM(B2317)</f>
        <v>Tuáº§n 12</v>
      </c>
      <c r="D2317" t="s">
        <v>21</v>
      </c>
      <c r="E2317" t="s">
        <v>17</v>
      </c>
      <c r="F2317" s="5">
        <v>106100000</v>
      </c>
      <c r="G2317" s="5">
        <v>109100000</v>
      </c>
      <c r="H2317" s="5">
        <f>+(M2317*26000)/0.829426</f>
        <v>94611454.186389148</v>
      </c>
      <c r="I2317" s="5">
        <f>+G2317-H2317</f>
        <v>14488545.813610852</v>
      </c>
      <c r="J2317" s="5">
        <v>3000000</v>
      </c>
      <c r="K2317" s="5">
        <v>10610000</v>
      </c>
      <c r="L2317" s="5">
        <v>10910000</v>
      </c>
      <c r="M2317" s="7">
        <v>3018.2</v>
      </c>
      <c r="N2317" s="5">
        <v>106600000</v>
      </c>
      <c r="O2317" s="5">
        <v>109600000</v>
      </c>
      <c r="P2317" s="3">
        <v>0.97916666666666663</v>
      </c>
    </row>
    <row r="2318" spans="1:16" x14ac:dyDescent="0.25">
      <c r="A2318" t="s">
        <v>1422</v>
      </c>
      <c r="B2318" s="2">
        <v>45740</v>
      </c>
      <c r="C2318" t="str">
        <f>+"Tuáº§n "&amp;WEEKNUM(B2318)</f>
        <v>Tuáº§n 13</v>
      </c>
      <c r="D2318" t="s">
        <v>16</v>
      </c>
      <c r="E2318" t="s">
        <v>17</v>
      </c>
      <c r="F2318" s="5">
        <v>105900000</v>
      </c>
      <c r="G2318" s="5">
        <v>108900000</v>
      </c>
      <c r="H2318" s="5">
        <f>+(M2318*26000)/0.829426</f>
        <v>94451584.589824766</v>
      </c>
      <c r="I2318" s="5">
        <f>+G2318-H2318</f>
        <v>14448415.410175234</v>
      </c>
      <c r="J2318" s="5">
        <v>3000000</v>
      </c>
      <c r="K2318" s="5">
        <v>10590000</v>
      </c>
      <c r="L2318" s="5">
        <v>10890000</v>
      </c>
      <c r="M2318" s="7">
        <v>3013.1</v>
      </c>
      <c r="N2318" s="5">
        <v>106400000</v>
      </c>
      <c r="O2318" s="5">
        <v>109400000</v>
      </c>
      <c r="P2318" s="3">
        <v>0.97916666666666663</v>
      </c>
    </row>
    <row r="2319" spans="1:16" x14ac:dyDescent="0.25">
      <c r="A2319" t="s">
        <v>1423</v>
      </c>
      <c r="B2319" s="2">
        <v>45741</v>
      </c>
      <c r="C2319" t="str">
        <f>+"Tuáº§n "&amp;WEEKNUM(B2319)</f>
        <v>Tuáº§n 13</v>
      </c>
      <c r="D2319" t="s">
        <v>18</v>
      </c>
      <c r="E2319" t="s">
        <v>17</v>
      </c>
      <c r="F2319" s="5">
        <v>106300000</v>
      </c>
      <c r="G2319" s="5">
        <v>109300000</v>
      </c>
      <c r="H2319" s="5">
        <f>+(M2319*26000)/0.829426</f>
        <v>94783862.574840918</v>
      </c>
      <c r="I2319" s="5">
        <f>+G2319-H2319</f>
        <v>14516137.425159082</v>
      </c>
      <c r="J2319" s="5">
        <v>3000000</v>
      </c>
      <c r="K2319" s="5">
        <v>10630000</v>
      </c>
      <c r="L2319" s="5">
        <v>10930000</v>
      </c>
      <c r="M2319" s="7">
        <v>3023.7</v>
      </c>
      <c r="N2319" s="5">
        <v>106800000</v>
      </c>
      <c r="O2319" s="5">
        <v>109800000</v>
      </c>
      <c r="P2319" s="3">
        <v>0.97916666666666663</v>
      </c>
    </row>
    <row r="2320" spans="1:16" x14ac:dyDescent="0.25">
      <c r="A2320" t="s">
        <v>1424</v>
      </c>
      <c r="B2320" s="2">
        <v>45742</v>
      </c>
      <c r="C2320" t="str">
        <f>+"Tuáº§n "&amp;WEEKNUM(B2320)</f>
        <v>Tuáº§n 13</v>
      </c>
      <c r="D2320" t="s">
        <v>19</v>
      </c>
      <c r="E2320" t="s">
        <v>17</v>
      </c>
      <c r="F2320" s="5">
        <v>106200000</v>
      </c>
      <c r="G2320" s="5">
        <v>109200000</v>
      </c>
      <c r="H2320" s="5">
        <f>+(M2320*26000)/0.829426</f>
        <v>94696091.0316291</v>
      </c>
      <c r="I2320" s="5">
        <f>+G2320-H2320</f>
        <v>14503908.9683709</v>
      </c>
      <c r="J2320" s="5">
        <v>3000000</v>
      </c>
      <c r="K2320" s="5">
        <v>10620000</v>
      </c>
      <c r="L2320" s="5">
        <v>10920000</v>
      </c>
      <c r="M2320" s="7">
        <v>3020.9</v>
      </c>
      <c r="N2320" s="5">
        <v>106700000</v>
      </c>
      <c r="O2320" s="5">
        <v>109700000</v>
      </c>
      <c r="P2320" s="3">
        <v>0.97916666666666663</v>
      </c>
    </row>
    <row r="2321" spans="1:16" x14ac:dyDescent="0.25">
      <c r="A2321" t="s">
        <v>1425</v>
      </c>
      <c r="B2321" s="2">
        <v>45743</v>
      </c>
      <c r="C2321" t="str">
        <f>+"Tuáº§n "&amp;WEEKNUM(B2321)</f>
        <v>Tuáº§n 13</v>
      </c>
      <c r="D2321" t="s">
        <v>20</v>
      </c>
      <c r="E2321" t="s">
        <v>17</v>
      </c>
      <c r="F2321" s="5">
        <v>107600000</v>
      </c>
      <c r="G2321" s="5">
        <v>110600000</v>
      </c>
      <c r="H2321" s="5">
        <f>+(M2321*26000)/0.829426</f>
        <v>95928027.33456631</v>
      </c>
      <c r="I2321" s="5">
        <f>+G2321-H2321</f>
        <v>14671972.66543369</v>
      </c>
      <c r="J2321" s="5">
        <v>3000000</v>
      </c>
      <c r="K2321" s="5">
        <v>10760000</v>
      </c>
      <c r="L2321" s="5">
        <v>11060000</v>
      </c>
      <c r="M2321" s="7">
        <v>3060.2</v>
      </c>
      <c r="N2321" s="5">
        <v>108100000</v>
      </c>
      <c r="O2321" s="5">
        <v>111100000</v>
      </c>
      <c r="P2321" s="3">
        <v>0.97916666666666663</v>
      </c>
    </row>
    <row r="2322" spans="1:16" x14ac:dyDescent="0.25">
      <c r="A2322" t="s">
        <v>1426</v>
      </c>
      <c r="B2322" s="2">
        <v>45744</v>
      </c>
      <c r="C2322" t="str">
        <f>+"Tuáº§n "&amp;WEEKNUM(B2322)</f>
        <v>Tuáº§n 13</v>
      </c>
      <c r="D2322" t="s">
        <v>21</v>
      </c>
      <c r="E2322" t="s">
        <v>17</v>
      </c>
      <c r="F2322" s="5">
        <v>108500000</v>
      </c>
      <c r="G2322" s="5">
        <v>111500000</v>
      </c>
      <c r="H2322" s="5">
        <f>+(M2322*26000)/0.829426</f>
        <v>96752452.901162967</v>
      </c>
      <c r="I2322" s="5">
        <f>+G2322-H2322</f>
        <v>14747547.098837033</v>
      </c>
      <c r="J2322" s="5">
        <v>3000000</v>
      </c>
      <c r="K2322" s="5">
        <v>10850000</v>
      </c>
      <c r="L2322" s="5">
        <v>11150000</v>
      </c>
      <c r="M2322" s="7">
        <v>3086.5</v>
      </c>
      <c r="N2322" s="5">
        <v>109000000</v>
      </c>
      <c r="O2322" s="5">
        <v>112000000</v>
      </c>
      <c r="P2322" s="3">
        <v>0.97916666666666663</v>
      </c>
    </row>
    <row r="2323" spans="1:16" x14ac:dyDescent="0.25">
      <c r="A2323" t="s">
        <v>1427</v>
      </c>
      <c r="B2323" s="2">
        <v>45747</v>
      </c>
      <c r="C2323" t="str">
        <f>+"Tuáº§n "&amp;WEEKNUM(B2323)</f>
        <v>Tuáº§n 14</v>
      </c>
      <c r="D2323" t="s">
        <v>16</v>
      </c>
      <c r="E2323" t="s">
        <v>17</v>
      </c>
      <c r="F2323" s="5">
        <v>109800000</v>
      </c>
      <c r="G2323" s="5">
        <v>112800000</v>
      </c>
      <c r="H2323" s="5">
        <f>+(M2323*26000)/0.829426</f>
        <v>97890348.264944673</v>
      </c>
      <c r="I2323" s="5">
        <f>+G2323-H2323</f>
        <v>14909651.735055327</v>
      </c>
      <c r="J2323" s="5">
        <v>3000000</v>
      </c>
      <c r="K2323" s="5">
        <v>10980000</v>
      </c>
      <c r="L2323" s="5">
        <v>11280000</v>
      </c>
      <c r="M2323" s="7">
        <v>3122.8</v>
      </c>
      <c r="N2323" s="5">
        <v>110300000</v>
      </c>
      <c r="O2323" s="5">
        <v>113300000</v>
      </c>
      <c r="P2323" s="3">
        <v>0.97916666666666663</v>
      </c>
    </row>
    <row r="2324" spans="1:16" x14ac:dyDescent="0.25">
      <c r="A2324" s="2">
        <v>45661</v>
      </c>
      <c r="B2324" s="2">
        <v>45748</v>
      </c>
      <c r="C2324" t="str">
        <f>+"Tuáº§n "&amp;WEEKNUM(B2324)</f>
        <v>Tuáº§n 14</v>
      </c>
      <c r="D2324" t="s">
        <v>18</v>
      </c>
      <c r="E2324" t="s">
        <v>17</v>
      </c>
      <c r="F2324" s="5">
        <v>109700000</v>
      </c>
      <c r="G2324" s="5">
        <v>112700000</v>
      </c>
      <c r="H2324" s="5">
        <f>+(M2324*26000)/0.829426</f>
        <v>97768095.044042513</v>
      </c>
      <c r="I2324" s="5">
        <f>+G2324-H2324</f>
        <v>14931904.955957487</v>
      </c>
      <c r="J2324" s="5">
        <v>3000000</v>
      </c>
      <c r="K2324" s="5">
        <v>10970000</v>
      </c>
      <c r="L2324" s="5">
        <v>11270000</v>
      </c>
      <c r="M2324" s="7">
        <v>3118.9</v>
      </c>
      <c r="N2324" s="5">
        <v>110200000</v>
      </c>
      <c r="O2324" s="5">
        <v>113200000</v>
      </c>
      <c r="P2324" s="3">
        <v>0.97916666666666663</v>
      </c>
    </row>
    <row r="2325" spans="1:16" x14ac:dyDescent="0.25">
      <c r="A2325" s="2">
        <v>45692</v>
      </c>
      <c r="B2325" s="2">
        <v>45749</v>
      </c>
      <c r="C2325" t="str">
        <f>+"Tuáº§n "&amp;WEEKNUM(B2325)</f>
        <v>Tuáº§n 14</v>
      </c>
      <c r="D2325" t="s">
        <v>19</v>
      </c>
      <c r="E2325" t="s">
        <v>17</v>
      </c>
      <c r="F2325" s="5">
        <v>110500000</v>
      </c>
      <c r="G2325" s="5">
        <v>113500000</v>
      </c>
      <c r="H2325" s="5">
        <f>+(M2325*26000)/0.829426</f>
        <v>98426381.618131086</v>
      </c>
      <c r="I2325" s="5">
        <f>+G2325-H2325</f>
        <v>15073618.381868914</v>
      </c>
      <c r="J2325" s="5">
        <v>3000000</v>
      </c>
      <c r="K2325" s="5">
        <v>11050000</v>
      </c>
      <c r="L2325" s="5">
        <v>11350000</v>
      </c>
      <c r="M2325" s="7">
        <v>3139.9</v>
      </c>
      <c r="N2325" s="5">
        <v>111000000</v>
      </c>
      <c r="O2325" s="5">
        <v>114000000</v>
      </c>
      <c r="P2325" s="3">
        <v>0.97916666666666663</v>
      </c>
    </row>
    <row r="2326" spans="1:16" x14ac:dyDescent="0.25">
      <c r="A2326" s="2">
        <v>45720</v>
      </c>
      <c r="B2326" s="2">
        <v>45750</v>
      </c>
      <c r="C2326" t="str">
        <f>+"Tuáº§n "&amp;WEEKNUM(B2326)</f>
        <v>Tuáº§n 14</v>
      </c>
      <c r="D2326" t="s">
        <v>20</v>
      </c>
      <c r="E2326" t="s">
        <v>17</v>
      </c>
      <c r="F2326" s="5">
        <v>108900000</v>
      </c>
      <c r="G2326" s="5">
        <v>111900000</v>
      </c>
      <c r="H2326" s="5">
        <f>+(M2326*26000)/0.829426</f>
        <v>97081596.188207269</v>
      </c>
      <c r="I2326" s="5">
        <f>+G2326-H2326</f>
        <v>14818403.811792731</v>
      </c>
      <c r="J2326" s="5">
        <v>3000000</v>
      </c>
      <c r="K2326" s="5">
        <v>10890000</v>
      </c>
      <c r="L2326" s="5">
        <v>11190000</v>
      </c>
      <c r="M2326" s="7">
        <v>3097</v>
      </c>
      <c r="N2326" s="5">
        <v>109400000</v>
      </c>
      <c r="O2326" s="5">
        <v>112400000</v>
      </c>
      <c r="P2326" s="3">
        <v>0.97916666666666663</v>
      </c>
    </row>
    <row r="2327" spans="1:16" x14ac:dyDescent="0.25">
      <c r="A2327" s="2">
        <v>45751</v>
      </c>
      <c r="B2327" s="2">
        <v>45751</v>
      </c>
      <c r="C2327" t="str">
        <f>+"Tuáº§n "&amp;WEEKNUM(B2327)</f>
        <v>Tuáº§n 14</v>
      </c>
      <c r="D2327" t="s">
        <v>21</v>
      </c>
      <c r="E2327" t="s">
        <v>17</v>
      </c>
      <c r="F2327" s="5">
        <v>105800000</v>
      </c>
      <c r="G2327" s="5">
        <v>108800000</v>
      </c>
      <c r="H2327" s="5">
        <f>+(M2327*26000)/0.829426</f>
        <v>94417102.912134409</v>
      </c>
      <c r="I2327" s="5">
        <f>+G2327-H2327</f>
        <v>14382897.087865591</v>
      </c>
      <c r="J2327" s="5">
        <v>3000000</v>
      </c>
      <c r="K2327" s="5">
        <v>10580000</v>
      </c>
      <c r="L2327" s="5">
        <v>10880000</v>
      </c>
      <c r="M2327" s="7">
        <v>3012</v>
      </c>
      <c r="N2327" s="5">
        <v>106300000</v>
      </c>
      <c r="O2327" s="5">
        <v>109300000</v>
      </c>
      <c r="P2327" s="3">
        <v>0.97916666666666663</v>
      </c>
    </row>
    <row r="2328" spans="1:16" x14ac:dyDescent="0.25">
      <c r="A2328" s="2">
        <v>45842</v>
      </c>
      <c r="B2328" s="2">
        <v>45754</v>
      </c>
      <c r="C2328" t="str">
        <f>+"Tuáº§n "&amp;WEEKNUM(B2328)</f>
        <v>Tuáº§n 15</v>
      </c>
      <c r="D2328" t="s">
        <v>16</v>
      </c>
      <c r="E2328" t="s">
        <v>17</v>
      </c>
      <c r="F2328" s="5">
        <v>103600000</v>
      </c>
      <c r="G2328" s="5">
        <v>106600000</v>
      </c>
      <c r="H2328" s="5">
        <f>+(M2328*26000)/0.829426</f>
        <v>92514341.243221223</v>
      </c>
      <c r="I2328" s="5">
        <f>+G2328-H2328</f>
        <v>14085658.756778777</v>
      </c>
      <c r="J2328" s="5">
        <v>3000000</v>
      </c>
      <c r="K2328" s="5">
        <v>10360000</v>
      </c>
      <c r="L2328" s="5">
        <v>10660000</v>
      </c>
      <c r="M2328" s="7">
        <v>2951.3</v>
      </c>
      <c r="N2328" s="5">
        <v>104100000</v>
      </c>
      <c r="O2328" s="5">
        <v>107100000</v>
      </c>
      <c r="P2328" s="3">
        <v>0.97916666666666663</v>
      </c>
    </row>
    <row r="2329" spans="1:16" x14ac:dyDescent="0.25">
      <c r="A2329" s="2">
        <v>45873</v>
      </c>
      <c r="B2329" s="2">
        <v>45755</v>
      </c>
      <c r="C2329" t="str">
        <f>+"Tuáº§n "&amp;WEEKNUM(B2329)</f>
        <v>Tuáº§n 15</v>
      </c>
      <c r="D2329" t="s">
        <v>18</v>
      </c>
      <c r="E2329" t="s">
        <v>17</v>
      </c>
      <c r="F2329" s="5">
        <v>104300000</v>
      </c>
      <c r="G2329" s="5">
        <v>107300000</v>
      </c>
      <c r="H2329" s="5">
        <f>+(M2329*26000)/0.829426</f>
        <v>93050374.596407637</v>
      </c>
      <c r="I2329" s="5">
        <f>+G2329-H2329</f>
        <v>14249625.403592363</v>
      </c>
      <c r="J2329" s="5">
        <v>3000000</v>
      </c>
      <c r="K2329" s="5">
        <v>10430000</v>
      </c>
      <c r="L2329" s="5">
        <v>10730000</v>
      </c>
      <c r="M2329" s="7">
        <v>2968.4</v>
      </c>
      <c r="N2329" s="5">
        <v>104800000</v>
      </c>
      <c r="O2329" s="5">
        <v>107800000</v>
      </c>
      <c r="P2329" s="3">
        <v>0.97916666666666663</v>
      </c>
    </row>
    <row r="2330" spans="1:16" x14ac:dyDescent="0.25">
      <c r="A2330" s="2">
        <v>45904</v>
      </c>
      <c r="B2330" s="2">
        <v>45756</v>
      </c>
      <c r="C2330" t="str">
        <f>+"Tuáº§n "&amp;WEEKNUM(B2330)</f>
        <v>Tuáº§n 15</v>
      </c>
      <c r="D2330" t="s">
        <v>19</v>
      </c>
      <c r="E2330" t="s">
        <v>17</v>
      </c>
      <c r="F2330" s="5">
        <v>107400000</v>
      </c>
      <c r="G2330" s="5">
        <v>110400000</v>
      </c>
      <c r="H2330" s="5">
        <f>+(M2330*26000)/0.829426</f>
        <v>95812043.509607852</v>
      </c>
      <c r="I2330" s="5">
        <f>+G2330-H2330</f>
        <v>14587956.490392148</v>
      </c>
      <c r="J2330" s="5">
        <v>3000000</v>
      </c>
      <c r="K2330" s="5">
        <v>10740000</v>
      </c>
      <c r="L2330" s="5">
        <v>11040000</v>
      </c>
      <c r="M2330" s="7">
        <v>3056.5</v>
      </c>
      <c r="N2330" s="5">
        <v>107900000</v>
      </c>
      <c r="O2330" s="5">
        <v>110900000</v>
      </c>
      <c r="P2330" s="3">
        <v>0.97916666666666663</v>
      </c>
    </row>
    <row r="2331" spans="1:16" x14ac:dyDescent="0.25">
      <c r="A2331" s="2">
        <v>45934</v>
      </c>
      <c r="B2331" s="2">
        <v>45757</v>
      </c>
      <c r="C2331" t="str">
        <f>+"Tuáº§n "&amp;WEEKNUM(B2331)</f>
        <v>Tuáº§n 15</v>
      </c>
      <c r="D2331" t="s">
        <v>20</v>
      </c>
      <c r="E2331" t="s">
        <v>17</v>
      </c>
      <c r="F2331" s="5">
        <v>111000000</v>
      </c>
      <c r="G2331" s="5">
        <v>114000000</v>
      </c>
      <c r="H2331" s="5">
        <f>+(M2331*26000)/0.829426</f>
        <v>98905990.407824203</v>
      </c>
      <c r="I2331" s="5">
        <f>+G2331-H2331</f>
        <v>15094009.592175797</v>
      </c>
      <c r="J2331" s="5">
        <v>3000000</v>
      </c>
      <c r="K2331" s="5">
        <v>11100000</v>
      </c>
      <c r="L2331" s="5">
        <v>11400000</v>
      </c>
      <c r="M2331" s="7">
        <v>3155.2</v>
      </c>
      <c r="N2331" s="5">
        <v>111500000</v>
      </c>
      <c r="O2331" s="5">
        <v>114500000</v>
      </c>
      <c r="P2331" s="3">
        <v>0.97916666666666663</v>
      </c>
    </row>
    <row r="2332" spans="1:16" x14ac:dyDescent="0.25">
      <c r="A2332" s="2">
        <v>45965</v>
      </c>
      <c r="B2332" s="2">
        <v>45758</v>
      </c>
      <c r="C2332" t="str">
        <f>+"Tuáº§n "&amp;WEEKNUM(B2332)</f>
        <v>Tuáº§n 15</v>
      </c>
      <c r="D2332" t="s">
        <v>21</v>
      </c>
      <c r="E2332" t="s">
        <v>17</v>
      </c>
      <c r="F2332" s="5">
        <v>113400000</v>
      </c>
      <c r="G2332" s="5">
        <v>116400000</v>
      </c>
      <c r="H2332" s="5">
        <f>+(M2332*26000)/0.829426</f>
        <v>101006238.04896398</v>
      </c>
      <c r="I2332" s="5">
        <f>+G2332-H2332</f>
        <v>15393761.951036021</v>
      </c>
      <c r="J2332" s="5">
        <v>3000000</v>
      </c>
      <c r="K2332" s="5">
        <v>11340000</v>
      </c>
      <c r="L2332" s="5">
        <v>11640000</v>
      </c>
      <c r="M2332" s="7">
        <v>3222.2</v>
      </c>
      <c r="N2332" s="5">
        <v>113900000</v>
      </c>
      <c r="O2332" s="5">
        <v>116900000</v>
      </c>
      <c r="P2332" s="3">
        <v>0.97916666666666663</v>
      </c>
    </row>
    <row r="2333" spans="1:16" x14ac:dyDescent="0.25">
      <c r="A2333" t="s">
        <v>1428</v>
      </c>
      <c r="B2333" s="2">
        <v>45761</v>
      </c>
      <c r="C2333" t="str">
        <f>+"Tuáº§n "&amp;WEEKNUM(B2333)</f>
        <v>Tuáº§n 16</v>
      </c>
      <c r="D2333" t="s">
        <v>16</v>
      </c>
      <c r="E2333" t="s">
        <v>17</v>
      </c>
      <c r="F2333" s="5">
        <v>112800000</v>
      </c>
      <c r="G2333" s="5">
        <v>115800000</v>
      </c>
      <c r="H2333" s="5">
        <f>+(M2333*26000)/0.829426</f>
        <v>100460800.60186201</v>
      </c>
      <c r="I2333" s="5">
        <f>+G2333-H2333</f>
        <v>15339199.398137987</v>
      </c>
      <c r="J2333" s="5">
        <v>3000000</v>
      </c>
      <c r="K2333" s="5">
        <v>11280000</v>
      </c>
      <c r="L2333" s="5">
        <v>11580000</v>
      </c>
      <c r="M2333" s="7">
        <v>3204.8</v>
      </c>
      <c r="N2333" s="5">
        <v>113300000</v>
      </c>
      <c r="O2333" s="5">
        <v>116300000</v>
      </c>
      <c r="P2333" s="3">
        <v>0.97916666666666663</v>
      </c>
    </row>
    <row r="2334" spans="1:16" x14ac:dyDescent="0.25">
      <c r="A2334" t="s">
        <v>1429</v>
      </c>
      <c r="B2334" s="2">
        <v>45762</v>
      </c>
      <c r="C2334" t="str">
        <f>+"Tuáº§n "&amp;WEEKNUM(B2334)</f>
        <v>Tuáº§n 16</v>
      </c>
      <c r="D2334" t="s">
        <v>18</v>
      </c>
      <c r="E2334" t="s">
        <v>17</v>
      </c>
      <c r="F2334" s="5">
        <v>113300000</v>
      </c>
      <c r="G2334" s="5">
        <v>116300000</v>
      </c>
      <c r="H2334" s="5">
        <f>+(M2334*26000)/0.829426</f>
        <v>100896523.61994922</v>
      </c>
      <c r="I2334" s="5">
        <f>+G2334-H2334</f>
        <v>15403476.380050778</v>
      </c>
      <c r="J2334" s="5">
        <v>3000000</v>
      </c>
      <c r="K2334" s="5">
        <v>11330000</v>
      </c>
      <c r="L2334" s="5">
        <v>11630000</v>
      </c>
      <c r="M2334" s="7">
        <v>3218.7</v>
      </c>
      <c r="N2334" s="5">
        <v>113800000</v>
      </c>
      <c r="O2334" s="5">
        <v>116800000</v>
      </c>
      <c r="P2334" s="3">
        <v>0.97916666666666663</v>
      </c>
    </row>
    <row r="2335" spans="1:16" x14ac:dyDescent="0.25">
      <c r="A2335" t="s">
        <v>1430</v>
      </c>
      <c r="B2335" s="2">
        <v>45763</v>
      </c>
      <c r="C2335" t="str">
        <f>+"Tuáº§n "&amp;WEEKNUM(B2335)</f>
        <v>Tuáº§n 16</v>
      </c>
      <c r="D2335" t="s">
        <v>19</v>
      </c>
      <c r="E2335" t="s">
        <v>17</v>
      </c>
      <c r="F2335" s="5">
        <v>117200000</v>
      </c>
      <c r="G2335" s="5">
        <v>120200000</v>
      </c>
      <c r="H2335" s="5">
        <f>+(M2335*26000)/0.829426</f>
        <v>104278862.73157582</v>
      </c>
      <c r="I2335" s="5">
        <f>+G2335-H2335</f>
        <v>15921137.268424183</v>
      </c>
      <c r="J2335" s="5">
        <v>3000000</v>
      </c>
      <c r="K2335" s="5">
        <v>11720000</v>
      </c>
      <c r="L2335" s="5">
        <v>12020000</v>
      </c>
      <c r="M2335" s="7">
        <v>3326.6</v>
      </c>
      <c r="N2335" s="5">
        <v>117700000</v>
      </c>
      <c r="O2335" s="5">
        <v>120700000</v>
      </c>
      <c r="P2335" s="3">
        <v>0.97916666666666663</v>
      </c>
    </row>
    <row r="2336" spans="1:16" x14ac:dyDescent="0.25">
      <c r="A2336" t="s">
        <v>1431</v>
      </c>
      <c r="B2336" s="2">
        <v>45764</v>
      </c>
      <c r="C2336" t="str">
        <f>+"Tuáº§n "&amp;WEEKNUM(B2336)</f>
        <v>Tuáº§n 16</v>
      </c>
      <c r="D2336" t="s">
        <v>20</v>
      </c>
      <c r="E2336" t="s">
        <v>17</v>
      </c>
      <c r="F2336" s="5">
        <v>116600000</v>
      </c>
      <c r="G2336" s="5">
        <v>119600000</v>
      </c>
      <c r="H2336" s="5">
        <f>+(M2336*26000)/0.829426</f>
        <v>103717751.79461458</v>
      </c>
      <c r="I2336" s="5">
        <f>+G2336-H2336</f>
        <v>15882248.205385417</v>
      </c>
      <c r="J2336" s="5">
        <v>3000000</v>
      </c>
      <c r="K2336" s="5">
        <v>11660000</v>
      </c>
      <c r="L2336" s="5">
        <v>11960000</v>
      </c>
      <c r="M2336" s="7">
        <v>3308.7</v>
      </c>
      <c r="N2336" s="5">
        <v>117100000</v>
      </c>
      <c r="O2336" s="5">
        <v>120100000</v>
      </c>
      <c r="P2336" s="3">
        <v>0.97916666666666663</v>
      </c>
    </row>
    <row r="2337" spans="1:16" x14ac:dyDescent="0.25">
      <c r="A2337" t="s">
        <v>1432</v>
      </c>
      <c r="B2337" s="2">
        <v>45768</v>
      </c>
      <c r="C2337" t="str">
        <f>+"Tuáº§n "&amp;WEEKNUM(B2337)</f>
        <v>Tuáº§n 17</v>
      </c>
      <c r="D2337" t="s">
        <v>16</v>
      </c>
      <c r="E2337" t="s">
        <v>17</v>
      </c>
      <c r="F2337" s="5">
        <v>120100000</v>
      </c>
      <c r="G2337" s="5">
        <v>123100000</v>
      </c>
      <c r="H2337" s="5">
        <f>+(M2337*26000)/0.829426</f>
        <v>106774082.31716874</v>
      </c>
      <c r="I2337" s="5">
        <f>+G2337-H2337</f>
        <v>16325917.682831258</v>
      </c>
      <c r="J2337" s="5">
        <v>3000000</v>
      </c>
      <c r="K2337" s="5">
        <v>12010000</v>
      </c>
      <c r="L2337" s="5">
        <v>12310000</v>
      </c>
      <c r="M2337" s="7">
        <v>3406.2</v>
      </c>
      <c r="N2337" s="5">
        <v>120600000</v>
      </c>
      <c r="O2337" s="5">
        <v>123600000</v>
      </c>
      <c r="P2337" s="3">
        <v>0.97916666666666663</v>
      </c>
    </row>
    <row r="2338" spans="1:16" x14ac:dyDescent="0.25">
      <c r="A2338" t="s">
        <v>1433</v>
      </c>
      <c r="B2338" s="2">
        <v>45769</v>
      </c>
      <c r="C2338" t="str">
        <f>+"Tuáº§n "&amp;WEEKNUM(B2338)</f>
        <v>Tuáº§n 17</v>
      </c>
      <c r="D2338" t="s">
        <v>18</v>
      </c>
      <c r="E2338" t="s">
        <v>17</v>
      </c>
      <c r="F2338" s="5">
        <v>119900000</v>
      </c>
      <c r="G2338" s="5">
        <v>122900000</v>
      </c>
      <c r="H2338" s="5">
        <f>+(M2338*26000)/0.829426</f>
        <v>106604808.62668882</v>
      </c>
      <c r="I2338" s="5">
        <f>+G2338-H2338</f>
        <v>16295191.373311177</v>
      </c>
      <c r="J2338" s="5">
        <v>3000000</v>
      </c>
      <c r="K2338" s="5">
        <v>11990000</v>
      </c>
      <c r="L2338" s="5">
        <v>12290000</v>
      </c>
      <c r="M2338" s="7">
        <v>3400.8</v>
      </c>
      <c r="N2338" s="5">
        <v>120400000</v>
      </c>
      <c r="O2338" s="5">
        <v>123400000</v>
      </c>
      <c r="P2338" s="3">
        <v>0.97916666666666663</v>
      </c>
    </row>
    <row r="2339" spans="1:16" x14ac:dyDescent="0.25">
      <c r="A2339" t="s">
        <v>1434</v>
      </c>
      <c r="B2339" s="2">
        <v>45770</v>
      </c>
      <c r="C2339" t="str">
        <f>+"Tuáº§n "&amp;WEEKNUM(B2339)</f>
        <v>Tuáº§n 17</v>
      </c>
      <c r="D2339" t="s">
        <v>19</v>
      </c>
      <c r="E2339" t="s">
        <v>17</v>
      </c>
      <c r="F2339" s="5">
        <v>115400000</v>
      </c>
      <c r="G2339" s="5">
        <v>118400000</v>
      </c>
      <c r="H2339" s="5">
        <f>+(M2339*26000)/0.829426</f>
        <v>102702109.65173505</v>
      </c>
      <c r="I2339" s="5">
        <f>+G2339-H2339</f>
        <v>15697890.348264948</v>
      </c>
      <c r="J2339" s="5">
        <v>3000000</v>
      </c>
      <c r="K2339" s="5">
        <v>11540000</v>
      </c>
      <c r="L2339" s="5">
        <v>11840000</v>
      </c>
      <c r="M2339" s="7">
        <v>3276.3</v>
      </c>
      <c r="N2339" s="5">
        <v>115900000</v>
      </c>
      <c r="O2339" s="5">
        <v>118900000</v>
      </c>
      <c r="P2339" s="3">
        <v>0.97916666666666663</v>
      </c>
    </row>
    <row r="2340" spans="1:16" x14ac:dyDescent="0.25">
      <c r="A2340" t="s">
        <v>1435</v>
      </c>
      <c r="B2340" s="2">
        <v>45771</v>
      </c>
      <c r="C2340" t="str">
        <f>+"Tuáº§n "&amp;WEEKNUM(B2340)</f>
        <v>Tuáº§n 17</v>
      </c>
      <c r="D2340" t="s">
        <v>20</v>
      </c>
      <c r="E2340" t="s">
        <v>17</v>
      </c>
      <c r="F2340" s="5">
        <v>117400000</v>
      </c>
      <c r="G2340" s="5">
        <v>120400000</v>
      </c>
      <c r="H2340" s="5">
        <f>+(M2340*26000)/0.829426</f>
        <v>104448136.42205574</v>
      </c>
      <c r="I2340" s="5">
        <f>+G2340-H2340</f>
        <v>15951863.577944264</v>
      </c>
      <c r="J2340" s="5">
        <v>3000000</v>
      </c>
      <c r="K2340" s="5">
        <v>11740000</v>
      </c>
      <c r="L2340" s="5">
        <v>12040000</v>
      </c>
      <c r="M2340" s="7">
        <v>3332</v>
      </c>
      <c r="N2340" s="5">
        <v>117900000</v>
      </c>
      <c r="O2340" s="5">
        <v>120900000</v>
      </c>
      <c r="P2340" s="3">
        <v>0.97916666666666663</v>
      </c>
    </row>
    <row r="2341" spans="1:16" x14ac:dyDescent="0.25">
      <c r="A2341" t="s">
        <v>1436</v>
      </c>
      <c r="B2341" s="2">
        <v>45772</v>
      </c>
      <c r="C2341" t="str">
        <f>+"Tuáº§n "&amp;WEEKNUM(B2341)</f>
        <v>Tuáº§n 17</v>
      </c>
      <c r="D2341" t="s">
        <v>21</v>
      </c>
      <c r="E2341" t="s">
        <v>17</v>
      </c>
      <c r="F2341" s="5">
        <v>115600000</v>
      </c>
      <c r="G2341" s="5">
        <v>118600000</v>
      </c>
      <c r="H2341" s="5">
        <f>+(M2341*26000)/0.829426</f>
        <v>102893326.22801793</v>
      </c>
      <c r="I2341" s="5">
        <f>+G2341-H2341</f>
        <v>15706673.771982074</v>
      </c>
      <c r="J2341" s="5">
        <v>3000000</v>
      </c>
      <c r="K2341" s="5">
        <v>11560000</v>
      </c>
      <c r="L2341" s="5">
        <v>11860000</v>
      </c>
      <c r="M2341" s="7">
        <v>3282.4</v>
      </c>
      <c r="N2341" s="5">
        <v>116100000</v>
      </c>
      <c r="O2341" s="5">
        <v>119100000</v>
      </c>
      <c r="P2341" s="3">
        <v>0.97916666666666663</v>
      </c>
    </row>
    <row r="2342" spans="1:16" x14ac:dyDescent="0.25">
      <c r="A2342" t="s">
        <v>1437</v>
      </c>
      <c r="B2342" s="2">
        <v>45775</v>
      </c>
      <c r="C2342" t="str">
        <f>+"Tuáº§n "&amp;WEEKNUM(B2342)</f>
        <v>Tuáº§n 18</v>
      </c>
      <c r="D2342" t="s">
        <v>16</v>
      </c>
      <c r="E2342" t="s">
        <v>17</v>
      </c>
      <c r="F2342" s="5">
        <v>117400000</v>
      </c>
      <c r="G2342" s="5">
        <v>120400000</v>
      </c>
      <c r="H2342" s="5">
        <f>+(M2342*26000)/0.829426</f>
        <v>104463809.91191499</v>
      </c>
      <c r="I2342" s="5">
        <f>+G2342-H2342</f>
        <v>15936190.088085011</v>
      </c>
      <c r="J2342" s="5">
        <v>3000000</v>
      </c>
      <c r="K2342" s="5">
        <v>11740000</v>
      </c>
      <c r="L2342" s="5">
        <v>12040000</v>
      </c>
      <c r="M2342" s="7">
        <v>3332.5</v>
      </c>
      <c r="N2342" s="5">
        <v>117900000</v>
      </c>
      <c r="O2342" s="5">
        <v>120900000</v>
      </c>
      <c r="P2342" s="3">
        <v>0.97916666666666663</v>
      </c>
    </row>
    <row r="2343" spans="1:16" x14ac:dyDescent="0.25">
      <c r="A2343" t="s">
        <v>1438</v>
      </c>
      <c r="B2343" s="2">
        <v>45776</v>
      </c>
      <c r="C2343" t="str">
        <f>+"Tuáº§n "&amp;WEEKNUM(B2343)</f>
        <v>Tuáº§n 18</v>
      </c>
      <c r="D2343" t="s">
        <v>18</v>
      </c>
      <c r="E2343" t="s">
        <v>17</v>
      </c>
      <c r="F2343" s="5">
        <v>116900000</v>
      </c>
      <c r="G2343" s="5">
        <v>119900000</v>
      </c>
      <c r="H2343" s="5">
        <f>+(M2343*26000)/0.829426</f>
        <v>104034356.28977148</v>
      </c>
      <c r="I2343" s="5">
        <f>+G2343-H2343</f>
        <v>15865643.710228518</v>
      </c>
      <c r="J2343" s="5">
        <v>3000000</v>
      </c>
      <c r="K2343" s="5">
        <v>11690000</v>
      </c>
      <c r="L2343" s="5">
        <v>11990000</v>
      </c>
      <c r="M2343" s="7">
        <v>3318.8</v>
      </c>
      <c r="N2343" s="5">
        <v>117400000</v>
      </c>
      <c r="O2343" s="5">
        <v>120400000</v>
      </c>
      <c r="P2343" s="3">
        <v>0.97916666666666663</v>
      </c>
    </row>
    <row r="2344" spans="1:16" x14ac:dyDescent="0.25">
      <c r="A2344" t="s">
        <v>1439</v>
      </c>
      <c r="B2344" s="2">
        <v>45777</v>
      </c>
      <c r="C2344" t="str">
        <f>+"Tuáº§n "&amp;WEEKNUM(B2344)</f>
        <v>Tuáº§n 18</v>
      </c>
      <c r="D2344" t="s">
        <v>19</v>
      </c>
      <c r="E2344" t="s">
        <v>17</v>
      </c>
      <c r="F2344" s="5">
        <v>116400000</v>
      </c>
      <c r="G2344" s="5">
        <v>119400000</v>
      </c>
      <c r="H2344" s="5">
        <f>+(M2344*26000)/0.829426</f>
        <v>103601767.96965612</v>
      </c>
      <c r="I2344" s="5">
        <f>+G2344-H2344</f>
        <v>15798232.030343875</v>
      </c>
      <c r="J2344" s="5">
        <v>3000000</v>
      </c>
      <c r="K2344" s="5">
        <v>11640000</v>
      </c>
      <c r="L2344" s="5">
        <v>11940000</v>
      </c>
      <c r="M2344" s="7">
        <v>3305</v>
      </c>
      <c r="N2344" s="5">
        <v>116900000</v>
      </c>
      <c r="O2344" s="5">
        <v>119900000</v>
      </c>
      <c r="P2344" s="3">
        <v>0.97916666666666663</v>
      </c>
    </row>
    <row r="2345" spans="1:16" x14ac:dyDescent="0.25">
      <c r="A2345" s="2">
        <v>45662</v>
      </c>
      <c r="B2345" s="2">
        <v>45778</v>
      </c>
      <c r="C2345" t="str">
        <f>+"Tuáº§n "&amp;WEEKNUM(B2345)</f>
        <v>Tuáº§n 18</v>
      </c>
      <c r="D2345" t="s">
        <v>20</v>
      </c>
      <c r="E2345" t="s">
        <v>17</v>
      </c>
      <c r="F2345" s="5">
        <v>113000000</v>
      </c>
      <c r="G2345" s="5">
        <v>116000000</v>
      </c>
      <c r="H2345" s="5">
        <f>+(M2345*26000)/0.829426</f>
        <v>100623804.89639823</v>
      </c>
      <c r="I2345" s="5">
        <f>+G2345-H2345</f>
        <v>15376195.103601769</v>
      </c>
      <c r="J2345" s="5">
        <v>3000000</v>
      </c>
      <c r="K2345" s="5">
        <v>11300000</v>
      </c>
      <c r="L2345" s="5">
        <v>11600000</v>
      </c>
      <c r="M2345" s="7">
        <v>3210</v>
      </c>
      <c r="N2345" s="5">
        <v>113500000</v>
      </c>
      <c r="O2345" s="5">
        <v>116500000</v>
      </c>
      <c r="P2345" s="3">
        <v>0.97916666666666663</v>
      </c>
    </row>
    <row r="2346" spans="1:16" x14ac:dyDescent="0.25">
      <c r="A2346" s="2">
        <v>45693</v>
      </c>
      <c r="B2346" s="2">
        <v>45779</v>
      </c>
      <c r="C2346" t="str">
        <f>+"Tuáº§n "&amp;WEEKNUM(B2346)</f>
        <v>Tuáº§n 18</v>
      </c>
      <c r="D2346" t="s">
        <v>21</v>
      </c>
      <c r="E2346" t="s">
        <v>17</v>
      </c>
      <c r="F2346" s="5">
        <v>113800000</v>
      </c>
      <c r="G2346" s="5">
        <v>116800000</v>
      </c>
      <c r="H2346" s="5">
        <f>+(M2346*26000)/0.829426</f>
        <v>101310303.75223348</v>
      </c>
      <c r="I2346" s="5">
        <f>+G2346-H2346</f>
        <v>15489696.247766525</v>
      </c>
      <c r="J2346" s="5">
        <v>3000000</v>
      </c>
      <c r="K2346" s="5">
        <v>11380000</v>
      </c>
      <c r="L2346" s="5">
        <v>11680000</v>
      </c>
      <c r="M2346" s="7">
        <v>3231.9</v>
      </c>
      <c r="N2346" s="5">
        <v>114300000</v>
      </c>
      <c r="O2346" s="5">
        <v>117300000</v>
      </c>
      <c r="P2346" s="3">
        <v>0.97916666666666663</v>
      </c>
    </row>
    <row r="2347" spans="1:16" x14ac:dyDescent="0.25">
      <c r="A2347" s="2">
        <v>45782</v>
      </c>
      <c r="B2347" s="2">
        <v>45782</v>
      </c>
      <c r="C2347" t="str">
        <f>+"Tuáº§n "&amp;WEEKNUM(B2347)</f>
        <v>Tuáº§n 19</v>
      </c>
      <c r="D2347" t="s">
        <v>16</v>
      </c>
      <c r="E2347" t="s">
        <v>17</v>
      </c>
      <c r="F2347" s="5">
        <v>116700000</v>
      </c>
      <c r="G2347" s="5">
        <v>119700000</v>
      </c>
      <c r="H2347" s="5">
        <f>+(M2347*26000)/0.829426</f>
        <v>103799253.9418827</v>
      </c>
      <c r="I2347" s="5">
        <f>+G2347-H2347</f>
        <v>15900746.0581173</v>
      </c>
      <c r="J2347" s="5">
        <v>3000000</v>
      </c>
      <c r="K2347" s="5">
        <v>11670000</v>
      </c>
      <c r="L2347" s="5">
        <v>11970000</v>
      </c>
      <c r="M2347" s="7">
        <v>3311.3</v>
      </c>
      <c r="N2347" s="5">
        <v>117200000</v>
      </c>
      <c r="O2347" s="5">
        <v>120200000</v>
      </c>
      <c r="P2347" s="3">
        <v>0.97916666666666663</v>
      </c>
    </row>
    <row r="2348" spans="1:16" x14ac:dyDescent="0.25">
      <c r="A2348" s="2">
        <v>45813</v>
      </c>
      <c r="B2348" s="2">
        <v>45783</v>
      </c>
      <c r="C2348" t="str">
        <f>+"Tuáº§n "&amp;WEEKNUM(B2348)</f>
        <v>Tuáº§n 19</v>
      </c>
      <c r="D2348" t="s">
        <v>18</v>
      </c>
      <c r="E2348" t="s">
        <v>17</v>
      </c>
      <c r="F2348" s="5">
        <v>120300000</v>
      </c>
      <c r="G2348" s="5">
        <v>123300000</v>
      </c>
      <c r="H2348" s="5">
        <f>+(M2348*26000)/0.829426</f>
        <v>106937086.61170496</v>
      </c>
      <c r="I2348" s="5">
        <f>+G2348-H2348</f>
        <v>16362913.38829504</v>
      </c>
      <c r="J2348" s="5">
        <v>3000000</v>
      </c>
      <c r="K2348" s="5">
        <v>12030000</v>
      </c>
      <c r="L2348" s="5">
        <v>12330000</v>
      </c>
      <c r="M2348" s="7">
        <v>3411.4</v>
      </c>
      <c r="N2348" s="5">
        <v>120800000</v>
      </c>
      <c r="O2348" s="5">
        <v>123800000</v>
      </c>
      <c r="P2348" s="3">
        <v>0.97916666666666663</v>
      </c>
    </row>
    <row r="2349" spans="1:16" x14ac:dyDescent="0.25">
      <c r="A2349" s="2">
        <v>45843</v>
      </c>
      <c r="B2349" s="2">
        <v>45784</v>
      </c>
      <c r="C2349" t="str">
        <f>+"Tuáº§n "&amp;WEEKNUM(B2349)</f>
        <v>Tuáº§n 19</v>
      </c>
      <c r="D2349" t="s">
        <v>19</v>
      </c>
      <c r="E2349" t="s">
        <v>17</v>
      </c>
      <c r="F2349" s="5">
        <v>119200000</v>
      </c>
      <c r="G2349" s="5">
        <v>122200000</v>
      </c>
      <c r="H2349" s="5">
        <f>+(M2349*26000)/0.829426</f>
        <v>105996677.22014984</v>
      </c>
      <c r="I2349" s="5">
        <f>+G2349-H2349</f>
        <v>16203322.779850155</v>
      </c>
      <c r="J2349" s="5">
        <v>3000000</v>
      </c>
      <c r="K2349" s="5">
        <v>11920000</v>
      </c>
      <c r="L2349" s="5">
        <v>12220000</v>
      </c>
      <c r="M2349" s="7">
        <v>3381.4</v>
      </c>
      <c r="N2349" s="5">
        <v>119700000</v>
      </c>
      <c r="O2349" s="5">
        <v>122700000</v>
      </c>
      <c r="P2349" s="3">
        <v>0.97916666666666663</v>
      </c>
    </row>
    <row r="2350" spans="1:16" x14ac:dyDescent="0.25">
      <c r="A2350" s="2">
        <v>45874</v>
      </c>
      <c r="B2350" s="2">
        <v>45785</v>
      </c>
      <c r="C2350" t="str">
        <f>+"Tuáº§n "&amp;WEEKNUM(B2350)</f>
        <v>Tuáº§n 19</v>
      </c>
      <c r="D2350" t="s">
        <v>20</v>
      </c>
      <c r="E2350" t="s">
        <v>17</v>
      </c>
      <c r="F2350" s="5">
        <v>116100000</v>
      </c>
      <c r="G2350" s="5">
        <v>119100000</v>
      </c>
      <c r="H2350" s="5">
        <f>+(M2350*26000)/0.829426</f>
        <v>103338453.34002069</v>
      </c>
      <c r="I2350" s="5">
        <f>+G2350-H2350</f>
        <v>15761546.659979314</v>
      </c>
      <c r="J2350" s="5">
        <v>3000000</v>
      </c>
      <c r="K2350" s="5">
        <v>11610000</v>
      </c>
      <c r="L2350" s="5">
        <v>11910000</v>
      </c>
      <c r="M2350" s="7">
        <v>3296.6</v>
      </c>
      <c r="N2350" s="5">
        <v>116600000</v>
      </c>
      <c r="O2350" s="5">
        <v>119600000</v>
      </c>
      <c r="P2350" s="3">
        <v>0.97916666666666663</v>
      </c>
    </row>
    <row r="2351" spans="1:16" x14ac:dyDescent="0.25">
      <c r="A2351" s="2">
        <v>45905</v>
      </c>
      <c r="B2351" s="2">
        <v>45786</v>
      </c>
      <c r="C2351" t="str">
        <f>+"Tuáº§n "&amp;WEEKNUM(B2351)</f>
        <v>Tuáº§n 19</v>
      </c>
      <c r="D2351" t="s">
        <v>21</v>
      </c>
      <c r="E2351" t="s">
        <v>17</v>
      </c>
      <c r="F2351" s="5">
        <v>117500000</v>
      </c>
      <c r="G2351" s="5">
        <v>120500000</v>
      </c>
      <c r="H2351" s="5">
        <f>+(M2351*26000)/0.829426</f>
        <v>104554716.15309864</v>
      </c>
      <c r="I2351" s="5">
        <f>+G2351-H2351</f>
        <v>15945283.846901357</v>
      </c>
      <c r="J2351" s="5">
        <v>3000000</v>
      </c>
      <c r="K2351" s="5">
        <v>11750000</v>
      </c>
      <c r="L2351" s="5">
        <v>12050000</v>
      </c>
      <c r="M2351" s="7">
        <v>3335.4</v>
      </c>
      <c r="N2351" s="5">
        <v>118000000</v>
      </c>
      <c r="O2351" s="5">
        <v>121000000</v>
      </c>
      <c r="P2351" s="3">
        <v>0.97916666666666663</v>
      </c>
    </row>
    <row r="2352" spans="1:16" x14ac:dyDescent="0.25">
      <c r="A2352" s="2">
        <v>45996</v>
      </c>
      <c r="B2352" s="2">
        <v>45789</v>
      </c>
      <c r="C2352" t="str">
        <f>+"Tuáº§n "&amp;WEEKNUM(B2352)</f>
        <v>Tuáº§n 20</v>
      </c>
      <c r="D2352" t="s">
        <v>16</v>
      </c>
      <c r="E2352" t="s">
        <v>17</v>
      </c>
      <c r="F2352" s="5">
        <v>113400000</v>
      </c>
      <c r="G2352" s="5">
        <v>116400000</v>
      </c>
      <c r="H2352" s="5">
        <f>+(M2352*26000)/0.829426</f>
        <v>100937274.69358328</v>
      </c>
      <c r="I2352" s="5">
        <f>+G2352-H2352</f>
        <v>15462725.30641672</v>
      </c>
      <c r="J2352" s="5">
        <v>3000000</v>
      </c>
      <c r="K2352" s="5">
        <v>11340000</v>
      </c>
      <c r="L2352" s="5">
        <v>11640000</v>
      </c>
      <c r="M2352" s="7">
        <v>3220</v>
      </c>
      <c r="N2352" s="5">
        <v>113900000</v>
      </c>
      <c r="O2352" s="5">
        <v>116900000</v>
      </c>
      <c r="P2352" s="3">
        <v>0.97916666666666663</v>
      </c>
    </row>
    <row r="2353" spans="1:16" x14ac:dyDescent="0.25">
      <c r="A2353" t="s">
        <v>1440</v>
      </c>
      <c r="B2353" s="2">
        <v>45790</v>
      </c>
      <c r="C2353" t="str">
        <f>+"Tuáº§n "&amp;WEEKNUM(B2353)</f>
        <v>Tuáº§n 20</v>
      </c>
      <c r="D2353" t="s">
        <v>18</v>
      </c>
      <c r="E2353" t="s">
        <v>17</v>
      </c>
      <c r="F2353" s="5">
        <v>114100000</v>
      </c>
      <c r="G2353" s="5">
        <v>117100000</v>
      </c>
      <c r="H2353" s="5">
        <f>+(M2353*26000)/0.829426</f>
        <v>101573618.38186891</v>
      </c>
      <c r="I2353" s="5">
        <f>+G2353-H2353</f>
        <v>15526381.618131086</v>
      </c>
      <c r="J2353" s="5">
        <v>3000000</v>
      </c>
      <c r="K2353" s="5">
        <v>11410000</v>
      </c>
      <c r="L2353" s="5">
        <v>11710000</v>
      </c>
      <c r="M2353" s="7">
        <v>3240.3</v>
      </c>
      <c r="N2353" s="5">
        <v>114600000</v>
      </c>
      <c r="O2353" s="5">
        <v>117600000</v>
      </c>
      <c r="P2353" s="3">
        <v>0.97916666666666663</v>
      </c>
    </row>
    <row r="2354" spans="1:16" x14ac:dyDescent="0.25">
      <c r="A2354" t="s">
        <v>1441</v>
      </c>
      <c r="B2354" s="2">
        <v>45791</v>
      </c>
      <c r="C2354" t="str">
        <f>+"Tuáº§n "&amp;WEEKNUM(B2354)</f>
        <v>Tuáº§n 20</v>
      </c>
      <c r="D2354" t="s">
        <v>19</v>
      </c>
      <c r="E2354" t="s">
        <v>17</v>
      </c>
      <c r="F2354" s="5">
        <v>112000000</v>
      </c>
      <c r="G2354" s="5">
        <v>115000000</v>
      </c>
      <c r="H2354" s="5">
        <f>+(M2354*26000)/0.829426</f>
        <v>99727281.27644901</v>
      </c>
      <c r="I2354" s="5">
        <f>+G2354-H2354</f>
        <v>15272718.72355099</v>
      </c>
      <c r="J2354" s="5">
        <v>3000000</v>
      </c>
      <c r="K2354" s="5">
        <v>11200000</v>
      </c>
      <c r="L2354" s="5">
        <v>11500000</v>
      </c>
      <c r="M2354" s="7">
        <v>3181.4</v>
      </c>
      <c r="N2354" s="5">
        <v>112500000</v>
      </c>
      <c r="O2354" s="5">
        <v>115500000</v>
      </c>
      <c r="P2354" s="3">
        <v>0.97916666666666663</v>
      </c>
    </row>
    <row r="2355" spans="1:16" x14ac:dyDescent="0.25">
      <c r="A2355" t="s">
        <v>1442</v>
      </c>
      <c r="B2355" s="2">
        <v>45792</v>
      </c>
      <c r="C2355" t="str">
        <f>+"Tuáº§n "&amp;WEEKNUM(B2355)</f>
        <v>Tuáº§n 20</v>
      </c>
      <c r="D2355" t="s">
        <v>20</v>
      </c>
      <c r="E2355" t="s">
        <v>17</v>
      </c>
      <c r="F2355" s="5">
        <v>113400000</v>
      </c>
      <c r="G2355" s="5">
        <v>116400000</v>
      </c>
      <c r="H2355" s="5">
        <f>+(M2355*26000)/0.829426</f>
        <v>100959217.57938622</v>
      </c>
      <c r="I2355" s="5">
        <f>+G2355-H2355</f>
        <v>15440782.420613781</v>
      </c>
      <c r="J2355" s="5">
        <v>3000000</v>
      </c>
      <c r="K2355" s="5">
        <v>11340000</v>
      </c>
      <c r="L2355" s="5">
        <v>11640000</v>
      </c>
      <c r="M2355" s="7">
        <v>3220.7</v>
      </c>
      <c r="N2355" s="5">
        <v>113900000</v>
      </c>
      <c r="O2355" s="5">
        <v>116900000</v>
      </c>
      <c r="P2355" s="3">
        <v>0.97916666666666663</v>
      </c>
    </row>
    <row r="2356" spans="1:16" x14ac:dyDescent="0.25">
      <c r="A2356" t="s">
        <v>1443</v>
      </c>
      <c r="B2356" s="2">
        <v>45793</v>
      </c>
      <c r="C2356" t="str">
        <f>+"Tuáº§n "&amp;WEEKNUM(B2356)</f>
        <v>Tuáº§n 20</v>
      </c>
      <c r="D2356" t="s">
        <v>21</v>
      </c>
      <c r="E2356" t="s">
        <v>17</v>
      </c>
      <c r="F2356" s="5">
        <v>112000000</v>
      </c>
      <c r="G2356" s="5">
        <v>115000000</v>
      </c>
      <c r="H2356" s="5">
        <f>+(M2356*26000)/0.829426</f>
        <v>99746089.464280114</v>
      </c>
      <c r="I2356" s="5">
        <f>+G2356-H2356</f>
        <v>15253910.535719886</v>
      </c>
      <c r="J2356" s="5">
        <v>3000000</v>
      </c>
      <c r="K2356" s="5">
        <v>11200000</v>
      </c>
      <c r="L2356" s="5">
        <v>11500000</v>
      </c>
      <c r="M2356" s="7">
        <v>3182</v>
      </c>
      <c r="N2356" s="5">
        <v>112500000</v>
      </c>
      <c r="O2356" s="5">
        <v>115500000</v>
      </c>
      <c r="P2356" s="3">
        <v>0.97916666666666663</v>
      </c>
    </row>
    <row r="2357" spans="1:16" x14ac:dyDescent="0.25">
      <c r="A2357" t="s">
        <v>1444</v>
      </c>
      <c r="B2357" s="2">
        <v>45796</v>
      </c>
      <c r="C2357" t="str">
        <f>+"Tuáº§n "&amp;WEEKNUM(B2357)</f>
        <v>Tuáº§n 21</v>
      </c>
      <c r="D2357" t="s">
        <v>16</v>
      </c>
      <c r="E2357" t="s">
        <v>17</v>
      </c>
      <c r="F2357" s="5">
        <v>113700000</v>
      </c>
      <c r="G2357" s="5">
        <v>116700000</v>
      </c>
      <c r="H2357" s="5">
        <f>+(M2357*26000)/0.829426</f>
        <v>101216262.81307796</v>
      </c>
      <c r="I2357" s="5">
        <f>+G2357-H2357</f>
        <v>15483737.186922044</v>
      </c>
      <c r="J2357" s="5">
        <v>3000000</v>
      </c>
      <c r="K2357" s="5">
        <v>11370000</v>
      </c>
      <c r="L2357" s="5">
        <v>11670000</v>
      </c>
      <c r="M2357" s="7">
        <v>3228.9</v>
      </c>
      <c r="N2357" s="5">
        <v>114200000</v>
      </c>
      <c r="O2357" s="5">
        <v>117200000</v>
      </c>
      <c r="P2357" s="3">
        <v>0.97916666666666663</v>
      </c>
    </row>
    <row r="2358" spans="1:16" x14ac:dyDescent="0.25">
      <c r="A2358" t="s">
        <v>1445</v>
      </c>
      <c r="B2358" s="2">
        <v>45797</v>
      </c>
      <c r="C2358" t="str">
        <f>+"Tuáº§n "&amp;WEEKNUM(B2358)</f>
        <v>Tuáº§n 21</v>
      </c>
      <c r="D2358" t="s">
        <v>18</v>
      </c>
      <c r="E2358" t="s">
        <v>17</v>
      </c>
      <c r="F2358" s="5">
        <v>115500000</v>
      </c>
      <c r="G2358" s="5">
        <v>118500000</v>
      </c>
      <c r="H2358" s="5">
        <f>+(M2358*26000)/0.829426</f>
        <v>102827497.57060908</v>
      </c>
      <c r="I2358" s="5">
        <f>+G2358-H2358</f>
        <v>15672502.429390922</v>
      </c>
      <c r="J2358" s="5">
        <v>3000000</v>
      </c>
      <c r="K2358" s="5">
        <v>11550000</v>
      </c>
      <c r="L2358" s="5">
        <v>11850000</v>
      </c>
      <c r="M2358" s="7">
        <v>3280.3</v>
      </c>
      <c r="N2358" s="5">
        <v>116000000</v>
      </c>
      <c r="O2358" s="5">
        <v>119000000</v>
      </c>
      <c r="P2358" s="3">
        <v>0.97916666666666663</v>
      </c>
    </row>
    <row r="2359" spans="1:16" x14ac:dyDescent="0.25">
      <c r="A2359" t="s">
        <v>1446</v>
      </c>
      <c r="B2359" s="2">
        <v>45798</v>
      </c>
      <c r="C2359" t="str">
        <f>+"Tuáº§n "&amp;WEEKNUM(B2359)</f>
        <v>Tuáº§n 21</v>
      </c>
      <c r="D2359" t="s">
        <v>19</v>
      </c>
      <c r="E2359" t="s">
        <v>17</v>
      </c>
      <c r="F2359" s="5">
        <v>116600000</v>
      </c>
      <c r="G2359" s="5">
        <v>119600000</v>
      </c>
      <c r="H2359" s="5">
        <f>+(M2359*26000)/0.829426</f>
        <v>103736559.98244569</v>
      </c>
      <c r="I2359" s="5">
        <f>+G2359-H2359</f>
        <v>15863440.017554313</v>
      </c>
      <c r="J2359" s="5">
        <v>3000000</v>
      </c>
      <c r="K2359" s="5">
        <v>11660000</v>
      </c>
      <c r="L2359" s="5">
        <v>11960000</v>
      </c>
      <c r="M2359" s="7">
        <v>3309.3</v>
      </c>
      <c r="N2359" s="5">
        <v>117100000</v>
      </c>
      <c r="O2359" s="5">
        <v>120100000</v>
      </c>
      <c r="P2359" s="3">
        <v>0.97916666666666663</v>
      </c>
    </row>
    <row r="2360" spans="1:16" x14ac:dyDescent="0.25">
      <c r="A2360" t="s">
        <v>1447</v>
      </c>
      <c r="B2360" s="2">
        <v>45799</v>
      </c>
      <c r="C2360" t="str">
        <f>+"Tuáº§n "&amp;WEEKNUM(B2360)</f>
        <v>Tuáº§n 21</v>
      </c>
      <c r="D2360" t="s">
        <v>20</v>
      </c>
      <c r="E2360" t="s">
        <v>17</v>
      </c>
      <c r="F2360" s="5">
        <v>116000000</v>
      </c>
      <c r="G2360" s="5">
        <v>119000000</v>
      </c>
      <c r="H2360" s="5">
        <f>+(M2360*26000)/0.829426</f>
        <v>103203661.32723112</v>
      </c>
      <c r="I2360" s="5">
        <f>+G2360-H2360</f>
        <v>15796338.672768876</v>
      </c>
      <c r="J2360" s="5">
        <v>3000000</v>
      </c>
      <c r="K2360" s="5">
        <v>11600000</v>
      </c>
      <c r="L2360" s="5">
        <v>11900000</v>
      </c>
      <c r="M2360" s="7">
        <v>3292.3</v>
      </c>
      <c r="N2360" s="5">
        <v>116500000</v>
      </c>
      <c r="O2360" s="5">
        <v>119500000</v>
      </c>
      <c r="P2360" s="3">
        <v>0.97916666666666663</v>
      </c>
    </row>
    <row r="2361" spans="1:16" x14ac:dyDescent="0.25">
      <c r="A2361" t="s">
        <v>1448</v>
      </c>
      <c r="B2361" s="2">
        <v>45800</v>
      </c>
      <c r="C2361" t="str">
        <f>+"Tuáº§n "&amp;WEEKNUM(B2361)</f>
        <v>Tuáº§n 21</v>
      </c>
      <c r="D2361" t="s">
        <v>21</v>
      </c>
      <c r="E2361" t="s">
        <v>17</v>
      </c>
      <c r="F2361" s="5">
        <v>118500000</v>
      </c>
      <c r="G2361" s="5">
        <v>121500000</v>
      </c>
      <c r="H2361" s="5">
        <f>+(M2361*26000)/0.829426</f>
        <v>105438700.98116046</v>
      </c>
      <c r="I2361" s="5">
        <f>+G2361-H2361</f>
        <v>16061299.018839538</v>
      </c>
      <c r="J2361" s="5">
        <v>3000000</v>
      </c>
      <c r="K2361" s="5">
        <v>11850000</v>
      </c>
      <c r="L2361" s="5">
        <v>12150000</v>
      </c>
      <c r="M2361" s="7">
        <v>3363.6</v>
      </c>
      <c r="N2361" s="5">
        <v>119000000</v>
      </c>
      <c r="O2361" s="5">
        <v>122000000</v>
      </c>
      <c r="P2361" s="3">
        <v>0.97916666666666663</v>
      </c>
    </row>
    <row r="2362" spans="1:16" x14ac:dyDescent="0.25">
      <c r="A2362" t="s">
        <v>1449</v>
      </c>
      <c r="B2362" s="2">
        <v>45804</v>
      </c>
      <c r="C2362" t="str">
        <f>+"Tuáº§n "&amp;WEEKNUM(B2362)</f>
        <v>Tuáº§n 22</v>
      </c>
      <c r="D2362" t="s">
        <v>18</v>
      </c>
      <c r="E2362" t="s">
        <v>17</v>
      </c>
      <c r="F2362" s="5">
        <v>116200000</v>
      </c>
      <c r="G2362" s="5">
        <v>119200000</v>
      </c>
      <c r="H2362" s="5">
        <f>+(M2362*26000)/0.829426</f>
        <v>103416820.78931695</v>
      </c>
      <c r="I2362" s="5">
        <f>+G2362-H2362</f>
        <v>15783179.210683048</v>
      </c>
      <c r="J2362" s="5">
        <v>3000000</v>
      </c>
      <c r="K2362" s="5">
        <v>11620000</v>
      </c>
      <c r="L2362" s="5">
        <v>11920000</v>
      </c>
      <c r="M2362" s="7">
        <v>3299.1</v>
      </c>
      <c r="N2362" s="5">
        <v>116700000</v>
      </c>
      <c r="O2362" s="5">
        <v>119700000</v>
      </c>
      <c r="P2362" s="3">
        <v>0.97916666666666663</v>
      </c>
    </row>
    <row r="2363" spans="1:16" x14ac:dyDescent="0.25">
      <c r="A2363" t="s">
        <v>1450</v>
      </c>
      <c r="B2363" s="2">
        <v>45805</v>
      </c>
      <c r="C2363" t="str">
        <f>+"Tuáº§n "&amp;WEEKNUM(B2363)</f>
        <v>Tuáº§n 22</v>
      </c>
      <c r="D2363" t="s">
        <v>19</v>
      </c>
      <c r="E2363" t="s">
        <v>17</v>
      </c>
      <c r="F2363" s="5">
        <v>116000000</v>
      </c>
      <c r="G2363" s="5">
        <v>119000000</v>
      </c>
      <c r="H2363" s="5">
        <f>+(M2363*26000)/0.829426</f>
        <v>103244412.40086518</v>
      </c>
      <c r="I2363" s="5">
        <f>+G2363-H2363</f>
        <v>15755587.599134818</v>
      </c>
      <c r="J2363" s="5">
        <v>3000000</v>
      </c>
      <c r="K2363" s="5">
        <v>11600000</v>
      </c>
      <c r="L2363" s="5">
        <v>11900000</v>
      </c>
      <c r="M2363" s="7">
        <v>3293.6</v>
      </c>
      <c r="N2363" s="5">
        <v>116500000</v>
      </c>
      <c r="O2363" s="5">
        <v>119500000</v>
      </c>
      <c r="P2363" s="3">
        <v>0.97916666666666663</v>
      </c>
    </row>
    <row r="2364" spans="1:16" x14ac:dyDescent="0.25">
      <c r="A2364" t="s">
        <v>1451</v>
      </c>
      <c r="B2364" s="2">
        <v>45806</v>
      </c>
      <c r="C2364" t="str">
        <f>+"Tuáº§n "&amp;WEEKNUM(B2364)</f>
        <v>Tuáº§n 22</v>
      </c>
      <c r="D2364" t="s">
        <v>20</v>
      </c>
      <c r="E2364" t="s">
        <v>17</v>
      </c>
      <c r="F2364" s="5">
        <v>116900000</v>
      </c>
      <c r="G2364" s="5">
        <v>119900000</v>
      </c>
      <c r="H2364" s="5">
        <f>+(M2364*26000)/0.829426</f>
        <v>103981066.42425002</v>
      </c>
      <c r="I2364" s="5">
        <f>+G2364-H2364</f>
        <v>15918933.575749978</v>
      </c>
      <c r="J2364" s="5">
        <v>3000000</v>
      </c>
      <c r="K2364" s="5">
        <v>11690000</v>
      </c>
      <c r="L2364" s="5">
        <v>11990000</v>
      </c>
      <c r="M2364" s="7">
        <v>3317.1</v>
      </c>
      <c r="N2364" s="5">
        <v>117400000</v>
      </c>
      <c r="O2364" s="5">
        <v>120400000</v>
      </c>
      <c r="P2364" s="3">
        <v>0.97916666666666663</v>
      </c>
    </row>
    <row r="2365" spans="1:16" x14ac:dyDescent="0.25">
      <c r="A2365" t="s">
        <v>1452</v>
      </c>
      <c r="B2365" s="2">
        <v>45807</v>
      </c>
      <c r="C2365" t="str">
        <f>+"Tuáº§n "&amp;WEEKNUM(B2365)</f>
        <v>Tuáº§n 22</v>
      </c>
      <c r="D2365" t="s">
        <v>21</v>
      </c>
      <c r="E2365" t="s">
        <v>17</v>
      </c>
      <c r="F2365" s="5">
        <v>115800000</v>
      </c>
      <c r="G2365" s="5">
        <v>118800000</v>
      </c>
      <c r="H2365" s="5">
        <f>+(M2365*26000)/0.829426</f>
        <v>103097081.5961882</v>
      </c>
      <c r="I2365" s="5">
        <f>+G2365-H2365</f>
        <v>15702918.403811797</v>
      </c>
      <c r="J2365" s="5">
        <v>3000000</v>
      </c>
      <c r="K2365" s="5">
        <v>11580000</v>
      </c>
      <c r="L2365" s="5">
        <v>11880000</v>
      </c>
      <c r="M2365" s="7">
        <v>3288.9</v>
      </c>
      <c r="N2365" s="5">
        <v>116300000</v>
      </c>
      <c r="O2365" s="5">
        <v>119300000</v>
      </c>
      <c r="P2365" s="3">
        <v>0.97916666666666663</v>
      </c>
    </row>
    <row r="2366" spans="1:16" x14ac:dyDescent="0.25">
      <c r="A2366" s="2">
        <v>45694</v>
      </c>
      <c r="B2366" s="2">
        <v>45810</v>
      </c>
      <c r="C2366" t="str">
        <f>+"Tuáº§n "&amp;WEEKNUM(B2366)</f>
        <v>Tuáº§n 23</v>
      </c>
      <c r="D2366" t="s">
        <v>16</v>
      </c>
      <c r="E2366" t="s">
        <v>17</v>
      </c>
      <c r="F2366" s="5">
        <v>118800000</v>
      </c>
      <c r="G2366" s="5">
        <v>121800000</v>
      </c>
      <c r="H2366" s="5">
        <f>+(M2366*26000)/0.829426</f>
        <v>105658129.83918999</v>
      </c>
      <c r="I2366" s="5">
        <f>+G2366-H2366</f>
        <v>16141870.160810009</v>
      </c>
      <c r="J2366" s="5">
        <v>3000000</v>
      </c>
      <c r="K2366" s="5">
        <v>11880000</v>
      </c>
      <c r="L2366" s="5">
        <v>12180000</v>
      </c>
      <c r="M2366" s="7">
        <v>3370.6</v>
      </c>
      <c r="N2366" s="5">
        <v>119300000</v>
      </c>
      <c r="O2366" s="5">
        <v>122300000</v>
      </c>
      <c r="P2366" s="3">
        <v>0.97916666666666663</v>
      </c>
    </row>
    <row r="2367" spans="1:16" x14ac:dyDescent="0.25">
      <c r="A2367" s="2">
        <v>45722</v>
      </c>
      <c r="B2367" s="2">
        <v>45811</v>
      </c>
      <c r="C2367" t="str">
        <f>+"Tuáº§n "&amp;WEEKNUM(B2367)</f>
        <v>Tuáº§n 23</v>
      </c>
      <c r="D2367" t="s">
        <v>18</v>
      </c>
      <c r="E2367" t="s">
        <v>17</v>
      </c>
      <c r="F2367" s="5">
        <v>118100000</v>
      </c>
      <c r="G2367" s="5">
        <v>121100000</v>
      </c>
      <c r="H2367" s="5">
        <f>+(M2367*26000)/0.829426</f>
        <v>105018651.45293251</v>
      </c>
      <c r="I2367" s="5">
        <f>+G2367-H2367</f>
        <v>16081348.547067493</v>
      </c>
      <c r="J2367" s="5">
        <v>3000000</v>
      </c>
      <c r="K2367" s="5">
        <v>11810000</v>
      </c>
      <c r="L2367" s="5">
        <v>12110000</v>
      </c>
      <c r="M2367" s="7">
        <v>3350.2</v>
      </c>
      <c r="N2367" s="5">
        <v>118600000</v>
      </c>
      <c r="O2367" s="5">
        <v>121600000</v>
      </c>
      <c r="P2367" s="3">
        <v>0.97916666666666663</v>
      </c>
    </row>
    <row r="2368" spans="1:16" x14ac:dyDescent="0.25">
      <c r="A2368" s="2">
        <v>45753</v>
      </c>
      <c r="B2368" s="2">
        <v>45812</v>
      </c>
      <c r="C2368" t="str">
        <f>+"Tuáº§n "&amp;WEEKNUM(B2368)</f>
        <v>Tuáº§n 23</v>
      </c>
      <c r="D2368" t="s">
        <v>19</v>
      </c>
      <c r="E2368" t="s">
        <v>17</v>
      </c>
      <c r="F2368" s="5">
        <v>118900000</v>
      </c>
      <c r="G2368" s="5">
        <v>121900000</v>
      </c>
      <c r="H2368" s="5">
        <f>+(M2368*26000)/0.829426</f>
        <v>105749036.08037366</v>
      </c>
      <c r="I2368" s="5">
        <f>+G2368-H2368</f>
        <v>16150963.91962634</v>
      </c>
      <c r="J2368" s="5">
        <v>3000000</v>
      </c>
      <c r="K2368" s="5">
        <v>11890000</v>
      </c>
      <c r="L2368" s="5">
        <v>12190000</v>
      </c>
      <c r="M2368" s="7">
        <v>3373.5</v>
      </c>
      <c r="N2368" s="5">
        <v>119400000</v>
      </c>
      <c r="O2368" s="5">
        <v>122400000</v>
      </c>
      <c r="P2368" s="3">
        <v>0.97916666666666663</v>
      </c>
    </row>
    <row r="2369" spans="1:16" x14ac:dyDescent="0.25">
      <c r="A2369" s="2">
        <v>45783</v>
      </c>
      <c r="B2369" s="2">
        <v>45813</v>
      </c>
      <c r="C2369" t="str">
        <f>+"Tuáº§n "&amp;WEEKNUM(B2369)</f>
        <v>Tuáº§n 23</v>
      </c>
      <c r="D2369" t="s">
        <v>20</v>
      </c>
      <c r="E2369" t="s">
        <v>17</v>
      </c>
      <c r="F2369" s="5">
        <v>118100000</v>
      </c>
      <c r="G2369" s="5">
        <v>121100000</v>
      </c>
      <c r="H2369" s="5">
        <f>+(M2369*26000)/0.829426</f>
        <v>105034324.94279176</v>
      </c>
      <c r="I2369" s="5">
        <f>+G2369-H2369</f>
        <v>16065675.05720824</v>
      </c>
      <c r="J2369" s="5">
        <v>3000000</v>
      </c>
      <c r="K2369" s="5">
        <v>11810000</v>
      </c>
      <c r="L2369" s="5">
        <v>12110000</v>
      </c>
      <c r="M2369" s="7">
        <v>3350.7</v>
      </c>
      <c r="N2369" s="5">
        <v>118600000</v>
      </c>
      <c r="O2369" s="5">
        <v>121600000</v>
      </c>
      <c r="P2369" s="3">
        <v>0.97916666666666663</v>
      </c>
    </row>
    <row r="2370" spans="1:16" x14ac:dyDescent="0.25">
      <c r="A2370" s="2">
        <v>45814</v>
      </c>
      <c r="B2370" s="2">
        <v>45814</v>
      </c>
      <c r="C2370" t="str">
        <f>+"Tuáº§n "&amp;WEEKNUM(B2370)</f>
        <v>Tuáº§n 23</v>
      </c>
      <c r="D2370" t="s">
        <v>21</v>
      </c>
      <c r="E2370" t="s">
        <v>17</v>
      </c>
      <c r="F2370" s="5">
        <v>117100000</v>
      </c>
      <c r="G2370" s="5">
        <v>120100000</v>
      </c>
      <c r="H2370" s="5">
        <f>+(M2370*26000)/0.829426</f>
        <v>104156609.51067364</v>
      </c>
      <c r="I2370" s="5">
        <f>+G2370-H2370</f>
        <v>15943390.489326358</v>
      </c>
      <c r="J2370" s="5">
        <v>3000000</v>
      </c>
      <c r="K2370" s="5">
        <v>11710000</v>
      </c>
      <c r="L2370" s="5">
        <v>12010000</v>
      </c>
      <c r="M2370" s="7">
        <v>3322.7</v>
      </c>
      <c r="N2370" s="5">
        <v>117600000</v>
      </c>
      <c r="O2370" s="5">
        <v>120600000</v>
      </c>
      <c r="P2370" s="3">
        <v>0.97916666666666663</v>
      </c>
    </row>
    <row r="2371" spans="1:16" x14ac:dyDescent="0.25">
      <c r="A2371" s="2">
        <v>45906</v>
      </c>
      <c r="B2371" s="2">
        <v>45817</v>
      </c>
      <c r="C2371" t="str">
        <f>+"Tuáº§n "&amp;WEEKNUM(B2371)</f>
        <v>Tuáº§n 24</v>
      </c>
      <c r="D2371" t="s">
        <v>16</v>
      </c>
      <c r="E2371" t="s">
        <v>17</v>
      </c>
      <c r="F2371" s="5">
        <v>117400000</v>
      </c>
      <c r="G2371" s="5">
        <v>120400000</v>
      </c>
      <c r="H2371" s="5">
        <f>+(M2371*26000)/0.829426</f>
        <v>104451271.12002759</v>
      </c>
      <c r="I2371" s="5">
        <f>+G2371-H2371</f>
        <v>15948728.879972413</v>
      </c>
      <c r="J2371" s="5">
        <v>3000000</v>
      </c>
      <c r="K2371" s="5">
        <v>11740000</v>
      </c>
      <c r="L2371" s="5">
        <v>12040000</v>
      </c>
      <c r="M2371" s="7">
        <v>3332.1</v>
      </c>
      <c r="N2371" s="5">
        <v>117900000</v>
      </c>
      <c r="O2371" s="5">
        <v>120900000</v>
      </c>
      <c r="P2371" s="3">
        <v>0.97916666666666663</v>
      </c>
    </row>
    <row r="2372" spans="1:16" x14ac:dyDescent="0.25">
      <c r="A2372" s="2">
        <v>45936</v>
      </c>
      <c r="B2372" s="2">
        <v>45818</v>
      </c>
      <c r="C2372" t="str">
        <f>+"Tuáº§n "&amp;WEEKNUM(B2372)</f>
        <v>Tuáº§n 24</v>
      </c>
      <c r="D2372" t="s">
        <v>18</v>
      </c>
      <c r="E2372" t="s">
        <v>17</v>
      </c>
      <c r="F2372" s="5">
        <v>117000000</v>
      </c>
      <c r="G2372" s="5">
        <v>120000000</v>
      </c>
      <c r="H2372" s="5">
        <f>+(M2372*26000)/0.829426</f>
        <v>104100184.94718035</v>
      </c>
      <c r="I2372" s="5">
        <f>+G2372-H2372</f>
        <v>15899815.052819654</v>
      </c>
      <c r="J2372" s="5">
        <v>3000000</v>
      </c>
      <c r="K2372" s="5">
        <v>11700000</v>
      </c>
      <c r="L2372" s="5">
        <v>12000000</v>
      </c>
      <c r="M2372" s="7">
        <v>3320.9</v>
      </c>
      <c r="N2372" s="5">
        <v>117500000</v>
      </c>
      <c r="O2372" s="5">
        <v>120500000</v>
      </c>
      <c r="P2372" s="3">
        <v>0.97916666666666663</v>
      </c>
    </row>
    <row r="2373" spans="1:16" x14ac:dyDescent="0.25">
      <c r="A2373" s="2">
        <v>45967</v>
      </c>
      <c r="B2373" s="2">
        <v>45819</v>
      </c>
      <c r="C2373" t="str">
        <f>+"Tuáº§n "&amp;WEEKNUM(B2373)</f>
        <v>Tuáº§n 24</v>
      </c>
      <c r="D2373" t="s">
        <v>19</v>
      </c>
      <c r="E2373" t="s">
        <v>17</v>
      </c>
      <c r="F2373" s="5">
        <v>117000000</v>
      </c>
      <c r="G2373" s="5">
        <v>120000000</v>
      </c>
      <c r="H2373" s="5">
        <f>+(M2373*26000)/0.829426</f>
        <v>104112723.73906775</v>
      </c>
      <c r="I2373" s="5">
        <f>+G2373-H2373</f>
        <v>15887276.260932252</v>
      </c>
      <c r="J2373" s="5">
        <v>3000000</v>
      </c>
      <c r="K2373" s="5">
        <v>11700000</v>
      </c>
      <c r="L2373" s="5">
        <v>12000000</v>
      </c>
      <c r="M2373" s="7">
        <v>3321.3</v>
      </c>
      <c r="N2373" s="5">
        <v>117500000</v>
      </c>
      <c r="O2373" s="5">
        <v>120500000</v>
      </c>
      <c r="P2373" s="3">
        <v>0.97916666666666663</v>
      </c>
    </row>
    <row r="2374" spans="1:16" x14ac:dyDescent="0.25">
      <c r="A2374" s="2">
        <v>45997</v>
      </c>
      <c r="B2374" s="2">
        <v>45820</v>
      </c>
      <c r="C2374" t="str">
        <f>+"Tuáº§n "&amp;WEEKNUM(B2374)</f>
        <v>Tuáº§n 24</v>
      </c>
      <c r="D2374" t="s">
        <v>20</v>
      </c>
      <c r="E2374" t="s">
        <v>17</v>
      </c>
      <c r="F2374" s="5">
        <v>119200000</v>
      </c>
      <c r="G2374" s="5">
        <v>122200000</v>
      </c>
      <c r="H2374" s="5">
        <f>+(M2374*26000)/0.829426</f>
        <v>105981003.73029059</v>
      </c>
      <c r="I2374" s="5">
        <f>+G2374-H2374</f>
        <v>16218996.269709408</v>
      </c>
      <c r="J2374" s="5">
        <v>3000000</v>
      </c>
      <c r="K2374" s="5">
        <v>11920000</v>
      </c>
      <c r="L2374" s="5">
        <v>12220000</v>
      </c>
      <c r="M2374" s="7">
        <v>3380.9</v>
      </c>
      <c r="N2374" s="5">
        <v>119700000</v>
      </c>
      <c r="O2374" s="5">
        <v>122700000</v>
      </c>
      <c r="P2374" s="3">
        <v>0.97916666666666663</v>
      </c>
    </row>
    <row r="2375" spans="1:16" x14ac:dyDescent="0.25">
      <c r="A2375" t="s">
        <v>1453</v>
      </c>
      <c r="B2375" s="2">
        <v>45821</v>
      </c>
      <c r="C2375" t="str">
        <f>+"Tuáº§n "&amp;WEEKNUM(B2375)</f>
        <v>Tuáº§n 24</v>
      </c>
      <c r="D2375" t="s">
        <v>21</v>
      </c>
      <c r="E2375" t="s">
        <v>17</v>
      </c>
      <c r="F2375" s="5">
        <v>121000000</v>
      </c>
      <c r="G2375" s="5">
        <v>124000000</v>
      </c>
      <c r="H2375" s="5">
        <f>+(M2375*26000)/0.829426</f>
        <v>107557756.81013134</v>
      </c>
      <c r="I2375" s="5">
        <f>+G2375-H2375</f>
        <v>16442243.189868659</v>
      </c>
      <c r="J2375" s="5">
        <v>3000000</v>
      </c>
      <c r="K2375" s="5">
        <v>12100000</v>
      </c>
      <c r="L2375" s="5">
        <v>12400000</v>
      </c>
      <c r="M2375" s="7">
        <v>3431.2</v>
      </c>
      <c r="N2375" s="5">
        <v>121500000</v>
      </c>
      <c r="O2375" s="5">
        <v>124500000</v>
      </c>
      <c r="P2375" s="3">
        <v>0.97916666666666663</v>
      </c>
    </row>
    <row r="2376" spans="1:16" x14ac:dyDescent="0.25">
      <c r="A2376" t="s">
        <v>1454</v>
      </c>
      <c r="B2376" s="2">
        <v>45824</v>
      </c>
      <c r="C2376" t="str">
        <f>+"Tuáº§n "&amp;WEEKNUM(B2376)</f>
        <v>Tuáº§n 25</v>
      </c>
      <c r="D2376" t="s">
        <v>16</v>
      </c>
      <c r="E2376" t="s">
        <v>17</v>
      </c>
      <c r="F2376" s="5">
        <v>119700000</v>
      </c>
      <c r="G2376" s="5">
        <v>122700000</v>
      </c>
      <c r="H2376" s="5">
        <f>+(M2376*26000)/0.829426</f>
        <v>106466881.9159274</v>
      </c>
      <c r="I2376" s="5">
        <f>+G2376-H2376</f>
        <v>16233118.084072605</v>
      </c>
      <c r="J2376" s="5">
        <v>3000000</v>
      </c>
      <c r="K2376" s="5">
        <v>11970000</v>
      </c>
      <c r="L2376" s="5">
        <v>12270000</v>
      </c>
      <c r="M2376" s="7">
        <v>3396.4</v>
      </c>
      <c r="N2376" s="5">
        <v>120200000</v>
      </c>
      <c r="O2376" s="5">
        <v>123200000</v>
      </c>
      <c r="P2376" s="3">
        <v>0.97916666666666663</v>
      </c>
    </row>
    <row r="2377" spans="1:16" x14ac:dyDescent="0.25">
      <c r="A2377" t="s">
        <v>1455</v>
      </c>
      <c r="B2377" s="2">
        <v>45825</v>
      </c>
      <c r="C2377" t="str">
        <f>+"Tuáº§n "&amp;WEEKNUM(B2377)</f>
        <v>Tuáº§n 25</v>
      </c>
      <c r="D2377" t="s">
        <v>18</v>
      </c>
      <c r="E2377" t="s">
        <v>17</v>
      </c>
      <c r="F2377" s="5">
        <v>119400000</v>
      </c>
      <c r="G2377" s="5">
        <v>122400000</v>
      </c>
      <c r="H2377" s="5">
        <f>+(M2377*26000)/0.829426</f>
        <v>106159681.51468606</v>
      </c>
      <c r="I2377" s="5">
        <f>+G2377-H2377</f>
        <v>16240318.485313937</v>
      </c>
      <c r="J2377" s="5">
        <v>3000000</v>
      </c>
      <c r="K2377" s="5">
        <v>11940000</v>
      </c>
      <c r="L2377" s="5">
        <v>12240000</v>
      </c>
      <c r="M2377" s="7">
        <v>3386.6</v>
      </c>
      <c r="N2377" s="5">
        <v>119900000</v>
      </c>
      <c r="O2377" s="5">
        <v>122900000</v>
      </c>
      <c r="P2377" s="3">
        <v>0.97916666666666663</v>
      </c>
    </row>
    <row r="2378" spans="1:16" x14ac:dyDescent="0.25">
      <c r="A2378" t="s">
        <v>1456</v>
      </c>
      <c r="B2378" s="2">
        <v>45826</v>
      </c>
      <c r="C2378" t="str">
        <f>+"Tuáº§n "&amp;WEEKNUM(B2378)</f>
        <v>Tuáº§n 25</v>
      </c>
      <c r="D2378" t="s">
        <v>19</v>
      </c>
      <c r="E2378" t="s">
        <v>17</v>
      </c>
      <c r="F2378" s="5">
        <v>119500000</v>
      </c>
      <c r="G2378" s="5">
        <v>122500000</v>
      </c>
      <c r="H2378" s="5">
        <f>+(M2378*26000)/0.829426</f>
        <v>106259991.84978527</v>
      </c>
      <c r="I2378" s="5">
        <f>+G2378-H2378</f>
        <v>16240008.150214732</v>
      </c>
      <c r="J2378" s="5">
        <v>3000000</v>
      </c>
      <c r="K2378" s="5">
        <v>11950000</v>
      </c>
      <c r="L2378" s="5">
        <v>12250000</v>
      </c>
      <c r="M2378" s="7">
        <v>3389.8</v>
      </c>
      <c r="N2378" s="5">
        <v>120000000</v>
      </c>
      <c r="O2378" s="5">
        <v>123000000</v>
      </c>
      <c r="P2378" s="3">
        <v>0.97916666666666663</v>
      </c>
    </row>
    <row r="2379" spans="1:16" x14ac:dyDescent="0.25">
      <c r="A2379" t="s">
        <v>1457</v>
      </c>
      <c r="B2379" s="2">
        <v>45828</v>
      </c>
      <c r="C2379" t="str">
        <f>+"Tuáº§n "&amp;WEEKNUM(B2379)</f>
        <v>Tuáº§n 25</v>
      </c>
      <c r="D2379" t="s">
        <v>21</v>
      </c>
      <c r="E2379" t="s">
        <v>17</v>
      </c>
      <c r="F2379" s="5">
        <v>118700000</v>
      </c>
      <c r="G2379" s="5">
        <v>121700000</v>
      </c>
      <c r="H2379" s="5">
        <f>+(M2379*26000)/0.829426</f>
        <v>105579762.38989374</v>
      </c>
      <c r="I2379" s="5">
        <f>+G2379-H2379</f>
        <v>16120237.61010626</v>
      </c>
      <c r="J2379" s="5">
        <v>3000000</v>
      </c>
      <c r="K2379" s="5">
        <v>11870000</v>
      </c>
      <c r="L2379" s="5">
        <v>12170000</v>
      </c>
      <c r="M2379" s="7">
        <v>3368.1</v>
      </c>
      <c r="N2379" s="5">
        <v>119200000</v>
      </c>
      <c r="O2379" s="5">
        <v>122200000</v>
      </c>
      <c r="P2379" s="3">
        <v>0.97916666666666663</v>
      </c>
    </row>
    <row r="2380" spans="1:16" x14ac:dyDescent="0.25">
      <c r="A2380" t="s">
        <v>1458</v>
      </c>
      <c r="B2380" s="2">
        <v>45831</v>
      </c>
      <c r="C2380" t="str">
        <f>+"Tuáº§n "&amp;WEEKNUM(B2380)</f>
        <v>Tuáº§n 26</v>
      </c>
      <c r="D2380" t="s">
        <v>16</v>
      </c>
      <c r="E2380" t="s">
        <v>17</v>
      </c>
      <c r="F2380" s="5">
        <v>119100000</v>
      </c>
      <c r="G2380" s="5">
        <v>122100000</v>
      </c>
      <c r="H2380" s="5">
        <f>+(M2380*26000)/0.829426</f>
        <v>105880693.39519137</v>
      </c>
      <c r="I2380" s="5">
        <f>+G2380-H2380</f>
        <v>16219306.604808629</v>
      </c>
      <c r="J2380" s="5">
        <v>3000000</v>
      </c>
      <c r="K2380" s="5">
        <v>11910000</v>
      </c>
      <c r="L2380" s="5">
        <v>12210000</v>
      </c>
      <c r="M2380" s="7">
        <v>3377.7</v>
      </c>
      <c r="N2380" s="5">
        <v>119600000</v>
      </c>
      <c r="O2380" s="5">
        <v>122600000</v>
      </c>
      <c r="P2380" s="3">
        <v>0.97916666666666663</v>
      </c>
    </row>
    <row r="2381" spans="1:16" x14ac:dyDescent="0.25">
      <c r="A2381" t="s">
        <v>1459</v>
      </c>
      <c r="B2381" s="2">
        <v>45832</v>
      </c>
      <c r="C2381" t="str">
        <f>+"Tuáº§n "&amp;WEEKNUM(B2381)</f>
        <v>Tuáº§n 26</v>
      </c>
      <c r="D2381" t="s">
        <v>18</v>
      </c>
      <c r="E2381" t="s">
        <v>17</v>
      </c>
      <c r="F2381" s="5">
        <v>116900000</v>
      </c>
      <c r="G2381" s="5">
        <v>119900000</v>
      </c>
      <c r="H2381" s="5">
        <f>+(M2381*26000)/0.829426</f>
        <v>103990470.51816557</v>
      </c>
      <c r="I2381" s="5">
        <f>+G2381-H2381</f>
        <v>15909529.481834427</v>
      </c>
      <c r="J2381" s="5">
        <v>3000000</v>
      </c>
      <c r="K2381" s="5">
        <v>11690000</v>
      </c>
      <c r="L2381" s="5">
        <v>11990000</v>
      </c>
      <c r="M2381" s="7">
        <v>3317.4</v>
      </c>
      <c r="N2381" s="5">
        <v>117400000</v>
      </c>
      <c r="O2381" s="5">
        <v>120400000</v>
      </c>
      <c r="P2381" s="3">
        <v>0.97916666666666663</v>
      </c>
    </row>
    <row r="2382" spans="1:16" x14ac:dyDescent="0.25">
      <c r="A2382" t="s">
        <v>1460</v>
      </c>
      <c r="B2382" s="2">
        <v>45833</v>
      </c>
      <c r="C2382" t="str">
        <f>+"Tuáº§n "&amp;WEEKNUM(B2382)</f>
        <v>Tuáº§n 26</v>
      </c>
      <c r="D2382" t="s">
        <v>19</v>
      </c>
      <c r="E2382" t="s">
        <v>17</v>
      </c>
      <c r="F2382" s="5">
        <v>117200000</v>
      </c>
      <c r="G2382" s="5">
        <v>120200000</v>
      </c>
      <c r="H2382" s="5">
        <f>+(M2382*26000)/0.829426</f>
        <v>104294536.22143507</v>
      </c>
      <c r="I2382" s="5">
        <f>+G2382-H2382</f>
        <v>15905463.77856493</v>
      </c>
      <c r="J2382" s="5">
        <v>3000000</v>
      </c>
      <c r="K2382" s="5">
        <v>11720000</v>
      </c>
      <c r="L2382" s="5">
        <v>12020000</v>
      </c>
      <c r="M2382" s="7">
        <v>3327.1</v>
      </c>
      <c r="N2382" s="5">
        <v>117700000</v>
      </c>
      <c r="O2382" s="5">
        <v>120700000</v>
      </c>
      <c r="P2382" s="3">
        <v>0.97916666666666663</v>
      </c>
    </row>
    <row r="2383" spans="1:16" x14ac:dyDescent="0.25">
      <c r="A2383" t="s">
        <v>1461</v>
      </c>
      <c r="B2383" s="2">
        <v>45834</v>
      </c>
      <c r="C2383" t="str">
        <f>+"Tuáº§n "&amp;WEEKNUM(B2383)</f>
        <v>Tuáº§n 26</v>
      </c>
      <c r="D2383" t="s">
        <v>20</v>
      </c>
      <c r="E2383" t="s">
        <v>17</v>
      </c>
      <c r="F2383" s="5">
        <v>117500000</v>
      </c>
      <c r="G2383" s="5">
        <v>120500000</v>
      </c>
      <c r="H2383" s="5">
        <f>+(M2383*26000)/0.829426</f>
        <v>104495156.8916335</v>
      </c>
      <c r="I2383" s="5">
        <f>+G2383-H2383</f>
        <v>16004843.108366504</v>
      </c>
      <c r="J2383" s="5">
        <v>3000000</v>
      </c>
      <c r="K2383" s="5">
        <v>11750000</v>
      </c>
      <c r="L2383" s="5">
        <v>12050000</v>
      </c>
      <c r="M2383" s="7">
        <v>3333.5</v>
      </c>
      <c r="N2383" s="5">
        <v>118000000</v>
      </c>
      <c r="O2383" s="5">
        <v>121000000</v>
      </c>
      <c r="P2383" s="3">
        <v>0.97916666666666663</v>
      </c>
    </row>
    <row r="2384" spans="1:16" x14ac:dyDescent="0.25">
      <c r="A2384" t="s">
        <v>1462</v>
      </c>
      <c r="B2384" s="2">
        <v>45835</v>
      </c>
      <c r="C2384" t="str">
        <f>+"Tuáº§n "&amp;WEEKNUM(B2384)</f>
        <v>Tuáº§n 26</v>
      </c>
      <c r="D2384" t="s">
        <v>21</v>
      </c>
      <c r="E2384" t="s">
        <v>17</v>
      </c>
      <c r="F2384" s="5">
        <v>115300000</v>
      </c>
      <c r="G2384" s="5">
        <v>118300000</v>
      </c>
      <c r="H2384" s="5">
        <f>+(M2384*26000)/0.829426</f>
        <v>102620607.50446695</v>
      </c>
      <c r="I2384" s="5">
        <f>+G2384-H2384</f>
        <v>15679392.495533049</v>
      </c>
      <c r="J2384" s="5">
        <v>3000000</v>
      </c>
      <c r="K2384" s="5">
        <v>11530000</v>
      </c>
      <c r="L2384" s="5">
        <v>11830000</v>
      </c>
      <c r="M2384" s="7">
        <v>3273.7</v>
      </c>
      <c r="N2384" s="5">
        <v>115800000</v>
      </c>
      <c r="O2384" s="5">
        <v>118800000</v>
      </c>
      <c r="P2384" s="3">
        <v>0.97916666666666663</v>
      </c>
    </row>
    <row r="2385" spans="1:16" x14ac:dyDescent="0.25">
      <c r="A2385" t="s">
        <v>1463</v>
      </c>
      <c r="B2385" s="2">
        <v>45838</v>
      </c>
      <c r="C2385" t="str">
        <f>+"Tuáº§n "&amp;WEEKNUM(B2385)</f>
        <v>Tuáº§n 27</v>
      </c>
      <c r="D2385" t="s">
        <v>16</v>
      </c>
      <c r="E2385" t="s">
        <v>17</v>
      </c>
      <c r="F2385" s="5">
        <v>116000000</v>
      </c>
      <c r="G2385" s="5">
        <v>119000000</v>
      </c>
      <c r="H2385" s="5">
        <f>+(M2385*26000)/0.829426</f>
        <v>103269489.98463999</v>
      </c>
      <c r="I2385" s="5">
        <f>+G2385-H2385</f>
        <v>15730510.015360013</v>
      </c>
      <c r="J2385" s="5">
        <v>3000000</v>
      </c>
      <c r="K2385" s="5">
        <v>11600000</v>
      </c>
      <c r="L2385" s="5">
        <v>11900000</v>
      </c>
      <c r="M2385" s="7">
        <v>3294.4</v>
      </c>
      <c r="N2385" s="5">
        <v>116500000</v>
      </c>
      <c r="O2385" s="5">
        <v>119500000</v>
      </c>
      <c r="P2385" s="3">
        <v>0.97916666666666663</v>
      </c>
    </row>
    <row r="2386" spans="1:16" x14ac:dyDescent="0.25">
      <c r="A2386" s="2">
        <v>45664</v>
      </c>
      <c r="B2386" s="2">
        <v>45839</v>
      </c>
      <c r="C2386" t="str">
        <f>+"Tuáº§n "&amp;WEEKNUM(B2386)</f>
        <v>Tuáº§n 27</v>
      </c>
      <c r="D2386" t="s">
        <v>18</v>
      </c>
      <c r="E2386" t="s">
        <v>17</v>
      </c>
      <c r="F2386" s="5">
        <v>117600000</v>
      </c>
      <c r="G2386" s="5">
        <v>120600000</v>
      </c>
      <c r="H2386" s="5">
        <f>+(M2386*26000)/0.829426</f>
        <v>104595467.2267327</v>
      </c>
      <c r="I2386" s="5">
        <f>+G2386-H2386</f>
        <v>16004532.773267299</v>
      </c>
      <c r="J2386" s="5">
        <v>3000000</v>
      </c>
      <c r="K2386" s="5">
        <v>11760000</v>
      </c>
      <c r="L2386" s="5">
        <v>12060000</v>
      </c>
      <c r="M2386" s="7">
        <v>3336.7</v>
      </c>
      <c r="N2386" s="5">
        <v>118100000</v>
      </c>
      <c r="O2386" s="5">
        <v>121100000</v>
      </c>
      <c r="P2386" s="3">
        <v>0.97916666666666663</v>
      </c>
    </row>
    <row r="2387" spans="1:16" x14ac:dyDescent="0.25">
      <c r="A2387" s="2">
        <v>45695</v>
      </c>
      <c r="B2387" s="2">
        <v>45840</v>
      </c>
      <c r="C2387" t="str">
        <f>+"Tuáº§n "&amp;WEEKNUM(B2387)</f>
        <v>Tuáº§n 27</v>
      </c>
      <c r="D2387" t="s">
        <v>19</v>
      </c>
      <c r="E2387" t="s">
        <v>17</v>
      </c>
      <c r="F2387" s="5">
        <v>118000000</v>
      </c>
      <c r="G2387" s="5">
        <v>121000000</v>
      </c>
      <c r="H2387" s="5">
        <f>+(M2387*26000)/0.829426</f>
        <v>104949688.09755181</v>
      </c>
      <c r="I2387" s="5">
        <f>+G2387-H2387</f>
        <v>16050311.902448192</v>
      </c>
      <c r="J2387" s="5">
        <v>3000000</v>
      </c>
      <c r="K2387" s="5">
        <v>11800000</v>
      </c>
      <c r="L2387" s="5">
        <v>12100000</v>
      </c>
      <c r="M2387" s="7">
        <v>3348</v>
      </c>
      <c r="N2387" s="5">
        <v>118500000</v>
      </c>
      <c r="O2387" s="5">
        <v>121500000</v>
      </c>
      <c r="P2387" s="3">
        <v>0.97916666666666663</v>
      </c>
    </row>
    <row r="2388" spans="1:16" x14ac:dyDescent="0.25">
      <c r="A2388" s="2">
        <v>45723</v>
      </c>
      <c r="B2388" s="2">
        <v>45841</v>
      </c>
      <c r="C2388" t="str">
        <f>+"Tuáº§n "&amp;WEEKNUM(B2388)</f>
        <v>Tuáº§n 27</v>
      </c>
      <c r="D2388" t="s">
        <v>20</v>
      </c>
      <c r="E2388" t="s">
        <v>17</v>
      </c>
      <c r="F2388" s="5">
        <v>117400000</v>
      </c>
      <c r="G2388" s="5">
        <v>120400000</v>
      </c>
      <c r="H2388" s="5">
        <f>+(M2388*26000)/0.829426</f>
        <v>104435597.63016833</v>
      </c>
      <c r="I2388" s="5">
        <f>+G2388-H2388</f>
        <v>15964402.369831666</v>
      </c>
      <c r="J2388" s="5">
        <v>3000000</v>
      </c>
      <c r="K2388" s="5">
        <v>11740000</v>
      </c>
      <c r="L2388" s="5">
        <v>12040000</v>
      </c>
      <c r="M2388" s="7">
        <v>3331.6</v>
      </c>
      <c r="N2388" s="5">
        <v>117900000</v>
      </c>
      <c r="O2388" s="5">
        <v>120900000</v>
      </c>
      <c r="P2388" s="3">
        <v>0.97916666666666663</v>
      </c>
    </row>
    <row r="2389" spans="1:16" x14ac:dyDescent="0.25">
      <c r="A2389" s="2">
        <v>45754</v>
      </c>
      <c r="B2389" s="2">
        <v>45842</v>
      </c>
      <c r="C2389" t="str">
        <f>+"Tuáº§n "&amp;WEEKNUM(B2389)</f>
        <v>Tuáº§n 27</v>
      </c>
      <c r="D2389" t="s">
        <v>21</v>
      </c>
      <c r="E2389" t="s">
        <v>17</v>
      </c>
      <c r="F2389" s="5">
        <v>117400000</v>
      </c>
      <c r="G2389" s="5">
        <v>120400000</v>
      </c>
      <c r="H2389" s="5">
        <f>+(M2389*26000)/0.829426</f>
        <v>104463809.91191499</v>
      </c>
      <c r="I2389" s="5">
        <f>+G2389-H2389</f>
        <v>15936190.088085011</v>
      </c>
      <c r="J2389" s="5">
        <v>3000000</v>
      </c>
      <c r="K2389" s="5">
        <v>11740000</v>
      </c>
      <c r="L2389" s="5">
        <v>12040000</v>
      </c>
      <c r="M2389" s="7">
        <v>3332.5</v>
      </c>
      <c r="N2389" s="5">
        <v>117900000</v>
      </c>
      <c r="O2389" s="5">
        <v>120900000</v>
      </c>
      <c r="P2389" s="3">
        <v>0.97916666666666663</v>
      </c>
    </row>
    <row r="2390" spans="1:16" x14ac:dyDescent="0.25">
      <c r="A2390" s="2">
        <v>45845</v>
      </c>
      <c r="B2390" s="2">
        <v>45845</v>
      </c>
      <c r="C2390" t="str">
        <f>+"Tuáº§n "&amp;WEEKNUM(B2390)</f>
        <v>Tuáº§n 28</v>
      </c>
      <c r="D2390" t="s">
        <v>16</v>
      </c>
      <c r="E2390" t="s">
        <v>17</v>
      </c>
      <c r="F2390" s="5">
        <v>117400000</v>
      </c>
      <c r="G2390" s="5">
        <v>120400000</v>
      </c>
      <c r="H2390" s="5">
        <f>+(M2390*26000)/0.829426</f>
        <v>104454405.81799944</v>
      </c>
      <c r="I2390" s="5">
        <f>+G2390-H2390</f>
        <v>15945594.182000563</v>
      </c>
      <c r="J2390" s="5">
        <v>3000000</v>
      </c>
      <c r="K2390" s="5">
        <v>11740000</v>
      </c>
      <c r="L2390" s="5">
        <v>12040000</v>
      </c>
      <c r="M2390" s="7">
        <v>3332.2</v>
      </c>
      <c r="N2390" s="5">
        <v>117900000</v>
      </c>
      <c r="O2390" s="5">
        <v>120900000</v>
      </c>
      <c r="P2390" s="3">
        <v>0.97916666666666663</v>
      </c>
    </row>
    <row r="2391" spans="1:16" x14ac:dyDescent="0.25">
      <c r="A2391" s="2">
        <v>45876</v>
      </c>
      <c r="B2391" s="2">
        <v>45846</v>
      </c>
      <c r="C2391" t="str">
        <f>+"Tuáº§n "&amp;WEEKNUM(B2391)</f>
        <v>Tuáº§n 28</v>
      </c>
      <c r="D2391" t="s">
        <v>18</v>
      </c>
      <c r="E2391" t="s">
        <v>17</v>
      </c>
      <c r="F2391" s="5">
        <v>116500000</v>
      </c>
      <c r="G2391" s="5">
        <v>119500000</v>
      </c>
      <c r="H2391" s="5">
        <f>+(M2391*26000)/0.829426</f>
        <v>103664461.92909314</v>
      </c>
      <c r="I2391" s="5">
        <f>+G2391-H2391</f>
        <v>15835538.070906863</v>
      </c>
      <c r="J2391" s="5">
        <v>3000000</v>
      </c>
      <c r="K2391" s="5">
        <v>11650000</v>
      </c>
      <c r="L2391" s="5">
        <v>11950000</v>
      </c>
      <c r="M2391" s="7">
        <v>3307</v>
      </c>
      <c r="N2391" s="5">
        <v>117000000</v>
      </c>
      <c r="O2391" s="5">
        <v>120000000</v>
      </c>
      <c r="P2391" s="3">
        <v>0.97916666666666663</v>
      </c>
    </row>
    <row r="2392" spans="1:16" x14ac:dyDescent="0.25">
      <c r="A2392" s="2">
        <v>45907</v>
      </c>
      <c r="B2392" s="2">
        <v>45847</v>
      </c>
      <c r="C2392" t="str">
        <f>+"Tuáº§n "&amp;WEEKNUM(B2392)</f>
        <v>Tuáº§n 28</v>
      </c>
      <c r="D2392" t="s">
        <v>19</v>
      </c>
      <c r="E2392" t="s">
        <v>17</v>
      </c>
      <c r="F2392" s="5">
        <v>116700000</v>
      </c>
      <c r="G2392" s="5">
        <v>119700000</v>
      </c>
      <c r="H2392" s="5">
        <f>+(M2392*26000)/0.829426</f>
        <v>103808658.03579825</v>
      </c>
      <c r="I2392" s="5">
        <f>+G2392-H2392</f>
        <v>15891341.964201748</v>
      </c>
      <c r="J2392" s="5">
        <v>3000000</v>
      </c>
      <c r="K2392" s="5">
        <v>11670000</v>
      </c>
      <c r="L2392" s="5">
        <v>11970000</v>
      </c>
      <c r="M2392" s="7">
        <v>3311.6</v>
      </c>
      <c r="N2392" s="5">
        <v>117200000</v>
      </c>
      <c r="O2392" s="5">
        <v>120200000</v>
      </c>
      <c r="P2392" s="3">
        <v>0.97916666666666663</v>
      </c>
    </row>
    <row r="2393" spans="1:16" x14ac:dyDescent="0.25">
      <c r="A2393" s="2">
        <v>45937</v>
      </c>
      <c r="B2393" s="2">
        <v>45848</v>
      </c>
      <c r="C2393" t="str">
        <f>+"Tuáº§n "&amp;WEEKNUM(B2393)</f>
        <v>Tuáº§n 28</v>
      </c>
      <c r="D2393" t="s">
        <v>20</v>
      </c>
      <c r="E2393" t="s">
        <v>17</v>
      </c>
      <c r="F2393" s="5">
        <v>116900000</v>
      </c>
      <c r="G2393" s="5">
        <v>119900000</v>
      </c>
      <c r="H2393" s="5">
        <f>+(M2393*26000)/0.829426</f>
        <v>103990470.51816557</v>
      </c>
      <c r="I2393" s="5">
        <f>+G2393-H2393</f>
        <v>15909529.481834427</v>
      </c>
      <c r="J2393" s="5">
        <v>3000000</v>
      </c>
      <c r="K2393" s="5">
        <v>11690000</v>
      </c>
      <c r="L2393" s="5">
        <v>11990000</v>
      </c>
      <c r="M2393" s="7">
        <v>3317.4</v>
      </c>
      <c r="N2393" s="5">
        <v>117400000</v>
      </c>
      <c r="O2393" s="5">
        <v>120400000</v>
      </c>
      <c r="P2393" s="3">
        <v>0.97916666666666663</v>
      </c>
    </row>
    <row r="2394" spans="1:16" x14ac:dyDescent="0.25">
      <c r="A2394" s="2">
        <v>45968</v>
      </c>
      <c r="B2394" s="2">
        <v>45849</v>
      </c>
      <c r="C2394" t="str">
        <f>+"Tuáº§n "&amp;WEEKNUM(B2394)</f>
        <v>Tuáº§n 28</v>
      </c>
      <c r="D2394" t="s">
        <v>21</v>
      </c>
      <c r="E2394" t="s">
        <v>17</v>
      </c>
      <c r="F2394" s="5">
        <v>118300000</v>
      </c>
      <c r="G2394" s="5">
        <v>121300000</v>
      </c>
      <c r="H2394" s="5">
        <f>+(M2394*26000)/0.829426</f>
        <v>105200463.93529983</v>
      </c>
      <c r="I2394" s="5">
        <f>+G2394-H2394</f>
        <v>16099536.064700171</v>
      </c>
      <c r="J2394" s="5">
        <v>3000000</v>
      </c>
      <c r="K2394" s="5">
        <v>11830000</v>
      </c>
      <c r="L2394" s="5">
        <v>12130000</v>
      </c>
      <c r="M2394" s="7">
        <v>3356</v>
      </c>
      <c r="N2394" s="5">
        <v>118800000</v>
      </c>
      <c r="O2394" s="5">
        <v>121800000</v>
      </c>
      <c r="P2394" s="3">
        <v>0.97916666666666663</v>
      </c>
    </row>
    <row r="2395" spans="1:16" x14ac:dyDescent="0.25">
      <c r="A2395" t="s">
        <v>1464</v>
      </c>
      <c r="B2395" s="2">
        <v>45852</v>
      </c>
      <c r="C2395" t="str">
        <f>+"Tuáº§n "&amp;WEEKNUM(B2395)</f>
        <v>Tuáº§n 29</v>
      </c>
      <c r="D2395" t="s">
        <v>16</v>
      </c>
      <c r="E2395" t="s">
        <v>17</v>
      </c>
      <c r="F2395" s="5">
        <v>118100000</v>
      </c>
      <c r="G2395" s="5">
        <v>121100000</v>
      </c>
      <c r="H2395" s="5">
        <f>+(M2395*26000)/0.829426</f>
        <v>105059402.52656657</v>
      </c>
      <c r="I2395" s="5">
        <f>+G2395-H2395</f>
        <v>16040597.473433435</v>
      </c>
      <c r="J2395" s="5">
        <v>3000000</v>
      </c>
      <c r="K2395" s="5">
        <v>11810000</v>
      </c>
      <c r="L2395" s="5">
        <v>12110000</v>
      </c>
      <c r="M2395" s="7">
        <v>3351.5</v>
      </c>
      <c r="N2395" s="5">
        <v>118600000</v>
      </c>
      <c r="O2395" s="5">
        <v>121600000</v>
      </c>
      <c r="P2395" s="3">
        <v>0.97916666666666663</v>
      </c>
    </row>
    <row r="2396" spans="1:16" x14ac:dyDescent="0.25">
      <c r="A2396" t="s">
        <v>1465</v>
      </c>
      <c r="B2396" s="2">
        <v>45853</v>
      </c>
      <c r="C2396" t="str">
        <f>+"Tuáº§n "&amp;WEEKNUM(B2396)</f>
        <v>Tuáº§n 29</v>
      </c>
      <c r="D2396" t="s">
        <v>18</v>
      </c>
      <c r="E2396" t="s">
        <v>17</v>
      </c>
      <c r="F2396" s="5">
        <v>117300000</v>
      </c>
      <c r="G2396" s="5">
        <v>120300000</v>
      </c>
      <c r="H2396" s="5">
        <f>+(M2396*26000)/0.829426</f>
        <v>104379173.06667502</v>
      </c>
      <c r="I2396" s="5">
        <f>+G2396-H2396</f>
        <v>15920826.933324978</v>
      </c>
      <c r="J2396" s="5">
        <v>3000000</v>
      </c>
      <c r="K2396" s="5">
        <v>11730000</v>
      </c>
      <c r="L2396" s="5">
        <v>12030000</v>
      </c>
      <c r="M2396" s="7">
        <v>3329.8</v>
      </c>
      <c r="N2396" s="5">
        <v>117800000</v>
      </c>
      <c r="O2396" s="5">
        <v>120800000</v>
      </c>
      <c r="P2396" s="3">
        <v>0.97916666666666663</v>
      </c>
    </row>
    <row r="2397" spans="1:16" x14ac:dyDescent="0.25">
      <c r="A2397" t="s">
        <v>1466</v>
      </c>
      <c r="B2397" s="2">
        <v>45854</v>
      </c>
      <c r="C2397" t="str">
        <f>+"Tuáº§n "&amp;WEEKNUM(B2397)</f>
        <v>Tuáº§n 29</v>
      </c>
      <c r="D2397" t="s">
        <v>19</v>
      </c>
      <c r="E2397" t="s">
        <v>17</v>
      </c>
      <c r="F2397" s="5">
        <v>118100000</v>
      </c>
      <c r="G2397" s="5">
        <v>121100000</v>
      </c>
      <c r="H2397" s="5">
        <f>+(M2397*26000)/0.829426</f>
        <v>105090749.50628507</v>
      </c>
      <c r="I2397" s="5">
        <f>+G2397-H2397</f>
        <v>16009250.493714929</v>
      </c>
      <c r="J2397" s="5">
        <v>3000000</v>
      </c>
      <c r="K2397" s="5">
        <v>11810000</v>
      </c>
      <c r="L2397" s="5">
        <v>12110000</v>
      </c>
      <c r="M2397" s="7">
        <v>3352.5</v>
      </c>
      <c r="N2397" s="5">
        <v>118600000</v>
      </c>
      <c r="O2397" s="5">
        <v>121600000</v>
      </c>
      <c r="P2397" s="3">
        <v>0.97916666666666663</v>
      </c>
    </row>
    <row r="2398" spans="1:16" x14ac:dyDescent="0.25">
      <c r="A2398" t="s">
        <v>1467</v>
      </c>
      <c r="B2398" s="2">
        <v>45855</v>
      </c>
      <c r="C2398" t="str">
        <f>+"Tuáº§n "&amp;WEEKNUM(B2398)</f>
        <v>Tuáº§n 29</v>
      </c>
      <c r="D2398" t="s">
        <v>20</v>
      </c>
      <c r="E2398" t="s">
        <v>17</v>
      </c>
      <c r="F2398" s="5">
        <v>117700000</v>
      </c>
      <c r="G2398" s="5">
        <v>120700000</v>
      </c>
      <c r="H2398" s="5">
        <f>+(M2398*26000)/0.829426</f>
        <v>104702046.95777562</v>
      </c>
      <c r="I2398" s="5">
        <f>+G2398-H2398</f>
        <v>15997953.042224377</v>
      </c>
      <c r="J2398" s="5">
        <v>3000000</v>
      </c>
      <c r="K2398" s="5">
        <v>11770000</v>
      </c>
      <c r="L2398" s="5">
        <v>12070000</v>
      </c>
      <c r="M2398" s="7">
        <v>3340.1</v>
      </c>
      <c r="N2398" s="5">
        <v>118200000</v>
      </c>
      <c r="O2398" s="5">
        <v>121200000</v>
      </c>
      <c r="P2398" s="3">
        <v>0.97916666666666663</v>
      </c>
    </row>
    <row r="2399" spans="1:16" x14ac:dyDescent="0.25">
      <c r="A2399" t="s">
        <v>1468</v>
      </c>
      <c r="B2399" s="2">
        <v>45856</v>
      </c>
      <c r="C2399" t="str">
        <f>+"Tuáº§n "&amp;WEEKNUM(B2399)</f>
        <v>Tuáº§n 29</v>
      </c>
      <c r="D2399" t="s">
        <v>21</v>
      </c>
      <c r="E2399" t="s">
        <v>17</v>
      </c>
      <c r="F2399" s="5">
        <v>118200000</v>
      </c>
      <c r="G2399" s="5">
        <v>121200000</v>
      </c>
      <c r="H2399" s="5">
        <f>+(M2399*26000)/0.829426</f>
        <v>105106422.99614432</v>
      </c>
      <c r="I2399" s="5">
        <f>+G2399-H2399</f>
        <v>16093577.003855675</v>
      </c>
      <c r="J2399" s="5">
        <v>3000000</v>
      </c>
      <c r="K2399" s="5">
        <v>11820000</v>
      </c>
      <c r="L2399" s="5">
        <v>12120000</v>
      </c>
      <c r="M2399" s="7">
        <v>3353</v>
      </c>
      <c r="N2399" s="5">
        <v>118700000</v>
      </c>
      <c r="O2399" s="5">
        <v>121700000</v>
      </c>
      <c r="P2399" s="3">
        <v>0.97916666666666663</v>
      </c>
    </row>
    <row r="2400" spans="1:16" x14ac:dyDescent="0.25">
      <c r="A2400" t="s">
        <v>1469</v>
      </c>
      <c r="B2400" s="2">
        <v>45859</v>
      </c>
      <c r="C2400" t="str">
        <f>+"Tuáº§n "&amp;WEEKNUM(B2400)</f>
        <v>Tuáº§n 30</v>
      </c>
      <c r="D2400" t="s">
        <v>16</v>
      </c>
      <c r="E2400" t="s">
        <v>17</v>
      </c>
      <c r="F2400" s="5">
        <v>119900000</v>
      </c>
      <c r="G2400" s="5">
        <v>122900000</v>
      </c>
      <c r="H2400" s="5">
        <f>+(M2400*26000)/0.829426</f>
        <v>106639290.30437918</v>
      </c>
      <c r="I2400" s="5">
        <f>+G2400-H2400</f>
        <v>16260709.69562082</v>
      </c>
      <c r="J2400" s="5">
        <v>3000000</v>
      </c>
      <c r="K2400" s="5">
        <v>11990000</v>
      </c>
      <c r="L2400" s="5">
        <v>12290000</v>
      </c>
      <c r="M2400" s="7">
        <v>3401.9</v>
      </c>
      <c r="N2400" s="5">
        <v>120400000</v>
      </c>
      <c r="O2400" s="5">
        <v>123400000</v>
      </c>
      <c r="P2400" s="3">
        <v>0.97916666666666663</v>
      </c>
    </row>
    <row r="2401" spans="1:16" x14ac:dyDescent="0.25">
      <c r="A2401" t="s">
        <v>1470</v>
      </c>
      <c r="B2401" s="2">
        <v>45860</v>
      </c>
      <c r="C2401" t="str">
        <f>+"Tuáº§n "&amp;WEEKNUM(B2401)</f>
        <v>Tuáº§n 30</v>
      </c>
      <c r="D2401" t="s">
        <v>18</v>
      </c>
      <c r="E2401" t="s">
        <v>17</v>
      </c>
      <c r="F2401" s="5">
        <v>121300000</v>
      </c>
      <c r="G2401" s="5">
        <v>124300000</v>
      </c>
      <c r="H2401" s="5">
        <f>+(M2401*26000)/0.829426</f>
        <v>107808532.64787938</v>
      </c>
      <c r="I2401" s="5">
        <f>+G2401-H2401</f>
        <v>16491467.352120623</v>
      </c>
      <c r="J2401" s="5">
        <v>3000000</v>
      </c>
      <c r="K2401" s="5">
        <v>12130000</v>
      </c>
      <c r="L2401" s="5">
        <v>12430000</v>
      </c>
      <c r="M2401" s="7">
        <v>3439.2</v>
      </c>
      <c r="N2401" s="5">
        <v>121800000</v>
      </c>
      <c r="O2401" s="5">
        <v>124800000</v>
      </c>
      <c r="P2401" s="3">
        <v>0.97916666666666663</v>
      </c>
    </row>
    <row r="2402" spans="1:16" x14ac:dyDescent="0.25">
      <c r="A2402" t="s">
        <v>1471</v>
      </c>
      <c r="B2402" s="2">
        <v>45861</v>
      </c>
      <c r="C2402" t="str">
        <f>+"Tuáº§n "&amp;WEEKNUM(B2402)</f>
        <v>Tuáº§n 30</v>
      </c>
      <c r="D2402" t="s">
        <v>19</v>
      </c>
      <c r="E2402" t="s">
        <v>17</v>
      </c>
      <c r="F2402" s="5">
        <v>119600000</v>
      </c>
      <c r="G2402" s="5">
        <v>122600000</v>
      </c>
      <c r="H2402" s="5">
        <f>+(M2402*26000)/0.829426</f>
        <v>106394783.86257485</v>
      </c>
      <c r="I2402" s="5">
        <f>+G2402-H2402</f>
        <v>16205216.137425154</v>
      </c>
      <c r="J2402" s="5">
        <v>3000000</v>
      </c>
      <c r="K2402" s="5">
        <v>11960000</v>
      </c>
      <c r="L2402" s="5">
        <v>12260000</v>
      </c>
      <c r="M2402" s="7">
        <v>3394.1</v>
      </c>
      <c r="N2402" s="5">
        <v>120100000</v>
      </c>
      <c r="O2402" s="5">
        <v>123100000</v>
      </c>
      <c r="P2402" s="3">
        <v>0.97916666666666663</v>
      </c>
    </row>
    <row r="2403" spans="1:16" x14ac:dyDescent="0.25">
      <c r="A2403" t="s">
        <v>1472</v>
      </c>
      <c r="B2403" s="2">
        <v>45862</v>
      </c>
      <c r="C2403" t="str">
        <f>+"Tuáº§n "&amp;WEEKNUM(B2403)</f>
        <v>Tuáº§n 30</v>
      </c>
      <c r="D2403" t="s">
        <v>20</v>
      </c>
      <c r="E2403" t="s">
        <v>17</v>
      </c>
      <c r="F2403" s="5">
        <v>118800000</v>
      </c>
      <c r="G2403" s="5">
        <v>121800000</v>
      </c>
      <c r="H2403" s="5">
        <f>+(M2403*26000)/0.829426</f>
        <v>105670668.63107739</v>
      </c>
      <c r="I2403" s="5">
        <f>+G2403-H2403</f>
        <v>16129331.368922606</v>
      </c>
      <c r="J2403" s="5">
        <v>3000000</v>
      </c>
      <c r="K2403" s="5">
        <v>11880000</v>
      </c>
      <c r="L2403" s="5">
        <v>12180000</v>
      </c>
      <c r="M2403" s="7">
        <v>3371</v>
      </c>
      <c r="N2403" s="5">
        <v>119300000</v>
      </c>
      <c r="O2403" s="5">
        <v>122300000</v>
      </c>
      <c r="P2403" s="3">
        <v>0.97916666666666663</v>
      </c>
    </row>
    <row r="2404" spans="1:16" x14ac:dyDescent="0.25">
      <c r="A2404" t="s">
        <v>1473</v>
      </c>
      <c r="B2404" s="2">
        <v>45863</v>
      </c>
      <c r="C2404" t="str">
        <f>+"Tuáº§n "&amp;WEEKNUM(B2404)</f>
        <v>Tuáº§n 30</v>
      </c>
      <c r="D2404" t="s">
        <v>21</v>
      </c>
      <c r="E2404" t="s">
        <v>17</v>
      </c>
      <c r="F2404" s="5">
        <v>117500000</v>
      </c>
      <c r="G2404" s="5">
        <v>120500000</v>
      </c>
      <c r="H2404" s="5">
        <f>+(M2404*26000)/0.829426</f>
        <v>104510830.38149275</v>
      </c>
      <c r="I2404" s="5">
        <f>+G2404-H2404</f>
        <v>15989169.618507251</v>
      </c>
      <c r="J2404" s="5">
        <v>3000000</v>
      </c>
      <c r="K2404" s="5">
        <v>11750000</v>
      </c>
      <c r="L2404" s="5">
        <v>12050000</v>
      </c>
      <c r="M2404" s="7">
        <v>3334</v>
      </c>
      <c r="N2404" s="5">
        <v>118000000</v>
      </c>
      <c r="O2404" s="5">
        <v>121000000</v>
      </c>
      <c r="P2404" s="3">
        <v>0.97916666666666663</v>
      </c>
    </row>
    <row r="2405" spans="1:16" x14ac:dyDescent="0.25">
      <c r="A2405" t="s">
        <v>1474</v>
      </c>
      <c r="B2405" s="2">
        <v>45866</v>
      </c>
      <c r="C2405" t="str">
        <f>+"Tuáº§n "&amp;WEEKNUM(B2405)</f>
        <v>Tuáº§n 31</v>
      </c>
      <c r="D2405" t="s">
        <v>16</v>
      </c>
      <c r="E2405" t="s">
        <v>17</v>
      </c>
      <c r="F2405" s="5">
        <v>116600000</v>
      </c>
      <c r="G2405" s="5">
        <v>119600000</v>
      </c>
      <c r="H2405" s="5">
        <f>+(M2405*26000)/0.829426</f>
        <v>103730290.58650199</v>
      </c>
      <c r="I2405" s="5">
        <f>+G2405-H2405</f>
        <v>15869709.413498014</v>
      </c>
      <c r="J2405" s="5">
        <v>3000000</v>
      </c>
      <c r="K2405" s="5">
        <v>11660000</v>
      </c>
      <c r="L2405" s="5">
        <v>11960000</v>
      </c>
      <c r="M2405" s="7">
        <v>3309.1</v>
      </c>
      <c r="N2405" s="5">
        <v>117100000</v>
      </c>
      <c r="O2405" s="5">
        <v>120100000</v>
      </c>
      <c r="P2405" s="3">
        <v>0.97916666666666663</v>
      </c>
    </row>
    <row r="2406" spans="1:16" x14ac:dyDescent="0.25">
      <c r="A2406" t="s">
        <v>1475</v>
      </c>
      <c r="B2406" s="2">
        <v>45867</v>
      </c>
      <c r="C2406" t="str">
        <f>+"Tuáº§n "&amp;WEEKNUM(B2406)</f>
        <v>Tuáº§n 31</v>
      </c>
      <c r="D2406" t="s">
        <v>18</v>
      </c>
      <c r="E2406" t="s">
        <v>17</v>
      </c>
      <c r="F2406" s="5">
        <v>117100000</v>
      </c>
      <c r="G2406" s="5">
        <v>120100000</v>
      </c>
      <c r="H2406" s="5">
        <f>+(M2406*26000)/0.829426</f>
        <v>104178552.3964766</v>
      </c>
      <c r="I2406" s="5">
        <f>+G2406-H2406</f>
        <v>15921447.603523403</v>
      </c>
      <c r="J2406" s="5">
        <v>3000000</v>
      </c>
      <c r="K2406" s="5">
        <v>11710000</v>
      </c>
      <c r="L2406" s="5">
        <v>12010000</v>
      </c>
      <c r="M2406" s="7">
        <v>3323.4</v>
      </c>
      <c r="N2406" s="5">
        <v>117600000</v>
      </c>
      <c r="O2406" s="5">
        <v>120600000</v>
      </c>
      <c r="P2406" s="3">
        <v>0.97916666666666663</v>
      </c>
    </row>
    <row r="2407" spans="1:16" x14ac:dyDescent="0.25">
      <c r="A2407" t="s">
        <v>1476</v>
      </c>
      <c r="B2407" s="2">
        <v>45868</v>
      </c>
      <c r="C2407" t="str">
        <f>+"Tuáº§n "&amp;WEEKNUM(B2407)</f>
        <v>Tuáº§n 31</v>
      </c>
      <c r="D2407" t="s">
        <v>19</v>
      </c>
      <c r="E2407" t="s">
        <v>17</v>
      </c>
      <c r="F2407" s="5">
        <v>116100000</v>
      </c>
      <c r="G2407" s="5">
        <v>119100000</v>
      </c>
      <c r="H2407" s="5">
        <f>+(M2407*26000)/0.829426</f>
        <v>103313375.75624588</v>
      </c>
      <c r="I2407" s="5">
        <f>+G2407-H2407</f>
        <v>15786624.243754119</v>
      </c>
      <c r="J2407" s="5">
        <v>3000000</v>
      </c>
      <c r="K2407" s="5">
        <v>11610000</v>
      </c>
      <c r="L2407" s="5">
        <v>11910000</v>
      </c>
      <c r="M2407" s="7">
        <v>3295.8</v>
      </c>
      <c r="N2407" s="5">
        <v>116600000</v>
      </c>
      <c r="O2407" s="5">
        <v>119600000</v>
      </c>
      <c r="P2407" s="3">
        <v>0.97916666666666663</v>
      </c>
    </row>
    <row r="2408" spans="1:16" x14ac:dyDescent="0.25">
      <c r="A2408" t="s">
        <v>1477</v>
      </c>
      <c r="B2408" s="2">
        <v>45869</v>
      </c>
      <c r="C2408" t="str">
        <f>+"Tuáº§n "&amp;WEEKNUM(B2408)</f>
        <v>Tuáº§n 31</v>
      </c>
      <c r="D2408" t="s">
        <v>20</v>
      </c>
      <c r="E2408" t="s">
        <v>17</v>
      </c>
      <c r="F2408" s="5">
        <v>116000000</v>
      </c>
      <c r="G2408" s="5">
        <v>119000000</v>
      </c>
      <c r="H2408" s="5">
        <f>+(M2408*26000)/0.829426</f>
        <v>103231873.60897778</v>
      </c>
      <c r="I2408" s="5">
        <f>+G2408-H2408</f>
        <v>15768126.39102222</v>
      </c>
      <c r="J2408" s="5">
        <v>3000000</v>
      </c>
      <c r="K2408" s="5">
        <v>11600000</v>
      </c>
      <c r="L2408" s="5">
        <v>11900000</v>
      </c>
      <c r="M2408" s="7">
        <v>3293.2</v>
      </c>
      <c r="N2408" s="5">
        <v>116500000</v>
      </c>
      <c r="O2408" s="5">
        <v>119500000</v>
      </c>
      <c r="P2408" s="3">
        <v>0.97916666666666663</v>
      </c>
    </row>
    <row r="2409" spans="1:16" x14ac:dyDescent="0.25">
      <c r="A2409" s="2">
        <v>45665</v>
      </c>
      <c r="B2409" s="2">
        <v>45870</v>
      </c>
      <c r="C2409" t="str">
        <f>+"Tuáº§n "&amp;WEEKNUM(B2409)</f>
        <v>Tuáº§n 31</v>
      </c>
      <c r="D2409" t="s">
        <v>21</v>
      </c>
      <c r="E2409" t="s">
        <v>17</v>
      </c>
      <c r="F2409" s="5">
        <v>118000000</v>
      </c>
      <c r="G2409" s="5">
        <v>121000000</v>
      </c>
      <c r="H2409" s="5">
        <f>+(M2409*26000)/0.829426</f>
        <v>104940284.00363626</v>
      </c>
      <c r="I2409" s="5">
        <f>+G2409-H2409</f>
        <v>16059715.996363744</v>
      </c>
      <c r="J2409" s="5">
        <v>3000000</v>
      </c>
      <c r="K2409" s="5">
        <v>11800000</v>
      </c>
      <c r="L2409" s="5">
        <v>12100000</v>
      </c>
      <c r="M2409" s="7">
        <v>3347.7</v>
      </c>
      <c r="N2409" s="5">
        <v>118500000</v>
      </c>
      <c r="O2409" s="5">
        <v>121500000</v>
      </c>
      <c r="P2409" s="3">
        <v>0.97916666666666663</v>
      </c>
    </row>
    <row r="2410" spans="1:16" x14ac:dyDescent="0.25">
      <c r="A2410" s="2">
        <v>45755</v>
      </c>
      <c r="B2410" s="2">
        <v>45873</v>
      </c>
      <c r="C2410" t="str">
        <f>+"Tuáº§n "&amp;WEEKNUM(B2410)</f>
        <v>Tuáº§n 32</v>
      </c>
      <c r="D2410" t="s">
        <v>16</v>
      </c>
      <c r="E2410" t="s">
        <v>17</v>
      </c>
      <c r="F2410" s="5">
        <v>118900000</v>
      </c>
      <c r="G2410" s="5">
        <v>121900000</v>
      </c>
      <c r="H2410" s="5">
        <f>+(M2410*26000)/0.829426</f>
        <v>105777248.36212032</v>
      </c>
      <c r="I2410" s="5">
        <f>+G2410-H2410</f>
        <v>16122751.637879685</v>
      </c>
      <c r="J2410" s="5">
        <v>3000000</v>
      </c>
      <c r="K2410" s="5">
        <v>11890000</v>
      </c>
      <c r="L2410" s="5">
        <v>12190000</v>
      </c>
      <c r="M2410" s="7">
        <v>3374.4</v>
      </c>
      <c r="N2410" s="5">
        <v>119400000</v>
      </c>
      <c r="O2410" s="5">
        <v>122400000</v>
      </c>
      <c r="P2410" s="3">
        <v>0.97916666666666663</v>
      </c>
    </row>
    <row r="2411" spans="1:16" x14ac:dyDescent="0.25">
      <c r="A2411" s="2">
        <v>45785</v>
      </c>
      <c r="B2411" s="2">
        <v>45874</v>
      </c>
      <c r="C2411" t="str">
        <f>+"Tuáº§n "&amp;WEEKNUM(B2411)</f>
        <v>Tuáº§n 32</v>
      </c>
      <c r="D2411" t="s">
        <v>18</v>
      </c>
      <c r="E2411" t="s">
        <v>17</v>
      </c>
      <c r="F2411" s="5">
        <v>119200000</v>
      </c>
      <c r="G2411" s="5">
        <v>122200000</v>
      </c>
      <c r="H2411" s="5">
        <f>+(M2411*26000)/0.829426</f>
        <v>106012350.7100091</v>
      </c>
      <c r="I2411" s="5">
        <f>+G2411-H2411</f>
        <v>16187649.289990902</v>
      </c>
      <c r="J2411" s="5">
        <v>3000000</v>
      </c>
      <c r="K2411" s="5">
        <v>11920000</v>
      </c>
      <c r="L2411" s="5">
        <v>12220000</v>
      </c>
      <c r="M2411" s="7">
        <v>3381.9</v>
      </c>
      <c r="N2411" s="5">
        <v>119700000</v>
      </c>
      <c r="O2411" s="5">
        <v>122700000</v>
      </c>
      <c r="P2411" s="3">
        <v>0.97916666666666663</v>
      </c>
    </row>
    <row r="2412" spans="1:16" x14ac:dyDescent="0.25">
      <c r="A2412" s="2">
        <v>45816</v>
      </c>
      <c r="B2412" s="2">
        <v>45875</v>
      </c>
      <c r="C2412" t="str">
        <f>+"Tuáº§n "&amp;WEEKNUM(B2412)</f>
        <v>Tuáº§n 32</v>
      </c>
      <c r="D2412" t="s">
        <v>19</v>
      </c>
      <c r="E2412" t="s">
        <v>17</v>
      </c>
      <c r="F2412" s="5">
        <v>119100000</v>
      </c>
      <c r="G2412" s="5">
        <v>122100000</v>
      </c>
      <c r="H2412" s="5">
        <f>+(M2412*26000)/0.829426</f>
        <v>105952791.44854394</v>
      </c>
      <c r="I2412" s="5">
        <f>+G2412-H2412</f>
        <v>16147208.551456064</v>
      </c>
      <c r="J2412" s="5">
        <v>3000000</v>
      </c>
      <c r="K2412" s="5">
        <v>11910000</v>
      </c>
      <c r="L2412" s="5">
        <v>12210000</v>
      </c>
      <c r="M2412" s="7">
        <v>3380</v>
      </c>
      <c r="N2412" s="5">
        <v>119600000</v>
      </c>
      <c r="O2412" s="5">
        <v>122600000</v>
      </c>
      <c r="P2412" s="3">
        <v>0.97916666666666663</v>
      </c>
    </row>
    <row r="2413" spans="1:16" x14ac:dyDescent="0.25">
      <c r="A2413" s="2">
        <v>45846</v>
      </c>
      <c r="B2413" s="2">
        <v>45876</v>
      </c>
      <c r="C2413" t="str">
        <f>+"Tuáº§n "&amp;WEEKNUM(B2413)</f>
        <v>Tuáº§n 32</v>
      </c>
      <c r="D2413" t="s">
        <v>20</v>
      </c>
      <c r="E2413" t="s">
        <v>17</v>
      </c>
      <c r="F2413" s="5">
        <v>119900000</v>
      </c>
      <c r="G2413" s="5">
        <v>122900000</v>
      </c>
      <c r="H2413" s="5">
        <f>+(M2413*26000)/0.829426</f>
        <v>106589135.13682957</v>
      </c>
      <c r="I2413" s="5">
        <f>+G2413-H2413</f>
        <v>16310864.86317043</v>
      </c>
      <c r="J2413" s="5">
        <v>3000000</v>
      </c>
      <c r="K2413" s="5">
        <v>11990000</v>
      </c>
      <c r="L2413" s="5">
        <v>12290000</v>
      </c>
      <c r="M2413" s="7">
        <v>3400.3</v>
      </c>
      <c r="N2413" s="5">
        <v>120400000</v>
      </c>
      <c r="O2413" s="5">
        <v>123400000</v>
      </c>
      <c r="P2413" s="3">
        <v>0.97916666666666663</v>
      </c>
    </row>
    <row r="2414" spans="1:16" x14ac:dyDescent="0.25">
      <c r="A2414" s="2">
        <v>45877</v>
      </c>
      <c r="B2414" s="2">
        <v>45877</v>
      </c>
      <c r="C2414" t="str">
        <f>+"Tuáº§n "&amp;WEEKNUM(B2414)</f>
        <v>Tuáº§n 32</v>
      </c>
      <c r="D2414" t="s">
        <v>21</v>
      </c>
      <c r="E2414" t="s">
        <v>17</v>
      </c>
      <c r="F2414" s="5">
        <v>121300000</v>
      </c>
      <c r="G2414" s="5">
        <v>124300000</v>
      </c>
      <c r="H2414" s="5">
        <f>+(M2414*26000)/0.829426</f>
        <v>107805397.94990753</v>
      </c>
      <c r="I2414" s="5">
        <f>+G2414-H2414</f>
        <v>16494602.050092474</v>
      </c>
      <c r="J2414" s="5">
        <v>3000000</v>
      </c>
      <c r="K2414" s="5">
        <v>12130000</v>
      </c>
      <c r="L2414" s="5">
        <v>12430000</v>
      </c>
      <c r="M2414" s="7">
        <v>3439.1</v>
      </c>
      <c r="N2414" s="5">
        <v>121800000</v>
      </c>
      <c r="O2414" s="5">
        <v>124800000</v>
      </c>
      <c r="P2414" s="3">
        <v>0.97916666666666663</v>
      </c>
    </row>
    <row r="2415" spans="1:16" x14ac:dyDescent="0.25">
      <c r="A2415" s="2">
        <v>45969</v>
      </c>
      <c r="B2415" s="2">
        <v>45880</v>
      </c>
      <c r="C2415" t="str">
        <f>+"Tuáº§n "&amp;WEEKNUM(B2415)</f>
        <v>Tuáº§n 33</v>
      </c>
      <c r="D2415" t="s">
        <v>16</v>
      </c>
      <c r="E2415" t="s">
        <v>17</v>
      </c>
      <c r="F2415" s="5">
        <v>118200000</v>
      </c>
      <c r="G2415" s="5">
        <v>121200000</v>
      </c>
      <c r="H2415" s="5">
        <f>+(M2415*26000)/0.829426</f>
        <v>105109557.69411618</v>
      </c>
      <c r="I2415" s="5">
        <f>+G2415-H2415</f>
        <v>16090442.305883825</v>
      </c>
      <c r="J2415" s="5">
        <v>3000000</v>
      </c>
      <c r="K2415" s="5">
        <v>11820000</v>
      </c>
      <c r="L2415" s="5">
        <v>12120000</v>
      </c>
      <c r="M2415" s="7">
        <v>3353.1</v>
      </c>
      <c r="N2415" s="5">
        <v>118700000</v>
      </c>
      <c r="O2415" s="5">
        <v>121700000</v>
      </c>
      <c r="P2415" s="3">
        <v>0.97916666666666663</v>
      </c>
    </row>
    <row r="2416" spans="1:16" x14ac:dyDescent="0.25">
      <c r="A2416" s="2">
        <v>45999</v>
      </c>
      <c r="B2416" s="2">
        <v>45881</v>
      </c>
      <c r="C2416" t="str">
        <f>+"Tuáº§n "&amp;WEEKNUM(B2416)</f>
        <v>Tuáº§n 33</v>
      </c>
      <c r="D2416" t="s">
        <v>18</v>
      </c>
      <c r="E2416" t="s">
        <v>17</v>
      </c>
      <c r="F2416" s="5">
        <v>118000000</v>
      </c>
      <c r="G2416" s="5">
        <v>121000000</v>
      </c>
      <c r="H2416" s="5">
        <f>+(M2416*26000)/0.829426</f>
        <v>104977900.37929845</v>
      </c>
      <c r="I2416" s="5">
        <f>+G2416-H2416</f>
        <v>16022099.620701551</v>
      </c>
      <c r="J2416" s="5">
        <v>3000000</v>
      </c>
      <c r="K2416" s="5">
        <v>11800000</v>
      </c>
      <c r="L2416" s="5">
        <v>12100000</v>
      </c>
      <c r="M2416" s="7">
        <v>3348.9</v>
      </c>
      <c r="N2416" s="5">
        <v>118500000</v>
      </c>
      <c r="O2416" s="5">
        <v>121500000</v>
      </c>
      <c r="P2416" s="3">
        <v>0.97916666666666663</v>
      </c>
    </row>
    <row r="2417" spans="1:16" x14ac:dyDescent="0.25">
      <c r="A2417" t="s">
        <v>1478</v>
      </c>
      <c r="B2417" s="2">
        <v>45882</v>
      </c>
      <c r="C2417" t="str">
        <f>+"Tuáº§n "&amp;WEEKNUM(B2417)</f>
        <v>Tuáº§n 33</v>
      </c>
      <c r="D2417" t="s">
        <v>19</v>
      </c>
      <c r="E2417" t="s">
        <v>17</v>
      </c>
      <c r="F2417" s="5">
        <v>118400000</v>
      </c>
      <c r="G2417" s="5">
        <v>121400000</v>
      </c>
      <c r="H2417" s="5">
        <f>+(M2417*26000)/0.829426</f>
        <v>105285100.7805398</v>
      </c>
      <c r="I2417" s="5">
        <f>+G2417-H2417</f>
        <v>16114899.219460204</v>
      </c>
      <c r="J2417" s="5">
        <v>3000000</v>
      </c>
      <c r="K2417" s="5">
        <v>11840000</v>
      </c>
      <c r="L2417" s="5">
        <v>12140000</v>
      </c>
      <c r="M2417" s="7">
        <v>3358.7</v>
      </c>
      <c r="N2417" s="5">
        <v>118900000</v>
      </c>
      <c r="O2417" s="5">
        <v>121900000</v>
      </c>
      <c r="P2417" s="3">
        <v>0.97916666666666663</v>
      </c>
    </row>
    <row r="2418" spans="1:16" x14ac:dyDescent="0.25">
      <c r="A2418" t="s">
        <v>1479</v>
      </c>
      <c r="B2418" s="2">
        <v>45883</v>
      </c>
      <c r="C2418" t="str">
        <f>+"Tuáº§n "&amp;WEEKNUM(B2418)</f>
        <v>Tuáº§n 33</v>
      </c>
      <c r="D2418" t="s">
        <v>20</v>
      </c>
      <c r="E2418" t="s">
        <v>17</v>
      </c>
      <c r="F2418" s="5">
        <v>117500000</v>
      </c>
      <c r="G2418" s="5">
        <v>120500000</v>
      </c>
      <c r="H2418" s="5">
        <f>+(M2418*26000)/0.829426</f>
        <v>104548446.75715494</v>
      </c>
      <c r="I2418" s="5">
        <f>+G2418-H2418</f>
        <v>15951553.242845058</v>
      </c>
      <c r="J2418" s="5">
        <v>3000000</v>
      </c>
      <c r="K2418" s="5">
        <v>11750000</v>
      </c>
      <c r="L2418" s="5">
        <v>12050000</v>
      </c>
      <c r="M2418" s="7">
        <v>3335.2</v>
      </c>
      <c r="N2418" s="5">
        <v>118000000</v>
      </c>
      <c r="O2418" s="5">
        <v>121000000</v>
      </c>
      <c r="P2418" s="3">
        <v>0.97916666666666663</v>
      </c>
    </row>
    <row r="2419" spans="1:16" x14ac:dyDescent="0.25">
      <c r="A2419" t="s">
        <v>1480</v>
      </c>
      <c r="B2419" s="2">
        <v>45884</v>
      </c>
      <c r="C2419" t="str">
        <f>+"Tuáº§n "&amp;WEEKNUM(B2419)</f>
        <v>Tuáº§n 33</v>
      </c>
      <c r="D2419" t="s">
        <v>21</v>
      </c>
      <c r="E2419" t="s">
        <v>17</v>
      </c>
      <c r="F2419" s="5">
        <v>117500000</v>
      </c>
      <c r="G2419" s="5">
        <v>120500000</v>
      </c>
      <c r="H2419" s="5">
        <f>+(M2419*26000)/0.829426</f>
        <v>104573524.34092975</v>
      </c>
      <c r="I2419" s="5">
        <f>+G2419-H2419</f>
        <v>15926475.659070253</v>
      </c>
      <c r="J2419" s="5">
        <v>3000000</v>
      </c>
      <c r="K2419" s="5">
        <v>11750000</v>
      </c>
      <c r="L2419" s="5">
        <v>12050000</v>
      </c>
      <c r="M2419" s="7">
        <v>3336</v>
      </c>
      <c r="N2419" s="5">
        <v>118000000</v>
      </c>
      <c r="O2419" s="5">
        <v>121000000</v>
      </c>
      <c r="P2419" s="3">
        <v>0.97916666666666663</v>
      </c>
    </row>
    <row r="2420" spans="1:16" x14ac:dyDescent="0.25">
      <c r="A2420" t="s">
        <v>1481</v>
      </c>
      <c r="B2420" s="2">
        <v>45887</v>
      </c>
      <c r="C2420" t="str">
        <f>+"Tuáº§n "&amp;WEEKNUM(B2420)</f>
        <v>Tuáº§n 34</v>
      </c>
      <c r="D2420" t="s">
        <v>16</v>
      </c>
      <c r="E2420" t="s">
        <v>17</v>
      </c>
      <c r="F2420" s="5">
        <v>117400000</v>
      </c>
      <c r="G2420" s="5">
        <v>120400000</v>
      </c>
      <c r="H2420" s="5">
        <f>+(M2420*26000)/0.829426</f>
        <v>104438732.32814018</v>
      </c>
      <c r="I2420" s="5">
        <f>+G2420-H2420</f>
        <v>15961267.671859816</v>
      </c>
      <c r="J2420" s="5">
        <v>3000000</v>
      </c>
      <c r="K2420" s="5">
        <v>11740000</v>
      </c>
      <c r="L2420" s="5">
        <v>12040000</v>
      </c>
      <c r="M2420" s="7">
        <v>3331.7</v>
      </c>
      <c r="N2420" s="5">
        <v>117900000</v>
      </c>
      <c r="O2420" s="5">
        <v>120900000</v>
      </c>
      <c r="P2420" s="3">
        <v>0.97916666666666663</v>
      </c>
    </row>
    <row r="2421" spans="1:16" x14ac:dyDescent="0.25">
      <c r="A2421" t="s">
        <v>1482</v>
      </c>
      <c r="B2421" s="2">
        <v>45888</v>
      </c>
      <c r="C2421" t="str">
        <f>+"Tuáº§n "&amp;WEEKNUM(B2421)</f>
        <v>Tuáº§n 34</v>
      </c>
      <c r="D2421" t="s">
        <v>18</v>
      </c>
      <c r="E2421" t="s">
        <v>17</v>
      </c>
      <c r="F2421" s="5">
        <v>116700000</v>
      </c>
      <c r="G2421" s="5">
        <v>119700000</v>
      </c>
      <c r="H2421" s="5">
        <f>+(M2421*26000)/0.829426</f>
        <v>103865082.59929156</v>
      </c>
      <c r="I2421" s="5">
        <f>+G2421-H2421</f>
        <v>15834917.400708437</v>
      </c>
      <c r="J2421" s="5">
        <v>3000000</v>
      </c>
      <c r="K2421" s="5">
        <v>11670000</v>
      </c>
      <c r="L2421" s="5">
        <v>11970000</v>
      </c>
      <c r="M2421" s="7">
        <v>3313.4</v>
      </c>
      <c r="N2421" s="5">
        <v>117200000</v>
      </c>
      <c r="O2421" s="5">
        <v>120200000</v>
      </c>
      <c r="P2421" s="3">
        <v>0.97916666666666663</v>
      </c>
    </row>
    <row r="2422" spans="1:16" x14ac:dyDescent="0.25">
      <c r="A2422" t="s">
        <v>1483</v>
      </c>
      <c r="B2422" s="2">
        <v>45889</v>
      </c>
      <c r="C2422" t="str">
        <f>+"Tuáº§n "&amp;WEEKNUM(B2422)</f>
        <v>Tuáº§n 34</v>
      </c>
      <c r="D2422" t="s">
        <v>19</v>
      </c>
      <c r="E2422" t="s">
        <v>17</v>
      </c>
      <c r="F2422" s="5">
        <v>117800000</v>
      </c>
      <c r="G2422" s="5">
        <v>120800000</v>
      </c>
      <c r="H2422" s="5">
        <f>+(M2422*26000)/0.829426</f>
        <v>104805491.99084668</v>
      </c>
      <c r="I2422" s="5">
        <f>+G2422-H2422</f>
        <v>15994508.009153321</v>
      </c>
      <c r="J2422" s="5">
        <v>3000000</v>
      </c>
      <c r="K2422" s="5">
        <v>11780000</v>
      </c>
      <c r="L2422" s="5">
        <v>12080000</v>
      </c>
      <c r="M2422" s="7">
        <v>3343.4</v>
      </c>
      <c r="N2422" s="5">
        <v>118300000</v>
      </c>
      <c r="O2422" s="5">
        <v>121300000</v>
      </c>
      <c r="P2422" s="3">
        <v>0.97916666666666663</v>
      </c>
    </row>
    <row r="2423" spans="1:16" x14ac:dyDescent="0.25">
      <c r="A2423" t="s">
        <v>1484</v>
      </c>
      <c r="B2423" s="2">
        <v>45890</v>
      </c>
      <c r="C2423" t="str">
        <f>+"Tuáº§n "&amp;WEEKNUM(B2423)</f>
        <v>Tuáº§n 34</v>
      </c>
      <c r="D2423" t="s">
        <v>20</v>
      </c>
      <c r="E2423" t="s">
        <v>17</v>
      </c>
      <c r="F2423" s="5">
        <v>117600000</v>
      </c>
      <c r="G2423" s="5">
        <v>120600000</v>
      </c>
      <c r="H2423" s="5">
        <f>+(M2423*26000)/0.829426</f>
        <v>104601736.6226764</v>
      </c>
      <c r="I2423" s="5">
        <f>+G2423-H2423</f>
        <v>15998263.377323598</v>
      </c>
      <c r="J2423" s="5">
        <v>3000000</v>
      </c>
      <c r="K2423" s="5">
        <v>11760000</v>
      </c>
      <c r="L2423" s="5">
        <v>12060000</v>
      </c>
      <c r="M2423" s="7">
        <v>3336.9</v>
      </c>
      <c r="N2423" s="5">
        <v>118100000</v>
      </c>
      <c r="O2423" s="5">
        <v>121100000</v>
      </c>
      <c r="P2423" s="3">
        <v>0.97916666666666663</v>
      </c>
    </row>
    <row r="2424" spans="1:16" x14ac:dyDescent="0.25">
      <c r="A2424" t="s">
        <v>1485</v>
      </c>
      <c r="B2424" s="2">
        <v>45891</v>
      </c>
      <c r="C2424" t="str">
        <f>+"Tuáº§n "&amp;WEEKNUM(B2424)</f>
        <v>Tuáº§n 34</v>
      </c>
      <c r="D2424" t="s">
        <v>21</v>
      </c>
      <c r="E2424" t="s">
        <v>17</v>
      </c>
      <c r="F2424" s="5">
        <v>118900000</v>
      </c>
      <c r="G2424" s="5">
        <v>121900000</v>
      </c>
      <c r="H2424" s="5">
        <f>+(M2424*26000)/0.829426</f>
        <v>105777248.36212032</v>
      </c>
      <c r="I2424" s="5">
        <f>+G2424-H2424</f>
        <v>16122751.637879685</v>
      </c>
      <c r="J2424" s="5">
        <v>3000000</v>
      </c>
      <c r="K2424" s="5">
        <v>11890000</v>
      </c>
      <c r="L2424" s="5">
        <v>12190000</v>
      </c>
      <c r="M2424" s="7">
        <v>3374.4</v>
      </c>
      <c r="N2424" s="5">
        <v>119400000</v>
      </c>
      <c r="O2424" s="5">
        <v>122400000</v>
      </c>
      <c r="P2424" s="3">
        <v>0.97916666666666663</v>
      </c>
    </row>
    <row r="2425" spans="1:16" x14ac:dyDescent="0.25">
      <c r="A2425" t="s">
        <v>1486</v>
      </c>
      <c r="B2425" s="2">
        <v>45894</v>
      </c>
      <c r="C2425" t="str">
        <f>+"Tuáº§n "&amp;WEEKNUM(B2425)</f>
        <v>Tuáº§n 35</v>
      </c>
      <c r="D2425" t="s">
        <v>16</v>
      </c>
      <c r="E2425" t="s">
        <v>17</v>
      </c>
      <c r="F2425" s="5">
        <v>118900000</v>
      </c>
      <c r="G2425" s="5">
        <v>121900000</v>
      </c>
      <c r="H2425" s="5">
        <f>+(M2425*26000)/0.829426</f>
        <v>105758440.17428921</v>
      </c>
      <c r="I2425" s="5">
        <f>+G2425-H2425</f>
        <v>16141559.825710788</v>
      </c>
      <c r="J2425" s="5">
        <v>3000000</v>
      </c>
      <c r="K2425" s="5">
        <v>11890000</v>
      </c>
      <c r="L2425" s="5">
        <v>12190000</v>
      </c>
      <c r="M2425" s="7">
        <v>3373.8</v>
      </c>
      <c r="N2425" s="5">
        <v>119400000</v>
      </c>
      <c r="O2425" s="5">
        <v>122400000</v>
      </c>
      <c r="P2425" s="3">
        <v>0.97916666666666663</v>
      </c>
    </row>
    <row r="2426" spans="1:16" x14ac:dyDescent="0.25">
      <c r="A2426" t="s">
        <v>1487</v>
      </c>
      <c r="B2426" s="2">
        <v>45895</v>
      </c>
      <c r="C2426" t="str">
        <f>+"Tuáº§n "&amp;WEEKNUM(B2426)</f>
        <v>Tuáº§n 35</v>
      </c>
      <c r="D2426" t="s">
        <v>18</v>
      </c>
      <c r="E2426" t="s">
        <v>17</v>
      </c>
      <c r="F2426" s="5">
        <v>119400000</v>
      </c>
      <c r="G2426" s="5">
        <v>122400000</v>
      </c>
      <c r="H2426" s="5">
        <f>+(M2426*26000)/0.829426</f>
        <v>106222375.47412308</v>
      </c>
      <c r="I2426" s="5">
        <f>+G2426-H2426</f>
        <v>16177624.525876924</v>
      </c>
      <c r="J2426" s="5">
        <v>3000000</v>
      </c>
      <c r="K2426" s="5">
        <v>11940000</v>
      </c>
      <c r="L2426" s="5">
        <v>12240000</v>
      </c>
      <c r="M2426" s="7">
        <v>3388.6</v>
      </c>
      <c r="N2426" s="5">
        <v>119900000</v>
      </c>
      <c r="O2426" s="5">
        <v>122900000</v>
      </c>
      <c r="P2426" s="3">
        <v>0.97916666666666663</v>
      </c>
    </row>
    <row r="2427" spans="1:16" x14ac:dyDescent="0.25">
      <c r="A2427" t="s">
        <v>1488</v>
      </c>
      <c r="B2427" s="2">
        <v>45896</v>
      </c>
      <c r="C2427" t="str">
        <f>+"Tuáº§n "&amp;WEEKNUM(B2427)</f>
        <v>Tuáº§n 35</v>
      </c>
      <c r="D2427" t="s">
        <v>19</v>
      </c>
      <c r="E2427" t="s">
        <v>17</v>
      </c>
      <c r="F2427" s="5">
        <v>120000000</v>
      </c>
      <c r="G2427" s="5">
        <v>123000000</v>
      </c>
      <c r="H2427" s="5">
        <f>+(M2427*26000)/0.829426</f>
        <v>106723927.14961913</v>
      </c>
      <c r="I2427" s="5">
        <f>+G2427-H2427</f>
        <v>16276072.850380868</v>
      </c>
      <c r="J2427" s="5">
        <v>3000000</v>
      </c>
      <c r="K2427" s="5">
        <v>12000000</v>
      </c>
      <c r="L2427" s="5">
        <v>12300000</v>
      </c>
      <c r="M2427" s="7">
        <v>3404.6</v>
      </c>
      <c r="N2427" s="5">
        <v>120500000</v>
      </c>
      <c r="O2427" s="5">
        <v>123500000</v>
      </c>
      <c r="P2427" s="3">
        <v>0.97916666666666663</v>
      </c>
    </row>
    <row r="2428" spans="1:16" x14ac:dyDescent="0.25">
      <c r="A2428" t="s">
        <v>1489</v>
      </c>
      <c r="B2428" s="2">
        <v>45897</v>
      </c>
      <c r="C2428" t="str">
        <f>+"Tuáº§n "&amp;WEEKNUM(B2428)</f>
        <v>Tuáº§n 35</v>
      </c>
      <c r="D2428" t="s">
        <v>20</v>
      </c>
      <c r="E2428" t="s">
        <v>17</v>
      </c>
      <c r="F2428" s="5">
        <v>121000000</v>
      </c>
      <c r="G2428" s="5">
        <v>124000000</v>
      </c>
      <c r="H2428" s="5">
        <f>+(M2428*26000)/0.829426</f>
        <v>107576564.99796245</v>
      </c>
      <c r="I2428" s="5">
        <f>+G2428-H2428</f>
        <v>16423435.002037555</v>
      </c>
      <c r="J2428" s="5">
        <v>3000000</v>
      </c>
      <c r="K2428" s="5">
        <v>12100000</v>
      </c>
      <c r="L2428" s="5">
        <v>12400000</v>
      </c>
      <c r="M2428" s="7">
        <v>3431.8</v>
      </c>
      <c r="N2428" s="5">
        <v>121500000</v>
      </c>
      <c r="O2428" s="5">
        <v>124500000</v>
      </c>
      <c r="P2428" s="3">
        <v>0.97916666666666663</v>
      </c>
    </row>
    <row r="2429" spans="1:16" x14ac:dyDescent="0.25">
      <c r="A2429" t="s">
        <v>1490</v>
      </c>
      <c r="B2429" s="2">
        <v>45898</v>
      </c>
      <c r="C2429" t="str">
        <f>+"Tuáº§n "&amp;WEEKNUM(B2429)</f>
        <v>Tuáº§n 35</v>
      </c>
      <c r="D2429" t="s">
        <v>21</v>
      </c>
      <c r="E2429" t="s">
        <v>17</v>
      </c>
      <c r="F2429" s="5">
        <v>122500000</v>
      </c>
      <c r="G2429" s="5">
        <v>125500000</v>
      </c>
      <c r="H2429" s="5">
        <f>+(M2429*26000)/0.829426</f>
        <v>108890003.44816777</v>
      </c>
      <c r="I2429" s="5">
        <f>+G2429-H2429</f>
        <v>16609996.551832229</v>
      </c>
      <c r="J2429" s="5">
        <v>3000000</v>
      </c>
      <c r="K2429" s="5">
        <v>12250000</v>
      </c>
      <c r="L2429" s="5">
        <v>12550000</v>
      </c>
      <c r="M2429" s="7">
        <v>3473.7</v>
      </c>
      <c r="N2429" s="5">
        <v>123000000</v>
      </c>
      <c r="O2429" s="5">
        <v>126000000</v>
      </c>
      <c r="P2429" s="3">
        <v>0.97916666666666663</v>
      </c>
    </row>
    <row r="2430" spans="1:16" x14ac:dyDescent="0.25">
      <c r="A2430" s="2">
        <v>45697</v>
      </c>
      <c r="B2430" s="2">
        <v>45902</v>
      </c>
      <c r="C2430" t="str">
        <f>+"Tuáº§n "&amp;WEEKNUM(B2430)</f>
        <v>Tuáº§n 36</v>
      </c>
      <c r="D2430" t="s">
        <v>18</v>
      </c>
      <c r="E2430" t="s">
        <v>17</v>
      </c>
      <c r="F2430" s="5">
        <v>125300000</v>
      </c>
      <c r="G2430" s="5">
        <v>128300000</v>
      </c>
      <c r="H2430" s="5">
        <f>+(M2430*26000)/0.829426</f>
        <v>111262969.81285854</v>
      </c>
      <c r="I2430" s="5">
        <f>+G2430-H2430</f>
        <v>17037030.187141463</v>
      </c>
      <c r="J2430" s="5">
        <v>3000000</v>
      </c>
      <c r="K2430" s="5">
        <v>12530000</v>
      </c>
      <c r="L2430" s="5">
        <v>12830000</v>
      </c>
      <c r="M2430" s="7">
        <v>3549.4</v>
      </c>
      <c r="N2430" s="5">
        <v>125800000</v>
      </c>
      <c r="O2430" s="5">
        <v>128800000</v>
      </c>
      <c r="P2430" s="3">
        <v>0.97916666666666663</v>
      </c>
    </row>
    <row r="2431" spans="1:16" x14ac:dyDescent="0.25">
      <c r="A2431" s="2">
        <v>45725</v>
      </c>
      <c r="B2431" s="2">
        <v>45903</v>
      </c>
      <c r="C2431" t="str">
        <f>+"Tuáº§n "&amp;WEEKNUM(B2431)</f>
        <v>Tuáº§n 36</v>
      </c>
      <c r="D2431" t="s">
        <v>19</v>
      </c>
      <c r="E2431" t="s">
        <v>17</v>
      </c>
      <c r="F2431" s="5">
        <v>126800000</v>
      </c>
      <c r="G2431" s="5">
        <v>129800000</v>
      </c>
      <c r="H2431" s="5">
        <f>+(M2431*26000)/0.829426</f>
        <v>112635967.52452901</v>
      </c>
      <c r="I2431" s="5">
        <f>+G2431-H2431</f>
        <v>17164032.47547099</v>
      </c>
      <c r="J2431" s="5">
        <v>3000000</v>
      </c>
      <c r="K2431" s="5">
        <v>12680000</v>
      </c>
      <c r="L2431" s="5">
        <v>12980000</v>
      </c>
      <c r="M2431" s="7">
        <v>3593.2</v>
      </c>
      <c r="N2431" s="5">
        <v>127300000</v>
      </c>
      <c r="O2431" s="5">
        <v>130300000</v>
      </c>
      <c r="P2431" s="3">
        <v>0.97916666666666663</v>
      </c>
    </row>
    <row r="2432" spans="1:16" x14ac:dyDescent="0.25">
      <c r="A2432" s="2">
        <v>45756</v>
      </c>
      <c r="B2432" s="2">
        <v>45904</v>
      </c>
      <c r="C2432" t="str">
        <f>+"Tuáº§n "&amp;WEEKNUM(B2432)</f>
        <v>Tuáº§n 36</v>
      </c>
      <c r="D2432" t="s">
        <v>20</v>
      </c>
      <c r="E2432" t="s">
        <v>17</v>
      </c>
      <c r="F2432" s="5">
        <v>125900000</v>
      </c>
      <c r="G2432" s="5">
        <v>128900000</v>
      </c>
      <c r="H2432" s="5">
        <f>+(M2432*26000)/0.829426</f>
        <v>111777060.280242</v>
      </c>
      <c r="I2432" s="5">
        <f>+G2432-H2432</f>
        <v>17122939.719758004</v>
      </c>
      <c r="J2432" s="5">
        <v>3000000</v>
      </c>
      <c r="K2432" s="5">
        <v>12590000</v>
      </c>
      <c r="L2432" s="5">
        <v>12890000</v>
      </c>
      <c r="M2432" s="7">
        <v>3565.8</v>
      </c>
      <c r="N2432" s="5">
        <v>126400000</v>
      </c>
      <c r="O2432" s="5">
        <v>129400000</v>
      </c>
      <c r="P2432" s="3">
        <v>0.97916666666666663</v>
      </c>
    </row>
    <row r="2433" spans="1:16" x14ac:dyDescent="0.25">
      <c r="A2433" s="2">
        <v>45786</v>
      </c>
      <c r="B2433" s="2">
        <v>45905</v>
      </c>
      <c r="C2433" t="str">
        <f>+"Tuáº§n "&amp;WEEKNUM(B2433)</f>
        <v>Tuáº§n 36</v>
      </c>
      <c r="D2433" t="s">
        <v>21</v>
      </c>
      <c r="E2433" t="s">
        <v>17</v>
      </c>
      <c r="F2433" s="5">
        <v>127600000</v>
      </c>
      <c r="G2433" s="5">
        <v>130600000</v>
      </c>
      <c r="H2433" s="5">
        <f>+(M2433*26000)/0.829426</f>
        <v>113262907.11889909</v>
      </c>
      <c r="I2433" s="5">
        <f>+G2433-H2433</f>
        <v>17337092.881100908</v>
      </c>
      <c r="J2433" s="5">
        <v>3000000</v>
      </c>
      <c r="K2433" s="5">
        <v>12760000</v>
      </c>
      <c r="L2433" s="5">
        <v>13060000</v>
      </c>
      <c r="M2433" s="7">
        <v>3613.2</v>
      </c>
      <c r="N2433" s="5">
        <v>128100000</v>
      </c>
      <c r="O2433" s="5">
        <v>131100000</v>
      </c>
      <c r="P2433" s="3">
        <v>0.97916666666666663</v>
      </c>
    </row>
    <row r="2434" spans="1:16" x14ac:dyDescent="0.25">
      <c r="A2434" s="2">
        <v>45878</v>
      </c>
      <c r="B2434" s="2">
        <v>45908</v>
      </c>
      <c r="C2434" t="str">
        <f>+"Tuáº§n "&amp;WEEKNUM(B2434)</f>
        <v>Tuáº§n 37</v>
      </c>
      <c r="D2434" t="s">
        <v>16</v>
      </c>
      <c r="E2434" t="s">
        <v>17</v>
      </c>
      <c r="F2434" s="5">
        <v>128500000</v>
      </c>
      <c r="G2434" s="5">
        <v>131500000</v>
      </c>
      <c r="H2434" s="5">
        <f>+(M2434*26000)/0.829426</f>
        <v>114043446.91388984</v>
      </c>
      <c r="I2434" s="5">
        <f>+G2434-H2434</f>
        <v>17456553.08611016</v>
      </c>
      <c r="J2434" s="5">
        <v>3000000</v>
      </c>
      <c r="K2434" s="5">
        <v>12850000</v>
      </c>
      <c r="L2434" s="5">
        <v>13150000</v>
      </c>
      <c r="M2434" s="7">
        <v>3638.1</v>
      </c>
      <c r="N2434" s="5">
        <v>129000000</v>
      </c>
      <c r="O2434" s="5">
        <v>132000000</v>
      </c>
      <c r="P2434" s="3">
        <v>0.97916666666666663</v>
      </c>
    </row>
    <row r="2435" spans="1:16" x14ac:dyDescent="0.25">
      <c r="A2435" s="2">
        <v>45909</v>
      </c>
      <c r="B2435" s="2">
        <v>45909</v>
      </c>
      <c r="C2435" t="str">
        <f>+"Tuáº§n "&amp;WEEKNUM(B2435)</f>
        <v>Tuáº§n 37</v>
      </c>
      <c r="D2435" t="s">
        <v>18</v>
      </c>
      <c r="E2435" t="s">
        <v>17</v>
      </c>
      <c r="F2435" s="5">
        <v>128700000</v>
      </c>
      <c r="G2435" s="5">
        <v>131700000</v>
      </c>
      <c r="H2435" s="5">
        <f>+(M2435*26000)/0.829426</f>
        <v>114206451.20842607</v>
      </c>
      <c r="I2435" s="5">
        <f>+G2435-H2435</f>
        <v>17493548.791573927</v>
      </c>
      <c r="J2435" s="5">
        <v>3000000</v>
      </c>
      <c r="K2435" s="5">
        <v>12870000</v>
      </c>
      <c r="L2435" s="5">
        <v>13170000</v>
      </c>
      <c r="M2435" s="7">
        <v>3643.3</v>
      </c>
      <c r="N2435" s="5">
        <v>129200000</v>
      </c>
      <c r="O2435" s="5">
        <v>132200000</v>
      </c>
      <c r="P2435" s="3">
        <v>0.97916666666666663</v>
      </c>
    </row>
    <row r="2436" spans="1:16" x14ac:dyDescent="0.25">
      <c r="A2436" s="2">
        <v>45939</v>
      </c>
      <c r="B2436" s="2">
        <v>45910</v>
      </c>
      <c r="C2436" t="str">
        <f>+"Tuáº§n "&amp;WEEKNUM(B2436)</f>
        <v>Tuáº§n 37</v>
      </c>
      <c r="D2436" t="s">
        <v>19</v>
      </c>
      <c r="E2436" t="s">
        <v>17</v>
      </c>
      <c r="F2436" s="5">
        <v>128700000</v>
      </c>
      <c r="G2436" s="5">
        <v>131700000</v>
      </c>
      <c r="H2436" s="5">
        <f>+(M2436*26000)/0.829426</f>
        <v>114215855.30234163</v>
      </c>
      <c r="I2436" s="5">
        <f>+G2436-H2436</f>
        <v>17484144.697658375</v>
      </c>
      <c r="J2436" s="5">
        <v>3000000</v>
      </c>
      <c r="K2436" s="5">
        <v>12870000</v>
      </c>
      <c r="L2436" s="5">
        <v>13170000</v>
      </c>
      <c r="M2436" s="7">
        <v>3643.6</v>
      </c>
      <c r="N2436" s="5">
        <v>129200000</v>
      </c>
      <c r="O2436" s="5">
        <v>132200000</v>
      </c>
      <c r="P2436" s="3">
        <v>0.97916666666666663</v>
      </c>
    </row>
    <row r="2437" spans="1:16" x14ac:dyDescent="0.25">
      <c r="A2437" s="2">
        <v>45970</v>
      </c>
      <c r="B2437" s="2">
        <v>45911</v>
      </c>
      <c r="C2437" t="str">
        <f>+"Tuáº§n "&amp;WEEKNUM(B2437)</f>
        <v>Tuáº§n 37</v>
      </c>
      <c r="D2437" t="s">
        <v>20</v>
      </c>
      <c r="E2437" t="s">
        <v>17</v>
      </c>
      <c r="F2437" s="5">
        <v>128400000</v>
      </c>
      <c r="G2437" s="5">
        <v>131400000</v>
      </c>
      <c r="H2437" s="5">
        <f>+(M2437*26000)/0.829426</f>
        <v>114005830.53822765</v>
      </c>
      <c r="I2437" s="5">
        <f>+G2437-H2437</f>
        <v>17394169.461772352</v>
      </c>
      <c r="J2437" s="5">
        <v>3000000</v>
      </c>
      <c r="K2437" s="5">
        <v>12840000</v>
      </c>
      <c r="L2437" s="5">
        <v>13140000</v>
      </c>
      <c r="M2437" s="7">
        <v>3636.9</v>
      </c>
      <c r="N2437" s="5">
        <v>128900000</v>
      </c>
      <c r="O2437" s="5">
        <v>131900000</v>
      </c>
      <c r="P2437" s="3">
        <v>0.97916666666666663</v>
      </c>
    </row>
    <row r="2438" spans="1:16" x14ac:dyDescent="0.25">
      <c r="A2438" s="2">
        <v>46000</v>
      </c>
      <c r="B2438" s="2">
        <v>45912</v>
      </c>
      <c r="C2438" t="str">
        <f>+"Tuáº§n "&amp;WEEKNUM(B2438)</f>
        <v>Tuáº§n 37</v>
      </c>
      <c r="D2438" t="s">
        <v>21</v>
      </c>
      <c r="E2438" t="s">
        <v>17</v>
      </c>
      <c r="F2438" s="5">
        <v>128900000</v>
      </c>
      <c r="G2438" s="5">
        <v>131900000</v>
      </c>
      <c r="H2438" s="5">
        <f>+(M2438*26000)/0.829426</f>
        <v>114397667.78470895</v>
      </c>
      <c r="I2438" s="5">
        <f>+G2438-H2438</f>
        <v>17502332.215291053</v>
      </c>
      <c r="J2438" s="5">
        <v>3000000</v>
      </c>
      <c r="K2438" s="5">
        <v>12890000</v>
      </c>
      <c r="L2438" s="5">
        <v>13190000</v>
      </c>
      <c r="M2438" s="7">
        <v>3649.4</v>
      </c>
      <c r="N2438" s="5">
        <v>129400000</v>
      </c>
      <c r="O2438" s="5">
        <v>132400000</v>
      </c>
      <c r="P2438" s="3">
        <v>0.97916666666666663</v>
      </c>
    </row>
    <row r="2439" spans="1:16" x14ac:dyDescent="0.25">
      <c r="A2439" t="s">
        <v>1491</v>
      </c>
      <c r="B2439" s="2">
        <v>45915</v>
      </c>
      <c r="C2439" t="str">
        <f>+"Tuáº§n "&amp;WEEKNUM(B2439)</f>
        <v>Tuáº§n 38</v>
      </c>
      <c r="D2439" t="s">
        <v>16</v>
      </c>
      <c r="E2439" t="s">
        <v>17</v>
      </c>
      <c r="F2439" s="5">
        <v>130100000</v>
      </c>
      <c r="G2439" s="5">
        <v>133100000</v>
      </c>
      <c r="H2439" s="5">
        <f>+(M2439*26000)/0.829426</f>
        <v>115425848.71947588</v>
      </c>
      <c r="I2439" s="5">
        <f>+G2439-H2439</f>
        <v>17674151.28052412</v>
      </c>
      <c r="J2439" s="5">
        <v>3000000</v>
      </c>
      <c r="K2439" s="5">
        <v>13010000</v>
      </c>
      <c r="L2439" s="5">
        <v>13310000</v>
      </c>
      <c r="M2439" s="7">
        <v>3682.2</v>
      </c>
      <c r="N2439" s="5">
        <v>130600000</v>
      </c>
      <c r="O2439" s="5">
        <v>133600000</v>
      </c>
      <c r="P2439" s="3">
        <v>0.97916666666666663</v>
      </c>
    </row>
    <row r="2440" spans="1:16" x14ac:dyDescent="0.25">
      <c r="A2440" t="s">
        <v>1492</v>
      </c>
      <c r="B2440" s="2">
        <v>45916</v>
      </c>
      <c r="C2440" t="str">
        <f>+"Tuáº§n "&amp;WEEKNUM(B2440)</f>
        <v>Tuáº§n 38</v>
      </c>
      <c r="D2440" t="s">
        <v>18</v>
      </c>
      <c r="E2440" t="s">
        <v>17</v>
      </c>
      <c r="F2440" s="5">
        <v>130300000</v>
      </c>
      <c r="G2440" s="5">
        <v>133300000</v>
      </c>
      <c r="H2440" s="5">
        <f>+(M2440*26000)/0.829426</f>
        <v>115635873.48358986</v>
      </c>
      <c r="I2440" s="5">
        <f>+G2440-H2440</f>
        <v>17664126.516410142</v>
      </c>
      <c r="J2440" s="5">
        <v>3000000</v>
      </c>
      <c r="K2440" s="5">
        <v>13030000</v>
      </c>
      <c r="L2440" s="5">
        <v>13330000</v>
      </c>
      <c r="M2440" s="7">
        <v>3688.9</v>
      </c>
      <c r="N2440" s="5">
        <v>130800000</v>
      </c>
      <c r="O2440" s="5">
        <v>133800000</v>
      </c>
      <c r="P2440" s="3">
        <v>0.97916666666666663</v>
      </c>
    </row>
    <row r="2441" spans="1:16" x14ac:dyDescent="0.25">
      <c r="A2441" t="s">
        <v>1493</v>
      </c>
      <c r="B2441" s="2">
        <v>45917</v>
      </c>
      <c r="C2441" t="str">
        <f>+"Tuáº§n "&amp;WEEKNUM(B2441)</f>
        <v>Tuáº§n 38</v>
      </c>
      <c r="D2441" t="s">
        <v>19</v>
      </c>
      <c r="E2441" t="s">
        <v>17</v>
      </c>
      <c r="F2441" s="5">
        <v>130000000</v>
      </c>
      <c r="G2441" s="5">
        <v>133000000</v>
      </c>
      <c r="H2441" s="5">
        <f>+(M2441*26000)/0.829426</f>
        <v>115413309.92758848</v>
      </c>
      <c r="I2441" s="5">
        <f>+G2441-H2441</f>
        <v>17586690.072411522</v>
      </c>
      <c r="J2441" s="5">
        <v>3000000</v>
      </c>
      <c r="K2441" s="5">
        <v>13000000</v>
      </c>
      <c r="L2441" s="5">
        <v>13300000</v>
      </c>
      <c r="M2441" s="7">
        <v>3681.8</v>
      </c>
      <c r="N2441" s="5">
        <v>130500000</v>
      </c>
      <c r="O2441" s="5">
        <v>133500000</v>
      </c>
      <c r="P2441" s="3">
        <v>0.97916666666666663</v>
      </c>
    </row>
    <row r="2442" spans="1:16" x14ac:dyDescent="0.25">
      <c r="A2442" t="s">
        <v>1494</v>
      </c>
      <c r="B2442" s="2">
        <v>45918</v>
      </c>
      <c r="C2442" t="str">
        <f>+"Tuáº§n "&amp;WEEKNUM(B2442)</f>
        <v>Tuáº§n 38</v>
      </c>
      <c r="D2442" t="s">
        <v>20</v>
      </c>
      <c r="E2442" t="s">
        <v>17</v>
      </c>
      <c r="F2442" s="5">
        <v>128700000</v>
      </c>
      <c r="G2442" s="5">
        <v>131700000</v>
      </c>
      <c r="H2442" s="5">
        <f>+(M2442*26000)/0.829426</f>
        <v>114218990.00031348</v>
      </c>
      <c r="I2442" s="5">
        <f>+G2442-H2442</f>
        <v>17481009.999686524</v>
      </c>
      <c r="J2442" s="5">
        <v>3000000</v>
      </c>
      <c r="K2442" s="5">
        <v>12870000</v>
      </c>
      <c r="L2442" s="5">
        <v>13170000</v>
      </c>
      <c r="M2442" s="7">
        <v>3643.7</v>
      </c>
      <c r="N2442" s="5">
        <v>129200000</v>
      </c>
      <c r="O2442" s="5">
        <v>132200000</v>
      </c>
      <c r="P2442" s="3">
        <v>0.97916666666666663</v>
      </c>
    </row>
    <row r="2443" spans="1:16" x14ac:dyDescent="0.25">
      <c r="A2443" t="s">
        <v>1495</v>
      </c>
      <c r="B2443" s="2">
        <v>45919</v>
      </c>
      <c r="C2443" t="str">
        <f>+"Tuáº§n "&amp;WEEKNUM(B2443)</f>
        <v>Tuáº§n 38</v>
      </c>
      <c r="D2443" t="s">
        <v>21</v>
      </c>
      <c r="E2443" t="s">
        <v>17</v>
      </c>
      <c r="F2443" s="5">
        <v>129700000</v>
      </c>
      <c r="G2443" s="5">
        <v>132700000</v>
      </c>
      <c r="H2443" s="5">
        <f>+(M2443*26000)/0.829426</f>
        <v>115090436.03648789</v>
      </c>
      <c r="I2443" s="5">
        <f>+G2443-H2443</f>
        <v>17609563.963512108</v>
      </c>
      <c r="J2443" s="5">
        <v>3000000</v>
      </c>
      <c r="K2443" s="5">
        <v>12970000</v>
      </c>
      <c r="L2443" s="5">
        <v>13270000</v>
      </c>
      <c r="M2443" s="7">
        <v>3671.5</v>
      </c>
      <c r="N2443" s="5">
        <v>130200000</v>
      </c>
      <c r="O2443" s="5">
        <v>133200000</v>
      </c>
      <c r="P2443" s="3">
        <v>0.97916666666666663</v>
      </c>
    </row>
    <row r="2444" spans="1:16" x14ac:dyDescent="0.25">
      <c r="A2444" t="s">
        <v>1496</v>
      </c>
      <c r="B2444" s="2">
        <v>45922</v>
      </c>
      <c r="C2444" t="str">
        <f>+"Tuáº§n "&amp;WEEKNUM(B2444)</f>
        <v>Tuáº§n 39</v>
      </c>
      <c r="D2444" t="s">
        <v>16</v>
      </c>
      <c r="E2444" t="s">
        <v>17</v>
      </c>
      <c r="F2444" s="5">
        <v>132200000</v>
      </c>
      <c r="G2444" s="5">
        <v>135200000</v>
      </c>
      <c r="H2444" s="5">
        <f>+(M2444*26000)/0.829426</f>
        <v>117259647.03300837</v>
      </c>
      <c r="I2444" s="5">
        <f>+G2444-H2444</f>
        <v>17940352.966991633</v>
      </c>
      <c r="J2444" s="5">
        <v>3000000</v>
      </c>
      <c r="K2444" s="5">
        <v>13220000</v>
      </c>
      <c r="L2444" s="5">
        <v>13520000</v>
      </c>
      <c r="M2444" s="7">
        <v>3740.7</v>
      </c>
      <c r="N2444" s="5">
        <v>132700000</v>
      </c>
      <c r="O2444" s="5">
        <v>135700000</v>
      </c>
      <c r="P2444" s="3">
        <v>0.97916666666666663</v>
      </c>
    </row>
    <row r="2445" spans="1:16" x14ac:dyDescent="0.25">
      <c r="A2445" t="s">
        <v>1497</v>
      </c>
      <c r="B2445" s="2">
        <v>45923</v>
      </c>
      <c r="C2445" t="str">
        <f>+"Tuáº§n "&amp;WEEKNUM(B2445)</f>
        <v>Tuáº§n 39</v>
      </c>
      <c r="D2445" t="s">
        <v>18</v>
      </c>
      <c r="E2445" t="s">
        <v>17</v>
      </c>
      <c r="F2445" s="5">
        <v>133600000</v>
      </c>
      <c r="G2445" s="5">
        <v>136600000</v>
      </c>
      <c r="H2445" s="5">
        <f>+(M2445*26000)/0.829426</f>
        <v>118510391.52377668</v>
      </c>
      <c r="I2445" s="5">
        <f>+G2445-H2445</f>
        <v>18089608.47622332</v>
      </c>
      <c r="J2445" s="5">
        <v>3000000</v>
      </c>
      <c r="K2445" s="5">
        <v>13360000</v>
      </c>
      <c r="L2445" s="5">
        <v>13660000</v>
      </c>
      <c r="M2445" s="7">
        <v>3780.6</v>
      </c>
      <c r="N2445" s="5">
        <v>134100000</v>
      </c>
      <c r="O2445" s="5">
        <v>137100000</v>
      </c>
      <c r="P2445" s="3">
        <v>0.97916666666666663</v>
      </c>
    </row>
    <row r="2446" spans="1:16" x14ac:dyDescent="0.25">
      <c r="A2446" t="s">
        <v>1498</v>
      </c>
      <c r="B2446" s="2">
        <v>45924</v>
      </c>
      <c r="C2446" t="str">
        <f>+"Tuáº§n "&amp;WEEKNUM(B2446)</f>
        <v>Tuáº§n 39</v>
      </c>
      <c r="D2446" t="s">
        <v>19</v>
      </c>
      <c r="E2446" t="s">
        <v>17</v>
      </c>
      <c r="F2446" s="5">
        <v>131900000</v>
      </c>
      <c r="G2446" s="5">
        <v>134900000</v>
      </c>
      <c r="H2446" s="5">
        <f>+(M2446*26000)/0.829426</f>
        <v>116990063.00742923</v>
      </c>
      <c r="I2446" s="5">
        <f>+G2446-H2446</f>
        <v>17909936.992570773</v>
      </c>
      <c r="J2446" s="5">
        <v>3000000</v>
      </c>
      <c r="K2446" s="5">
        <v>13190000</v>
      </c>
      <c r="L2446" s="5">
        <v>13490000</v>
      </c>
      <c r="M2446" s="7">
        <v>3732.1</v>
      </c>
      <c r="N2446" s="5">
        <v>132400000</v>
      </c>
      <c r="O2446" s="5">
        <v>135400000</v>
      </c>
      <c r="P2446" s="3">
        <v>0.97916666666666663</v>
      </c>
    </row>
    <row r="2447" spans="1:16" x14ac:dyDescent="0.25">
      <c r="A2447" t="s">
        <v>1499</v>
      </c>
      <c r="B2447" s="2">
        <v>45925</v>
      </c>
      <c r="C2447" t="str">
        <f>+"Tuáº§n "&amp;WEEKNUM(B2447)</f>
        <v>Tuáº§n 39</v>
      </c>
      <c r="D2447" t="s">
        <v>20</v>
      </c>
      <c r="E2447" t="s">
        <v>17</v>
      </c>
      <c r="F2447" s="5">
        <v>132000000</v>
      </c>
      <c r="G2447" s="5">
        <v>135000000</v>
      </c>
      <c r="H2447" s="5">
        <f>+(M2447*26000)/0.829426</f>
        <v>117140528.51007806</v>
      </c>
      <c r="I2447" s="5">
        <f>+G2447-H2447</f>
        <v>17859471.489921942</v>
      </c>
      <c r="J2447" s="5">
        <v>3000000</v>
      </c>
      <c r="K2447" s="5">
        <v>13200000</v>
      </c>
      <c r="L2447" s="5">
        <v>13500000</v>
      </c>
      <c r="M2447" s="7">
        <v>3736.9</v>
      </c>
      <c r="N2447" s="5">
        <v>132500000</v>
      </c>
      <c r="O2447" s="5">
        <v>135500000</v>
      </c>
      <c r="P2447" s="3">
        <v>0.97916666666666663</v>
      </c>
    </row>
    <row r="2448" spans="1:16" x14ac:dyDescent="0.25">
      <c r="A2448" t="s">
        <v>1500</v>
      </c>
      <c r="B2448" s="2">
        <v>45926</v>
      </c>
      <c r="C2448" t="str">
        <f>+"Tuáº§n "&amp;WEEKNUM(B2448)</f>
        <v>Tuáº§n 39</v>
      </c>
      <c r="D2448" t="s">
        <v>21</v>
      </c>
      <c r="E2448" t="s">
        <v>17</v>
      </c>
      <c r="F2448" s="5">
        <v>133400000</v>
      </c>
      <c r="G2448" s="5">
        <v>136400000</v>
      </c>
      <c r="H2448" s="5">
        <f>+(M2448*26000)/0.829426</f>
        <v>118344252.53126861</v>
      </c>
      <c r="I2448" s="5">
        <f>+G2448-H2448</f>
        <v>18055747.468731388</v>
      </c>
      <c r="J2448" s="5">
        <v>3000000</v>
      </c>
      <c r="K2448" s="5">
        <v>13340000</v>
      </c>
      <c r="L2448" s="5">
        <v>13640000</v>
      </c>
      <c r="M2448" s="7">
        <v>3775.3</v>
      </c>
      <c r="N2448" s="5">
        <v>133900000</v>
      </c>
      <c r="O2448" s="5">
        <v>136900000</v>
      </c>
      <c r="P2448" s="3">
        <v>0.97916666666666663</v>
      </c>
    </row>
    <row r="2449" spans="1:16" x14ac:dyDescent="0.25">
      <c r="A2449" t="s">
        <v>1501</v>
      </c>
      <c r="B2449" s="2">
        <v>45929</v>
      </c>
      <c r="C2449" t="str">
        <f>+"Tuáº§n "&amp;WEEKNUM(B2449)</f>
        <v>Tuáº§n 40</v>
      </c>
      <c r="D2449" t="s">
        <v>16</v>
      </c>
      <c r="E2449" t="s">
        <v>17</v>
      </c>
      <c r="F2449" s="5">
        <v>135100000</v>
      </c>
      <c r="G2449" s="5">
        <v>138100000</v>
      </c>
      <c r="H2449" s="5">
        <f>+(M2449*26000)/0.829426</f>
        <v>119773674.8064324</v>
      </c>
      <c r="I2449" s="5">
        <f>+G2449-H2449</f>
        <v>18326325.193567604</v>
      </c>
      <c r="J2449" s="5">
        <v>3000000</v>
      </c>
      <c r="K2449" s="5">
        <v>13510000</v>
      </c>
      <c r="L2449" s="5">
        <v>13810000</v>
      </c>
      <c r="M2449" s="7">
        <v>3820.9</v>
      </c>
      <c r="N2449" s="5">
        <v>135600000</v>
      </c>
      <c r="O2449" s="5">
        <v>138600000</v>
      </c>
      <c r="P2449" s="3">
        <v>0.97916666666666663</v>
      </c>
    </row>
    <row r="2450" spans="1:16" x14ac:dyDescent="0.25">
      <c r="A2450" t="s">
        <v>1502</v>
      </c>
      <c r="B2450" s="2">
        <v>45930</v>
      </c>
      <c r="C2450" t="str">
        <f>+"Tuáº§n "&amp;WEEKNUM(B2450)</f>
        <v>Tuáº§n 40</v>
      </c>
      <c r="D2450" t="s">
        <v>18</v>
      </c>
      <c r="E2450" t="s">
        <v>17</v>
      </c>
      <c r="F2450" s="5">
        <v>135800000</v>
      </c>
      <c r="G2450" s="5">
        <v>138800000</v>
      </c>
      <c r="H2450" s="5">
        <f>+(M2450*26000)/0.829426</f>
        <v>120397479.70283063</v>
      </c>
      <c r="I2450" s="5">
        <f>+G2450-H2450</f>
        <v>18402520.297169372</v>
      </c>
      <c r="J2450" s="5">
        <v>3000000</v>
      </c>
      <c r="K2450" s="5">
        <v>13580000</v>
      </c>
      <c r="L2450" s="5">
        <v>13880000</v>
      </c>
      <c r="M2450" s="7">
        <v>3840.8</v>
      </c>
      <c r="N2450" s="5">
        <v>136300000</v>
      </c>
      <c r="O2450" s="5">
        <v>139300000</v>
      </c>
      <c r="P2450" s="3">
        <v>0.97916666666666663</v>
      </c>
    </row>
    <row r="2451" spans="1:16" x14ac:dyDescent="0.25">
      <c r="A2451" s="2">
        <v>45667</v>
      </c>
      <c r="B2451" s="2">
        <v>45931</v>
      </c>
      <c r="C2451" t="str">
        <f>+"Tuáº§n "&amp;WEEKNUM(B2451)</f>
        <v>Tuáº§n 40</v>
      </c>
      <c r="D2451" t="s">
        <v>19</v>
      </c>
      <c r="E2451" t="s">
        <v>17</v>
      </c>
      <c r="F2451" s="5">
        <v>136800000</v>
      </c>
      <c r="G2451" s="5">
        <v>139800000</v>
      </c>
      <c r="H2451" s="5">
        <f>+(M2451*26000)/0.829426</f>
        <v>121234444.06131469</v>
      </c>
      <c r="I2451" s="5">
        <f>+G2451-H2451</f>
        <v>18565555.938685313</v>
      </c>
      <c r="J2451" s="5">
        <v>3000000</v>
      </c>
      <c r="K2451" s="5">
        <v>13680000</v>
      </c>
      <c r="L2451" s="5">
        <v>13980000</v>
      </c>
      <c r="M2451" s="7">
        <v>3867.5</v>
      </c>
      <c r="N2451" s="5">
        <v>137300000</v>
      </c>
      <c r="O2451" s="5">
        <v>140300000</v>
      </c>
      <c r="P2451" s="3">
        <v>0.97916666666666663</v>
      </c>
    </row>
    <row r="2452" spans="1:16" x14ac:dyDescent="0.25">
      <c r="A2452" s="2">
        <v>45698</v>
      </c>
      <c r="B2452" s="2">
        <v>45932</v>
      </c>
      <c r="C2452" t="str">
        <f>+"Tuáº§n "&amp;WEEKNUM(B2452)</f>
        <v>Tuáº§n 40</v>
      </c>
      <c r="D2452" t="s">
        <v>20</v>
      </c>
      <c r="E2452" t="s">
        <v>17</v>
      </c>
      <c r="F2452" s="5">
        <v>135800000</v>
      </c>
      <c r="G2452" s="5">
        <v>138800000</v>
      </c>
      <c r="H2452" s="5">
        <f>+(M2452*26000)/0.829426</f>
        <v>120362998.02514029</v>
      </c>
      <c r="I2452" s="5">
        <f>+G2452-H2452</f>
        <v>18437001.974859715</v>
      </c>
      <c r="J2452" s="5">
        <v>3000000</v>
      </c>
      <c r="K2452" s="5">
        <v>13580000</v>
      </c>
      <c r="L2452" s="5">
        <v>13880000</v>
      </c>
      <c r="M2452" s="7">
        <v>3839.7</v>
      </c>
      <c r="N2452" s="5">
        <v>136300000</v>
      </c>
      <c r="O2452" s="5">
        <v>139300000</v>
      </c>
      <c r="P2452" s="3">
        <v>0.97916666666666663</v>
      </c>
    </row>
    <row r="2453" spans="1:16" x14ac:dyDescent="0.25">
      <c r="A2453" s="2">
        <v>45726</v>
      </c>
      <c r="B2453" s="2">
        <v>45933</v>
      </c>
      <c r="C2453" t="str">
        <f>+"Tuáº§n "&amp;WEEKNUM(B2453)</f>
        <v>Tuáº§n 40</v>
      </c>
      <c r="D2453" t="s">
        <v>21</v>
      </c>
      <c r="E2453" t="s">
        <v>17</v>
      </c>
      <c r="F2453" s="5">
        <v>137200000</v>
      </c>
      <c r="G2453" s="5">
        <v>140200000</v>
      </c>
      <c r="H2453" s="5">
        <f>+(M2453*26000)/0.829426</f>
        <v>121651358.89157079</v>
      </c>
      <c r="I2453" s="5">
        <f>+G2453-H2453</f>
        <v>18548641.108429208</v>
      </c>
      <c r="J2453" s="5">
        <v>3000000</v>
      </c>
      <c r="K2453" s="5">
        <v>13720000</v>
      </c>
      <c r="L2453" s="5">
        <v>14020000</v>
      </c>
      <c r="M2453" s="7">
        <v>3880.8</v>
      </c>
      <c r="N2453" s="5">
        <v>137700000</v>
      </c>
      <c r="O2453" s="5">
        <v>140700000</v>
      </c>
      <c r="P2453" s="3">
        <v>0.97916666666666663</v>
      </c>
    </row>
    <row r="2454" spans="1:16" x14ac:dyDescent="0.25">
      <c r="A2454" s="2">
        <v>45818</v>
      </c>
      <c r="B2454" s="2">
        <v>45936</v>
      </c>
      <c r="C2454" t="str">
        <f>+"Tuáº§n "&amp;WEEKNUM(B2454)</f>
        <v>Tuáº§n 41</v>
      </c>
      <c r="D2454" t="s">
        <v>16</v>
      </c>
      <c r="E2454" t="s">
        <v>17</v>
      </c>
      <c r="F2454" s="5">
        <v>139700000</v>
      </c>
      <c r="G2454" s="5">
        <v>142700000</v>
      </c>
      <c r="H2454" s="5">
        <f>+(M2454*26000)/0.829426</f>
        <v>123773549.41851352</v>
      </c>
      <c r="I2454" s="5">
        <f>+G2454-H2454</f>
        <v>18926450.581486478</v>
      </c>
      <c r="J2454" s="5">
        <v>3000000</v>
      </c>
      <c r="K2454" s="5">
        <v>13970000</v>
      </c>
      <c r="L2454" s="5">
        <v>14270000</v>
      </c>
      <c r="M2454" s="7">
        <v>3948.5</v>
      </c>
      <c r="N2454" s="5">
        <v>140200000</v>
      </c>
      <c r="O2454" s="5">
        <v>143200000</v>
      </c>
      <c r="P2454" s="3">
        <v>0.97916666666666663</v>
      </c>
    </row>
    <row r="2455" spans="1:16" x14ac:dyDescent="0.25">
      <c r="A2455" s="2">
        <v>45848</v>
      </c>
      <c r="B2455" s="2">
        <v>45937</v>
      </c>
      <c r="C2455" t="str">
        <f>+"Tuáº§n "&amp;WEEKNUM(B2455)</f>
        <v>Tuáº§n 41</v>
      </c>
      <c r="D2455" t="s">
        <v>18</v>
      </c>
      <c r="E2455" t="s">
        <v>17</v>
      </c>
      <c r="F2455" s="5">
        <v>140700000</v>
      </c>
      <c r="G2455" s="5">
        <v>143700000</v>
      </c>
      <c r="H2455" s="5">
        <f>+(M2455*26000)/0.829426</f>
        <v>124654399.54860349</v>
      </c>
      <c r="I2455" s="5">
        <f>+G2455-H2455</f>
        <v>19045600.45139651</v>
      </c>
      <c r="J2455" s="5">
        <v>3000000</v>
      </c>
      <c r="K2455" s="5">
        <v>14070000</v>
      </c>
      <c r="L2455" s="5">
        <v>14370000</v>
      </c>
      <c r="M2455" s="7">
        <v>3976.6</v>
      </c>
      <c r="N2455" s="5">
        <v>141200000</v>
      </c>
      <c r="O2455" s="5">
        <v>144200000</v>
      </c>
      <c r="P2455" s="3">
        <v>0.97916666666666663</v>
      </c>
    </row>
    <row r="2456" spans="1:16" x14ac:dyDescent="0.25">
      <c r="A2456" s="2">
        <v>45879</v>
      </c>
      <c r="B2456" s="2">
        <v>45938</v>
      </c>
      <c r="C2456" t="str">
        <f>+"Tuáº§n "&amp;WEEKNUM(B2456)</f>
        <v>Tuáº§n 41</v>
      </c>
      <c r="D2456" t="s">
        <v>19</v>
      </c>
      <c r="E2456" t="s">
        <v>17</v>
      </c>
      <c r="F2456" s="5">
        <v>143100000</v>
      </c>
      <c r="G2456" s="5">
        <v>146100000</v>
      </c>
      <c r="H2456" s="5">
        <f>+(M2456*26000)/0.829426</f>
        <v>126745243.09582771</v>
      </c>
      <c r="I2456" s="5">
        <f>+G2456-H2456</f>
        <v>19354756.904172286</v>
      </c>
      <c r="J2456" s="5">
        <v>3000000</v>
      </c>
      <c r="K2456" s="5">
        <v>14310000</v>
      </c>
      <c r="L2456" s="5">
        <v>14610000</v>
      </c>
      <c r="M2456" s="7">
        <v>4043.3</v>
      </c>
      <c r="N2456" s="5">
        <v>143600000</v>
      </c>
      <c r="O2456" s="5">
        <v>146600000</v>
      </c>
      <c r="P2456" s="3">
        <v>0.97916666666666663</v>
      </c>
    </row>
    <row r="2457" spans="1:16" x14ac:dyDescent="0.25">
      <c r="A2457" s="2">
        <v>45910</v>
      </c>
      <c r="B2457" s="2">
        <v>45939</v>
      </c>
      <c r="C2457" t="str">
        <f>+"Tuáº§n "&amp;WEEKNUM(B2457)</f>
        <v>Tuáº§n 41</v>
      </c>
      <c r="D2457" t="s">
        <v>20</v>
      </c>
      <c r="E2457" t="s">
        <v>17</v>
      </c>
      <c r="F2457" s="5">
        <v>139600000</v>
      </c>
      <c r="G2457" s="5">
        <v>142600000</v>
      </c>
      <c r="H2457" s="5">
        <f>+(M2457*26000)/0.829426</f>
        <v>123704586.06313282</v>
      </c>
      <c r="I2457" s="5">
        <f>+G2457-H2457</f>
        <v>18895413.936867177</v>
      </c>
      <c r="J2457" s="5">
        <v>3000000</v>
      </c>
      <c r="K2457" s="5">
        <v>13960000</v>
      </c>
      <c r="L2457" s="5">
        <v>14260000</v>
      </c>
      <c r="M2457" s="7">
        <v>3946.3</v>
      </c>
      <c r="N2457" s="5">
        <v>140100000</v>
      </c>
      <c r="O2457" s="5">
        <v>143100000</v>
      </c>
      <c r="P2457" s="3">
        <v>0.97916666666666663</v>
      </c>
    </row>
    <row r="2458" spans="1:16" x14ac:dyDescent="0.25">
      <c r="A2458" s="2">
        <v>45940</v>
      </c>
      <c r="B2458" s="2">
        <v>45940</v>
      </c>
      <c r="C2458" t="str">
        <f>+"Tuáº§n "&amp;WEEKNUM(B2458)</f>
        <v>Tuáº§n 41</v>
      </c>
      <c r="D2458" t="s">
        <v>21</v>
      </c>
      <c r="E2458" t="s">
        <v>17</v>
      </c>
      <c r="F2458" s="5">
        <v>140700000</v>
      </c>
      <c r="G2458" s="5">
        <v>143700000</v>
      </c>
      <c r="H2458" s="5">
        <f>+(M2458*26000)/0.829426</f>
        <v>124632456.66280054</v>
      </c>
      <c r="I2458" s="5">
        <f>+G2458-H2458</f>
        <v>19067543.337199464</v>
      </c>
      <c r="J2458" s="5">
        <v>3000000</v>
      </c>
      <c r="K2458" s="5">
        <v>14070000</v>
      </c>
      <c r="L2458" s="5">
        <v>14370000</v>
      </c>
      <c r="M2458" s="7">
        <v>3975.9</v>
      </c>
      <c r="N2458" s="5">
        <v>141200000</v>
      </c>
      <c r="O2458" s="5">
        <v>144200000</v>
      </c>
      <c r="P2458" s="3">
        <v>0.97916666666666663</v>
      </c>
    </row>
    <row r="2459" spans="1:16" x14ac:dyDescent="0.25">
      <c r="A2459" t="s">
        <v>1503</v>
      </c>
      <c r="B2459" s="2">
        <v>45943</v>
      </c>
      <c r="C2459" t="str">
        <f>+"Tuáº§n "&amp;WEEKNUM(B2459)</f>
        <v>Tuáº§n 42</v>
      </c>
      <c r="D2459" t="s">
        <v>16</v>
      </c>
      <c r="E2459" t="s">
        <v>17</v>
      </c>
      <c r="F2459" s="5">
        <v>145500000</v>
      </c>
      <c r="G2459" s="5">
        <v>148500000</v>
      </c>
      <c r="H2459" s="5">
        <f>+(M2459*26000)/0.829426</f>
        <v>128792200.87144606</v>
      </c>
      <c r="I2459" s="5">
        <f>+G2459-H2459</f>
        <v>19707799.128553942</v>
      </c>
      <c r="J2459" s="5">
        <v>3000000</v>
      </c>
      <c r="K2459" s="5">
        <v>14550000</v>
      </c>
      <c r="L2459" s="5">
        <v>14850000</v>
      </c>
      <c r="M2459" s="7">
        <v>4108.6000000000004</v>
      </c>
      <c r="N2459" s="5">
        <v>146000000</v>
      </c>
      <c r="O2459" s="5">
        <v>149000000</v>
      </c>
      <c r="P2459" s="3">
        <v>0.97916666666666663</v>
      </c>
    </row>
    <row r="2460" spans="1:16" x14ac:dyDescent="0.25">
      <c r="A2460" t="s">
        <v>1504</v>
      </c>
      <c r="B2460" s="2">
        <v>45944</v>
      </c>
      <c r="C2460" t="str">
        <f>+"Tuáº§n "&amp;WEEKNUM(B2460)</f>
        <v>Tuáº§n 42</v>
      </c>
      <c r="D2460" t="s">
        <v>18</v>
      </c>
      <c r="E2460" t="s">
        <v>17</v>
      </c>
      <c r="F2460" s="5">
        <v>146600000</v>
      </c>
      <c r="G2460" s="5">
        <v>149600000</v>
      </c>
      <c r="H2460" s="5">
        <f>+(M2460*26000)/0.829426</f>
        <v>129735744.96097301</v>
      </c>
      <c r="I2460" s="5">
        <f>+G2460-H2460</f>
        <v>19864255.039026991</v>
      </c>
      <c r="J2460" s="5">
        <v>3000000</v>
      </c>
      <c r="K2460" s="5">
        <v>14660000</v>
      </c>
      <c r="L2460" s="5">
        <v>14960000</v>
      </c>
      <c r="M2460" s="7">
        <v>4138.7</v>
      </c>
      <c r="N2460" s="5">
        <v>147100000</v>
      </c>
      <c r="O2460" s="5">
        <v>150100000</v>
      </c>
      <c r="P2460" s="3">
        <v>0.97916666666666663</v>
      </c>
    </row>
    <row r="2461" spans="1:16" x14ac:dyDescent="0.25">
      <c r="A2461" t="s">
        <v>1505</v>
      </c>
      <c r="B2461" s="2">
        <v>45945</v>
      </c>
      <c r="C2461" t="str">
        <f>+"Tuáº§n "&amp;WEEKNUM(B2461)</f>
        <v>Tuáº§n 42</v>
      </c>
      <c r="D2461" t="s">
        <v>19</v>
      </c>
      <c r="E2461" t="s">
        <v>17</v>
      </c>
      <c r="F2461" s="5">
        <v>147900000</v>
      </c>
      <c r="G2461" s="5">
        <v>150900000</v>
      </c>
      <c r="H2461" s="5">
        <f>+(M2461*26000)/0.829426</f>
        <v>130933199.58621985</v>
      </c>
      <c r="I2461" s="5">
        <f>+G2461-H2461</f>
        <v>19966800.413780153</v>
      </c>
      <c r="J2461" s="5">
        <v>3000000</v>
      </c>
      <c r="K2461" s="5">
        <v>14790000</v>
      </c>
      <c r="L2461" s="5">
        <v>15090000</v>
      </c>
      <c r="M2461" s="7">
        <v>4176.8999999999996</v>
      </c>
      <c r="N2461" s="5">
        <v>148400000</v>
      </c>
      <c r="O2461" s="5">
        <v>151400000</v>
      </c>
      <c r="P2461" s="3">
        <v>0.97916666666666663</v>
      </c>
    </row>
    <row r="2462" spans="1:16" x14ac:dyDescent="0.25">
      <c r="A2462" t="s">
        <v>1506</v>
      </c>
      <c r="B2462" s="2">
        <v>45946</v>
      </c>
      <c r="C2462" t="str">
        <f>+"Tuáº§n "&amp;WEEKNUM(B2462)</f>
        <v>Tuáº§n 42</v>
      </c>
      <c r="D2462" t="s">
        <v>20</v>
      </c>
      <c r="E2462" t="s">
        <v>17</v>
      </c>
      <c r="F2462" s="5">
        <v>151700000</v>
      </c>
      <c r="G2462" s="5">
        <v>154700000</v>
      </c>
      <c r="H2462" s="5">
        <f>+(M2462*26000)/0.829426</f>
        <v>134171342.59114134</v>
      </c>
      <c r="I2462" s="5">
        <f>+G2462-H2462</f>
        <v>20528657.408858657</v>
      </c>
      <c r="J2462" s="5">
        <v>3000000</v>
      </c>
      <c r="K2462" s="5">
        <v>15170000</v>
      </c>
      <c r="L2462" s="5">
        <v>15470000</v>
      </c>
      <c r="M2462" s="7">
        <v>4280.2</v>
      </c>
      <c r="N2462" s="5">
        <v>152200000</v>
      </c>
      <c r="O2462" s="5">
        <v>155200000</v>
      </c>
      <c r="P2462" s="3">
        <v>0.97916666666666663</v>
      </c>
    </row>
    <row r="2463" spans="1:16" x14ac:dyDescent="0.25">
      <c r="A2463" t="s">
        <v>1507</v>
      </c>
      <c r="B2463" s="2">
        <v>45947</v>
      </c>
      <c r="C2463" t="str">
        <f>+"Tuáº§n "&amp;WEEKNUM(B2463)</f>
        <v>Tuáº§n 42</v>
      </c>
      <c r="D2463" t="s">
        <v>21</v>
      </c>
      <c r="E2463" t="s">
        <v>17</v>
      </c>
      <c r="F2463" s="5">
        <v>148400000</v>
      </c>
      <c r="G2463" s="5">
        <v>151400000</v>
      </c>
      <c r="H2463" s="5">
        <f>+(M2463*26000)/0.829426</f>
        <v>131340710.3225604</v>
      </c>
      <c r="I2463" s="5">
        <f>+G2463-H2463</f>
        <v>20059289.6774396</v>
      </c>
      <c r="J2463" s="5">
        <v>3000000</v>
      </c>
      <c r="K2463" s="5">
        <v>14840000</v>
      </c>
      <c r="L2463" s="5">
        <v>15140000</v>
      </c>
      <c r="M2463" s="7">
        <v>4189.8999999999996</v>
      </c>
      <c r="N2463" s="5">
        <v>148900000</v>
      </c>
      <c r="O2463" s="5">
        <v>151900000</v>
      </c>
      <c r="P2463" s="3">
        <v>0.97916666666666663</v>
      </c>
    </row>
    <row r="2464" spans="1:16" x14ac:dyDescent="0.25">
      <c r="A2464" t="s">
        <v>1508</v>
      </c>
      <c r="B2464" s="2">
        <v>45950</v>
      </c>
      <c r="C2464" t="str">
        <f>+"Tuáº§n "&amp;WEEKNUM(B2464)</f>
        <v>Tuáº§n 43</v>
      </c>
      <c r="D2464" t="s">
        <v>16</v>
      </c>
      <c r="E2464" t="s">
        <v>17</v>
      </c>
      <c r="F2464" s="5">
        <v>153700000</v>
      </c>
      <c r="G2464" s="5">
        <v>156700000</v>
      </c>
      <c r="H2464" s="5">
        <f>+(M2464*26000)/0.829426</f>
        <v>135933042.85132125</v>
      </c>
      <c r="I2464" s="5">
        <f>+G2464-H2464</f>
        <v>20766957.14867875</v>
      </c>
      <c r="J2464" s="5">
        <v>3000000</v>
      </c>
      <c r="K2464" s="5">
        <v>15370000</v>
      </c>
      <c r="L2464" s="5">
        <v>15670000</v>
      </c>
      <c r="M2464" s="7">
        <v>4336.3999999999996</v>
      </c>
      <c r="N2464" s="5">
        <v>154200000</v>
      </c>
      <c r="O2464" s="5">
        <v>157200000</v>
      </c>
      <c r="P2464" s="3">
        <v>0.97916666666666663</v>
      </c>
    </row>
    <row r="2465" spans="1:16" x14ac:dyDescent="0.25">
      <c r="A2465" t="s">
        <v>1509</v>
      </c>
      <c r="B2465" s="2">
        <v>45951</v>
      </c>
      <c r="C2465" t="str">
        <f>+"Tuáº§n "&amp;WEEKNUM(B2465)</f>
        <v>Tuáº§n 43</v>
      </c>
      <c r="D2465" t="s">
        <v>18</v>
      </c>
      <c r="E2465" t="s">
        <v>17</v>
      </c>
      <c r="F2465" s="5">
        <v>144700000</v>
      </c>
      <c r="G2465" s="5">
        <v>147700000</v>
      </c>
      <c r="H2465" s="5">
        <f>+(M2465*26000)/0.829426</f>
        <v>128137048.99532931</v>
      </c>
      <c r="I2465" s="5">
        <f>+G2465-H2465</f>
        <v>19562951.004670694</v>
      </c>
      <c r="J2465" s="5">
        <v>3000000</v>
      </c>
      <c r="K2465" s="5">
        <v>14470000</v>
      </c>
      <c r="L2465" s="5">
        <v>14770000</v>
      </c>
      <c r="M2465" s="7">
        <v>4087.7</v>
      </c>
      <c r="N2465" s="5">
        <v>145200000</v>
      </c>
      <c r="O2465" s="5">
        <v>148200000</v>
      </c>
      <c r="P2465" s="3">
        <v>0.97916666666666663</v>
      </c>
    </row>
    <row r="2466" spans="1:16" x14ac:dyDescent="0.25">
      <c r="A2466" t="s">
        <v>1510</v>
      </c>
      <c r="B2466" s="2">
        <v>45952</v>
      </c>
      <c r="C2466" t="str">
        <f>+"Tuáº§n "&amp;WEEKNUM(B2466)</f>
        <v>Tuáº§n 43</v>
      </c>
      <c r="D2466" t="s">
        <v>19</v>
      </c>
      <c r="E2466" t="s">
        <v>17</v>
      </c>
      <c r="F2466" s="5">
        <v>143100000</v>
      </c>
      <c r="G2466" s="5">
        <v>146100000</v>
      </c>
      <c r="H2466" s="5">
        <f>+(M2466*26000)/0.829426</f>
        <v>126779724.77351807</v>
      </c>
      <c r="I2466" s="5">
        <f>+G2466-H2466</f>
        <v>19320275.226481929</v>
      </c>
      <c r="J2466" s="5">
        <v>3000000</v>
      </c>
      <c r="K2466" s="5">
        <v>14310000</v>
      </c>
      <c r="L2466" s="5">
        <v>14610000</v>
      </c>
      <c r="M2466" s="7">
        <v>4044.4</v>
      </c>
      <c r="N2466" s="5">
        <v>143600000</v>
      </c>
      <c r="O2466" s="5">
        <v>146600000</v>
      </c>
      <c r="P2466" s="3">
        <v>0.97916666666666663</v>
      </c>
    </row>
    <row r="2467" spans="1:16" x14ac:dyDescent="0.25">
      <c r="A2467" t="s">
        <v>1511</v>
      </c>
      <c r="B2467" s="2">
        <v>45953</v>
      </c>
      <c r="C2467" t="str">
        <f>+"Tuáº§n "&amp;WEEKNUM(B2467)</f>
        <v>Tuáº§n 43</v>
      </c>
      <c r="D2467" t="s">
        <v>20</v>
      </c>
      <c r="E2467" t="s">
        <v>17</v>
      </c>
      <c r="F2467" s="5">
        <v>146100000</v>
      </c>
      <c r="G2467" s="5">
        <v>149100000</v>
      </c>
      <c r="H2467" s="5">
        <f>+(M2467*26000)/0.829426</f>
        <v>129321964.82868876</v>
      </c>
      <c r="I2467" s="5">
        <f>+G2467-H2467</f>
        <v>19778035.171311244</v>
      </c>
      <c r="J2467" s="5">
        <v>3000000</v>
      </c>
      <c r="K2467" s="5">
        <v>14610000</v>
      </c>
      <c r="L2467" s="5">
        <v>14910000</v>
      </c>
      <c r="M2467" s="7">
        <v>4125.5</v>
      </c>
      <c r="N2467" s="5">
        <v>146600000</v>
      </c>
      <c r="O2467" s="5">
        <v>149600000</v>
      </c>
      <c r="P2467" s="3">
        <v>0.97916666666666663</v>
      </c>
    </row>
    <row r="2468" spans="1:16" x14ac:dyDescent="0.25">
      <c r="A2468" t="s">
        <v>1512</v>
      </c>
      <c r="B2468" s="2">
        <v>45954</v>
      </c>
      <c r="C2468" t="str">
        <f>+"Tuáº§n "&amp;WEEKNUM(B2468)</f>
        <v>Tuáº§n 43</v>
      </c>
      <c r="D2468" t="s">
        <v>21</v>
      </c>
      <c r="E2468" t="s">
        <v>17</v>
      </c>
      <c r="F2468" s="5">
        <v>145800000</v>
      </c>
      <c r="G2468" s="5">
        <v>148800000</v>
      </c>
      <c r="H2468" s="5">
        <f>+(M2468*26000)/0.829426</f>
        <v>129099401.27268736</v>
      </c>
      <c r="I2468" s="5">
        <f>+G2468-H2468</f>
        <v>19700598.727312639</v>
      </c>
      <c r="J2468" s="5">
        <v>3000000</v>
      </c>
      <c r="K2468" s="5">
        <v>14580000</v>
      </c>
      <c r="L2468" s="5">
        <v>14880000</v>
      </c>
      <c r="M2468" s="7">
        <v>4118.3999999999996</v>
      </c>
      <c r="N2468" s="5">
        <v>146300000</v>
      </c>
      <c r="O2468" s="5">
        <v>149300000</v>
      </c>
      <c r="P2468" s="3">
        <v>0.97916666666666663</v>
      </c>
    </row>
    <row r="2469" spans="1:16" x14ac:dyDescent="0.25">
      <c r="A2469" t="s">
        <v>1513</v>
      </c>
      <c r="B2469" s="2">
        <v>45957</v>
      </c>
      <c r="C2469" t="str">
        <f>+"Tuáº§n "&amp;WEEKNUM(B2469)</f>
        <v>Tuáº§n 44</v>
      </c>
      <c r="D2469" t="s">
        <v>16</v>
      </c>
      <c r="E2469" t="s">
        <v>17</v>
      </c>
      <c r="F2469" s="5">
        <v>141600000</v>
      </c>
      <c r="G2469" s="5">
        <v>144600000</v>
      </c>
      <c r="H2469" s="5">
        <f>+(M2469*26000)/0.829426</f>
        <v>125447478.13548164</v>
      </c>
      <c r="I2469" s="5">
        <f>+G2469-H2469</f>
        <v>19152521.864518359</v>
      </c>
      <c r="J2469" s="5">
        <v>3000000</v>
      </c>
      <c r="K2469" s="5">
        <v>14160000</v>
      </c>
      <c r="L2469" s="5">
        <v>14460000</v>
      </c>
      <c r="M2469" s="7">
        <v>4001.9</v>
      </c>
      <c r="N2469" s="5">
        <v>142100000</v>
      </c>
      <c r="O2469" s="5">
        <v>145100000</v>
      </c>
      <c r="P2469" s="3">
        <v>0.97916666666666663</v>
      </c>
    </row>
    <row r="2470" spans="1:16" x14ac:dyDescent="0.25">
      <c r="A2470" t="s">
        <v>1514</v>
      </c>
      <c r="B2470" s="2">
        <v>45958</v>
      </c>
      <c r="C2470" t="str">
        <f>+"Tuáº§n "&amp;WEEKNUM(B2470)</f>
        <v>Tuáº§n 44</v>
      </c>
      <c r="D2470" t="s">
        <v>18</v>
      </c>
      <c r="E2470" t="s">
        <v>17</v>
      </c>
      <c r="F2470" s="5">
        <v>140300000</v>
      </c>
      <c r="G2470" s="5">
        <v>143300000</v>
      </c>
      <c r="H2470" s="5">
        <f>+(M2470*26000)/0.829426</f>
        <v>124328390.95953105</v>
      </c>
      <c r="I2470" s="5">
        <f>+G2470-H2470</f>
        <v>18971609.040468946</v>
      </c>
      <c r="J2470" s="5">
        <v>3000000</v>
      </c>
      <c r="K2470" s="5">
        <v>14030000</v>
      </c>
      <c r="L2470" s="5">
        <v>14330000</v>
      </c>
      <c r="M2470" s="7">
        <v>3966.2</v>
      </c>
      <c r="N2470" s="5">
        <v>140800000</v>
      </c>
      <c r="O2470" s="5">
        <v>143800000</v>
      </c>
      <c r="P2470" s="3">
        <v>0.97916666666666663</v>
      </c>
    </row>
    <row r="2471" spans="1:16" x14ac:dyDescent="0.25">
      <c r="A2471" t="s">
        <v>1515</v>
      </c>
      <c r="B2471" s="2">
        <v>45959</v>
      </c>
      <c r="C2471" t="str">
        <f>+"Tuáº§n "&amp;WEEKNUM(B2471)</f>
        <v>Tuáº§n 44</v>
      </c>
      <c r="D2471" t="s">
        <v>19</v>
      </c>
      <c r="E2471" t="s">
        <v>17</v>
      </c>
      <c r="F2471" s="5">
        <v>141000000</v>
      </c>
      <c r="G2471" s="5">
        <v>144000000</v>
      </c>
      <c r="H2471" s="5">
        <f>+(M2471*26000)/0.829426</f>
        <v>124876963.10460487</v>
      </c>
      <c r="I2471" s="5">
        <f>+G2471-H2471</f>
        <v>19123036.89539513</v>
      </c>
      <c r="J2471" s="5">
        <v>3000000</v>
      </c>
      <c r="K2471" s="5">
        <v>14100000</v>
      </c>
      <c r="L2471" s="5">
        <v>14400000</v>
      </c>
      <c r="M2471" s="7">
        <v>3983.7</v>
      </c>
      <c r="N2471" s="5">
        <v>141500000</v>
      </c>
      <c r="O2471" s="5">
        <v>144500000</v>
      </c>
      <c r="P2471" s="3">
        <v>0.97916666666666663</v>
      </c>
    </row>
    <row r="2472" spans="1:16" x14ac:dyDescent="0.25">
      <c r="A2472" t="s">
        <v>1516</v>
      </c>
      <c r="B2472" s="2">
        <v>45960</v>
      </c>
      <c r="C2472" t="str">
        <f>+"Tuáº§n "&amp;WEEKNUM(B2472)</f>
        <v>Tuáº§n 44</v>
      </c>
      <c r="D2472" t="s">
        <v>20</v>
      </c>
      <c r="E2472" t="s">
        <v>17</v>
      </c>
      <c r="F2472" s="5">
        <v>141600000</v>
      </c>
      <c r="G2472" s="5">
        <v>144600000</v>
      </c>
      <c r="H2472" s="5">
        <f>+(M2472*26000)/0.829426</f>
        <v>125428669.94765055</v>
      </c>
      <c r="I2472" s="5">
        <f>+G2472-H2472</f>
        <v>19171330.052349448</v>
      </c>
      <c r="J2472" s="5">
        <v>3000000</v>
      </c>
      <c r="K2472" s="5">
        <v>14160000</v>
      </c>
      <c r="L2472" s="5">
        <v>14460000</v>
      </c>
      <c r="M2472" s="7">
        <v>4001.3</v>
      </c>
      <c r="N2472" s="5">
        <v>142100000</v>
      </c>
      <c r="O2472" s="5">
        <v>145100000</v>
      </c>
      <c r="P2472" s="3">
        <v>0.97916666666666663</v>
      </c>
    </row>
    <row r="2473" spans="1:16" x14ac:dyDescent="0.25">
      <c r="A2473" t="s">
        <v>1517</v>
      </c>
      <c r="B2473" s="2">
        <v>45961</v>
      </c>
      <c r="C2473" t="str">
        <f>+"Tuáº§n "&amp;WEEKNUM(B2473)</f>
        <v>Tuáº§n 44</v>
      </c>
      <c r="D2473" t="s">
        <v>21</v>
      </c>
      <c r="E2473" t="s">
        <v>17</v>
      </c>
      <c r="F2473" s="5">
        <v>140900000</v>
      </c>
      <c r="G2473" s="5">
        <v>143900000</v>
      </c>
      <c r="H2473" s="5">
        <f>+(M2473*26000)/0.829426</f>
        <v>124829942.63502711</v>
      </c>
      <c r="I2473" s="5">
        <f>+G2473-H2473</f>
        <v>19070057.364972889</v>
      </c>
      <c r="J2473" s="5">
        <v>3000000</v>
      </c>
      <c r="K2473" s="5">
        <v>14090000</v>
      </c>
      <c r="L2473" s="5">
        <v>14390000</v>
      </c>
      <c r="M2473" s="7">
        <v>3982.2</v>
      </c>
      <c r="N2473" s="5">
        <v>141400000</v>
      </c>
      <c r="O2473" s="5">
        <v>144400000</v>
      </c>
      <c r="P2473" s="3">
        <v>0.97916666666666663</v>
      </c>
    </row>
    <row r="2474" spans="1:16" x14ac:dyDescent="0.25">
      <c r="A2474" s="2">
        <v>45727</v>
      </c>
      <c r="B2474" s="2">
        <v>45964</v>
      </c>
      <c r="C2474" t="str">
        <f>+"Tuáº§n "&amp;WEEKNUM(B2474)</f>
        <v>Tuáº§n 45</v>
      </c>
      <c r="D2474" t="s">
        <v>16</v>
      </c>
      <c r="E2474" t="s">
        <v>17</v>
      </c>
      <c r="F2474" s="5">
        <v>141600000</v>
      </c>
      <c r="G2474" s="5">
        <v>144600000</v>
      </c>
      <c r="H2474" s="5">
        <f>+(M2474*26000)/0.829426</f>
        <v>125397322.96793205</v>
      </c>
      <c r="I2474" s="5">
        <f>+G2474-H2474</f>
        <v>19202677.032067955</v>
      </c>
      <c r="J2474" s="5">
        <v>3000000</v>
      </c>
      <c r="K2474" s="5">
        <v>14160000</v>
      </c>
      <c r="L2474" s="5">
        <v>14460000</v>
      </c>
      <c r="M2474" s="7">
        <v>4000.3</v>
      </c>
      <c r="N2474" s="5">
        <v>142100000</v>
      </c>
      <c r="O2474" s="5">
        <v>145100000</v>
      </c>
      <c r="P2474" s="3">
        <v>0.97916666666666663</v>
      </c>
    </row>
    <row r="2475" spans="1:16" x14ac:dyDescent="0.25">
      <c r="A2475" s="2">
        <v>45758</v>
      </c>
      <c r="B2475" s="2">
        <v>45965</v>
      </c>
      <c r="C2475" t="str">
        <f>+"Tuáº§n "&amp;WEEKNUM(B2475)</f>
        <v>Tuáº§n 45</v>
      </c>
      <c r="D2475" t="s">
        <v>18</v>
      </c>
      <c r="E2475" t="s">
        <v>17</v>
      </c>
      <c r="F2475" s="5">
        <v>139700000</v>
      </c>
      <c r="G2475" s="5">
        <v>142700000</v>
      </c>
      <c r="H2475" s="5">
        <f>+(M2475*26000)/0.829426</f>
        <v>123748471.83473872</v>
      </c>
      <c r="I2475" s="5">
        <f>+G2475-H2475</f>
        <v>18951528.165261284</v>
      </c>
      <c r="J2475" s="5">
        <v>3000000</v>
      </c>
      <c r="K2475" s="5">
        <v>13970000</v>
      </c>
      <c r="L2475" s="5">
        <v>14270000</v>
      </c>
      <c r="M2475" s="7">
        <v>3947.7</v>
      </c>
      <c r="N2475" s="5">
        <v>140200000</v>
      </c>
      <c r="O2475" s="5">
        <v>143200000</v>
      </c>
      <c r="P2475" s="3">
        <v>0.97916666666666663</v>
      </c>
    </row>
    <row r="2476" spans="1:16" x14ac:dyDescent="0.25">
      <c r="A2476" s="2">
        <v>45788</v>
      </c>
      <c r="B2476" s="2">
        <v>45966</v>
      </c>
      <c r="C2476" t="str">
        <f>+"Tuáº§n "&amp;WEEKNUM(B2476)</f>
        <v>Tuáº§n 45</v>
      </c>
      <c r="D2476" t="s">
        <v>19</v>
      </c>
      <c r="E2476" t="s">
        <v>17</v>
      </c>
      <c r="F2476" s="5">
        <v>140800000</v>
      </c>
      <c r="G2476" s="5">
        <v>143800000</v>
      </c>
      <c r="H2476" s="5">
        <f>+(M2476*26000)/0.829426</f>
        <v>124770383.37356196</v>
      </c>
      <c r="I2476" s="5">
        <f>+G2476-H2476</f>
        <v>19029616.626438037</v>
      </c>
      <c r="J2476" s="5">
        <v>3000000</v>
      </c>
      <c r="K2476" s="5">
        <v>14080000</v>
      </c>
      <c r="L2476" s="5">
        <v>14380000</v>
      </c>
      <c r="M2476" s="7">
        <v>3980.3</v>
      </c>
      <c r="N2476" s="5">
        <v>141300000</v>
      </c>
      <c r="O2476" s="5">
        <v>144300000</v>
      </c>
      <c r="P2476" s="3">
        <v>0.97916666666666663</v>
      </c>
    </row>
    <row r="2477" spans="1:16" x14ac:dyDescent="0.25">
      <c r="A2477" s="2">
        <v>45819</v>
      </c>
      <c r="B2477" s="2">
        <v>45967</v>
      </c>
      <c r="C2477" t="str">
        <f>+"Tuáº§n "&amp;WEEKNUM(B2477)</f>
        <v>Tuáº§n 45</v>
      </c>
      <c r="D2477" t="s">
        <v>20</v>
      </c>
      <c r="E2477" t="s">
        <v>17</v>
      </c>
      <c r="F2477" s="5">
        <v>140800000</v>
      </c>
      <c r="G2477" s="5">
        <v>143800000</v>
      </c>
      <c r="H2477" s="5">
        <f>+(M2477*26000)/0.829426</f>
        <v>124757844.58167456</v>
      </c>
      <c r="I2477" s="5">
        <f>+G2477-H2477</f>
        <v>19042155.418325439</v>
      </c>
      <c r="J2477" s="5">
        <v>3000000</v>
      </c>
      <c r="K2477" s="5">
        <v>14080000</v>
      </c>
      <c r="L2477" s="5">
        <v>14380000</v>
      </c>
      <c r="M2477" s="7">
        <v>3979.9</v>
      </c>
      <c r="N2477" s="5">
        <v>141300000</v>
      </c>
      <c r="O2477" s="5">
        <v>144300000</v>
      </c>
      <c r="P2477" s="3">
        <v>0.97916666666666663</v>
      </c>
    </row>
    <row r="2478" spans="1:16" x14ac:dyDescent="0.25">
      <c r="A2478" s="2">
        <v>45849</v>
      </c>
      <c r="B2478" s="2">
        <v>45968</v>
      </c>
      <c r="C2478" t="str">
        <f>+"Tuáº§n "&amp;WEEKNUM(B2478)</f>
        <v>Tuáº§n 45</v>
      </c>
      <c r="D2478" t="s">
        <v>21</v>
      </c>
      <c r="E2478" t="s">
        <v>17</v>
      </c>
      <c r="F2478" s="5">
        <v>141500000</v>
      </c>
      <c r="G2478" s="5">
        <v>144500000</v>
      </c>
      <c r="H2478" s="5">
        <f>+(M2478*26000)/0.829426</f>
        <v>125369110.68618539</v>
      </c>
      <c r="I2478" s="5">
        <f>+G2478-H2478</f>
        <v>19130889.31381461</v>
      </c>
      <c r="J2478" s="5">
        <v>3000000</v>
      </c>
      <c r="K2478" s="5">
        <v>14150000</v>
      </c>
      <c r="L2478" s="5">
        <v>14450000</v>
      </c>
      <c r="M2478" s="7">
        <v>3999.4</v>
      </c>
      <c r="N2478" s="5">
        <v>142000000</v>
      </c>
      <c r="O2478" s="5">
        <v>145000000</v>
      </c>
      <c r="P2478" s="3">
        <v>0.97916666666666663</v>
      </c>
    </row>
    <row r="2479" spans="1:16" x14ac:dyDescent="0.25">
      <c r="A2479" s="2">
        <v>45941</v>
      </c>
      <c r="B2479" s="2">
        <v>45971</v>
      </c>
      <c r="C2479" t="str">
        <f>+"Tuáº§n "&amp;WEEKNUM(B2479)</f>
        <v>Tuáº§n 46</v>
      </c>
      <c r="D2479" t="s">
        <v>16</v>
      </c>
      <c r="E2479" t="s">
        <v>17</v>
      </c>
      <c r="F2479" s="5">
        <v>145600000</v>
      </c>
      <c r="G2479" s="5">
        <v>148600000</v>
      </c>
      <c r="H2479" s="5">
        <f>+(M2479*26000)/0.829426</f>
        <v>128892511.20654525</v>
      </c>
      <c r="I2479" s="5">
        <f>+G2479-H2479</f>
        <v>19707488.793454751</v>
      </c>
      <c r="J2479" s="5">
        <v>3000000</v>
      </c>
      <c r="K2479" s="5">
        <v>14560000</v>
      </c>
      <c r="L2479" s="5">
        <v>14860000</v>
      </c>
      <c r="M2479" s="7">
        <v>4111.8</v>
      </c>
      <c r="N2479" s="5">
        <v>146100000</v>
      </c>
      <c r="O2479" s="5">
        <v>149100000</v>
      </c>
      <c r="P2479" s="3">
        <v>0.97916666666666663</v>
      </c>
    </row>
    <row r="2480" spans="1:16" x14ac:dyDescent="0.25">
      <c r="A2480" s="2">
        <v>45972</v>
      </c>
      <c r="B2480" s="2">
        <v>45972</v>
      </c>
      <c r="C2480" t="str">
        <f>+"Tuáº§n "&amp;WEEKNUM(B2480)</f>
        <v>Tuáº§n 46</v>
      </c>
      <c r="D2480" t="s">
        <v>18</v>
      </c>
      <c r="E2480" t="s">
        <v>17</v>
      </c>
      <c r="F2480" s="5">
        <v>145400000</v>
      </c>
      <c r="G2480" s="5">
        <v>148400000</v>
      </c>
      <c r="H2480" s="5">
        <f>+(M2480*26000)/0.829426</f>
        <v>128735776.30795273</v>
      </c>
      <c r="I2480" s="5">
        <f>+G2480-H2480</f>
        <v>19664223.692047268</v>
      </c>
      <c r="J2480" s="5">
        <v>3000000</v>
      </c>
      <c r="K2480" s="5">
        <v>14540000</v>
      </c>
      <c r="L2480" s="5">
        <v>14840000</v>
      </c>
      <c r="M2480" s="7">
        <v>4106.8</v>
      </c>
      <c r="N2480" s="5">
        <v>145900000</v>
      </c>
      <c r="O2480" s="5">
        <v>148900000</v>
      </c>
      <c r="P2480" s="3">
        <v>0.97916666666666663</v>
      </c>
    </row>
    <row r="2481" spans="1:16" x14ac:dyDescent="0.25">
      <c r="A2481" s="2">
        <v>46002</v>
      </c>
      <c r="B2481" s="2">
        <v>45973</v>
      </c>
      <c r="C2481" t="str">
        <f>+"Tuáº§n "&amp;WEEKNUM(B2481)</f>
        <v>Tuáº§n 46</v>
      </c>
      <c r="D2481" t="s">
        <v>19</v>
      </c>
      <c r="E2481" t="s">
        <v>17</v>
      </c>
      <c r="F2481" s="5">
        <v>148900000</v>
      </c>
      <c r="G2481" s="5">
        <v>151900000</v>
      </c>
      <c r="H2481" s="5">
        <f>+(M2481*26000)/0.829426</f>
        <v>131795241.52847871</v>
      </c>
      <c r="I2481" s="5">
        <f>+G2481-H2481</f>
        <v>20104758.471521288</v>
      </c>
      <c r="J2481" s="5">
        <v>3000000</v>
      </c>
      <c r="K2481" s="5">
        <v>14890000</v>
      </c>
      <c r="L2481" s="5">
        <v>15190000</v>
      </c>
      <c r="M2481" s="7">
        <v>4204.3999999999996</v>
      </c>
      <c r="N2481" s="5">
        <v>149400000</v>
      </c>
      <c r="O2481" s="5">
        <v>152400000</v>
      </c>
      <c r="P2481" s="3">
        <v>0.97916666666666663</v>
      </c>
    </row>
    <row r="2482" spans="1:16" x14ac:dyDescent="0.25">
      <c r="A2482" t="s">
        <v>1518</v>
      </c>
      <c r="B2482" s="2">
        <v>45974</v>
      </c>
      <c r="C2482" t="str">
        <f>+"Tuáº§n "&amp;WEEKNUM(B2482)</f>
        <v>Tuáº§n 46</v>
      </c>
      <c r="D2482" t="s">
        <v>20</v>
      </c>
      <c r="E2482" t="s">
        <v>17</v>
      </c>
      <c r="F2482" s="5">
        <v>148300000</v>
      </c>
      <c r="G2482" s="5">
        <v>151300000</v>
      </c>
      <c r="H2482" s="5">
        <f>+(M2482*26000)/0.829426</f>
        <v>131246669.3834049</v>
      </c>
      <c r="I2482" s="5">
        <f>+G2482-H2482</f>
        <v>20053330.616595104</v>
      </c>
      <c r="J2482" s="5">
        <v>3000000</v>
      </c>
      <c r="K2482" s="5">
        <v>14830000</v>
      </c>
      <c r="L2482" s="5">
        <v>15130000</v>
      </c>
      <c r="M2482" s="7">
        <v>4186.8999999999996</v>
      </c>
      <c r="N2482" s="5">
        <v>148800000</v>
      </c>
      <c r="O2482" s="5">
        <v>151800000</v>
      </c>
      <c r="P2482" s="3">
        <v>0.97916666666666663</v>
      </c>
    </row>
    <row r="2483" spans="1:16" x14ac:dyDescent="0.25">
      <c r="A2483" t="s">
        <v>1519</v>
      </c>
      <c r="B2483" s="2">
        <v>45975</v>
      </c>
      <c r="C2483" t="str">
        <f>+"Tuáº§n "&amp;WEEKNUM(B2483)</f>
        <v>Tuáº§n 46</v>
      </c>
      <c r="D2483" t="s">
        <v>21</v>
      </c>
      <c r="E2483" t="s">
        <v>17</v>
      </c>
      <c r="F2483" s="5">
        <v>144700000</v>
      </c>
      <c r="G2483" s="5">
        <v>147700000</v>
      </c>
      <c r="H2483" s="5">
        <f>+(M2483*26000)/0.829426</f>
        <v>128133914.29735745</v>
      </c>
      <c r="I2483" s="5">
        <f>+G2483-H2483</f>
        <v>19566085.702642545</v>
      </c>
      <c r="J2483" s="5">
        <v>3000000</v>
      </c>
      <c r="K2483" s="5">
        <v>14470000</v>
      </c>
      <c r="L2483" s="5">
        <v>14770000</v>
      </c>
      <c r="M2483" s="7">
        <v>4087.6</v>
      </c>
      <c r="N2483" s="5">
        <v>145200000</v>
      </c>
      <c r="O2483" s="5">
        <v>148200000</v>
      </c>
      <c r="P2483" s="3">
        <v>0.97916666666666663</v>
      </c>
    </row>
    <row r="2484" spans="1:16" x14ac:dyDescent="0.25">
      <c r="A2484" t="s">
        <v>1520</v>
      </c>
      <c r="B2484" s="2">
        <v>45978</v>
      </c>
      <c r="C2484" t="str">
        <f>+"Tuáº§n "&amp;WEEKNUM(B2484)</f>
        <v>Tuáº§n 47</v>
      </c>
      <c r="D2484" t="s">
        <v>16</v>
      </c>
      <c r="E2484" t="s">
        <v>17</v>
      </c>
      <c r="F2484" s="5">
        <v>144000000</v>
      </c>
      <c r="G2484" s="5">
        <v>147000000</v>
      </c>
      <c r="H2484" s="5">
        <f>+(M2484*26000)/0.829426</f>
        <v>127528917.58879033</v>
      </c>
      <c r="I2484" s="5">
        <f>+G2484-H2484</f>
        <v>19471082.411209673</v>
      </c>
      <c r="J2484" s="5">
        <v>3000000</v>
      </c>
      <c r="K2484" s="5">
        <v>14400000</v>
      </c>
      <c r="L2484" s="5">
        <v>14700000</v>
      </c>
      <c r="M2484" s="7">
        <v>4068.3</v>
      </c>
      <c r="N2484" s="5">
        <v>144500000</v>
      </c>
      <c r="O2484" s="5">
        <v>147500000</v>
      </c>
      <c r="P2484" s="3">
        <v>0.97916666666666663</v>
      </c>
    </row>
    <row r="2485" spans="1:16" x14ac:dyDescent="0.25">
      <c r="A2485" t="s">
        <v>1521</v>
      </c>
      <c r="B2485" s="2">
        <v>45979</v>
      </c>
      <c r="C2485" t="str">
        <f>+"Tuáº§n "&amp;WEEKNUM(B2485)</f>
        <v>Tuáº§n 47</v>
      </c>
      <c r="D2485" t="s">
        <v>18</v>
      </c>
      <c r="E2485" t="s">
        <v>17</v>
      </c>
      <c r="F2485" s="5">
        <v>143800000</v>
      </c>
      <c r="G2485" s="5">
        <v>146800000</v>
      </c>
      <c r="H2485" s="5">
        <f>+(M2485*26000)/0.829426</f>
        <v>127309488.7307608</v>
      </c>
      <c r="I2485" s="5">
        <f>+G2485-H2485</f>
        <v>19490511.269239202</v>
      </c>
      <c r="J2485" s="5">
        <v>3000000</v>
      </c>
      <c r="K2485" s="5">
        <v>14380000</v>
      </c>
      <c r="L2485" s="5">
        <v>14680000</v>
      </c>
      <c r="M2485" s="7">
        <v>4061.3</v>
      </c>
      <c r="N2485" s="5">
        <v>144300000</v>
      </c>
      <c r="O2485" s="5">
        <v>147300000</v>
      </c>
      <c r="P2485" s="3">
        <v>0.97916666666666663</v>
      </c>
    </row>
    <row r="2486" spans="1:16" x14ac:dyDescent="0.25">
      <c r="A2486" t="s">
        <v>1522</v>
      </c>
      <c r="B2486" s="2">
        <v>45980</v>
      </c>
      <c r="C2486" t="str">
        <f>+"Tuáº§n "&amp;WEEKNUM(B2486)</f>
        <v>Tuáº§n 47</v>
      </c>
      <c r="D2486" t="s">
        <v>19</v>
      </c>
      <c r="E2486" t="s">
        <v>17</v>
      </c>
      <c r="F2486" s="5">
        <v>144400000</v>
      </c>
      <c r="G2486" s="5">
        <v>147400000</v>
      </c>
      <c r="H2486" s="5">
        <f>+(M2486*26000)/0.829426</f>
        <v>127823579.19814426</v>
      </c>
      <c r="I2486" s="5">
        <f>+G2486-H2486</f>
        <v>19576420.801855743</v>
      </c>
      <c r="J2486" s="5">
        <v>3000000</v>
      </c>
      <c r="K2486" s="5">
        <v>14440000</v>
      </c>
      <c r="L2486" s="5">
        <v>14740000</v>
      </c>
      <c r="M2486" s="7">
        <v>4077.7</v>
      </c>
      <c r="N2486" s="5">
        <v>144900000</v>
      </c>
      <c r="O2486" s="5">
        <v>147900000</v>
      </c>
      <c r="P2486" s="3">
        <v>0.97916666666666663</v>
      </c>
    </row>
    <row r="2487" spans="1:16" x14ac:dyDescent="0.25">
      <c r="A2487" t="s">
        <v>1523</v>
      </c>
      <c r="B2487" s="2">
        <v>45981</v>
      </c>
      <c r="C2487" t="str">
        <f>+"Tuáº§n "&amp;WEEKNUM(B2487)</f>
        <v>Tuáº§n 47</v>
      </c>
      <c r="D2487" t="s">
        <v>20</v>
      </c>
      <c r="E2487" t="s">
        <v>17</v>
      </c>
      <c r="F2487" s="5">
        <v>143600000</v>
      </c>
      <c r="G2487" s="5">
        <v>146600000</v>
      </c>
      <c r="H2487" s="5">
        <f>+(M2487*26000)/0.829426</f>
        <v>127159023.22811197</v>
      </c>
      <c r="I2487" s="5">
        <f>+G2487-H2487</f>
        <v>19440976.771888033</v>
      </c>
      <c r="J2487" s="5">
        <v>3000000</v>
      </c>
      <c r="K2487" s="5">
        <v>14360000</v>
      </c>
      <c r="L2487" s="5">
        <v>14660000</v>
      </c>
      <c r="M2487" s="7">
        <v>4056.5</v>
      </c>
      <c r="N2487" s="5">
        <v>144100000</v>
      </c>
      <c r="O2487" s="5">
        <v>147100000</v>
      </c>
      <c r="P2487" s="3">
        <v>0.97916666666666663</v>
      </c>
    </row>
    <row r="2488" spans="1:16" x14ac:dyDescent="0.25">
      <c r="A2488" t="s">
        <v>1524</v>
      </c>
      <c r="B2488" s="2">
        <v>45982</v>
      </c>
      <c r="C2488" t="str">
        <f>+"Tuáº§n "&amp;WEEKNUM(B2488)</f>
        <v>Tuáº§n 47</v>
      </c>
      <c r="D2488" t="s">
        <v>21</v>
      </c>
      <c r="E2488" t="s">
        <v>17</v>
      </c>
      <c r="F2488" s="5">
        <v>144300000</v>
      </c>
      <c r="G2488" s="5">
        <v>147300000</v>
      </c>
      <c r="H2488" s="5">
        <f>+(M2488*26000)/0.829426</f>
        <v>127792232.21842575</v>
      </c>
      <c r="I2488" s="5">
        <f>+G2488-H2488</f>
        <v>19507767.781574249</v>
      </c>
      <c r="J2488" s="5">
        <v>3000000</v>
      </c>
      <c r="K2488" s="5">
        <v>14430000</v>
      </c>
      <c r="L2488" s="5">
        <v>14730000</v>
      </c>
      <c r="M2488" s="7">
        <v>4076.7</v>
      </c>
      <c r="N2488" s="5">
        <v>144800000</v>
      </c>
      <c r="O2488" s="5">
        <v>147800000</v>
      </c>
      <c r="P2488" s="3">
        <v>0.97916666666666663</v>
      </c>
    </row>
    <row r="2489" spans="1:16" x14ac:dyDescent="0.25">
      <c r="A2489" t="s">
        <v>1525</v>
      </c>
      <c r="B2489" s="2">
        <v>45985</v>
      </c>
      <c r="C2489" t="str">
        <f>+"Tuáº§n "&amp;WEEKNUM(B2489)</f>
        <v>Tuáº§n 48</v>
      </c>
      <c r="D2489" t="s">
        <v>16</v>
      </c>
      <c r="E2489" t="s">
        <v>17</v>
      </c>
      <c r="F2489" s="5">
        <v>144900000</v>
      </c>
      <c r="G2489" s="5">
        <v>147900000</v>
      </c>
      <c r="H2489" s="5">
        <f>+(M2489*26000)/0.829426</f>
        <v>128268706.31014702</v>
      </c>
      <c r="I2489" s="5">
        <f>+G2489-H2489</f>
        <v>19631293.689852983</v>
      </c>
      <c r="J2489" s="5">
        <v>3000000</v>
      </c>
      <c r="K2489" s="5">
        <v>14490000</v>
      </c>
      <c r="L2489" s="5">
        <v>14790000</v>
      </c>
      <c r="M2489" s="7">
        <v>4091.9</v>
      </c>
      <c r="N2489" s="5">
        <v>145400000</v>
      </c>
      <c r="O2489" s="5">
        <v>148400000</v>
      </c>
      <c r="P2489" s="3">
        <v>0.97916666666666663</v>
      </c>
    </row>
    <row r="2490" spans="1:16" x14ac:dyDescent="0.25">
      <c r="A2490" t="s">
        <v>1526</v>
      </c>
      <c r="B2490" s="2">
        <v>45986</v>
      </c>
      <c r="C2490" t="str">
        <f>+"Tuáº§n "&amp;WEEKNUM(B2490)</f>
        <v>Tuáº§n 48</v>
      </c>
      <c r="D2490" t="s">
        <v>18</v>
      </c>
      <c r="E2490" t="s">
        <v>17</v>
      </c>
      <c r="F2490" s="5">
        <v>146600000</v>
      </c>
      <c r="G2490" s="5">
        <v>149600000</v>
      </c>
      <c r="H2490" s="5">
        <f>+(M2490*26000)/0.829426</f>
        <v>129751418.45083226</v>
      </c>
      <c r="I2490" s="5">
        <f>+G2490-H2490</f>
        <v>19848581.549167737</v>
      </c>
      <c r="J2490" s="5">
        <v>3000000</v>
      </c>
      <c r="K2490" s="5">
        <v>14660000</v>
      </c>
      <c r="L2490" s="5">
        <v>14960000</v>
      </c>
      <c r="M2490" s="7">
        <v>4139.2</v>
      </c>
      <c r="N2490" s="5">
        <v>147100000</v>
      </c>
      <c r="O2490" s="5">
        <v>150100000</v>
      </c>
      <c r="P2490" s="3">
        <v>0.97916666666666663</v>
      </c>
    </row>
    <row r="2491" spans="1:16" x14ac:dyDescent="0.25">
      <c r="A2491" t="s">
        <v>1527</v>
      </c>
      <c r="B2491" s="2">
        <v>45987</v>
      </c>
      <c r="C2491" t="str">
        <f>+"Tuáº§n "&amp;WEEKNUM(B2491)</f>
        <v>Tuáº§n 48</v>
      </c>
      <c r="D2491" t="s">
        <v>19</v>
      </c>
      <c r="E2491" t="s">
        <v>17</v>
      </c>
      <c r="F2491" s="5">
        <v>147500000</v>
      </c>
      <c r="G2491" s="5">
        <v>150500000</v>
      </c>
      <c r="H2491" s="5">
        <f>+(M2491*26000)/0.829426</f>
        <v>130566439.92351337</v>
      </c>
      <c r="I2491" s="5">
        <f>+G2491-H2491</f>
        <v>19933560.076486632</v>
      </c>
      <c r="J2491" s="5">
        <v>3000000</v>
      </c>
      <c r="K2491" s="5">
        <v>14750000</v>
      </c>
      <c r="L2491" s="5">
        <v>15050000</v>
      </c>
      <c r="M2491" s="7">
        <v>4165.2</v>
      </c>
      <c r="N2491" s="5">
        <v>148000000</v>
      </c>
      <c r="O2491" s="5">
        <v>151000000</v>
      </c>
      <c r="P2491" s="3">
        <v>0.97916666666666663</v>
      </c>
    </row>
    <row r="2492" spans="1:16" x14ac:dyDescent="0.25">
      <c r="A2492" t="s">
        <v>1528</v>
      </c>
      <c r="B2492" s="2">
        <v>45989</v>
      </c>
      <c r="C2492" t="str">
        <f>+"Tuáº§n "&amp;WEEKNUM(B2492)</f>
        <v>Tuáº§n 48</v>
      </c>
      <c r="D2492" t="s">
        <v>21</v>
      </c>
      <c r="E2492" t="s">
        <v>17</v>
      </c>
      <c r="F2492" s="5">
        <v>149400000</v>
      </c>
      <c r="G2492" s="5">
        <v>152400000</v>
      </c>
      <c r="H2492" s="5">
        <f>+(M2492*26000)/0.829426</f>
        <v>132230964.54656594</v>
      </c>
      <c r="I2492" s="5">
        <f>+G2492-H2492</f>
        <v>20169035.453434065</v>
      </c>
      <c r="J2492" s="5">
        <v>3000000</v>
      </c>
      <c r="K2492" s="5">
        <v>14940000</v>
      </c>
      <c r="L2492" s="5">
        <v>15240000</v>
      </c>
      <c r="M2492" s="7">
        <v>4218.3</v>
      </c>
      <c r="N2492" s="5">
        <v>149900000</v>
      </c>
      <c r="O2492" s="5">
        <v>152900000</v>
      </c>
      <c r="P2492" s="3">
        <v>0.97916666666666663</v>
      </c>
    </row>
    <row r="2493" spans="1:16" x14ac:dyDescent="0.25">
      <c r="A2493" s="2">
        <v>45669</v>
      </c>
      <c r="B2493" s="2">
        <v>45992</v>
      </c>
      <c r="C2493" t="str">
        <f>+"Tuáº§n "&amp;WEEKNUM(B2493)</f>
        <v>Tuáº§n 49</v>
      </c>
      <c r="D2493" t="s">
        <v>16</v>
      </c>
      <c r="E2493" t="s">
        <v>17</v>
      </c>
      <c r="F2493" s="5">
        <v>150200000</v>
      </c>
      <c r="G2493" s="5">
        <v>153200000</v>
      </c>
      <c r="H2493" s="5">
        <f>+(M2493*26000)/0.829426</f>
        <v>132889251.12065452</v>
      </c>
      <c r="I2493" s="5">
        <f>+G2493-H2493</f>
        <v>20310748.879345477</v>
      </c>
      <c r="J2493" s="5">
        <v>3000000</v>
      </c>
      <c r="K2493" s="5">
        <v>15020000</v>
      </c>
      <c r="L2493" s="5">
        <v>15320000</v>
      </c>
      <c r="M2493" s="7">
        <v>4239.3</v>
      </c>
      <c r="N2493" s="5">
        <v>150700000</v>
      </c>
      <c r="O2493" s="5">
        <v>153700000</v>
      </c>
      <c r="P2493" s="3">
        <v>0.97916666666666663</v>
      </c>
    </row>
    <row r="2494" spans="1:16" x14ac:dyDescent="0.25">
      <c r="A2494" s="2">
        <v>45700</v>
      </c>
      <c r="B2494" s="2">
        <v>45993</v>
      </c>
      <c r="C2494" t="str">
        <f>+"Tuáº§n "&amp;WEEKNUM(B2494)</f>
        <v>Tuáº§n 49</v>
      </c>
      <c r="D2494" t="s">
        <v>18</v>
      </c>
      <c r="E2494" t="s">
        <v>17</v>
      </c>
      <c r="F2494" s="5">
        <v>148300000</v>
      </c>
      <c r="G2494" s="5">
        <v>151300000</v>
      </c>
      <c r="H2494" s="5">
        <f>+(M2494*26000)/0.829426</f>
        <v>131237265.28948937</v>
      </c>
      <c r="I2494" s="5">
        <f>+G2494-H2494</f>
        <v>20062734.710510626</v>
      </c>
      <c r="J2494" s="5">
        <v>3000000</v>
      </c>
      <c r="K2494" s="5">
        <v>14830000</v>
      </c>
      <c r="L2494" s="5">
        <v>15130000</v>
      </c>
      <c r="M2494" s="7">
        <v>4186.6000000000004</v>
      </c>
      <c r="N2494" s="5">
        <v>148800000</v>
      </c>
      <c r="O2494" s="5">
        <v>151800000</v>
      </c>
      <c r="P2494" s="3">
        <v>0.97916666666666663</v>
      </c>
    </row>
    <row r="2495" spans="1:16" x14ac:dyDescent="0.25">
      <c r="A2495" s="2">
        <v>45728</v>
      </c>
      <c r="B2495" s="2">
        <v>45994</v>
      </c>
      <c r="C2495" t="str">
        <f>+"Tuáº§n "&amp;WEEKNUM(B2495)</f>
        <v>Tuáº§n 49</v>
      </c>
      <c r="D2495" t="s">
        <v>19</v>
      </c>
      <c r="E2495" t="s">
        <v>17</v>
      </c>
      <c r="F2495" s="5">
        <v>148700000</v>
      </c>
      <c r="G2495" s="5">
        <v>151700000</v>
      </c>
      <c r="H2495" s="5">
        <f>+(M2495*26000)/0.829426</f>
        <v>131635371.93191436</v>
      </c>
      <c r="I2495" s="5">
        <f>+G2495-H2495</f>
        <v>20064628.068085641</v>
      </c>
      <c r="J2495" s="5">
        <v>3000000</v>
      </c>
      <c r="K2495" s="5">
        <v>14870000</v>
      </c>
      <c r="L2495" s="5">
        <v>15170000</v>
      </c>
      <c r="M2495" s="7">
        <v>4199.3</v>
      </c>
      <c r="N2495" s="5">
        <v>149200000</v>
      </c>
      <c r="O2495" s="5">
        <v>152200000</v>
      </c>
      <c r="P2495" s="3">
        <v>0.97916666666666663</v>
      </c>
    </row>
    <row r="2496" spans="1:16" x14ac:dyDescent="0.25">
      <c r="A2496" s="2">
        <v>45759</v>
      </c>
      <c r="B2496" s="2">
        <v>45995</v>
      </c>
      <c r="C2496" t="str">
        <f>+"Tuáº§n "&amp;WEEKNUM(B2496)</f>
        <v>Tuáº§n 49</v>
      </c>
      <c r="D2496" t="s">
        <v>20</v>
      </c>
      <c r="E2496" t="s">
        <v>17</v>
      </c>
      <c r="F2496" s="5">
        <v>149200000</v>
      </c>
      <c r="G2496" s="5">
        <v>152200000</v>
      </c>
      <c r="H2496" s="5">
        <f>+(M2496*26000)/0.829426</f>
        <v>132027209.17839566</v>
      </c>
      <c r="I2496" s="5">
        <f>+G2496-H2496</f>
        <v>20172790.821604341</v>
      </c>
      <c r="J2496" s="5">
        <v>3000000</v>
      </c>
      <c r="K2496" s="5">
        <v>14920000</v>
      </c>
      <c r="L2496" s="5">
        <v>15220000</v>
      </c>
      <c r="M2496" s="7">
        <v>4211.8</v>
      </c>
      <c r="N2496" s="5">
        <v>149700000</v>
      </c>
      <c r="O2496" s="5">
        <v>152700000</v>
      </c>
      <c r="P2496" s="3">
        <v>0.97916666666666663</v>
      </c>
    </row>
    <row r="2497" spans="1:16" x14ac:dyDescent="0.25">
      <c r="A2497" s="2">
        <v>45789</v>
      </c>
      <c r="B2497" s="2">
        <v>45996</v>
      </c>
      <c r="C2497" t="str">
        <f>+"Tuáº§n "&amp;WEEKNUM(B2497)</f>
        <v>Tuáº§n 49</v>
      </c>
      <c r="D2497" t="s">
        <v>21</v>
      </c>
      <c r="E2497" t="s">
        <v>17</v>
      </c>
      <c r="F2497" s="5">
        <v>149200000</v>
      </c>
      <c r="G2497" s="5">
        <v>152200000</v>
      </c>
      <c r="H2497" s="5">
        <f>+(M2497*26000)/0.829426</f>
        <v>132061690.856086</v>
      </c>
      <c r="I2497" s="5">
        <f>+G2497-H2497</f>
        <v>20138309.143913999</v>
      </c>
      <c r="J2497" s="5">
        <v>3000000</v>
      </c>
      <c r="K2497" s="5">
        <v>14920000</v>
      </c>
      <c r="L2497" s="5">
        <v>15220000</v>
      </c>
      <c r="M2497" s="7">
        <v>4212.8999999999996</v>
      </c>
      <c r="N2497" s="5">
        <v>149700000</v>
      </c>
      <c r="O2497" s="5">
        <v>152700000</v>
      </c>
      <c r="P2497" s="3">
        <v>0.97916666666666663</v>
      </c>
    </row>
    <row r="2498" spans="1:16" x14ac:dyDescent="0.25">
      <c r="A2498" s="2">
        <v>45881</v>
      </c>
      <c r="B2498" s="2">
        <v>45999</v>
      </c>
      <c r="C2498" t="str">
        <f>+"Tuáº§n "&amp;WEEKNUM(B2498)</f>
        <v>Tuáº§n 50</v>
      </c>
      <c r="D2498" t="s">
        <v>16</v>
      </c>
      <c r="E2498" t="s">
        <v>17</v>
      </c>
      <c r="F2498" s="5">
        <v>148300000</v>
      </c>
      <c r="G2498" s="5">
        <v>151300000</v>
      </c>
      <c r="H2498" s="5">
        <f>+(M2498*26000)/0.829426</f>
        <v>131256073.47732046</v>
      </c>
      <c r="I2498" s="5">
        <f>+G2498-H2498</f>
        <v>20043926.522679538</v>
      </c>
      <c r="J2498" s="5">
        <v>3000000</v>
      </c>
      <c r="K2498" s="5">
        <v>14830000</v>
      </c>
      <c r="L2498" s="5">
        <v>15130000</v>
      </c>
      <c r="M2498" s="7">
        <v>4187.2</v>
      </c>
      <c r="N2498" s="5">
        <v>148800000</v>
      </c>
      <c r="O2498" s="5">
        <v>151800000</v>
      </c>
      <c r="P2498" s="3">
        <v>0.97916666666666663</v>
      </c>
    </row>
    <row r="2499" spans="1:16" x14ac:dyDescent="0.25">
      <c r="A2499" s="2">
        <v>45912</v>
      </c>
      <c r="B2499" s="2">
        <v>46000</v>
      </c>
      <c r="C2499" t="str">
        <f>+"Tuáº§n "&amp;WEEKNUM(B2499)</f>
        <v>Tuáº§n 50</v>
      </c>
      <c r="D2499" t="s">
        <v>18</v>
      </c>
      <c r="E2499" t="s">
        <v>17</v>
      </c>
      <c r="F2499" s="5">
        <v>149000000</v>
      </c>
      <c r="G2499" s="5">
        <v>152000000</v>
      </c>
      <c r="H2499" s="5">
        <f>+(M2499*26000)/0.829426</f>
        <v>131867339.58183129</v>
      </c>
      <c r="I2499" s="5">
        <f>+G2499-H2499</f>
        <v>20132660.418168709</v>
      </c>
      <c r="J2499" s="5">
        <v>3000000</v>
      </c>
      <c r="K2499" s="5">
        <v>14900000</v>
      </c>
      <c r="L2499" s="5">
        <v>15200000</v>
      </c>
      <c r="M2499" s="7">
        <v>4206.7</v>
      </c>
      <c r="N2499" s="5">
        <v>149500000</v>
      </c>
      <c r="O2499" s="5">
        <v>152500000</v>
      </c>
      <c r="P2499" s="3">
        <v>0.97916666666666663</v>
      </c>
    </row>
    <row r="2500" spans="1:16" x14ac:dyDescent="0.25">
      <c r="A2500" s="2">
        <v>45942</v>
      </c>
      <c r="B2500" s="2">
        <v>46001</v>
      </c>
      <c r="C2500" t="str">
        <f>+"Tuáº§n "&amp;WEEKNUM(B2500)</f>
        <v>Tuáº§n 50</v>
      </c>
      <c r="D2500" t="s">
        <v>19</v>
      </c>
      <c r="E2500" t="s">
        <v>17</v>
      </c>
      <c r="F2500" s="5">
        <v>148600000</v>
      </c>
      <c r="G2500" s="5">
        <v>151600000</v>
      </c>
      <c r="H2500" s="5">
        <f>+(M2500*26000)/0.829426</f>
        <v>131544465.69073068</v>
      </c>
      <c r="I2500" s="5">
        <f>+G2500-H2500</f>
        <v>20055534.309269324</v>
      </c>
      <c r="J2500" s="5">
        <v>3000000</v>
      </c>
      <c r="K2500" s="5">
        <v>14860000</v>
      </c>
      <c r="L2500" s="5">
        <v>15160000</v>
      </c>
      <c r="M2500" s="7">
        <v>4196.3999999999996</v>
      </c>
      <c r="N2500" s="5">
        <v>149100000</v>
      </c>
      <c r="O2500" s="5">
        <v>152100000</v>
      </c>
      <c r="P2500" s="3">
        <v>0.97916666666666663</v>
      </c>
    </row>
    <row r="2501" spans="1:16" x14ac:dyDescent="0.25">
      <c r="A2501" s="2">
        <v>45973</v>
      </c>
      <c r="B2501" s="2">
        <v>46002</v>
      </c>
      <c r="C2501" t="str">
        <f>+"Tuáº§n "&amp;WEEKNUM(B2501)</f>
        <v>Tuáº§n 50</v>
      </c>
      <c r="D2501" t="s">
        <v>20</v>
      </c>
      <c r="E2501" t="s">
        <v>17</v>
      </c>
      <c r="F2501" s="5">
        <v>151900000</v>
      </c>
      <c r="G2501" s="5">
        <v>154900000</v>
      </c>
      <c r="H2501" s="5">
        <f>+(M2501*26000)/0.829426</f>
        <v>134337481.58364943</v>
      </c>
      <c r="I2501" s="5">
        <f>+G2501-H2501</f>
        <v>20562518.416350573</v>
      </c>
      <c r="J2501" s="5">
        <v>3000000</v>
      </c>
      <c r="K2501" s="5">
        <v>15190000</v>
      </c>
      <c r="L2501" s="5">
        <v>15490000</v>
      </c>
      <c r="M2501" s="7">
        <v>4285.5</v>
      </c>
      <c r="N2501" s="5">
        <v>152400000</v>
      </c>
      <c r="O2501" s="5">
        <v>155400000</v>
      </c>
      <c r="P2501" s="3">
        <v>0.97916666666666663</v>
      </c>
    </row>
    <row r="2502" spans="1:16" x14ac:dyDescent="0.25">
      <c r="A2502" s="2">
        <v>46003</v>
      </c>
      <c r="B2502" s="2">
        <v>46003</v>
      </c>
      <c r="C2502" t="str">
        <f>+"Tuáº§n "&amp;WEEKNUM(B2502)</f>
        <v>Tuáº§n 50</v>
      </c>
      <c r="D2502" t="s">
        <v>21</v>
      </c>
      <c r="E2502" t="s">
        <v>17</v>
      </c>
      <c r="F2502" s="5">
        <v>152400000</v>
      </c>
      <c r="G2502" s="5">
        <v>155400000</v>
      </c>
      <c r="H2502" s="5">
        <f>+(M2502*26000)/0.829426</f>
        <v>134795147.48753959</v>
      </c>
      <c r="I2502" s="5">
        <f>+G2502-H2502</f>
        <v>20604852.512460411</v>
      </c>
      <c r="J2502" s="5">
        <v>3000000</v>
      </c>
      <c r="K2502" s="5">
        <v>15240000</v>
      </c>
      <c r="L2502" s="5">
        <v>15540000</v>
      </c>
      <c r="M2502" s="7">
        <v>4300.1000000000004</v>
      </c>
      <c r="N2502" s="5">
        <v>152900000</v>
      </c>
      <c r="O2502" s="5">
        <v>155900000</v>
      </c>
      <c r="P2502" s="3">
        <v>0.97916666666666663</v>
      </c>
    </row>
    <row r="2503" spans="1:16" x14ac:dyDescent="0.25">
      <c r="A2503" t="s">
        <v>1529</v>
      </c>
      <c r="B2503" s="2">
        <v>46006</v>
      </c>
      <c r="C2503" t="str">
        <f>+"Tuáº§n "&amp;WEEKNUM(B2503)</f>
        <v>Tuáº§n 51</v>
      </c>
      <c r="D2503" t="s">
        <v>16</v>
      </c>
      <c r="E2503" t="s">
        <v>17</v>
      </c>
      <c r="F2503" s="5">
        <v>152600000</v>
      </c>
      <c r="G2503" s="5">
        <v>155600000</v>
      </c>
      <c r="H2503" s="5">
        <f>+(M2503*26000)/0.829426</f>
        <v>135002037.5536817</v>
      </c>
      <c r="I2503" s="5">
        <f>+G2503-H2503</f>
        <v>20597962.446318299</v>
      </c>
      <c r="J2503" s="5">
        <v>3000000</v>
      </c>
      <c r="K2503" s="5">
        <v>15260000</v>
      </c>
      <c r="L2503" s="5">
        <v>15560000</v>
      </c>
      <c r="M2503" s="7">
        <v>4306.7</v>
      </c>
      <c r="N2503" s="5">
        <v>153100000</v>
      </c>
      <c r="O2503" s="5">
        <v>156100000</v>
      </c>
      <c r="P2503" s="3">
        <v>0.97916666666666663</v>
      </c>
    </row>
    <row r="2504" spans="1:16" x14ac:dyDescent="0.25">
      <c r="A2504" t="s">
        <v>1530</v>
      </c>
      <c r="B2504" s="2">
        <v>46007</v>
      </c>
      <c r="C2504" t="str">
        <f>+"Tuáº§n "&amp;WEEKNUM(B2504)</f>
        <v>Tuáº§n 51</v>
      </c>
      <c r="D2504" t="s">
        <v>18</v>
      </c>
      <c r="E2504" t="s">
        <v>17</v>
      </c>
      <c r="F2504" s="5">
        <v>152500000</v>
      </c>
      <c r="G2504" s="5">
        <v>155500000</v>
      </c>
      <c r="H2504" s="5">
        <f>+(M2504*26000)/0.829426</f>
        <v>134933074.19830099</v>
      </c>
      <c r="I2504" s="5">
        <f>+G2504-H2504</f>
        <v>20566925.801699013</v>
      </c>
      <c r="J2504" s="5">
        <v>3000000</v>
      </c>
      <c r="K2504" s="5">
        <v>15250000</v>
      </c>
      <c r="L2504" s="5">
        <v>15550000</v>
      </c>
      <c r="M2504" s="7">
        <v>4304.5</v>
      </c>
      <c r="N2504" s="5">
        <v>153000000</v>
      </c>
      <c r="O2504" s="5">
        <v>156000000</v>
      </c>
      <c r="P2504" s="3">
        <v>0.97916666666666663</v>
      </c>
    </row>
    <row r="2505" spans="1:16" x14ac:dyDescent="0.25">
      <c r="A2505" t="s">
        <v>1531</v>
      </c>
      <c r="B2505" s="2">
        <v>46008</v>
      </c>
      <c r="C2505" t="str">
        <f>+"Tuáº§n "&amp;WEEKNUM(B2505)</f>
        <v>Tuáº§n 51</v>
      </c>
      <c r="D2505" t="s">
        <v>19</v>
      </c>
      <c r="E2505" t="s">
        <v>17</v>
      </c>
      <c r="F2505" s="5">
        <v>154100000</v>
      </c>
      <c r="G2505" s="5">
        <v>157100000</v>
      </c>
      <c r="H2505" s="5">
        <f>+(M2505*26000)/0.829426</f>
        <v>136280994.32619667</v>
      </c>
      <c r="I2505" s="5">
        <f>+G2505-H2505</f>
        <v>20819005.673803329</v>
      </c>
      <c r="J2505" s="5">
        <v>3000000</v>
      </c>
      <c r="K2505" s="5">
        <v>15410000</v>
      </c>
      <c r="L2505" s="5">
        <v>15710000</v>
      </c>
      <c r="M2505" s="7">
        <v>4347.5</v>
      </c>
      <c r="N2505" s="5">
        <v>154600000</v>
      </c>
      <c r="O2505" s="5">
        <v>157600000</v>
      </c>
      <c r="P2505" s="3">
        <v>0.97916666666666663</v>
      </c>
    </row>
    <row r="2506" spans="1:16" x14ac:dyDescent="0.25">
      <c r="A2506" t="s">
        <v>1532</v>
      </c>
      <c r="B2506" s="2">
        <v>46009</v>
      </c>
      <c r="C2506" t="str">
        <f>+"Tuáº§n "&amp;WEEKNUM(B2506)</f>
        <v>Tuáº§n 51</v>
      </c>
      <c r="D2506" t="s">
        <v>20</v>
      </c>
      <c r="E2506" t="s">
        <v>17</v>
      </c>
      <c r="F2506" s="5">
        <v>153800000</v>
      </c>
      <c r="G2506" s="5">
        <v>156800000</v>
      </c>
      <c r="H2506" s="5">
        <f>+(M2506*26000)/0.829426</f>
        <v>136030218.48844865</v>
      </c>
      <c r="I2506" s="5">
        <f>+G2506-H2506</f>
        <v>20769781.51155135</v>
      </c>
      <c r="J2506" s="5">
        <v>3000000</v>
      </c>
      <c r="K2506" s="5">
        <v>15380000</v>
      </c>
      <c r="L2506" s="5">
        <v>15680000</v>
      </c>
      <c r="M2506" s="7">
        <v>4339.5</v>
      </c>
      <c r="N2506" s="5">
        <v>154300000</v>
      </c>
      <c r="O2506" s="5">
        <v>157300000</v>
      </c>
      <c r="P2506" s="3">
        <v>0.97916666666666663</v>
      </c>
    </row>
    <row r="2507" spans="1:16" x14ac:dyDescent="0.25">
      <c r="A2507" t="s">
        <v>1533</v>
      </c>
      <c r="B2507" s="2">
        <v>46010</v>
      </c>
      <c r="C2507" t="str">
        <f>+"Tuáº§n "&amp;WEEKNUM(B2507)</f>
        <v>Tuáº§n 51</v>
      </c>
      <c r="D2507" t="s">
        <v>21</v>
      </c>
      <c r="E2507" t="s">
        <v>17</v>
      </c>
      <c r="F2507" s="5">
        <v>154600000</v>
      </c>
      <c r="G2507" s="5">
        <v>157600000</v>
      </c>
      <c r="H2507" s="5">
        <f>+(M2507*26000)/0.829426</f>
        <v>136716717.34428385</v>
      </c>
      <c r="I2507" s="5">
        <f>+G2507-H2507</f>
        <v>20883282.655716151</v>
      </c>
      <c r="J2507" s="5">
        <v>3000000</v>
      </c>
      <c r="K2507" s="5">
        <v>15460000</v>
      </c>
      <c r="L2507" s="5">
        <v>15760000</v>
      </c>
      <c r="M2507" s="7">
        <v>4361.3999999999996</v>
      </c>
      <c r="N2507" s="5">
        <v>155100000</v>
      </c>
      <c r="O2507" s="5">
        <v>158100000</v>
      </c>
      <c r="P2507" s="3">
        <v>0.97916666666666663</v>
      </c>
    </row>
    <row r="2508" spans="1:16" x14ac:dyDescent="0.25">
      <c r="A2508" t="s">
        <v>1534</v>
      </c>
      <c r="B2508" s="2">
        <v>46013</v>
      </c>
      <c r="C2508" t="str">
        <f>+"Tuáº§n "&amp;WEEKNUM(B2508)</f>
        <v>Tuáº§n 52</v>
      </c>
      <c r="D2508" t="s">
        <v>16</v>
      </c>
      <c r="E2508" t="s">
        <v>17</v>
      </c>
      <c r="F2508" s="5">
        <v>157600000</v>
      </c>
      <c r="G2508" s="5">
        <v>160600000</v>
      </c>
      <c r="H2508" s="5">
        <f>+(M2508*26000)/0.829426</f>
        <v>139324786.05686343</v>
      </c>
      <c r="I2508" s="5">
        <f>+G2508-H2508</f>
        <v>21275213.943136573</v>
      </c>
      <c r="J2508" s="5">
        <v>3000000</v>
      </c>
      <c r="K2508" s="5">
        <v>15760000</v>
      </c>
      <c r="L2508" s="5">
        <v>16060000</v>
      </c>
      <c r="M2508" s="7">
        <v>4444.6000000000004</v>
      </c>
      <c r="N2508" s="5">
        <v>158100000</v>
      </c>
      <c r="O2508" s="5">
        <v>161100000</v>
      </c>
      <c r="P2508" s="3">
        <v>0.97916666666666663</v>
      </c>
    </row>
    <row r="2509" spans="1:16" x14ac:dyDescent="0.25">
      <c r="A2509" t="s">
        <v>1535</v>
      </c>
      <c r="B2509" s="2">
        <v>46014</v>
      </c>
      <c r="C2509" t="str">
        <f>+"Tuáº§n "&amp;WEEKNUM(B2509)</f>
        <v>Tuáº§n 52</v>
      </c>
      <c r="D2509" t="s">
        <v>18</v>
      </c>
      <c r="E2509" t="s">
        <v>17</v>
      </c>
      <c r="F2509" s="5">
        <v>159000000</v>
      </c>
      <c r="G2509" s="5">
        <v>162000000</v>
      </c>
      <c r="H2509" s="5">
        <f>+(M2509*26000)/0.829426</f>
        <v>140522240.68211028</v>
      </c>
      <c r="I2509" s="5">
        <f>+G2509-H2509</f>
        <v>21477759.31788972</v>
      </c>
      <c r="J2509" s="5">
        <v>3000000</v>
      </c>
      <c r="K2509" s="5">
        <v>15900000</v>
      </c>
      <c r="L2509" s="5">
        <v>16200000</v>
      </c>
      <c r="M2509" s="7">
        <v>4482.8</v>
      </c>
      <c r="N2509" s="5">
        <v>159500000</v>
      </c>
      <c r="O2509" s="5">
        <v>162500000</v>
      </c>
      <c r="P2509" s="3">
        <v>0.97916666666666663</v>
      </c>
    </row>
    <row r="2510" spans="1:16" x14ac:dyDescent="0.25">
      <c r="A2510" t="s">
        <v>1536</v>
      </c>
      <c r="B2510" s="2">
        <v>46015</v>
      </c>
      <c r="C2510" t="str">
        <f>+"Tuáº§n "&amp;WEEKNUM(B2510)</f>
        <v>Tuáº§n 52</v>
      </c>
      <c r="D2510" t="s">
        <v>19</v>
      </c>
      <c r="E2510" t="s">
        <v>17</v>
      </c>
      <c r="F2510" s="5">
        <v>158900000</v>
      </c>
      <c r="G2510" s="5">
        <v>161900000</v>
      </c>
      <c r="H2510" s="5">
        <f>+(M2510*26000)/0.829426</f>
        <v>140453277.3267296</v>
      </c>
      <c r="I2510" s="5">
        <f>+G2510-H2510</f>
        <v>21446722.673270404</v>
      </c>
      <c r="J2510" s="5">
        <v>3000000</v>
      </c>
      <c r="K2510" s="5">
        <v>15890000</v>
      </c>
      <c r="L2510" s="5">
        <v>16190000</v>
      </c>
      <c r="M2510" s="7">
        <v>4480.6000000000004</v>
      </c>
      <c r="N2510" s="5">
        <v>159400000</v>
      </c>
      <c r="O2510" s="5">
        <v>162400000</v>
      </c>
      <c r="P2510" s="3">
        <v>0.97916666666666663</v>
      </c>
    </row>
    <row r="2511" spans="1:16" x14ac:dyDescent="0.25">
      <c r="A2511" t="s">
        <v>1537</v>
      </c>
      <c r="B2511" s="2">
        <v>46017</v>
      </c>
      <c r="C2511" t="str">
        <f>+"Tuáº§n "&amp;WEEKNUM(B2511)</f>
        <v>Tuáº§n 52</v>
      </c>
      <c r="D2511" t="s">
        <v>21</v>
      </c>
      <c r="E2511" t="s">
        <v>17</v>
      </c>
      <c r="F2511" s="5">
        <v>160700000</v>
      </c>
      <c r="G2511" s="5">
        <v>163700000</v>
      </c>
      <c r="H2511" s="5">
        <f>+(M2511*26000)/0.829426</f>
        <v>141973605.84307703</v>
      </c>
      <c r="I2511" s="5">
        <f>+G2511-H2511</f>
        <v>21726394.156922966</v>
      </c>
      <c r="J2511" s="5">
        <v>3000000</v>
      </c>
      <c r="K2511" s="5">
        <v>16070000</v>
      </c>
      <c r="L2511" s="5">
        <v>16370000</v>
      </c>
      <c r="M2511" s="7">
        <v>4529.1000000000004</v>
      </c>
      <c r="N2511" s="5">
        <v>161200000</v>
      </c>
      <c r="O2511" s="5">
        <v>164200000</v>
      </c>
      <c r="P2511" s="3">
        <v>0.97916666666666663</v>
      </c>
    </row>
    <row r="2512" spans="1:16" x14ac:dyDescent="0.25">
      <c r="A2512" t="s">
        <v>1538</v>
      </c>
      <c r="B2512" s="2">
        <v>46020</v>
      </c>
      <c r="C2512" t="str">
        <f>+"Tuáº§n "&amp;WEEKNUM(B2512)</f>
        <v>Tuáº§n 53</v>
      </c>
      <c r="D2512" t="s">
        <v>16</v>
      </c>
      <c r="E2512" t="s">
        <v>17</v>
      </c>
      <c r="F2512" s="5">
        <v>153300000</v>
      </c>
      <c r="G2512" s="5">
        <v>156300000</v>
      </c>
      <c r="H2512" s="5">
        <f>+(M2512*26000)/0.829426</f>
        <v>135578821.98050219</v>
      </c>
      <c r="I2512" s="5">
        <f>+G2512-H2512</f>
        <v>20721178.019497812</v>
      </c>
      <c r="J2512" s="5">
        <v>3000000</v>
      </c>
      <c r="K2512" s="5">
        <v>15330000</v>
      </c>
      <c r="L2512" s="5">
        <v>15630000</v>
      </c>
      <c r="M2512" s="7">
        <v>4325.1000000000004</v>
      </c>
      <c r="N2512" s="5">
        <v>153800000</v>
      </c>
      <c r="O2512" s="5">
        <v>156800000</v>
      </c>
      <c r="P2512" s="3">
        <v>0.97916666666666663</v>
      </c>
    </row>
    <row r="2513" spans="1:16" x14ac:dyDescent="0.25">
      <c r="A2513" t="s">
        <v>1539</v>
      </c>
      <c r="B2513" s="2">
        <v>46021</v>
      </c>
      <c r="C2513" t="str">
        <f>+"Tuáº§n "&amp;WEEKNUM(B2513)</f>
        <v>Tuáº§n 53</v>
      </c>
      <c r="D2513" t="s">
        <v>18</v>
      </c>
      <c r="E2513" t="s">
        <v>17</v>
      </c>
      <c r="F2513" s="5">
        <v>154900000</v>
      </c>
      <c r="G2513" s="5">
        <v>157900000</v>
      </c>
      <c r="H2513" s="5">
        <f>+(M2513*26000)/0.829426</f>
        <v>136989436.06783488</v>
      </c>
      <c r="I2513" s="5">
        <f>+G2513-H2513</f>
        <v>20910563.932165116</v>
      </c>
      <c r="J2513" s="5">
        <v>3000000</v>
      </c>
      <c r="K2513" s="5">
        <v>15490000</v>
      </c>
      <c r="L2513" s="5">
        <v>15790000</v>
      </c>
      <c r="M2513" s="7">
        <v>4370.1000000000004</v>
      </c>
      <c r="N2513" s="5">
        <v>155400000</v>
      </c>
      <c r="O2513" s="5">
        <v>158400000</v>
      </c>
      <c r="P2513" s="3">
        <v>0.97916666666666663</v>
      </c>
    </row>
    <row r="2514" spans="1:16" x14ac:dyDescent="0.25">
      <c r="A2514" t="s">
        <v>1540</v>
      </c>
      <c r="B2514" s="2">
        <v>46022</v>
      </c>
      <c r="C2514" t="str">
        <f>+"Tuáº§n "&amp;WEEKNUM(B2514)</f>
        <v>Tuáº§n 53</v>
      </c>
      <c r="D2514" t="s">
        <v>19</v>
      </c>
      <c r="E2514" t="s">
        <v>17</v>
      </c>
      <c r="F2514" s="5">
        <v>153300000</v>
      </c>
      <c r="G2514" s="5">
        <v>156300000</v>
      </c>
      <c r="H2514" s="5">
        <f>+(M2514*26000)/0.829426</f>
        <v>135594495.47036144</v>
      </c>
      <c r="I2514" s="5">
        <f>+G2514-H2514</f>
        <v>20705504.529638559</v>
      </c>
      <c r="J2514" s="5">
        <v>3000000</v>
      </c>
      <c r="K2514" s="5">
        <v>15330000</v>
      </c>
      <c r="L2514" s="5">
        <v>15630000</v>
      </c>
      <c r="M2514" s="7">
        <v>4325.6000000000004</v>
      </c>
      <c r="N2514" s="5">
        <v>153800000</v>
      </c>
      <c r="O2514" s="5">
        <v>156800000</v>
      </c>
      <c r="P2514" s="3">
        <v>0.97916666666666663</v>
      </c>
    </row>
    <row r="2515" spans="1:16" x14ac:dyDescent="0.25">
      <c r="A2515" s="2">
        <v>46054</v>
      </c>
      <c r="B2515" s="2">
        <v>46024</v>
      </c>
      <c r="C2515" t="str">
        <f>+"Tuáº§n "&amp;WEEKNUM(B2515)</f>
        <v>Tuáº§n 1</v>
      </c>
      <c r="D2515" t="s">
        <v>21</v>
      </c>
      <c r="E2515" t="s">
        <v>17</v>
      </c>
      <c r="F2515" s="5">
        <v>145900000</v>
      </c>
      <c r="G2515" s="5">
        <v>148900000</v>
      </c>
      <c r="H2515" s="5">
        <f>+(M2515*26000)/0.829426</f>
        <v>135494185.13526219</v>
      </c>
      <c r="I2515" s="5">
        <f>+G2515-H2515</f>
        <v>13405814.864737809</v>
      </c>
      <c r="J2515" s="5">
        <v>3000000</v>
      </c>
      <c r="K2515" s="5">
        <v>14590000</v>
      </c>
      <c r="L2515" s="5">
        <v>14890000</v>
      </c>
      <c r="M2515" s="7">
        <v>4322.3999999999996</v>
      </c>
      <c r="N2515" s="5">
        <v>0</v>
      </c>
      <c r="O2515" s="5">
        <v>0</v>
      </c>
      <c r="P2515" s="3">
        <v>0.97916666666666663</v>
      </c>
    </row>
    <row r="2516" spans="1:16" x14ac:dyDescent="0.25">
      <c r="A2516" s="2">
        <v>46143</v>
      </c>
      <c r="B2516" s="2">
        <v>46027</v>
      </c>
      <c r="C2516" t="str">
        <f>+"Tuáº§n "&amp;WEEKNUM(B2516)</f>
        <v>Tuáº§n 2</v>
      </c>
      <c r="D2516" t="s">
        <v>16</v>
      </c>
      <c r="E2516" t="s">
        <v>17</v>
      </c>
      <c r="F2516" s="5">
        <v>149900000</v>
      </c>
      <c r="G2516" s="5">
        <v>152900000</v>
      </c>
      <c r="H2516" s="5">
        <f>+(M2516*26000)/0.829426</f>
        <v>139280900.28525752</v>
      </c>
      <c r="I2516" s="5">
        <f>+G2516-H2516</f>
        <v>13619099.714742482</v>
      </c>
      <c r="J2516" s="5">
        <v>3000000</v>
      </c>
      <c r="K2516" s="5">
        <v>14990000</v>
      </c>
      <c r="L2516" s="5">
        <v>15290000</v>
      </c>
      <c r="M2516" s="7">
        <v>4443.2</v>
      </c>
      <c r="N2516" s="5">
        <v>0</v>
      </c>
      <c r="O2516" s="5">
        <v>0</v>
      </c>
      <c r="P2516" s="3">
        <v>0.97916666666666663</v>
      </c>
    </row>
    <row r="2517" spans="1:16" x14ac:dyDescent="0.25">
      <c r="A2517" s="2">
        <v>46174</v>
      </c>
      <c r="B2517" s="2">
        <v>46028</v>
      </c>
      <c r="C2517" t="str">
        <f>+"Tuáº§n "&amp;WEEKNUM(B2517)</f>
        <v>Tuáº§n 2</v>
      </c>
      <c r="D2517" t="s">
        <v>18</v>
      </c>
      <c r="E2517" t="s">
        <v>17</v>
      </c>
      <c r="F2517" s="5">
        <v>151000000</v>
      </c>
      <c r="G2517" s="5">
        <v>154000000</v>
      </c>
      <c r="H2517" s="5">
        <f>+(M2517*26000)/0.829426</f>
        <v>140575530.54763174</v>
      </c>
      <c r="I2517" s="5">
        <f>+G2517-H2517</f>
        <v>13424469.452368259</v>
      </c>
      <c r="J2517" s="5">
        <v>3000000</v>
      </c>
      <c r="K2517" s="5">
        <v>15100000</v>
      </c>
      <c r="L2517" s="5">
        <v>15400000</v>
      </c>
      <c r="M2517" s="7">
        <v>4484.5</v>
      </c>
      <c r="N2517" s="5">
        <v>0</v>
      </c>
      <c r="O2517" s="5">
        <v>0</v>
      </c>
      <c r="P2517" s="3">
        <v>0.97916666666666663</v>
      </c>
    </row>
    <row r="2518" spans="1:16" x14ac:dyDescent="0.25">
      <c r="A2518" s="2">
        <v>46204</v>
      </c>
      <c r="B2518" s="2">
        <v>46029</v>
      </c>
      <c r="C2518" t="str">
        <f>+"Tuáº§n "&amp;WEEKNUM(B2518)</f>
        <v>Tuáº§n 2</v>
      </c>
      <c r="D2518" t="s">
        <v>19</v>
      </c>
      <c r="E2518" t="s">
        <v>17</v>
      </c>
      <c r="F2518" s="5">
        <v>152100000</v>
      </c>
      <c r="G2518" s="5">
        <v>154600000</v>
      </c>
      <c r="H2518" s="5">
        <f>+(M2518*26000)/0.829426</f>
        <v>139738566.18914768</v>
      </c>
      <c r="I2518" s="5">
        <f>+G2518-H2518</f>
        <v>14861433.810852319</v>
      </c>
      <c r="J2518" s="5">
        <v>2500000</v>
      </c>
      <c r="K2518" s="5">
        <v>15210000</v>
      </c>
      <c r="L2518" s="5">
        <v>15460000</v>
      </c>
      <c r="M2518" s="7">
        <v>4457.8</v>
      </c>
      <c r="N2518" s="5">
        <v>0</v>
      </c>
      <c r="O2518" s="5">
        <v>0</v>
      </c>
      <c r="P2518" s="3">
        <v>0.97916666666666663</v>
      </c>
    </row>
    <row r="2519" spans="1:16" x14ac:dyDescent="0.25">
      <c r="A2519" s="2">
        <v>46235</v>
      </c>
      <c r="B2519" s="2">
        <v>46030</v>
      </c>
      <c r="C2519" t="str">
        <f>+"Tuáº§n "&amp;WEEKNUM(B2519)</f>
        <v>Tuáº§n 2</v>
      </c>
      <c r="D2519" t="s">
        <v>20</v>
      </c>
      <c r="E2519" t="s">
        <v>17</v>
      </c>
      <c r="F2519" s="5">
        <v>151900000</v>
      </c>
      <c r="G2519" s="5">
        <v>154400000</v>
      </c>
      <c r="H2519" s="5">
        <f>+(M2519*26000)/0.829426</f>
        <v>139688411.02159807</v>
      </c>
      <c r="I2519" s="5">
        <f>+G2519-H2519</f>
        <v>14711588.978401929</v>
      </c>
      <c r="J2519" s="5">
        <v>2500000</v>
      </c>
      <c r="K2519" s="5">
        <v>15190000</v>
      </c>
      <c r="L2519" s="5">
        <v>15440000</v>
      </c>
      <c r="M2519" s="7">
        <v>4456.2</v>
      </c>
      <c r="N2519" s="5">
        <v>0</v>
      </c>
      <c r="O2519" s="5">
        <v>0</v>
      </c>
      <c r="P2519" s="3">
        <v>0.97916666666666663</v>
      </c>
    </row>
    <row r="2520" spans="1:16" x14ac:dyDescent="0.25">
      <c r="A2520" s="2">
        <v>46266</v>
      </c>
      <c r="B2520" s="2">
        <v>46031</v>
      </c>
      <c r="C2520" t="str">
        <f>+"Tuáº§n "&amp;WEEKNUM(B2520)</f>
        <v>Tuáº§n 2</v>
      </c>
      <c r="D2520" t="s">
        <v>21</v>
      </c>
      <c r="E2520" t="s">
        <v>17</v>
      </c>
      <c r="F2520" s="5">
        <v>152800000</v>
      </c>
      <c r="G2520" s="5">
        <v>155300000</v>
      </c>
      <c r="H2520" s="5">
        <f>+(M2520*26000)/0.829426</f>
        <v>141218143.63186106</v>
      </c>
      <c r="I2520" s="5">
        <f>+G2520-H2520</f>
        <v>14081856.368138939</v>
      </c>
      <c r="J2520" s="5">
        <v>2500000</v>
      </c>
      <c r="K2520" s="5">
        <v>15280000</v>
      </c>
      <c r="L2520" s="5">
        <v>15530000</v>
      </c>
      <c r="M2520" s="7">
        <v>4505</v>
      </c>
      <c r="N2520" s="5">
        <v>0</v>
      </c>
      <c r="O2520" s="5">
        <v>0</v>
      </c>
      <c r="P2520" s="3">
        <v>0.97916666666666663</v>
      </c>
    </row>
    <row r="2521" spans="1:16" x14ac:dyDescent="0.25">
      <c r="A2521" s="2">
        <v>46357</v>
      </c>
      <c r="B2521" s="2">
        <v>46034</v>
      </c>
      <c r="C2521" t="str">
        <f>+"Tuáº§n "&amp;WEEKNUM(B2521)</f>
        <v>Tuáº§n 3</v>
      </c>
      <c r="D2521" t="s">
        <v>16</v>
      </c>
      <c r="E2521" t="s">
        <v>17</v>
      </c>
      <c r="F2521" s="5">
        <v>156500000</v>
      </c>
      <c r="G2521" s="5">
        <v>159000000</v>
      </c>
      <c r="H2521" s="5">
        <f>+(M2521*26000)/0.829426</f>
        <v>144907683.14472902</v>
      </c>
      <c r="I2521" s="5">
        <f>+G2521-H2521</f>
        <v>14092316.855270982</v>
      </c>
      <c r="J2521" s="5">
        <v>2500000</v>
      </c>
      <c r="K2521" s="5">
        <v>15650000</v>
      </c>
      <c r="L2521" s="5">
        <v>15900000</v>
      </c>
      <c r="M2521" s="7">
        <v>4622.7</v>
      </c>
      <c r="N2521" s="5">
        <v>0</v>
      </c>
      <c r="O2521" s="5">
        <v>0</v>
      </c>
      <c r="P2521" s="3">
        <v>0.95833333333333337</v>
      </c>
    </row>
    <row r="2522" spans="1:16" x14ac:dyDescent="0.25">
      <c r="A2522" t="s">
        <v>1541</v>
      </c>
      <c r="B2522" s="2">
        <v>46035</v>
      </c>
      <c r="C2522" t="str">
        <f>+"Tuáº§n "&amp;WEEKNUM(B2522)</f>
        <v>Tuáº§n 3</v>
      </c>
      <c r="D2522" t="s">
        <v>18</v>
      </c>
      <c r="E2522" t="s">
        <v>17</v>
      </c>
      <c r="F2522" s="5">
        <v>156500000</v>
      </c>
      <c r="G2522" s="5">
        <v>159000000</v>
      </c>
      <c r="H2522" s="5">
        <f>+(M2522*26000)/0.829426</f>
        <v>144092661.67204791</v>
      </c>
      <c r="I2522" s="5">
        <f>+G2522-H2522</f>
        <v>14907338.327952087</v>
      </c>
      <c r="J2522" s="5">
        <v>2500000</v>
      </c>
      <c r="K2522" s="5">
        <v>15650000</v>
      </c>
      <c r="L2522" s="5">
        <v>15900000</v>
      </c>
      <c r="M2522" s="7">
        <v>4596.7</v>
      </c>
      <c r="N2522" s="5">
        <v>0</v>
      </c>
      <c r="O2522" s="5">
        <v>0</v>
      </c>
      <c r="P2522" s="3">
        <v>0.97916666666666663</v>
      </c>
    </row>
    <row r="2523" spans="1:16" x14ac:dyDescent="0.25">
      <c r="A2523" t="s">
        <v>1542</v>
      </c>
      <c r="B2523" s="2">
        <v>46036</v>
      </c>
      <c r="C2523" t="str">
        <f>+"Tuáº§n "&amp;WEEKNUM(B2523)</f>
        <v>Tuáº§n 3</v>
      </c>
      <c r="D2523" t="s">
        <v>19</v>
      </c>
      <c r="E2523" t="s">
        <v>17</v>
      </c>
      <c r="F2523" s="5">
        <v>157900000</v>
      </c>
      <c r="G2523" s="5">
        <v>160400000</v>
      </c>
      <c r="H2523" s="5">
        <f>+(M2523*26000)/0.829426</f>
        <v>144892009.65486977</v>
      </c>
      <c r="I2523" s="5">
        <f>+G2523-H2523</f>
        <v>15507990.345130235</v>
      </c>
      <c r="J2523" s="5">
        <v>2500000</v>
      </c>
      <c r="K2523" s="5">
        <v>15790000</v>
      </c>
      <c r="L2523" s="5">
        <v>16040000</v>
      </c>
      <c r="M2523" s="7">
        <v>4622.2</v>
      </c>
      <c r="N2523" s="5">
        <v>0</v>
      </c>
      <c r="O2523" s="5">
        <v>0</v>
      </c>
      <c r="P2523" s="3">
        <v>0.97916666666666663</v>
      </c>
    </row>
    <row r="2524" spans="1:16" x14ac:dyDescent="0.25">
      <c r="A2524" t="s">
        <v>1543</v>
      </c>
      <c r="B2524" s="2">
        <v>46037</v>
      </c>
      <c r="C2524" t="str">
        <f>+"Tuáº§n "&amp;WEEKNUM(B2524)</f>
        <v>Tuáº§n 3</v>
      </c>
      <c r="D2524" t="s">
        <v>20</v>
      </c>
      <c r="E2524" t="s">
        <v>17</v>
      </c>
      <c r="F2524" s="5">
        <v>157200000</v>
      </c>
      <c r="G2524" s="5">
        <v>159700000</v>
      </c>
      <c r="H2524" s="5">
        <f>+(M2524*26000)/0.829426</f>
        <v>144678850.19278392</v>
      </c>
      <c r="I2524" s="5">
        <f>+G2524-H2524</f>
        <v>15021149.807216078</v>
      </c>
      <c r="J2524" s="5">
        <v>2500000</v>
      </c>
      <c r="K2524" s="5">
        <v>15720000</v>
      </c>
      <c r="L2524" s="5">
        <v>15970000</v>
      </c>
      <c r="M2524" s="7">
        <v>4615.3999999999996</v>
      </c>
      <c r="N2524" s="5">
        <v>0</v>
      </c>
      <c r="O2524" s="5">
        <v>0</v>
      </c>
      <c r="P2524" s="3">
        <v>0.97916666666666663</v>
      </c>
    </row>
    <row r="2525" spans="1:16" x14ac:dyDescent="0.25">
      <c r="A2525" t="s">
        <v>1544</v>
      </c>
      <c r="B2525" s="2">
        <v>46038</v>
      </c>
      <c r="C2525" t="str">
        <f>+"Tuáº§n "&amp;WEEKNUM(B2525)</f>
        <v>Tuáº§n 3</v>
      </c>
      <c r="D2525" t="s">
        <v>21</v>
      </c>
      <c r="E2525" t="s">
        <v>17</v>
      </c>
      <c r="F2525" s="5">
        <v>157200000</v>
      </c>
      <c r="G2525" s="5">
        <v>159700000</v>
      </c>
      <c r="H2525" s="5">
        <f>+(M2525*26000)/0.829426</f>
        <v>144017428.9207235</v>
      </c>
      <c r="I2525" s="5">
        <f>+G2525-H2525</f>
        <v>15682571.079276502</v>
      </c>
      <c r="J2525" s="5">
        <v>2500000</v>
      </c>
      <c r="K2525" s="5">
        <v>15720000</v>
      </c>
      <c r="L2525" s="5">
        <v>15970000</v>
      </c>
      <c r="M2525" s="7">
        <v>4594.3</v>
      </c>
      <c r="N2525" s="5">
        <v>0</v>
      </c>
      <c r="O2525" s="5">
        <v>0</v>
      </c>
      <c r="P2525" s="3">
        <v>0.97916666666666663</v>
      </c>
    </row>
    <row r="2526" spans="1:16" x14ac:dyDescent="0.25">
      <c r="A2526" t="s">
        <v>1545</v>
      </c>
      <c r="B2526" s="2">
        <v>46042</v>
      </c>
      <c r="C2526" t="str">
        <f>+"Tuáº§n "&amp;WEEKNUM(B2526)</f>
        <v>Tuáº§n 4</v>
      </c>
      <c r="D2526" t="s">
        <v>18</v>
      </c>
      <c r="E2526" t="s">
        <v>17</v>
      </c>
      <c r="F2526" s="5">
        <v>161000000</v>
      </c>
      <c r="G2526" s="5">
        <v>163500000</v>
      </c>
      <c r="H2526" s="5">
        <f>+(M2526*26000)/0.829426</f>
        <v>148688128.89878061</v>
      </c>
      <c r="I2526" s="5">
        <f>+G2526-H2526</f>
        <v>14811871.101219386</v>
      </c>
      <c r="J2526" s="5">
        <v>2500000</v>
      </c>
      <c r="K2526" s="5">
        <v>16100000</v>
      </c>
      <c r="L2526" s="5">
        <v>16350000</v>
      </c>
      <c r="M2526" s="7">
        <v>4743.3</v>
      </c>
      <c r="N2526" s="5">
        <v>0</v>
      </c>
      <c r="O2526" s="5">
        <v>0</v>
      </c>
      <c r="P2526" s="3">
        <v>0.97916666666666663</v>
      </c>
    </row>
    <row r="2527" spans="1:16" x14ac:dyDescent="0.25">
      <c r="A2527" t="s">
        <v>1546</v>
      </c>
      <c r="B2527" s="2">
        <v>46043</v>
      </c>
      <c r="C2527" t="str">
        <f>+"Tuáº§n "&amp;WEEKNUM(B2527)</f>
        <v>Tuáº§n 4</v>
      </c>
      <c r="D2527" t="s">
        <v>19</v>
      </c>
      <c r="E2527" t="s">
        <v>17</v>
      </c>
      <c r="F2527" s="5">
        <v>165900000</v>
      </c>
      <c r="G2527" s="5">
        <v>168400000</v>
      </c>
      <c r="H2527" s="5">
        <f>+(M2527*26000)/0.829426</f>
        <v>151694304.25378516</v>
      </c>
      <c r="I2527" s="5">
        <f>+G2527-H2527</f>
        <v>16705695.746214837</v>
      </c>
      <c r="J2527" s="5">
        <v>2500000</v>
      </c>
      <c r="K2527" s="5">
        <v>16590000</v>
      </c>
      <c r="L2527" s="5">
        <v>16840000</v>
      </c>
      <c r="M2527" s="7">
        <v>4839.2</v>
      </c>
      <c r="N2527" s="5">
        <v>0</v>
      </c>
      <c r="O2527" s="5">
        <v>0</v>
      </c>
      <c r="P2527" s="3">
        <v>0.97916666666666663</v>
      </c>
    </row>
    <row r="2528" spans="1:16" x14ac:dyDescent="0.25">
      <c r="A2528" t="s">
        <v>1547</v>
      </c>
      <c r="B2528" s="2">
        <v>46044</v>
      </c>
      <c r="C2528" t="str">
        <f>+"Tuáº§n "&amp;WEEKNUM(B2528)</f>
        <v>Tuáº§n 4</v>
      </c>
      <c r="D2528" t="s">
        <v>20</v>
      </c>
      <c r="E2528" t="s">
        <v>17</v>
      </c>
      <c r="F2528" s="5">
        <v>165200000</v>
      </c>
      <c r="G2528" s="5">
        <v>167700000</v>
      </c>
      <c r="H2528" s="5">
        <f>+(M2528*26000)/0.829426</f>
        <v>152948183.44252533</v>
      </c>
      <c r="I2528" s="5">
        <f>+G2528-H2528</f>
        <v>14751816.557474673</v>
      </c>
      <c r="J2528" s="5">
        <v>2500000</v>
      </c>
      <c r="K2528" s="5">
        <v>16520000</v>
      </c>
      <c r="L2528" s="5">
        <v>16770000</v>
      </c>
      <c r="M2528" s="7">
        <v>4879.2</v>
      </c>
      <c r="N2528" s="5">
        <v>0</v>
      </c>
      <c r="O2528" s="5">
        <v>0</v>
      </c>
      <c r="P2528" s="3">
        <v>0.97916666666666663</v>
      </c>
    </row>
    <row r="2529" spans="1:16" x14ac:dyDescent="0.25">
      <c r="A2529" t="s">
        <v>1548</v>
      </c>
      <c r="B2529" s="2">
        <v>46045</v>
      </c>
      <c r="C2529" t="str">
        <f>+"Tuáº§n "&amp;WEEKNUM(B2529)</f>
        <v>Tuáº§n 4</v>
      </c>
      <c r="D2529" t="s">
        <v>21</v>
      </c>
      <c r="E2529" t="s">
        <v>17</v>
      </c>
      <c r="F2529" s="5">
        <v>168300000</v>
      </c>
      <c r="G2529" s="5">
        <v>170800000</v>
      </c>
      <c r="H2529" s="5">
        <f>+(M2529*26000)/0.829426</f>
        <v>156321118.46023637</v>
      </c>
      <c r="I2529" s="5">
        <f>+G2529-H2529</f>
        <v>14478881.539763629</v>
      </c>
      <c r="J2529" s="5">
        <v>2500000</v>
      </c>
      <c r="K2529" s="5">
        <v>16830000</v>
      </c>
      <c r="L2529" s="5">
        <v>17080000</v>
      </c>
      <c r="M2529" s="7">
        <v>4986.8</v>
      </c>
      <c r="N2529" s="5">
        <v>0</v>
      </c>
      <c r="O2529" s="5">
        <v>0</v>
      </c>
      <c r="P2529" s="3">
        <v>0.97916666666666663</v>
      </c>
    </row>
    <row r="2530" spans="1:16" x14ac:dyDescent="0.25">
      <c r="A2530" t="s">
        <v>1549</v>
      </c>
      <c r="B2530" s="2">
        <v>46048</v>
      </c>
      <c r="C2530" t="str">
        <f>+"Tuáº§n "&amp;WEEKNUM(B2530)</f>
        <v>Tuáº§n 5</v>
      </c>
      <c r="D2530" t="s">
        <v>16</v>
      </c>
      <c r="E2530" t="s">
        <v>17</v>
      </c>
      <c r="F2530" s="5">
        <v>173500000</v>
      </c>
      <c r="G2530" s="5">
        <v>176000000</v>
      </c>
      <c r="H2530" s="5">
        <f>+(M2530*26000)/0.829426</f>
        <v>159352371.39901569</v>
      </c>
      <c r="I2530" s="5">
        <f>+G2530-H2530</f>
        <v>16647628.600984305</v>
      </c>
      <c r="J2530" s="5">
        <v>2500000</v>
      </c>
      <c r="K2530" s="5">
        <v>17350000</v>
      </c>
      <c r="L2530" s="5">
        <v>17600000</v>
      </c>
      <c r="M2530" s="7">
        <v>5083.5</v>
      </c>
      <c r="N2530" s="5">
        <v>0</v>
      </c>
      <c r="O2530" s="5">
        <v>0</v>
      </c>
      <c r="P2530" s="3">
        <v>0.97916666666666663</v>
      </c>
    </row>
    <row r="2531" spans="1:16" x14ac:dyDescent="0.25">
      <c r="A2531" t="s">
        <v>1550</v>
      </c>
      <c r="B2531" s="2">
        <v>46049</v>
      </c>
      <c r="C2531" t="str">
        <f>+"Tuáº§n "&amp;WEEKNUM(B2531)</f>
        <v>Tuáº§n 5</v>
      </c>
      <c r="D2531" t="s">
        <v>18</v>
      </c>
      <c r="E2531" t="s">
        <v>17</v>
      </c>
      <c r="F2531" s="5">
        <v>174100000</v>
      </c>
      <c r="G2531" s="5">
        <v>176600000</v>
      </c>
      <c r="H2531" s="5">
        <f>+(M2531*26000)/0.829426</f>
        <v>159759882.13535625</v>
      </c>
      <c r="I2531" s="5">
        <f>+G2531-H2531</f>
        <v>16840117.864643753</v>
      </c>
      <c r="J2531" s="5">
        <v>2500000</v>
      </c>
      <c r="K2531" s="5">
        <v>17410000</v>
      </c>
      <c r="L2531" s="5">
        <v>17660000</v>
      </c>
      <c r="M2531" s="7">
        <v>5096.5</v>
      </c>
      <c r="N2531" s="5">
        <v>0</v>
      </c>
      <c r="O2531" s="5">
        <v>0</v>
      </c>
      <c r="P2531" s="3">
        <v>0.97916666666666663</v>
      </c>
    </row>
    <row r="2532" spans="1:16" x14ac:dyDescent="0.25">
      <c r="A2532" t="s">
        <v>1551</v>
      </c>
      <c r="B2532" s="2">
        <v>46050</v>
      </c>
      <c r="C2532" t="str">
        <f>+"Tuáº§n "&amp;WEEKNUM(B2532)</f>
        <v>Tuáº§n 5</v>
      </c>
      <c r="D2532" t="s">
        <v>19</v>
      </c>
      <c r="E2532" t="s">
        <v>17</v>
      </c>
      <c r="F2532" s="5">
        <v>180700000</v>
      </c>
      <c r="G2532" s="5">
        <v>183700000</v>
      </c>
      <c r="H2532" s="5">
        <f>+(M2532*26000)/0.829426</f>
        <v>165762828.75144979</v>
      </c>
      <c r="I2532" s="5">
        <f>+G2532-H2532</f>
        <v>17937171.248550206</v>
      </c>
      <c r="J2532" s="5">
        <v>3000000</v>
      </c>
      <c r="K2532" s="5">
        <v>18070000</v>
      </c>
      <c r="L2532" s="5">
        <v>18370000</v>
      </c>
      <c r="M2532" s="7">
        <v>5288</v>
      </c>
      <c r="N2532" s="5">
        <v>0</v>
      </c>
      <c r="O2532" s="5">
        <v>0</v>
      </c>
      <c r="P2532" s="3">
        <v>0.97916666666666663</v>
      </c>
    </row>
    <row r="2533" spans="1:16" x14ac:dyDescent="0.25">
      <c r="A2533" t="s">
        <v>1552</v>
      </c>
      <c r="B2533" s="2">
        <v>46051</v>
      </c>
      <c r="C2533" t="str">
        <f>+"Tuáº§n "&amp;WEEKNUM(B2533)</f>
        <v>Tuáº§n 5</v>
      </c>
      <c r="D2533" t="s">
        <v>20</v>
      </c>
      <c r="E2533" t="s">
        <v>17</v>
      </c>
      <c r="F2533" s="5">
        <v>186300000</v>
      </c>
      <c r="G2533" s="5">
        <v>189300000</v>
      </c>
      <c r="H2533" s="5">
        <f>+(M2533*26000)/0.829426</f>
        <v>165853734.99263346</v>
      </c>
      <c r="I2533" s="5">
        <f>+G2533-H2533</f>
        <v>23446265.007366538</v>
      </c>
      <c r="J2533" s="5">
        <v>3000000</v>
      </c>
      <c r="K2533" s="5">
        <v>18630000</v>
      </c>
      <c r="L2533" s="5">
        <v>18930000</v>
      </c>
      <c r="M2533" s="7">
        <v>5290.9</v>
      </c>
      <c r="N2533" s="5">
        <v>0</v>
      </c>
      <c r="O2533" s="5">
        <v>0</v>
      </c>
      <c r="P2533" s="3">
        <v>0.97916666666666663</v>
      </c>
    </row>
    <row r="2534" spans="1:16" x14ac:dyDescent="0.25">
      <c r="A2534" t="s">
        <v>1553</v>
      </c>
      <c r="B2534" s="2">
        <v>46052</v>
      </c>
      <c r="C2534" t="str">
        <f>+"Tuáº§n "&amp;WEEKNUM(B2534)</f>
        <v>Tuáº§n 5</v>
      </c>
      <c r="D2534" t="s">
        <v>21</v>
      </c>
      <c r="E2534" t="s">
        <v>17</v>
      </c>
      <c r="F2534" s="5">
        <v>177000000</v>
      </c>
      <c r="G2534" s="5">
        <v>180000000</v>
      </c>
      <c r="H2534" s="5">
        <f>+(M2534*26000)/0.829426</f>
        <v>156794457.85398576</v>
      </c>
      <c r="I2534" s="5">
        <f>+G2534-H2534</f>
        <v>23205542.146014243</v>
      </c>
      <c r="J2534" s="5">
        <v>3000000</v>
      </c>
      <c r="K2534" s="5">
        <v>17700000</v>
      </c>
      <c r="L2534" s="5">
        <v>18000000</v>
      </c>
      <c r="M2534" s="7">
        <v>5001.8999999999996</v>
      </c>
      <c r="N2534" s="5">
        <v>0</v>
      </c>
      <c r="O2534" s="5">
        <v>0</v>
      </c>
      <c r="P2534" s="3">
        <v>0.97916666666666663</v>
      </c>
    </row>
    <row r="2535" spans="1:16" x14ac:dyDescent="0.25">
      <c r="A2535" s="2">
        <v>46055</v>
      </c>
      <c r="B2535" s="2">
        <v>46055</v>
      </c>
      <c r="C2535" t="str">
        <f>+"Tuáº§n "&amp;WEEKNUM(B2535)</f>
        <v>Tuáº§n 6</v>
      </c>
      <c r="D2535" t="s">
        <v>16</v>
      </c>
      <c r="E2535" t="s">
        <v>17</v>
      </c>
      <c r="F2535" s="5">
        <v>162500000</v>
      </c>
      <c r="G2535" s="5">
        <v>165500000</v>
      </c>
      <c r="H2535" s="5">
        <f>+(M2535*26000)/0.829426</f>
        <v>146308893.13814613</v>
      </c>
      <c r="I2535" s="5">
        <f>+G2535-H2535</f>
        <v>19191106.861853868</v>
      </c>
      <c r="J2535" s="5">
        <v>3000000</v>
      </c>
      <c r="K2535" s="5">
        <v>16250000</v>
      </c>
      <c r="L2535" s="5">
        <v>16550000</v>
      </c>
      <c r="M2535" s="7">
        <v>4667.3999999999996</v>
      </c>
      <c r="N2535" s="5">
        <v>0</v>
      </c>
      <c r="O2535" s="5">
        <v>0</v>
      </c>
      <c r="P2535" s="3">
        <v>0.97916666666666663</v>
      </c>
    </row>
    <row r="2536" spans="1:16" x14ac:dyDescent="0.25">
      <c r="A2536" s="2">
        <v>46083</v>
      </c>
      <c r="B2536" s="2">
        <v>46056</v>
      </c>
      <c r="C2536" t="str">
        <f>+"Tuáº§n "&amp;WEEKNUM(B2536)</f>
        <v>Tuáº§n 6</v>
      </c>
      <c r="D2536" t="s">
        <v>18</v>
      </c>
      <c r="E2536" t="s">
        <v>17</v>
      </c>
      <c r="F2536" s="5">
        <v>171500000</v>
      </c>
      <c r="G2536" s="5">
        <v>174500000</v>
      </c>
      <c r="H2536" s="5">
        <f>+(M2536*26000)/0.829426</f>
        <v>156089150.81031939</v>
      </c>
      <c r="I2536" s="5">
        <f>+G2536-H2536</f>
        <v>18410849.189680606</v>
      </c>
      <c r="J2536" s="5">
        <v>3000000</v>
      </c>
      <c r="K2536" s="5">
        <v>17150000</v>
      </c>
      <c r="L2536" s="5">
        <v>17450000</v>
      </c>
      <c r="M2536" s="7">
        <v>4979.3999999999996</v>
      </c>
      <c r="N2536" s="5">
        <v>0</v>
      </c>
      <c r="O2536" s="5">
        <v>0</v>
      </c>
      <c r="P2536" s="3">
        <v>0.97916666666666663</v>
      </c>
    </row>
    <row r="2537" spans="1:16" x14ac:dyDescent="0.25">
      <c r="A2537" s="2">
        <v>46114</v>
      </c>
      <c r="B2537" s="2">
        <v>46057</v>
      </c>
      <c r="C2537" t="str">
        <f>+"Tuáº§n "&amp;WEEKNUM(B2537)</f>
        <v>Tuáº§n 6</v>
      </c>
      <c r="D2537" t="s">
        <v>19</v>
      </c>
      <c r="E2537" t="s">
        <v>17</v>
      </c>
      <c r="F2537" s="5">
        <v>176700000</v>
      </c>
      <c r="G2537" s="5">
        <v>179700000</v>
      </c>
      <c r="H2537" s="5">
        <f>+(M2537*26000)/0.829426</f>
        <v>154308642.36230841</v>
      </c>
      <c r="I2537" s="5">
        <f>+G2537-H2537</f>
        <v>25391357.637691587</v>
      </c>
      <c r="J2537" s="5">
        <v>3000000</v>
      </c>
      <c r="K2537" s="5">
        <v>17670000</v>
      </c>
      <c r="L2537" s="5">
        <v>17970000</v>
      </c>
      <c r="M2537" s="7">
        <v>4922.6000000000004</v>
      </c>
      <c r="N2537" s="5">
        <v>0</v>
      </c>
      <c r="O2537" s="5">
        <v>0</v>
      </c>
      <c r="P2537" s="3">
        <v>0.97916666666666663</v>
      </c>
    </row>
    <row r="2538" spans="1:16" x14ac:dyDescent="0.25">
      <c r="A2538" s="2">
        <v>46144</v>
      </c>
      <c r="B2538" s="2">
        <v>46058</v>
      </c>
      <c r="C2538" t="str">
        <f>+"Tuáº§n "&amp;WEEKNUM(B2538)</f>
        <v>Tuáº§n 6</v>
      </c>
      <c r="D2538" t="s">
        <v>20</v>
      </c>
      <c r="E2538" t="s">
        <v>17</v>
      </c>
      <c r="F2538" s="5">
        <v>171500000</v>
      </c>
      <c r="G2538" s="5">
        <v>174500000</v>
      </c>
      <c r="H2538" s="5">
        <f>+(M2538*26000)/0.829426</f>
        <v>152211529.41914046</v>
      </c>
      <c r="I2538" s="5">
        <f>+G2538-H2538</f>
        <v>22288470.580859542</v>
      </c>
      <c r="J2538" s="5">
        <v>3000000</v>
      </c>
      <c r="K2538" s="5">
        <v>17150000</v>
      </c>
      <c r="L2538" s="5">
        <v>17450000</v>
      </c>
      <c r="M2538" s="7">
        <v>4855.7</v>
      </c>
      <c r="N2538" s="5">
        <v>0</v>
      </c>
      <c r="O2538" s="5">
        <v>0</v>
      </c>
      <c r="P2538" s="3">
        <v>0.97916666666666663</v>
      </c>
    </row>
    <row r="2539" spans="1:16" x14ac:dyDescent="0.25">
      <c r="A2539" s="2">
        <v>46175</v>
      </c>
      <c r="B2539" s="2">
        <v>46059</v>
      </c>
      <c r="C2539" t="str">
        <f>+"Tuáº§n "&amp;WEEKNUM(B2539)</f>
        <v>Tuáº§n 6</v>
      </c>
      <c r="D2539" t="s">
        <v>21</v>
      </c>
      <c r="E2539" t="s">
        <v>17</v>
      </c>
      <c r="F2539" s="5">
        <v>173000000</v>
      </c>
      <c r="G2539" s="5">
        <v>176000000</v>
      </c>
      <c r="H2539" s="5">
        <f>+(M2539*26000)/0.829426</f>
        <v>154835271.62157923</v>
      </c>
      <c r="I2539" s="5">
        <f>+G2539-H2539</f>
        <v>21164728.37842077</v>
      </c>
      <c r="J2539" s="5">
        <v>3000000</v>
      </c>
      <c r="K2539" s="5">
        <v>17300000</v>
      </c>
      <c r="L2539" s="5">
        <v>17600000</v>
      </c>
      <c r="M2539" s="7">
        <v>4939.3999999999996</v>
      </c>
      <c r="N2539" s="5">
        <v>0</v>
      </c>
      <c r="O2539" s="5">
        <v>0</v>
      </c>
      <c r="P2539" s="3">
        <v>0.97916666666666663</v>
      </c>
    </row>
    <row r="2540" spans="1:16" x14ac:dyDescent="0.25">
      <c r="A2540" s="2">
        <v>46267</v>
      </c>
      <c r="B2540" s="2">
        <v>46062</v>
      </c>
      <c r="C2540" t="str">
        <f>+"Tuáº§n "&amp;WEEKNUM(B2540)</f>
        <v>Tuáº§n 7</v>
      </c>
      <c r="D2540" t="s">
        <v>16</v>
      </c>
      <c r="E2540" t="s">
        <v>17</v>
      </c>
      <c r="F2540" s="5">
        <v>176900000</v>
      </c>
      <c r="G2540" s="5">
        <v>179900000</v>
      </c>
      <c r="H2540" s="5">
        <f>+(M2540*26000)/0.829426</f>
        <v>159085922.07140842</v>
      </c>
      <c r="I2540" s="5">
        <f>+G2540-H2540</f>
        <v>20814077.928591579</v>
      </c>
      <c r="J2540" s="5">
        <v>3000000</v>
      </c>
      <c r="K2540" s="5">
        <v>17690000</v>
      </c>
      <c r="L2540" s="5">
        <v>17990000</v>
      </c>
      <c r="M2540" s="7">
        <v>5075</v>
      </c>
      <c r="N2540" s="5">
        <v>0</v>
      </c>
      <c r="O2540" s="5">
        <v>0</v>
      </c>
      <c r="P2540" s="3">
        <v>0.97916666666666663</v>
      </c>
    </row>
    <row r="2541" spans="1:16" x14ac:dyDescent="0.25">
      <c r="A2541" s="2">
        <v>46297</v>
      </c>
      <c r="B2541" s="2">
        <v>46063</v>
      </c>
      <c r="C2541" t="str">
        <f>+"Tuáº§n "&amp;WEEKNUM(B2541)</f>
        <v>Tuáº§n 7</v>
      </c>
      <c r="D2541" t="s">
        <v>18</v>
      </c>
      <c r="E2541" t="s">
        <v>17</v>
      </c>
      <c r="F2541" s="5">
        <v>177500000</v>
      </c>
      <c r="G2541" s="5">
        <v>180500000</v>
      </c>
      <c r="H2541" s="5">
        <f>+(M2541*26000)/0.829426</f>
        <v>157302278.92542556</v>
      </c>
      <c r="I2541" s="5">
        <f>+G2541-H2541</f>
        <v>23197721.074574441</v>
      </c>
      <c r="J2541" s="5">
        <v>3000000</v>
      </c>
      <c r="K2541" s="5">
        <v>17750000</v>
      </c>
      <c r="L2541" s="5">
        <v>18050000</v>
      </c>
      <c r="M2541" s="7">
        <v>5018.1000000000004</v>
      </c>
      <c r="N2541" s="5">
        <v>0</v>
      </c>
      <c r="O2541" s="5">
        <v>0</v>
      </c>
      <c r="P2541" s="3">
        <v>0.97916666666666663</v>
      </c>
    </row>
    <row r="2542" spans="1:16" x14ac:dyDescent="0.25">
      <c r="A2542" s="2">
        <v>46328</v>
      </c>
      <c r="B2542" s="2">
        <v>46064</v>
      </c>
      <c r="C2542" t="str">
        <f>+"Tuáº§n "&amp;WEEKNUM(B2542)</f>
        <v>Tuáº§n 7</v>
      </c>
      <c r="D2542" t="s">
        <v>19</v>
      </c>
      <c r="E2542" t="s">
        <v>17</v>
      </c>
      <c r="F2542" s="5">
        <v>177500000</v>
      </c>
      <c r="G2542" s="5">
        <v>180500000</v>
      </c>
      <c r="H2542" s="5">
        <f>+(M2542*26000)/0.829426</f>
        <v>158656468.44926491</v>
      </c>
      <c r="I2542" s="5">
        <f>+G2542-H2542</f>
        <v>21843531.550735086</v>
      </c>
      <c r="J2542" s="5">
        <v>3000000</v>
      </c>
      <c r="K2542" s="5">
        <v>17750000</v>
      </c>
      <c r="L2542" s="5">
        <v>18050000</v>
      </c>
      <c r="M2542" s="7">
        <v>5061.3</v>
      </c>
      <c r="N2542" s="5">
        <v>0</v>
      </c>
      <c r="O2542" s="5">
        <v>0</v>
      </c>
      <c r="P2542" s="3">
        <v>0.97916666666666663</v>
      </c>
    </row>
    <row r="2543" spans="1:16" x14ac:dyDescent="0.25">
      <c r="A2543" s="2">
        <v>46358</v>
      </c>
      <c r="B2543" s="2">
        <v>46065</v>
      </c>
      <c r="C2543" t="str">
        <f>+"Tuáº§n "&amp;WEEKNUM(B2543)</f>
        <v>Tuáº§n 7</v>
      </c>
      <c r="D2543" t="s">
        <v>20</v>
      </c>
      <c r="E2543" t="s">
        <v>17</v>
      </c>
      <c r="F2543" s="5">
        <v>177500000</v>
      </c>
      <c r="G2543" s="5">
        <v>180500000</v>
      </c>
      <c r="H2543" s="5">
        <f>+(M2543*26000)/0.829426</f>
        <v>153129995.92489263</v>
      </c>
      <c r="I2543" s="5">
        <f>+G2543-H2543</f>
        <v>27370004.075107366</v>
      </c>
      <c r="J2543" s="5">
        <v>3000000</v>
      </c>
      <c r="K2543" s="5">
        <v>17750000</v>
      </c>
      <c r="L2543" s="5">
        <v>18050000</v>
      </c>
      <c r="M2543" s="7">
        <v>4885</v>
      </c>
      <c r="N2543" s="5">
        <v>0</v>
      </c>
      <c r="O2543" s="5">
        <v>0</v>
      </c>
      <c r="P2543" s="3">
        <v>0.97916666666666663</v>
      </c>
    </row>
    <row r="2544" spans="1:16" x14ac:dyDescent="0.25">
      <c r="A2544" t="s">
        <v>1554</v>
      </c>
      <c r="B2544" s="2">
        <v>46066</v>
      </c>
      <c r="C2544" t="str">
        <f>+"Tuáº§n "&amp;WEEKNUM(B2544)</f>
        <v>Tuáº§n 7</v>
      </c>
      <c r="D2544" t="s">
        <v>21</v>
      </c>
      <c r="E2544" t="s">
        <v>17</v>
      </c>
      <c r="F2544" s="5">
        <v>175500000</v>
      </c>
      <c r="G2544" s="5">
        <v>178500000</v>
      </c>
      <c r="H2544" s="5">
        <f>+(M2544*26000)/0.829426</f>
        <v>157509168.99156767</v>
      </c>
      <c r="I2544" s="5">
        <f>+G2544-H2544</f>
        <v>20990831.008432329</v>
      </c>
      <c r="J2544" s="5">
        <v>3000000</v>
      </c>
      <c r="K2544" s="5">
        <v>17550000</v>
      </c>
      <c r="L2544" s="5">
        <v>17850000</v>
      </c>
      <c r="M2544" s="7">
        <v>5024.7</v>
      </c>
      <c r="N2544" s="5">
        <v>0</v>
      </c>
      <c r="O2544" s="5">
        <v>0</v>
      </c>
      <c r="P2544" s="3">
        <v>0.97916666666666663</v>
      </c>
    </row>
    <row r="2545" spans="1:16" x14ac:dyDescent="0.25">
      <c r="A2545" t="s">
        <v>1555</v>
      </c>
      <c r="B2545" s="2">
        <v>46070</v>
      </c>
      <c r="C2545" t="str">
        <f>+"Tuáº§n "&amp;WEEKNUM(B2545)</f>
        <v>Tuáº§n 8</v>
      </c>
      <c r="D2545" t="s">
        <v>18</v>
      </c>
      <c r="E2545" t="s">
        <v>17</v>
      </c>
      <c r="F2545" s="5">
        <v>177500000</v>
      </c>
      <c r="G2545" s="5">
        <v>180500000</v>
      </c>
      <c r="H2545" s="5">
        <f>+(M2545*26000)/0.829426</f>
        <v>153189555.18635777</v>
      </c>
      <c r="I2545" s="5">
        <f>+G2545-H2545</f>
        <v>27310444.813642234</v>
      </c>
      <c r="J2545" s="5">
        <v>3000000</v>
      </c>
      <c r="K2545" s="5">
        <v>17750000</v>
      </c>
      <c r="L2545" s="5">
        <v>18050000</v>
      </c>
      <c r="M2545" s="7">
        <v>4886.8999999999996</v>
      </c>
      <c r="N2545" s="5">
        <v>0</v>
      </c>
      <c r="O2545" s="5">
        <v>0</v>
      </c>
      <c r="P2545" s="3">
        <v>0.97916666666666663</v>
      </c>
    </row>
    <row r="2546" spans="1:16" x14ac:dyDescent="0.25">
      <c r="A2546" t="s">
        <v>1556</v>
      </c>
      <c r="B2546" s="2">
        <v>46071</v>
      </c>
      <c r="C2546" t="str">
        <f>+"Tuáº§n "&amp;WEEKNUM(B2546)</f>
        <v>Tuáº§n 8</v>
      </c>
      <c r="D2546" t="s">
        <v>19</v>
      </c>
      <c r="E2546" t="s">
        <v>17</v>
      </c>
      <c r="F2546" s="5">
        <v>177500000</v>
      </c>
      <c r="G2546" s="5">
        <v>180500000</v>
      </c>
      <c r="H2546" s="5">
        <f>+(M2546*26000)/0.829426</f>
        <v>156600106.57973105</v>
      </c>
      <c r="I2546" s="5">
        <f>+G2546-H2546</f>
        <v>23899893.420268953</v>
      </c>
      <c r="J2546" s="5">
        <v>3000000</v>
      </c>
      <c r="K2546" s="5">
        <v>17750000</v>
      </c>
      <c r="L2546" s="5">
        <v>18050000</v>
      </c>
      <c r="M2546" s="7">
        <v>4995.7</v>
      </c>
      <c r="N2546" s="5">
        <v>0</v>
      </c>
      <c r="O2546" s="5">
        <v>0</v>
      </c>
      <c r="P2546" s="3">
        <v>0.97916666666666663</v>
      </c>
    </row>
    <row r="2547" spans="1:16" x14ac:dyDescent="0.25">
      <c r="A2547" t="s">
        <v>1557</v>
      </c>
      <c r="B2547" s="2">
        <v>46072</v>
      </c>
      <c r="C2547" t="str">
        <f>+"Tuáº§n "&amp;WEEKNUM(B2547)</f>
        <v>Tuáº§n 8</v>
      </c>
      <c r="D2547" t="s">
        <v>20</v>
      </c>
      <c r="E2547" t="s">
        <v>17</v>
      </c>
      <c r="F2547" s="5">
        <v>177500000</v>
      </c>
      <c r="G2547" s="5">
        <v>180500000</v>
      </c>
      <c r="H2547" s="5">
        <f>+(M2547*26000)/0.829426</f>
        <v>156712955.70671767</v>
      </c>
      <c r="I2547" s="5">
        <f>+G2547-H2547</f>
        <v>23787044.29328233</v>
      </c>
      <c r="J2547" s="5">
        <v>3000000</v>
      </c>
      <c r="K2547" s="5">
        <v>17750000</v>
      </c>
      <c r="L2547" s="5">
        <v>18050000</v>
      </c>
      <c r="M2547" s="7">
        <v>4999.3</v>
      </c>
      <c r="N2547" s="5">
        <v>0</v>
      </c>
      <c r="O2547" s="5">
        <v>0</v>
      </c>
      <c r="P2547" s="3">
        <v>0.97916666666666663</v>
      </c>
    </row>
    <row r="2548" spans="1:16" x14ac:dyDescent="0.25">
      <c r="A2548" t="s">
        <v>1558</v>
      </c>
      <c r="B2548" s="2">
        <v>46073</v>
      </c>
      <c r="C2548" t="str">
        <f>+"Tuáº§n "&amp;WEEKNUM(B2548)</f>
        <v>Tuáº§n 8</v>
      </c>
      <c r="D2548" t="s">
        <v>21</v>
      </c>
      <c r="E2548" t="s">
        <v>17</v>
      </c>
      <c r="F2548" s="5">
        <v>177500000</v>
      </c>
      <c r="G2548" s="5">
        <v>180500000</v>
      </c>
      <c r="H2548" s="5">
        <f>+(M2548*26000)/0.829426</f>
        <v>158399423.21557319</v>
      </c>
      <c r="I2548" s="5">
        <f>+G2548-H2548</f>
        <v>22100576.784426808</v>
      </c>
      <c r="J2548" s="5">
        <v>3000000</v>
      </c>
      <c r="K2548" s="5">
        <v>17750000</v>
      </c>
      <c r="L2548" s="5">
        <v>18050000</v>
      </c>
      <c r="M2548" s="7">
        <v>5053.1000000000004</v>
      </c>
      <c r="N2548" s="5">
        <v>0</v>
      </c>
      <c r="O2548" s="5">
        <v>0</v>
      </c>
      <c r="P2548" s="3">
        <v>0.97916666666666663</v>
      </c>
    </row>
    <row r="2549" spans="1:16" x14ac:dyDescent="0.25">
      <c r="A2549" t="s">
        <v>1559</v>
      </c>
      <c r="B2549" s="2">
        <v>46076</v>
      </c>
      <c r="C2549" t="str">
        <f>+"Tuáº§n "&amp;WEEKNUM(B2549)</f>
        <v>Tuáº§n 9</v>
      </c>
      <c r="D2549" t="s">
        <v>16</v>
      </c>
      <c r="E2549" t="s">
        <v>17</v>
      </c>
      <c r="F2549" s="5">
        <v>181100000</v>
      </c>
      <c r="G2549" s="5">
        <v>184100000</v>
      </c>
      <c r="H2549" s="5">
        <f>+(M2549*26000)/0.829426</f>
        <v>163549731.9833234</v>
      </c>
      <c r="I2549" s="5">
        <f>+G2549-H2549</f>
        <v>20550268.016676605</v>
      </c>
      <c r="J2549" s="5">
        <v>3000000</v>
      </c>
      <c r="K2549" s="5">
        <v>18110000</v>
      </c>
      <c r="L2549" s="5">
        <v>18410000</v>
      </c>
      <c r="M2549" s="7">
        <v>5217.3999999999996</v>
      </c>
      <c r="N2549" s="5">
        <v>0</v>
      </c>
      <c r="O2549" s="5">
        <v>0</v>
      </c>
      <c r="P2549" s="3">
        <v>0.97916666666666663</v>
      </c>
    </row>
    <row r="2550" spans="1:16" x14ac:dyDescent="0.25">
      <c r="A2550" t="s">
        <v>1560</v>
      </c>
      <c r="B2550" s="2">
        <v>46077</v>
      </c>
      <c r="C2550" t="str">
        <f>+"Tuáº§n "&amp;WEEKNUM(B2550)</f>
        <v>Tuáº§n 9</v>
      </c>
      <c r="D2550" t="s">
        <v>18</v>
      </c>
      <c r="E2550" t="s">
        <v>17</v>
      </c>
      <c r="F2550" s="5">
        <v>181100000</v>
      </c>
      <c r="G2550" s="5">
        <v>184100000</v>
      </c>
      <c r="H2550" s="5">
        <f>+(M2550*26000)/0.829426</f>
        <v>161264537.16184446</v>
      </c>
      <c r="I2550" s="5">
        <f>+G2550-H2550</f>
        <v>22835462.838155538</v>
      </c>
      <c r="J2550" s="5">
        <v>3000000</v>
      </c>
      <c r="K2550" s="5">
        <v>18110000</v>
      </c>
      <c r="L2550" s="5">
        <v>18410000</v>
      </c>
      <c r="M2550" s="7">
        <v>5144.5</v>
      </c>
      <c r="N2550" s="5">
        <v>0</v>
      </c>
      <c r="O2550" s="5">
        <v>0</v>
      </c>
      <c r="P2550" s="3">
        <v>0.97916666666666663</v>
      </c>
    </row>
    <row r="2551" spans="1:16" x14ac:dyDescent="0.25">
      <c r="A2551" t="s">
        <v>1561</v>
      </c>
      <c r="B2551" s="2">
        <v>46078</v>
      </c>
      <c r="C2551" t="str">
        <f>+"Tuáº§n "&amp;WEEKNUM(B2551)</f>
        <v>Tuáº§n 9</v>
      </c>
      <c r="D2551" t="s">
        <v>19</v>
      </c>
      <c r="E2551" t="s">
        <v>17</v>
      </c>
      <c r="F2551" s="5">
        <v>181800000</v>
      </c>
      <c r="G2551" s="5">
        <v>184800000</v>
      </c>
      <c r="H2551" s="5">
        <f>+(M2551*26000)/0.829426</f>
        <v>163114008.96523619</v>
      </c>
      <c r="I2551" s="5">
        <f>+G2551-H2551</f>
        <v>21685991.034763813</v>
      </c>
      <c r="J2551" s="5">
        <v>3000000</v>
      </c>
      <c r="K2551" s="5">
        <v>18180000</v>
      </c>
      <c r="L2551" s="5">
        <v>18480000</v>
      </c>
      <c r="M2551" s="7">
        <v>5203.5</v>
      </c>
      <c r="N2551" s="5">
        <v>0</v>
      </c>
      <c r="O2551" s="5">
        <v>0</v>
      </c>
      <c r="P2551" s="3">
        <v>0.97916666666666663</v>
      </c>
    </row>
    <row r="2552" spans="1:16" x14ac:dyDescent="0.25">
      <c r="A2552" t="s">
        <v>1562</v>
      </c>
      <c r="B2552" s="2">
        <v>46079</v>
      </c>
      <c r="C2552" t="str">
        <f>+"Tuáº§n "&amp;WEEKNUM(B2552)</f>
        <v>Tuáº§n 9</v>
      </c>
      <c r="D2552" t="s">
        <v>20</v>
      </c>
      <c r="E2552" t="s">
        <v>17</v>
      </c>
      <c r="F2552" s="5">
        <v>181000000</v>
      </c>
      <c r="G2552" s="5">
        <v>184000000</v>
      </c>
      <c r="H2552" s="5">
        <f>+(M2552*26000)/0.829426</f>
        <v>162414971.31751356</v>
      </c>
      <c r="I2552" s="5">
        <f>+G2552-H2552</f>
        <v>21585028.682486445</v>
      </c>
      <c r="J2552" s="5">
        <v>3000000</v>
      </c>
      <c r="K2552" s="5">
        <v>18100000</v>
      </c>
      <c r="L2552" s="5">
        <v>18400000</v>
      </c>
      <c r="M2552" s="7">
        <v>5181.2</v>
      </c>
      <c r="N2552" s="5">
        <v>0</v>
      </c>
      <c r="O2552" s="5">
        <v>0</v>
      </c>
      <c r="P2552" s="3">
        <v>0.97916666666666663</v>
      </c>
    </row>
    <row r="2553" spans="1:16" x14ac:dyDescent="0.25">
      <c r="A2553" t="s">
        <v>1563</v>
      </c>
      <c r="B2553" s="2">
        <v>46080</v>
      </c>
      <c r="C2553" t="str">
        <f>+"Tuáº§n "&amp;WEEKNUM(B2553)</f>
        <v>Tuáº§n 9</v>
      </c>
      <c r="D2553" t="s">
        <v>21</v>
      </c>
      <c r="E2553" t="s">
        <v>17</v>
      </c>
      <c r="F2553" s="5">
        <v>180800000</v>
      </c>
      <c r="G2553" s="5">
        <v>183800000</v>
      </c>
      <c r="H2553" s="5">
        <f>+(M2553*26000)/0.829426</f>
        <v>164117112.31622833</v>
      </c>
      <c r="I2553" s="5">
        <f>+G2553-H2553</f>
        <v>19682887.68377167</v>
      </c>
      <c r="J2553" s="5">
        <v>3000000</v>
      </c>
      <c r="K2553" s="5">
        <v>18080000</v>
      </c>
      <c r="L2553" s="5">
        <v>18380000</v>
      </c>
      <c r="M2553" s="7">
        <v>5235.5</v>
      </c>
      <c r="N2553" s="5">
        <v>0</v>
      </c>
      <c r="O2553" s="5">
        <v>0</v>
      </c>
      <c r="P2553" s="3">
        <v>0.97916666666666663</v>
      </c>
    </row>
    <row r="2554" spans="1:16" x14ac:dyDescent="0.25">
      <c r="A2554" s="2">
        <v>46056</v>
      </c>
      <c r="B2554" s="2">
        <v>46083</v>
      </c>
      <c r="C2554" t="str">
        <f>+"Tuáº§n "&amp;WEEKNUM(B2554)</f>
        <v>Tuáº§n 10</v>
      </c>
      <c r="D2554" t="s">
        <v>16</v>
      </c>
      <c r="E2554" t="s">
        <v>17</v>
      </c>
      <c r="F2554" s="5">
        <v>186400000</v>
      </c>
      <c r="G2554" s="5">
        <v>189400000</v>
      </c>
      <c r="H2554" s="5">
        <f>+(M2554*26000)/0.829426</f>
        <v>166421115.3255384</v>
      </c>
      <c r="I2554" s="5">
        <f>+G2554-H2554</f>
        <v>22978884.674461603</v>
      </c>
      <c r="J2554" s="5">
        <v>3000000</v>
      </c>
      <c r="K2554" s="5">
        <v>18640000</v>
      </c>
      <c r="L2554" s="5">
        <v>18940000</v>
      </c>
      <c r="M2554" s="7">
        <v>5309</v>
      </c>
      <c r="N2554" s="5">
        <v>0</v>
      </c>
      <c r="O2554" s="5">
        <v>0</v>
      </c>
      <c r="P2554" s="3">
        <v>0.97916666666666663</v>
      </c>
    </row>
    <row r="2555" spans="1:16" x14ac:dyDescent="0.25">
      <c r="A2555" s="2">
        <v>46084</v>
      </c>
      <c r="B2555" s="2">
        <v>46084</v>
      </c>
      <c r="C2555" t="str">
        <f>+"Tuáº§n "&amp;WEEKNUM(B2555)</f>
        <v>Tuáº§n 10</v>
      </c>
      <c r="D2555" t="s">
        <v>18</v>
      </c>
      <c r="E2555" t="s">
        <v>17</v>
      </c>
      <c r="F2555" s="5">
        <v>184900000</v>
      </c>
      <c r="G2555" s="5">
        <v>187900000</v>
      </c>
      <c r="H2555" s="5">
        <f>+(M2555*26000)/0.829426</f>
        <v>160430707.50133222</v>
      </c>
      <c r="I2555" s="5">
        <f>+G2555-H2555</f>
        <v>27469292.498667777</v>
      </c>
      <c r="J2555" s="5">
        <v>3000000</v>
      </c>
      <c r="K2555" s="5">
        <v>18490000</v>
      </c>
      <c r="L2555" s="5">
        <v>18790000</v>
      </c>
      <c r="M2555" s="7">
        <v>5117.8999999999996</v>
      </c>
      <c r="N2555" s="5">
        <v>0</v>
      </c>
      <c r="O2555" s="5">
        <v>0</v>
      </c>
      <c r="P2555" s="3">
        <v>0.97916666666666663</v>
      </c>
    </row>
    <row r="2556" spans="1:16" x14ac:dyDescent="0.25">
      <c r="A2556" s="2">
        <v>46115</v>
      </c>
      <c r="B2556" s="2">
        <v>46085</v>
      </c>
      <c r="C2556" t="str">
        <f>+"Tuáº§n "&amp;WEEKNUM(B2556)</f>
        <v>Tuáº§n 10</v>
      </c>
      <c r="D2556" t="s">
        <v>19</v>
      </c>
      <c r="E2556" t="s">
        <v>17</v>
      </c>
      <c r="F2556" s="5">
        <v>180900000</v>
      </c>
      <c r="G2556" s="5">
        <v>183900000</v>
      </c>
      <c r="H2556" s="5">
        <f>+(M2556*26000)/0.829426</f>
        <v>161474561.92595842</v>
      </c>
      <c r="I2556" s="5">
        <f>+G2556-H2556</f>
        <v>22425438.074041575</v>
      </c>
      <c r="J2556" s="5">
        <v>3000000</v>
      </c>
      <c r="K2556" s="5">
        <v>18090000</v>
      </c>
      <c r="L2556" s="5">
        <v>18390000</v>
      </c>
      <c r="M2556" s="7">
        <v>5151.2</v>
      </c>
      <c r="N2556" s="5">
        <v>0</v>
      </c>
      <c r="O2556" s="5">
        <v>0</v>
      </c>
      <c r="P2556" s="3">
        <v>0.97916666666666663</v>
      </c>
    </row>
    <row r="2557" spans="1:16" x14ac:dyDescent="0.25">
      <c r="A2557" s="2">
        <v>46145</v>
      </c>
      <c r="B2557" s="2">
        <v>46086</v>
      </c>
      <c r="C2557" t="str">
        <f>+"Tuáº§n "&amp;WEEKNUM(B2557)</f>
        <v>Tuáº§n 10</v>
      </c>
      <c r="D2557" t="s">
        <v>20</v>
      </c>
      <c r="E2557" t="s">
        <v>17</v>
      </c>
      <c r="F2557" s="5">
        <v>181400000</v>
      </c>
      <c r="G2557" s="5">
        <v>184400000</v>
      </c>
      <c r="H2557" s="5">
        <f>+(M2557*26000)/0.829426</f>
        <v>158957399.45456254</v>
      </c>
      <c r="I2557" s="5">
        <f>+G2557-H2557</f>
        <v>25442600.545437455</v>
      </c>
      <c r="J2557" s="5">
        <v>3000000</v>
      </c>
      <c r="K2557" s="5">
        <v>18140000</v>
      </c>
      <c r="L2557" s="5">
        <v>18440000</v>
      </c>
      <c r="M2557" s="7">
        <v>5070.8999999999996</v>
      </c>
      <c r="N2557" s="5">
        <v>0</v>
      </c>
      <c r="O2557" s="5">
        <v>0</v>
      </c>
      <c r="P2557" s="3">
        <v>0.97916666666666663</v>
      </c>
    </row>
    <row r="2558" spans="1:16" x14ac:dyDescent="0.25">
      <c r="A2558" s="2">
        <v>46176</v>
      </c>
      <c r="B2558" s="2">
        <v>46087</v>
      </c>
      <c r="C2558" t="str">
        <f>+"Tuáº§n "&amp;WEEKNUM(B2558)</f>
        <v>Tuáº§n 10</v>
      </c>
      <c r="D2558" t="s">
        <v>21</v>
      </c>
      <c r="E2558" t="s">
        <v>17</v>
      </c>
      <c r="F2558" s="5">
        <v>180500000</v>
      </c>
      <c r="G2558" s="5">
        <v>183500000</v>
      </c>
      <c r="H2558" s="5">
        <f>+(M2558*26000)/0.829426</f>
        <v>161220651.39023858</v>
      </c>
      <c r="I2558" s="5">
        <f>+G2558-H2558</f>
        <v>22279348.609761417</v>
      </c>
      <c r="J2558" s="5">
        <v>3000000</v>
      </c>
      <c r="K2558" s="5">
        <v>18050000</v>
      </c>
      <c r="L2558" s="5">
        <v>18350000</v>
      </c>
      <c r="M2558" s="7">
        <v>5143.1000000000004</v>
      </c>
      <c r="N2558" s="5">
        <v>0</v>
      </c>
      <c r="O2558" s="5">
        <v>0</v>
      </c>
      <c r="P2558" s="3">
        <v>0.97916666666666663</v>
      </c>
    </row>
    <row r="2559" spans="1:16" x14ac:dyDescent="0.25">
      <c r="A2559" s="2">
        <v>46268</v>
      </c>
      <c r="B2559" s="2">
        <v>46090</v>
      </c>
      <c r="C2559" t="str">
        <f>+"Tuáº§n "&amp;WEEKNUM(B2559)</f>
        <v>Tuáº§n 11</v>
      </c>
      <c r="D2559" t="s">
        <v>16</v>
      </c>
      <c r="E2559" t="s">
        <v>17</v>
      </c>
      <c r="F2559" s="5">
        <v>180800000</v>
      </c>
      <c r="G2559" s="5">
        <v>183800000</v>
      </c>
      <c r="H2559" s="5">
        <f>+(M2559*26000)/0.829426</f>
        <v>160035735.5568791</v>
      </c>
      <c r="I2559" s="5">
        <f>+G2559-H2559</f>
        <v>23764264.443120897</v>
      </c>
      <c r="J2559" s="5">
        <v>3000000</v>
      </c>
      <c r="K2559" s="5">
        <v>18080000</v>
      </c>
      <c r="L2559" s="5">
        <v>18380000</v>
      </c>
      <c r="M2559" s="7">
        <v>5105.3</v>
      </c>
      <c r="N2559" s="5">
        <v>0</v>
      </c>
      <c r="O2559" s="5">
        <v>0</v>
      </c>
      <c r="P2559" s="3">
        <v>0.97916666666666663</v>
      </c>
    </row>
    <row r="2560" spans="1:16" x14ac:dyDescent="0.25">
      <c r="A2560" s="2">
        <v>46298</v>
      </c>
      <c r="B2560" s="2">
        <v>46091</v>
      </c>
      <c r="C2560" t="str">
        <f>+"Tuáº§n "&amp;WEEKNUM(B2560)</f>
        <v>Tuáº§n 11</v>
      </c>
      <c r="D2560" t="s">
        <v>18</v>
      </c>
      <c r="E2560" t="s">
        <v>17</v>
      </c>
      <c r="F2560" s="5">
        <v>182800000</v>
      </c>
      <c r="G2560" s="5">
        <v>185800000</v>
      </c>
      <c r="H2560" s="5">
        <f>+(M2560*26000)/0.829426</f>
        <v>164076361.24259427</v>
      </c>
      <c r="I2560" s="5">
        <f>+G2560-H2560</f>
        <v>21723638.757405728</v>
      </c>
      <c r="J2560" s="5">
        <v>3000000</v>
      </c>
      <c r="K2560" s="5">
        <v>18280000</v>
      </c>
      <c r="L2560" s="5">
        <v>18580000</v>
      </c>
      <c r="M2560" s="7">
        <v>5234.2</v>
      </c>
      <c r="N2560" s="5">
        <v>0</v>
      </c>
      <c r="O2560" s="5">
        <v>0</v>
      </c>
      <c r="P2560" s="3">
        <v>0.97916666666666663</v>
      </c>
    </row>
    <row r="2561" spans="1:16" x14ac:dyDescent="0.25">
      <c r="A2561" s="2">
        <v>46329</v>
      </c>
      <c r="B2561" s="2">
        <v>46092</v>
      </c>
      <c r="C2561" t="str">
        <f>+"Tuáº§n "&amp;WEEKNUM(B2561)</f>
        <v>Tuáº§n 11</v>
      </c>
      <c r="D2561" t="s">
        <v>19</v>
      </c>
      <c r="E2561" t="s">
        <v>17</v>
      </c>
      <c r="F2561" s="5">
        <v>183900000</v>
      </c>
      <c r="G2561" s="5">
        <v>186900000</v>
      </c>
      <c r="H2561" s="5">
        <f>+(M2561*26000)/0.829426</f>
        <v>162032538.16494781</v>
      </c>
      <c r="I2561" s="5">
        <f>+G2561-H2561</f>
        <v>24867461.835052192</v>
      </c>
      <c r="J2561" s="5">
        <v>3000000</v>
      </c>
      <c r="K2561" s="5">
        <v>18390000</v>
      </c>
      <c r="L2561" s="5">
        <v>18690000</v>
      </c>
      <c r="M2561" s="7">
        <v>5169</v>
      </c>
      <c r="N2561" s="5">
        <v>0</v>
      </c>
      <c r="O2561" s="5">
        <v>0</v>
      </c>
      <c r="P2561" s="3">
        <v>0.97916666666666663</v>
      </c>
    </row>
    <row r="2562" spans="1:16" x14ac:dyDescent="0.25">
      <c r="A2562" s="2">
        <v>46359</v>
      </c>
      <c r="B2562" s="2">
        <v>46093</v>
      </c>
      <c r="C2562" t="str">
        <f>+"Tuáº§n "&amp;WEEKNUM(B2562)</f>
        <v>Tuáº§n 11</v>
      </c>
      <c r="D2562" t="s">
        <v>20</v>
      </c>
      <c r="E2562" t="s">
        <v>17</v>
      </c>
      <c r="F2562" s="5">
        <v>183000000</v>
      </c>
      <c r="G2562" s="5">
        <v>186000000</v>
      </c>
      <c r="H2562" s="5">
        <f>+(M2562*26000)/0.829426</f>
        <v>160969875.55249053</v>
      </c>
      <c r="I2562" s="5">
        <f>+G2562-H2562</f>
        <v>25030124.447509468</v>
      </c>
      <c r="J2562" s="5">
        <v>3000000</v>
      </c>
      <c r="K2562" s="5">
        <v>18300000</v>
      </c>
      <c r="L2562" s="5">
        <v>18600000</v>
      </c>
      <c r="M2562" s="7">
        <v>5135.1000000000004</v>
      </c>
      <c r="N2562" s="5">
        <v>0</v>
      </c>
      <c r="O2562" s="5">
        <v>0</v>
      </c>
      <c r="P2562" s="3">
        <v>0.97916666666666663</v>
      </c>
    </row>
    <row r="2563" spans="1:16" x14ac:dyDescent="0.25">
      <c r="A2563" t="s">
        <v>1564</v>
      </c>
      <c r="B2563" s="2">
        <v>46094</v>
      </c>
      <c r="C2563" t="str">
        <f>+"Tuáº§n "&amp;WEEKNUM(B2563)</f>
        <v>Tuáº§n 11</v>
      </c>
      <c r="D2563" t="s">
        <v>21</v>
      </c>
      <c r="E2563" t="s">
        <v>17</v>
      </c>
      <c r="F2563" s="5">
        <v>181500000</v>
      </c>
      <c r="G2563" s="5">
        <v>184500000</v>
      </c>
      <c r="H2563" s="5">
        <f>+(M2563*26000)/0.829426</f>
        <v>157935487.91573933</v>
      </c>
      <c r="I2563" s="5">
        <f>+G2563-H2563</f>
        <v>26564512.084260672</v>
      </c>
      <c r="J2563" s="5">
        <v>3000000</v>
      </c>
      <c r="K2563" s="5">
        <v>18150000</v>
      </c>
      <c r="L2563" s="5">
        <v>18450000</v>
      </c>
      <c r="M2563" s="7">
        <v>5038.3</v>
      </c>
      <c r="N2563" s="5">
        <v>0</v>
      </c>
      <c r="O2563" s="5">
        <v>0</v>
      </c>
      <c r="P2563" s="3">
        <v>0.97916666666666663</v>
      </c>
    </row>
    <row r="2564" spans="1:16" x14ac:dyDescent="0.25">
      <c r="A2564" t="s">
        <v>1565</v>
      </c>
      <c r="B2564" s="2">
        <v>46097</v>
      </c>
      <c r="C2564" t="str">
        <f>+"Tuáº§n "&amp;WEEKNUM(B2564)</f>
        <v>Tuáº§n 12</v>
      </c>
      <c r="D2564" t="s">
        <v>16</v>
      </c>
      <c r="E2564" t="s">
        <v>17</v>
      </c>
      <c r="F2564" s="5">
        <v>179800000</v>
      </c>
      <c r="G2564" s="5">
        <v>182800000</v>
      </c>
      <c r="H2564" s="5">
        <f>+(M2564*26000)/0.829426</f>
        <v>156139305.97786903</v>
      </c>
      <c r="I2564" s="5">
        <f>+G2564-H2564</f>
        <v>26660694.022130966</v>
      </c>
      <c r="J2564" s="5">
        <v>3000000</v>
      </c>
      <c r="K2564" s="5">
        <v>17980000</v>
      </c>
      <c r="L2564" s="5">
        <v>18280000</v>
      </c>
      <c r="M2564" s="7">
        <v>4981</v>
      </c>
      <c r="N2564" s="5">
        <v>0</v>
      </c>
      <c r="O2564" s="5">
        <v>0</v>
      </c>
      <c r="P2564" s="3">
        <v>0.97916666666666663</v>
      </c>
    </row>
    <row r="2565" spans="1:16" x14ac:dyDescent="0.25">
      <c r="A2565" t="s">
        <v>1566</v>
      </c>
      <c r="B2565" s="2">
        <v>46098</v>
      </c>
      <c r="C2565" t="str">
        <f>+"Tuáº§n "&amp;WEEKNUM(B2565)</f>
        <v>Tuáº§n 12</v>
      </c>
      <c r="D2565" t="s">
        <v>18</v>
      </c>
      <c r="E2565" t="s">
        <v>17</v>
      </c>
      <c r="F2565" s="5">
        <v>179700000</v>
      </c>
      <c r="G2565" s="5">
        <v>182700000</v>
      </c>
      <c r="H2565" s="5">
        <f>+(M2565*26000)/0.829426</f>
        <v>156847747.71950725</v>
      </c>
      <c r="I2565" s="5">
        <f>+G2565-H2565</f>
        <v>25852252.280492753</v>
      </c>
      <c r="J2565" s="5">
        <v>3000000</v>
      </c>
      <c r="K2565" s="5">
        <v>17970000</v>
      </c>
      <c r="L2565" s="5">
        <v>18270000</v>
      </c>
      <c r="M2565" s="7">
        <v>5003.6000000000004</v>
      </c>
      <c r="N2565" s="5">
        <v>0</v>
      </c>
      <c r="O2565" s="5">
        <v>0</v>
      </c>
      <c r="P2565" s="3">
        <v>0.97916666666666663</v>
      </c>
    </row>
    <row r="2566" spans="1:16" x14ac:dyDescent="0.25">
      <c r="A2566" t="s">
        <v>1567</v>
      </c>
      <c r="B2566" s="2">
        <v>46099</v>
      </c>
      <c r="C2566" t="str">
        <f>+"Tuáº§n "&amp;WEEKNUM(B2566)</f>
        <v>Tuáº§n 12</v>
      </c>
      <c r="D2566" t="s">
        <v>19</v>
      </c>
      <c r="E2566" t="s">
        <v>17</v>
      </c>
      <c r="F2566" s="5">
        <v>179700000</v>
      </c>
      <c r="G2566" s="5">
        <v>182700000</v>
      </c>
      <c r="H2566" s="5">
        <f>+(M2566*26000)/0.829426</f>
        <v>153023416.19384974</v>
      </c>
      <c r="I2566" s="5">
        <f>+G2566-H2566</f>
        <v>29676583.806150258</v>
      </c>
      <c r="J2566" s="5">
        <v>3000000</v>
      </c>
      <c r="K2566" s="5">
        <v>17970000</v>
      </c>
      <c r="L2566" s="5">
        <v>18270000</v>
      </c>
      <c r="M2566" s="7">
        <v>4881.6000000000004</v>
      </c>
      <c r="N2566" s="5">
        <v>0</v>
      </c>
      <c r="O2566" s="5">
        <v>0</v>
      </c>
      <c r="P2566" s="3">
        <v>0.97916666666666663</v>
      </c>
    </row>
    <row r="2567" spans="1:16" x14ac:dyDescent="0.25">
      <c r="A2567" t="s">
        <v>1568</v>
      </c>
      <c r="B2567" s="2">
        <v>46100</v>
      </c>
      <c r="C2567" t="str">
        <f>+"Tuáº§n "&amp;WEEKNUM(B2567)</f>
        <v>Tuáº§n 12</v>
      </c>
      <c r="D2567" t="s">
        <v>20</v>
      </c>
      <c r="E2567" t="s">
        <v>17</v>
      </c>
      <c r="F2567" s="5">
        <v>172200000</v>
      </c>
      <c r="G2567" s="5">
        <v>175200000</v>
      </c>
      <c r="H2567" s="5">
        <f>+(M2567*26000)/0.829426</f>
        <v>144268204.75847152</v>
      </c>
      <c r="I2567" s="5">
        <f>+G2567-H2567</f>
        <v>30931795.241528481</v>
      </c>
      <c r="J2567" s="5">
        <v>3000000</v>
      </c>
      <c r="K2567" s="5">
        <v>17220000</v>
      </c>
      <c r="L2567" s="5">
        <v>17520000</v>
      </c>
      <c r="M2567" s="7">
        <v>4602.3</v>
      </c>
      <c r="N2567" s="5">
        <v>0</v>
      </c>
      <c r="O2567" s="5">
        <v>0</v>
      </c>
      <c r="P2567" s="3">
        <v>0.97916666666666663</v>
      </c>
    </row>
    <row r="2568" spans="1:16" x14ac:dyDescent="0.25">
      <c r="A2568" t="s">
        <v>1569</v>
      </c>
      <c r="B2568" s="2">
        <v>46101</v>
      </c>
      <c r="C2568" t="str">
        <f>+"Tuáº§n "&amp;WEEKNUM(B2568)</f>
        <v>Tuáº§n 12</v>
      </c>
      <c r="D2568" t="s">
        <v>21</v>
      </c>
      <c r="E2568" t="s">
        <v>17</v>
      </c>
      <c r="F2568" s="5">
        <v>172800000</v>
      </c>
      <c r="G2568" s="5">
        <v>175800000</v>
      </c>
      <c r="H2568" s="5">
        <f>+(M2568*26000)/0.829426</f>
        <v>143838751.13632804</v>
      </c>
      <c r="I2568" s="5">
        <f>+G2568-H2568</f>
        <v>31961248.863671958</v>
      </c>
      <c r="J2568" s="5">
        <v>3000000</v>
      </c>
      <c r="K2568" s="5">
        <v>17280000</v>
      </c>
      <c r="L2568" s="5">
        <v>17580000</v>
      </c>
      <c r="M2568" s="7">
        <v>4588.6000000000004</v>
      </c>
      <c r="N2568" s="5">
        <v>0</v>
      </c>
      <c r="O2568" s="5">
        <v>0</v>
      </c>
      <c r="P2568" s="3">
        <v>0.97916666666666663</v>
      </c>
    </row>
    <row r="2569" spans="1:16" x14ac:dyDescent="0.25">
      <c r="A2569" t="s">
        <v>1570</v>
      </c>
      <c r="B2569" s="2">
        <v>46104</v>
      </c>
      <c r="C2569" t="str">
        <f>+"Tuáº§n "&amp;WEEKNUM(B2569)</f>
        <v>Tuáº§n 13</v>
      </c>
      <c r="D2569" t="s">
        <v>16</v>
      </c>
      <c r="E2569" t="s">
        <v>17</v>
      </c>
      <c r="F2569" s="5">
        <v>162800000</v>
      </c>
      <c r="G2569" s="5">
        <v>165800000</v>
      </c>
      <c r="H2569" s="5">
        <f>+(M2569*26000)/0.829426</f>
        <v>136744929.62603053</v>
      </c>
      <c r="I2569" s="5">
        <f>+G2569-H2569</f>
        <v>29055070.373969465</v>
      </c>
      <c r="J2569" s="5">
        <v>3000000</v>
      </c>
      <c r="K2569" s="5">
        <v>16280000</v>
      </c>
      <c r="L2569" s="5">
        <v>16580000</v>
      </c>
      <c r="M2569" s="7">
        <v>4362.3</v>
      </c>
      <c r="N2569" s="5">
        <v>0</v>
      </c>
      <c r="O2569" s="5">
        <v>0</v>
      </c>
      <c r="P2569" s="3">
        <v>0.97916666666666663</v>
      </c>
    </row>
    <row r="2570" spans="1:16" x14ac:dyDescent="0.25">
      <c r="A2570" t="s">
        <v>1571</v>
      </c>
      <c r="B2570" s="2">
        <v>46105</v>
      </c>
      <c r="C2570" t="str">
        <f>+"Tuáº§n "&amp;WEEKNUM(B2570)</f>
        <v>Tuáº§n 13</v>
      </c>
      <c r="D2570" t="s">
        <v>18</v>
      </c>
      <c r="E2570" t="s">
        <v>17</v>
      </c>
      <c r="F2570" s="5">
        <v>167000000</v>
      </c>
      <c r="G2570" s="5">
        <v>170000000</v>
      </c>
      <c r="H2570" s="5">
        <f>+(M2570*26000)/0.829426</f>
        <v>138675903.57669038</v>
      </c>
      <c r="I2570" s="5">
        <f>+G2570-H2570</f>
        <v>31324096.423309624</v>
      </c>
      <c r="J2570" s="5">
        <v>3000000</v>
      </c>
      <c r="K2570" s="5">
        <v>16700000</v>
      </c>
      <c r="L2570" s="5">
        <v>17000000</v>
      </c>
      <c r="M2570" s="7">
        <v>4423.8999999999996</v>
      </c>
      <c r="N2570" s="5">
        <v>0</v>
      </c>
      <c r="O2570" s="5">
        <v>0</v>
      </c>
      <c r="P2570" s="3">
        <v>0.97916666666666663</v>
      </c>
    </row>
    <row r="2571" spans="1:16" x14ac:dyDescent="0.25">
      <c r="A2571" t="s">
        <v>1572</v>
      </c>
      <c r="B2571" s="2">
        <v>46106</v>
      </c>
      <c r="C2571" t="str">
        <f>+"Tuáº§n "&amp;WEEKNUM(B2571)</f>
        <v>Tuáº§n 13</v>
      </c>
      <c r="D2571" t="s">
        <v>19</v>
      </c>
      <c r="E2571" t="s">
        <v>17</v>
      </c>
      <c r="F2571" s="5">
        <v>170300000</v>
      </c>
      <c r="G2571" s="5">
        <v>173300000</v>
      </c>
      <c r="H2571" s="5">
        <f>+(M2571*26000)/0.829426</f>
        <v>142885802.95288548</v>
      </c>
      <c r="I2571" s="5">
        <f>+G2571-H2571</f>
        <v>30414197.047114521</v>
      </c>
      <c r="J2571" s="5">
        <v>3000000</v>
      </c>
      <c r="K2571" s="5">
        <v>17030000</v>
      </c>
      <c r="L2571" s="5">
        <v>17330000</v>
      </c>
      <c r="M2571" s="7">
        <v>4558.2</v>
      </c>
      <c r="N2571" s="5">
        <v>0</v>
      </c>
      <c r="O2571" s="5">
        <v>0</v>
      </c>
      <c r="P2571" s="3">
        <v>0.97916666666666663</v>
      </c>
    </row>
    <row r="2572" spans="1:16" x14ac:dyDescent="0.25">
      <c r="A2572" t="s">
        <v>1573</v>
      </c>
      <c r="B2572" s="2">
        <v>46107</v>
      </c>
      <c r="C2572" t="str">
        <f>+"Tuáº§n "&amp;WEEKNUM(B2572)</f>
        <v>Tuáº§n 13</v>
      </c>
      <c r="D2572" t="s">
        <v>20</v>
      </c>
      <c r="E2572" t="s">
        <v>17</v>
      </c>
      <c r="F2572" s="5">
        <v>168300000</v>
      </c>
      <c r="G2572" s="5">
        <v>171300000</v>
      </c>
      <c r="H2572" s="5">
        <f>+(M2572*26000)/0.829426</f>
        <v>137769975.86282563</v>
      </c>
      <c r="I2572" s="5">
        <f>+G2572-H2572</f>
        <v>33530024.137174368</v>
      </c>
      <c r="J2572" s="5">
        <v>3000000</v>
      </c>
      <c r="K2572" s="5">
        <v>16830000</v>
      </c>
      <c r="L2572" s="5">
        <v>17130000</v>
      </c>
      <c r="M2572" s="7">
        <v>4395</v>
      </c>
      <c r="N2572" s="5">
        <v>0</v>
      </c>
      <c r="O2572" s="5">
        <v>0</v>
      </c>
      <c r="P2572" s="3">
        <v>0.97916666666666663</v>
      </c>
    </row>
    <row r="2573" spans="1:16" x14ac:dyDescent="0.25">
      <c r="A2573" t="s">
        <v>1574</v>
      </c>
      <c r="B2573" s="2">
        <v>46108</v>
      </c>
      <c r="C2573" t="str">
        <f>+"Tuáº§n "&amp;WEEKNUM(B2573)</f>
        <v>Tuáº§n 13</v>
      </c>
      <c r="D2573" t="s">
        <v>21</v>
      </c>
      <c r="E2573" t="s">
        <v>17</v>
      </c>
      <c r="F2573" s="5">
        <v>168400000</v>
      </c>
      <c r="G2573" s="5">
        <v>171400000</v>
      </c>
      <c r="H2573" s="5">
        <f>+(M2573*26000)/0.829426</f>
        <v>141995548.72887996</v>
      </c>
      <c r="I2573" s="5">
        <f>+G2573-H2573</f>
        <v>29404451.271120042</v>
      </c>
      <c r="J2573" s="5">
        <v>3000000</v>
      </c>
      <c r="K2573" s="5">
        <v>16840000</v>
      </c>
      <c r="L2573" s="5">
        <v>17140000</v>
      </c>
      <c r="M2573" s="7">
        <v>4529.8</v>
      </c>
      <c r="N2573" s="5">
        <v>0</v>
      </c>
      <c r="O2573" s="5">
        <v>0</v>
      </c>
      <c r="P2573" s="3">
        <v>0.97916666666666663</v>
      </c>
    </row>
    <row r="2574" spans="1:16" x14ac:dyDescent="0.25">
      <c r="A2574" t="s">
        <v>1575</v>
      </c>
      <c r="B2574" s="2">
        <v>46111</v>
      </c>
      <c r="C2574" t="str">
        <f>+"Tuáº§n "&amp;WEEKNUM(B2574)</f>
        <v>Tuáº§n 14</v>
      </c>
      <c r="D2574" t="s">
        <v>16</v>
      </c>
      <c r="E2574" t="s">
        <v>17</v>
      </c>
      <c r="F2574" s="5">
        <v>170600000</v>
      </c>
      <c r="G2574" s="5">
        <v>173600000</v>
      </c>
      <c r="H2574" s="5">
        <f>+(M2574*26000)/0.829426</f>
        <v>142312153.22403684</v>
      </c>
      <c r="I2574" s="5">
        <f>+G2574-H2574</f>
        <v>31287846.775963157</v>
      </c>
      <c r="J2574" s="5">
        <v>3000000</v>
      </c>
      <c r="K2574" s="5">
        <v>17060000</v>
      </c>
      <c r="L2574" s="5">
        <v>17360000</v>
      </c>
      <c r="M2574" s="7">
        <v>4539.8999999999996</v>
      </c>
      <c r="N2574" s="5">
        <v>0</v>
      </c>
      <c r="O2574" s="5">
        <v>0</v>
      </c>
      <c r="P2574" s="3">
        <v>0.97916666666666663</v>
      </c>
    </row>
    <row r="2575" spans="1:16" x14ac:dyDescent="0.25">
      <c r="A2575" t="s">
        <v>1576</v>
      </c>
      <c r="B2575" s="2">
        <v>46112</v>
      </c>
      <c r="C2575" t="str">
        <f>+"Tuáº§n "&amp;WEEKNUM(B2575)</f>
        <v>Tuáº§n 14</v>
      </c>
      <c r="D2575" t="s">
        <v>18</v>
      </c>
      <c r="E2575" t="s">
        <v>17</v>
      </c>
      <c r="F2575" s="5">
        <v>171700000</v>
      </c>
      <c r="G2575" s="5">
        <v>174700000</v>
      </c>
      <c r="H2575" s="5">
        <f>+(M2575*26000)/0.829426</f>
        <v>144797968.71571425</v>
      </c>
      <c r="I2575" s="5">
        <f>+G2575-H2575</f>
        <v>29902031.284285754</v>
      </c>
      <c r="J2575" s="5">
        <v>3000000</v>
      </c>
      <c r="K2575" s="5">
        <v>17170000</v>
      </c>
      <c r="L2575" s="5">
        <v>17470000</v>
      </c>
      <c r="M2575" s="7">
        <v>4619.2</v>
      </c>
      <c r="N2575" s="5">
        <v>0</v>
      </c>
      <c r="O2575" s="5">
        <v>0</v>
      </c>
      <c r="P2575" s="3">
        <v>0.97916666666666663</v>
      </c>
    </row>
    <row r="2576" spans="1:16" x14ac:dyDescent="0.25">
      <c r="A2576" s="2">
        <v>46026</v>
      </c>
      <c r="B2576" s="2">
        <v>46113</v>
      </c>
      <c r="C2576" t="str">
        <f>+"Tuáº§n "&amp;WEEKNUM(B2576)</f>
        <v>Tuáº§n 14</v>
      </c>
      <c r="D2576" t="s">
        <v>19</v>
      </c>
      <c r="E2576" t="s">
        <v>17</v>
      </c>
      <c r="F2576" s="5">
        <v>173500000</v>
      </c>
      <c r="G2576" s="5">
        <v>176500000</v>
      </c>
      <c r="H2576" s="5">
        <f>+(M2576*26000)/0.829426</f>
        <v>150061126.6104511</v>
      </c>
      <c r="I2576" s="5">
        <f>+G2576-H2576</f>
        <v>26438873.389548898</v>
      </c>
      <c r="J2576" s="5">
        <v>3000000</v>
      </c>
      <c r="K2576" s="5">
        <v>17350000</v>
      </c>
      <c r="L2576" s="5">
        <v>17650000</v>
      </c>
      <c r="M2576" s="7">
        <v>4787.1000000000004</v>
      </c>
      <c r="N2576" s="5">
        <v>0</v>
      </c>
      <c r="O2576" s="5">
        <v>0</v>
      </c>
      <c r="P2576" s="3">
        <v>0.95833333333333337</v>
      </c>
    </row>
    <row r="2577" spans="1:16" x14ac:dyDescent="0.25">
      <c r="A2577" s="2">
        <v>46057</v>
      </c>
      <c r="B2577" s="2">
        <v>46114</v>
      </c>
      <c r="C2577" t="str">
        <f>+"Tuáº§n "&amp;WEEKNUM(B2577)</f>
        <v>Tuáº§n 14</v>
      </c>
      <c r="D2577" t="s">
        <v>20</v>
      </c>
      <c r="E2577" t="s">
        <v>17</v>
      </c>
      <c r="F2577" s="5">
        <v>169800000</v>
      </c>
      <c r="G2577" s="5">
        <v>173300000</v>
      </c>
      <c r="H2577" s="5">
        <f>+(M2577*26000)/0.829426</f>
        <v>145967211.05921444</v>
      </c>
      <c r="I2577" s="5">
        <f>+G2577-H2577</f>
        <v>27332788.940785557</v>
      </c>
      <c r="J2577" s="5">
        <v>3500000</v>
      </c>
      <c r="K2577" s="5">
        <v>16980000</v>
      </c>
      <c r="L2577" s="5">
        <v>17330000</v>
      </c>
      <c r="M2577" s="7">
        <v>4656.5</v>
      </c>
      <c r="N2577" s="5">
        <v>0</v>
      </c>
      <c r="O2577" s="5">
        <v>0</v>
      </c>
      <c r="P2577" s="3">
        <v>0.97916666666666663</v>
      </c>
    </row>
    <row r="2578" spans="1:16" x14ac:dyDescent="0.25">
      <c r="A2578" s="2">
        <v>46177</v>
      </c>
      <c r="B2578" s="2">
        <v>46118</v>
      </c>
      <c r="C2578" t="str">
        <f>+"Tuáº§n "&amp;WEEKNUM(B2578)</f>
        <v>Tuáº§n 15</v>
      </c>
      <c r="D2578" t="s">
        <v>16</v>
      </c>
      <c r="E2578" t="s">
        <v>17</v>
      </c>
      <c r="F2578" s="5">
        <v>169600000</v>
      </c>
      <c r="G2578" s="5">
        <v>172600000</v>
      </c>
      <c r="H2578" s="5">
        <f>+(M2578*26000)/0.829426</f>
        <v>146368452.39961129</v>
      </c>
      <c r="I2578" s="5">
        <f>+G2578-H2578</f>
        <v>26231547.600388706</v>
      </c>
      <c r="J2578" s="5">
        <v>3000000</v>
      </c>
      <c r="K2578" s="5">
        <v>16960000</v>
      </c>
      <c r="L2578" s="5">
        <v>17260000</v>
      </c>
      <c r="M2578" s="7">
        <v>4669.3</v>
      </c>
      <c r="N2578" s="5">
        <v>0</v>
      </c>
      <c r="O2578" s="5">
        <v>0</v>
      </c>
      <c r="P2578" s="3">
        <v>0.97916666666666663</v>
      </c>
    </row>
    <row r="2579" spans="1:16" x14ac:dyDescent="0.25">
      <c r="A2579" s="2">
        <v>46207</v>
      </c>
      <c r="B2579" s="2">
        <v>46119</v>
      </c>
      <c r="C2579" t="str">
        <f>+"Tuáº§n "&amp;WEEKNUM(B2579)</f>
        <v>Tuáº§n 15</v>
      </c>
      <c r="D2579" t="s">
        <v>18</v>
      </c>
      <c r="E2579" t="s">
        <v>17</v>
      </c>
      <c r="F2579" s="5">
        <v>169000000</v>
      </c>
      <c r="G2579" s="5">
        <v>172000000</v>
      </c>
      <c r="H2579" s="5">
        <f>+(M2579*26000)/0.829426</f>
        <v>146145888.84360993</v>
      </c>
      <c r="I2579" s="5">
        <f>+G2579-H2579</f>
        <v>25854111.156390071</v>
      </c>
      <c r="J2579" s="5">
        <v>3000000</v>
      </c>
      <c r="K2579" s="5">
        <v>16900000</v>
      </c>
      <c r="L2579" s="5">
        <v>17200000</v>
      </c>
      <c r="M2579" s="7">
        <v>4662.2</v>
      </c>
      <c r="N2579" s="5">
        <v>0</v>
      </c>
      <c r="O2579" s="5">
        <v>0</v>
      </c>
      <c r="P2579" s="3">
        <v>0.97916666666666663</v>
      </c>
    </row>
    <row r="2580" spans="1:16" x14ac:dyDescent="0.25">
      <c r="A2580" s="2">
        <v>46238</v>
      </c>
      <c r="B2580" s="2">
        <v>46120</v>
      </c>
      <c r="C2580" t="str">
        <f>+"Tuáº§n "&amp;WEEKNUM(B2580)</f>
        <v>Tuáº§n 15</v>
      </c>
      <c r="D2580" t="s">
        <v>19</v>
      </c>
      <c r="E2580" t="s">
        <v>17</v>
      </c>
      <c r="F2580" s="5">
        <v>170500000</v>
      </c>
      <c r="G2580" s="5">
        <v>174500000</v>
      </c>
      <c r="H2580" s="5">
        <f>+(M2580*26000)/0.829426</f>
        <v>148923231.24666938</v>
      </c>
      <c r="I2580" s="5">
        <f>+G2580-H2580</f>
        <v>25576768.753330618</v>
      </c>
      <c r="J2580" s="5">
        <v>4000000</v>
      </c>
      <c r="K2580" s="5">
        <v>17050000</v>
      </c>
      <c r="L2580" s="5">
        <v>17450000</v>
      </c>
      <c r="M2580" s="7">
        <v>4750.8</v>
      </c>
      <c r="N2580" s="5">
        <v>0</v>
      </c>
      <c r="O2580" s="5">
        <v>0</v>
      </c>
      <c r="P2580" s="3">
        <v>0.97916666666666663</v>
      </c>
    </row>
    <row r="2581" spans="1:16" x14ac:dyDescent="0.25">
      <c r="A2581" s="2">
        <v>46269</v>
      </c>
      <c r="B2581" s="2">
        <v>46121</v>
      </c>
      <c r="C2581" t="str">
        <f>+"Tuáº§n "&amp;WEEKNUM(B2581)</f>
        <v>Tuáº§n 15</v>
      </c>
      <c r="D2581" t="s">
        <v>20</v>
      </c>
      <c r="E2581" t="s">
        <v>17</v>
      </c>
      <c r="F2581" s="5">
        <v>168000000</v>
      </c>
      <c r="G2581" s="5">
        <v>171000000</v>
      </c>
      <c r="H2581" s="5">
        <f>+(M2581*26000)/0.829426</f>
        <v>150286824.86442432</v>
      </c>
      <c r="I2581" s="5">
        <f>+G2581-H2581</f>
        <v>20713175.135575682</v>
      </c>
      <c r="J2581" s="5">
        <v>3000000</v>
      </c>
      <c r="K2581" s="5">
        <v>16800000</v>
      </c>
      <c r="L2581" s="5">
        <v>17100000</v>
      </c>
      <c r="M2581" s="7">
        <v>4794.3</v>
      </c>
      <c r="N2581" s="5">
        <v>0</v>
      </c>
      <c r="O2581" s="5">
        <v>0</v>
      </c>
      <c r="P2581" s="3">
        <v>0.97916666666666663</v>
      </c>
    </row>
    <row r="2582" spans="1:16" x14ac:dyDescent="0.25">
      <c r="A2582" s="2">
        <v>46299</v>
      </c>
      <c r="B2582" s="2">
        <v>46122</v>
      </c>
      <c r="C2582" t="str">
        <f>+"Tuáº§n "&amp;WEEKNUM(B2582)</f>
        <v>Tuáº§n 15</v>
      </c>
      <c r="D2582" t="s">
        <v>21</v>
      </c>
      <c r="E2582" t="s">
        <v>17</v>
      </c>
      <c r="F2582" s="5">
        <v>169400000</v>
      </c>
      <c r="G2582" s="5">
        <v>172400000</v>
      </c>
      <c r="H2582" s="5">
        <f>+(M2582*26000)/0.829426</f>
        <v>149286856.21140403</v>
      </c>
      <c r="I2582" s="5">
        <f>+G2582-H2582</f>
        <v>23113143.788595974</v>
      </c>
      <c r="J2582" s="5">
        <v>3000000</v>
      </c>
      <c r="K2582" s="5">
        <v>16940000</v>
      </c>
      <c r="L2582" s="5">
        <v>17240000</v>
      </c>
      <c r="M2582" s="7">
        <v>4762.3999999999996</v>
      </c>
      <c r="N2582" s="5">
        <v>0</v>
      </c>
      <c r="O2582" s="5">
        <v>0</v>
      </c>
      <c r="P2582" s="3">
        <v>0.97916666666666663</v>
      </c>
    </row>
    <row r="2583" spans="1:16" x14ac:dyDescent="0.25">
      <c r="A2583" t="s">
        <v>1577</v>
      </c>
      <c r="B2583" s="2">
        <v>46125</v>
      </c>
      <c r="C2583" t="str">
        <f>+"Tuáº§n "&amp;WEEKNUM(B2583)</f>
        <v>Tuáº§n 16</v>
      </c>
      <c r="D2583" t="s">
        <v>16</v>
      </c>
      <c r="E2583" t="s">
        <v>17</v>
      </c>
      <c r="F2583" s="5">
        <v>168200000</v>
      </c>
      <c r="G2583" s="5">
        <v>171200000</v>
      </c>
      <c r="H2583" s="5">
        <f>+(M2583*26000)/0.829426</f>
        <v>148324503.93404594</v>
      </c>
      <c r="I2583" s="5">
        <f>+G2583-H2583</f>
        <v>22875496.065954059</v>
      </c>
      <c r="J2583" s="5">
        <v>3000000</v>
      </c>
      <c r="K2583" s="5">
        <v>16820000</v>
      </c>
      <c r="L2583" s="5">
        <v>17120000</v>
      </c>
      <c r="M2583" s="7">
        <v>4731.7</v>
      </c>
      <c r="N2583" s="5">
        <v>0</v>
      </c>
      <c r="O2583" s="5">
        <v>0</v>
      </c>
      <c r="P2583" s="3">
        <v>0.97916666666666663</v>
      </c>
    </row>
    <row r="2584" spans="1:16" x14ac:dyDescent="0.25">
      <c r="A2584" t="s">
        <v>1578</v>
      </c>
      <c r="B2584" s="2">
        <v>46126</v>
      </c>
      <c r="C2584" t="str">
        <f>+"Tuáº§n "&amp;WEEKNUM(B2584)</f>
        <v>Tuáº§n 16</v>
      </c>
      <c r="D2584" t="s">
        <v>18</v>
      </c>
      <c r="E2584" t="s">
        <v>17</v>
      </c>
      <c r="F2584" s="5">
        <v>170200000</v>
      </c>
      <c r="G2584" s="5">
        <v>172700000</v>
      </c>
      <c r="H2584" s="5">
        <f>+(M2584*26000)/0.829426</f>
        <v>151098711.63913357</v>
      </c>
      <c r="I2584" s="5">
        <f>+G2584-H2584</f>
        <v>21601288.360866427</v>
      </c>
      <c r="J2584" s="5">
        <v>2500000</v>
      </c>
      <c r="K2584" s="5">
        <v>17020000</v>
      </c>
      <c r="L2584" s="5">
        <v>17270000</v>
      </c>
      <c r="M2584" s="7">
        <v>4820.2</v>
      </c>
      <c r="N2584" s="5">
        <v>0</v>
      </c>
      <c r="O2584" s="5">
        <v>0</v>
      </c>
      <c r="P2584" s="3">
        <v>0.97916666666666663</v>
      </c>
    </row>
    <row r="2585" spans="1:16" x14ac:dyDescent="0.25">
      <c r="A2585" t="s">
        <v>1579</v>
      </c>
      <c r="B2585" s="2">
        <v>46127</v>
      </c>
      <c r="C2585" t="str">
        <f>+"Tuáº§n "&amp;WEEKNUM(B2585)</f>
        <v>Tuáº§n 16</v>
      </c>
      <c r="D2585" t="s">
        <v>19</v>
      </c>
      <c r="E2585" t="s">
        <v>17</v>
      </c>
      <c r="F2585" s="5">
        <v>169700000</v>
      </c>
      <c r="G2585" s="5">
        <v>173200000</v>
      </c>
      <c r="H2585" s="5">
        <f>+(M2585*26000)/0.829426</f>
        <v>150782107.14397669</v>
      </c>
      <c r="I2585" s="5">
        <f>+G2585-H2585</f>
        <v>22417892.856023312</v>
      </c>
      <c r="J2585" s="5">
        <v>3500000</v>
      </c>
      <c r="K2585" s="5">
        <v>16970000</v>
      </c>
      <c r="L2585" s="5">
        <v>17320000</v>
      </c>
      <c r="M2585" s="7">
        <v>4810.1000000000004</v>
      </c>
      <c r="N2585" s="5">
        <v>0</v>
      </c>
      <c r="O2585" s="5">
        <v>0</v>
      </c>
      <c r="P2585" s="3">
        <v>0.97916666666666663</v>
      </c>
    </row>
    <row r="2586" spans="1:16" x14ac:dyDescent="0.25">
      <c r="A2586" t="s">
        <v>1580</v>
      </c>
      <c r="B2586" s="2">
        <v>46128</v>
      </c>
      <c r="C2586" t="str">
        <f>+"Tuáº§n "&amp;WEEKNUM(B2586)</f>
        <v>Tuáº§n 16</v>
      </c>
      <c r="D2586" t="s">
        <v>20</v>
      </c>
      <c r="E2586" t="s">
        <v>17</v>
      </c>
      <c r="F2586" s="5">
        <v>167200000</v>
      </c>
      <c r="G2586" s="5">
        <v>170700000</v>
      </c>
      <c r="H2586" s="5">
        <f>+(M2586*26000)/0.829426</f>
        <v>150499984.32651016</v>
      </c>
      <c r="I2586" s="5">
        <f>+G2586-H2586</f>
        <v>20200015.673489839</v>
      </c>
      <c r="J2586" s="5">
        <v>3500000</v>
      </c>
      <c r="K2586" s="5">
        <v>16720000</v>
      </c>
      <c r="L2586" s="5">
        <v>17070000</v>
      </c>
      <c r="M2586" s="7">
        <v>4801.1000000000004</v>
      </c>
      <c r="N2586" s="5">
        <v>0</v>
      </c>
      <c r="O2586" s="5">
        <v>0</v>
      </c>
      <c r="P2586" s="3">
        <v>0.97916666666666663</v>
      </c>
    </row>
    <row r="2587" spans="1:16" x14ac:dyDescent="0.25">
      <c r="A2587" t="s">
        <v>1581</v>
      </c>
      <c r="B2587" s="2">
        <v>46129</v>
      </c>
      <c r="C2587" t="str">
        <f>+"Tuáº§n "&amp;WEEKNUM(B2587)</f>
        <v>Tuáº§n 16</v>
      </c>
      <c r="D2587" t="s">
        <v>21</v>
      </c>
      <c r="E2587" t="s">
        <v>17</v>
      </c>
      <c r="F2587" s="5">
        <v>167000000</v>
      </c>
      <c r="G2587" s="5">
        <v>170500000</v>
      </c>
      <c r="H2587" s="5">
        <f>+(M2587*26000)/0.829426</f>
        <v>152681734.11491802</v>
      </c>
      <c r="I2587" s="5">
        <f>+G2587-H2587</f>
        <v>17818265.885081977</v>
      </c>
      <c r="J2587" s="5">
        <v>3500000</v>
      </c>
      <c r="K2587" s="5">
        <v>16700000</v>
      </c>
      <c r="L2587" s="5">
        <v>17050000</v>
      </c>
      <c r="M2587" s="7">
        <v>4870.7</v>
      </c>
      <c r="N2587" s="5">
        <v>0</v>
      </c>
      <c r="O2587" s="5">
        <v>0</v>
      </c>
      <c r="P2587" s="3">
        <v>0.97916666666666663</v>
      </c>
    </row>
    <row r="2588" spans="1:16" x14ac:dyDescent="0.25">
      <c r="A2588" t="s">
        <v>1582</v>
      </c>
      <c r="B2588" s="2">
        <v>46132</v>
      </c>
      <c r="C2588" t="str">
        <f>+"Tuáº§n "&amp;WEEKNUM(B2588)</f>
        <v>Tuáº§n 17</v>
      </c>
      <c r="D2588" t="s">
        <v>16</v>
      </c>
      <c r="E2588" t="s">
        <v>17</v>
      </c>
      <c r="F2588" s="5">
        <v>167800000</v>
      </c>
      <c r="G2588" s="5">
        <v>170800000</v>
      </c>
      <c r="H2588" s="5">
        <f>+(M2588*26000)/0.829426</f>
        <v>150518792.51434124</v>
      </c>
      <c r="I2588" s="5">
        <f>+G2588-H2588</f>
        <v>20281207.485658765</v>
      </c>
      <c r="J2588" s="5">
        <v>3000000</v>
      </c>
      <c r="K2588" s="5">
        <v>16780000</v>
      </c>
      <c r="L2588" s="5">
        <v>17080000</v>
      </c>
      <c r="M2588" s="7">
        <v>4801.7</v>
      </c>
      <c r="N2588" s="5">
        <v>0</v>
      </c>
      <c r="O2588" s="5">
        <v>0</v>
      </c>
      <c r="P2588" s="3">
        <v>0.97916666666666663</v>
      </c>
    </row>
    <row r="2589" spans="1:16" x14ac:dyDescent="0.25">
      <c r="A2589" t="s">
        <v>1583</v>
      </c>
      <c r="B2589" s="2">
        <v>46133</v>
      </c>
      <c r="C2589" t="str">
        <f>+"Tuáº§n "&amp;WEEKNUM(B2589)</f>
        <v>Tuáº§n 17</v>
      </c>
      <c r="D2589" t="s">
        <v>18</v>
      </c>
      <c r="E2589" t="s">
        <v>17</v>
      </c>
      <c r="F2589" s="5">
        <v>167900000</v>
      </c>
      <c r="G2589" s="5">
        <v>170400000</v>
      </c>
      <c r="H2589" s="5">
        <f>+(M2589*26000)/0.829426</f>
        <v>148170903.73342529</v>
      </c>
      <c r="I2589" s="5">
        <f>+G2589-H2589</f>
        <v>22229096.266574711</v>
      </c>
      <c r="J2589" s="5">
        <v>2500000</v>
      </c>
      <c r="K2589" s="5">
        <v>16790000</v>
      </c>
      <c r="L2589" s="5">
        <v>17040000</v>
      </c>
      <c r="M2589" s="7">
        <v>4726.8</v>
      </c>
      <c r="N2589" s="5">
        <v>0</v>
      </c>
      <c r="O2589" s="5">
        <v>0</v>
      </c>
      <c r="P2589" s="3">
        <v>0.97916666666666663</v>
      </c>
    </row>
    <row r="2590" spans="1:16" x14ac:dyDescent="0.25">
      <c r="A2590" t="s">
        <v>1584</v>
      </c>
      <c r="B2590" s="2">
        <v>46134</v>
      </c>
      <c r="C2590" t="str">
        <f>+"Tuáº§n "&amp;WEEKNUM(B2590)</f>
        <v>Tuáº§n 17</v>
      </c>
      <c r="D2590" t="s">
        <v>19</v>
      </c>
      <c r="E2590" t="s">
        <v>17</v>
      </c>
      <c r="F2590" s="5">
        <v>167300000</v>
      </c>
      <c r="G2590" s="5">
        <v>169800000</v>
      </c>
      <c r="H2590" s="5">
        <f>+(M2590*26000)/0.829426</f>
        <v>148233597.6928623</v>
      </c>
      <c r="I2590" s="5">
        <f>+G2590-H2590</f>
        <v>21566402.307137698</v>
      </c>
      <c r="J2590" s="5">
        <v>2500000</v>
      </c>
      <c r="K2590" s="5">
        <v>16730000</v>
      </c>
      <c r="L2590" s="5">
        <v>16980000</v>
      </c>
      <c r="M2590" s="7">
        <v>4728.8</v>
      </c>
      <c r="N2590" s="5">
        <v>0</v>
      </c>
      <c r="O2590" s="5">
        <v>0</v>
      </c>
      <c r="P2590" s="3">
        <v>0.97916666666666663</v>
      </c>
    </row>
    <row r="2591" spans="1:16" x14ac:dyDescent="0.25">
      <c r="A2591" t="s">
        <v>1585</v>
      </c>
      <c r="B2591" s="2">
        <v>46135</v>
      </c>
      <c r="C2591" t="str">
        <f>+"Tuáº§n "&amp;WEEKNUM(B2591)</f>
        <v>Tuáº§n 17</v>
      </c>
      <c r="D2591" t="s">
        <v>20</v>
      </c>
      <c r="E2591" t="s">
        <v>17</v>
      </c>
      <c r="F2591" s="5">
        <v>166500000</v>
      </c>
      <c r="G2591" s="5">
        <v>169000000</v>
      </c>
      <c r="H2591" s="5">
        <f>+(M2591*26000)/0.829426</f>
        <v>148105075.07601643</v>
      </c>
      <c r="I2591" s="5">
        <f>+G2591-H2591</f>
        <v>20894924.923983574</v>
      </c>
      <c r="J2591" s="5">
        <v>2500000</v>
      </c>
      <c r="K2591" s="5">
        <v>16650000</v>
      </c>
      <c r="L2591" s="5">
        <v>16900000</v>
      </c>
      <c r="M2591" s="7">
        <v>4724.7</v>
      </c>
      <c r="N2591" s="5">
        <v>0</v>
      </c>
      <c r="O2591" s="5">
        <v>0</v>
      </c>
      <c r="P2591" s="3">
        <v>0.97916666666666663</v>
      </c>
    </row>
    <row r="2592" spans="1:16" x14ac:dyDescent="0.25">
      <c r="A2592" t="s">
        <v>1586</v>
      </c>
      <c r="B2592" s="2">
        <v>46136</v>
      </c>
      <c r="C2592" t="str">
        <f>+"Tuáº§n "&amp;WEEKNUM(B2592)</f>
        <v>Tuáº§n 17</v>
      </c>
      <c r="D2592" t="s">
        <v>21</v>
      </c>
      <c r="E2592" t="s">
        <v>17</v>
      </c>
      <c r="F2592" s="5">
        <v>165000000</v>
      </c>
      <c r="G2592" s="5">
        <v>167500000</v>
      </c>
      <c r="H2592" s="5">
        <f>+(M2592*26000)/0.829426</f>
        <v>148123883.26384753</v>
      </c>
      <c r="I2592" s="5">
        <f>+G2592-H2592</f>
        <v>19376116.73615247</v>
      </c>
      <c r="J2592" s="5">
        <v>2500000</v>
      </c>
      <c r="K2592" s="5">
        <v>16500000</v>
      </c>
      <c r="L2592" s="5">
        <v>16750000</v>
      </c>
      <c r="M2592" s="7">
        <v>4725.3</v>
      </c>
      <c r="N2592" s="5">
        <v>0</v>
      </c>
      <c r="O2592" s="5">
        <v>0</v>
      </c>
      <c r="P2592" s="3">
        <v>0.97916666666666663</v>
      </c>
    </row>
    <row r="2593" spans="1:16" x14ac:dyDescent="0.25">
      <c r="A2593" t="s">
        <v>1587</v>
      </c>
      <c r="B2593" s="2">
        <v>46139</v>
      </c>
      <c r="C2593" t="str">
        <f>+"Tuáº§n "&amp;WEEKNUM(B2593)</f>
        <v>Tuáº§n 18</v>
      </c>
      <c r="D2593" t="s">
        <v>16</v>
      </c>
      <c r="E2593" t="s">
        <v>17</v>
      </c>
      <c r="F2593" s="5">
        <v>165800000</v>
      </c>
      <c r="G2593" s="5">
        <v>168300000</v>
      </c>
      <c r="H2593" s="5">
        <f>+(M2593*26000)/0.829426</f>
        <v>146597285.35155639</v>
      </c>
      <c r="I2593" s="5">
        <f>+G2593-H2593</f>
        <v>21702714.648443609</v>
      </c>
      <c r="J2593" s="5">
        <v>2500000</v>
      </c>
      <c r="K2593" s="5">
        <v>16580000</v>
      </c>
      <c r="L2593" s="5">
        <v>16830000</v>
      </c>
      <c r="M2593" s="7">
        <v>4676.6000000000004</v>
      </c>
      <c r="N2593" s="5">
        <v>0</v>
      </c>
      <c r="O2593" s="5">
        <v>0</v>
      </c>
      <c r="P2593" s="3">
        <v>0.97916666666666663</v>
      </c>
    </row>
    <row r="2594" spans="1:16" x14ac:dyDescent="0.25">
      <c r="A2594" t="s">
        <v>1588</v>
      </c>
      <c r="B2594" s="2">
        <v>46140</v>
      </c>
      <c r="C2594" t="str">
        <f>+"Tuáº§n "&amp;WEEKNUM(B2594)</f>
        <v>Tuáº§n 18</v>
      </c>
      <c r="D2594" t="s">
        <v>18</v>
      </c>
      <c r="E2594" t="s">
        <v>17</v>
      </c>
      <c r="F2594" s="5">
        <v>165800000</v>
      </c>
      <c r="G2594" s="5">
        <v>168300000</v>
      </c>
      <c r="H2594" s="5">
        <f>+(M2594*26000)/0.829426</f>
        <v>143747844.89514434</v>
      </c>
      <c r="I2594" s="5">
        <f>+G2594-H2594</f>
        <v>24552155.104855657</v>
      </c>
      <c r="J2594" s="5">
        <v>2500000</v>
      </c>
      <c r="K2594" s="5">
        <v>16580000</v>
      </c>
      <c r="L2594" s="5">
        <v>16830000</v>
      </c>
      <c r="M2594" s="7">
        <v>4585.7</v>
      </c>
      <c r="N2594" s="5">
        <v>0</v>
      </c>
      <c r="O2594" s="5">
        <v>0</v>
      </c>
      <c r="P2594" s="3">
        <v>0.97916666666666663</v>
      </c>
    </row>
    <row r="2595" spans="1:16" x14ac:dyDescent="0.25">
      <c r="A2595" t="s">
        <v>1589</v>
      </c>
      <c r="B2595" s="2">
        <v>46141</v>
      </c>
      <c r="C2595" t="str">
        <f>+"Tuáº§n "&amp;WEEKNUM(B2595)</f>
        <v>Tuáº§n 18</v>
      </c>
      <c r="D2595" t="s">
        <v>19</v>
      </c>
      <c r="E2595" t="s">
        <v>17</v>
      </c>
      <c r="F2595" s="5">
        <v>165800000</v>
      </c>
      <c r="G2595" s="5">
        <v>168300000</v>
      </c>
      <c r="H2595" s="5">
        <f>+(M2595*26000)/0.829426</f>
        <v>143089558.32105577</v>
      </c>
      <c r="I2595" s="5">
        <f>+G2595-H2595</f>
        <v>25210441.67894423</v>
      </c>
      <c r="J2595" s="5">
        <v>2500000</v>
      </c>
      <c r="K2595" s="5">
        <v>16580000</v>
      </c>
      <c r="L2595" s="5">
        <v>16830000</v>
      </c>
      <c r="M2595" s="7">
        <v>4564.7</v>
      </c>
      <c r="N2595" s="5">
        <v>0</v>
      </c>
      <c r="O2595" s="5">
        <v>0</v>
      </c>
      <c r="P2595" s="3">
        <v>0.97916666666666663</v>
      </c>
    </row>
    <row r="2596" spans="1:16" x14ac:dyDescent="0.25">
      <c r="A2596" t="s">
        <v>1590</v>
      </c>
      <c r="B2596" s="2">
        <v>46142</v>
      </c>
      <c r="C2596" t="str">
        <f>+"Tuáº§n "&amp;WEEKNUM(B2596)</f>
        <v>Tuáº§n 18</v>
      </c>
      <c r="D2596" t="s">
        <v>20</v>
      </c>
      <c r="E2596" t="s">
        <v>17</v>
      </c>
      <c r="F2596" s="5">
        <v>162500000</v>
      </c>
      <c r="G2596" s="5">
        <v>165500000</v>
      </c>
      <c r="H2596" s="5">
        <f>+(M2596*26000)/0.829426</f>
        <v>144506441.80433214</v>
      </c>
      <c r="I2596" s="5">
        <f>+G2596-H2596</f>
        <v>20993558.195667863</v>
      </c>
      <c r="J2596" s="5">
        <v>3000000</v>
      </c>
      <c r="K2596" s="5">
        <v>16250000</v>
      </c>
      <c r="L2596" s="5">
        <v>16550000</v>
      </c>
      <c r="M2596" s="7">
        <v>4609.8999999999996</v>
      </c>
      <c r="N2596" s="5">
        <v>0</v>
      </c>
      <c r="O2596" s="5">
        <v>0</v>
      </c>
      <c r="P2596" s="3">
        <v>0.97916666666666663</v>
      </c>
    </row>
    <row r="2597" spans="1:16" x14ac:dyDescent="0.25">
      <c r="A2597" s="2">
        <v>46027</v>
      </c>
      <c r="B2597" s="2">
        <v>46143</v>
      </c>
      <c r="C2597" t="str">
        <f>+"Tuáº§n "&amp;WEEKNUM(B2597)</f>
        <v>Tuáº§n 18</v>
      </c>
      <c r="D2597" t="s">
        <v>21</v>
      </c>
      <c r="E2597" t="s">
        <v>17</v>
      </c>
      <c r="F2597" s="5">
        <v>162500000</v>
      </c>
      <c r="G2597" s="5">
        <v>165500000</v>
      </c>
      <c r="H2597" s="5">
        <f>+(M2597*26000)/0.829426</f>
        <v>145497006.36343688</v>
      </c>
      <c r="I2597" s="5">
        <f>+G2597-H2597</f>
        <v>20002993.636563122</v>
      </c>
      <c r="J2597" s="5">
        <v>3000000</v>
      </c>
      <c r="K2597" s="5">
        <v>16250000</v>
      </c>
      <c r="L2597" s="5">
        <v>16550000</v>
      </c>
      <c r="M2597" s="7">
        <v>4641.5</v>
      </c>
      <c r="N2597" s="5">
        <v>0</v>
      </c>
      <c r="O2597" s="5">
        <v>0</v>
      </c>
      <c r="P2597" s="3">
        <v>0.97916666666666663</v>
      </c>
    </row>
    <row r="2598" spans="1:16" x14ac:dyDescent="0.25">
      <c r="A2598" s="2">
        <v>46117</v>
      </c>
      <c r="B2598" s="2">
        <v>46146</v>
      </c>
      <c r="C2598" t="str">
        <f>+"Tuáº§n "&amp;WEEKNUM(B2598)</f>
        <v>Tuáº§n 19</v>
      </c>
      <c r="D2598" t="s">
        <v>16</v>
      </c>
      <c r="E2598" t="s">
        <v>17</v>
      </c>
      <c r="F2598" s="5">
        <v>162800000</v>
      </c>
      <c r="G2598" s="5">
        <v>165800000</v>
      </c>
      <c r="H2598" s="5">
        <f>+(M2598*26000)/0.829426</f>
        <v>141541017.52296168</v>
      </c>
      <c r="I2598" s="5">
        <f>+G2598-H2598</f>
        <v>24258982.477038324</v>
      </c>
      <c r="J2598" s="5">
        <v>3000000</v>
      </c>
      <c r="K2598" s="5">
        <v>16280000</v>
      </c>
      <c r="L2598" s="5">
        <v>16580000</v>
      </c>
      <c r="M2598" s="7">
        <v>4515.3</v>
      </c>
      <c r="N2598" s="5">
        <v>0</v>
      </c>
      <c r="O2598" s="5">
        <v>0</v>
      </c>
      <c r="P2598" s="3">
        <v>0.97916666666666663</v>
      </c>
    </row>
    <row r="2599" spans="1:16" x14ac:dyDescent="0.25">
      <c r="A2599" s="2">
        <v>46147</v>
      </c>
      <c r="B2599" s="2">
        <v>46147</v>
      </c>
      <c r="C2599" t="str">
        <f>+"Tuáº§n "&amp;WEEKNUM(B2599)</f>
        <v>Tuáº§n 19</v>
      </c>
      <c r="D2599" t="s">
        <v>18</v>
      </c>
      <c r="E2599" t="s">
        <v>17</v>
      </c>
      <c r="F2599" s="5">
        <v>161500000</v>
      </c>
      <c r="G2599" s="5">
        <v>164500000</v>
      </c>
      <c r="H2599" s="5">
        <f>+(M2599*26000)/0.829426</f>
        <v>142948496.91232249</v>
      </c>
      <c r="I2599" s="5">
        <f>+G2599-H2599</f>
        <v>21551503.087677509</v>
      </c>
      <c r="J2599" s="5">
        <v>3000000</v>
      </c>
      <c r="K2599" s="5">
        <v>16150000</v>
      </c>
      <c r="L2599" s="5">
        <v>16450000</v>
      </c>
      <c r="M2599" s="7">
        <v>4560.2</v>
      </c>
      <c r="N2599" s="5">
        <v>0</v>
      </c>
      <c r="O2599" s="5">
        <v>0</v>
      </c>
      <c r="P2599" s="3">
        <v>0.97916666666666663</v>
      </c>
    </row>
    <row r="2600" spans="1:16" x14ac:dyDescent="0.25">
      <c r="A2600" s="2">
        <v>46178</v>
      </c>
      <c r="B2600" s="2">
        <v>46148</v>
      </c>
      <c r="C2600" t="str">
        <f>+"Tuáº§n "&amp;WEEKNUM(B2600)</f>
        <v>Tuáº§n 19</v>
      </c>
      <c r="D2600" t="s">
        <v>19</v>
      </c>
      <c r="E2600" t="s">
        <v>17</v>
      </c>
      <c r="F2600" s="5">
        <v>162500000</v>
      </c>
      <c r="G2600" s="5">
        <v>165500000</v>
      </c>
      <c r="H2600" s="5">
        <f>+(M2600*26000)/0.829426</f>
        <v>146982853.20209396</v>
      </c>
      <c r="I2600" s="5">
        <f>+G2600-H2600</f>
        <v>18517146.797906041</v>
      </c>
      <c r="J2600" s="5">
        <v>3000000</v>
      </c>
      <c r="K2600" s="5">
        <v>16250000</v>
      </c>
      <c r="L2600" s="5">
        <v>16550000</v>
      </c>
      <c r="M2600" s="7">
        <v>4688.8999999999996</v>
      </c>
      <c r="N2600" s="5">
        <v>0</v>
      </c>
      <c r="O2600" s="5">
        <v>0</v>
      </c>
      <c r="P2600" s="3">
        <v>0.97916666666666663</v>
      </c>
    </row>
    <row r="2601" spans="1:16" x14ac:dyDescent="0.25">
      <c r="A2601" s="2">
        <v>46208</v>
      </c>
      <c r="B2601" s="2">
        <v>46149</v>
      </c>
      <c r="C2601" t="str">
        <f>+"Tuáº§n "&amp;WEEKNUM(B2601)</f>
        <v>Tuáº§n 19</v>
      </c>
      <c r="D2601" t="s">
        <v>20</v>
      </c>
      <c r="E2601" t="s">
        <v>17</v>
      </c>
      <c r="F2601" s="5">
        <v>164000000</v>
      </c>
      <c r="G2601" s="5">
        <v>167000000</v>
      </c>
      <c r="H2601" s="5">
        <f>+(M2601*26000)/0.829426</f>
        <v>148083132.19021347</v>
      </c>
      <c r="I2601" s="5">
        <f>+G2601-H2601</f>
        <v>18916867.809786528</v>
      </c>
      <c r="J2601" s="5">
        <v>3000000</v>
      </c>
      <c r="K2601" s="5">
        <v>16400000</v>
      </c>
      <c r="L2601" s="5">
        <v>16700000</v>
      </c>
      <c r="M2601" s="7">
        <v>4724</v>
      </c>
      <c r="N2601" s="5">
        <v>0</v>
      </c>
      <c r="O2601" s="5">
        <v>0</v>
      </c>
      <c r="P2601" s="3">
        <v>0.97916666666666663</v>
      </c>
    </row>
    <row r="2602" spans="1:16" x14ac:dyDescent="0.25">
      <c r="A2602" s="2">
        <v>46239</v>
      </c>
      <c r="B2602" s="2">
        <v>46150</v>
      </c>
      <c r="C2602" t="str">
        <f>+"Tuáº§n "&amp;WEEKNUM(B2602)</f>
        <v>Tuáº§n 19</v>
      </c>
      <c r="D2602" t="s">
        <v>21</v>
      </c>
      <c r="E2602" t="s">
        <v>17</v>
      </c>
      <c r="F2602" s="5">
        <v>164000000</v>
      </c>
      <c r="G2602" s="5">
        <v>167000000</v>
      </c>
      <c r="H2602" s="5">
        <f>+(M2602*26000)/0.829426</f>
        <v>147860568.63421208</v>
      </c>
      <c r="I2602" s="5">
        <f>+G2602-H2602</f>
        <v>19139431.365787923</v>
      </c>
      <c r="J2602" s="5">
        <v>3000000</v>
      </c>
      <c r="K2602" s="5">
        <v>16400000</v>
      </c>
      <c r="L2602" s="5">
        <v>16700000</v>
      </c>
      <c r="M2602" s="7">
        <v>4716.8999999999996</v>
      </c>
      <c r="N2602" s="5">
        <v>0</v>
      </c>
      <c r="O2602" s="5">
        <v>0</v>
      </c>
      <c r="P2602" s="3">
        <v>0.97916666666666663</v>
      </c>
    </row>
    <row r="2603" spans="1:16" x14ac:dyDescent="0.25">
      <c r="A2603" s="2">
        <v>46331</v>
      </c>
      <c r="B2603" s="2">
        <v>46153</v>
      </c>
      <c r="C2603" t="str">
        <f>+"Tuáº§n "&amp;WEEKNUM(B2603)</f>
        <v>Tuáº§n 20</v>
      </c>
      <c r="D2603" t="s">
        <v>16</v>
      </c>
      <c r="E2603" t="s">
        <v>17</v>
      </c>
      <c r="F2603" s="5">
        <v>161700000</v>
      </c>
      <c r="G2603" s="5">
        <v>164700000</v>
      </c>
      <c r="H2603" s="5">
        <f>+(M2603*26000)/0.829426</f>
        <v>148142691.4516786</v>
      </c>
      <c r="I2603" s="5">
        <f>+G2603-H2603</f>
        <v>16557308.548321396</v>
      </c>
      <c r="J2603" s="5">
        <v>3000000</v>
      </c>
      <c r="K2603" s="5">
        <v>16170000</v>
      </c>
      <c r="L2603" s="5">
        <v>16470000</v>
      </c>
      <c r="M2603" s="7">
        <v>4725.8999999999996</v>
      </c>
      <c r="N2603" s="5">
        <v>0</v>
      </c>
      <c r="O2603" s="5">
        <v>0</v>
      </c>
      <c r="P2603" s="3">
        <v>0.97916666666666663</v>
      </c>
    </row>
    <row r="2604" spans="1:16" x14ac:dyDescent="0.25">
      <c r="A2604" s="2">
        <v>46361</v>
      </c>
      <c r="B2604" s="2">
        <v>46154</v>
      </c>
      <c r="C2604" t="str">
        <f>+"Tuáº§n "&amp;WEEKNUM(B2604)</f>
        <v>Tuáº§n 20</v>
      </c>
      <c r="D2604" t="s">
        <v>18</v>
      </c>
      <c r="E2604" t="s">
        <v>17</v>
      </c>
      <c r="F2604" s="5">
        <v>162300000</v>
      </c>
      <c r="G2604" s="5">
        <v>165300000</v>
      </c>
      <c r="H2604" s="5">
        <f>+(M2604*26000)/0.829426</f>
        <v>146409203.47324538</v>
      </c>
      <c r="I2604" s="5">
        <f>+G2604-H2604</f>
        <v>18890796.526754618</v>
      </c>
      <c r="J2604" s="5">
        <v>3000000</v>
      </c>
      <c r="K2604" s="5">
        <v>16230000</v>
      </c>
      <c r="L2604" s="5">
        <v>16530000</v>
      </c>
      <c r="M2604" s="7">
        <v>4670.6000000000004</v>
      </c>
      <c r="N2604" s="5">
        <v>0</v>
      </c>
      <c r="O2604" s="5">
        <v>0</v>
      </c>
      <c r="P2604" s="3">
        <v>0.97916666666666663</v>
      </c>
    </row>
    <row r="2605" spans="1:16" x14ac:dyDescent="0.25">
      <c r="A2605" t="s">
        <v>1591</v>
      </c>
      <c r="B2605" s="2">
        <v>46155</v>
      </c>
      <c r="C2605" t="str">
        <f>+"Tuáº§n "&amp;WEEKNUM(B2605)</f>
        <v>Tuáº§n 20</v>
      </c>
      <c r="D2605" t="s">
        <v>19</v>
      </c>
      <c r="E2605" t="s">
        <v>17</v>
      </c>
      <c r="F2605" s="5">
        <v>161800000</v>
      </c>
      <c r="G2605" s="5">
        <v>164800000</v>
      </c>
      <c r="H2605" s="5">
        <f>+(M2605*26000)/0.829426</f>
        <v>147669352.05792922</v>
      </c>
      <c r="I2605" s="5">
        <f>+G2605-H2605</f>
        <v>17130647.942070782</v>
      </c>
      <c r="J2605" s="5">
        <v>3000000</v>
      </c>
      <c r="K2605" s="5">
        <v>16180000</v>
      </c>
      <c r="L2605" s="5">
        <v>16480000</v>
      </c>
      <c r="M2605" s="7">
        <v>4710.8</v>
      </c>
      <c r="N2605" s="5">
        <v>0</v>
      </c>
      <c r="O2605" s="5">
        <v>0</v>
      </c>
      <c r="P2605" s="3">
        <v>0.97916666666666663</v>
      </c>
    </row>
    <row r="2606" spans="1:16" x14ac:dyDescent="0.25">
      <c r="A2606" t="s">
        <v>1592</v>
      </c>
      <c r="B2606" s="2">
        <v>46156</v>
      </c>
      <c r="C2606" t="str">
        <f>+"Tuáº§n "&amp;WEEKNUM(B2606)</f>
        <v>Tuáº§n 20</v>
      </c>
      <c r="D2606" t="s">
        <v>20</v>
      </c>
      <c r="E2606" t="s">
        <v>17</v>
      </c>
      <c r="F2606" s="5">
        <v>161800000</v>
      </c>
      <c r="G2606" s="5">
        <v>164800000</v>
      </c>
      <c r="H2606" s="5">
        <f>+(M2606*26000)/0.829426</f>
        <v>146631767.02924675</v>
      </c>
      <c r="I2606" s="5">
        <f>+G2606-H2606</f>
        <v>18168232.970753253</v>
      </c>
      <c r="J2606" s="5">
        <v>3000000</v>
      </c>
      <c r="K2606" s="5">
        <v>16180000</v>
      </c>
      <c r="L2606" s="5">
        <v>16480000</v>
      </c>
      <c r="M2606" s="7">
        <v>4677.7</v>
      </c>
      <c r="N2606" s="5">
        <v>0</v>
      </c>
      <c r="O2606" s="5">
        <v>0</v>
      </c>
      <c r="P2606" s="3">
        <v>0.97916666666666663</v>
      </c>
    </row>
    <row r="2607" spans="1:16" x14ac:dyDescent="0.25">
      <c r="A2607" t="s">
        <v>1593</v>
      </c>
      <c r="B2607" s="2">
        <v>46157</v>
      </c>
      <c r="C2607" t="str">
        <f>+"Tuáº§n "&amp;WEEKNUM(B2607)</f>
        <v>Tuáº§n 20</v>
      </c>
      <c r="D2607" t="s">
        <v>21</v>
      </c>
      <c r="E2607" t="s">
        <v>17</v>
      </c>
      <c r="F2607" s="5">
        <v>160800000</v>
      </c>
      <c r="G2607" s="5">
        <v>163800000</v>
      </c>
      <c r="H2607" s="5">
        <f>+(M2607*26000)/0.829426</f>
        <v>142343500.20375535</v>
      </c>
      <c r="I2607" s="5">
        <f>+G2607-H2607</f>
        <v>21456499.796244651</v>
      </c>
      <c r="J2607" s="5">
        <v>3000000</v>
      </c>
      <c r="K2607" s="5">
        <v>16080000</v>
      </c>
      <c r="L2607" s="5">
        <v>16380000</v>
      </c>
      <c r="M2607" s="7">
        <v>4540.8999999999996</v>
      </c>
      <c r="N2607" s="5">
        <v>0</v>
      </c>
      <c r="O2607" s="5">
        <v>0</v>
      </c>
      <c r="P2607" s="3">
        <v>0.97916666666666663</v>
      </c>
    </row>
    <row r="2608" spans="1:16" x14ac:dyDescent="0.25">
      <c r="A2608" t="s">
        <v>1594</v>
      </c>
      <c r="B2608" s="2">
        <v>46160</v>
      </c>
      <c r="C2608" t="str">
        <f>+"Tuáº§n "&amp;WEEKNUM(B2608)</f>
        <v>Tuáº§n 21</v>
      </c>
      <c r="D2608" t="s">
        <v>16</v>
      </c>
      <c r="E2608" t="s">
        <v>17</v>
      </c>
      <c r="F2608" s="5">
        <v>160300000</v>
      </c>
      <c r="G2608" s="5">
        <v>163300000</v>
      </c>
      <c r="H2608" s="5">
        <f>+(M2608*26000)/0.829426</f>
        <v>142352904.29767093</v>
      </c>
      <c r="I2608" s="5">
        <f>+G2608-H2608</f>
        <v>20947095.702329069</v>
      </c>
      <c r="J2608" s="5">
        <v>3000000</v>
      </c>
      <c r="K2608" s="5">
        <v>16030000</v>
      </c>
      <c r="L2608" s="5">
        <v>16330000</v>
      </c>
      <c r="M2608" s="7">
        <v>4541.2</v>
      </c>
      <c r="N2608" s="5">
        <v>0</v>
      </c>
      <c r="O2608" s="5">
        <v>0</v>
      </c>
      <c r="P2608" s="3">
        <v>0.97916666666666663</v>
      </c>
    </row>
    <row r="2609" spans="1:16" x14ac:dyDescent="0.25">
      <c r="A2609" t="s">
        <v>1595</v>
      </c>
      <c r="B2609" s="2">
        <v>46161</v>
      </c>
      <c r="C2609" t="str">
        <f>+"Tuáº§n "&amp;WEEKNUM(B2609)</f>
        <v>Tuáº§n 21</v>
      </c>
      <c r="D2609" t="s">
        <v>18</v>
      </c>
      <c r="E2609" t="s">
        <v>17</v>
      </c>
      <c r="F2609" s="5">
        <v>160300000</v>
      </c>
      <c r="G2609" s="5">
        <v>163300000</v>
      </c>
      <c r="H2609" s="5">
        <f>+(M2609*26000)/0.829426</f>
        <v>141359205.04059434</v>
      </c>
      <c r="I2609" s="5">
        <f>+G2609-H2609</f>
        <v>21940794.959405661</v>
      </c>
      <c r="J2609" s="5">
        <v>3000000</v>
      </c>
      <c r="K2609" s="5">
        <v>16030000</v>
      </c>
      <c r="L2609" s="5">
        <v>16330000</v>
      </c>
      <c r="M2609" s="7">
        <v>4509.5</v>
      </c>
      <c r="N2609" s="5">
        <v>0</v>
      </c>
      <c r="O2609" s="5">
        <v>0</v>
      </c>
      <c r="P2609" s="3">
        <v>0.97916666666666663</v>
      </c>
    </row>
    <row r="2610" spans="1:16" x14ac:dyDescent="0.25">
      <c r="A2610" t="s">
        <v>1596</v>
      </c>
      <c r="B2610" s="2">
        <v>46162</v>
      </c>
      <c r="C2610" t="str">
        <f>+"Tuáº§n "&amp;WEEKNUM(B2610)</f>
        <v>Tuáº§n 21</v>
      </c>
      <c r="D2610" t="s">
        <v>19</v>
      </c>
      <c r="E2610" t="s">
        <v>17</v>
      </c>
      <c r="F2610" s="5">
        <v>158000000</v>
      </c>
      <c r="G2610" s="5">
        <v>161000000</v>
      </c>
      <c r="H2610" s="5">
        <f>+(M2610*26000)/0.829426</f>
        <v>141951662.95727405</v>
      </c>
      <c r="I2610" s="5">
        <f>+G2610-H2610</f>
        <v>19048337.04272595</v>
      </c>
      <c r="J2610" s="5">
        <v>3000000</v>
      </c>
      <c r="K2610" s="5">
        <v>15800000</v>
      </c>
      <c r="L2610" s="5">
        <v>16100000</v>
      </c>
      <c r="M2610" s="7">
        <v>4528.3999999999996</v>
      </c>
      <c r="N2610" s="5">
        <v>0</v>
      </c>
      <c r="O2610" s="5">
        <v>0</v>
      </c>
      <c r="P2610" s="3">
        <v>0.97916666666666663</v>
      </c>
    </row>
    <row r="2611" spans="1:16" x14ac:dyDescent="0.25">
      <c r="A2611" t="s">
        <v>1597</v>
      </c>
      <c r="B2611" s="2">
        <v>46163</v>
      </c>
      <c r="C2611" t="str">
        <f>+"Tuáº§n "&amp;WEEKNUM(B2611)</f>
        <v>Tuáº§n 21</v>
      </c>
      <c r="D2611" t="s">
        <v>20</v>
      </c>
      <c r="E2611" t="s">
        <v>17</v>
      </c>
      <c r="F2611" s="5">
        <v>158900000</v>
      </c>
      <c r="G2611" s="5">
        <v>161900000</v>
      </c>
      <c r="H2611" s="5">
        <f>+(M2611*26000)/0.829426</f>
        <v>141638193.16008902</v>
      </c>
      <c r="I2611" s="5">
        <f>+G2611-H2611</f>
        <v>20261806.839910984</v>
      </c>
      <c r="J2611" s="5">
        <v>3000000</v>
      </c>
      <c r="K2611" s="5">
        <v>15890000</v>
      </c>
      <c r="L2611" s="5">
        <v>16190000</v>
      </c>
      <c r="M2611" s="7">
        <v>4518.3999999999996</v>
      </c>
      <c r="N2611" s="5">
        <v>0</v>
      </c>
      <c r="O2611" s="5">
        <v>0</v>
      </c>
      <c r="P2611" s="3">
        <v>0.97916666666666663</v>
      </c>
    </row>
    <row r="2612" spans="1:16" x14ac:dyDescent="0.25">
      <c r="A2612" t="s">
        <v>1598</v>
      </c>
      <c r="B2612" s="2">
        <v>46164</v>
      </c>
      <c r="C2612" t="str">
        <f>+"Tuáº§n "&amp;WEEKNUM(B2612)</f>
        <v>Tuáº§n 21</v>
      </c>
      <c r="D2612" t="s">
        <v>21</v>
      </c>
      <c r="E2612" t="s">
        <v>17</v>
      </c>
      <c r="F2612" s="5">
        <v>158500000</v>
      </c>
      <c r="G2612" s="5">
        <v>161500000</v>
      </c>
      <c r="H2612" s="5">
        <f>+(M2612*26000)/0.829426</f>
        <v>141813736.24651265</v>
      </c>
      <c r="I2612" s="5">
        <f>+G2612-H2612</f>
        <v>19686263.753487349</v>
      </c>
      <c r="J2612" s="5">
        <v>3000000</v>
      </c>
      <c r="K2612" s="5">
        <v>15850000</v>
      </c>
      <c r="L2612" s="5">
        <v>16150000</v>
      </c>
      <c r="M2612" s="7">
        <v>4524</v>
      </c>
      <c r="N2612" s="5">
        <v>0</v>
      </c>
      <c r="O2612" s="5">
        <v>0</v>
      </c>
      <c r="P2612" s="3">
        <v>0.97916666666666663</v>
      </c>
    </row>
    <row r="2613" spans="1:16" x14ac:dyDescent="0.25">
      <c r="A2613" t="s">
        <v>1599</v>
      </c>
      <c r="B2613" s="2">
        <v>46168</v>
      </c>
      <c r="C2613" t="str">
        <f>+"Tuáº§n "&amp;WEEKNUM(B2613)</f>
        <v>Tuáº§n 22</v>
      </c>
      <c r="D2613" t="s">
        <v>18</v>
      </c>
      <c r="E2613" t="s">
        <v>17</v>
      </c>
      <c r="F2613" s="5">
        <v>158000000</v>
      </c>
      <c r="G2613" s="5">
        <v>161000000</v>
      </c>
      <c r="H2613" s="5">
        <f>+(M2613*26000)/0.829426</f>
        <v>141343531.55073509</v>
      </c>
      <c r="I2613" s="5">
        <f>+G2613-H2613</f>
        <v>19656468.449264914</v>
      </c>
      <c r="J2613" s="5">
        <v>3000000</v>
      </c>
      <c r="K2613" s="5">
        <v>15800000</v>
      </c>
      <c r="L2613" s="5">
        <v>16100000</v>
      </c>
      <c r="M2613" s="7">
        <v>4509</v>
      </c>
      <c r="N2613" s="5">
        <v>0</v>
      </c>
      <c r="O2613" s="5">
        <v>0</v>
      </c>
      <c r="P2613" s="3">
        <v>0.97916666666666663</v>
      </c>
    </row>
    <row r="2614" spans="1:16" x14ac:dyDescent="0.25">
      <c r="A2614" t="s">
        <v>1600</v>
      </c>
      <c r="B2614" s="2">
        <v>46169</v>
      </c>
      <c r="C2614" t="str">
        <f>+"Tuáº§n "&amp;WEEKNUM(B2614)</f>
        <v>Tuáº§n 22</v>
      </c>
      <c r="D2614" t="s">
        <v>19</v>
      </c>
      <c r="E2614" t="s">
        <v>17</v>
      </c>
      <c r="F2614" s="5">
        <v>157200000</v>
      </c>
      <c r="G2614" s="5">
        <v>160200000</v>
      </c>
      <c r="H2614" s="5">
        <f>+(M2614*26000)/0.829426</f>
        <v>139403153.50615969</v>
      </c>
      <c r="I2614" s="5">
        <f>+G2614-H2614</f>
        <v>20796846.493840307</v>
      </c>
      <c r="J2614" s="5">
        <v>3000000</v>
      </c>
      <c r="K2614" s="5">
        <v>15720000</v>
      </c>
      <c r="L2614" s="5">
        <v>16020000</v>
      </c>
      <c r="M2614" s="7">
        <v>4447.1000000000004</v>
      </c>
      <c r="N2614" s="5">
        <v>0</v>
      </c>
      <c r="O2614" s="5">
        <v>0</v>
      </c>
      <c r="P2614" s="3">
        <v>0.97916666666666663</v>
      </c>
    </row>
    <row r="2615" spans="1:16" x14ac:dyDescent="0.25">
      <c r="A2615" t="s">
        <v>1601</v>
      </c>
      <c r="B2615" s="2">
        <v>46170</v>
      </c>
      <c r="C2615" t="str">
        <f>+"Tuáº§n "&amp;WEEKNUM(B2615)</f>
        <v>Tuáº§n 22</v>
      </c>
      <c r="D2615" t="s">
        <v>20</v>
      </c>
      <c r="E2615" t="s">
        <v>17</v>
      </c>
      <c r="F2615" s="5">
        <v>154300000</v>
      </c>
      <c r="G2615" s="5">
        <v>157300000</v>
      </c>
      <c r="H2615" s="5">
        <f>+(M2615*26000)/0.829426</f>
        <v>141108429.20284632</v>
      </c>
      <c r="I2615" s="5">
        <f>+G2615-H2615</f>
        <v>16191570.797153682</v>
      </c>
      <c r="J2615" s="5">
        <v>3000000</v>
      </c>
      <c r="K2615" s="5">
        <v>15430000</v>
      </c>
      <c r="L2615" s="5">
        <v>15730000</v>
      </c>
      <c r="M2615" s="7">
        <v>4501.5</v>
      </c>
      <c r="N2615" s="5">
        <v>0</v>
      </c>
      <c r="O2615" s="5">
        <v>0</v>
      </c>
      <c r="P2615" s="3">
        <v>0.97916666666666663</v>
      </c>
    </row>
    <row r="2616" spans="1:16" x14ac:dyDescent="0.25">
      <c r="A2616" t="s">
        <v>1602</v>
      </c>
      <c r="B2616" s="2">
        <v>46171</v>
      </c>
      <c r="C2616" t="str">
        <f>+"Tuáº§n "&amp;WEEKNUM(B2616)</f>
        <v>Tuáº§n 22</v>
      </c>
      <c r="D2616" t="s">
        <v>21</v>
      </c>
      <c r="E2616" t="s">
        <v>17</v>
      </c>
      <c r="F2616" s="5">
        <v>155300000</v>
      </c>
      <c r="G2616" s="5">
        <v>158300000</v>
      </c>
      <c r="H2616" s="5">
        <f>+(M2616*26000)/0.829426</f>
        <v>143036268.45553431</v>
      </c>
      <c r="I2616" s="5">
        <f>+G2616-H2616</f>
        <v>15263731.544465691</v>
      </c>
      <c r="J2616" s="5">
        <v>3000000</v>
      </c>
      <c r="K2616" s="5">
        <v>15530000</v>
      </c>
      <c r="L2616" s="5">
        <v>15830000</v>
      </c>
      <c r="M2616" s="7">
        <v>4563</v>
      </c>
      <c r="N2616" s="5">
        <v>0</v>
      </c>
      <c r="O2616" s="5">
        <v>0</v>
      </c>
      <c r="P2616" s="3">
        <v>0.97916666666666663</v>
      </c>
    </row>
    <row r="2617" spans="1:16" x14ac:dyDescent="0.25">
      <c r="A2617" s="2">
        <v>46028</v>
      </c>
      <c r="B2617" s="2">
        <v>46174</v>
      </c>
      <c r="C2617" t="str">
        <f>+"Tuáº§n "&amp;WEEKNUM(B2617)</f>
        <v>Tuáº§n 23</v>
      </c>
      <c r="D2617" t="s">
        <v>16</v>
      </c>
      <c r="E2617" t="s">
        <v>17</v>
      </c>
      <c r="F2617" s="5">
        <v>155300000</v>
      </c>
      <c r="G2617" s="5">
        <v>158300000</v>
      </c>
      <c r="H2617" s="5">
        <f>+(M2617*26000)/0.829426</f>
        <v>140064574.77822012</v>
      </c>
      <c r="I2617" s="5">
        <f>+G2617-H2617</f>
        <v>18235425.221779883</v>
      </c>
      <c r="J2617" s="5">
        <v>3000000</v>
      </c>
      <c r="K2617" s="5">
        <v>15530000</v>
      </c>
      <c r="L2617" s="5">
        <v>15830000</v>
      </c>
      <c r="M2617" s="7">
        <v>4468.2</v>
      </c>
      <c r="N2617" s="5">
        <v>0</v>
      </c>
      <c r="O2617" s="5">
        <v>0</v>
      </c>
      <c r="P2617" s="3">
        <v>0.97916666666666663</v>
      </c>
    </row>
    <row r="2618" spans="1:16" x14ac:dyDescent="0.25">
      <c r="A2618" s="2">
        <v>46059</v>
      </c>
      <c r="B2618" s="2">
        <v>46175</v>
      </c>
      <c r="C2618" t="str">
        <f>+"Tuáº§n "&amp;WEEKNUM(B2618)</f>
        <v>Tuáº§n 23</v>
      </c>
      <c r="D2618" t="s">
        <v>18</v>
      </c>
      <c r="E2618" t="s">
        <v>17</v>
      </c>
      <c r="F2618" s="5">
        <v>154300000</v>
      </c>
      <c r="G2618" s="5">
        <v>157300000</v>
      </c>
      <c r="H2618" s="5">
        <f>+(M2618*26000)/0.829426</f>
        <v>140832575.78132346</v>
      </c>
      <c r="I2618" s="5">
        <f>+G2618-H2618</f>
        <v>16467424.218676537</v>
      </c>
      <c r="J2618" s="5">
        <v>3000000</v>
      </c>
      <c r="K2618" s="5">
        <v>15430000</v>
      </c>
      <c r="L2618" s="5">
        <v>15730000</v>
      </c>
      <c r="M2618" s="7">
        <v>4492.7</v>
      </c>
      <c r="N2618" s="5">
        <v>0</v>
      </c>
      <c r="O2618" s="5">
        <v>0</v>
      </c>
      <c r="P2618" s="3">
        <v>0.97916666666666663</v>
      </c>
    </row>
    <row r="2619" spans="1:16" x14ac:dyDescent="0.25">
      <c r="A2619" s="2">
        <v>46087</v>
      </c>
      <c r="B2619" s="2">
        <v>46176</v>
      </c>
      <c r="C2619" t="str">
        <f>+"Tuáº§n "&amp;WEEKNUM(B2619)</f>
        <v>Tuáº§n 23</v>
      </c>
      <c r="D2619" t="s">
        <v>19</v>
      </c>
      <c r="E2619" t="s">
        <v>17</v>
      </c>
      <c r="F2619" s="5">
        <v>153800000</v>
      </c>
      <c r="G2619" s="5">
        <v>156800000</v>
      </c>
      <c r="H2619" s="5">
        <f>+(M2619*26000)/0.829426</f>
        <v>139114761.29274943</v>
      </c>
      <c r="I2619" s="5">
        <f>+G2619-H2619</f>
        <v>17685238.707250565</v>
      </c>
      <c r="J2619" s="5">
        <v>3000000</v>
      </c>
      <c r="K2619" s="5">
        <v>15380000</v>
      </c>
      <c r="L2619" s="5">
        <v>15680000</v>
      </c>
      <c r="M2619" s="7">
        <v>4437.8999999999996</v>
      </c>
      <c r="N2619" s="5">
        <v>0</v>
      </c>
      <c r="O2619" s="5">
        <v>0</v>
      </c>
      <c r="P2619" s="3">
        <v>0.97916666666666663</v>
      </c>
    </row>
    <row r="2620" spans="1:16" x14ac:dyDescent="0.25">
      <c r="A2620" s="2">
        <v>46118</v>
      </c>
      <c r="B2620" s="2">
        <v>46177</v>
      </c>
      <c r="C2620" t="str">
        <f>+"Tuáº§n "&amp;WEEKNUM(B2620)</f>
        <v>Tuáº§n 23</v>
      </c>
      <c r="D2620" t="s">
        <v>20</v>
      </c>
      <c r="E2620" t="s">
        <v>17</v>
      </c>
      <c r="F2620" s="5">
        <v>152800000</v>
      </c>
      <c r="G2620" s="5">
        <v>155800000</v>
      </c>
      <c r="H2620" s="5">
        <f>+(M2620*26000)/0.829426</f>
        <v>140600608.13140655</v>
      </c>
      <c r="I2620" s="5">
        <f>+G2620-H2620</f>
        <v>15199391.868593454</v>
      </c>
      <c r="J2620" s="5">
        <v>3000000</v>
      </c>
      <c r="K2620" s="5">
        <v>15280000</v>
      </c>
      <c r="L2620" s="5">
        <v>15580000</v>
      </c>
      <c r="M2620" s="7">
        <v>4485.3</v>
      </c>
      <c r="N2620" s="5">
        <v>0</v>
      </c>
      <c r="O2620" s="5">
        <v>0</v>
      </c>
      <c r="P2620" s="3">
        <v>0.97916666666666663</v>
      </c>
    </row>
    <row r="2621" spans="1:16" x14ac:dyDescent="0.25">
      <c r="A2621" s="2">
        <v>46148</v>
      </c>
      <c r="B2621" s="2">
        <v>46178</v>
      </c>
      <c r="C2621" t="str">
        <f>+"Tuáº§n "&amp;WEEKNUM(B2621)</f>
        <v>Tuáº§n 23</v>
      </c>
      <c r="D2621" t="s">
        <v>21</v>
      </c>
      <c r="E2621" t="s">
        <v>17</v>
      </c>
      <c r="F2621" s="5">
        <v>149000000</v>
      </c>
      <c r="G2621" s="5">
        <v>153000000</v>
      </c>
      <c r="H2621" s="5">
        <f>+(M2621*26000)/0.829426</f>
        <v>135810789.63041911</v>
      </c>
      <c r="I2621" s="5">
        <f>+G2621-H2621</f>
        <v>17189210.369580895</v>
      </c>
      <c r="J2621" s="5">
        <v>4000000</v>
      </c>
      <c r="K2621" s="5">
        <v>14900000</v>
      </c>
      <c r="L2621" s="5">
        <v>15300000</v>
      </c>
      <c r="M2621" s="7">
        <v>4332.5</v>
      </c>
      <c r="N2621" s="5">
        <v>0</v>
      </c>
      <c r="O2621" s="5">
        <v>0</v>
      </c>
      <c r="P2621" s="3">
        <v>0.97916666666666663</v>
      </c>
    </row>
    <row r="2622" spans="1:16" x14ac:dyDescent="0.25">
      <c r="A2622" s="2">
        <v>46240</v>
      </c>
      <c r="B2622" s="2">
        <v>46181</v>
      </c>
      <c r="C2622" t="str">
        <f>+"Tuáº§n "&amp;WEEKNUM(B2622)</f>
        <v>Tuáº§n 24</v>
      </c>
      <c r="D2622" t="s">
        <v>16</v>
      </c>
      <c r="E2622" t="s">
        <v>17</v>
      </c>
      <c r="F2622" s="5">
        <v>138600000</v>
      </c>
      <c r="G2622" s="5">
        <v>143600000</v>
      </c>
      <c r="H2622" s="5">
        <f>+(M2622*26000)/0.829426</f>
        <v>136161875.80326635</v>
      </c>
      <c r="I2622" s="5">
        <f>+G2622-H2622</f>
        <v>7438124.1967336535</v>
      </c>
      <c r="J2622" s="5">
        <v>5000000</v>
      </c>
      <c r="K2622" s="5">
        <v>13860000</v>
      </c>
      <c r="L2622" s="5">
        <v>14360000</v>
      </c>
      <c r="M2622" s="7">
        <v>4343.7</v>
      </c>
      <c r="N2622" s="5">
        <v>0</v>
      </c>
      <c r="O2622" s="5">
        <v>0</v>
      </c>
      <c r="P2622" s="3">
        <v>0.97916666666666663</v>
      </c>
    </row>
    <row r="2623" spans="1:16" x14ac:dyDescent="0.25">
      <c r="A2623" s="2">
        <v>46271</v>
      </c>
      <c r="B2623" s="2">
        <v>46182</v>
      </c>
      <c r="C2623" t="str">
        <f>+"Tuáº§n "&amp;WEEKNUM(B2623)</f>
        <v>Tuáº§n 24</v>
      </c>
      <c r="D2623" t="s">
        <v>18</v>
      </c>
      <c r="E2623" t="s">
        <v>17</v>
      </c>
      <c r="F2623" s="5">
        <v>138600000</v>
      </c>
      <c r="G2623" s="5">
        <v>143600000</v>
      </c>
      <c r="H2623" s="5">
        <f>+(M2623*26000)/0.829426</f>
        <v>133669790.91564527</v>
      </c>
      <c r="I2623" s="5">
        <f>+G2623-H2623</f>
        <v>9930209.0843547285</v>
      </c>
      <c r="J2623" s="5">
        <v>5000000</v>
      </c>
      <c r="K2623" s="5">
        <v>13860000</v>
      </c>
      <c r="L2623" s="5">
        <v>14360000</v>
      </c>
      <c r="M2623" s="7">
        <v>4264.2</v>
      </c>
      <c r="N2623" s="5">
        <v>0</v>
      </c>
      <c r="O2623" s="5">
        <v>0</v>
      </c>
      <c r="P2623" s="3">
        <v>0.97916666666666663</v>
      </c>
    </row>
    <row r="2624" spans="1:16" x14ac:dyDescent="0.25">
      <c r="A2624" s="2">
        <v>46301</v>
      </c>
      <c r="B2624" s="2">
        <v>46183</v>
      </c>
      <c r="C2624" t="str">
        <f>+"Tuáº§n "&amp;WEEKNUM(B2624)</f>
        <v>Tuáº§n 24</v>
      </c>
      <c r="D2624" t="s">
        <v>19</v>
      </c>
      <c r="E2624" t="s">
        <v>17</v>
      </c>
      <c r="F2624" s="5">
        <v>133200000</v>
      </c>
      <c r="G2624" s="5">
        <v>138200000</v>
      </c>
      <c r="H2624" s="5">
        <f>+(M2624*26000)/0.829426</f>
        <v>129547663.08266199</v>
      </c>
      <c r="I2624" s="5">
        <f>+G2624-H2624</f>
        <v>8652336.9173380136</v>
      </c>
      <c r="J2624" s="5">
        <v>5000000</v>
      </c>
      <c r="K2624" s="5">
        <v>13320000</v>
      </c>
      <c r="L2624" s="5">
        <v>13820000</v>
      </c>
      <c r="M2624" s="7">
        <v>4132.7</v>
      </c>
      <c r="N2624" s="5">
        <v>0</v>
      </c>
      <c r="O2624" s="5">
        <v>0</v>
      </c>
      <c r="P2624" s="3">
        <v>0.97916666666666663</v>
      </c>
    </row>
    <row r="2625" spans="1:16" x14ac:dyDescent="0.25">
      <c r="A2625" s="2">
        <v>46332</v>
      </c>
      <c r="B2625" s="2">
        <v>46184</v>
      </c>
      <c r="C2625" t="str">
        <f>+"Tuáº§n "&amp;WEEKNUM(B2625)</f>
        <v>Tuáº§n 24</v>
      </c>
      <c r="D2625" t="s">
        <v>20</v>
      </c>
      <c r="E2625" t="s">
        <v>17</v>
      </c>
      <c r="F2625" s="5">
        <v>133300000</v>
      </c>
      <c r="G2625" s="5">
        <v>138300000</v>
      </c>
      <c r="H2625" s="5">
        <f>+(M2625*26000)/0.829426</f>
        <v>128039873.35820194</v>
      </c>
      <c r="I2625" s="5">
        <f>+G2625-H2625</f>
        <v>10260126.641798064</v>
      </c>
      <c r="J2625" s="5">
        <v>5000000</v>
      </c>
      <c r="K2625" s="5">
        <v>13330000</v>
      </c>
      <c r="L2625" s="5">
        <v>13830000</v>
      </c>
      <c r="M2625" s="7">
        <v>4084.6</v>
      </c>
      <c r="N2625" s="5">
        <v>0</v>
      </c>
      <c r="O2625" s="5">
        <v>0</v>
      </c>
      <c r="P2625" s="3">
        <v>0.97916666666666663</v>
      </c>
    </row>
    <row r="2626" spans="1:16" x14ac:dyDescent="0.25">
      <c r="A2626" s="2">
        <v>46362</v>
      </c>
      <c r="B2626" s="2">
        <v>46185</v>
      </c>
      <c r="C2626" t="str">
        <f>+"Tuáº§n "&amp;WEEKNUM(B2626)</f>
        <v>Tuáº§n 24</v>
      </c>
      <c r="D2626" t="s">
        <v>21</v>
      </c>
      <c r="E2626" t="s">
        <v>17</v>
      </c>
      <c r="F2626" s="5">
        <v>142300000</v>
      </c>
      <c r="G2626" s="5">
        <v>145300000</v>
      </c>
      <c r="H2626" s="5">
        <f>+(M2626*26000)/0.829426</f>
        <v>132237233.94250964</v>
      </c>
      <c r="I2626" s="5">
        <f>+G2626-H2626</f>
        <v>13062766.057490364</v>
      </c>
      <c r="J2626" s="5">
        <v>3000000</v>
      </c>
      <c r="K2626" s="5">
        <v>14230000</v>
      </c>
      <c r="L2626" s="5">
        <v>14530000</v>
      </c>
      <c r="M2626" s="7">
        <v>4218.5</v>
      </c>
      <c r="N2626" s="5">
        <v>0</v>
      </c>
      <c r="O2626" s="5">
        <v>0</v>
      </c>
      <c r="P2626" s="3">
        <v>0.97916666666666663</v>
      </c>
    </row>
    <row r="2627" spans="1:16" x14ac:dyDescent="0.25">
      <c r="A2627" t="s">
        <v>1603</v>
      </c>
      <c r="B2627" s="2">
        <v>46188</v>
      </c>
      <c r="C2627" t="str">
        <f>+"Tuáº§n "&amp;WEEKNUM(B2627)</f>
        <v>Tuáº§n 25</v>
      </c>
      <c r="D2627" t="s">
        <v>16</v>
      </c>
      <c r="E2627" t="s">
        <v>17</v>
      </c>
      <c r="F2627" s="5">
        <v>147900000</v>
      </c>
      <c r="G2627" s="5">
        <v>150400000</v>
      </c>
      <c r="H2627" s="5">
        <f>+(M2627*26000)/0.829426</f>
        <v>136121124.72963229</v>
      </c>
      <c r="I2627" s="5">
        <f>+G2627-H2627</f>
        <v>14278875.270367712</v>
      </c>
      <c r="J2627" s="5">
        <v>2500000</v>
      </c>
      <c r="K2627" s="5">
        <v>14790000</v>
      </c>
      <c r="L2627" s="5">
        <v>15040000</v>
      </c>
      <c r="M2627" s="7">
        <v>4342.3999999999996</v>
      </c>
      <c r="N2627" s="5">
        <v>0</v>
      </c>
      <c r="O2627" s="5">
        <v>0</v>
      </c>
      <c r="P2627" s="3">
        <v>0.97916666666666663</v>
      </c>
    </row>
    <row r="2628" spans="1:16" x14ac:dyDescent="0.25">
      <c r="A2628" t="s">
        <v>1604</v>
      </c>
      <c r="B2628" s="2">
        <v>46189</v>
      </c>
      <c r="C2628" t="str">
        <f>+"Tuáº§n "&amp;WEEKNUM(B2628)</f>
        <v>Tuáº§n 25</v>
      </c>
      <c r="D2628" t="s">
        <v>18</v>
      </c>
      <c r="E2628" t="s">
        <v>17</v>
      </c>
      <c r="F2628" s="5">
        <v>149400000</v>
      </c>
      <c r="G2628" s="5">
        <v>151400000</v>
      </c>
      <c r="H2628" s="5">
        <f>+(M2628*26000)/0.829426</f>
        <v>136237108.55459079</v>
      </c>
      <c r="I2628" s="5">
        <f>+G2628-H2628</f>
        <v>15162891.445409209</v>
      </c>
      <c r="J2628" s="5">
        <v>2000000</v>
      </c>
      <c r="K2628" s="5">
        <v>14940000</v>
      </c>
      <c r="L2628" s="5">
        <v>15140000</v>
      </c>
      <c r="M2628" s="7">
        <v>4346.1000000000004</v>
      </c>
      <c r="N2628" s="5">
        <v>0</v>
      </c>
      <c r="O2628" s="5">
        <v>0</v>
      </c>
      <c r="P2628" s="3">
        <v>0.97916666666666663</v>
      </c>
    </row>
    <row r="2629" spans="1:16" x14ac:dyDescent="0.25">
      <c r="A2629" t="s">
        <v>1605</v>
      </c>
      <c r="B2629" s="2">
        <v>46190</v>
      </c>
      <c r="C2629" t="str">
        <f>+"Tuáº§n "&amp;WEEKNUM(B2629)</f>
        <v>Tuáº§n 25</v>
      </c>
      <c r="D2629" t="s">
        <v>19</v>
      </c>
      <c r="E2629" t="s">
        <v>17</v>
      </c>
      <c r="F2629" s="5">
        <v>148700000</v>
      </c>
      <c r="G2629" s="5">
        <v>151200000</v>
      </c>
      <c r="H2629" s="5">
        <f>+(M2629*26000)/0.829426</f>
        <v>136876586.94084826</v>
      </c>
      <c r="I2629" s="5">
        <f>+G2629-H2629</f>
        <v>14323413.059151739</v>
      </c>
      <c r="J2629" s="5">
        <v>2500000</v>
      </c>
      <c r="K2629" s="5">
        <v>14870000</v>
      </c>
      <c r="L2629" s="5">
        <v>15120000</v>
      </c>
      <c r="M2629" s="7">
        <v>4366.5</v>
      </c>
      <c r="N2629" s="5">
        <v>0</v>
      </c>
      <c r="O2629" s="5">
        <v>0</v>
      </c>
      <c r="P2629" s="3">
        <v>0.97916666666666663</v>
      </c>
    </row>
    <row r="2630" spans="1:16" x14ac:dyDescent="0.25">
      <c r="A2630" t="s">
        <v>1606</v>
      </c>
      <c r="B2630" s="2">
        <v>46191</v>
      </c>
      <c r="C2630" t="str">
        <f>+"Tuáº§n "&amp;WEEKNUM(B2630)</f>
        <v>Tuáº§n 25</v>
      </c>
      <c r="D2630" t="s">
        <v>20</v>
      </c>
      <c r="E2630" t="s">
        <v>17</v>
      </c>
      <c r="F2630" s="5">
        <v>148700000</v>
      </c>
      <c r="G2630" s="5">
        <v>151200000</v>
      </c>
      <c r="H2630" s="5">
        <f>+(M2630*26000)/0.829426</f>
        <v>132475470.98837028</v>
      </c>
      <c r="I2630" s="5">
        <f>+G2630-H2630</f>
        <v>18724529.011629716</v>
      </c>
      <c r="J2630" s="5">
        <v>2500000</v>
      </c>
      <c r="K2630" s="5">
        <v>14870000</v>
      </c>
      <c r="L2630" s="5">
        <v>15120000</v>
      </c>
      <c r="M2630" s="7">
        <v>4226.1000000000004</v>
      </c>
      <c r="N2630" s="5">
        <v>0</v>
      </c>
      <c r="O2630" s="5">
        <v>0</v>
      </c>
      <c r="P2630" s="3">
        <v>0.97916666666666663</v>
      </c>
    </row>
    <row r="2631" spans="1:16" x14ac:dyDescent="0.25">
      <c r="A2631" t="s">
        <v>1607</v>
      </c>
      <c r="B2631" s="2">
        <v>46195</v>
      </c>
      <c r="C2631" t="str">
        <f>+"Tuáº§n "&amp;WEEKNUM(B2631)</f>
        <v>Tuáº§n 26</v>
      </c>
      <c r="D2631" t="s">
        <v>16</v>
      </c>
      <c r="E2631" t="s">
        <v>17</v>
      </c>
      <c r="F2631" s="5">
        <v>145500000</v>
      </c>
      <c r="G2631" s="5">
        <v>148500000</v>
      </c>
      <c r="H2631" s="5">
        <f>+(M2631*26000)/0.829426</f>
        <v>131124416.16250275</v>
      </c>
      <c r="I2631" s="5">
        <f>+G2631-H2631</f>
        <v>17375583.837497249</v>
      </c>
      <c r="J2631" s="5">
        <v>3000000</v>
      </c>
      <c r="K2631" s="5">
        <v>14550000</v>
      </c>
      <c r="L2631" s="5">
        <v>14850000</v>
      </c>
      <c r="M2631" s="7">
        <v>4183</v>
      </c>
      <c r="N2631" s="5">
        <v>0</v>
      </c>
      <c r="O2631" s="5">
        <v>0</v>
      </c>
      <c r="P2631" s="3">
        <v>0.97916666666666663</v>
      </c>
    </row>
    <row r="2632" spans="1:16" x14ac:dyDescent="0.25">
      <c r="A2632" t="s">
        <v>1608</v>
      </c>
      <c r="B2632" s="2">
        <v>46196</v>
      </c>
      <c r="C2632" t="str">
        <f>+"Tuáº§n "&amp;WEEKNUM(B2632)</f>
        <v>Tuáº§n 26</v>
      </c>
      <c r="D2632" t="s">
        <v>18</v>
      </c>
      <c r="E2632" t="s">
        <v>17</v>
      </c>
      <c r="F2632" s="5">
        <v>143900000</v>
      </c>
      <c r="G2632" s="5">
        <v>146900000</v>
      </c>
      <c r="H2632" s="5">
        <f>+(M2632*26000)/0.829426</f>
        <v>129698128.5853108</v>
      </c>
      <c r="I2632" s="5">
        <f>+G2632-H2632</f>
        <v>17201871.414689198</v>
      </c>
      <c r="J2632" s="5">
        <v>3000000</v>
      </c>
      <c r="K2632" s="5">
        <v>14390000</v>
      </c>
      <c r="L2632" s="5">
        <v>14690000</v>
      </c>
      <c r="M2632" s="7">
        <v>4137.5</v>
      </c>
      <c r="N2632" s="5">
        <v>0</v>
      </c>
      <c r="O2632" s="5">
        <v>0</v>
      </c>
      <c r="P2632" s="3">
        <v>0.97916666666666663</v>
      </c>
    </row>
    <row r="2633" spans="1:16" x14ac:dyDescent="0.25">
      <c r="A2633" t="s">
        <v>1609</v>
      </c>
      <c r="B2633" s="2">
        <v>46197</v>
      </c>
      <c r="C2633" t="str">
        <f>+"Tuáº§n "&amp;WEEKNUM(B2633)</f>
        <v>Tuáº§n 26</v>
      </c>
      <c r="D2633" t="s">
        <v>19</v>
      </c>
      <c r="E2633" t="s">
        <v>17</v>
      </c>
      <c r="F2633" s="5">
        <v>143900000</v>
      </c>
      <c r="G2633" s="5">
        <v>146900000</v>
      </c>
      <c r="H2633" s="5">
        <f>+(M2633*26000)/0.829426</f>
        <v>125845584.77790666</v>
      </c>
      <c r="I2633" s="5">
        <f>+G2633-H2633</f>
        <v>21054415.222093344</v>
      </c>
      <c r="J2633" s="5">
        <v>3000000</v>
      </c>
      <c r="K2633" s="5">
        <v>14390000</v>
      </c>
      <c r="L2633" s="5">
        <v>14690000</v>
      </c>
      <c r="M2633" s="7">
        <v>4014.6</v>
      </c>
      <c r="N2633" s="5">
        <v>0</v>
      </c>
      <c r="O2633" s="5">
        <v>0</v>
      </c>
      <c r="P2633" s="3">
        <v>0.97916666666666663</v>
      </c>
    </row>
    <row r="2634" spans="1:16" x14ac:dyDescent="0.25">
      <c r="A2634" t="s">
        <v>1610</v>
      </c>
      <c r="B2634" s="2">
        <v>46198</v>
      </c>
      <c r="C2634" t="str">
        <f>+"Tuáº§n "&amp;WEEKNUM(B2634)</f>
        <v>Tuáº§n 26</v>
      </c>
      <c r="D2634" t="s">
        <v>20</v>
      </c>
      <c r="E2634" t="s">
        <v>17</v>
      </c>
      <c r="F2634" s="5">
        <v>143100000</v>
      </c>
      <c r="G2634" s="5">
        <v>146100000</v>
      </c>
      <c r="H2634" s="5">
        <f>+(M2634*26000)/0.829426</f>
        <v>126738973.69988401</v>
      </c>
      <c r="I2634" s="5">
        <f>+G2634-H2634</f>
        <v>19361026.300115988</v>
      </c>
      <c r="J2634" s="5">
        <v>3000000</v>
      </c>
      <c r="K2634" s="5">
        <v>14310000</v>
      </c>
      <c r="L2634" s="5">
        <v>14610000</v>
      </c>
      <c r="M2634" s="7">
        <v>4043.1</v>
      </c>
      <c r="N2634" s="5">
        <v>0</v>
      </c>
      <c r="O2634" s="5">
        <v>0</v>
      </c>
      <c r="P2634" s="3">
        <v>0.97916666666666663</v>
      </c>
    </row>
    <row r="2635" spans="1:16" x14ac:dyDescent="0.25">
      <c r="A2635" t="s">
        <v>1611</v>
      </c>
      <c r="B2635" s="2">
        <v>46199</v>
      </c>
      <c r="C2635" t="str">
        <f>+"Tuáº§n "&amp;WEEKNUM(B2635)</f>
        <v>Tuáº§n 26</v>
      </c>
      <c r="D2635" t="s">
        <v>21</v>
      </c>
      <c r="E2635" t="s">
        <v>17</v>
      </c>
      <c r="F2635" s="5">
        <v>143900000</v>
      </c>
      <c r="G2635" s="5">
        <v>146900000</v>
      </c>
      <c r="H2635" s="5">
        <f>+(M2635*26000)/0.829426</f>
        <v>128177800.06896335</v>
      </c>
      <c r="I2635" s="5">
        <f>+G2635-H2635</f>
        <v>18722199.931036651</v>
      </c>
      <c r="J2635" s="5">
        <v>3000000</v>
      </c>
      <c r="K2635" s="5">
        <v>14390000</v>
      </c>
      <c r="L2635" s="5">
        <v>14690000</v>
      </c>
      <c r="M2635" s="7">
        <v>4089</v>
      </c>
      <c r="N2635" s="5">
        <v>0</v>
      </c>
      <c r="O2635" s="5">
        <v>0</v>
      </c>
      <c r="P2635" s="3">
        <v>0.97916666666666663</v>
      </c>
    </row>
    <row r="2636" spans="1:16" x14ac:dyDescent="0.25">
      <c r="A2636" t="s">
        <v>1612</v>
      </c>
      <c r="B2636" s="2">
        <v>46202</v>
      </c>
      <c r="C2636" t="str">
        <f>+"Tuáº§n "&amp;WEEKNUM(B2636)</f>
        <v>Tuáº§n 27</v>
      </c>
      <c r="D2636" t="s">
        <v>16</v>
      </c>
      <c r="E2636" t="s">
        <v>17</v>
      </c>
      <c r="F2636" s="5">
        <v>144900000</v>
      </c>
      <c r="G2636" s="5">
        <v>147900000</v>
      </c>
      <c r="H2636" s="5">
        <f>+(M2636*26000)/0.829426</f>
        <v>126165323.97103539</v>
      </c>
      <c r="I2636" s="5">
        <f>+G2636-H2636</f>
        <v>21734676.028964609</v>
      </c>
      <c r="J2636" s="5">
        <v>3000000</v>
      </c>
      <c r="K2636" s="5">
        <v>14490000</v>
      </c>
      <c r="L2636" s="5">
        <v>14790000</v>
      </c>
      <c r="M2636" s="7">
        <v>4024.8</v>
      </c>
      <c r="N2636" s="5">
        <v>0</v>
      </c>
      <c r="O2636" s="5">
        <v>0</v>
      </c>
      <c r="P2636" s="3">
        <v>0.97916666666666663</v>
      </c>
    </row>
    <row r="2637" spans="1:16" x14ac:dyDescent="0.25">
      <c r="A2637" t="s">
        <v>1613</v>
      </c>
      <c r="B2637" s="2">
        <v>46203</v>
      </c>
      <c r="C2637" t="str">
        <f>+"Tuáº§n "&amp;WEEKNUM(B2637)</f>
        <v>Tuáº§n 27</v>
      </c>
      <c r="D2637" t="s">
        <v>18</v>
      </c>
      <c r="E2637" t="s">
        <v>17</v>
      </c>
      <c r="F2637" s="5">
        <v>143900000</v>
      </c>
      <c r="G2637" s="5">
        <v>146900000</v>
      </c>
      <c r="H2637" s="5">
        <f>+(M2637*26000)/0.829426</f>
        <v>126322058.86962791</v>
      </c>
      <c r="I2637" s="5">
        <f>+G2637-H2637</f>
        <v>20577941.130372092</v>
      </c>
      <c r="J2637" s="5">
        <v>3000000</v>
      </c>
      <c r="K2637" s="5">
        <v>14390000</v>
      </c>
      <c r="L2637" s="5">
        <v>14690000</v>
      </c>
      <c r="M2637" s="7">
        <v>4029.8</v>
      </c>
      <c r="N2637" s="5">
        <v>0</v>
      </c>
      <c r="O2637" s="5">
        <v>0</v>
      </c>
      <c r="P2637" s="3">
        <v>0.97916666666666663</v>
      </c>
    </row>
    <row r="2638" spans="1:16" x14ac:dyDescent="0.25">
      <c r="A2638" s="2">
        <v>46029</v>
      </c>
      <c r="B2638" s="2">
        <v>46204</v>
      </c>
      <c r="C2638" t="str">
        <f>+"Tuáº§n "&amp;WEEKNUM(B2638)</f>
        <v>Tuáº§n 27</v>
      </c>
      <c r="D2638" t="s">
        <v>19</v>
      </c>
      <c r="E2638" t="s">
        <v>17</v>
      </c>
      <c r="F2638" s="5">
        <v>143300000</v>
      </c>
      <c r="G2638" s="5">
        <v>146300000</v>
      </c>
      <c r="H2638" s="5">
        <f>+(M2638*26000)/0.829426</f>
        <v>128049277.45211749</v>
      </c>
      <c r="I2638" s="5">
        <f>+G2638-H2638</f>
        <v>18250722.547882512</v>
      </c>
      <c r="J2638" s="5">
        <v>3000000</v>
      </c>
      <c r="K2638" s="5">
        <v>14330000</v>
      </c>
      <c r="L2638" s="5">
        <v>14630000</v>
      </c>
      <c r="M2638" s="7">
        <v>4084.9</v>
      </c>
      <c r="N2638" s="5">
        <v>0</v>
      </c>
      <c r="O2638" s="5">
        <v>0</v>
      </c>
      <c r="P2638" s="3">
        <v>0.97916666666666663</v>
      </c>
    </row>
    <row r="2639" spans="1:16" x14ac:dyDescent="0.25">
      <c r="A2639" s="2">
        <v>46060</v>
      </c>
      <c r="B2639" s="2">
        <v>46205</v>
      </c>
      <c r="C2639" t="str">
        <f>+"Tuáº§n "&amp;WEEKNUM(B2639)</f>
        <v>Tuáº§n 27</v>
      </c>
      <c r="D2639" t="s">
        <v>20</v>
      </c>
      <c r="E2639" t="s">
        <v>17</v>
      </c>
      <c r="F2639" s="5">
        <v>145300000</v>
      </c>
      <c r="G2639" s="5">
        <v>148300000</v>
      </c>
      <c r="H2639" s="5">
        <f>+(M2639*26000)/0.829426</f>
        <v>129130748.25240587</v>
      </c>
      <c r="I2639" s="5">
        <f>+G2639-H2639</f>
        <v>19169251.747594133</v>
      </c>
      <c r="J2639" s="5">
        <v>3000000</v>
      </c>
      <c r="K2639" s="5">
        <v>14530000</v>
      </c>
      <c r="L2639" s="5">
        <v>14830000</v>
      </c>
      <c r="M2639" s="7">
        <v>4119.3999999999996</v>
      </c>
      <c r="N2639" s="5">
        <v>0</v>
      </c>
      <c r="O2639" s="5">
        <v>0</v>
      </c>
      <c r="P2639" s="3">
        <v>0.97916666666666663</v>
      </c>
    </row>
    <row r="2640" spans="1:16" x14ac:dyDescent="0.25">
      <c r="A2640" s="2">
        <v>46180</v>
      </c>
      <c r="B2640" s="2">
        <v>46209</v>
      </c>
      <c r="C2640" t="str">
        <f>+"Tuáº§n "&amp;WEEKNUM(B2640)</f>
        <v>Tuáº§n 28</v>
      </c>
      <c r="D2640" t="s">
        <v>16</v>
      </c>
      <c r="E2640" t="s">
        <v>17</v>
      </c>
      <c r="F2640" s="5">
        <v>147900000</v>
      </c>
      <c r="G2640" s="5">
        <v>150900000</v>
      </c>
      <c r="H2640" s="5">
        <f>+(M2640*26000)/0.829426</f>
        <v>129961443.21494623</v>
      </c>
      <c r="I2640" s="5">
        <f>+G2640-H2640</f>
        <v>20938556.785053775</v>
      </c>
      <c r="J2640" s="5">
        <v>3000000</v>
      </c>
      <c r="K2640" s="5">
        <v>14790000</v>
      </c>
      <c r="L2640" s="5">
        <v>15090000</v>
      </c>
      <c r="M2640" s="7">
        <v>4145.8999999999996</v>
      </c>
      <c r="N2640" s="5">
        <v>0</v>
      </c>
      <c r="O2640" s="5">
        <v>0</v>
      </c>
      <c r="P2640" s="3">
        <v>0.97916666666666663</v>
      </c>
    </row>
    <row r="2641" spans="1:16" x14ac:dyDescent="0.25">
      <c r="A2641" s="2">
        <v>46210</v>
      </c>
      <c r="B2641" s="2">
        <v>46210</v>
      </c>
      <c r="C2641" t="str">
        <f>+"Tuáº§n "&amp;WEEKNUM(B2641)</f>
        <v>Tuáº§n 28</v>
      </c>
      <c r="D2641" t="s">
        <v>18</v>
      </c>
      <c r="E2641" t="s">
        <v>17</v>
      </c>
      <c r="F2641" s="5">
        <v>146700000</v>
      </c>
      <c r="G2641" s="5">
        <v>149700000</v>
      </c>
      <c r="H2641" s="5">
        <f>+(M2641*26000)/0.829426</f>
        <v>130017867.77843955</v>
      </c>
      <c r="I2641" s="5">
        <f>+G2641-H2641</f>
        <v>19682132.221560448</v>
      </c>
      <c r="J2641" s="5">
        <v>3000000</v>
      </c>
      <c r="K2641" s="5">
        <v>14670000</v>
      </c>
      <c r="L2641" s="5">
        <v>14970000</v>
      </c>
      <c r="M2641" s="7">
        <v>4147.7</v>
      </c>
      <c r="N2641" s="5">
        <v>0</v>
      </c>
      <c r="O2641" s="5">
        <v>0</v>
      </c>
      <c r="P2641" s="3">
        <v>0.97916666666666663</v>
      </c>
    </row>
    <row r="2642" spans="1:16" x14ac:dyDescent="0.25">
      <c r="A2642" s="2">
        <v>46241</v>
      </c>
      <c r="B2642" s="2">
        <v>46211</v>
      </c>
      <c r="C2642" t="str">
        <f>+"Tuáº§n "&amp;WEEKNUM(B2642)</f>
        <v>Tuáº§n 28</v>
      </c>
      <c r="D2642" t="s">
        <v>19</v>
      </c>
      <c r="E2642" t="s">
        <v>17</v>
      </c>
      <c r="F2642" s="5">
        <v>145200000</v>
      </c>
      <c r="G2642" s="5">
        <v>148200000</v>
      </c>
      <c r="H2642" s="5">
        <f>+(M2642*26000)/0.829426</f>
        <v>126795398.26337732</v>
      </c>
      <c r="I2642" s="5">
        <f>+G2642-H2642</f>
        <v>21404601.736622676</v>
      </c>
      <c r="J2642" s="5">
        <v>3000000</v>
      </c>
      <c r="K2642" s="5">
        <v>14520000</v>
      </c>
      <c r="L2642" s="5">
        <v>14820000</v>
      </c>
      <c r="M2642" s="7">
        <v>4044.9</v>
      </c>
      <c r="N2642" s="5">
        <v>0</v>
      </c>
      <c r="O2642" s="5">
        <v>0</v>
      </c>
      <c r="P2642" s="3">
        <v>0.97916666666666663</v>
      </c>
    </row>
    <row r="2643" spans="1:16" x14ac:dyDescent="0.25">
      <c r="A2643" s="2">
        <v>46272</v>
      </c>
      <c r="B2643" s="2">
        <v>46212</v>
      </c>
      <c r="C2643" t="str">
        <f>+"Tuáº§n "&amp;WEEKNUM(B2643)</f>
        <v>Tuáº§n 28</v>
      </c>
      <c r="D2643" t="s">
        <v>20</v>
      </c>
      <c r="E2643" t="s">
        <v>17</v>
      </c>
      <c r="F2643" s="5">
        <v>145700000</v>
      </c>
      <c r="G2643" s="5">
        <v>148700000</v>
      </c>
      <c r="H2643" s="5">
        <f>+(M2643*26000)/0.829426</f>
        <v>129494373.21714053</v>
      </c>
      <c r="I2643" s="5">
        <f>+G2643-H2643</f>
        <v>19205626.782859474</v>
      </c>
      <c r="J2643" s="5">
        <v>3000000</v>
      </c>
      <c r="K2643" s="5">
        <v>14570000</v>
      </c>
      <c r="L2643" s="5">
        <v>14870000</v>
      </c>
      <c r="M2643" s="7">
        <v>4131</v>
      </c>
      <c r="N2643" s="5">
        <v>0</v>
      </c>
      <c r="O2643" s="5">
        <v>0</v>
      </c>
      <c r="P2643" s="3">
        <v>0.97916666666666663</v>
      </c>
    </row>
    <row r="2644" spans="1:16" x14ac:dyDescent="0.25">
      <c r="A2644" s="2">
        <v>46302</v>
      </c>
      <c r="B2644" s="2">
        <v>46213</v>
      </c>
      <c r="C2644" t="str">
        <f>+"Tuáº§n "&amp;WEEKNUM(B2644)</f>
        <v>Tuáº§n 28</v>
      </c>
      <c r="D2644" t="s">
        <v>21</v>
      </c>
      <c r="E2644" t="s">
        <v>17</v>
      </c>
      <c r="F2644" s="5">
        <v>146400000</v>
      </c>
      <c r="G2644" s="5">
        <v>149400000</v>
      </c>
      <c r="H2644" s="5">
        <f>+(M2644*26000)/0.829426</f>
        <v>128591580.20124762</v>
      </c>
      <c r="I2644" s="5">
        <f>+G2644-H2644</f>
        <v>20808419.798752382</v>
      </c>
      <c r="J2644" s="5">
        <v>3000000</v>
      </c>
      <c r="K2644" s="5">
        <v>14640000</v>
      </c>
      <c r="L2644" s="5">
        <v>14940000</v>
      </c>
      <c r="M2644" s="7">
        <v>4102.2</v>
      </c>
      <c r="N2644" s="5">
        <v>0</v>
      </c>
      <c r="O2644" s="5">
        <v>0</v>
      </c>
      <c r="P2644" s="3">
        <v>0.9375</v>
      </c>
    </row>
    <row r="2645" spans="1:16" x14ac:dyDescent="0.25">
      <c r="A2645" t="s">
        <v>1614</v>
      </c>
      <c r="B2645" s="2">
        <v>46216</v>
      </c>
      <c r="C2645" t="str">
        <f>+"Tuáº§n "&amp;WEEKNUM(B2645)</f>
        <v>Tuáº§n 29</v>
      </c>
      <c r="D2645" t="s">
        <v>16</v>
      </c>
      <c r="E2645" t="s">
        <v>17</v>
      </c>
      <c r="F2645" s="5">
        <v>144400000</v>
      </c>
      <c r="G2645" s="5">
        <v>147900000</v>
      </c>
      <c r="H2645" s="5">
        <f>+(M2645*26000)/0.829426</f>
        <v>125807968.40224445</v>
      </c>
      <c r="I2645" s="5">
        <f>+G2645-H2645</f>
        <v>22092031.597755551</v>
      </c>
      <c r="J2645" s="5">
        <v>3500000</v>
      </c>
      <c r="K2645" s="5">
        <v>14440000</v>
      </c>
      <c r="L2645" s="5">
        <v>14790000</v>
      </c>
      <c r="M2645" s="7">
        <v>4013.4</v>
      </c>
      <c r="N2645" s="5">
        <v>0</v>
      </c>
      <c r="O2645" s="5">
        <v>0</v>
      </c>
      <c r="P2645" s="3">
        <v>0.91666666666666663</v>
      </c>
    </row>
    <row r="2646" spans="1:16" x14ac:dyDescent="0.25">
      <c r="A2646" t="s">
        <v>1615</v>
      </c>
      <c r="B2646" s="2">
        <v>46217</v>
      </c>
      <c r="C2646" t="str">
        <f>+"Tuáº§n "&amp;WEEKNUM(B2646)</f>
        <v>Tuáº§n 29</v>
      </c>
      <c r="D2646" t="s">
        <v>18</v>
      </c>
      <c r="E2646" t="s">
        <v>17</v>
      </c>
      <c r="F2646" s="5">
        <v>143500000</v>
      </c>
      <c r="G2646" s="5">
        <v>147000000</v>
      </c>
      <c r="H2646" s="5">
        <f>+(M2646*26000)/0.829426</f>
        <v>127315758.1267045</v>
      </c>
      <c r="I2646" s="5">
        <f>+G2646-H2646</f>
        <v>19684241.873295501</v>
      </c>
      <c r="J2646" s="5">
        <v>3500000</v>
      </c>
      <c r="K2646" s="5">
        <v>14350000</v>
      </c>
      <c r="L2646" s="5">
        <v>14700000</v>
      </c>
      <c r="M2646" s="7">
        <v>4061.5</v>
      </c>
      <c r="N2646" s="5">
        <v>0</v>
      </c>
      <c r="O2646" s="5">
        <v>0</v>
      </c>
      <c r="P2646" s="3">
        <v>0.97916666666666663</v>
      </c>
    </row>
    <row r="2647" spans="1:16" x14ac:dyDescent="0.25">
      <c r="A2647" t="s">
        <v>1616</v>
      </c>
      <c r="B2647" s="2">
        <v>46218</v>
      </c>
      <c r="C2647" t="str">
        <f>+"Tuáº§n "&amp;WEEKNUM(B2647)</f>
        <v>Tuáº§n 29</v>
      </c>
      <c r="D2647" t="s">
        <v>19</v>
      </c>
      <c r="E2647" t="s">
        <v>17</v>
      </c>
      <c r="F2647" s="5">
        <v>144500000</v>
      </c>
      <c r="G2647" s="5">
        <v>148000000</v>
      </c>
      <c r="H2647" s="5">
        <f>+(M2647*26000)/0.829426</f>
        <v>126494467.25807968</v>
      </c>
      <c r="I2647" s="5">
        <f>+G2647-H2647</f>
        <v>21505532.741920322</v>
      </c>
      <c r="J2647" s="5">
        <v>3500000</v>
      </c>
      <c r="K2647" s="5">
        <v>14450000</v>
      </c>
      <c r="L2647" s="5">
        <v>14800000</v>
      </c>
      <c r="M2647" s="7">
        <v>4035.3</v>
      </c>
      <c r="N2647" s="5">
        <v>0</v>
      </c>
      <c r="O2647" s="5">
        <v>0</v>
      </c>
      <c r="P2647" s="3">
        <v>0.97916666666666663</v>
      </c>
    </row>
    <row r="2648" spans="1:16" x14ac:dyDescent="0.25">
      <c r="A2648" t="s">
        <v>1617</v>
      </c>
      <c r="B2648" s="2">
        <v>46219</v>
      </c>
      <c r="C2648" t="str">
        <f>+"Tuáº§n "&amp;WEEKNUM(B2648)</f>
        <v>Tuáº§n 29</v>
      </c>
      <c r="D2648" t="s">
        <v>20</v>
      </c>
      <c r="E2648" t="s">
        <v>17</v>
      </c>
      <c r="F2648" s="5">
        <v>143700000</v>
      </c>
      <c r="G2648" s="5">
        <v>147200000</v>
      </c>
      <c r="H2648" s="5">
        <f>+(M2648*26000)/0.829426</f>
        <v>124967869.34578854</v>
      </c>
      <c r="I2648" s="5">
        <f>+G2648-H2648</f>
        <v>22232130.654211462</v>
      </c>
      <c r="J2648" s="5">
        <v>3500000</v>
      </c>
      <c r="K2648" s="5">
        <v>14370000</v>
      </c>
      <c r="L2648" s="5">
        <v>14720000</v>
      </c>
      <c r="M2648" s="7">
        <v>3986.6</v>
      </c>
      <c r="N2648" s="5">
        <v>0</v>
      </c>
      <c r="O2648" s="5">
        <v>0</v>
      </c>
      <c r="P2648" s="3">
        <v>0.97916666666666663</v>
      </c>
    </row>
    <row r="2649" spans="1:16" x14ac:dyDescent="0.25">
      <c r="A2649" t="s">
        <v>1618</v>
      </c>
      <c r="B2649" s="2">
        <v>46220</v>
      </c>
      <c r="C2649" t="str">
        <f>+"Tuáº§n "&amp;WEEKNUM(B2649)</f>
        <v>Tuáº§n 29</v>
      </c>
      <c r="D2649" t="s">
        <v>21</v>
      </c>
      <c r="E2649" t="s">
        <v>17</v>
      </c>
      <c r="F2649" s="5">
        <v>142100000</v>
      </c>
      <c r="G2649" s="5">
        <v>145600000</v>
      </c>
      <c r="H2649" s="5">
        <f>+(M2649*26000)/0.829426</f>
        <v>126046205.44810508</v>
      </c>
      <c r="I2649" s="5">
        <f>+G2649-H2649</f>
        <v>19553794.551894918</v>
      </c>
      <c r="J2649" s="5">
        <v>3500000</v>
      </c>
      <c r="K2649" s="5">
        <v>14210000</v>
      </c>
      <c r="L2649" s="5">
        <v>14560000</v>
      </c>
      <c r="M2649" s="7">
        <v>4021</v>
      </c>
      <c r="N2649" s="5">
        <v>0</v>
      </c>
      <c r="O2649" s="5">
        <v>0</v>
      </c>
      <c r="P2649" s="3">
        <v>0.97916666666666663</v>
      </c>
    </row>
    <row r="2650" spans="1:16" x14ac:dyDescent="0.25">
      <c r="A2650" t="s">
        <v>1619</v>
      </c>
      <c r="B2650" s="2">
        <v>46223</v>
      </c>
      <c r="C2650" t="str">
        <f>+"Tuáº§n "&amp;WEEKNUM(B2650)</f>
        <v>Tuáº§n 30</v>
      </c>
      <c r="D2650" t="s">
        <v>16</v>
      </c>
      <c r="E2650" t="s">
        <v>17</v>
      </c>
      <c r="F2650" s="5">
        <v>141500000</v>
      </c>
      <c r="G2650" s="5">
        <v>145000000</v>
      </c>
      <c r="H2650" s="5">
        <f>+(M2650*26000)/0.829426</f>
        <v>125811103.1002163</v>
      </c>
      <c r="I2650" s="5">
        <f>+G2650-H2650</f>
        <v>19188896.899783701</v>
      </c>
      <c r="J2650" s="5">
        <v>3500000</v>
      </c>
      <c r="K2650" s="5">
        <v>14150000</v>
      </c>
      <c r="L2650" s="5">
        <v>14500000</v>
      </c>
      <c r="M2650" s="7">
        <v>4013.5</v>
      </c>
      <c r="N2650" s="5">
        <v>0</v>
      </c>
      <c r="O2650" s="5">
        <v>0</v>
      </c>
      <c r="P2650" s="3">
        <v>0.97916666666666663</v>
      </c>
    </row>
    <row r="2651" spans="1:16" x14ac:dyDescent="0.25">
      <c r="A2651" t="s">
        <v>1620</v>
      </c>
      <c r="B2651" s="2">
        <v>46224</v>
      </c>
      <c r="C2651" t="str">
        <f>+"Tuáº§n "&amp;WEEKNUM(B2651)</f>
        <v>Tuáº§n 30</v>
      </c>
      <c r="D2651" t="s">
        <v>18</v>
      </c>
      <c r="E2651" t="s">
        <v>17</v>
      </c>
      <c r="F2651" s="5">
        <v>141900000</v>
      </c>
      <c r="G2651" s="5">
        <v>145400000</v>
      </c>
      <c r="H2651" s="5">
        <f>+(M2651*26000)/0.829426</f>
        <v>127792232.21842575</v>
      </c>
      <c r="I2651" s="5">
        <f>+G2651-H2651</f>
        <v>17607767.781574249</v>
      </c>
      <c r="J2651" s="5">
        <v>3500000</v>
      </c>
      <c r="K2651" s="5">
        <v>14190000</v>
      </c>
      <c r="L2651" s="5">
        <v>14540000</v>
      </c>
      <c r="M2651" s="7">
        <v>4076.7</v>
      </c>
      <c r="N2651" s="5">
        <v>0</v>
      </c>
      <c r="O2651" s="5">
        <v>0</v>
      </c>
      <c r="P2651" s="3">
        <v>0.97916666666666663</v>
      </c>
    </row>
    <row r="2652" spans="1:16" x14ac:dyDescent="0.25">
      <c r="A2652" t="s">
        <v>1621</v>
      </c>
      <c r="B2652" s="2">
        <v>46225</v>
      </c>
      <c r="C2652" t="str">
        <f>+"Tuáº§n "&amp;WEEKNUM(B2652)</f>
        <v>Tuáº§n 30</v>
      </c>
      <c r="D2652" t="s">
        <v>19</v>
      </c>
      <c r="E2652" t="s">
        <v>17</v>
      </c>
      <c r="F2652" s="5">
        <v>141000000</v>
      </c>
      <c r="G2652" s="5">
        <v>145000000</v>
      </c>
      <c r="H2652" s="5">
        <f>+(M2652*26000)/0.829426</f>
        <v>130083696.4358484</v>
      </c>
      <c r="I2652" s="5">
        <f>+G2652-H2652</f>
        <v>14916303.5641516</v>
      </c>
      <c r="J2652" s="5">
        <v>4000000</v>
      </c>
      <c r="K2652" s="5">
        <v>14100000</v>
      </c>
      <c r="L2652" s="5">
        <v>14500000</v>
      </c>
      <c r="M2652" s="7">
        <v>4149.8</v>
      </c>
      <c r="N2652" s="5">
        <v>0</v>
      </c>
      <c r="O2652" s="5">
        <v>0</v>
      </c>
      <c r="P2652" s="3">
        <v>0.97916666666666663</v>
      </c>
    </row>
    <row r="2653" spans="1:16" x14ac:dyDescent="0.25">
      <c r="A2653" t="s">
        <v>1622</v>
      </c>
      <c r="B2653" s="2">
        <v>46226</v>
      </c>
      <c r="C2653" t="str">
        <f>+"Tuáº§n "&amp;WEEKNUM(B2653)</f>
        <v>Tuáº§n 30</v>
      </c>
      <c r="D2653" t="s">
        <v>20</v>
      </c>
      <c r="E2653" t="s">
        <v>17</v>
      </c>
      <c r="F2653" s="5">
        <v>134000000</v>
      </c>
      <c r="G2653" s="5">
        <v>139000000</v>
      </c>
      <c r="H2653" s="5">
        <f>+(M2653*26000)/0.829426</f>
        <v>126996018.93357575</v>
      </c>
      <c r="I2653" s="5">
        <f>+G2653-H2653</f>
        <v>12003981.066424251</v>
      </c>
      <c r="J2653" s="5">
        <v>5000000</v>
      </c>
      <c r="K2653" s="5">
        <v>13400000</v>
      </c>
      <c r="L2653" s="5">
        <v>13900000</v>
      </c>
      <c r="M2653" s="7">
        <v>4051.3</v>
      </c>
      <c r="N2653" s="5">
        <v>0</v>
      </c>
      <c r="O2653" s="5">
        <v>0</v>
      </c>
      <c r="P2653" s="3">
        <v>0.97916666666666663</v>
      </c>
    </row>
    <row r="2654" spans="1:16" x14ac:dyDescent="0.25">
      <c r="A2654" t="s">
        <v>1623</v>
      </c>
      <c r="B2654" s="2">
        <v>46227</v>
      </c>
      <c r="C2654" t="str">
        <f>+"Tuáº§n "&amp;WEEKNUM(B2654)</f>
        <v>Tuáº§n 30</v>
      </c>
      <c r="D2654" t="s">
        <v>21</v>
      </c>
      <c r="E2654" t="s">
        <v>17</v>
      </c>
      <c r="F2654" s="5">
        <v>135000000</v>
      </c>
      <c r="G2654" s="5">
        <v>140000000</v>
      </c>
      <c r="H2654" s="5">
        <f>+(M2654*26000)/0.829426</f>
        <v>127826713.89611611</v>
      </c>
      <c r="I2654" s="5">
        <f>+G2654-H2654</f>
        <v>12173286.103883892</v>
      </c>
      <c r="J2654" s="5">
        <v>5000000</v>
      </c>
      <c r="K2654" s="5">
        <v>13500000</v>
      </c>
      <c r="L2654" s="5">
        <v>14000000</v>
      </c>
      <c r="M2654" s="7">
        <v>4077.8</v>
      </c>
      <c r="N2654" s="5">
        <v>0</v>
      </c>
      <c r="O2654" s="5">
        <v>0</v>
      </c>
      <c r="P2654" s="3">
        <v>0.97916666666666663</v>
      </c>
    </row>
    <row r="2655" spans="1:16" x14ac:dyDescent="0.25">
      <c r="A2655" t="s">
        <v>1624</v>
      </c>
      <c r="B2655" s="2">
        <v>46230</v>
      </c>
      <c r="C2655" t="str">
        <f>+"Tuáº§n "&amp;WEEKNUM(B2655)</f>
        <v>Tuáº§n 31</v>
      </c>
      <c r="D2655" t="s">
        <v>16</v>
      </c>
      <c r="E2655" t="s">
        <v>17</v>
      </c>
      <c r="F2655" s="5">
        <v>138500000</v>
      </c>
      <c r="G2655" s="5">
        <v>142500000</v>
      </c>
      <c r="H2655" s="5">
        <f>+(M2655*26000)/0.829426</f>
        <v>128115106.10952635</v>
      </c>
      <c r="I2655" s="5">
        <f>+G2655-H2655</f>
        <v>14384893.890473649</v>
      </c>
      <c r="J2655" s="5">
        <v>4000000</v>
      </c>
      <c r="K2655" s="5">
        <v>13850000</v>
      </c>
      <c r="L2655" s="5">
        <v>14250000</v>
      </c>
      <c r="M2655" s="7">
        <v>4087</v>
      </c>
      <c r="N2655" s="5">
        <v>0</v>
      </c>
      <c r="O2655" s="5">
        <v>0</v>
      </c>
      <c r="P2655" s="3">
        <v>0.97916666666666663</v>
      </c>
    </row>
    <row r="2656" spans="1:16" x14ac:dyDescent="0.25">
      <c r="A2656" t="s">
        <v>1625</v>
      </c>
      <c r="B2656" s="2">
        <v>46231</v>
      </c>
      <c r="C2656" t="str">
        <f>+"Tuáº§n "&amp;WEEKNUM(B2656)</f>
        <v>Tuáº§n 31</v>
      </c>
      <c r="D2656" t="s">
        <v>18</v>
      </c>
      <c r="E2656" t="s">
        <v>17</v>
      </c>
      <c r="F2656" s="5">
        <v>137000000</v>
      </c>
      <c r="G2656" s="5">
        <v>141000000</v>
      </c>
      <c r="H2656" s="5">
        <f>+(M2656*26000)/0.829426</f>
        <v>126767185.98163067</v>
      </c>
      <c r="I2656" s="5">
        <f>+G2656-H2656</f>
        <v>14232814.018369332</v>
      </c>
      <c r="J2656" s="5">
        <v>4000000</v>
      </c>
      <c r="K2656" s="5">
        <v>13700000</v>
      </c>
      <c r="L2656" s="5">
        <v>14100000</v>
      </c>
      <c r="M2656" s="7">
        <v>4044</v>
      </c>
      <c r="N2656" s="5">
        <v>0</v>
      </c>
      <c r="O2656" s="5">
        <v>0</v>
      </c>
      <c r="P2656" s="3">
        <v>0.97916666666666663</v>
      </c>
    </row>
    <row r="2657" spans="1:16" x14ac:dyDescent="0.25">
      <c r="A2657" t="s">
        <v>1626</v>
      </c>
      <c r="B2657" s="2">
        <v>46232</v>
      </c>
      <c r="C2657" t="str">
        <f>+"Tuáº§n "&amp;WEEKNUM(B2657)</f>
        <v>Tuáº§n 31</v>
      </c>
      <c r="D2657" t="s">
        <v>19</v>
      </c>
      <c r="E2657" t="s">
        <v>17</v>
      </c>
      <c r="F2657" s="5">
        <v>137000000</v>
      </c>
      <c r="G2657" s="5">
        <v>141000000</v>
      </c>
      <c r="H2657" s="5">
        <f>+(M2657*26000)/0.829426</f>
        <v>125930221.62314661</v>
      </c>
      <c r="I2657" s="5">
        <f>+G2657-H2657</f>
        <v>15069778.376853392</v>
      </c>
      <c r="J2657" s="5">
        <v>4000000</v>
      </c>
      <c r="K2657" s="5">
        <v>13700000</v>
      </c>
      <c r="L2657" s="5">
        <v>14100000</v>
      </c>
      <c r="M2657" s="7">
        <v>4017.3</v>
      </c>
      <c r="N2657" s="5">
        <v>0</v>
      </c>
      <c r="O2657" s="5">
        <v>0</v>
      </c>
      <c r="P2657" s="3">
        <v>0.97916666666666663</v>
      </c>
    </row>
    <row r="2658" spans="1:16" x14ac:dyDescent="0.25">
      <c r="A2658" t="s">
        <v>1627</v>
      </c>
      <c r="B2658" s="2">
        <v>46233</v>
      </c>
      <c r="C2658" t="str">
        <f>+"Tuáº§n "&amp;WEEKNUM(B2658)</f>
        <v>Tuáº§n 31</v>
      </c>
      <c r="D2658" t="s">
        <v>20</v>
      </c>
      <c r="E2658" t="s">
        <v>17</v>
      </c>
      <c r="F2658" s="5">
        <v>137200000</v>
      </c>
      <c r="G2658" s="5">
        <v>141200000</v>
      </c>
      <c r="H2658" s="5">
        <f>+(M2658*26000)/0.829426</f>
        <v>129080593.08485627</v>
      </c>
      <c r="I2658" s="5">
        <f>+G2658-H2658</f>
        <v>12119406.915143728</v>
      </c>
      <c r="J2658" s="5">
        <v>4000000</v>
      </c>
      <c r="K2658" s="5">
        <v>13720000</v>
      </c>
      <c r="L2658" s="5">
        <v>14120000</v>
      </c>
      <c r="M2658" s="7">
        <v>4117.8</v>
      </c>
      <c r="N2658" s="5">
        <v>0</v>
      </c>
      <c r="O2658" s="5">
        <v>0</v>
      </c>
      <c r="P2658" s="3">
        <v>0.97916666666666663</v>
      </c>
    </row>
    <row r="2659" spans="1:16" x14ac:dyDescent="0.25">
      <c r="A2659" t="s">
        <v>1628</v>
      </c>
      <c r="B2659" s="2">
        <v>46234</v>
      </c>
      <c r="C2659" t="str">
        <f>+"Tuáº§n "&amp;WEEKNUM(B2659)</f>
        <v>Tuáº§n 31</v>
      </c>
      <c r="D2659" t="s">
        <v>21</v>
      </c>
      <c r="E2659" t="s">
        <v>17</v>
      </c>
      <c r="F2659" s="5">
        <v>137400000</v>
      </c>
      <c r="G2659" s="5">
        <v>141400000</v>
      </c>
      <c r="H2659" s="5">
        <f>+(M2659*26000)/0.829426</f>
        <v>126892573.90050469</v>
      </c>
      <c r="I2659" s="5">
        <f>+G2659-H2659</f>
        <v>14507426.099495307</v>
      </c>
      <c r="J2659" s="5">
        <v>4000000</v>
      </c>
      <c r="K2659" s="5">
        <v>13740000</v>
      </c>
      <c r="L2659" s="5">
        <v>14140000</v>
      </c>
      <c r="M2659" s="7">
        <v>4048</v>
      </c>
      <c r="N2659" s="5">
        <v>0</v>
      </c>
      <c r="O2659" s="5">
        <v>0</v>
      </c>
      <c r="P2659" s="3">
        <v>0.97916666666666663</v>
      </c>
    </row>
    <row r="2660" spans="1:16" x14ac:dyDescent="0.25">
      <c r="A2660" s="2">
        <v>46089</v>
      </c>
      <c r="B2660" s="2">
        <v>46237</v>
      </c>
      <c r="C2660" t="str">
        <f>+"Tuáº§n "&amp;WEEKNUM(B2660)</f>
        <v>Tuáº§n 32</v>
      </c>
      <c r="D2660" t="s">
        <v>16</v>
      </c>
      <c r="E2660" t="s">
        <v>17</v>
      </c>
      <c r="F2660" s="5">
        <v>136500000</v>
      </c>
      <c r="G2660" s="5">
        <v>140500000</v>
      </c>
      <c r="H2660" s="5">
        <f>+(M2660*26000)/0.829426</f>
        <v>126585373.49926335</v>
      </c>
      <c r="I2660" s="5">
        <f>+G2660-H2660</f>
        <v>13914626.500736654</v>
      </c>
      <c r="J2660" s="5">
        <v>4000000</v>
      </c>
      <c r="K2660" s="5">
        <v>13650000</v>
      </c>
      <c r="L2660" s="5">
        <v>14050000</v>
      </c>
      <c r="M2660" s="7">
        <v>4038.2</v>
      </c>
      <c r="N2660" s="5">
        <v>0</v>
      </c>
      <c r="O2660" s="5">
        <v>0</v>
      </c>
      <c r="P2660" s="3">
        <v>0.97916666666666663</v>
      </c>
    </row>
    <row r="2661" spans="1:16" x14ac:dyDescent="0.25">
      <c r="A2661" s="2">
        <v>46120</v>
      </c>
      <c r="B2661" s="2">
        <v>46238</v>
      </c>
      <c r="C2661" t="str">
        <f>+"Tuáº§n "&amp;WEEKNUM(B2661)</f>
        <v>Tuáº§n 32</v>
      </c>
      <c r="D2661" t="s">
        <v>18</v>
      </c>
      <c r="E2661" t="s">
        <v>17</v>
      </c>
      <c r="F2661" s="5">
        <v>136500000</v>
      </c>
      <c r="G2661" s="5">
        <v>140000000</v>
      </c>
      <c r="H2661" s="5">
        <f>+(M2661*26000)/0.829426</f>
        <v>128227955.23651296</v>
      </c>
      <c r="I2661" s="5">
        <f>+G2661-H2661</f>
        <v>11772044.763487041</v>
      </c>
      <c r="J2661" s="5">
        <v>3500000</v>
      </c>
      <c r="K2661" s="5">
        <v>13650000</v>
      </c>
      <c r="L2661" s="5">
        <v>14000000</v>
      </c>
      <c r="M2661" s="7">
        <v>4090.6</v>
      </c>
      <c r="N2661" s="5">
        <v>0</v>
      </c>
      <c r="O2661" s="5">
        <v>0</v>
      </c>
      <c r="P2661" s="3">
        <v>0.97916666666666663</v>
      </c>
    </row>
    <row r="2662" spans="1:16" x14ac:dyDescent="0.25">
      <c r="A2662" s="2">
        <v>46150</v>
      </c>
      <c r="B2662" s="2">
        <v>46239</v>
      </c>
      <c r="C2662" t="str">
        <f>+"Tuáº§n "&amp;WEEKNUM(B2662)</f>
        <v>Tuáº§n 32</v>
      </c>
      <c r="D2662" t="s">
        <v>19</v>
      </c>
      <c r="E2662" t="s">
        <v>17</v>
      </c>
      <c r="F2662" s="5">
        <v>138300000</v>
      </c>
      <c r="G2662" s="5">
        <v>141300000</v>
      </c>
      <c r="H2662" s="5">
        <f>+(M2662*26000)/0.829426</f>
        <v>132977022.66386636</v>
      </c>
      <c r="I2662" s="5">
        <f>+G2662-H2662</f>
        <v>8322977.336133644</v>
      </c>
      <c r="J2662" s="5">
        <v>3000000</v>
      </c>
      <c r="K2662" s="5">
        <v>13830000</v>
      </c>
      <c r="L2662" s="5">
        <v>14130000</v>
      </c>
      <c r="M2662" s="7">
        <v>4242.1000000000004</v>
      </c>
      <c r="N2662" s="5">
        <v>0</v>
      </c>
      <c r="O2662" s="5">
        <v>0</v>
      </c>
      <c r="P2662" s="3">
        <v>0.97916666666666663</v>
      </c>
    </row>
    <row r="2663" spans="1:16" x14ac:dyDescent="0.25">
      <c r="A2663" s="2">
        <v>46181</v>
      </c>
      <c r="B2663" s="2">
        <v>46240</v>
      </c>
      <c r="C2663" t="str">
        <f>+"Tuáº§n "&amp;WEEKNUM(B2663)</f>
        <v>Tuáº§n 32</v>
      </c>
      <c r="D2663" t="s">
        <v>20</v>
      </c>
      <c r="E2663" t="s">
        <v>17</v>
      </c>
      <c r="F2663" s="5">
        <v>139200000</v>
      </c>
      <c r="G2663" s="5">
        <v>142200000</v>
      </c>
      <c r="H2663" s="5">
        <f>+(M2663*26000)/0.829426</f>
        <v>132550703.73969468</v>
      </c>
      <c r="I2663" s="5">
        <f>+G2663-H2663</f>
        <v>9649296.2603053153</v>
      </c>
      <c r="J2663" s="5">
        <v>3000000</v>
      </c>
      <c r="K2663" s="5">
        <v>13920000</v>
      </c>
      <c r="L2663" s="5">
        <v>14220000</v>
      </c>
      <c r="M2663" s="7">
        <v>4228.5</v>
      </c>
      <c r="N2663" s="5">
        <v>0</v>
      </c>
      <c r="O2663" s="5">
        <v>0</v>
      </c>
      <c r="P2663" s="3">
        <v>0.97916666666666663</v>
      </c>
    </row>
    <row r="2664" spans="1:16" x14ac:dyDescent="0.25">
      <c r="A2664" s="2">
        <v>46211</v>
      </c>
      <c r="B2664" s="2">
        <v>46241</v>
      </c>
      <c r="C2664" t="str">
        <f>+"Tuáº§n "&amp;WEEKNUM(B2664)</f>
        <v>Tuáº§n 32</v>
      </c>
      <c r="D2664" t="s">
        <v>21</v>
      </c>
      <c r="E2664" t="s">
        <v>17</v>
      </c>
      <c r="F2664" s="5">
        <v>138700000</v>
      </c>
      <c r="G2664" s="5">
        <v>141700000</v>
      </c>
      <c r="H2664" s="5">
        <f>+(M2664*26000)/0.829426</f>
        <v>135973793.92495534</v>
      </c>
      <c r="I2664" s="5">
        <f>+G2664-H2664</f>
        <v>5726206.0750446618</v>
      </c>
      <c r="J2664" s="5">
        <v>3000000</v>
      </c>
      <c r="K2664" s="5">
        <v>13870000</v>
      </c>
      <c r="L2664" s="5">
        <v>14170000</v>
      </c>
      <c r="M2664" s="7">
        <v>4337.7</v>
      </c>
      <c r="N2664" s="5">
        <v>0</v>
      </c>
      <c r="O2664" s="5">
        <v>0</v>
      </c>
      <c r="P2664" s="3">
        <v>0.97916666666666663</v>
      </c>
    </row>
    <row r="2665" spans="1:16" x14ac:dyDescent="0.25">
      <c r="A2665" s="2">
        <v>46303</v>
      </c>
      <c r="B2665" s="2">
        <v>46244</v>
      </c>
      <c r="C2665" t="str">
        <f>+"Tuáº§n "&amp;WEEKNUM(B2665)</f>
        <v>Tuáº§n 33</v>
      </c>
      <c r="D2665" t="s">
        <v>16</v>
      </c>
      <c r="E2665" t="s">
        <v>17</v>
      </c>
      <c r="F2665" s="5">
        <v>140600000</v>
      </c>
      <c r="G2665" s="5">
        <v>143600000</v>
      </c>
      <c r="H2665" s="5">
        <f>+(M2665*26000)/0.829426</f>
        <v>136807623.58546755</v>
      </c>
      <c r="I2665" s="5">
        <f>+G2665-H2665</f>
        <v>6792376.4145324528</v>
      </c>
      <c r="J2665" s="5">
        <v>3000000</v>
      </c>
      <c r="K2665" s="5">
        <v>14060000</v>
      </c>
      <c r="L2665" s="5">
        <v>14360000</v>
      </c>
      <c r="M2665" s="7">
        <v>4364.3</v>
      </c>
      <c r="N2665" s="5">
        <v>0</v>
      </c>
      <c r="O2665" s="5">
        <v>0</v>
      </c>
      <c r="P2665" s="3">
        <v>0.97916666666666663</v>
      </c>
    </row>
    <row r="2666" spans="1:16" x14ac:dyDescent="0.25">
      <c r="A2666" s="2">
        <v>46334</v>
      </c>
      <c r="B2666" s="2">
        <v>46245</v>
      </c>
      <c r="C2666" t="str">
        <f>+"Tuáº§n "&amp;WEEKNUM(B2666)</f>
        <v>Tuáº§n 33</v>
      </c>
      <c r="D2666" t="s">
        <v>18</v>
      </c>
      <c r="E2666" t="s">
        <v>17</v>
      </c>
      <c r="F2666" s="5">
        <v>140000000</v>
      </c>
      <c r="G2666" s="5">
        <v>143000000</v>
      </c>
      <c r="H2666" s="5">
        <f>+(M2666*26000)/0.829426</f>
        <v>137422024.38795021</v>
      </c>
      <c r="I2666" s="5">
        <f>+G2666-H2666</f>
        <v>5577975.6120497882</v>
      </c>
      <c r="J2666" s="5">
        <v>3000000</v>
      </c>
      <c r="K2666" s="5">
        <v>14000000</v>
      </c>
      <c r="L2666" s="5">
        <v>14300000</v>
      </c>
      <c r="M2666" s="7">
        <v>4383.8999999999996</v>
      </c>
      <c r="N2666" s="5">
        <v>0</v>
      </c>
      <c r="O2666" s="5">
        <v>0</v>
      </c>
      <c r="P2666" s="3">
        <v>0.97916666666666663</v>
      </c>
    </row>
    <row r="2667" spans="1:16" x14ac:dyDescent="0.25">
      <c r="A2667" s="2">
        <v>46364</v>
      </c>
      <c r="B2667" s="2">
        <v>46246</v>
      </c>
      <c r="C2667" t="str">
        <f>+"Tuáº§n "&amp;WEEKNUM(B2667)</f>
        <v>Tuáº§n 33</v>
      </c>
      <c r="D2667" t="s">
        <v>19</v>
      </c>
      <c r="E2667" t="s">
        <v>17</v>
      </c>
      <c r="F2667" s="5">
        <v>140800000</v>
      </c>
      <c r="G2667" s="5">
        <v>143800000</v>
      </c>
      <c r="H2667" s="5">
        <f>+(M2667*26000)/0.829426</f>
        <v>138697846.46249336</v>
      </c>
      <c r="I2667" s="5">
        <f>+G2667-H2667</f>
        <v>5102153.53750664</v>
      </c>
      <c r="J2667" s="5">
        <v>3000000</v>
      </c>
      <c r="K2667" s="5">
        <v>14080000</v>
      </c>
      <c r="L2667" s="5">
        <v>14380000</v>
      </c>
      <c r="M2667" s="7">
        <v>4424.6000000000004</v>
      </c>
      <c r="N2667" s="5">
        <v>0</v>
      </c>
      <c r="O2667" s="5">
        <v>0</v>
      </c>
      <c r="P2667" s="3">
        <v>0.97916666666666663</v>
      </c>
    </row>
    <row r="2668" spans="1:16" x14ac:dyDescent="0.25">
      <c r="A2668" t="s">
        <v>1629</v>
      </c>
      <c r="B2668" s="2">
        <v>46247</v>
      </c>
      <c r="C2668" t="str">
        <f>+"Tuáº§n "&amp;WEEKNUM(B2668)</f>
        <v>Tuáº§n 33</v>
      </c>
      <c r="D2668" t="s">
        <v>20</v>
      </c>
      <c r="E2668" t="s">
        <v>17</v>
      </c>
      <c r="F2668" s="5">
        <v>140800000</v>
      </c>
      <c r="G2668" s="5">
        <v>143800000</v>
      </c>
      <c r="H2668" s="5">
        <f>+(M2668*26000)/0.829426</f>
        <v>136607002.91526911</v>
      </c>
      <c r="I2668" s="5">
        <f>+G2668-H2668</f>
        <v>7192997.0847308934</v>
      </c>
      <c r="J2668" s="5">
        <v>3000000</v>
      </c>
      <c r="K2668" s="5">
        <v>14080000</v>
      </c>
      <c r="L2668" s="5">
        <v>14380000</v>
      </c>
      <c r="M2668" s="7">
        <v>4357.8999999999996</v>
      </c>
      <c r="N2668" s="5">
        <v>0</v>
      </c>
      <c r="O2668" s="5">
        <v>0</v>
      </c>
      <c r="P2668" s="3">
        <v>0.97916666666666663</v>
      </c>
    </row>
    <row r="2669" spans="1:16" x14ac:dyDescent="0.25">
      <c r="A2669" t="s">
        <v>1630</v>
      </c>
      <c r="B2669" s="2">
        <v>46248</v>
      </c>
      <c r="C2669" t="str">
        <f>+"Tuáº§n "&amp;WEEKNUM(B2669)</f>
        <v>Tuáº§n 33</v>
      </c>
      <c r="D2669" t="s">
        <v>21</v>
      </c>
      <c r="E2669" t="s">
        <v>17</v>
      </c>
      <c r="F2669" s="5">
        <v>139800000</v>
      </c>
      <c r="G2669" s="5">
        <v>142800000</v>
      </c>
      <c r="H2669" s="5">
        <f>+(M2669*26000)/0.829426</f>
        <v>137569355.19262722</v>
      </c>
      <c r="I2669" s="5">
        <f>+G2669-H2669</f>
        <v>5230644.8073727787</v>
      </c>
      <c r="J2669" s="5">
        <v>3000000</v>
      </c>
      <c r="K2669" s="5">
        <v>13980000</v>
      </c>
      <c r="L2669" s="5">
        <v>14280000</v>
      </c>
      <c r="M2669" s="7">
        <v>4388.6000000000004</v>
      </c>
      <c r="N2669" s="5">
        <v>0</v>
      </c>
      <c r="O2669" s="5">
        <v>0</v>
      </c>
      <c r="P2669" s="3">
        <v>0.97916666666666663</v>
      </c>
    </row>
    <row r="2670" spans="1:16" x14ac:dyDescent="0.25">
      <c r="A2670" t="s">
        <v>1631</v>
      </c>
      <c r="B2670" s="2">
        <v>46251</v>
      </c>
      <c r="C2670" t="str">
        <f>+"Tuáº§n "&amp;WEEKNUM(B2670)</f>
        <v>Tuáº§n 34</v>
      </c>
      <c r="D2670" t="s">
        <v>16</v>
      </c>
      <c r="E2670" t="s">
        <v>17</v>
      </c>
      <c r="F2670" s="5">
        <v>140700000</v>
      </c>
      <c r="G2670" s="5">
        <v>143700000</v>
      </c>
      <c r="H2670" s="5">
        <f>+(M2670*26000)/0.829426</f>
        <v>138697846.46249336</v>
      </c>
      <c r="I2670" s="5">
        <f>+G2670-H2670</f>
        <v>5002153.53750664</v>
      </c>
      <c r="J2670" s="5">
        <v>3000000</v>
      </c>
      <c r="K2670" s="5">
        <v>14070000</v>
      </c>
      <c r="L2670" s="5">
        <v>14370000</v>
      </c>
      <c r="M2670" s="7">
        <v>4424.6000000000004</v>
      </c>
      <c r="N2670" s="5">
        <v>0</v>
      </c>
      <c r="O2670" s="5">
        <v>0</v>
      </c>
      <c r="P2670" s="3">
        <v>0.97916666666666663</v>
      </c>
    </row>
    <row r="2671" spans="1:16" x14ac:dyDescent="0.25">
      <c r="A2671" t="s">
        <v>1632</v>
      </c>
      <c r="B2671" s="2">
        <v>46252</v>
      </c>
      <c r="C2671" t="str">
        <f>+"Tuáº§n "&amp;WEEKNUM(B2671)</f>
        <v>Tuáº§n 34</v>
      </c>
      <c r="D2671" t="s">
        <v>18</v>
      </c>
      <c r="E2671" t="s">
        <v>17</v>
      </c>
      <c r="F2671" s="5">
        <v>140800000</v>
      </c>
      <c r="G2671" s="5">
        <v>143800000</v>
      </c>
      <c r="H2671" s="5">
        <f>+(M2671*26000)/0.829426</f>
        <v>136851509.35707346</v>
      </c>
      <c r="I2671" s="5">
        <f>+G2671-H2671</f>
        <v>6948490.642926544</v>
      </c>
      <c r="J2671" s="5">
        <v>3000000</v>
      </c>
      <c r="K2671" s="5">
        <v>14080000</v>
      </c>
      <c r="L2671" s="5">
        <v>14380000</v>
      </c>
      <c r="M2671" s="7">
        <v>4365.7</v>
      </c>
      <c r="N2671" s="5">
        <v>0</v>
      </c>
      <c r="O2671" s="5">
        <v>0</v>
      </c>
      <c r="P2671" s="3">
        <v>0.97916666666666663</v>
      </c>
    </row>
    <row r="2672" spans="1:16" x14ac:dyDescent="0.25">
      <c r="A2672" t="s">
        <v>1633</v>
      </c>
      <c r="B2672" s="2">
        <v>46253</v>
      </c>
      <c r="C2672" t="str">
        <f>+"Tuáº§n "&amp;WEEKNUM(B2672)</f>
        <v>Tuáº§n 34</v>
      </c>
      <c r="D2672" t="s">
        <v>19</v>
      </c>
      <c r="E2672" t="s">
        <v>17</v>
      </c>
      <c r="F2672" s="5">
        <v>139200000</v>
      </c>
      <c r="G2672" s="5">
        <v>142200000</v>
      </c>
      <c r="H2672" s="5">
        <f>+(M2672*26000)/0.829426</f>
        <v>140863922.76104197</v>
      </c>
      <c r="I2672" s="5">
        <f>+G2672-H2672</f>
        <v>1336077.2389580309</v>
      </c>
      <c r="J2672" s="5">
        <v>3000000</v>
      </c>
      <c r="K2672" s="5">
        <v>13920000</v>
      </c>
      <c r="L2672" s="5">
        <v>14220000</v>
      </c>
      <c r="M2672" s="7">
        <v>4493.7</v>
      </c>
      <c r="N2672" s="5">
        <v>0</v>
      </c>
      <c r="O2672" s="5">
        <v>0</v>
      </c>
      <c r="P2672" s="3">
        <v>0.97916666666666663</v>
      </c>
    </row>
    <row r="2673" spans="1:16" x14ac:dyDescent="0.25">
      <c r="A2673" t="s">
        <v>1634</v>
      </c>
      <c r="B2673" s="2">
        <v>46254</v>
      </c>
      <c r="C2673" t="str">
        <f>+"Tuáº§n "&amp;WEEKNUM(B2673)</f>
        <v>Tuáº§n 34</v>
      </c>
      <c r="D2673" t="s">
        <v>20</v>
      </c>
      <c r="E2673" t="s">
        <v>17</v>
      </c>
      <c r="F2673" s="5">
        <v>142500000</v>
      </c>
      <c r="G2673" s="5">
        <v>145500000</v>
      </c>
      <c r="H2673" s="5">
        <f>+(M2673*26000)/0.829426</f>
        <v>142124071.34572583</v>
      </c>
      <c r="I2673" s="5">
        <f>+G2673-H2673</f>
        <v>3375928.6542741656</v>
      </c>
      <c r="J2673" s="5">
        <v>3000000</v>
      </c>
      <c r="K2673" s="5">
        <v>14250000</v>
      </c>
      <c r="L2673" s="5">
        <v>14550000</v>
      </c>
      <c r="M2673" s="7">
        <v>4533.8999999999996</v>
      </c>
      <c r="N2673" s="5">
        <v>0</v>
      </c>
      <c r="O2673" s="5">
        <v>0</v>
      </c>
      <c r="P2673" s="3">
        <v>0.9375</v>
      </c>
    </row>
    <row r="2674" spans="1:16" x14ac:dyDescent="0.25">
      <c r="A2674" t="s">
        <v>1635</v>
      </c>
      <c r="B2674" s="2">
        <v>46255</v>
      </c>
      <c r="C2674" t="str">
        <f>+"Tuáº§n "&amp;WEEKNUM(B2674)</f>
        <v>Tuáº§n 34</v>
      </c>
      <c r="D2674" t="s">
        <v>21</v>
      </c>
      <c r="E2674" t="s">
        <v>17</v>
      </c>
      <c r="F2674" s="5">
        <v>143500000</v>
      </c>
      <c r="G2674" s="5">
        <v>146500000</v>
      </c>
      <c r="H2674" s="5">
        <f>+(M2674*26000)/0.829426</f>
        <v>144619290.93131876</v>
      </c>
      <c r="I2674" s="5">
        <f>+G2674-H2674</f>
        <v>1880709.0686812401</v>
      </c>
      <c r="J2674" s="5">
        <v>3000000</v>
      </c>
      <c r="K2674" s="5">
        <v>14350000</v>
      </c>
      <c r="L2674" s="5">
        <v>14650000</v>
      </c>
      <c r="M2674" s="7">
        <v>4613.5</v>
      </c>
      <c r="N2674" s="5">
        <v>0</v>
      </c>
      <c r="O2674" s="5">
        <v>0</v>
      </c>
      <c r="P2674" s="3">
        <v>0.97916666666666663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D7E29-6072-408D-809C-B7B246E70AC0}">
  <dimension ref="A1:P2674"/>
  <sheetViews>
    <sheetView workbookViewId="0"/>
  </sheetViews>
  <sheetFormatPr defaultRowHeight="13.8" x14ac:dyDescent="0.25"/>
  <cols>
    <col min="6" max="8" width="11.109375" style="5" bestFit="1" customWidth="1"/>
    <col min="9" max="9" width="10.109375" style="5" bestFit="1" customWidth="1"/>
    <col min="10" max="10" width="9.109375" style="5" bestFit="1" customWidth="1"/>
    <col min="11" max="12" width="10.109375" style="5" bestFit="1" customWidth="1"/>
    <col min="13" max="13" width="8.88671875" style="7"/>
    <col min="14" max="15" width="11.109375" style="5" bestFit="1" customWidth="1"/>
  </cols>
  <sheetData>
    <row r="1" spans="1:1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9" t="s">
        <v>5</v>
      </c>
      <c r="G1" s="9" t="s">
        <v>6</v>
      </c>
      <c r="H1" s="9" t="s">
        <v>7</v>
      </c>
      <c r="I1" s="9" t="s">
        <v>8</v>
      </c>
      <c r="J1" s="9" t="s">
        <v>9</v>
      </c>
      <c r="K1" s="9" t="s">
        <v>10</v>
      </c>
      <c r="L1" s="9" t="s">
        <v>11</v>
      </c>
      <c r="M1" s="10" t="s">
        <v>12</v>
      </c>
      <c r="N1" s="9" t="s">
        <v>13</v>
      </c>
      <c r="O1" s="9" t="s">
        <v>14</v>
      </c>
      <c r="P1" s="8" t="s">
        <v>15</v>
      </c>
    </row>
    <row r="2" spans="1:16" x14ac:dyDescent="0.25">
      <c r="A2" s="2">
        <v>42461</v>
      </c>
      <c r="B2" s="2">
        <v>42373</v>
      </c>
      <c r="C2" t="str">
        <f>TEXT(B2,"mm")</f>
        <v>01</v>
      </c>
      <c r="D2" t="s">
        <v>16</v>
      </c>
      <c r="E2" t="s">
        <v>1636</v>
      </c>
      <c r="F2" s="5">
        <v>27100000</v>
      </c>
      <c r="G2" s="5">
        <v>30100000</v>
      </c>
      <c r="H2" s="5">
        <f>M2*26000*1.20565</f>
        <v>33701052.189999998</v>
      </c>
      <c r="I2" s="5">
        <f>G2-H2</f>
        <v>-3601052.1899999976</v>
      </c>
      <c r="J2" s="5">
        <v>3000000</v>
      </c>
      <c r="K2" s="5">
        <v>2710000</v>
      </c>
      <c r="L2" s="5">
        <v>3010000</v>
      </c>
      <c r="M2" s="7">
        <v>1075.0999999999999</v>
      </c>
      <c r="N2" s="5">
        <v>27600000</v>
      </c>
      <c r="O2" s="5">
        <v>30600000</v>
      </c>
      <c r="P2" s="3">
        <v>0.97916666666666663</v>
      </c>
    </row>
    <row r="3" spans="1:16" x14ac:dyDescent="0.25">
      <c r="A3" s="2">
        <v>42491</v>
      </c>
      <c r="B3" s="2">
        <v>42374</v>
      </c>
      <c r="C3" t="str">
        <f>TEXT(B3,"mm")</f>
        <v>01</v>
      </c>
      <c r="D3" t="s">
        <v>18</v>
      </c>
      <c r="E3" t="s">
        <v>1636</v>
      </c>
      <c r="F3" s="5">
        <v>27200000</v>
      </c>
      <c r="G3" s="5">
        <v>30200000</v>
      </c>
      <c r="H3" s="5">
        <f>M3*26000*1.20565</f>
        <v>33804496.960000008</v>
      </c>
      <c r="I3" s="5">
        <f>G3-H3</f>
        <v>-3604496.9600000083</v>
      </c>
      <c r="J3" s="5">
        <v>3000000</v>
      </c>
      <c r="K3" s="5">
        <v>2720000</v>
      </c>
      <c r="L3" s="5">
        <v>3020000</v>
      </c>
      <c r="M3" s="7">
        <v>1078.4000000000001</v>
      </c>
      <c r="N3" s="5">
        <v>27700000</v>
      </c>
      <c r="O3" s="5">
        <v>30700000</v>
      </c>
      <c r="P3" s="3">
        <v>0.97916666666666663</v>
      </c>
    </row>
    <row r="4" spans="1:16" x14ac:dyDescent="0.25">
      <c r="A4" s="2">
        <v>42522</v>
      </c>
      <c r="B4" s="2">
        <v>42375</v>
      </c>
      <c r="C4" t="str">
        <f>TEXT(B4,"mm")</f>
        <v>01</v>
      </c>
      <c r="D4" t="s">
        <v>19</v>
      </c>
      <c r="E4" t="s">
        <v>1636</v>
      </c>
      <c r="F4" s="5">
        <v>27600000</v>
      </c>
      <c r="G4" s="5">
        <v>30600000</v>
      </c>
      <c r="H4" s="5">
        <f>M4*26000*1.20565</f>
        <v>34227680.110000007</v>
      </c>
      <c r="I4" s="5">
        <f>G4-H4</f>
        <v>-3627680.1100000069</v>
      </c>
      <c r="J4" s="5">
        <v>3000000</v>
      </c>
      <c r="K4" s="5">
        <v>2760000</v>
      </c>
      <c r="L4" s="5">
        <v>3060000</v>
      </c>
      <c r="M4" s="7">
        <v>1091.9000000000001</v>
      </c>
      <c r="N4" s="5">
        <v>28100000</v>
      </c>
      <c r="O4" s="5">
        <v>31100000</v>
      </c>
      <c r="P4" s="3">
        <v>0.97916666666666663</v>
      </c>
    </row>
    <row r="5" spans="1:16" x14ac:dyDescent="0.25">
      <c r="A5" s="2">
        <v>42552</v>
      </c>
      <c r="B5" s="2">
        <v>42376</v>
      </c>
      <c r="C5" t="str">
        <f>TEXT(B5,"mm")</f>
        <v>01</v>
      </c>
      <c r="D5" t="s">
        <v>20</v>
      </c>
      <c r="E5" t="s">
        <v>1636</v>
      </c>
      <c r="F5" s="5">
        <v>28000000</v>
      </c>
      <c r="G5" s="5">
        <v>31000000</v>
      </c>
      <c r="H5" s="5">
        <f>M5*26000*1.20565</f>
        <v>34722961.130000003</v>
      </c>
      <c r="I5" s="5">
        <f>G5-H5</f>
        <v>-3722961.1300000027</v>
      </c>
      <c r="J5" s="5">
        <v>3000000</v>
      </c>
      <c r="K5" s="5">
        <v>2800000</v>
      </c>
      <c r="L5" s="5">
        <v>3100000</v>
      </c>
      <c r="M5" s="7">
        <v>1107.7</v>
      </c>
      <c r="N5" s="5">
        <v>28500000</v>
      </c>
      <c r="O5" s="5">
        <v>31500000</v>
      </c>
      <c r="P5" s="3">
        <v>0.97916666666666663</v>
      </c>
    </row>
    <row r="6" spans="1:16" x14ac:dyDescent="0.25">
      <c r="A6" s="2">
        <v>42583</v>
      </c>
      <c r="B6" s="2">
        <v>42377</v>
      </c>
      <c r="C6" t="str">
        <f>TEXT(B6,"mm")</f>
        <v>01</v>
      </c>
      <c r="D6" t="s">
        <v>21</v>
      </c>
      <c r="E6" t="s">
        <v>1636</v>
      </c>
      <c r="F6" s="5">
        <v>27800000</v>
      </c>
      <c r="G6" s="5">
        <v>30800000</v>
      </c>
      <c r="H6" s="5">
        <f>M6*26000*1.20565</f>
        <v>34412626.82</v>
      </c>
      <c r="I6" s="5">
        <f>G6-H6</f>
        <v>-3612626.8200000003</v>
      </c>
      <c r="J6" s="5">
        <v>3000000</v>
      </c>
      <c r="K6" s="5">
        <v>2780000</v>
      </c>
      <c r="L6" s="5">
        <v>3080000</v>
      </c>
      <c r="M6" s="7">
        <v>1097.8</v>
      </c>
      <c r="N6" s="5">
        <v>28300000</v>
      </c>
      <c r="O6" s="5">
        <v>31300000</v>
      </c>
      <c r="P6" s="3">
        <v>0.97916666666666663</v>
      </c>
    </row>
    <row r="7" spans="1:16" x14ac:dyDescent="0.25">
      <c r="A7" s="2">
        <v>42675</v>
      </c>
      <c r="B7" s="2">
        <v>42380</v>
      </c>
      <c r="C7" t="str">
        <f>TEXT(B7,"mm")</f>
        <v>01</v>
      </c>
      <c r="D7" t="s">
        <v>16</v>
      </c>
      <c r="E7" t="s">
        <v>1636</v>
      </c>
      <c r="F7" s="5">
        <v>27700000</v>
      </c>
      <c r="G7" s="5">
        <v>30700000</v>
      </c>
      <c r="H7" s="5">
        <f>M7*26000*1.20565</f>
        <v>34371875.850000001</v>
      </c>
      <c r="I7" s="5">
        <f>G7-H7</f>
        <v>-3671875.8500000015</v>
      </c>
      <c r="J7" s="5">
        <v>3000000</v>
      </c>
      <c r="K7" s="5">
        <v>2770000</v>
      </c>
      <c r="L7" s="5">
        <v>3070000</v>
      </c>
      <c r="M7" s="7">
        <v>1096.5</v>
      </c>
      <c r="N7" s="5">
        <v>28200000</v>
      </c>
      <c r="O7" s="5">
        <v>31200000</v>
      </c>
      <c r="P7" s="3">
        <v>0.97916666666666663</v>
      </c>
    </row>
    <row r="8" spans="1:16" x14ac:dyDescent="0.25">
      <c r="A8" s="2">
        <v>42705</v>
      </c>
      <c r="B8" s="2">
        <v>42381</v>
      </c>
      <c r="C8" t="str">
        <f>TEXT(B8,"mm")</f>
        <v>01</v>
      </c>
      <c r="D8" t="s">
        <v>18</v>
      </c>
      <c r="E8" t="s">
        <v>1636</v>
      </c>
      <c r="F8" s="5">
        <v>27400000</v>
      </c>
      <c r="G8" s="5">
        <v>30400000</v>
      </c>
      <c r="H8" s="5">
        <f>M8*26000*1.20565</f>
        <v>34030194.640000001</v>
      </c>
      <c r="I8" s="5">
        <f>G8-H8</f>
        <v>-3630194.6400000006</v>
      </c>
      <c r="J8" s="5">
        <v>3000000</v>
      </c>
      <c r="K8" s="5">
        <v>2740000</v>
      </c>
      <c r="L8" s="5">
        <v>3040000</v>
      </c>
      <c r="M8" s="7">
        <v>1085.5999999999999</v>
      </c>
      <c r="N8" s="5">
        <v>27900000</v>
      </c>
      <c r="O8" s="5">
        <v>30900000</v>
      </c>
      <c r="P8" s="3">
        <v>0.97916666666666663</v>
      </c>
    </row>
    <row r="9" spans="1:16" x14ac:dyDescent="0.25">
      <c r="A9" t="s">
        <v>22</v>
      </c>
      <c r="B9" s="2">
        <v>42382</v>
      </c>
      <c r="C9" t="str">
        <f>TEXT(B9,"mm")</f>
        <v>01</v>
      </c>
      <c r="D9" t="s">
        <v>19</v>
      </c>
      <c r="E9" t="s">
        <v>1636</v>
      </c>
      <c r="F9" s="5">
        <v>27500000</v>
      </c>
      <c r="G9" s="5">
        <v>30500000</v>
      </c>
      <c r="H9" s="5">
        <f>M9*26000*1.20565</f>
        <v>34089753.75</v>
      </c>
      <c r="I9" s="5">
        <f>G9-H9</f>
        <v>-3589753.75</v>
      </c>
      <c r="J9" s="5">
        <v>3000000</v>
      </c>
      <c r="K9" s="5">
        <v>2750000</v>
      </c>
      <c r="L9" s="5">
        <v>3050000</v>
      </c>
      <c r="M9" s="7">
        <v>1087.5</v>
      </c>
      <c r="N9" s="5">
        <v>28000000</v>
      </c>
      <c r="O9" s="5">
        <v>31000000</v>
      </c>
      <c r="P9" s="3">
        <v>0.97916666666666663</v>
      </c>
    </row>
    <row r="10" spans="1:16" x14ac:dyDescent="0.25">
      <c r="A10" t="s">
        <v>23</v>
      </c>
      <c r="B10" s="2">
        <v>42383</v>
      </c>
      <c r="C10" t="str">
        <f>TEXT(B10,"mm")</f>
        <v>01</v>
      </c>
      <c r="D10" t="s">
        <v>20</v>
      </c>
      <c r="E10" t="s">
        <v>1636</v>
      </c>
      <c r="F10" s="5">
        <v>27100000</v>
      </c>
      <c r="G10" s="5">
        <v>30100000</v>
      </c>
      <c r="H10" s="5">
        <f>M10*26000*1.20565</f>
        <v>33663435.910000004</v>
      </c>
      <c r="I10" s="5">
        <f>G10-H10</f>
        <v>-3563435.9100000039</v>
      </c>
      <c r="J10" s="5">
        <v>3000000</v>
      </c>
      <c r="K10" s="5">
        <v>2710000</v>
      </c>
      <c r="L10" s="5">
        <v>3010000</v>
      </c>
      <c r="M10" s="7">
        <v>1073.9000000000001</v>
      </c>
      <c r="N10" s="5">
        <v>27600000</v>
      </c>
      <c r="O10" s="5">
        <v>30600000</v>
      </c>
      <c r="P10" s="3">
        <v>0.97916666666666663</v>
      </c>
    </row>
    <row r="11" spans="1:16" x14ac:dyDescent="0.25">
      <c r="A11" t="s">
        <v>24</v>
      </c>
      <c r="B11" s="2">
        <v>42384</v>
      </c>
      <c r="C11" t="str">
        <f>TEXT(B11,"mm")</f>
        <v>01</v>
      </c>
      <c r="D11" t="s">
        <v>21</v>
      </c>
      <c r="E11" t="s">
        <v>1636</v>
      </c>
      <c r="F11" s="5">
        <v>27600000</v>
      </c>
      <c r="G11" s="5">
        <v>30600000</v>
      </c>
      <c r="H11" s="5">
        <f>M11*26000*1.20565</f>
        <v>34215141.350000001</v>
      </c>
      <c r="I11" s="5">
        <f>G11-H11</f>
        <v>-3615141.3500000015</v>
      </c>
      <c r="J11" s="5">
        <v>3000000</v>
      </c>
      <c r="K11" s="5">
        <v>2760000</v>
      </c>
      <c r="L11" s="5">
        <v>3060000</v>
      </c>
      <c r="M11" s="7">
        <v>1091.5</v>
      </c>
      <c r="N11" s="5">
        <v>28100000</v>
      </c>
      <c r="O11" s="5">
        <v>31100000</v>
      </c>
      <c r="P11" s="3">
        <v>0.97916666666666663</v>
      </c>
    </row>
    <row r="12" spans="1:16" x14ac:dyDescent="0.25">
      <c r="A12" t="s">
        <v>25</v>
      </c>
      <c r="B12" s="2">
        <v>42388</v>
      </c>
      <c r="C12" t="str">
        <f>TEXT(B12,"mm")</f>
        <v>01</v>
      </c>
      <c r="D12" t="s">
        <v>18</v>
      </c>
      <c r="E12" t="s">
        <v>1636</v>
      </c>
      <c r="F12" s="5">
        <v>27500000</v>
      </c>
      <c r="G12" s="5">
        <v>30500000</v>
      </c>
      <c r="H12" s="5">
        <f>M12*26000*1.20565</f>
        <v>34164986.31000001</v>
      </c>
      <c r="I12" s="5">
        <f>G12-H12</f>
        <v>-3664986.3100000098</v>
      </c>
      <c r="J12" s="5">
        <v>3000000</v>
      </c>
      <c r="K12" s="5">
        <v>2750000</v>
      </c>
      <c r="L12" s="5">
        <v>3050000</v>
      </c>
      <c r="M12" s="7">
        <v>1089.9000000000001</v>
      </c>
      <c r="N12" s="5">
        <v>28000000</v>
      </c>
      <c r="O12" s="5">
        <v>31000000</v>
      </c>
      <c r="P12" s="3">
        <v>0.97916666666666663</v>
      </c>
    </row>
    <row r="13" spans="1:16" x14ac:dyDescent="0.25">
      <c r="A13" t="s">
        <v>26</v>
      </c>
      <c r="B13" s="2">
        <v>42389</v>
      </c>
      <c r="C13" t="str">
        <f>TEXT(B13,"mm")</f>
        <v>01</v>
      </c>
      <c r="D13" t="s">
        <v>19</v>
      </c>
      <c r="E13" t="s">
        <v>1636</v>
      </c>
      <c r="F13" s="5">
        <v>28000000</v>
      </c>
      <c r="G13" s="5">
        <v>31000000</v>
      </c>
      <c r="H13" s="5">
        <f>M13*26000*1.20565</f>
        <v>34704152.990000002</v>
      </c>
      <c r="I13" s="5">
        <f>G13-H13</f>
        <v>-3704152.9900000021</v>
      </c>
      <c r="J13" s="5">
        <v>3000000</v>
      </c>
      <c r="K13" s="5">
        <v>2800000</v>
      </c>
      <c r="L13" s="5">
        <v>3100000</v>
      </c>
      <c r="M13" s="7">
        <v>1107.0999999999999</v>
      </c>
      <c r="N13" s="5">
        <v>28500000</v>
      </c>
      <c r="O13" s="5">
        <v>31500000</v>
      </c>
      <c r="P13" s="3">
        <v>0.97916666666666663</v>
      </c>
    </row>
    <row r="14" spans="1:16" x14ac:dyDescent="0.25">
      <c r="A14" t="s">
        <v>27</v>
      </c>
      <c r="B14" s="2">
        <v>42390</v>
      </c>
      <c r="C14" t="str">
        <f>TEXT(B14,"mm")</f>
        <v>01</v>
      </c>
      <c r="D14" t="s">
        <v>20</v>
      </c>
      <c r="E14" t="s">
        <v>1636</v>
      </c>
      <c r="F14" s="5">
        <v>27800000</v>
      </c>
      <c r="G14" s="5">
        <v>30800000</v>
      </c>
      <c r="H14" s="5">
        <f>M14*26000*1.20565</f>
        <v>34453377.789999999</v>
      </c>
      <c r="I14" s="5">
        <f>G14-H14</f>
        <v>-3653377.7899999991</v>
      </c>
      <c r="J14" s="5">
        <v>3000000</v>
      </c>
      <c r="K14" s="5">
        <v>2780000</v>
      </c>
      <c r="L14" s="5">
        <v>3080000</v>
      </c>
      <c r="M14" s="7">
        <v>1099.0999999999999</v>
      </c>
      <c r="N14" s="5">
        <v>28300000</v>
      </c>
      <c r="O14" s="5">
        <v>31300000</v>
      </c>
      <c r="P14" s="3">
        <v>0.97916666666666663</v>
      </c>
    </row>
    <row r="15" spans="1:16" x14ac:dyDescent="0.25">
      <c r="A15" t="s">
        <v>28</v>
      </c>
      <c r="B15" s="2">
        <v>42391</v>
      </c>
      <c r="C15" t="str">
        <f>TEXT(B15,"mm")</f>
        <v>01</v>
      </c>
      <c r="D15" t="s">
        <v>21</v>
      </c>
      <c r="E15" t="s">
        <v>1636</v>
      </c>
      <c r="F15" s="5">
        <v>27700000</v>
      </c>
      <c r="G15" s="5">
        <v>30700000</v>
      </c>
      <c r="H15" s="5">
        <f>M15*26000*1.20565</f>
        <v>34393818.68</v>
      </c>
      <c r="I15" s="5">
        <f>G15-H15</f>
        <v>-3693818.6799999997</v>
      </c>
      <c r="J15" s="5">
        <v>3000000</v>
      </c>
      <c r="K15" s="5">
        <v>2770000</v>
      </c>
      <c r="L15" s="5">
        <v>3070000</v>
      </c>
      <c r="M15" s="7">
        <v>1097.2</v>
      </c>
      <c r="N15" s="5">
        <v>28200000</v>
      </c>
      <c r="O15" s="5">
        <v>31200000</v>
      </c>
      <c r="P15" s="3">
        <v>0.97916666666666663</v>
      </c>
    </row>
    <row r="16" spans="1:16" x14ac:dyDescent="0.25">
      <c r="A16" t="s">
        <v>29</v>
      </c>
      <c r="B16" s="2">
        <v>42394</v>
      </c>
      <c r="C16" t="str">
        <f>TEXT(B16,"mm")</f>
        <v>01</v>
      </c>
      <c r="D16" t="s">
        <v>16</v>
      </c>
      <c r="E16" t="s">
        <v>1636</v>
      </c>
      <c r="F16" s="5">
        <v>28000000</v>
      </c>
      <c r="G16" s="5">
        <v>31000000</v>
      </c>
      <c r="H16" s="5">
        <f>M16*26000*1.20565</f>
        <v>34675940.780000001</v>
      </c>
      <c r="I16" s="5">
        <f>G16-H16</f>
        <v>-3675940.7800000012</v>
      </c>
      <c r="J16" s="5">
        <v>3000000</v>
      </c>
      <c r="K16" s="5">
        <v>2800000</v>
      </c>
      <c r="L16" s="5">
        <v>3100000</v>
      </c>
      <c r="M16" s="7">
        <v>1106.2</v>
      </c>
      <c r="N16" s="5">
        <v>28500000</v>
      </c>
      <c r="O16" s="5">
        <v>31500000</v>
      </c>
      <c r="P16" s="3">
        <v>0.97916666666666663</v>
      </c>
    </row>
    <row r="17" spans="1:16" x14ac:dyDescent="0.25">
      <c r="A17" t="s">
        <v>30</v>
      </c>
      <c r="B17" s="2">
        <v>42395</v>
      </c>
      <c r="C17" t="str">
        <f>TEXT(B17,"mm")</f>
        <v>01</v>
      </c>
      <c r="D17" t="s">
        <v>18</v>
      </c>
      <c r="E17" t="s">
        <v>1636</v>
      </c>
      <c r="F17" s="5">
        <v>28400000</v>
      </c>
      <c r="G17" s="5">
        <v>31400000</v>
      </c>
      <c r="H17" s="5">
        <f>M17*26000*1.20565</f>
        <v>35161817.730000004</v>
      </c>
      <c r="I17" s="5">
        <f>G17-H17</f>
        <v>-3761817.7300000042</v>
      </c>
      <c r="J17" s="5">
        <v>3000000</v>
      </c>
      <c r="K17" s="5">
        <v>2840000</v>
      </c>
      <c r="L17" s="5">
        <v>3140000</v>
      </c>
      <c r="M17" s="7">
        <v>1121.7</v>
      </c>
      <c r="N17" s="5">
        <v>28900000</v>
      </c>
      <c r="O17" s="5">
        <v>31900000</v>
      </c>
      <c r="P17" s="3">
        <v>0.97916666666666663</v>
      </c>
    </row>
    <row r="18" spans="1:16" x14ac:dyDescent="0.25">
      <c r="A18" t="s">
        <v>31</v>
      </c>
      <c r="B18" s="2">
        <v>42396</v>
      </c>
      <c r="C18" t="str">
        <f>TEXT(B18,"mm")</f>
        <v>01</v>
      </c>
      <c r="D18" t="s">
        <v>19</v>
      </c>
      <c r="E18" t="s">
        <v>1636</v>
      </c>
      <c r="F18" s="5">
        <v>28300000</v>
      </c>
      <c r="G18" s="5">
        <v>31300000</v>
      </c>
      <c r="H18" s="5">
        <f>M18*26000*1.20565</f>
        <v>34986275.089999996</v>
      </c>
      <c r="I18" s="5">
        <f>G18-H18</f>
        <v>-3686275.0899999961</v>
      </c>
      <c r="J18" s="5">
        <v>3000000</v>
      </c>
      <c r="K18" s="5">
        <v>2830000</v>
      </c>
      <c r="L18" s="5">
        <v>3130000</v>
      </c>
      <c r="M18" s="7">
        <v>1116.0999999999999</v>
      </c>
      <c r="N18" s="5">
        <v>28800000</v>
      </c>
      <c r="O18" s="5">
        <v>31800000</v>
      </c>
      <c r="P18" s="3">
        <v>0.97916666666666663</v>
      </c>
    </row>
    <row r="19" spans="1:16" x14ac:dyDescent="0.25">
      <c r="A19" t="s">
        <v>32</v>
      </c>
      <c r="B19" s="2">
        <v>42397</v>
      </c>
      <c r="C19" t="str">
        <f>TEXT(B19,"mm")</f>
        <v>01</v>
      </c>
      <c r="D19" t="s">
        <v>20</v>
      </c>
      <c r="E19" t="s">
        <v>1636</v>
      </c>
      <c r="F19" s="5">
        <v>28300000</v>
      </c>
      <c r="G19" s="5">
        <v>31300000</v>
      </c>
      <c r="H19" s="5">
        <f>M19*26000*1.20565</f>
        <v>34970601.640000001</v>
      </c>
      <c r="I19" s="5">
        <f>G19-H19</f>
        <v>-3670601.6400000006</v>
      </c>
      <c r="J19" s="5">
        <v>3000000</v>
      </c>
      <c r="K19" s="5">
        <v>2830000</v>
      </c>
      <c r="L19" s="5">
        <v>3130000</v>
      </c>
      <c r="M19" s="7">
        <v>1115.5999999999999</v>
      </c>
      <c r="N19" s="5">
        <v>28800000</v>
      </c>
      <c r="O19" s="5">
        <v>31800000</v>
      </c>
      <c r="P19" s="3">
        <v>0.97916666666666663</v>
      </c>
    </row>
    <row r="20" spans="1:16" x14ac:dyDescent="0.25">
      <c r="A20" t="s">
        <v>33</v>
      </c>
      <c r="B20" s="2">
        <v>42398</v>
      </c>
      <c r="C20" t="str">
        <f>TEXT(B20,"mm")</f>
        <v>01</v>
      </c>
      <c r="D20" t="s">
        <v>21</v>
      </c>
      <c r="E20" t="s">
        <v>1636</v>
      </c>
      <c r="F20" s="5">
        <v>28300000</v>
      </c>
      <c r="G20" s="5">
        <v>31300000</v>
      </c>
      <c r="H20" s="5">
        <f>M20*26000*1.20565</f>
        <v>34995679.160000011</v>
      </c>
      <c r="I20" s="5">
        <f>G20-H20</f>
        <v>-3695679.1600000113</v>
      </c>
      <c r="J20" s="5">
        <v>3000000</v>
      </c>
      <c r="K20" s="5">
        <v>2830000</v>
      </c>
      <c r="L20" s="5">
        <v>3130000</v>
      </c>
      <c r="M20" s="7">
        <v>1116.4000000000001</v>
      </c>
      <c r="N20" s="5">
        <v>28800000</v>
      </c>
      <c r="O20" s="5">
        <v>31800000</v>
      </c>
      <c r="P20" s="3">
        <v>0.97916666666666663</v>
      </c>
    </row>
    <row r="21" spans="1:16" x14ac:dyDescent="0.25">
      <c r="A21" s="2">
        <v>42371</v>
      </c>
      <c r="B21" s="2">
        <v>42401</v>
      </c>
      <c r="C21" t="str">
        <f>TEXT(B21,"mm")</f>
        <v>02</v>
      </c>
      <c r="D21" t="s">
        <v>16</v>
      </c>
      <c r="E21" t="s">
        <v>1636</v>
      </c>
      <c r="F21" s="5">
        <v>28600000</v>
      </c>
      <c r="G21" s="5">
        <v>31600000</v>
      </c>
      <c r="H21" s="5">
        <f>M21*26000*1.20565</f>
        <v>35356168.510000005</v>
      </c>
      <c r="I21" s="5">
        <f>G21-H21</f>
        <v>-3756168.5100000054</v>
      </c>
      <c r="J21" s="5">
        <v>3000000</v>
      </c>
      <c r="K21" s="5">
        <v>2860000</v>
      </c>
      <c r="L21" s="5">
        <v>3160000</v>
      </c>
      <c r="M21" s="7">
        <v>1127.9000000000001</v>
      </c>
      <c r="N21" s="5">
        <v>29100000</v>
      </c>
      <c r="O21" s="5">
        <v>32100000</v>
      </c>
      <c r="P21" s="3">
        <v>0.97916666666666663</v>
      </c>
    </row>
    <row r="22" spans="1:16" x14ac:dyDescent="0.25">
      <c r="A22" s="2">
        <v>42402</v>
      </c>
      <c r="B22" s="2">
        <v>42402</v>
      </c>
      <c r="C22" t="str">
        <f>TEXT(B22,"mm")</f>
        <v>02</v>
      </c>
      <c r="D22" t="s">
        <v>18</v>
      </c>
      <c r="E22" t="s">
        <v>1636</v>
      </c>
      <c r="F22" s="5">
        <v>28600000</v>
      </c>
      <c r="G22" s="5">
        <v>31600000</v>
      </c>
      <c r="H22" s="5">
        <f>M22*26000*1.20565</f>
        <v>35337360.370000005</v>
      </c>
      <c r="I22" s="5">
        <f>G22-H22</f>
        <v>-3737360.3700000048</v>
      </c>
      <c r="J22" s="5">
        <v>3000000</v>
      </c>
      <c r="K22" s="5">
        <v>2860000</v>
      </c>
      <c r="L22" s="5">
        <v>3160000</v>
      </c>
      <c r="M22" s="7">
        <v>1127.3</v>
      </c>
      <c r="N22" s="5">
        <v>29100000</v>
      </c>
      <c r="O22" s="5">
        <v>32100000</v>
      </c>
      <c r="P22" s="3">
        <v>0.97916666666666663</v>
      </c>
    </row>
    <row r="23" spans="1:16" x14ac:dyDescent="0.25">
      <c r="A23" s="2">
        <v>42431</v>
      </c>
      <c r="B23" s="2">
        <v>42403</v>
      </c>
      <c r="C23" t="str">
        <f>TEXT(B23,"mm")</f>
        <v>02</v>
      </c>
      <c r="D23" t="s">
        <v>19</v>
      </c>
      <c r="E23" t="s">
        <v>1636</v>
      </c>
      <c r="F23" s="5">
        <v>29000000</v>
      </c>
      <c r="G23" s="5">
        <v>32000000</v>
      </c>
      <c r="H23" s="5">
        <f>M23*26000*1.20565</f>
        <v>35776216.970000006</v>
      </c>
      <c r="I23" s="5">
        <f>G23-H23</f>
        <v>-3776216.9700000063</v>
      </c>
      <c r="J23" s="5">
        <v>3000000</v>
      </c>
      <c r="K23" s="5">
        <v>2900000</v>
      </c>
      <c r="L23" s="5">
        <v>3200000</v>
      </c>
      <c r="M23" s="7">
        <v>1141.3</v>
      </c>
      <c r="N23" s="5">
        <v>29500000</v>
      </c>
      <c r="O23" s="5">
        <v>32500000</v>
      </c>
      <c r="P23" s="3">
        <v>0.97916666666666663</v>
      </c>
    </row>
    <row r="24" spans="1:16" x14ac:dyDescent="0.25">
      <c r="A24" s="2">
        <v>42462</v>
      </c>
      <c r="B24" s="2">
        <v>42404</v>
      </c>
      <c r="C24" t="str">
        <f>TEXT(B24,"mm")</f>
        <v>02</v>
      </c>
      <c r="D24" t="s">
        <v>20</v>
      </c>
      <c r="E24" t="s">
        <v>1636</v>
      </c>
      <c r="F24" s="5">
        <v>29400000</v>
      </c>
      <c r="G24" s="5">
        <v>32400000</v>
      </c>
      <c r="H24" s="5">
        <f>M24*26000*1.20565</f>
        <v>36287171.439999998</v>
      </c>
      <c r="I24" s="5">
        <f>G24-H24</f>
        <v>-3887171.4399999976</v>
      </c>
      <c r="J24" s="5">
        <v>3000000</v>
      </c>
      <c r="K24" s="5">
        <v>2940000</v>
      </c>
      <c r="L24" s="5">
        <v>3240000</v>
      </c>
      <c r="M24" s="7">
        <v>1157.5999999999999</v>
      </c>
      <c r="N24" s="5">
        <v>29900000</v>
      </c>
      <c r="O24" s="5">
        <v>32900000</v>
      </c>
      <c r="P24" s="3">
        <v>0.97916666666666663</v>
      </c>
    </row>
    <row r="25" spans="1:16" x14ac:dyDescent="0.25">
      <c r="A25" s="2">
        <v>42492</v>
      </c>
      <c r="B25" s="2">
        <v>42405</v>
      </c>
      <c r="C25" t="str">
        <f>TEXT(B25,"mm")</f>
        <v>02</v>
      </c>
      <c r="D25" t="s">
        <v>21</v>
      </c>
      <c r="E25" t="s">
        <v>1636</v>
      </c>
      <c r="F25" s="5">
        <v>29400000</v>
      </c>
      <c r="G25" s="5">
        <v>32400000</v>
      </c>
      <c r="H25" s="5">
        <f>M25*26000*1.20565</f>
        <v>36293440.82</v>
      </c>
      <c r="I25" s="5">
        <f>G25-H25</f>
        <v>-3893440.8200000003</v>
      </c>
      <c r="J25" s="5">
        <v>3000000</v>
      </c>
      <c r="K25" s="5">
        <v>2940000</v>
      </c>
      <c r="L25" s="5">
        <v>3240000</v>
      </c>
      <c r="M25" s="7">
        <v>1157.8</v>
      </c>
      <c r="N25" s="5">
        <v>29900000</v>
      </c>
      <c r="O25" s="5">
        <v>32900000</v>
      </c>
      <c r="P25" s="3">
        <v>0.97916666666666663</v>
      </c>
    </row>
    <row r="26" spans="1:16" x14ac:dyDescent="0.25">
      <c r="A26" s="2">
        <v>42584</v>
      </c>
      <c r="B26" s="2">
        <v>42408</v>
      </c>
      <c r="C26" t="str">
        <f>TEXT(B26,"mm")</f>
        <v>02</v>
      </c>
      <c r="D26" t="s">
        <v>16</v>
      </c>
      <c r="E26" t="s">
        <v>1636</v>
      </c>
      <c r="F26" s="5">
        <v>30600000</v>
      </c>
      <c r="G26" s="5">
        <v>33600000</v>
      </c>
      <c r="H26" s="5">
        <f>M26*26000*1.20565</f>
        <v>37550451.510000005</v>
      </c>
      <c r="I26" s="5">
        <f>G26-H26</f>
        <v>-3950451.5100000054</v>
      </c>
      <c r="J26" s="5">
        <v>3000000</v>
      </c>
      <c r="K26" s="5">
        <v>3060000</v>
      </c>
      <c r="L26" s="5">
        <v>3360000</v>
      </c>
      <c r="M26" s="7">
        <v>1197.9000000000001</v>
      </c>
      <c r="N26" s="5">
        <v>31100000</v>
      </c>
      <c r="O26" s="5">
        <v>34100000</v>
      </c>
      <c r="P26" s="3">
        <v>0.97916666666666663</v>
      </c>
    </row>
    <row r="27" spans="1:16" x14ac:dyDescent="0.25">
      <c r="A27" s="2">
        <v>42615</v>
      </c>
      <c r="B27" s="2">
        <v>42409</v>
      </c>
      <c r="C27" t="str">
        <f>TEXT(B27,"mm")</f>
        <v>02</v>
      </c>
      <c r="D27" t="s">
        <v>18</v>
      </c>
      <c r="E27" t="s">
        <v>1636</v>
      </c>
      <c r="F27" s="5">
        <v>30600000</v>
      </c>
      <c r="G27" s="5">
        <v>33600000</v>
      </c>
      <c r="H27" s="5">
        <f>M27*26000*1.20565</f>
        <v>37575529.030000001</v>
      </c>
      <c r="I27" s="5">
        <f>G27-H27</f>
        <v>-3975529.0300000012</v>
      </c>
      <c r="J27" s="5">
        <v>3000000</v>
      </c>
      <c r="K27" s="5">
        <v>3060000</v>
      </c>
      <c r="L27" s="5">
        <v>3360000</v>
      </c>
      <c r="M27" s="7">
        <v>1198.7</v>
      </c>
      <c r="N27" s="5">
        <v>31100000</v>
      </c>
      <c r="O27" s="5">
        <v>34100000</v>
      </c>
      <c r="P27" s="3">
        <v>0.97916666666666663</v>
      </c>
    </row>
    <row r="28" spans="1:16" x14ac:dyDescent="0.25">
      <c r="A28" s="2">
        <v>42645</v>
      </c>
      <c r="B28" s="2">
        <v>42410</v>
      </c>
      <c r="C28" t="str">
        <f>TEXT(B28,"mm")</f>
        <v>02</v>
      </c>
      <c r="D28" t="s">
        <v>19</v>
      </c>
      <c r="E28" t="s">
        <v>1636</v>
      </c>
      <c r="F28" s="5">
        <v>30500000</v>
      </c>
      <c r="G28" s="5">
        <v>33500000</v>
      </c>
      <c r="H28" s="5">
        <f>M28*26000*1.20565</f>
        <v>37450141.430000007</v>
      </c>
      <c r="I28" s="5">
        <f>G28-H28</f>
        <v>-3950141.4300000072</v>
      </c>
      <c r="J28" s="5">
        <v>3000000</v>
      </c>
      <c r="K28" s="5">
        <v>3050000</v>
      </c>
      <c r="L28" s="5">
        <v>3350000</v>
      </c>
      <c r="M28" s="7">
        <v>1194.7</v>
      </c>
      <c r="N28" s="5">
        <v>31000000</v>
      </c>
      <c r="O28" s="5">
        <v>34000000</v>
      </c>
      <c r="P28" s="3">
        <v>0.97916666666666663</v>
      </c>
    </row>
    <row r="29" spans="1:16" x14ac:dyDescent="0.25">
      <c r="A29" s="2">
        <v>42676</v>
      </c>
      <c r="B29" s="2">
        <v>42411</v>
      </c>
      <c r="C29" t="str">
        <f>TEXT(B29,"mm")</f>
        <v>02</v>
      </c>
      <c r="D29" t="s">
        <v>20</v>
      </c>
      <c r="E29" t="s">
        <v>1636</v>
      </c>
      <c r="F29" s="5">
        <v>32000000</v>
      </c>
      <c r="G29" s="5">
        <v>35000000</v>
      </c>
      <c r="H29" s="5">
        <f>M29*26000*1.20565</f>
        <v>39117796.510000005</v>
      </c>
      <c r="I29" s="5">
        <f>G29-H29</f>
        <v>-4117796.5100000054</v>
      </c>
      <c r="J29" s="5">
        <v>3000000</v>
      </c>
      <c r="K29" s="5">
        <v>3200000</v>
      </c>
      <c r="L29" s="5">
        <v>3500000</v>
      </c>
      <c r="M29" s="7">
        <v>1247.9000000000001</v>
      </c>
      <c r="N29" s="5">
        <v>32500000</v>
      </c>
      <c r="O29" s="5">
        <v>35500000</v>
      </c>
      <c r="P29" s="3">
        <v>0.97916666666666663</v>
      </c>
    </row>
    <row r="30" spans="1:16" x14ac:dyDescent="0.25">
      <c r="A30" s="2">
        <v>42706</v>
      </c>
      <c r="B30" s="2">
        <v>42412</v>
      </c>
      <c r="C30" t="str">
        <f>TEXT(B30,"mm")</f>
        <v>02</v>
      </c>
      <c r="D30" t="s">
        <v>21</v>
      </c>
      <c r="E30" t="s">
        <v>1636</v>
      </c>
      <c r="F30" s="5">
        <v>31700000</v>
      </c>
      <c r="G30" s="5">
        <v>34700000</v>
      </c>
      <c r="H30" s="5">
        <f>M30*26000*1.20565</f>
        <v>38841943.789999999</v>
      </c>
      <c r="I30" s="5">
        <f>G30-H30</f>
        <v>-4141943.7899999991</v>
      </c>
      <c r="J30" s="5">
        <v>3000000</v>
      </c>
      <c r="K30" s="5">
        <v>3170000</v>
      </c>
      <c r="L30" s="5">
        <v>3470000</v>
      </c>
      <c r="M30" s="7">
        <v>1239.0999999999999</v>
      </c>
      <c r="N30" s="5">
        <v>32200000</v>
      </c>
      <c r="O30" s="5">
        <v>35200000</v>
      </c>
      <c r="P30" s="3">
        <v>0.97916666666666663</v>
      </c>
    </row>
    <row r="31" spans="1:16" x14ac:dyDescent="0.25">
      <c r="A31" t="s">
        <v>34</v>
      </c>
      <c r="B31" s="2">
        <v>42416</v>
      </c>
      <c r="C31" t="str">
        <f>TEXT(B31,"mm")</f>
        <v>02</v>
      </c>
      <c r="D31" t="s">
        <v>18</v>
      </c>
      <c r="E31" t="s">
        <v>1636</v>
      </c>
      <c r="F31" s="5">
        <v>30900000</v>
      </c>
      <c r="G31" s="5">
        <v>33900000</v>
      </c>
      <c r="H31" s="5">
        <f>M31*26000*1.20565</f>
        <v>37863920.510000005</v>
      </c>
      <c r="I31" s="5">
        <f>G31-H31</f>
        <v>-3963920.5100000054</v>
      </c>
      <c r="J31" s="5">
        <v>3000000</v>
      </c>
      <c r="K31" s="5">
        <v>3090000</v>
      </c>
      <c r="L31" s="5">
        <v>3390000</v>
      </c>
      <c r="M31" s="7">
        <v>1207.9000000000001</v>
      </c>
      <c r="N31" s="5">
        <v>31400000</v>
      </c>
      <c r="O31" s="5">
        <v>34400000</v>
      </c>
      <c r="P31" s="3">
        <v>0.97916666666666663</v>
      </c>
    </row>
    <row r="32" spans="1:16" x14ac:dyDescent="0.25">
      <c r="A32" t="s">
        <v>35</v>
      </c>
      <c r="B32" s="2">
        <v>42417</v>
      </c>
      <c r="C32" t="str">
        <f>TEXT(B32,"mm")</f>
        <v>02</v>
      </c>
      <c r="D32" t="s">
        <v>19</v>
      </c>
      <c r="E32" t="s">
        <v>1636</v>
      </c>
      <c r="F32" s="5">
        <v>30900000</v>
      </c>
      <c r="G32" s="5">
        <v>33900000</v>
      </c>
      <c r="H32" s="5">
        <f>M32*26000*1.20565</f>
        <v>37964230.589999996</v>
      </c>
      <c r="I32" s="5">
        <f>G32-H32</f>
        <v>-4064230.5899999961</v>
      </c>
      <c r="J32" s="5">
        <v>3000000</v>
      </c>
      <c r="K32" s="5">
        <v>3090000</v>
      </c>
      <c r="L32" s="5">
        <v>3390000</v>
      </c>
      <c r="M32" s="7">
        <v>1211.0999999999999</v>
      </c>
      <c r="N32" s="5">
        <v>31400000</v>
      </c>
      <c r="O32" s="5">
        <v>34400000</v>
      </c>
      <c r="P32" s="3">
        <v>0.97916666666666663</v>
      </c>
    </row>
    <row r="33" spans="1:16" x14ac:dyDescent="0.25">
      <c r="A33" t="s">
        <v>36</v>
      </c>
      <c r="B33" s="2">
        <v>42418</v>
      </c>
      <c r="C33" t="str">
        <f>TEXT(B33,"mm")</f>
        <v>02</v>
      </c>
      <c r="D33" t="s">
        <v>20</v>
      </c>
      <c r="E33" t="s">
        <v>1636</v>
      </c>
      <c r="F33" s="5">
        <v>31400000</v>
      </c>
      <c r="G33" s="5">
        <v>34400000</v>
      </c>
      <c r="H33" s="5">
        <f>M33*26000*1.20565</f>
        <v>38434434.089999996</v>
      </c>
      <c r="I33" s="5">
        <f>G33-H33</f>
        <v>-4034434.0899999961</v>
      </c>
      <c r="J33" s="5">
        <v>3000000</v>
      </c>
      <c r="K33" s="5">
        <v>3140000</v>
      </c>
      <c r="L33" s="5">
        <v>3440000</v>
      </c>
      <c r="M33" s="7">
        <v>1226.0999999999999</v>
      </c>
      <c r="N33" s="5">
        <v>31900000</v>
      </c>
      <c r="O33" s="5">
        <v>34900000</v>
      </c>
      <c r="P33" s="3">
        <v>0.97916666666666663</v>
      </c>
    </row>
    <row r="34" spans="1:16" x14ac:dyDescent="0.25">
      <c r="A34" t="s">
        <v>37</v>
      </c>
      <c r="B34" s="2">
        <v>42419</v>
      </c>
      <c r="C34" t="str">
        <f>TEXT(B34,"mm")</f>
        <v>02</v>
      </c>
      <c r="D34" t="s">
        <v>21</v>
      </c>
      <c r="E34" t="s">
        <v>1636</v>
      </c>
      <c r="F34" s="5">
        <v>31500000</v>
      </c>
      <c r="G34" s="5">
        <v>34500000</v>
      </c>
      <c r="H34" s="5">
        <f>M34*26000*1.20565</f>
        <v>38569225.760000005</v>
      </c>
      <c r="I34" s="5">
        <f>G34-H34</f>
        <v>-4069225.7600000054</v>
      </c>
      <c r="J34" s="5">
        <v>3000000</v>
      </c>
      <c r="K34" s="5">
        <v>3150000</v>
      </c>
      <c r="L34" s="5">
        <v>3450000</v>
      </c>
      <c r="M34" s="7">
        <v>1230.4000000000001</v>
      </c>
      <c r="N34" s="5">
        <v>32000000</v>
      </c>
      <c r="O34" s="5">
        <v>35000000</v>
      </c>
      <c r="P34" s="3">
        <v>0.97916666666666663</v>
      </c>
    </row>
    <row r="35" spans="1:16" x14ac:dyDescent="0.25">
      <c r="A35" t="s">
        <v>38</v>
      </c>
      <c r="B35" s="2">
        <v>42422</v>
      </c>
      <c r="C35" t="str">
        <f>TEXT(B35,"mm")</f>
        <v>02</v>
      </c>
      <c r="D35" t="s">
        <v>16</v>
      </c>
      <c r="E35" t="s">
        <v>1636</v>
      </c>
      <c r="F35" s="5">
        <v>30900000</v>
      </c>
      <c r="G35" s="5">
        <v>33900000</v>
      </c>
      <c r="H35" s="5">
        <f>M35*26000*1.20565</f>
        <v>37914075.550000004</v>
      </c>
      <c r="I35" s="5">
        <f>G35-H35</f>
        <v>-4014075.5500000045</v>
      </c>
      <c r="J35" s="5">
        <v>3000000</v>
      </c>
      <c r="K35" s="5">
        <v>3090000</v>
      </c>
      <c r="L35" s="5">
        <v>3390000</v>
      </c>
      <c r="M35" s="7">
        <v>1209.5</v>
      </c>
      <c r="N35" s="5">
        <v>31400000</v>
      </c>
      <c r="O35" s="5">
        <v>34400000</v>
      </c>
      <c r="P35" s="3">
        <v>0.97916666666666663</v>
      </c>
    </row>
    <row r="36" spans="1:16" x14ac:dyDescent="0.25">
      <c r="A36" t="s">
        <v>39</v>
      </c>
      <c r="B36" s="2">
        <v>42423</v>
      </c>
      <c r="C36" t="str">
        <f>TEXT(B36,"mm")</f>
        <v>02</v>
      </c>
      <c r="D36" t="s">
        <v>18</v>
      </c>
      <c r="E36" t="s">
        <v>1636</v>
      </c>
      <c r="F36" s="5">
        <v>31300000</v>
      </c>
      <c r="G36" s="5">
        <v>34300000</v>
      </c>
      <c r="H36" s="5">
        <f>M36*26000*1.20565</f>
        <v>38315315.870000005</v>
      </c>
      <c r="I36" s="5">
        <f>G36-H36</f>
        <v>-4015315.8700000048</v>
      </c>
      <c r="J36" s="5">
        <v>3000000</v>
      </c>
      <c r="K36" s="5">
        <v>3130000</v>
      </c>
      <c r="L36" s="5">
        <v>3430000</v>
      </c>
      <c r="M36" s="7">
        <v>1222.3</v>
      </c>
      <c r="N36" s="5">
        <v>31800000</v>
      </c>
      <c r="O36" s="5">
        <v>34800000</v>
      </c>
      <c r="P36" s="3">
        <v>0.97916666666666663</v>
      </c>
    </row>
    <row r="37" spans="1:16" x14ac:dyDescent="0.25">
      <c r="A37" t="s">
        <v>40</v>
      </c>
      <c r="B37" s="2">
        <v>42424</v>
      </c>
      <c r="C37" t="str">
        <f>TEXT(B37,"mm")</f>
        <v>02</v>
      </c>
      <c r="D37" t="s">
        <v>19</v>
      </c>
      <c r="E37" t="s">
        <v>1636</v>
      </c>
      <c r="F37" s="5">
        <v>31700000</v>
      </c>
      <c r="G37" s="5">
        <v>34700000</v>
      </c>
      <c r="H37" s="5">
        <f>M37*26000*1.20565</f>
        <v>38829405.030000001</v>
      </c>
      <c r="I37" s="5">
        <f>G37-H37</f>
        <v>-4129405.0300000012</v>
      </c>
      <c r="J37" s="5">
        <v>3000000</v>
      </c>
      <c r="K37" s="5">
        <v>3170000</v>
      </c>
      <c r="L37" s="5">
        <v>3470000</v>
      </c>
      <c r="M37" s="7">
        <v>1238.7</v>
      </c>
      <c r="N37" s="5">
        <v>32200000</v>
      </c>
      <c r="O37" s="5">
        <v>35200000</v>
      </c>
      <c r="P37" s="3">
        <v>0.97916666666666663</v>
      </c>
    </row>
    <row r="38" spans="1:16" x14ac:dyDescent="0.25">
      <c r="A38" t="s">
        <v>41</v>
      </c>
      <c r="B38" s="2">
        <v>42425</v>
      </c>
      <c r="C38" t="str">
        <f>TEXT(B38,"mm")</f>
        <v>02</v>
      </c>
      <c r="D38" t="s">
        <v>20</v>
      </c>
      <c r="E38" t="s">
        <v>1636</v>
      </c>
      <c r="F38" s="5">
        <v>31700000</v>
      </c>
      <c r="G38" s="5">
        <v>34700000</v>
      </c>
      <c r="H38" s="5">
        <f>M38*26000*1.20565</f>
        <v>38813731.580000006</v>
      </c>
      <c r="I38" s="5">
        <f>G38-H38</f>
        <v>-4113731.5800000057</v>
      </c>
      <c r="J38" s="5">
        <v>3000000</v>
      </c>
      <c r="K38" s="5">
        <v>3170000</v>
      </c>
      <c r="L38" s="5">
        <v>3470000</v>
      </c>
      <c r="M38" s="7">
        <v>1238.2</v>
      </c>
      <c r="N38" s="5">
        <v>32200000</v>
      </c>
      <c r="O38" s="5">
        <v>35200000</v>
      </c>
      <c r="P38" s="3">
        <v>0.97916666666666663</v>
      </c>
    </row>
    <row r="39" spans="1:16" x14ac:dyDescent="0.25">
      <c r="A39" t="s">
        <v>42</v>
      </c>
      <c r="B39" s="2">
        <v>42426</v>
      </c>
      <c r="C39" t="str">
        <f>TEXT(B39,"mm")</f>
        <v>02</v>
      </c>
      <c r="D39" t="s">
        <v>21</v>
      </c>
      <c r="E39" t="s">
        <v>1636</v>
      </c>
      <c r="F39" s="5">
        <v>31200000</v>
      </c>
      <c r="G39" s="5">
        <v>34200000</v>
      </c>
      <c r="H39" s="5">
        <f>M39*26000*1.20565</f>
        <v>38236948.620000005</v>
      </c>
      <c r="I39" s="5">
        <f>G39-H39</f>
        <v>-4036948.6200000048</v>
      </c>
      <c r="J39" s="5">
        <v>3000000</v>
      </c>
      <c r="K39" s="5">
        <v>3120000</v>
      </c>
      <c r="L39" s="5">
        <v>3420000</v>
      </c>
      <c r="M39" s="7">
        <v>1219.8</v>
      </c>
      <c r="N39" s="5">
        <v>31700000</v>
      </c>
      <c r="O39" s="5">
        <v>34700000</v>
      </c>
      <c r="P39" s="3">
        <v>0.97916666666666663</v>
      </c>
    </row>
    <row r="40" spans="1:16" x14ac:dyDescent="0.25">
      <c r="A40" t="s">
        <v>43</v>
      </c>
      <c r="B40" s="2">
        <v>42429</v>
      </c>
      <c r="C40" t="str">
        <f>TEXT(B40,"mm")</f>
        <v>02</v>
      </c>
      <c r="D40" t="s">
        <v>16</v>
      </c>
      <c r="E40" t="s">
        <v>1636</v>
      </c>
      <c r="F40" s="5">
        <v>31600000</v>
      </c>
      <c r="G40" s="5">
        <v>34600000</v>
      </c>
      <c r="H40" s="5">
        <f>M40*26000*1.20565</f>
        <v>38678939.910000011</v>
      </c>
      <c r="I40" s="5">
        <f>G40-H40</f>
        <v>-4078939.9100000113</v>
      </c>
      <c r="J40" s="5">
        <v>3000000</v>
      </c>
      <c r="K40" s="5">
        <v>3160000</v>
      </c>
      <c r="L40" s="5">
        <v>3460000</v>
      </c>
      <c r="M40" s="7">
        <v>1233.9000000000001</v>
      </c>
      <c r="N40" s="5">
        <v>32100000</v>
      </c>
      <c r="O40" s="5">
        <v>35100000</v>
      </c>
      <c r="P40" s="3">
        <v>0.97916666666666663</v>
      </c>
    </row>
    <row r="41" spans="1:16" x14ac:dyDescent="0.25">
      <c r="A41" s="2">
        <v>42372</v>
      </c>
      <c r="B41" s="2">
        <v>42430</v>
      </c>
      <c r="C41" t="str">
        <f>TEXT(B41,"mm")</f>
        <v>03</v>
      </c>
      <c r="D41" t="s">
        <v>18</v>
      </c>
      <c r="E41" t="s">
        <v>1636</v>
      </c>
      <c r="F41" s="5">
        <v>31500000</v>
      </c>
      <c r="G41" s="5">
        <v>34500000</v>
      </c>
      <c r="H41" s="5">
        <f>M41*26000*1.20565</f>
        <v>38566091.07</v>
      </c>
      <c r="I41" s="5">
        <f>G41-H41</f>
        <v>-4066091.0700000003</v>
      </c>
      <c r="J41" s="5">
        <v>3000000</v>
      </c>
      <c r="K41" s="5">
        <v>3150000</v>
      </c>
      <c r="L41" s="5">
        <v>3450000</v>
      </c>
      <c r="M41" s="7">
        <v>1230.3</v>
      </c>
      <c r="N41" s="5">
        <v>32000000</v>
      </c>
      <c r="O41" s="5">
        <v>35000000</v>
      </c>
      <c r="P41" s="3">
        <v>0.97916666666666663</v>
      </c>
    </row>
    <row r="42" spans="1:16" x14ac:dyDescent="0.25">
      <c r="A42" s="2">
        <v>42403</v>
      </c>
      <c r="B42" s="2">
        <v>42431</v>
      </c>
      <c r="C42" t="str">
        <f>TEXT(B42,"mm")</f>
        <v>03</v>
      </c>
      <c r="D42" t="s">
        <v>19</v>
      </c>
      <c r="E42" t="s">
        <v>1636</v>
      </c>
      <c r="F42" s="5">
        <v>31800000</v>
      </c>
      <c r="G42" s="5">
        <v>34800000</v>
      </c>
      <c r="H42" s="5">
        <f>M42*26000*1.20565</f>
        <v>38904637.589999996</v>
      </c>
      <c r="I42" s="5">
        <f>G42-H42</f>
        <v>-4104637.5899999961</v>
      </c>
      <c r="J42" s="5">
        <v>3000000</v>
      </c>
      <c r="K42" s="5">
        <v>3180000</v>
      </c>
      <c r="L42" s="5">
        <v>3480000</v>
      </c>
      <c r="M42" s="7">
        <v>1241.0999999999999</v>
      </c>
      <c r="N42" s="5">
        <v>32300000</v>
      </c>
      <c r="O42" s="5">
        <v>35300000</v>
      </c>
      <c r="P42" s="3">
        <v>0.97916666666666663</v>
      </c>
    </row>
    <row r="43" spans="1:16" x14ac:dyDescent="0.25">
      <c r="A43" s="2">
        <v>42432</v>
      </c>
      <c r="B43" s="2">
        <v>42432</v>
      </c>
      <c r="C43" t="str">
        <f>TEXT(B43,"mm")</f>
        <v>03</v>
      </c>
      <c r="D43" t="s">
        <v>20</v>
      </c>
      <c r="E43" t="s">
        <v>1636</v>
      </c>
      <c r="F43" s="5">
        <v>32200000</v>
      </c>
      <c r="G43" s="5">
        <v>35200000</v>
      </c>
      <c r="H43" s="5">
        <f>M43*26000*1.20565</f>
        <v>39415592.06000001</v>
      </c>
      <c r="I43" s="5">
        <f>G43-H43</f>
        <v>-4215592.0600000098</v>
      </c>
      <c r="J43" s="5">
        <v>3000000</v>
      </c>
      <c r="K43" s="5">
        <v>3220000</v>
      </c>
      <c r="L43" s="5">
        <v>3520000</v>
      </c>
      <c r="M43" s="7">
        <v>1257.4000000000001</v>
      </c>
      <c r="N43" s="5">
        <v>32700000</v>
      </c>
      <c r="O43" s="5">
        <v>35700000</v>
      </c>
      <c r="P43" s="3">
        <v>0.97916666666666663</v>
      </c>
    </row>
    <row r="44" spans="1:16" x14ac:dyDescent="0.25">
      <c r="A44" s="2">
        <v>42463</v>
      </c>
      <c r="B44" s="2">
        <v>42433</v>
      </c>
      <c r="C44" t="str">
        <f>TEXT(B44,"mm")</f>
        <v>03</v>
      </c>
      <c r="D44" t="s">
        <v>21</v>
      </c>
      <c r="E44" t="s">
        <v>1636</v>
      </c>
      <c r="F44" s="5">
        <v>32600000</v>
      </c>
      <c r="G44" s="5">
        <v>35600000</v>
      </c>
      <c r="H44" s="5">
        <f>M44*26000*1.20565</f>
        <v>39807428.31000001</v>
      </c>
      <c r="I44" s="5">
        <f>G44-H44</f>
        <v>-4207428.3100000098</v>
      </c>
      <c r="J44" s="5">
        <v>3000000</v>
      </c>
      <c r="K44" s="5">
        <v>3260000</v>
      </c>
      <c r="L44" s="5">
        <v>3560000</v>
      </c>
      <c r="M44" s="7">
        <v>1269.9000000000001</v>
      </c>
      <c r="N44" s="5">
        <v>33100000</v>
      </c>
      <c r="O44" s="5">
        <v>36100000</v>
      </c>
      <c r="P44" s="3">
        <v>0.97916666666666663</v>
      </c>
    </row>
    <row r="45" spans="1:16" x14ac:dyDescent="0.25">
      <c r="A45" s="2">
        <v>42554</v>
      </c>
      <c r="B45" s="2">
        <v>42436</v>
      </c>
      <c r="C45" t="str">
        <f>TEXT(B45,"mm")</f>
        <v>03</v>
      </c>
      <c r="D45" t="s">
        <v>16</v>
      </c>
      <c r="E45" t="s">
        <v>1636</v>
      </c>
      <c r="F45" s="5">
        <v>32400000</v>
      </c>
      <c r="G45" s="5">
        <v>35400000</v>
      </c>
      <c r="H45" s="5">
        <f>M45*26000*1.20565</f>
        <v>39597404.080000006</v>
      </c>
      <c r="I45" s="5">
        <f>G45-H45</f>
        <v>-4197404.0800000057</v>
      </c>
      <c r="J45" s="5">
        <v>3000000</v>
      </c>
      <c r="K45" s="5">
        <v>3240000</v>
      </c>
      <c r="L45" s="5">
        <v>3540000</v>
      </c>
      <c r="M45" s="7">
        <v>1263.2</v>
      </c>
      <c r="N45" s="5">
        <v>32900000</v>
      </c>
      <c r="O45" s="5">
        <v>35900000</v>
      </c>
      <c r="P45" s="3">
        <v>0.97916666666666663</v>
      </c>
    </row>
    <row r="46" spans="1:16" x14ac:dyDescent="0.25">
      <c r="A46" s="2">
        <v>42585</v>
      </c>
      <c r="B46" s="2">
        <v>42437</v>
      </c>
      <c r="C46" t="str">
        <f>TEXT(B46,"mm")</f>
        <v>03</v>
      </c>
      <c r="D46" t="s">
        <v>18</v>
      </c>
      <c r="E46" t="s">
        <v>1636</v>
      </c>
      <c r="F46" s="5">
        <v>32400000</v>
      </c>
      <c r="G46" s="5">
        <v>35400000</v>
      </c>
      <c r="H46" s="5">
        <f>M46*26000*1.20565</f>
        <v>39562922.490000002</v>
      </c>
      <c r="I46" s="5">
        <f>G46-H46</f>
        <v>-4162922.4900000021</v>
      </c>
      <c r="J46" s="5">
        <v>3000000</v>
      </c>
      <c r="K46" s="5">
        <v>3240000</v>
      </c>
      <c r="L46" s="5">
        <v>3540000</v>
      </c>
      <c r="M46" s="7">
        <v>1262.0999999999999</v>
      </c>
      <c r="N46" s="5">
        <v>32900000</v>
      </c>
      <c r="O46" s="5">
        <v>35900000</v>
      </c>
      <c r="P46" s="3">
        <v>0.97916666666666663</v>
      </c>
    </row>
    <row r="47" spans="1:16" x14ac:dyDescent="0.25">
      <c r="A47" s="2">
        <v>42616</v>
      </c>
      <c r="B47" s="2">
        <v>42438</v>
      </c>
      <c r="C47" t="str">
        <f>TEXT(B47,"mm")</f>
        <v>03</v>
      </c>
      <c r="D47" t="s">
        <v>19</v>
      </c>
      <c r="E47" t="s">
        <v>1636</v>
      </c>
      <c r="F47" s="5">
        <v>32200000</v>
      </c>
      <c r="G47" s="5">
        <v>35200000</v>
      </c>
      <c r="H47" s="5">
        <f>M47*26000*1.20565</f>
        <v>39390514.539999999</v>
      </c>
      <c r="I47" s="5">
        <f>G47-H47</f>
        <v>-4190514.5399999991</v>
      </c>
      <c r="J47" s="5">
        <v>3000000</v>
      </c>
      <c r="K47" s="5">
        <v>3220000</v>
      </c>
      <c r="L47" s="5">
        <v>3520000</v>
      </c>
      <c r="M47" s="7">
        <v>1256.5999999999999</v>
      </c>
      <c r="N47" s="5">
        <v>32700000</v>
      </c>
      <c r="O47" s="5">
        <v>35700000</v>
      </c>
      <c r="P47" s="3">
        <v>0.97916666666666663</v>
      </c>
    </row>
    <row r="48" spans="1:16" x14ac:dyDescent="0.25">
      <c r="A48" s="2">
        <v>42646</v>
      </c>
      <c r="B48" s="2">
        <v>42439</v>
      </c>
      <c r="C48" t="str">
        <f>TEXT(B48,"mm")</f>
        <v>03</v>
      </c>
      <c r="D48" t="s">
        <v>20</v>
      </c>
      <c r="E48" t="s">
        <v>1636</v>
      </c>
      <c r="F48" s="5">
        <v>32600000</v>
      </c>
      <c r="G48" s="5">
        <v>35600000</v>
      </c>
      <c r="H48" s="5">
        <f>M48*26000*1.20565</f>
        <v>39873256.800000004</v>
      </c>
      <c r="I48" s="5">
        <f>G48-H48</f>
        <v>-4273256.8000000045</v>
      </c>
      <c r="J48" s="5">
        <v>3000000</v>
      </c>
      <c r="K48" s="5">
        <v>3260000</v>
      </c>
      <c r="L48" s="5">
        <v>3560000</v>
      </c>
      <c r="M48" s="7">
        <v>1272</v>
      </c>
      <c r="N48" s="5">
        <v>33100000</v>
      </c>
      <c r="O48" s="5">
        <v>36100000</v>
      </c>
      <c r="P48" s="3">
        <v>0.97916666666666663</v>
      </c>
    </row>
    <row r="49" spans="1:16" x14ac:dyDescent="0.25">
      <c r="A49" s="2">
        <v>42677</v>
      </c>
      <c r="B49" s="2">
        <v>42440</v>
      </c>
      <c r="C49" t="str">
        <f>TEXT(B49,"mm")</f>
        <v>03</v>
      </c>
      <c r="D49" t="s">
        <v>21</v>
      </c>
      <c r="E49" t="s">
        <v>1636</v>
      </c>
      <c r="F49" s="5">
        <v>32300000</v>
      </c>
      <c r="G49" s="5">
        <v>35300000</v>
      </c>
      <c r="H49" s="5">
        <f>M49*26000*1.20565</f>
        <v>39456343.030000001</v>
      </c>
      <c r="I49" s="5">
        <f>G49-H49</f>
        <v>-4156343.0300000012</v>
      </c>
      <c r="J49" s="5">
        <v>3000000</v>
      </c>
      <c r="K49" s="5">
        <v>3230000</v>
      </c>
      <c r="L49" s="5">
        <v>3530000</v>
      </c>
      <c r="M49" s="7">
        <v>1258.7</v>
      </c>
      <c r="N49" s="5">
        <v>32800000</v>
      </c>
      <c r="O49" s="5">
        <v>35800000</v>
      </c>
      <c r="P49" s="3">
        <v>0.97916666666666663</v>
      </c>
    </row>
    <row r="50" spans="1:16" x14ac:dyDescent="0.25">
      <c r="A50" t="s">
        <v>44</v>
      </c>
      <c r="B50" s="2">
        <v>42443</v>
      </c>
      <c r="C50" t="str">
        <f>TEXT(B50,"mm")</f>
        <v>03</v>
      </c>
      <c r="D50" t="s">
        <v>16</v>
      </c>
      <c r="E50" t="s">
        <v>1636</v>
      </c>
      <c r="F50" s="5">
        <v>31900000</v>
      </c>
      <c r="G50" s="5">
        <v>34900000</v>
      </c>
      <c r="H50" s="5">
        <f>M50*26000*1.20565</f>
        <v>39008082.360000007</v>
      </c>
      <c r="I50" s="5">
        <f>G50-H50</f>
        <v>-4108082.3600000069</v>
      </c>
      <c r="J50" s="5">
        <v>3000000</v>
      </c>
      <c r="K50" s="5">
        <v>3190000</v>
      </c>
      <c r="L50" s="5">
        <v>3490000</v>
      </c>
      <c r="M50" s="7">
        <v>1244.4000000000001</v>
      </c>
      <c r="N50" s="5">
        <v>32400000</v>
      </c>
      <c r="O50" s="5">
        <v>35400000</v>
      </c>
      <c r="P50" s="3">
        <v>0.97916666666666663</v>
      </c>
    </row>
    <row r="51" spans="1:16" x14ac:dyDescent="0.25">
      <c r="A51" t="s">
        <v>45</v>
      </c>
      <c r="B51" s="2">
        <v>42444</v>
      </c>
      <c r="C51" t="str">
        <f>TEXT(B51,"mm")</f>
        <v>03</v>
      </c>
      <c r="D51" t="s">
        <v>18</v>
      </c>
      <c r="E51" t="s">
        <v>1636</v>
      </c>
      <c r="F51" s="5">
        <v>31500000</v>
      </c>
      <c r="G51" s="5">
        <v>34500000</v>
      </c>
      <c r="H51" s="5">
        <f>M51*26000*1.20565</f>
        <v>38569225.760000005</v>
      </c>
      <c r="I51" s="5">
        <f>G51-H51</f>
        <v>-4069225.7600000054</v>
      </c>
      <c r="J51" s="5">
        <v>3000000</v>
      </c>
      <c r="K51" s="5">
        <v>3150000</v>
      </c>
      <c r="L51" s="5">
        <v>3450000</v>
      </c>
      <c r="M51" s="7">
        <v>1230.4000000000001</v>
      </c>
      <c r="N51" s="5">
        <v>32000000</v>
      </c>
      <c r="O51" s="5">
        <v>35000000</v>
      </c>
      <c r="P51" s="3">
        <v>0.97916666666666663</v>
      </c>
    </row>
    <row r="52" spans="1:16" x14ac:dyDescent="0.25">
      <c r="A52" t="s">
        <v>46</v>
      </c>
      <c r="B52" s="2">
        <v>42445</v>
      </c>
      <c r="C52" t="str">
        <f>TEXT(B52,"mm")</f>
        <v>03</v>
      </c>
      <c r="D52" t="s">
        <v>19</v>
      </c>
      <c r="E52" t="s">
        <v>1636</v>
      </c>
      <c r="F52" s="5">
        <v>31500000</v>
      </c>
      <c r="G52" s="5">
        <v>34500000</v>
      </c>
      <c r="H52" s="5">
        <f>M52*26000*1.20565</f>
        <v>38534744.170000002</v>
      </c>
      <c r="I52" s="5">
        <f>G52-H52</f>
        <v>-4034744.1700000018</v>
      </c>
      <c r="J52" s="5">
        <v>3000000</v>
      </c>
      <c r="K52" s="5">
        <v>3150000</v>
      </c>
      <c r="L52" s="5">
        <v>3450000</v>
      </c>
      <c r="M52" s="7">
        <v>1229.3</v>
      </c>
      <c r="N52" s="5">
        <v>32000000</v>
      </c>
      <c r="O52" s="5">
        <v>35000000</v>
      </c>
      <c r="P52" s="3">
        <v>0.97916666666666663</v>
      </c>
    </row>
    <row r="53" spans="1:16" x14ac:dyDescent="0.25">
      <c r="A53" t="s">
        <v>47</v>
      </c>
      <c r="B53" s="2">
        <v>42446</v>
      </c>
      <c r="C53" t="str">
        <f>TEXT(B53,"mm")</f>
        <v>03</v>
      </c>
      <c r="D53" t="s">
        <v>20</v>
      </c>
      <c r="E53" t="s">
        <v>1636</v>
      </c>
      <c r="F53" s="5">
        <v>32400000</v>
      </c>
      <c r="G53" s="5">
        <v>35400000</v>
      </c>
      <c r="H53" s="5">
        <f>M53*26000*1.20565</f>
        <v>39638155.050000004</v>
      </c>
      <c r="I53" s="5">
        <f>G53-H53</f>
        <v>-4238155.0500000045</v>
      </c>
      <c r="J53" s="5">
        <v>3000000</v>
      </c>
      <c r="K53" s="5">
        <v>3240000</v>
      </c>
      <c r="L53" s="5">
        <v>3540000</v>
      </c>
      <c r="M53" s="7">
        <v>1264.5</v>
      </c>
      <c r="N53" s="5">
        <v>32900000</v>
      </c>
      <c r="O53" s="5">
        <v>35900000</v>
      </c>
      <c r="P53" s="3">
        <v>0.97916666666666663</v>
      </c>
    </row>
    <row r="54" spans="1:16" x14ac:dyDescent="0.25">
      <c r="A54" t="s">
        <v>48</v>
      </c>
      <c r="B54" s="2">
        <v>42447</v>
      </c>
      <c r="C54" t="str">
        <f>TEXT(B54,"mm")</f>
        <v>03</v>
      </c>
      <c r="D54" t="s">
        <v>21</v>
      </c>
      <c r="E54" t="s">
        <v>1636</v>
      </c>
      <c r="F54" s="5">
        <v>32100000</v>
      </c>
      <c r="G54" s="5">
        <v>35100000</v>
      </c>
      <c r="H54" s="5">
        <f>M54*26000*1.20565</f>
        <v>39302743.220000006</v>
      </c>
      <c r="I54" s="5">
        <f>G54-H54</f>
        <v>-4202743.2200000063</v>
      </c>
      <c r="J54" s="5">
        <v>3000000</v>
      </c>
      <c r="K54" s="5">
        <v>3210000</v>
      </c>
      <c r="L54" s="5">
        <v>3510000</v>
      </c>
      <c r="M54" s="7">
        <v>1253.8</v>
      </c>
      <c r="N54" s="5">
        <v>32600000</v>
      </c>
      <c r="O54" s="5">
        <v>35600000</v>
      </c>
      <c r="P54" s="3">
        <v>0.97916666666666663</v>
      </c>
    </row>
    <row r="55" spans="1:16" x14ac:dyDescent="0.25">
      <c r="A55" t="s">
        <v>49</v>
      </c>
      <c r="B55" s="2">
        <v>42450</v>
      </c>
      <c r="C55" t="str">
        <f>TEXT(B55,"mm")</f>
        <v>03</v>
      </c>
      <c r="D55" t="s">
        <v>16</v>
      </c>
      <c r="E55" t="s">
        <v>1636</v>
      </c>
      <c r="F55" s="5">
        <v>31900000</v>
      </c>
      <c r="G55" s="5">
        <v>34900000</v>
      </c>
      <c r="H55" s="5">
        <f>M55*26000*1.20565</f>
        <v>38989274.220000006</v>
      </c>
      <c r="I55" s="5">
        <f>G55-H55</f>
        <v>-4089274.2200000063</v>
      </c>
      <c r="J55" s="5">
        <v>3000000</v>
      </c>
      <c r="K55" s="5">
        <v>3190000</v>
      </c>
      <c r="L55" s="5">
        <v>3490000</v>
      </c>
      <c r="M55" s="7">
        <v>1243.8</v>
      </c>
      <c r="N55" s="5">
        <v>32400000</v>
      </c>
      <c r="O55" s="5">
        <v>35400000</v>
      </c>
      <c r="P55" s="3">
        <v>0.97916666666666663</v>
      </c>
    </row>
    <row r="56" spans="1:16" x14ac:dyDescent="0.25">
      <c r="A56" t="s">
        <v>50</v>
      </c>
      <c r="B56" s="2">
        <v>42451</v>
      </c>
      <c r="C56" t="str">
        <f>TEXT(B56,"mm")</f>
        <v>03</v>
      </c>
      <c r="D56" t="s">
        <v>18</v>
      </c>
      <c r="E56" t="s">
        <v>1636</v>
      </c>
      <c r="F56" s="5">
        <v>32000000</v>
      </c>
      <c r="G56" s="5">
        <v>35000000</v>
      </c>
      <c r="H56" s="5">
        <f>M56*26000*1.20565</f>
        <v>39127200.580000006</v>
      </c>
      <c r="I56" s="5">
        <f>G56-H56</f>
        <v>-4127200.5800000057</v>
      </c>
      <c r="J56" s="5">
        <v>3000000</v>
      </c>
      <c r="K56" s="5">
        <v>3200000</v>
      </c>
      <c r="L56" s="5">
        <v>3500000</v>
      </c>
      <c r="M56" s="7">
        <v>1248.2</v>
      </c>
      <c r="N56" s="5">
        <v>32500000</v>
      </c>
      <c r="O56" s="5">
        <v>35500000</v>
      </c>
      <c r="P56" s="3">
        <v>0.97916666666666663</v>
      </c>
    </row>
    <row r="57" spans="1:16" x14ac:dyDescent="0.25">
      <c r="A57" t="s">
        <v>51</v>
      </c>
      <c r="B57" s="2">
        <v>42452</v>
      </c>
      <c r="C57" t="str">
        <f>TEXT(B57,"mm")</f>
        <v>03</v>
      </c>
      <c r="D57" t="s">
        <v>19</v>
      </c>
      <c r="E57" t="s">
        <v>1636</v>
      </c>
      <c r="F57" s="5">
        <v>31300000</v>
      </c>
      <c r="G57" s="5">
        <v>34300000</v>
      </c>
      <c r="H57" s="5">
        <f>M57*26000*1.20565</f>
        <v>38359201.530000001</v>
      </c>
      <c r="I57" s="5">
        <f>G57-H57</f>
        <v>-4059201.5300000012</v>
      </c>
      <c r="J57" s="5">
        <v>3000000</v>
      </c>
      <c r="K57" s="5">
        <v>3130000</v>
      </c>
      <c r="L57" s="5">
        <v>3430000</v>
      </c>
      <c r="M57" s="7">
        <v>1223.7</v>
      </c>
      <c r="N57" s="5">
        <v>31800000</v>
      </c>
      <c r="O57" s="5">
        <v>34800000</v>
      </c>
      <c r="P57" s="3">
        <v>0.97916666666666663</v>
      </c>
    </row>
    <row r="58" spans="1:16" x14ac:dyDescent="0.25">
      <c r="A58" t="s">
        <v>52</v>
      </c>
      <c r="B58" s="2">
        <v>42453</v>
      </c>
      <c r="C58" t="str">
        <f>TEXT(B58,"mm")</f>
        <v>03</v>
      </c>
      <c r="D58" t="s">
        <v>20</v>
      </c>
      <c r="E58" t="s">
        <v>1636</v>
      </c>
      <c r="F58" s="5">
        <v>31200000</v>
      </c>
      <c r="G58" s="5">
        <v>34200000</v>
      </c>
      <c r="H58" s="5">
        <f>M58*26000*1.20565</f>
        <v>38287103.660000011</v>
      </c>
      <c r="I58" s="5">
        <f>G58-H58</f>
        <v>-4087103.6600000113</v>
      </c>
      <c r="J58" s="5">
        <v>3000000</v>
      </c>
      <c r="K58" s="5">
        <v>3120000</v>
      </c>
      <c r="L58" s="5">
        <v>3420000</v>
      </c>
      <c r="M58" s="7">
        <v>1221.4000000000001</v>
      </c>
      <c r="N58" s="5">
        <v>31700000</v>
      </c>
      <c r="O58" s="5">
        <v>34700000</v>
      </c>
      <c r="P58" s="3">
        <v>0.97916666666666663</v>
      </c>
    </row>
    <row r="59" spans="1:16" x14ac:dyDescent="0.25">
      <c r="A59" t="s">
        <v>53</v>
      </c>
      <c r="B59" s="2">
        <v>42457</v>
      </c>
      <c r="C59" t="str">
        <f>TEXT(B59,"mm")</f>
        <v>03</v>
      </c>
      <c r="D59" t="s">
        <v>16</v>
      </c>
      <c r="E59" t="s">
        <v>1636</v>
      </c>
      <c r="F59" s="5">
        <v>31200000</v>
      </c>
      <c r="G59" s="5">
        <v>34200000</v>
      </c>
      <c r="H59" s="5">
        <f>M59*26000*1.20565</f>
        <v>38240083.31000001</v>
      </c>
      <c r="I59" s="5">
        <f>G59-H59</f>
        <v>-4040083.3100000098</v>
      </c>
      <c r="J59" s="5">
        <v>3000000</v>
      </c>
      <c r="K59" s="5">
        <v>3120000</v>
      </c>
      <c r="L59" s="5">
        <v>3420000</v>
      </c>
      <c r="M59" s="7">
        <v>1219.9000000000001</v>
      </c>
      <c r="N59" s="5">
        <v>31700000</v>
      </c>
      <c r="O59" s="5">
        <v>34700000</v>
      </c>
      <c r="P59" s="3">
        <v>0.97916666666666663</v>
      </c>
    </row>
    <row r="60" spans="1:16" x14ac:dyDescent="0.25">
      <c r="A60" t="s">
        <v>54</v>
      </c>
      <c r="B60" s="2">
        <v>42458</v>
      </c>
      <c r="C60" t="str">
        <f>TEXT(B60,"mm")</f>
        <v>03</v>
      </c>
      <c r="D60" t="s">
        <v>18</v>
      </c>
      <c r="E60" t="s">
        <v>1636</v>
      </c>
      <c r="F60" s="5">
        <v>31600000</v>
      </c>
      <c r="G60" s="5">
        <v>34600000</v>
      </c>
      <c r="H60" s="5">
        <f>M60*26000*1.20565</f>
        <v>38732229.640000001</v>
      </c>
      <c r="I60" s="5">
        <f>G60-H60</f>
        <v>-4132229.6400000006</v>
      </c>
      <c r="J60" s="5">
        <v>3000000</v>
      </c>
      <c r="K60" s="5">
        <v>3160000</v>
      </c>
      <c r="L60" s="5">
        <v>3460000</v>
      </c>
      <c r="M60" s="7">
        <v>1235.5999999999999</v>
      </c>
      <c r="N60" s="5">
        <v>32100000</v>
      </c>
      <c r="O60" s="5">
        <v>35100000</v>
      </c>
      <c r="P60" s="3">
        <v>0.97916666666666663</v>
      </c>
    </row>
    <row r="61" spans="1:16" x14ac:dyDescent="0.25">
      <c r="A61" t="s">
        <v>55</v>
      </c>
      <c r="B61" s="2">
        <v>42459</v>
      </c>
      <c r="C61" t="str">
        <f>TEXT(B61,"mm")</f>
        <v>03</v>
      </c>
      <c r="D61" t="s">
        <v>19</v>
      </c>
      <c r="E61" t="s">
        <v>1636</v>
      </c>
      <c r="F61" s="5">
        <v>31400000</v>
      </c>
      <c r="G61" s="5">
        <v>34400000</v>
      </c>
      <c r="H61" s="5">
        <f>M61*26000*1.20565</f>
        <v>38459511.610000007</v>
      </c>
      <c r="I61" s="5">
        <f>G61-H61</f>
        <v>-4059511.6100000069</v>
      </c>
      <c r="J61" s="5">
        <v>3000000</v>
      </c>
      <c r="K61" s="5">
        <v>3140000</v>
      </c>
      <c r="L61" s="5">
        <v>3440000</v>
      </c>
      <c r="M61" s="7">
        <v>1226.9000000000001</v>
      </c>
      <c r="N61" s="5">
        <v>31900000</v>
      </c>
      <c r="O61" s="5">
        <v>34900000</v>
      </c>
      <c r="P61" s="3">
        <v>0.97916666666666663</v>
      </c>
    </row>
    <row r="62" spans="1:16" x14ac:dyDescent="0.25">
      <c r="A62" t="s">
        <v>56</v>
      </c>
      <c r="B62" s="2">
        <v>42460</v>
      </c>
      <c r="C62" t="str">
        <f>TEXT(B62,"mm")</f>
        <v>03</v>
      </c>
      <c r="D62" t="s">
        <v>20</v>
      </c>
      <c r="E62" t="s">
        <v>1636</v>
      </c>
      <c r="F62" s="5">
        <v>31600000</v>
      </c>
      <c r="G62" s="5">
        <v>34600000</v>
      </c>
      <c r="H62" s="5">
        <f>M62*26000*1.20565</f>
        <v>38688343.980000004</v>
      </c>
      <c r="I62" s="5">
        <f>G62-H62</f>
        <v>-4088343.9800000042</v>
      </c>
      <c r="J62" s="5">
        <v>3000000</v>
      </c>
      <c r="K62" s="5">
        <v>3160000</v>
      </c>
      <c r="L62" s="5">
        <v>3460000</v>
      </c>
      <c r="M62" s="7">
        <v>1234.2</v>
      </c>
      <c r="N62" s="5">
        <v>32100000</v>
      </c>
      <c r="O62" s="5">
        <v>35100000</v>
      </c>
      <c r="P62" s="3">
        <v>0.97916666666666663</v>
      </c>
    </row>
    <row r="63" spans="1:16" x14ac:dyDescent="0.25">
      <c r="A63" s="2">
        <v>42373</v>
      </c>
      <c r="B63" s="2">
        <v>42461</v>
      </c>
      <c r="C63" t="str">
        <f>TEXT(B63,"mm")</f>
        <v>04</v>
      </c>
      <c r="D63" t="s">
        <v>21</v>
      </c>
      <c r="E63" t="s">
        <v>1636</v>
      </c>
      <c r="F63" s="5">
        <v>31300000</v>
      </c>
      <c r="G63" s="5">
        <v>34300000</v>
      </c>
      <c r="H63" s="5">
        <f>M63*26000*1.20565</f>
        <v>38312181.180000007</v>
      </c>
      <c r="I63" s="5">
        <f>G63-H63</f>
        <v>-4012181.1800000072</v>
      </c>
      <c r="J63" s="5">
        <v>3000000</v>
      </c>
      <c r="K63" s="5">
        <v>3130000</v>
      </c>
      <c r="L63" s="5">
        <v>3430000</v>
      </c>
      <c r="M63" s="7">
        <v>1222.2</v>
      </c>
      <c r="N63" s="5">
        <v>31800000</v>
      </c>
      <c r="O63" s="5">
        <v>34800000</v>
      </c>
      <c r="P63" s="3">
        <v>0.97916666666666663</v>
      </c>
    </row>
    <row r="64" spans="1:16" x14ac:dyDescent="0.25">
      <c r="A64" s="2">
        <v>42464</v>
      </c>
      <c r="B64" s="2">
        <v>42464</v>
      </c>
      <c r="C64" t="str">
        <f>TEXT(B64,"mm")</f>
        <v>04</v>
      </c>
      <c r="D64" t="s">
        <v>16</v>
      </c>
      <c r="E64" t="s">
        <v>1636</v>
      </c>
      <c r="F64" s="5">
        <v>31100000</v>
      </c>
      <c r="G64" s="5">
        <v>34100000</v>
      </c>
      <c r="H64" s="5">
        <f>M64*26000*1.20565</f>
        <v>38180524.200000003</v>
      </c>
      <c r="I64" s="5">
        <f>G64-H64</f>
        <v>-4080524.200000003</v>
      </c>
      <c r="J64" s="5">
        <v>3000000</v>
      </c>
      <c r="K64" s="5">
        <v>3110000</v>
      </c>
      <c r="L64" s="5">
        <v>3410000</v>
      </c>
      <c r="M64" s="7">
        <v>1218</v>
      </c>
      <c r="N64" s="5">
        <v>31600000</v>
      </c>
      <c r="O64" s="5">
        <v>34600000</v>
      </c>
      <c r="P64" s="3">
        <v>0.97916666666666663</v>
      </c>
    </row>
    <row r="65" spans="1:16" x14ac:dyDescent="0.25">
      <c r="A65" s="2">
        <v>42494</v>
      </c>
      <c r="B65" s="2">
        <v>42465</v>
      </c>
      <c r="C65" t="str">
        <f>TEXT(B65,"mm")</f>
        <v>04</v>
      </c>
      <c r="D65" t="s">
        <v>18</v>
      </c>
      <c r="E65" t="s">
        <v>1636</v>
      </c>
      <c r="F65" s="5">
        <v>31400000</v>
      </c>
      <c r="G65" s="5">
        <v>34400000</v>
      </c>
      <c r="H65" s="5">
        <f>M65*26000*1.20565</f>
        <v>38506531.960000008</v>
      </c>
      <c r="I65" s="5">
        <f>G65-H65</f>
        <v>-4106531.9600000083</v>
      </c>
      <c r="J65" s="5">
        <v>3000000</v>
      </c>
      <c r="K65" s="5">
        <v>3140000</v>
      </c>
      <c r="L65" s="5">
        <v>3440000</v>
      </c>
      <c r="M65" s="7">
        <v>1228.4000000000001</v>
      </c>
      <c r="N65" s="5">
        <v>31900000</v>
      </c>
      <c r="O65" s="5">
        <v>34900000</v>
      </c>
      <c r="P65" s="3">
        <v>0.97916666666666663</v>
      </c>
    </row>
    <row r="66" spans="1:16" x14ac:dyDescent="0.25">
      <c r="A66" s="2">
        <v>42525</v>
      </c>
      <c r="B66" s="2">
        <v>42466</v>
      </c>
      <c r="C66" t="str">
        <f>TEXT(B66,"mm")</f>
        <v>04</v>
      </c>
      <c r="D66" t="s">
        <v>19</v>
      </c>
      <c r="E66" t="s">
        <v>1636</v>
      </c>
      <c r="F66" s="5">
        <v>31300000</v>
      </c>
      <c r="G66" s="5">
        <v>34300000</v>
      </c>
      <c r="H66" s="5">
        <f>M66*26000*1.20565</f>
        <v>38321585.25</v>
      </c>
      <c r="I66" s="5">
        <f>G66-H66</f>
        <v>-4021585.25</v>
      </c>
      <c r="J66" s="5">
        <v>3000000</v>
      </c>
      <c r="K66" s="5">
        <v>3130000</v>
      </c>
      <c r="L66" s="5">
        <v>3430000</v>
      </c>
      <c r="M66" s="7">
        <v>1222.5</v>
      </c>
      <c r="N66" s="5">
        <v>31800000</v>
      </c>
      <c r="O66" s="5">
        <v>34800000</v>
      </c>
      <c r="P66" s="3">
        <v>0.97916666666666663</v>
      </c>
    </row>
    <row r="67" spans="1:16" x14ac:dyDescent="0.25">
      <c r="A67" s="2">
        <v>42555</v>
      </c>
      <c r="B67" s="2">
        <v>42467</v>
      </c>
      <c r="C67" t="str">
        <f>TEXT(B67,"mm")</f>
        <v>04</v>
      </c>
      <c r="D67" t="s">
        <v>20</v>
      </c>
      <c r="E67" t="s">
        <v>1636</v>
      </c>
      <c r="F67" s="5">
        <v>31600000</v>
      </c>
      <c r="G67" s="5">
        <v>34600000</v>
      </c>
      <c r="H67" s="5">
        <f>M67*26000*1.20565</f>
        <v>38751037.780000001</v>
      </c>
      <c r="I67" s="5">
        <f>G67-H67</f>
        <v>-4151037.7800000012</v>
      </c>
      <c r="J67" s="5">
        <v>3000000</v>
      </c>
      <c r="K67" s="5">
        <v>3160000</v>
      </c>
      <c r="L67" s="5">
        <v>3460000</v>
      </c>
      <c r="M67" s="7">
        <v>1236.2</v>
      </c>
      <c r="N67" s="5">
        <v>32100000</v>
      </c>
      <c r="O67" s="5">
        <v>35100000</v>
      </c>
      <c r="P67" s="3">
        <v>0.97916666666666663</v>
      </c>
    </row>
    <row r="68" spans="1:16" x14ac:dyDescent="0.25">
      <c r="A68" s="2">
        <v>42586</v>
      </c>
      <c r="B68" s="2">
        <v>42468</v>
      </c>
      <c r="C68" t="str">
        <f>TEXT(B68,"mm")</f>
        <v>04</v>
      </c>
      <c r="D68" t="s">
        <v>21</v>
      </c>
      <c r="E68" t="s">
        <v>1636</v>
      </c>
      <c r="F68" s="5">
        <v>31800000</v>
      </c>
      <c r="G68" s="5">
        <v>34800000</v>
      </c>
      <c r="H68" s="5">
        <f>M68*26000*1.20565</f>
        <v>38948523.25</v>
      </c>
      <c r="I68" s="5">
        <f>G68-H68</f>
        <v>-4148523.25</v>
      </c>
      <c r="J68" s="5">
        <v>3000000</v>
      </c>
      <c r="K68" s="5">
        <v>3180000</v>
      </c>
      <c r="L68" s="5">
        <v>3480000</v>
      </c>
      <c r="M68" s="7">
        <v>1242.5</v>
      </c>
      <c r="N68" s="5">
        <v>32300000</v>
      </c>
      <c r="O68" s="5">
        <v>35300000</v>
      </c>
      <c r="P68" s="3">
        <v>0.97916666666666663</v>
      </c>
    </row>
    <row r="69" spans="1:16" x14ac:dyDescent="0.25">
      <c r="A69" s="2">
        <v>42678</v>
      </c>
      <c r="B69" s="2">
        <v>42471</v>
      </c>
      <c r="C69" t="str">
        <f>TEXT(B69,"mm")</f>
        <v>04</v>
      </c>
      <c r="D69" t="s">
        <v>16</v>
      </c>
      <c r="E69" t="s">
        <v>1636</v>
      </c>
      <c r="F69" s="5">
        <v>32200000</v>
      </c>
      <c r="G69" s="5">
        <v>35200000</v>
      </c>
      <c r="H69" s="5">
        <f>M69*26000*1.20565</f>
        <v>39393649.230000004</v>
      </c>
      <c r="I69" s="5">
        <f>G69-H69</f>
        <v>-4193649.2300000042</v>
      </c>
      <c r="J69" s="5">
        <v>3000000</v>
      </c>
      <c r="K69" s="5">
        <v>3220000</v>
      </c>
      <c r="L69" s="5">
        <v>3520000</v>
      </c>
      <c r="M69" s="7">
        <v>1256.7</v>
      </c>
      <c r="N69" s="5">
        <v>32700000</v>
      </c>
      <c r="O69" s="5">
        <v>35700000</v>
      </c>
      <c r="P69" s="3">
        <v>0.97916666666666663</v>
      </c>
    </row>
    <row r="70" spans="1:16" x14ac:dyDescent="0.25">
      <c r="A70" s="2">
        <v>42708</v>
      </c>
      <c r="B70" s="2">
        <v>42472</v>
      </c>
      <c r="C70" t="str">
        <f>TEXT(B70,"mm")</f>
        <v>04</v>
      </c>
      <c r="D70" t="s">
        <v>18</v>
      </c>
      <c r="E70" t="s">
        <v>1636</v>
      </c>
      <c r="F70" s="5">
        <v>32300000</v>
      </c>
      <c r="G70" s="5">
        <v>35300000</v>
      </c>
      <c r="H70" s="5">
        <f>M70*26000*1.20565</f>
        <v>39478285.860000007</v>
      </c>
      <c r="I70" s="5">
        <f>G70-H70</f>
        <v>-4178285.8600000069</v>
      </c>
      <c r="J70" s="5">
        <v>3000000</v>
      </c>
      <c r="K70" s="5">
        <v>3230000</v>
      </c>
      <c r="L70" s="5">
        <v>3530000</v>
      </c>
      <c r="M70" s="7">
        <v>1259.4000000000001</v>
      </c>
      <c r="N70" s="5">
        <v>32800000</v>
      </c>
      <c r="O70" s="5">
        <v>35800000</v>
      </c>
      <c r="P70" s="3">
        <v>0.97916666666666663</v>
      </c>
    </row>
    <row r="71" spans="1:16" x14ac:dyDescent="0.25">
      <c r="A71" t="s">
        <v>57</v>
      </c>
      <c r="B71" s="2">
        <v>42473</v>
      </c>
      <c r="C71" t="str">
        <f>TEXT(B71,"mm")</f>
        <v>04</v>
      </c>
      <c r="D71" t="s">
        <v>19</v>
      </c>
      <c r="E71" t="s">
        <v>1636</v>
      </c>
      <c r="F71" s="5">
        <v>31900000</v>
      </c>
      <c r="G71" s="5">
        <v>34900000</v>
      </c>
      <c r="H71" s="5">
        <f>M71*26000*1.20565</f>
        <v>39083314.920000002</v>
      </c>
      <c r="I71" s="5">
        <f>G71-H71</f>
        <v>-4183314.9200000018</v>
      </c>
      <c r="J71" s="5">
        <v>3000000</v>
      </c>
      <c r="K71" s="5">
        <v>3190000</v>
      </c>
      <c r="L71" s="5">
        <v>3490000</v>
      </c>
      <c r="M71" s="7">
        <v>1246.8</v>
      </c>
      <c r="N71" s="5">
        <v>32400000</v>
      </c>
      <c r="O71" s="5">
        <v>35400000</v>
      </c>
      <c r="P71" s="3">
        <v>0.97916666666666663</v>
      </c>
    </row>
    <row r="72" spans="1:16" x14ac:dyDescent="0.25">
      <c r="A72" t="s">
        <v>58</v>
      </c>
      <c r="B72" s="2">
        <v>42474</v>
      </c>
      <c r="C72" t="str">
        <f>TEXT(B72,"mm")</f>
        <v>04</v>
      </c>
      <c r="D72" t="s">
        <v>20</v>
      </c>
      <c r="E72" t="s">
        <v>1636</v>
      </c>
      <c r="F72" s="5">
        <v>31300000</v>
      </c>
      <c r="G72" s="5">
        <v>34300000</v>
      </c>
      <c r="H72" s="5">
        <f>M72*26000*1.20565</f>
        <v>38399952.5</v>
      </c>
      <c r="I72" s="5">
        <f>G72-H72</f>
        <v>-4099952.5</v>
      </c>
      <c r="J72" s="5">
        <v>3000000</v>
      </c>
      <c r="K72" s="5">
        <v>3130000</v>
      </c>
      <c r="L72" s="5">
        <v>3430000</v>
      </c>
      <c r="M72" s="7">
        <v>1225</v>
      </c>
      <c r="N72" s="5">
        <v>31800000</v>
      </c>
      <c r="O72" s="5">
        <v>34800000</v>
      </c>
      <c r="P72" s="3">
        <v>0.97916666666666663</v>
      </c>
    </row>
    <row r="73" spans="1:16" x14ac:dyDescent="0.25">
      <c r="A73" t="s">
        <v>59</v>
      </c>
      <c r="B73" s="2">
        <v>42475</v>
      </c>
      <c r="C73" t="str">
        <f>TEXT(B73,"mm")</f>
        <v>04</v>
      </c>
      <c r="D73" t="s">
        <v>21</v>
      </c>
      <c r="E73" t="s">
        <v>1636</v>
      </c>
      <c r="F73" s="5">
        <v>31600000</v>
      </c>
      <c r="G73" s="5">
        <v>34600000</v>
      </c>
      <c r="H73" s="5">
        <f>M73*26000*1.20565</f>
        <v>38653862.390000001</v>
      </c>
      <c r="I73" s="5">
        <f>G73-H73</f>
        <v>-4053862.3900000006</v>
      </c>
      <c r="J73" s="5">
        <v>3000000</v>
      </c>
      <c r="K73" s="5">
        <v>3160000</v>
      </c>
      <c r="L73" s="5">
        <v>3460000</v>
      </c>
      <c r="M73" s="7">
        <v>1233.0999999999999</v>
      </c>
      <c r="N73" s="5">
        <v>32100000</v>
      </c>
      <c r="O73" s="5">
        <v>35100000</v>
      </c>
      <c r="P73" s="3">
        <v>0.97916666666666663</v>
      </c>
    </row>
    <row r="74" spans="1:16" x14ac:dyDescent="0.25">
      <c r="A74" t="s">
        <v>60</v>
      </c>
      <c r="B74" s="2">
        <v>42478</v>
      </c>
      <c r="C74" t="str">
        <f>TEXT(B74,"mm")</f>
        <v>04</v>
      </c>
      <c r="D74" t="s">
        <v>16</v>
      </c>
      <c r="E74" t="s">
        <v>1636</v>
      </c>
      <c r="F74" s="5">
        <v>31600000</v>
      </c>
      <c r="G74" s="5">
        <v>34600000</v>
      </c>
      <c r="H74" s="5">
        <f>M74*26000*1.20565</f>
        <v>38669535.839999996</v>
      </c>
      <c r="I74" s="5">
        <f>G74-H74</f>
        <v>-4069535.8399999961</v>
      </c>
      <c r="J74" s="5">
        <v>3000000</v>
      </c>
      <c r="K74" s="5">
        <v>3160000</v>
      </c>
      <c r="L74" s="5">
        <v>3460000</v>
      </c>
      <c r="M74" s="7">
        <v>1233.5999999999999</v>
      </c>
      <c r="N74" s="5">
        <v>32100000</v>
      </c>
      <c r="O74" s="5">
        <v>35100000</v>
      </c>
      <c r="P74" s="3">
        <v>0.97916666666666663</v>
      </c>
    </row>
    <row r="75" spans="1:16" x14ac:dyDescent="0.25">
      <c r="A75" t="s">
        <v>61</v>
      </c>
      <c r="B75" s="2">
        <v>42479</v>
      </c>
      <c r="C75" t="str">
        <f>TEXT(B75,"mm")</f>
        <v>04</v>
      </c>
      <c r="D75" t="s">
        <v>18</v>
      </c>
      <c r="E75" t="s">
        <v>1636</v>
      </c>
      <c r="F75" s="5">
        <v>32100000</v>
      </c>
      <c r="G75" s="5">
        <v>35100000</v>
      </c>
      <c r="H75" s="5">
        <f>M75*26000*1.20565</f>
        <v>39277665.700000003</v>
      </c>
      <c r="I75" s="5">
        <f>G75-H75</f>
        <v>-4177665.700000003</v>
      </c>
      <c r="J75" s="5">
        <v>3000000</v>
      </c>
      <c r="K75" s="5">
        <v>3210000</v>
      </c>
      <c r="L75" s="5">
        <v>3510000</v>
      </c>
      <c r="M75" s="7">
        <v>1253</v>
      </c>
      <c r="N75" s="5">
        <v>32600000</v>
      </c>
      <c r="O75" s="5">
        <v>35600000</v>
      </c>
      <c r="P75" s="3">
        <v>0.97916666666666663</v>
      </c>
    </row>
    <row r="76" spans="1:16" x14ac:dyDescent="0.25">
      <c r="A76" t="s">
        <v>62</v>
      </c>
      <c r="B76" s="2">
        <v>42480</v>
      </c>
      <c r="C76" t="str">
        <f>TEXT(B76,"mm")</f>
        <v>04</v>
      </c>
      <c r="D76" t="s">
        <v>19</v>
      </c>
      <c r="E76" t="s">
        <v>1636</v>
      </c>
      <c r="F76" s="5">
        <v>32100000</v>
      </c>
      <c r="G76" s="5">
        <v>35100000</v>
      </c>
      <c r="H76" s="5">
        <f>M76*26000*1.20565</f>
        <v>39283935.080000006</v>
      </c>
      <c r="I76" s="5">
        <f>G76-H76</f>
        <v>-4183935.0800000057</v>
      </c>
      <c r="J76" s="5">
        <v>3000000</v>
      </c>
      <c r="K76" s="5">
        <v>3210000</v>
      </c>
      <c r="L76" s="5">
        <v>3510000</v>
      </c>
      <c r="M76" s="7">
        <v>1253.2</v>
      </c>
      <c r="N76" s="5">
        <v>32600000</v>
      </c>
      <c r="O76" s="5">
        <v>35600000</v>
      </c>
      <c r="P76" s="3">
        <v>0.97916666666666663</v>
      </c>
    </row>
    <row r="77" spans="1:16" x14ac:dyDescent="0.25">
      <c r="A77" t="s">
        <v>63</v>
      </c>
      <c r="B77" s="2">
        <v>42481</v>
      </c>
      <c r="C77" t="str">
        <f>TEXT(B77,"mm")</f>
        <v>04</v>
      </c>
      <c r="D77" t="s">
        <v>20</v>
      </c>
      <c r="E77" t="s">
        <v>1636</v>
      </c>
      <c r="F77" s="5">
        <v>32000000</v>
      </c>
      <c r="G77" s="5">
        <v>35000000</v>
      </c>
      <c r="H77" s="5">
        <f>M77*26000*1.20565</f>
        <v>39152278.100000001</v>
      </c>
      <c r="I77" s="5">
        <f>G77-H77</f>
        <v>-4152278.1000000015</v>
      </c>
      <c r="J77" s="5">
        <v>3000000</v>
      </c>
      <c r="K77" s="5">
        <v>3200000</v>
      </c>
      <c r="L77" s="5">
        <v>3500000</v>
      </c>
      <c r="M77" s="7">
        <v>1249</v>
      </c>
      <c r="N77" s="5">
        <v>32500000</v>
      </c>
      <c r="O77" s="5">
        <v>35500000</v>
      </c>
      <c r="P77" s="3">
        <v>0.97916666666666663</v>
      </c>
    </row>
    <row r="78" spans="1:16" x14ac:dyDescent="0.25">
      <c r="A78" t="s">
        <v>64</v>
      </c>
      <c r="B78" s="2">
        <v>42482</v>
      </c>
      <c r="C78" t="str">
        <f>TEXT(B78,"mm")</f>
        <v>04</v>
      </c>
      <c r="D78" t="s">
        <v>21</v>
      </c>
      <c r="E78" t="s">
        <v>1636</v>
      </c>
      <c r="F78" s="5">
        <v>31400000</v>
      </c>
      <c r="G78" s="5">
        <v>34400000</v>
      </c>
      <c r="H78" s="5">
        <f>M78*26000*1.20565</f>
        <v>38515936.030000001</v>
      </c>
      <c r="I78" s="5">
        <f>G78-H78</f>
        <v>-4115936.0300000012</v>
      </c>
      <c r="J78" s="5">
        <v>3000000</v>
      </c>
      <c r="K78" s="5">
        <v>3140000</v>
      </c>
      <c r="L78" s="5">
        <v>3440000</v>
      </c>
      <c r="M78" s="7">
        <v>1228.7</v>
      </c>
      <c r="N78" s="5">
        <v>31900000</v>
      </c>
      <c r="O78" s="5">
        <v>34900000</v>
      </c>
      <c r="P78" s="3">
        <v>0.97916666666666663</v>
      </c>
    </row>
    <row r="79" spans="1:16" x14ac:dyDescent="0.25">
      <c r="A79" t="s">
        <v>65</v>
      </c>
      <c r="B79" s="2">
        <v>42485</v>
      </c>
      <c r="C79" t="str">
        <f>TEXT(B79,"mm")</f>
        <v>04</v>
      </c>
      <c r="D79" t="s">
        <v>16</v>
      </c>
      <c r="E79" t="s">
        <v>1636</v>
      </c>
      <c r="F79" s="5">
        <v>31700000</v>
      </c>
      <c r="G79" s="5">
        <v>34700000</v>
      </c>
      <c r="H79" s="5">
        <f>M79*26000*1.20565</f>
        <v>38835674.410000011</v>
      </c>
      <c r="I79" s="5">
        <f>G79-H79</f>
        <v>-4135674.4100000113</v>
      </c>
      <c r="J79" s="5">
        <v>3000000</v>
      </c>
      <c r="K79" s="5">
        <v>3170000</v>
      </c>
      <c r="L79" s="5">
        <v>3470000</v>
      </c>
      <c r="M79" s="7">
        <v>1238.9000000000001</v>
      </c>
      <c r="N79" s="5">
        <v>32200000</v>
      </c>
      <c r="O79" s="5">
        <v>35200000</v>
      </c>
      <c r="P79" s="3">
        <v>0.97916666666666663</v>
      </c>
    </row>
    <row r="80" spans="1:16" x14ac:dyDescent="0.25">
      <c r="A80" t="s">
        <v>66</v>
      </c>
      <c r="B80" s="2">
        <v>42486</v>
      </c>
      <c r="C80" t="str">
        <f>TEXT(B80,"mm")</f>
        <v>04</v>
      </c>
      <c r="D80" t="s">
        <v>18</v>
      </c>
      <c r="E80" t="s">
        <v>1636</v>
      </c>
      <c r="F80" s="5">
        <v>31800000</v>
      </c>
      <c r="G80" s="5">
        <v>34800000</v>
      </c>
      <c r="H80" s="5">
        <f>M80*26000*1.20565</f>
        <v>38939119.180000007</v>
      </c>
      <c r="I80" s="5">
        <f>G80-H80</f>
        <v>-4139119.1800000072</v>
      </c>
      <c r="J80" s="5">
        <v>3000000</v>
      </c>
      <c r="K80" s="5">
        <v>3180000</v>
      </c>
      <c r="L80" s="5">
        <v>3480000</v>
      </c>
      <c r="M80" s="7">
        <v>1242.2</v>
      </c>
      <c r="N80" s="5">
        <v>32300000</v>
      </c>
      <c r="O80" s="5">
        <v>35300000</v>
      </c>
      <c r="P80" s="3">
        <v>0.97916666666666663</v>
      </c>
    </row>
    <row r="81" spans="1:16" x14ac:dyDescent="0.25">
      <c r="A81" t="s">
        <v>67</v>
      </c>
      <c r="B81" s="2">
        <v>42487</v>
      </c>
      <c r="C81" t="str">
        <f>TEXT(B81,"mm")</f>
        <v>04</v>
      </c>
      <c r="D81" t="s">
        <v>19</v>
      </c>
      <c r="E81" t="s">
        <v>1636</v>
      </c>
      <c r="F81" s="5">
        <v>32000000</v>
      </c>
      <c r="G81" s="5">
        <v>35000000</v>
      </c>
      <c r="H81" s="5">
        <f>M81*26000*1.20565</f>
        <v>39158547.480000004</v>
      </c>
      <c r="I81" s="5">
        <f>G81-H81</f>
        <v>-4158547.4800000042</v>
      </c>
      <c r="J81" s="5">
        <v>3000000</v>
      </c>
      <c r="K81" s="5">
        <v>3200000</v>
      </c>
      <c r="L81" s="5">
        <v>3500000</v>
      </c>
      <c r="M81" s="7">
        <v>1249.2</v>
      </c>
      <c r="N81" s="5">
        <v>32500000</v>
      </c>
      <c r="O81" s="5">
        <v>35500000</v>
      </c>
      <c r="P81" s="3">
        <v>0.97916666666666663</v>
      </c>
    </row>
    <row r="82" spans="1:16" x14ac:dyDescent="0.25">
      <c r="A82" t="s">
        <v>68</v>
      </c>
      <c r="B82" s="2">
        <v>42488</v>
      </c>
      <c r="C82" t="str">
        <f>TEXT(B82,"mm")</f>
        <v>04</v>
      </c>
      <c r="D82" t="s">
        <v>20</v>
      </c>
      <c r="E82" t="s">
        <v>1636</v>
      </c>
      <c r="F82" s="5">
        <v>32500000</v>
      </c>
      <c r="G82" s="5">
        <v>35500000</v>
      </c>
      <c r="H82" s="5">
        <f>M82*26000*1.20565</f>
        <v>39669501.950000003</v>
      </c>
      <c r="I82" s="5">
        <f>G82-H82</f>
        <v>-4169501.950000003</v>
      </c>
      <c r="J82" s="5">
        <v>3000000</v>
      </c>
      <c r="K82" s="5">
        <v>3250000</v>
      </c>
      <c r="L82" s="5">
        <v>3550000</v>
      </c>
      <c r="M82" s="7">
        <v>1265.5</v>
      </c>
      <c r="N82" s="5">
        <v>33000000</v>
      </c>
      <c r="O82" s="5">
        <v>36000000</v>
      </c>
      <c r="P82" s="3">
        <v>0.97916666666666663</v>
      </c>
    </row>
    <row r="83" spans="1:16" x14ac:dyDescent="0.25">
      <c r="A83" t="s">
        <v>69</v>
      </c>
      <c r="B83" s="2">
        <v>42489</v>
      </c>
      <c r="C83" t="str">
        <f>TEXT(B83,"mm")</f>
        <v>04</v>
      </c>
      <c r="D83" t="s">
        <v>21</v>
      </c>
      <c r="E83" t="s">
        <v>1636</v>
      </c>
      <c r="F83" s="5">
        <v>33100000</v>
      </c>
      <c r="G83" s="5">
        <v>36100000</v>
      </c>
      <c r="H83" s="5">
        <f>M83*26000*1.20565</f>
        <v>40412423.480000004</v>
      </c>
      <c r="I83" s="5">
        <f>G83-H83</f>
        <v>-4312423.4800000042</v>
      </c>
      <c r="J83" s="5">
        <v>3000000</v>
      </c>
      <c r="K83" s="5">
        <v>3310000</v>
      </c>
      <c r="L83" s="5">
        <v>3610000</v>
      </c>
      <c r="M83" s="7">
        <v>1289.2</v>
      </c>
      <c r="N83" s="5">
        <v>33600000</v>
      </c>
      <c r="O83" s="5">
        <v>36600000</v>
      </c>
      <c r="P83" s="3">
        <v>0.97916666666666663</v>
      </c>
    </row>
    <row r="84" spans="1:16" x14ac:dyDescent="0.25">
      <c r="A84" s="2">
        <v>42405</v>
      </c>
      <c r="B84" s="2">
        <v>42492</v>
      </c>
      <c r="C84" t="str">
        <f>TEXT(B84,"mm")</f>
        <v>05</v>
      </c>
      <c r="D84" t="s">
        <v>16</v>
      </c>
      <c r="E84" t="s">
        <v>1636</v>
      </c>
      <c r="F84" s="5">
        <v>33300000</v>
      </c>
      <c r="G84" s="5">
        <v>36300000</v>
      </c>
      <c r="H84" s="5">
        <f>M84*26000*1.20565</f>
        <v>40584831.430000007</v>
      </c>
      <c r="I84" s="5">
        <f>G84-H84</f>
        <v>-4284831.4300000072</v>
      </c>
      <c r="J84" s="5">
        <v>3000000</v>
      </c>
      <c r="K84" s="5">
        <v>3330000</v>
      </c>
      <c r="L84" s="5">
        <v>3630000</v>
      </c>
      <c r="M84" s="7">
        <v>1294.7</v>
      </c>
      <c r="N84" s="5">
        <v>33800000</v>
      </c>
      <c r="O84" s="5">
        <v>36800000</v>
      </c>
      <c r="P84" s="3">
        <v>0.97916666666666663</v>
      </c>
    </row>
    <row r="85" spans="1:16" x14ac:dyDescent="0.25">
      <c r="A85" s="2">
        <v>42434</v>
      </c>
      <c r="B85" s="2">
        <v>42493</v>
      </c>
      <c r="C85" t="str">
        <f>TEXT(B85,"mm")</f>
        <v>05</v>
      </c>
      <c r="D85" t="s">
        <v>18</v>
      </c>
      <c r="E85" t="s">
        <v>1636</v>
      </c>
      <c r="F85" s="5">
        <v>33200000</v>
      </c>
      <c r="G85" s="5">
        <v>36200000</v>
      </c>
      <c r="H85" s="5">
        <f>M85*26000*1.20565</f>
        <v>40459443.830000006</v>
      </c>
      <c r="I85" s="5">
        <f>G85-H85</f>
        <v>-4259443.8300000057</v>
      </c>
      <c r="J85" s="5">
        <v>3000000</v>
      </c>
      <c r="K85" s="5">
        <v>3320000</v>
      </c>
      <c r="L85" s="5">
        <v>3620000</v>
      </c>
      <c r="M85" s="7">
        <v>1290.7</v>
      </c>
      <c r="N85" s="5">
        <v>33700000</v>
      </c>
      <c r="O85" s="5">
        <v>36700000</v>
      </c>
      <c r="P85" s="3">
        <v>0.97916666666666663</v>
      </c>
    </row>
    <row r="86" spans="1:16" x14ac:dyDescent="0.25">
      <c r="A86" s="2">
        <v>42465</v>
      </c>
      <c r="B86" s="2">
        <v>42494</v>
      </c>
      <c r="C86" t="str">
        <f>TEXT(B86,"mm")</f>
        <v>05</v>
      </c>
      <c r="D86" t="s">
        <v>19</v>
      </c>
      <c r="E86" t="s">
        <v>1636</v>
      </c>
      <c r="F86" s="5">
        <v>32700000</v>
      </c>
      <c r="G86" s="5">
        <v>35700000</v>
      </c>
      <c r="H86" s="5">
        <f>M86*26000*1.20565</f>
        <v>39914007.770000003</v>
      </c>
      <c r="I86" s="5">
        <f>G86-H86</f>
        <v>-4214007.7700000033</v>
      </c>
      <c r="J86" s="5">
        <v>3000000</v>
      </c>
      <c r="K86" s="5">
        <v>3270000</v>
      </c>
      <c r="L86" s="5">
        <v>3570000</v>
      </c>
      <c r="M86" s="7">
        <v>1273.3</v>
      </c>
      <c r="N86" s="5">
        <v>33200000</v>
      </c>
      <c r="O86" s="5">
        <v>36200000</v>
      </c>
      <c r="P86" s="3">
        <v>0.97916666666666663</v>
      </c>
    </row>
    <row r="87" spans="1:16" x14ac:dyDescent="0.25">
      <c r="A87" s="2">
        <v>42495</v>
      </c>
      <c r="B87" s="2">
        <v>42495</v>
      </c>
      <c r="C87" t="str">
        <f>TEXT(B87,"mm")</f>
        <v>05</v>
      </c>
      <c r="D87" t="s">
        <v>20</v>
      </c>
      <c r="E87" t="s">
        <v>1636</v>
      </c>
      <c r="F87" s="5">
        <v>32600000</v>
      </c>
      <c r="G87" s="5">
        <v>35600000</v>
      </c>
      <c r="H87" s="5">
        <f>M87*26000*1.20565</f>
        <v>39854448.660000011</v>
      </c>
      <c r="I87" s="5">
        <f>G87-H87</f>
        <v>-4254448.6600000113</v>
      </c>
      <c r="J87" s="5">
        <v>3000000</v>
      </c>
      <c r="K87" s="5">
        <v>3260000</v>
      </c>
      <c r="L87" s="5">
        <v>3560000</v>
      </c>
      <c r="M87" s="7">
        <v>1271.4000000000001</v>
      </c>
      <c r="N87" s="5">
        <v>33100000</v>
      </c>
      <c r="O87" s="5">
        <v>36100000</v>
      </c>
      <c r="P87" s="3">
        <v>0.97916666666666663</v>
      </c>
    </row>
    <row r="88" spans="1:16" x14ac:dyDescent="0.25">
      <c r="A88" s="2">
        <v>42526</v>
      </c>
      <c r="B88" s="2">
        <v>42496</v>
      </c>
      <c r="C88" t="str">
        <f>TEXT(B88,"mm")</f>
        <v>05</v>
      </c>
      <c r="D88" t="s">
        <v>21</v>
      </c>
      <c r="E88" t="s">
        <v>1636</v>
      </c>
      <c r="F88" s="5">
        <v>33200000</v>
      </c>
      <c r="G88" s="5">
        <v>36200000</v>
      </c>
      <c r="H88" s="5">
        <f>M88*26000*1.20565</f>
        <v>40528407.010000005</v>
      </c>
      <c r="I88" s="5">
        <f>G88-H88</f>
        <v>-4328407.0100000054</v>
      </c>
      <c r="J88" s="5">
        <v>3000000</v>
      </c>
      <c r="K88" s="5">
        <v>3320000</v>
      </c>
      <c r="L88" s="5">
        <v>3620000</v>
      </c>
      <c r="M88" s="7">
        <v>1292.9000000000001</v>
      </c>
      <c r="N88" s="5">
        <v>33700000</v>
      </c>
      <c r="O88" s="5">
        <v>36700000</v>
      </c>
      <c r="P88" s="3">
        <v>0.97916666666666663</v>
      </c>
    </row>
    <row r="89" spans="1:16" x14ac:dyDescent="0.25">
      <c r="A89" s="2">
        <v>42618</v>
      </c>
      <c r="B89" s="2">
        <v>42499</v>
      </c>
      <c r="C89" t="str">
        <f>TEXT(B89,"mm")</f>
        <v>05</v>
      </c>
      <c r="D89" t="s">
        <v>16</v>
      </c>
      <c r="E89" t="s">
        <v>1636</v>
      </c>
      <c r="F89" s="5">
        <v>32500000</v>
      </c>
      <c r="G89" s="5">
        <v>35500000</v>
      </c>
      <c r="H89" s="5">
        <f>M89*26000*1.20565</f>
        <v>39672636.640000001</v>
      </c>
      <c r="I89" s="5">
        <f>G89-H89</f>
        <v>-4172636.6400000006</v>
      </c>
      <c r="J89" s="5">
        <v>3000000</v>
      </c>
      <c r="K89" s="5">
        <v>3250000</v>
      </c>
      <c r="L89" s="5">
        <v>3550000</v>
      </c>
      <c r="M89" s="7">
        <v>1265.5999999999999</v>
      </c>
      <c r="N89" s="5">
        <v>33000000</v>
      </c>
      <c r="O89" s="5">
        <v>36000000</v>
      </c>
      <c r="P89" s="3">
        <v>0.97916666666666663</v>
      </c>
    </row>
    <row r="90" spans="1:16" x14ac:dyDescent="0.25">
      <c r="A90" s="2">
        <v>42648</v>
      </c>
      <c r="B90" s="2">
        <v>42500</v>
      </c>
      <c r="C90" t="str">
        <f>TEXT(B90,"mm")</f>
        <v>05</v>
      </c>
      <c r="D90" t="s">
        <v>18</v>
      </c>
      <c r="E90" t="s">
        <v>1636</v>
      </c>
      <c r="F90" s="5">
        <v>32400000</v>
      </c>
      <c r="G90" s="5">
        <v>35400000</v>
      </c>
      <c r="H90" s="5">
        <f>M90*26000*1.20565</f>
        <v>39619346.910000011</v>
      </c>
      <c r="I90" s="5">
        <f>G90-H90</f>
        <v>-4219346.9100000113</v>
      </c>
      <c r="J90" s="5">
        <v>3000000</v>
      </c>
      <c r="K90" s="5">
        <v>3240000</v>
      </c>
      <c r="L90" s="5">
        <v>3540000</v>
      </c>
      <c r="M90" s="7">
        <v>1263.9000000000001</v>
      </c>
      <c r="N90" s="5">
        <v>32900000</v>
      </c>
      <c r="O90" s="5">
        <v>35900000</v>
      </c>
      <c r="P90" s="3">
        <v>0.97916666666666663</v>
      </c>
    </row>
    <row r="91" spans="1:16" x14ac:dyDescent="0.25">
      <c r="A91" s="2">
        <v>42679</v>
      </c>
      <c r="B91" s="2">
        <v>42501</v>
      </c>
      <c r="C91" t="str">
        <f>TEXT(B91,"mm")</f>
        <v>05</v>
      </c>
      <c r="D91" t="s">
        <v>19</v>
      </c>
      <c r="E91" t="s">
        <v>1636</v>
      </c>
      <c r="F91" s="5">
        <v>32700000</v>
      </c>
      <c r="G91" s="5">
        <v>35700000</v>
      </c>
      <c r="H91" s="5">
        <f>M91*26000*1.20565</f>
        <v>39954758.740000002</v>
      </c>
      <c r="I91" s="5">
        <f>G91-H91</f>
        <v>-4254758.7400000021</v>
      </c>
      <c r="J91" s="5">
        <v>3000000</v>
      </c>
      <c r="K91" s="5">
        <v>3270000</v>
      </c>
      <c r="L91" s="5">
        <v>3570000</v>
      </c>
      <c r="M91" s="7">
        <v>1274.5999999999999</v>
      </c>
      <c r="N91" s="5">
        <v>33200000</v>
      </c>
      <c r="O91" s="5">
        <v>36200000</v>
      </c>
      <c r="P91" s="3">
        <v>0.97916666666666663</v>
      </c>
    </row>
    <row r="92" spans="1:16" x14ac:dyDescent="0.25">
      <c r="A92" s="2">
        <v>42709</v>
      </c>
      <c r="B92" s="2">
        <v>42502</v>
      </c>
      <c r="C92" t="str">
        <f>TEXT(B92,"mm")</f>
        <v>05</v>
      </c>
      <c r="D92" t="s">
        <v>20</v>
      </c>
      <c r="E92" t="s">
        <v>1636</v>
      </c>
      <c r="F92" s="5">
        <v>32600000</v>
      </c>
      <c r="G92" s="5">
        <v>35600000</v>
      </c>
      <c r="H92" s="5">
        <f>M92*26000*1.20565</f>
        <v>39819967.07</v>
      </c>
      <c r="I92" s="5">
        <f>G92-H92</f>
        <v>-4219967.07</v>
      </c>
      <c r="J92" s="5">
        <v>3000000</v>
      </c>
      <c r="K92" s="5">
        <v>3260000</v>
      </c>
      <c r="L92" s="5">
        <v>3560000</v>
      </c>
      <c r="M92" s="7">
        <v>1270.3</v>
      </c>
      <c r="N92" s="5">
        <v>33100000</v>
      </c>
      <c r="O92" s="5">
        <v>36100000</v>
      </c>
      <c r="P92" s="3">
        <v>0.97916666666666663</v>
      </c>
    </row>
    <row r="93" spans="1:16" x14ac:dyDescent="0.25">
      <c r="A93" t="s">
        <v>70</v>
      </c>
      <c r="B93" s="2">
        <v>42503</v>
      </c>
      <c r="C93" t="str">
        <f>TEXT(B93,"mm")</f>
        <v>05</v>
      </c>
      <c r="D93" t="s">
        <v>21</v>
      </c>
      <c r="E93" t="s">
        <v>1636</v>
      </c>
      <c r="F93" s="5">
        <v>32600000</v>
      </c>
      <c r="G93" s="5">
        <v>35600000</v>
      </c>
      <c r="H93" s="5">
        <f>M93*26000*1.20565</f>
        <v>39870122.110000007</v>
      </c>
      <c r="I93" s="5">
        <f>G93-H93</f>
        <v>-4270122.1100000069</v>
      </c>
      <c r="J93" s="5">
        <v>3000000</v>
      </c>
      <c r="K93" s="5">
        <v>3260000</v>
      </c>
      <c r="L93" s="5">
        <v>3560000</v>
      </c>
      <c r="M93" s="7">
        <v>1271.9000000000001</v>
      </c>
      <c r="N93" s="5">
        <v>33100000</v>
      </c>
      <c r="O93" s="5">
        <v>36100000</v>
      </c>
      <c r="P93" s="3">
        <v>0.97916666666666663</v>
      </c>
    </row>
    <row r="94" spans="1:16" x14ac:dyDescent="0.25">
      <c r="A94" t="s">
        <v>71</v>
      </c>
      <c r="B94" s="2">
        <v>42506</v>
      </c>
      <c r="C94" t="str">
        <f>TEXT(B94,"mm")</f>
        <v>05</v>
      </c>
      <c r="D94" t="s">
        <v>16</v>
      </c>
      <c r="E94" t="s">
        <v>1636</v>
      </c>
      <c r="F94" s="5">
        <v>32700000</v>
      </c>
      <c r="G94" s="5">
        <v>35700000</v>
      </c>
      <c r="H94" s="5">
        <f>M94*26000*1.20565</f>
        <v>39917142.460000008</v>
      </c>
      <c r="I94" s="5">
        <f>G94-H94</f>
        <v>-4217142.4600000083</v>
      </c>
      <c r="J94" s="5">
        <v>3000000</v>
      </c>
      <c r="K94" s="5">
        <v>3270000</v>
      </c>
      <c r="L94" s="5">
        <v>3570000</v>
      </c>
      <c r="M94" s="7">
        <v>1273.4000000000001</v>
      </c>
      <c r="N94" s="5">
        <v>33200000</v>
      </c>
      <c r="O94" s="5">
        <v>36200000</v>
      </c>
      <c r="P94" s="3">
        <v>0.97916666666666663</v>
      </c>
    </row>
    <row r="95" spans="1:16" x14ac:dyDescent="0.25">
      <c r="A95" t="s">
        <v>72</v>
      </c>
      <c r="B95" s="2">
        <v>42507</v>
      </c>
      <c r="C95" t="str">
        <f>TEXT(B95,"mm")</f>
        <v>05</v>
      </c>
      <c r="D95" t="s">
        <v>18</v>
      </c>
      <c r="E95" t="s">
        <v>1636</v>
      </c>
      <c r="F95" s="5">
        <v>32800000</v>
      </c>
      <c r="G95" s="5">
        <v>35800000</v>
      </c>
      <c r="H95" s="5">
        <f>M95*26000*1.20565</f>
        <v>40004913.780000001</v>
      </c>
      <c r="I95" s="5">
        <f>G95-H95</f>
        <v>-4204913.7800000012</v>
      </c>
      <c r="J95" s="5">
        <v>3000000</v>
      </c>
      <c r="K95" s="5">
        <v>3280000</v>
      </c>
      <c r="L95" s="5">
        <v>3580000</v>
      </c>
      <c r="M95" s="7">
        <v>1276.2</v>
      </c>
      <c r="N95" s="5">
        <v>33300000</v>
      </c>
      <c r="O95" s="5">
        <v>36300000</v>
      </c>
      <c r="P95" s="3">
        <v>0.97916666666666663</v>
      </c>
    </row>
    <row r="96" spans="1:16" x14ac:dyDescent="0.25">
      <c r="A96" t="s">
        <v>73</v>
      </c>
      <c r="B96" s="2">
        <v>42508</v>
      </c>
      <c r="C96" t="str">
        <f>TEXT(B96,"mm")</f>
        <v>05</v>
      </c>
      <c r="D96" t="s">
        <v>19</v>
      </c>
      <c r="E96" t="s">
        <v>1636</v>
      </c>
      <c r="F96" s="5">
        <v>32700000</v>
      </c>
      <c r="G96" s="5">
        <v>35700000</v>
      </c>
      <c r="H96" s="5">
        <f>M96*26000*1.20565</f>
        <v>39926546.530000001</v>
      </c>
      <c r="I96" s="5">
        <f>G96-H96</f>
        <v>-4226546.5300000012</v>
      </c>
      <c r="J96" s="5">
        <v>3000000</v>
      </c>
      <c r="K96" s="5">
        <v>3270000</v>
      </c>
      <c r="L96" s="5">
        <v>3570000</v>
      </c>
      <c r="M96" s="7">
        <v>1273.7</v>
      </c>
      <c r="N96" s="5">
        <v>33200000</v>
      </c>
      <c r="O96" s="5">
        <v>36200000</v>
      </c>
      <c r="P96" s="3">
        <v>0.97916666666666663</v>
      </c>
    </row>
    <row r="97" spans="1:16" x14ac:dyDescent="0.25">
      <c r="A97" t="s">
        <v>74</v>
      </c>
      <c r="B97" s="2">
        <v>42509</v>
      </c>
      <c r="C97" t="str">
        <f>TEXT(B97,"mm")</f>
        <v>05</v>
      </c>
      <c r="D97" t="s">
        <v>20</v>
      </c>
      <c r="E97" t="s">
        <v>1636</v>
      </c>
      <c r="F97" s="5">
        <v>32100000</v>
      </c>
      <c r="G97" s="5">
        <v>35100000</v>
      </c>
      <c r="H97" s="5">
        <f>M97*26000*1.20565</f>
        <v>39315281.980000004</v>
      </c>
      <c r="I97" s="5">
        <f>G97-H97</f>
        <v>-4215281.9800000042</v>
      </c>
      <c r="J97" s="5">
        <v>3000000</v>
      </c>
      <c r="K97" s="5">
        <v>3210000</v>
      </c>
      <c r="L97" s="5">
        <v>3510000</v>
      </c>
      <c r="M97" s="7">
        <v>1254.2</v>
      </c>
      <c r="N97" s="5">
        <v>32600000</v>
      </c>
      <c r="O97" s="5">
        <v>35600000</v>
      </c>
      <c r="P97" s="3">
        <v>0.97916666666666663</v>
      </c>
    </row>
    <row r="98" spans="1:16" x14ac:dyDescent="0.25">
      <c r="A98" t="s">
        <v>75</v>
      </c>
      <c r="B98" s="2">
        <v>42510</v>
      </c>
      <c r="C98" t="str">
        <f>TEXT(B98,"mm")</f>
        <v>05</v>
      </c>
      <c r="D98" t="s">
        <v>21</v>
      </c>
      <c r="E98" t="s">
        <v>1636</v>
      </c>
      <c r="F98" s="5">
        <v>32100000</v>
      </c>
      <c r="G98" s="5">
        <v>35100000</v>
      </c>
      <c r="H98" s="5">
        <f>M98*26000*1.20565</f>
        <v>39258857.56000001</v>
      </c>
      <c r="I98" s="5">
        <f>G98-H98</f>
        <v>-4158857.5600000098</v>
      </c>
      <c r="J98" s="5">
        <v>3000000</v>
      </c>
      <c r="K98" s="5">
        <v>3210000</v>
      </c>
      <c r="L98" s="5">
        <v>3510000</v>
      </c>
      <c r="M98" s="7">
        <v>1252.4000000000001</v>
      </c>
      <c r="N98" s="5">
        <v>32600000</v>
      </c>
      <c r="O98" s="5">
        <v>35600000</v>
      </c>
      <c r="P98" s="3">
        <v>0.97916666666666663</v>
      </c>
    </row>
    <row r="99" spans="1:16" x14ac:dyDescent="0.25">
      <c r="A99" t="s">
        <v>76</v>
      </c>
      <c r="B99" s="2">
        <v>42513</v>
      </c>
      <c r="C99" t="str">
        <f>TEXT(B99,"mm")</f>
        <v>05</v>
      </c>
      <c r="D99" t="s">
        <v>16</v>
      </c>
      <c r="E99" t="s">
        <v>1636</v>
      </c>
      <c r="F99" s="5">
        <v>32100000</v>
      </c>
      <c r="G99" s="5">
        <v>35100000</v>
      </c>
      <c r="H99" s="5">
        <f>M99*26000*1.20565</f>
        <v>39218106.589999996</v>
      </c>
      <c r="I99" s="5">
        <f>G99-H99</f>
        <v>-4118106.5899999961</v>
      </c>
      <c r="J99" s="5">
        <v>3000000</v>
      </c>
      <c r="K99" s="5">
        <v>3210000</v>
      </c>
      <c r="L99" s="5">
        <v>3510000</v>
      </c>
      <c r="M99" s="7">
        <v>1251.0999999999999</v>
      </c>
      <c r="N99" s="5">
        <v>32600000</v>
      </c>
      <c r="O99" s="5">
        <v>35600000</v>
      </c>
      <c r="P99" s="3">
        <v>0.97916666666666663</v>
      </c>
    </row>
    <row r="100" spans="1:16" x14ac:dyDescent="0.25">
      <c r="A100" t="s">
        <v>77</v>
      </c>
      <c r="B100" s="2">
        <v>42514</v>
      </c>
      <c r="C100" t="str">
        <f>TEXT(B100,"mm")</f>
        <v>05</v>
      </c>
      <c r="D100" t="s">
        <v>18</v>
      </c>
      <c r="E100" t="s">
        <v>1636</v>
      </c>
      <c r="F100" s="5">
        <v>31400000</v>
      </c>
      <c r="G100" s="5">
        <v>34400000</v>
      </c>
      <c r="H100" s="5">
        <f>M100*26000*1.20565</f>
        <v>38522205.410000011</v>
      </c>
      <c r="I100" s="5">
        <f>G100-H100</f>
        <v>-4122205.4100000113</v>
      </c>
      <c r="J100" s="5">
        <v>3000000</v>
      </c>
      <c r="K100" s="5">
        <v>3140000</v>
      </c>
      <c r="L100" s="5">
        <v>3440000</v>
      </c>
      <c r="M100" s="7">
        <v>1228.9000000000001</v>
      </c>
      <c r="N100" s="5">
        <v>31900000</v>
      </c>
      <c r="O100" s="5">
        <v>34900000</v>
      </c>
      <c r="P100" s="3">
        <v>0.97916666666666663</v>
      </c>
    </row>
    <row r="101" spans="1:16" x14ac:dyDescent="0.25">
      <c r="A101" t="s">
        <v>78</v>
      </c>
      <c r="B101" s="2">
        <v>42515</v>
      </c>
      <c r="C101" t="str">
        <f>TEXT(B101,"mm")</f>
        <v>05</v>
      </c>
      <c r="D101" t="s">
        <v>19</v>
      </c>
      <c r="E101" t="s">
        <v>1636</v>
      </c>
      <c r="F101" s="5">
        <v>31300000</v>
      </c>
      <c r="G101" s="5">
        <v>34300000</v>
      </c>
      <c r="H101" s="5">
        <f>M101*26000*1.20565</f>
        <v>38352932.150000006</v>
      </c>
      <c r="I101" s="5">
        <f>G101-H101</f>
        <v>-4052932.150000006</v>
      </c>
      <c r="J101" s="5">
        <v>3000000</v>
      </c>
      <c r="K101" s="5">
        <v>3130000</v>
      </c>
      <c r="L101" s="5">
        <v>3430000</v>
      </c>
      <c r="M101" s="7">
        <v>1223.5</v>
      </c>
      <c r="N101" s="5">
        <v>31800000</v>
      </c>
      <c r="O101" s="5">
        <v>34800000</v>
      </c>
      <c r="P101" s="3">
        <v>0.97916666666666663</v>
      </c>
    </row>
    <row r="102" spans="1:16" x14ac:dyDescent="0.25">
      <c r="A102" t="s">
        <v>79</v>
      </c>
      <c r="B102" s="2">
        <v>42516</v>
      </c>
      <c r="C102" t="str">
        <f>TEXT(B102,"mm")</f>
        <v>05</v>
      </c>
      <c r="D102" t="s">
        <v>20</v>
      </c>
      <c r="E102" t="s">
        <v>1636</v>
      </c>
      <c r="F102" s="5">
        <v>31200000</v>
      </c>
      <c r="G102" s="5">
        <v>34200000</v>
      </c>
      <c r="H102" s="5">
        <f>M102*26000*1.20565</f>
        <v>38246352.689999998</v>
      </c>
      <c r="I102" s="5">
        <f>G102-H102</f>
        <v>-4046352.6899999976</v>
      </c>
      <c r="J102" s="5">
        <v>3000000</v>
      </c>
      <c r="K102" s="5">
        <v>3120000</v>
      </c>
      <c r="L102" s="5">
        <v>3420000</v>
      </c>
      <c r="M102" s="7">
        <v>1220.0999999999999</v>
      </c>
      <c r="N102" s="5">
        <v>31700000</v>
      </c>
      <c r="O102" s="5">
        <v>34700000</v>
      </c>
      <c r="P102" s="3">
        <v>0.97916666666666663</v>
      </c>
    </row>
    <row r="103" spans="1:16" x14ac:dyDescent="0.25">
      <c r="A103" t="s">
        <v>80</v>
      </c>
      <c r="B103" s="2">
        <v>42517</v>
      </c>
      <c r="C103" t="str">
        <f>TEXT(B103,"mm")</f>
        <v>05</v>
      </c>
      <c r="D103" t="s">
        <v>21</v>
      </c>
      <c r="E103" t="s">
        <v>1636</v>
      </c>
      <c r="F103" s="5">
        <v>31000000</v>
      </c>
      <c r="G103" s="5">
        <v>34000000</v>
      </c>
      <c r="H103" s="5">
        <f>M103*26000*1.20565</f>
        <v>38048867.220000006</v>
      </c>
      <c r="I103" s="5">
        <f>G103-H103</f>
        <v>-4048867.2200000063</v>
      </c>
      <c r="J103" s="5">
        <v>3000000</v>
      </c>
      <c r="K103" s="5">
        <v>3100000</v>
      </c>
      <c r="L103" s="5">
        <v>3400000</v>
      </c>
      <c r="M103" s="7">
        <v>1213.8</v>
      </c>
      <c r="N103" s="5">
        <v>31500000</v>
      </c>
      <c r="O103" s="5">
        <v>34500000</v>
      </c>
      <c r="P103" s="3">
        <v>0.97916666666666663</v>
      </c>
    </row>
    <row r="104" spans="1:16" x14ac:dyDescent="0.25">
      <c r="A104" t="s">
        <v>81</v>
      </c>
      <c r="B104" s="2">
        <v>42521</v>
      </c>
      <c r="C104" t="str">
        <f>TEXT(B104,"mm")</f>
        <v>05</v>
      </c>
      <c r="D104" t="s">
        <v>18</v>
      </c>
      <c r="E104" t="s">
        <v>1636</v>
      </c>
      <c r="F104" s="5">
        <v>31000000</v>
      </c>
      <c r="G104" s="5">
        <v>34000000</v>
      </c>
      <c r="H104" s="5">
        <f>M104*26000*1.20565</f>
        <v>38080214.120000005</v>
      </c>
      <c r="I104" s="5">
        <f>G104-H104</f>
        <v>-4080214.1200000048</v>
      </c>
      <c r="J104" s="5">
        <v>3000000</v>
      </c>
      <c r="K104" s="5">
        <v>3100000</v>
      </c>
      <c r="L104" s="5">
        <v>3400000</v>
      </c>
      <c r="M104" s="7">
        <v>1214.8</v>
      </c>
      <c r="N104" s="5">
        <v>31500000</v>
      </c>
      <c r="O104" s="5">
        <v>34500000</v>
      </c>
      <c r="P104" s="3">
        <v>0.97916666666666663</v>
      </c>
    </row>
    <row r="105" spans="1:16" x14ac:dyDescent="0.25">
      <c r="A105" s="2">
        <v>42375</v>
      </c>
      <c r="B105" s="2">
        <v>42522</v>
      </c>
      <c r="C105" t="str">
        <f>TEXT(B105,"mm")</f>
        <v>06</v>
      </c>
      <c r="D105" t="s">
        <v>19</v>
      </c>
      <c r="E105" t="s">
        <v>1636</v>
      </c>
      <c r="F105" s="5">
        <v>31000000</v>
      </c>
      <c r="G105" s="5">
        <v>34000000</v>
      </c>
      <c r="H105" s="5">
        <f>M105*26000*1.20565</f>
        <v>37989308.110000007</v>
      </c>
      <c r="I105" s="5">
        <f>G105-H105</f>
        <v>-3989308.1100000069</v>
      </c>
      <c r="J105" s="5">
        <v>3000000</v>
      </c>
      <c r="K105" s="5">
        <v>3100000</v>
      </c>
      <c r="L105" s="5">
        <v>3400000</v>
      </c>
      <c r="M105" s="7">
        <v>1211.9000000000001</v>
      </c>
      <c r="N105" s="5">
        <v>31500000</v>
      </c>
      <c r="O105" s="5">
        <v>34500000</v>
      </c>
      <c r="P105" s="3">
        <v>0.97916666666666663</v>
      </c>
    </row>
    <row r="106" spans="1:16" x14ac:dyDescent="0.25">
      <c r="A106" s="2">
        <v>42406</v>
      </c>
      <c r="B106" s="2">
        <v>42523</v>
      </c>
      <c r="C106" t="str">
        <f>TEXT(B106,"mm")</f>
        <v>06</v>
      </c>
      <c r="D106" t="s">
        <v>20</v>
      </c>
      <c r="E106" t="s">
        <v>1636</v>
      </c>
      <c r="F106" s="5">
        <v>30900000</v>
      </c>
      <c r="G106" s="5">
        <v>33900000</v>
      </c>
      <c r="H106" s="5">
        <f>M106*26000*1.20565</f>
        <v>37923479.620000005</v>
      </c>
      <c r="I106" s="5">
        <f>G106-H106</f>
        <v>-4023479.6200000048</v>
      </c>
      <c r="J106" s="5">
        <v>3000000</v>
      </c>
      <c r="K106" s="5">
        <v>3090000</v>
      </c>
      <c r="L106" s="5">
        <v>3390000</v>
      </c>
      <c r="M106" s="7">
        <v>1209.8</v>
      </c>
      <c r="N106" s="5">
        <v>31400000</v>
      </c>
      <c r="O106" s="5">
        <v>34400000</v>
      </c>
      <c r="P106" s="3">
        <v>0.97916666666666663</v>
      </c>
    </row>
    <row r="107" spans="1:16" x14ac:dyDescent="0.25">
      <c r="A107" s="2">
        <v>42435</v>
      </c>
      <c r="B107" s="2">
        <v>42524</v>
      </c>
      <c r="C107" t="str">
        <f>TEXT(B107,"mm")</f>
        <v>06</v>
      </c>
      <c r="D107" t="s">
        <v>21</v>
      </c>
      <c r="E107" t="s">
        <v>1636</v>
      </c>
      <c r="F107" s="5">
        <v>31800000</v>
      </c>
      <c r="G107" s="5">
        <v>34800000</v>
      </c>
      <c r="H107" s="5">
        <f>M107*26000*1.20565</f>
        <v>38873290.689999998</v>
      </c>
      <c r="I107" s="5">
        <f>G107-H107</f>
        <v>-4073290.6899999976</v>
      </c>
      <c r="J107" s="5">
        <v>3000000</v>
      </c>
      <c r="K107" s="5">
        <v>3180000</v>
      </c>
      <c r="L107" s="5">
        <v>3480000</v>
      </c>
      <c r="M107" s="7">
        <v>1240.0999999999999</v>
      </c>
      <c r="N107" s="5">
        <v>32300000</v>
      </c>
      <c r="O107" s="5">
        <v>35300000</v>
      </c>
      <c r="P107" s="3">
        <v>0.97916666666666663</v>
      </c>
    </row>
    <row r="108" spans="1:16" x14ac:dyDescent="0.25">
      <c r="A108" s="2">
        <v>42527</v>
      </c>
      <c r="B108" s="2">
        <v>42527</v>
      </c>
      <c r="C108" t="str">
        <f>TEXT(B108,"mm")</f>
        <v>06</v>
      </c>
      <c r="D108" t="s">
        <v>16</v>
      </c>
      <c r="E108" t="s">
        <v>1636</v>
      </c>
      <c r="F108" s="5">
        <v>31900000</v>
      </c>
      <c r="G108" s="5">
        <v>34900000</v>
      </c>
      <c r="H108" s="5">
        <f>M108*26000*1.20565</f>
        <v>39014351.740000002</v>
      </c>
      <c r="I108" s="5">
        <f>G108-H108</f>
        <v>-4114351.7400000021</v>
      </c>
      <c r="J108" s="5">
        <v>3000000</v>
      </c>
      <c r="K108" s="5">
        <v>3190000</v>
      </c>
      <c r="L108" s="5">
        <v>3490000</v>
      </c>
      <c r="M108" s="7">
        <v>1244.5999999999999</v>
      </c>
      <c r="N108" s="5">
        <v>32400000</v>
      </c>
      <c r="O108" s="5">
        <v>35400000</v>
      </c>
      <c r="P108" s="3">
        <v>0.97916666666666663</v>
      </c>
    </row>
    <row r="109" spans="1:16" x14ac:dyDescent="0.25">
      <c r="A109" s="2">
        <v>42557</v>
      </c>
      <c r="B109" s="2">
        <v>42528</v>
      </c>
      <c r="C109" t="str">
        <f>TEXT(B109,"mm")</f>
        <v>06</v>
      </c>
      <c r="D109" t="s">
        <v>18</v>
      </c>
      <c r="E109" t="s">
        <v>1636</v>
      </c>
      <c r="F109" s="5">
        <v>31900000</v>
      </c>
      <c r="G109" s="5">
        <v>34900000</v>
      </c>
      <c r="H109" s="5">
        <f>M109*26000*1.20565</f>
        <v>39008082.360000007</v>
      </c>
      <c r="I109" s="5">
        <f>G109-H109</f>
        <v>-4108082.3600000069</v>
      </c>
      <c r="J109" s="5">
        <v>3000000</v>
      </c>
      <c r="K109" s="5">
        <v>3190000</v>
      </c>
      <c r="L109" s="5">
        <v>3490000</v>
      </c>
      <c r="M109" s="7">
        <v>1244.4000000000001</v>
      </c>
      <c r="N109" s="5">
        <v>32400000</v>
      </c>
      <c r="O109" s="5">
        <v>35400000</v>
      </c>
      <c r="P109" s="3">
        <v>0.97916666666666663</v>
      </c>
    </row>
    <row r="110" spans="1:16" x14ac:dyDescent="0.25">
      <c r="A110" s="2">
        <v>42588</v>
      </c>
      <c r="B110" s="2">
        <v>42529</v>
      </c>
      <c r="C110" t="str">
        <f>TEXT(B110,"mm")</f>
        <v>06</v>
      </c>
      <c r="D110" t="s">
        <v>19</v>
      </c>
      <c r="E110" t="s">
        <v>1636</v>
      </c>
      <c r="F110" s="5">
        <v>32300000</v>
      </c>
      <c r="G110" s="5">
        <v>35300000</v>
      </c>
      <c r="H110" s="5">
        <f>M110*26000*1.20565</f>
        <v>39490824.620000005</v>
      </c>
      <c r="I110" s="5">
        <f>G110-H110</f>
        <v>-4190824.6200000048</v>
      </c>
      <c r="J110" s="5">
        <v>3000000</v>
      </c>
      <c r="K110" s="5">
        <v>3230000</v>
      </c>
      <c r="L110" s="5">
        <v>3530000</v>
      </c>
      <c r="M110" s="7">
        <v>1259.8</v>
      </c>
      <c r="N110" s="5">
        <v>32800000</v>
      </c>
      <c r="O110" s="5">
        <v>35800000</v>
      </c>
      <c r="P110" s="3">
        <v>0.97916666666666663</v>
      </c>
    </row>
    <row r="111" spans="1:16" x14ac:dyDescent="0.25">
      <c r="A111" s="2">
        <v>42619</v>
      </c>
      <c r="B111" s="2">
        <v>42530</v>
      </c>
      <c r="C111" t="str">
        <f>TEXT(B111,"mm")</f>
        <v>06</v>
      </c>
      <c r="D111" t="s">
        <v>20</v>
      </c>
      <c r="E111" t="s">
        <v>1636</v>
      </c>
      <c r="F111" s="5">
        <v>32600000</v>
      </c>
      <c r="G111" s="5">
        <v>35600000</v>
      </c>
      <c r="H111" s="5">
        <f>M111*26000*1.20565</f>
        <v>39816832.380000003</v>
      </c>
      <c r="I111" s="5">
        <f>G111-H111</f>
        <v>-4216832.3800000027</v>
      </c>
      <c r="J111" s="5">
        <v>3000000</v>
      </c>
      <c r="K111" s="5">
        <v>3260000</v>
      </c>
      <c r="L111" s="5">
        <v>3560000</v>
      </c>
      <c r="M111" s="7">
        <v>1270.2</v>
      </c>
      <c r="N111" s="5">
        <v>33100000</v>
      </c>
      <c r="O111" s="5">
        <v>36100000</v>
      </c>
      <c r="P111" s="3">
        <v>0.97916666666666663</v>
      </c>
    </row>
    <row r="112" spans="1:16" x14ac:dyDescent="0.25">
      <c r="A112" s="2">
        <v>42649</v>
      </c>
      <c r="B112" s="2">
        <v>42531</v>
      </c>
      <c r="C112" t="str">
        <f>TEXT(B112,"mm")</f>
        <v>06</v>
      </c>
      <c r="D112" t="s">
        <v>21</v>
      </c>
      <c r="E112" t="s">
        <v>1636</v>
      </c>
      <c r="F112" s="5">
        <v>32700000</v>
      </c>
      <c r="G112" s="5">
        <v>35700000</v>
      </c>
      <c r="H112" s="5">
        <f>M112*26000*1.20565</f>
        <v>39917142.460000008</v>
      </c>
      <c r="I112" s="5">
        <f>G112-H112</f>
        <v>-4217142.4600000083</v>
      </c>
      <c r="J112" s="5">
        <v>3000000</v>
      </c>
      <c r="K112" s="5">
        <v>3270000</v>
      </c>
      <c r="L112" s="5">
        <v>3570000</v>
      </c>
      <c r="M112" s="7">
        <v>1273.4000000000001</v>
      </c>
      <c r="N112" s="5">
        <v>33200000</v>
      </c>
      <c r="O112" s="5">
        <v>36200000</v>
      </c>
      <c r="P112" s="3">
        <v>0.97916666666666663</v>
      </c>
    </row>
    <row r="113" spans="1:16" x14ac:dyDescent="0.25">
      <c r="A113" t="s">
        <v>82</v>
      </c>
      <c r="B113" s="2">
        <v>42534</v>
      </c>
      <c r="C113" t="str">
        <f>TEXT(B113,"mm")</f>
        <v>06</v>
      </c>
      <c r="D113" t="s">
        <v>16</v>
      </c>
      <c r="E113" t="s">
        <v>1636</v>
      </c>
      <c r="F113" s="5">
        <v>33000000</v>
      </c>
      <c r="G113" s="5">
        <v>36000000</v>
      </c>
      <c r="H113" s="5">
        <f>M113*26000*1.20565</f>
        <v>40261958.360000007</v>
      </c>
      <c r="I113" s="5">
        <f>G113-H113</f>
        <v>-4261958.3600000069</v>
      </c>
      <c r="J113" s="5">
        <v>3000000</v>
      </c>
      <c r="K113" s="5">
        <v>3300000</v>
      </c>
      <c r="L113" s="5">
        <v>3600000</v>
      </c>
      <c r="M113" s="7">
        <v>1284.4000000000001</v>
      </c>
      <c r="N113" s="5">
        <v>33500000</v>
      </c>
      <c r="O113" s="5">
        <v>36500000</v>
      </c>
      <c r="P113" s="3">
        <v>0.97916666666666663</v>
      </c>
    </row>
    <row r="114" spans="1:16" x14ac:dyDescent="0.25">
      <c r="A114" t="s">
        <v>83</v>
      </c>
      <c r="B114" s="2">
        <v>42535</v>
      </c>
      <c r="C114" t="str">
        <f>TEXT(B114,"mm")</f>
        <v>06</v>
      </c>
      <c r="D114" t="s">
        <v>18</v>
      </c>
      <c r="E114" t="s">
        <v>1636</v>
      </c>
      <c r="F114" s="5">
        <v>33000000</v>
      </c>
      <c r="G114" s="5">
        <v>36000000</v>
      </c>
      <c r="H114" s="5">
        <f>M114*26000*1.20565</f>
        <v>40299574.640000001</v>
      </c>
      <c r="I114" s="5">
        <f>G114-H114</f>
        <v>-4299574.6400000006</v>
      </c>
      <c r="J114" s="5">
        <v>3000000</v>
      </c>
      <c r="K114" s="5">
        <v>3300000</v>
      </c>
      <c r="L114" s="5">
        <v>3600000</v>
      </c>
      <c r="M114" s="7">
        <v>1285.5999999999999</v>
      </c>
      <c r="N114" s="5">
        <v>33500000</v>
      </c>
      <c r="O114" s="5">
        <v>36500000</v>
      </c>
      <c r="P114" s="3">
        <v>0.97916666666666663</v>
      </c>
    </row>
    <row r="115" spans="1:16" x14ac:dyDescent="0.25">
      <c r="A115" t="s">
        <v>84</v>
      </c>
      <c r="B115" s="2">
        <v>42536</v>
      </c>
      <c r="C115" t="str">
        <f>TEXT(B115,"mm")</f>
        <v>06</v>
      </c>
      <c r="D115" t="s">
        <v>19</v>
      </c>
      <c r="E115" t="s">
        <v>1636</v>
      </c>
      <c r="F115" s="5">
        <v>33000000</v>
      </c>
      <c r="G115" s="5">
        <v>36000000</v>
      </c>
      <c r="H115" s="5">
        <f>M115*26000*1.20565</f>
        <v>40305844.020000003</v>
      </c>
      <c r="I115" s="5">
        <f>G115-H115</f>
        <v>-4305844.0200000033</v>
      </c>
      <c r="J115" s="5">
        <v>3000000</v>
      </c>
      <c r="K115" s="5">
        <v>3300000</v>
      </c>
      <c r="L115" s="5">
        <v>3600000</v>
      </c>
      <c r="M115" s="7">
        <v>1285.8</v>
      </c>
      <c r="N115" s="5">
        <v>33500000</v>
      </c>
      <c r="O115" s="5">
        <v>36500000</v>
      </c>
      <c r="P115" s="3">
        <v>0.97916666666666663</v>
      </c>
    </row>
    <row r="116" spans="1:16" x14ac:dyDescent="0.25">
      <c r="A116" t="s">
        <v>85</v>
      </c>
      <c r="B116" s="2">
        <v>42537</v>
      </c>
      <c r="C116" t="str">
        <f>TEXT(B116,"mm")</f>
        <v>06</v>
      </c>
      <c r="D116" t="s">
        <v>20</v>
      </c>
      <c r="E116" t="s">
        <v>1636</v>
      </c>
      <c r="F116" s="5">
        <v>33300000</v>
      </c>
      <c r="G116" s="5">
        <v>36300000</v>
      </c>
      <c r="H116" s="5">
        <f>M116*26000*1.20565</f>
        <v>40628717.090000004</v>
      </c>
      <c r="I116" s="5">
        <f>G116-H116</f>
        <v>-4328717.0900000036</v>
      </c>
      <c r="J116" s="5">
        <v>3000000</v>
      </c>
      <c r="K116" s="5">
        <v>3330000</v>
      </c>
      <c r="L116" s="5">
        <v>3630000</v>
      </c>
      <c r="M116" s="7">
        <v>1296.0999999999999</v>
      </c>
      <c r="N116" s="5">
        <v>33800000</v>
      </c>
      <c r="O116" s="5">
        <v>36800000</v>
      </c>
      <c r="P116" s="3">
        <v>0.97916666666666663</v>
      </c>
    </row>
    <row r="117" spans="1:16" x14ac:dyDescent="0.25">
      <c r="A117" t="s">
        <v>86</v>
      </c>
      <c r="B117" s="2">
        <v>42538</v>
      </c>
      <c r="C117" t="str">
        <f>TEXT(B117,"mm")</f>
        <v>06</v>
      </c>
      <c r="D117" t="s">
        <v>21</v>
      </c>
      <c r="E117" t="s">
        <v>1636</v>
      </c>
      <c r="F117" s="5">
        <v>33200000</v>
      </c>
      <c r="G117" s="5">
        <v>36200000</v>
      </c>
      <c r="H117" s="5">
        <f>M117*26000*1.20565</f>
        <v>40515868.25</v>
      </c>
      <c r="I117" s="5">
        <f>G117-H117</f>
        <v>-4315868.25</v>
      </c>
      <c r="J117" s="5">
        <v>3000000</v>
      </c>
      <c r="K117" s="5">
        <v>3320000</v>
      </c>
      <c r="L117" s="5">
        <v>3620000</v>
      </c>
      <c r="M117" s="7">
        <v>1292.5</v>
      </c>
      <c r="N117" s="5">
        <v>33700000</v>
      </c>
      <c r="O117" s="5">
        <v>36700000</v>
      </c>
      <c r="P117" s="3">
        <v>0.97916666666666663</v>
      </c>
    </row>
    <row r="118" spans="1:16" x14ac:dyDescent="0.25">
      <c r="A118" t="s">
        <v>87</v>
      </c>
      <c r="B118" s="2">
        <v>42541</v>
      </c>
      <c r="C118" t="str">
        <f>TEXT(B118,"mm")</f>
        <v>06</v>
      </c>
      <c r="D118" t="s">
        <v>16</v>
      </c>
      <c r="E118" t="s">
        <v>1636</v>
      </c>
      <c r="F118" s="5">
        <v>33200000</v>
      </c>
      <c r="G118" s="5">
        <v>36200000</v>
      </c>
      <c r="H118" s="5">
        <f>M118*26000*1.20565</f>
        <v>40437501</v>
      </c>
      <c r="I118" s="5">
        <f>G118-H118</f>
        <v>-4237501</v>
      </c>
      <c r="J118" s="5">
        <v>3000000</v>
      </c>
      <c r="K118" s="5">
        <v>3320000</v>
      </c>
      <c r="L118" s="5">
        <v>3620000</v>
      </c>
      <c r="M118" s="7">
        <v>1290</v>
      </c>
      <c r="N118" s="5">
        <v>33700000</v>
      </c>
      <c r="O118" s="5">
        <v>36700000</v>
      </c>
      <c r="P118" s="3">
        <v>0.97916666666666663</v>
      </c>
    </row>
    <row r="119" spans="1:16" x14ac:dyDescent="0.25">
      <c r="A119" t="s">
        <v>88</v>
      </c>
      <c r="B119" s="2">
        <v>42542</v>
      </c>
      <c r="C119" t="str">
        <f>TEXT(B119,"mm")</f>
        <v>06</v>
      </c>
      <c r="D119" t="s">
        <v>18</v>
      </c>
      <c r="E119" t="s">
        <v>1636</v>
      </c>
      <c r="F119" s="5">
        <v>32600000</v>
      </c>
      <c r="G119" s="5">
        <v>35600000</v>
      </c>
      <c r="H119" s="5">
        <f>M119*26000*1.20565</f>
        <v>39826236.450000003</v>
      </c>
      <c r="I119" s="5">
        <f>G119-H119</f>
        <v>-4226236.450000003</v>
      </c>
      <c r="J119" s="5">
        <v>3000000</v>
      </c>
      <c r="K119" s="5">
        <v>3260000</v>
      </c>
      <c r="L119" s="5">
        <v>3560000</v>
      </c>
      <c r="M119" s="7">
        <v>1270.5</v>
      </c>
      <c r="N119" s="5">
        <v>33100000</v>
      </c>
      <c r="O119" s="5">
        <v>36100000</v>
      </c>
      <c r="P119" s="3">
        <v>0.97916666666666663</v>
      </c>
    </row>
    <row r="120" spans="1:16" x14ac:dyDescent="0.25">
      <c r="A120" t="s">
        <v>89</v>
      </c>
      <c r="B120" s="2">
        <v>42543</v>
      </c>
      <c r="C120" t="str">
        <f>TEXT(B120,"mm")</f>
        <v>06</v>
      </c>
      <c r="D120" t="s">
        <v>19</v>
      </c>
      <c r="E120" t="s">
        <v>1636</v>
      </c>
      <c r="F120" s="5">
        <v>32500000</v>
      </c>
      <c r="G120" s="5">
        <v>35500000</v>
      </c>
      <c r="H120" s="5">
        <f>M120*26000*1.20565</f>
        <v>39747869.200000003</v>
      </c>
      <c r="I120" s="5">
        <f>G120-H120</f>
        <v>-4247869.200000003</v>
      </c>
      <c r="J120" s="5">
        <v>3000000</v>
      </c>
      <c r="K120" s="5">
        <v>3250000</v>
      </c>
      <c r="L120" s="5">
        <v>3550000</v>
      </c>
      <c r="M120" s="7">
        <v>1268</v>
      </c>
      <c r="N120" s="5">
        <v>33000000</v>
      </c>
      <c r="O120" s="5">
        <v>36000000</v>
      </c>
      <c r="P120" s="3">
        <v>0.97916666666666663</v>
      </c>
    </row>
    <row r="121" spans="1:16" x14ac:dyDescent="0.25">
      <c r="A121" t="s">
        <v>90</v>
      </c>
      <c r="B121" s="2">
        <v>42544</v>
      </c>
      <c r="C121" t="str">
        <f>TEXT(B121,"mm")</f>
        <v>06</v>
      </c>
      <c r="D121" t="s">
        <v>20</v>
      </c>
      <c r="E121" t="s">
        <v>1636</v>
      </c>
      <c r="F121" s="5">
        <v>32300000</v>
      </c>
      <c r="G121" s="5">
        <v>35300000</v>
      </c>
      <c r="H121" s="5">
        <f>M121*26000*1.20565</f>
        <v>39534710.280000001</v>
      </c>
      <c r="I121" s="5">
        <f>G121-H121</f>
        <v>-4234710.2800000012</v>
      </c>
      <c r="J121" s="5">
        <v>3000000</v>
      </c>
      <c r="K121" s="5">
        <v>3230000</v>
      </c>
      <c r="L121" s="5">
        <v>3530000</v>
      </c>
      <c r="M121" s="7">
        <v>1261.2</v>
      </c>
      <c r="N121" s="5">
        <v>32800000</v>
      </c>
      <c r="O121" s="5">
        <v>35800000</v>
      </c>
      <c r="P121" s="3">
        <v>0.97916666666666663</v>
      </c>
    </row>
    <row r="122" spans="1:16" x14ac:dyDescent="0.25">
      <c r="A122" t="s">
        <v>91</v>
      </c>
      <c r="B122" s="2">
        <v>42545</v>
      </c>
      <c r="C122" t="str">
        <f>TEXT(B122,"mm")</f>
        <v>06</v>
      </c>
      <c r="D122" t="s">
        <v>21</v>
      </c>
      <c r="E122" t="s">
        <v>1636</v>
      </c>
      <c r="F122" s="5">
        <v>34000000</v>
      </c>
      <c r="G122" s="5">
        <v>37000000</v>
      </c>
      <c r="H122" s="5">
        <f>M122*26000*1.20565</f>
        <v>41377908.000000007</v>
      </c>
      <c r="I122" s="5">
        <f>G122-H122</f>
        <v>-4377908.0000000075</v>
      </c>
      <c r="J122" s="5">
        <v>3000000</v>
      </c>
      <c r="K122" s="5">
        <v>3400000</v>
      </c>
      <c r="L122" s="5">
        <v>3700000</v>
      </c>
      <c r="M122" s="7">
        <v>1320</v>
      </c>
      <c r="N122" s="5">
        <v>34500000</v>
      </c>
      <c r="O122" s="5">
        <v>37500000</v>
      </c>
      <c r="P122" s="3">
        <v>0.97916666666666663</v>
      </c>
    </row>
    <row r="123" spans="1:16" x14ac:dyDescent="0.25">
      <c r="A123" t="s">
        <v>92</v>
      </c>
      <c r="B123" s="2">
        <v>42548</v>
      </c>
      <c r="C123" t="str">
        <f>TEXT(B123,"mm")</f>
        <v>06</v>
      </c>
      <c r="D123" t="s">
        <v>16</v>
      </c>
      <c r="E123" t="s">
        <v>1636</v>
      </c>
      <c r="F123" s="5">
        <v>34100000</v>
      </c>
      <c r="G123" s="5">
        <v>37100000</v>
      </c>
      <c r="H123" s="5">
        <f>M123*26000*1.20565</f>
        <v>41456275.250000007</v>
      </c>
      <c r="I123" s="5">
        <f>G123-H123</f>
        <v>-4356275.2500000075</v>
      </c>
      <c r="J123" s="5">
        <v>3000000</v>
      </c>
      <c r="K123" s="5">
        <v>3410000</v>
      </c>
      <c r="L123" s="5">
        <v>3710000</v>
      </c>
      <c r="M123" s="7">
        <v>1322.5</v>
      </c>
      <c r="N123" s="5">
        <v>34600000</v>
      </c>
      <c r="O123" s="5">
        <v>37600000</v>
      </c>
      <c r="P123" s="3">
        <v>0.97916666666666663</v>
      </c>
    </row>
    <row r="124" spans="1:16" x14ac:dyDescent="0.25">
      <c r="A124" t="s">
        <v>93</v>
      </c>
      <c r="B124" s="2">
        <v>42549</v>
      </c>
      <c r="C124" t="str">
        <f>TEXT(B124,"mm")</f>
        <v>06</v>
      </c>
      <c r="D124" t="s">
        <v>18</v>
      </c>
      <c r="E124" t="s">
        <v>1636</v>
      </c>
      <c r="F124" s="5">
        <v>33900000</v>
      </c>
      <c r="G124" s="5">
        <v>36900000</v>
      </c>
      <c r="H124" s="5">
        <f>M124*26000*1.20565</f>
        <v>41230577.57</v>
      </c>
      <c r="I124" s="5">
        <f>G124-H124</f>
        <v>-4330577.57</v>
      </c>
      <c r="J124" s="5">
        <v>3000000</v>
      </c>
      <c r="K124" s="5">
        <v>3390000</v>
      </c>
      <c r="L124" s="5">
        <v>3690000</v>
      </c>
      <c r="M124" s="7">
        <v>1315.3</v>
      </c>
      <c r="N124" s="5">
        <v>34400000</v>
      </c>
      <c r="O124" s="5">
        <v>37400000</v>
      </c>
      <c r="P124" s="3">
        <v>0.97916666666666663</v>
      </c>
    </row>
    <row r="125" spans="1:16" x14ac:dyDescent="0.25">
      <c r="A125" t="s">
        <v>94</v>
      </c>
      <c r="B125" s="2">
        <v>42550</v>
      </c>
      <c r="C125" t="str">
        <f>TEXT(B125,"mm")</f>
        <v>06</v>
      </c>
      <c r="D125" t="s">
        <v>19</v>
      </c>
      <c r="E125" t="s">
        <v>1636</v>
      </c>
      <c r="F125" s="5">
        <v>34100000</v>
      </c>
      <c r="G125" s="5">
        <v>37100000</v>
      </c>
      <c r="H125" s="5">
        <f>M125*26000*1.20565</f>
        <v>41500160.910000004</v>
      </c>
      <c r="I125" s="5">
        <f>G125-H125</f>
        <v>-4400160.9100000039</v>
      </c>
      <c r="J125" s="5">
        <v>3000000</v>
      </c>
      <c r="K125" s="5">
        <v>3410000</v>
      </c>
      <c r="L125" s="5">
        <v>3710000</v>
      </c>
      <c r="M125" s="7">
        <v>1323.9</v>
      </c>
      <c r="N125" s="5">
        <v>34600000</v>
      </c>
      <c r="O125" s="5">
        <v>37600000</v>
      </c>
      <c r="P125" s="3">
        <v>0.97916666666666663</v>
      </c>
    </row>
    <row r="126" spans="1:16" x14ac:dyDescent="0.25">
      <c r="A126" t="s">
        <v>95</v>
      </c>
      <c r="B126" s="2">
        <v>42551</v>
      </c>
      <c r="C126" t="str">
        <f>TEXT(B126,"mm")</f>
        <v>06</v>
      </c>
      <c r="D126" t="s">
        <v>20</v>
      </c>
      <c r="E126" t="s">
        <v>1636</v>
      </c>
      <c r="F126" s="5">
        <v>33900000</v>
      </c>
      <c r="G126" s="5">
        <v>36900000</v>
      </c>
      <c r="H126" s="5">
        <f>M126*26000*1.20565</f>
        <v>41327752.960000001</v>
      </c>
      <c r="I126" s="5">
        <f>G126-H126</f>
        <v>-4427752.9600000009</v>
      </c>
      <c r="J126" s="5">
        <v>3000000</v>
      </c>
      <c r="K126" s="5">
        <v>3390000</v>
      </c>
      <c r="L126" s="5">
        <v>3690000</v>
      </c>
      <c r="M126" s="7">
        <v>1318.4</v>
      </c>
      <c r="N126" s="5">
        <v>34400000</v>
      </c>
      <c r="O126" s="5">
        <v>37400000</v>
      </c>
      <c r="P126" s="3">
        <v>0.97916666666666663</v>
      </c>
    </row>
    <row r="127" spans="1:16" x14ac:dyDescent="0.25">
      <c r="A127" s="2">
        <v>42376</v>
      </c>
      <c r="B127" s="2">
        <v>42552</v>
      </c>
      <c r="C127" t="str">
        <f>TEXT(B127,"mm")</f>
        <v>07</v>
      </c>
      <c r="D127" t="s">
        <v>21</v>
      </c>
      <c r="E127" t="s">
        <v>1636</v>
      </c>
      <c r="F127" s="5">
        <v>34500000</v>
      </c>
      <c r="G127" s="5">
        <v>37500000</v>
      </c>
      <c r="H127" s="5">
        <f>M127*26000*1.20565</f>
        <v>41901401.230000004</v>
      </c>
      <c r="I127" s="5">
        <f>G127-H127</f>
        <v>-4401401.2300000042</v>
      </c>
      <c r="J127" s="5">
        <v>3000000</v>
      </c>
      <c r="K127" s="5">
        <v>3450000</v>
      </c>
      <c r="L127" s="5">
        <v>3750000</v>
      </c>
      <c r="M127" s="7">
        <v>1336.7</v>
      </c>
      <c r="N127" s="5">
        <v>35000000</v>
      </c>
      <c r="O127" s="5">
        <v>38000000</v>
      </c>
      <c r="P127" s="3">
        <v>0.97916666666666663</v>
      </c>
    </row>
    <row r="128" spans="1:16" x14ac:dyDescent="0.25">
      <c r="A128" s="2">
        <v>42497</v>
      </c>
      <c r="B128" s="2">
        <v>42556</v>
      </c>
      <c r="C128" t="str">
        <f>TEXT(B128,"mm")</f>
        <v>07</v>
      </c>
      <c r="D128" t="s">
        <v>18</v>
      </c>
      <c r="E128" t="s">
        <v>1636</v>
      </c>
      <c r="F128" s="5">
        <v>35000000</v>
      </c>
      <c r="G128" s="5">
        <v>38000000</v>
      </c>
      <c r="H128" s="5">
        <f>M128*26000*1.20565</f>
        <v>42518935.160000004</v>
      </c>
      <c r="I128" s="5">
        <f>G128-H128</f>
        <v>-4518935.1600000039</v>
      </c>
      <c r="J128" s="5">
        <v>3000000</v>
      </c>
      <c r="K128" s="5">
        <v>3500000</v>
      </c>
      <c r="L128" s="5">
        <v>3800000</v>
      </c>
      <c r="M128" s="7">
        <v>1356.4</v>
      </c>
      <c r="N128" s="5">
        <v>35500000</v>
      </c>
      <c r="O128" s="5">
        <v>38500000</v>
      </c>
      <c r="P128" s="3">
        <v>0.97916666666666663</v>
      </c>
    </row>
    <row r="129" spans="1:16" x14ac:dyDescent="0.25">
      <c r="A129" s="2">
        <v>42528</v>
      </c>
      <c r="B129" s="2">
        <v>42557</v>
      </c>
      <c r="C129" t="str">
        <f>TEXT(B129,"mm")</f>
        <v>07</v>
      </c>
      <c r="D129" t="s">
        <v>19</v>
      </c>
      <c r="E129" t="s">
        <v>1636</v>
      </c>
      <c r="F129" s="5">
        <v>35300000</v>
      </c>
      <c r="G129" s="5">
        <v>38300000</v>
      </c>
      <c r="H129" s="5">
        <f>M129*26000*1.20565</f>
        <v>42785383.810000002</v>
      </c>
      <c r="I129" s="5">
        <f>G129-H129</f>
        <v>-4485383.8100000024</v>
      </c>
      <c r="J129" s="5">
        <v>3000000</v>
      </c>
      <c r="K129" s="5">
        <v>3530000</v>
      </c>
      <c r="L129" s="5">
        <v>3830000</v>
      </c>
      <c r="M129" s="7">
        <v>1364.9</v>
      </c>
      <c r="N129" s="5">
        <v>35800000</v>
      </c>
      <c r="O129" s="5">
        <v>38800000</v>
      </c>
      <c r="P129" s="3">
        <v>0.97916666666666663</v>
      </c>
    </row>
    <row r="130" spans="1:16" x14ac:dyDescent="0.25">
      <c r="A130" s="2">
        <v>42558</v>
      </c>
      <c r="B130" s="2">
        <v>42558</v>
      </c>
      <c r="C130" t="str">
        <f>TEXT(B130,"mm")</f>
        <v>07</v>
      </c>
      <c r="D130" t="s">
        <v>20</v>
      </c>
      <c r="E130" t="s">
        <v>1636</v>
      </c>
      <c r="F130" s="5">
        <v>35100000</v>
      </c>
      <c r="G130" s="5">
        <v>38100000</v>
      </c>
      <c r="H130" s="5">
        <f>M130*26000*1.20565</f>
        <v>42634918.690000005</v>
      </c>
      <c r="I130" s="5">
        <f>G130-H130</f>
        <v>-4534918.6900000051</v>
      </c>
      <c r="J130" s="5">
        <v>3000000</v>
      </c>
      <c r="K130" s="5">
        <v>3510000</v>
      </c>
      <c r="L130" s="5">
        <v>3810000</v>
      </c>
      <c r="M130" s="7">
        <v>1360.1</v>
      </c>
      <c r="N130" s="5">
        <v>35600000</v>
      </c>
      <c r="O130" s="5">
        <v>38600000</v>
      </c>
      <c r="P130" s="3">
        <v>0.97916666666666663</v>
      </c>
    </row>
    <row r="131" spans="1:16" x14ac:dyDescent="0.25">
      <c r="A131" s="2">
        <v>42589</v>
      </c>
      <c r="B131" s="2">
        <v>42559</v>
      </c>
      <c r="C131" t="str">
        <f>TEXT(B131,"mm")</f>
        <v>07</v>
      </c>
      <c r="D131" t="s">
        <v>21</v>
      </c>
      <c r="E131" t="s">
        <v>1636</v>
      </c>
      <c r="F131" s="5">
        <v>35000000</v>
      </c>
      <c r="G131" s="5">
        <v>38000000</v>
      </c>
      <c r="H131" s="5">
        <f>M131*26000*1.20565</f>
        <v>42525204.540000007</v>
      </c>
      <c r="I131" s="5">
        <f>G131-H131</f>
        <v>-4525204.5400000066</v>
      </c>
      <c r="J131" s="5">
        <v>3000000</v>
      </c>
      <c r="K131" s="5">
        <v>3500000</v>
      </c>
      <c r="L131" s="5">
        <v>3800000</v>
      </c>
      <c r="M131" s="7">
        <v>1356.6</v>
      </c>
      <c r="N131" s="5">
        <v>35500000</v>
      </c>
      <c r="O131" s="5">
        <v>38500000</v>
      </c>
      <c r="P131" s="3">
        <v>0.97916666666666663</v>
      </c>
    </row>
    <row r="132" spans="1:16" x14ac:dyDescent="0.25">
      <c r="A132" s="2">
        <v>42681</v>
      </c>
      <c r="B132" s="2">
        <v>42562</v>
      </c>
      <c r="C132" t="str">
        <f>TEXT(B132,"mm")</f>
        <v>07</v>
      </c>
      <c r="D132" t="s">
        <v>16</v>
      </c>
      <c r="E132" t="s">
        <v>1636</v>
      </c>
      <c r="F132" s="5">
        <v>35000000</v>
      </c>
      <c r="G132" s="5">
        <v>38000000</v>
      </c>
      <c r="H132" s="5">
        <f>M132*26000*1.20565</f>
        <v>42475049.500000007</v>
      </c>
      <c r="I132" s="5">
        <f>G132-H132</f>
        <v>-4475049.5000000075</v>
      </c>
      <c r="J132" s="5">
        <v>3000000</v>
      </c>
      <c r="K132" s="5">
        <v>3500000</v>
      </c>
      <c r="L132" s="5">
        <v>3800000</v>
      </c>
      <c r="M132" s="7">
        <v>1355</v>
      </c>
      <c r="N132" s="5">
        <v>35500000</v>
      </c>
      <c r="O132" s="5">
        <v>38500000</v>
      </c>
      <c r="P132" s="3">
        <v>0.97916666666666663</v>
      </c>
    </row>
    <row r="133" spans="1:16" x14ac:dyDescent="0.25">
      <c r="A133" s="2">
        <v>42711</v>
      </c>
      <c r="B133" s="2">
        <v>42563</v>
      </c>
      <c r="C133" t="str">
        <f>TEXT(B133,"mm")</f>
        <v>07</v>
      </c>
      <c r="D133" t="s">
        <v>18</v>
      </c>
      <c r="E133" t="s">
        <v>1636</v>
      </c>
      <c r="F133" s="5">
        <v>34400000</v>
      </c>
      <c r="G133" s="5">
        <v>37400000</v>
      </c>
      <c r="H133" s="5">
        <f>M133*26000*1.20565</f>
        <v>41819899.290000007</v>
      </c>
      <c r="I133" s="5">
        <f>G133-H133</f>
        <v>-4419899.2900000066</v>
      </c>
      <c r="J133" s="5">
        <v>3000000</v>
      </c>
      <c r="K133" s="5">
        <v>3440000</v>
      </c>
      <c r="L133" s="5">
        <v>3740000</v>
      </c>
      <c r="M133" s="7">
        <v>1334.1</v>
      </c>
      <c r="N133" s="5">
        <v>34900000</v>
      </c>
      <c r="O133" s="5">
        <v>37900000</v>
      </c>
      <c r="P133" s="3">
        <v>0.97916666666666663</v>
      </c>
    </row>
    <row r="134" spans="1:16" x14ac:dyDescent="0.25">
      <c r="A134" t="s">
        <v>96</v>
      </c>
      <c r="B134" s="2">
        <v>42564</v>
      </c>
      <c r="C134" t="str">
        <f>TEXT(B134,"mm")</f>
        <v>07</v>
      </c>
      <c r="D134" t="s">
        <v>19</v>
      </c>
      <c r="E134" t="s">
        <v>1636</v>
      </c>
      <c r="F134" s="5">
        <v>34600000</v>
      </c>
      <c r="G134" s="5">
        <v>37600000</v>
      </c>
      <c r="H134" s="5">
        <f>M134*26000*1.20565</f>
        <v>42080078.560000002</v>
      </c>
      <c r="I134" s="5">
        <f>G134-H134</f>
        <v>-4480078.5600000024</v>
      </c>
      <c r="J134" s="5">
        <v>3000000</v>
      </c>
      <c r="K134" s="5">
        <v>3460000</v>
      </c>
      <c r="L134" s="5">
        <v>3760000</v>
      </c>
      <c r="M134" s="7">
        <v>1342.4</v>
      </c>
      <c r="N134" s="5">
        <v>35100000</v>
      </c>
      <c r="O134" s="5">
        <v>38100000</v>
      </c>
      <c r="P134" s="3">
        <v>0.97916666666666663</v>
      </c>
    </row>
    <row r="135" spans="1:16" x14ac:dyDescent="0.25">
      <c r="A135" t="s">
        <v>97</v>
      </c>
      <c r="B135" s="2">
        <v>42565</v>
      </c>
      <c r="C135" t="str">
        <f>TEXT(B135,"mm")</f>
        <v>07</v>
      </c>
      <c r="D135" t="s">
        <v>20</v>
      </c>
      <c r="E135" t="s">
        <v>1636</v>
      </c>
      <c r="F135" s="5">
        <v>34300000</v>
      </c>
      <c r="G135" s="5">
        <v>37300000</v>
      </c>
      <c r="H135" s="5">
        <f>M135*26000*1.20565</f>
        <v>41732127.970000006</v>
      </c>
      <c r="I135" s="5">
        <f>G135-H135</f>
        <v>-4432127.9700000063</v>
      </c>
      <c r="J135" s="5">
        <v>3000000</v>
      </c>
      <c r="K135" s="5">
        <v>3430000</v>
      </c>
      <c r="L135" s="5">
        <v>3730000</v>
      </c>
      <c r="M135" s="7">
        <v>1331.3</v>
      </c>
      <c r="N135" s="5">
        <v>34800000</v>
      </c>
      <c r="O135" s="5">
        <v>37800000</v>
      </c>
      <c r="P135" s="3">
        <v>0.97916666666666663</v>
      </c>
    </row>
    <row r="136" spans="1:16" x14ac:dyDescent="0.25">
      <c r="A136" t="s">
        <v>98</v>
      </c>
      <c r="B136" s="2">
        <v>42566</v>
      </c>
      <c r="C136" t="str">
        <f>TEXT(B136,"mm")</f>
        <v>07</v>
      </c>
      <c r="D136" t="s">
        <v>21</v>
      </c>
      <c r="E136" t="s">
        <v>1636</v>
      </c>
      <c r="F136" s="5">
        <v>34200000</v>
      </c>
      <c r="G136" s="5">
        <v>37200000</v>
      </c>
      <c r="H136" s="5">
        <f>M136*26000*1.20565</f>
        <v>41581662.850000001</v>
      </c>
      <c r="I136" s="5">
        <f>G136-H136</f>
        <v>-4381662.8500000015</v>
      </c>
      <c r="J136" s="5">
        <v>3000000</v>
      </c>
      <c r="K136" s="5">
        <v>3420000</v>
      </c>
      <c r="L136" s="5">
        <v>3720000</v>
      </c>
      <c r="M136" s="7">
        <v>1326.5</v>
      </c>
      <c r="N136" s="5">
        <v>34700000</v>
      </c>
      <c r="O136" s="5">
        <v>37700000</v>
      </c>
      <c r="P136" s="3">
        <v>0.97916666666666663</v>
      </c>
    </row>
    <row r="137" spans="1:16" x14ac:dyDescent="0.25">
      <c r="A137" t="s">
        <v>99</v>
      </c>
      <c r="B137" s="2">
        <v>42569</v>
      </c>
      <c r="C137" t="str">
        <f>TEXT(B137,"mm")</f>
        <v>07</v>
      </c>
      <c r="D137" t="s">
        <v>16</v>
      </c>
      <c r="E137" t="s">
        <v>1636</v>
      </c>
      <c r="F137" s="5">
        <v>34200000</v>
      </c>
      <c r="G137" s="5">
        <v>37200000</v>
      </c>
      <c r="H137" s="5">
        <f>M137*26000*1.20565</f>
        <v>41641221.960000001</v>
      </c>
      <c r="I137" s="5">
        <f>G137-H137</f>
        <v>-4441221.9600000009</v>
      </c>
      <c r="J137" s="5">
        <v>3000000</v>
      </c>
      <c r="K137" s="5">
        <v>3420000</v>
      </c>
      <c r="L137" s="5">
        <v>3720000</v>
      </c>
      <c r="M137" s="7">
        <v>1328.4</v>
      </c>
      <c r="N137" s="5">
        <v>34700000</v>
      </c>
      <c r="O137" s="5">
        <v>37700000</v>
      </c>
      <c r="P137" s="3">
        <v>0.97916666666666663</v>
      </c>
    </row>
    <row r="138" spans="1:16" x14ac:dyDescent="0.25">
      <c r="A138" t="s">
        <v>100</v>
      </c>
      <c r="B138" s="2">
        <v>42570</v>
      </c>
      <c r="C138" t="str">
        <f>TEXT(B138,"mm")</f>
        <v>07</v>
      </c>
      <c r="D138" t="s">
        <v>18</v>
      </c>
      <c r="E138" t="s">
        <v>1636</v>
      </c>
      <c r="F138" s="5">
        <v>34300000</v>
      </c>
      <c r="G138" s="5">
        <v>37300000</v>
      </c>
      <c r="H138" s="5">
        <f>M138*26000*1.20565</f>
        <v>41738397.350000001</v>
      </c>
      <c r="I138" s="5">
        <f>G138-H138</f>
        <v>-4438397.3500000015</v>
      </c>
      <c r="J138" s="5">
        <v>3000000</v>
      </c>
      <c r="K138" s="5">
        <v>3430000</v>
      </c>
      <c r="L138" s="5">
        <v>3730000</v>
      </c>
      <c r="M138" s="7">
        <v>1331.5</v>
      </c>
      <c r="N138" s="5">
        <v>34800000</v>
      </c>
      <c r="O138" s="5">
        <v>37800000</v>
      </c>
      <c r="P138" s="3">
        <v>0.97916666666666663</v>
      </c>
    </row>
    <row r="139" spans="1:16" x14ac:dyDescent="0.25">
      <c r="A139" t="s">
        <v>101</v>
      </c>
      <c r="B139" s="2">
        <v>42571</v>
      </c>
      <c r="C139" t="str">
        <f>TEXT(B139,"mm")</f>
        <v>07</v>
      </c>
      <c r="D139" t="s">
        <v>19</v>
      </c>
      <c r="E139" t="s">
        <v>1636</v>
      </c>
      <c r="F139" s="5">
        <v>34000000</v>
      </c>
      <c r="G139" s="5">
        <v>37000000</v>
      </c>
      <c r="H139" s="5">
        <f>M139*26000*1.20565</f>
        <v>41340291.720000006</v>
      </c>
      <c r="I139" s="5">
        <f>G139-H139</f>
        <v>-4340291.7200000063</v>
      </c>
      <c r="J139" s="5">
        <v>3000000</v>
      </c>
      <c r="K139" s="5">
        <v>3400000</v>
      </c>
      <c r="L139" s="5">
        <v>3700000</v>
      </c>
      <c r="M139" s="7">
        <v>1318.8</v>
      </c>
      <c r="N139" s="5">
        <v>34500000</v>
      </c>
      <c r="O139" s="5">
        <v>37500000</v>
      </c>
      <c r="P139" s="3">
        <v>0.97916666666666663</v>
      </c>
    </row>
    <row r="140" spans="1:16" x14ac:dyDescent="0.25">
      <c r="A140" t="s">
        <v>102</v>
      </c>
      <c r="B140" s="2">
        <v>42572</v>
      </c>
      <c r="C140" t="str">
        <f>TEXT(B140,"mm")</f>
        <v>07</v>
      </c>
      <c r="D140" t="s">
        <v>20</v>
      </c>
      <c r="E140" t="s">
        <v>1636</v>
      </c>
      <c r="F140" s="5">
        <v>34300000</v>
      </c>
      <c r="G140" s="5">
        <v>37300000</v>
      </c>
      <c r="H140" s="5">
        <f>M140*26000*1.20565</f>
        <v>41707050.450000003</v>
      </c>
      <c r="I140" s="5">
        <f>G140-H140</f>
        <v>-4407050.450000003</v>
      </c>
      <c r="J140" s="5">
        <v>3000000</v>
      </c>
      <c r="K140" s="5">
        <v>3430000</v>
      </c>
      <c r="L140" s="5">
        <v>3730000</v>
      </c>
      <c r="M140" s="7">
        <v>1330.5</v>
      </c>
      <c r="N140" s="5">
        <v>34800000</v>
      </c>
      <c r="O140" s="5">
        <v>37800000</v>
      </c>
      <c r="P140" s="3">
        <v>0.97916666666666663</v>
      </c>
    </row>
    <row r="141" spans="1:16" x14ac:dyDescent="0.25">
      <c r="A141" t="s">
        <v>103</v>
      </c>
      <c r="B141" s="2">
        <v>42573</v>
      </c>
      <c r="C141" t="str">
        <f>TEXT(B141,"mm")</f>
        <v>07</v>
      </c>
      <c r="D141" t="s">
        <v>21</v>
      </c>
      <c r="E141" t="s">
        <v>1636</v>
      </c>
      <c r="F141" s="5">
        <v>34100000</v>
      </c>
      <c r="G141" s="5">
        <v>37100000</v>
      </c>
      <c r="H141" s="5">
        <f>M141*26000*1.20565</f>
        <v>41475083.390000001</v>
      </c>
      <c r="I141" s="5">
        <f>G141-H141</f>
        <v>-4375083.3900000006</v>
      </c>
      <c r="J141" s="5">
        <v>3000000</v>
      </c>
      <c r="K141" s="5">
        <v>3410000</v>
      </c>
      <c r="L141" s="5">
        <v>3710000</v>
      </c>
      <c r="M141" s="7">
        <v>1323.1</v>
      </c>
      <c r="N141" s="5">
        <v>34600000</v>
      </c>
      <c r="O141" s="5">
        <v>37600000</v>
      </c>
      <c r="P141" s="3">
        <v>0.97916666666666663</v>
      </c>
    </row>
    <row r="142" spans="1:16" x14ac:dyDescent="0.25">
      <c r="A142" t="s">
        <v>104</v>
      </c>
      <c r="B142" s="2">
        <v>42576</v>
      </c>
      <c r="C142" t="str">
        <f>TEXT(B142,"mm")</f>
        <v>07</v>
      </c>
      <c r="D142" t="s">
        <v>16</v>
      </c>
      <c r="E142" t="s">
        <v>1636</v>
      </c>
      <c r="F142" s="5">
        <v>34000000</v>
      </c>
      <c r="G142" s="5">
        <v>37000000</v>
      </c>
      <c r="H142" s="5">
        <f>M142*26000*1.20565</f>
        <v>41355965.170000002</v>
      </c>
      <c r="I142" s="5">
        <f>G142-H142</f>
        <v>-4355965.1700000018</v>
      </c>
      <c r="J142" s="5">
        <v>3000000</v>
      </c>
      <c r="K142" s="5">
        <v>3400000</v>
      </c>
      <c r="L142" s="5">
        <v>3700000</v>
      </c>
      <c r="M142" s="7">
        <v>1319.3</v>
      </c>
      <c r="N142" s="5">
        <v>34500000</v>
      </c>
      <c r="O142" s="5">
        <v>37500000</v>
      </c>
      <c r="P142" s="3">
        <v>0.97916666666666663</v>
      </c>
    </row>
    <row r="143" spans="1:16" x14ac:dyDescent="0.25">
      <c r="A143" t="s">
        <v>105</v>
      </c>
      <c r="B143" s="2">
        <v>42577</v>
      </c>
      <c r="C143" t="str">
        <f>TEXT(B143,"mm")</f>
        <v>07</v>
      </c>
      <c r="D143" t="s">
        <v>18</v>
      </c>
      <c r="E143" t="s">
        <v>1636</v>
      </c>
      <c r="F143" s="5">
        <v>34000000</v>
      </c>
      <c r="G143" s="5">
        <v>37000000</v>
      </c>
      <c r="H143" s="5">
        <f>M143*26000*1.20565</f>
        <v>41399850.830000006</v>
      </c>
      <c r="I143" s="5">
        <f>G143-H143</f>
        <v>-4399850.8300000057</v>
      </c>
      <c r="J143" s="5">
        <v>3000000</v>
      </c>
      <c r="K143" s="5">
        <v>3400000</v>
      </c>
      <c r="L143" s="5">
        <v>3700000</v>
      </c>
      <c r="M143" s="7">
        <v>1320.7</v>
      </c>
      <c r="N143" s="5">
        <v>34500000</v>
      </c>
      <c r="O143" s="5">
        <v>37500000</v>
      </c>
      <c r="P143" s="3">
        <v>0.97916666666666663</v>
      </c>
    </row>
    <row r="144" spans="1:16" x14ac:dyDescent="0.25">
      <c r="A144" t="s">
        <v>106</v>
      </c>
      <c r="B144" s="2">
        <v>42578</v>
      </c>
      <c r="C144" t="str">
        <f>TEXT(B144,"mm")</f>
        <v>07</v>
      </c>
      <c r="D144" t="s">
        <v>19</v>
      </c>
      <c r="E144" t="s">
        <v>1636</v>
      </c>
      <c r="F144" s="5">
        <v>34200000</v>
      </c>
      <c r="G144" s="5">
        <v>37200000</v>
      </c>
      <c r="H144" s="5">
        <f>M144*26000*1.20565</f>
        <v>41584797.540000007</v>
      </c>
      <c r="I144" s="5">
        <f>G144-H144</f>
        <v>-4384797.5400000066</v>
      </c>
      <c r="J144" s="5">
        <v>3000000</v>
      </c>
      <c r="K144" s="5">
        <v>3420000</v>
      </c>
      <c r="L144" s="5">
        <v>3720000</v>
      </c>
      <c r="M144" s="7">
        <v>1326.6</v>
      </c>
      <c r="N144" s="5">
        <v>34700000</v>
      </c>
      <c r="O144" s="5">
        <v>37700000</v>
      </c>
      <c r="P144" s="3">
        <v>0.97916666666666663</v>
      </c>
    </row>
    <row r="145" spans="1:16" x14ac:dyDescent="0.25">
      <c r="A145" t="s">
        <v>107</v>
      </c>
      <c r="B145" s="2">
        <v>42579</v>
      </c>
      <c r="C145" t="str">
        <f>TEXT(B145,"mm")</f>
        <v>07</v>
      </c>
      <c r="D145" t="s">
        <v>20</v>
      </c>
      <c r="E145" t="s">
        <v>1636</v>
      </c>
      <c r="F145" s="5">
        <v>34300000</v>
      </c>
      <c r="G145" s="5">
        <v>37300000</v>
      </c>
      <c r="H145" s="5">
        <f>M145*26000*1.20565</f>
        <v>41763474.870000005</v>
      </c>
      <c r="I145" s="5">
        <f>G145-H145</f>
        <v>-4463474.8700000048</v>
      </c>
      <c r="J145" s="5">
        <v>3000000</v>
      </c>
      <c r="K145" s="5">
        <v>3430000</v>
      </c>
      <c r="L145" s="5">
        <v>3730000</v>
      </c>
      <c r="M145" s="7">
        <v>1332.3</v>
      </c>
      <c r="N145" s="5">
        <v>34800000</v>
      </c>
      <c r="O145" s="5">
        <v>37800000</v>
      </c>
      <c r="P145" s="3">
        <v>0.97916666666666663</v>
      </c>
    </row>
    <row r="146" spans="1:16" x14ac:dyDescent="0.25">
      <c r="A146" t="s">
        <v>108</v>
      </c>
      <c r="B146" s="2">
        <v>42580</v>
      </c>
      <c r="C146" t="str">
        <f>TEXT(B146,"mm")</f>
        <v>07</v>
      </c>
      <c r="D146" t="s">
        <v>21</v>
      </c>
      <c r="E146" t="s">
        <v>1636</v>
      </c>
      <c r="F146" s="5">
        <v>34800000</v>
      </c>
      <c r="G146" s="5">
        <v>37800000</v>
      </c>
      <c r="H146" s="5">
        <f>M146*26000*1.20565</f>
        <v>42286968.100000001</v>
      </c>
      <c r="I146" s="5">
        <f>G146-H146</f>
        <v>-4486968.1000000015</v>
      </c>
      <c r="J146" s="5">
        <v>3000000</v>
      </c>
      <c r="K146" s="5">
        <v>3480000</v>
      </c>
      <c r="L146" s="5">
        <v>3780000</v>
      </c>
      <c r="M146" s="7">
        <v>1349</v>
      </c>
      <c r="N146" s="5">
        <v>35300000</v>
      </c>
      <c r="O146" s="5">
        <v>38300000</v>
      </c>
      <c r="P146" s="3">
        <v>0.97916666666666663</v>
      </c>
    </row>
    <row r="147" spans="1:16" x14ac:dyDescent="0.25">
      <c r="A147" s="2">
        <v>42377</v>
      </c>
      <c r="B147" s="2">
        <v>42583</v>
      </c>
      <c r="C147" t="str">
        <f>TEXT(B147,"mm")</f>
        <v>08</v>
      </c>
      <c r="D147" t="s">
        <v>16</v>
      </c>
      <c r="E147" t="s">
        <v>1636</v>
      </c>
      <c r="F147" s="5">
        <v>34900000</v>
      </c>
      <c r="G147" s="5">
        <v>37900000</v>
      </c>
      <c r="H147" s="5">
        <f>M147*26000*1.20565</f>
        <v>42362200.660000004</v>
      </c>
      <c r="I147" s="5">
        <f>G147-H147</f>
        <v>-4462200.6600000039</v>
      </c>
      <c r="J147" s="5">
        <v>3000000</v>
      </c>
      <c r="K147" s="5">
        <v>3490000</v>
      </c>
      <c r="L147" s="5">
        <v>3790000</v>
      </c>
      <c r="M147" s="7">
        <v>1351.4</v>
      </c>
      <c r="N147" s="5">
        <v>35400000</v>
      </c>
      <c r="O147" s="5">
        <v>38400000</v>
      </c>
      <c r="P147" s="3">
        <v>0.97916666666666663</v>
      </c>
    </row>
    <row r="148" spans="1:16" x14ac:dyDescent="0.25">
      <c r="A148" s="2">
        <v>42408</v>
      </c>
      <c r="B148" s="2">
        <v>42584</v>
      </c>
      <c r="C148" t="str">
        <f>TEXT(B148,"mm")</f>
        <v>08</v>
      </c>
      <c r="D148" t="s">
        <v>18</v>
      </c>
      <c r="E148" t="s">
        <v>1636</v>
      </c>
      <c r="F148" s="5">
        <v>35200000</v>
      </c>
      <c r="G148" s="5">
        <v>38200000</v>
      </c>
      <c r="H148" s="5">
        <f>M148*26000*1.20565</f>
        <v>42769710.360000007</v>
      </c>
      <c r="I148" s="5">
        <f>G148-H148</f>
        <v>-4569710.3600000069</v>
      </c>
      <c r="J148" s="5">
        <v>3000000</v>
      </c>
      <c r="K148" s="5">
        <v>3520000</v>
      </c>
      <c r="L148" s="5">
        <v>3820000</v>
      </c>
      <c r="M148" s="7">
        <v>1364.4</v>
      </c>
      <c r="N148" s="5">
        <v>35700000</v>
      </c>
      <c r="O148" s="5">
        <v>38700000</v>
      </c>
      <c r="P148" s="3">
        <v>0.97916666666666663</v>
      </c>
    </row>
    <row r="149" spans="1:16" x14ac:dyDescent="0.25">
      <c r="A149" s="2">
        <v>42437</v>
      </c>
      <c r="B149" s="2">
        <v>42585</v>
      </c>
      <c r="C149" t="str">
        <f>TEXT(B149,"mm")</f>
        <v>08</v>
      </c>
      <c r="D149" t="s">
        <v>19</v>
      </c>
      <c r="E149" t="s">
        <v>1636</v>
      </c>
      <c r="F149" s="5">
        <v>35000000</v>
      </c>
      <c r="G149" s="5">
        <v>38000000</v>
      </c>
      <c r="H149" s="5">
        <f>M149*26000*1.20565</f>
        <v>42509531.090000004</v>
      </c>
      <c r="I149" s="5">
        <f>G149-H149</f>
        <v>-4509531.0900000036</v>
      </c>
      <c r="J149" s="5">
        <v>3000000</v>
      </c>
      <c r="K149" s="5">
        <v>3500000</v>
      </c>
      <c r="L149" s="5">
        <v>3800000</v>
      </c>
      <c r="M149" s="7">
        <v>1356.1</v>
      </c>
      <c r="N149" s="5">
        <v>35500000</v>
      </c>
      <c r="O149" s="5">
        <v>38500000</v>
      </c>
      <c r="P149" s="3">
        <v>0.97916666666666663</v>
      </c>
    </row>
    <row r="150" spans="1:16" x14ac:dyDescent="0.25">
      <c r="A150" s="2">
        <v>42468</v>
      </c>
      <c r="B150" s="2">
        <v>42586</v>
      </c>
      <c r="C150" t="str">
        <f>TEXT(B150,"mm")</f>
        <v>08</v>
      </c>
      <c r="D150" t="s">
        <v>20</v>
      </c>
      <c r="E150" t="s">
        <v>1636</v>
      </c>
      <c r="F150" s="5">
        <v>35100000</v>
      </c>
      <c r="G150" s="5">
        <v>38100000</v>
      </c>
      <c r="H150" s="5">
        <f>M150*26000*1.20565</f>
        <v>42594167.720000006</v>
      </c>
      <c r="I150" s="5">
        <f>G150-H150</f>
        <v>-4494167.7200000063</v>
      </c>
      <c r="J150" s="5">
        <v>3000000</v>
      </c>
      <c r="K150" s="5">
        <v>3510000</v>
      </c>
      <c r="L150" s="5">
        <v>3810000</v>
      </c>
      <c r="M150" s="7">
        <v>1358.8</v>
      </c>
      <c r="N150" s="5">
        <v>35600000</v>
      </c>
      <c r="O150" s="5">
        <v>38600000</v>
      </c>
      <c r="P150" s="3">
        <v>0.97916666666666663</v>
      </c>
    </row>
    <row r="151" spans="1:16" x14ac:dyDescent="0.25">
      <c r="A151" s="2">
        <v>42498</v>
      </c>
      <c r="B151" s="2">
        <v>42587</v>
      </c>
      <c r="C151" t="str">
        <f>TEXT(B151,"mm")</f>
        <v>08</v>
      </c>
      <c r="D151" t="s">
        <v>21</v>
      </c>
      <c r="E151" t="s">
        <v>1636</v>
      </c>
      <c r="F151" s="5">
        <v>34500000</v>
      </c>
      <c r="G151" s="5">
        <v>37500000</v>
      </c>
      <c r="H151" s="5">
        <f>M151*26000*1.20565</f>
        <v>41891997.160000004</v>
      </c>
      <c r="I151" s="5">
        <f>G151-H151</f>
        <v>-4391997.1600000039</v>
      </c>
      <c r="J151" s="5">
        <v>3000000</v>
      </c>
      <c r="K151" s="5">
        <v>3450000</v>
      </c>
      <c r="L151" s="5">
        <v>3750000</v>
      </c>
      <c r="M151" s="7">
        <v>1336.4</v>
      </c>
      <c r="N151" s="5">
        <v>35000000</v>
      </c>
      <c r="O151" s="5">
        <v>38000000</v>
      </c>
      <c r="P151" s="3">
        <v>0.97916666666666663</v>
      </c>
    </row>
    <row r="152" spans="1:16" x14ac:dyDescent="0.25">
      <c r="A152" s="2">
        <v>42590</v>
      </c>
      <c r="B152" s="2">
        <v>42590</v>
      </c>
      <c r="C152" t="str">
        <f>TEXT(B152,"mm")</f>
        <v>08</v>
      </c>
      <c r="D152" t="s">
        <v>16</v>
      </c>
      <c r="E152" t="s">
        <v>1636</v>
      </c>
      <c r="F152" s="5">
        <v>34400000</v>
      </c>
      <c r="G152" s="5">
        <v>37400000</v>
      </c>
      <c r="H152" s="5">
        <f>M152*26000*1.20565</f>
        <v>41797956.460000001</v>
      </c>
      <c r="I152" s="5">
        <f>G152-H152</f>
        <v>-4397956.4600000009</v>
      </c>
      <c r="J152" s="5">
        <v>3000000</v>
      </c>
      <c r="K152" s="5">
        <v>3440000</v>
      </c>
      <c r="L152" s="5">
        <v>3740000</v>
      </c>
      <c r="M152" s="7">
        <v>1333.4</v>
      </c>
      <c r="N152" s="5">
        <v>34900000</v>
      </c>
      <c r="O152" s="5">
        <v>37900000</v>
      </c>
      <c r="P152" s="3">
        <v>0.97916666666666663</v>
      </c>
    </row>
    <row r="153" spans="1:16" x14ac:dyDescent="0.25">
      <c r="A153" s="2">
        <v>42621</v>
      </c>
      <c r="B153" s="2">
        <v>42591</v>
      </c>
      <c r="C153" t="str">
        <f>TEXT(B153,"mm")</f>
        <v>08</v>
      </c>
      <c r="D153" t="s">
        <v>18</v>
      </c>
      <c r="E153" t="s">
        <v>1636</v>
      </c>
      <c r="F153" s="5">
        <v>34500000</v>
      </c>
      <c r="G153" s="5">
        <v>37500000</v>
      </c>
      <c r="H153" s="5">
        <f>M153*26000*1.20565</f>
        <v>41973499.100000001</v>
      </c>
      <c r="I153" s="5">
        <f>G153-H153</f>
        <v>-4473499.1000000015</v>
      </c>
      <c r="J153" s="5">
        <v>3000000</v>
      </c>
      <c r="K153" s="5">
        <v>3450000</v>
      </c>
      <c r="L153" s="5">
        <v>3750000</v>
      </c>
      <c r="M153" s="7">
        <v>1339</v>
      </c>
      <c r="N153" s="5">
        <v>35000000</v>
      </c>
      <c r="O153" s="5">
        <v>38000000</v>
      </c>
      <c r="P153" s="3">
        <v>0.97916666666666663</v>
      </c>
    </row>
    <row r="154" spans="1:16" x14ac:dyDescent="0.25">
      <c r="A154" s="2">
        <v>42651</v>
      </c>
      <c r="B154" s="2">
        <v>42592</v>
      </c>
      <c r="C154" t="str">
        <f>TEXT(B154,"mm")</f>
        <v>08</v>
      </c>
      <c r="D154" t="s">
        <v>19</v>
      </c>
      <c r="E154" t="s">
        <v>1636</v>
      </c>
      <c r="F154" s="5">
        <v>34700000</v>
      </c>
      <c r="G154" s="5">
        <v>37700000</v>
      </c>
      <c r="H154" s="5">
        <f>M154*26000*1.20565</f>
        <v>42139637.670000002</v>
      </c>
      <c r="I154" s="5">
        <f>G154-H154</f>
        <v>-4439637.6700000018</v>
      </c>
      <c r="J154" s="5">
        <v>3000000</v>
      </c>
      <c r="K154" s="5">
        <v>3470000</v>
      </c>
      <c r="L154" s="5">
        <v>3770000</v>
      </c>
      <c r="M154" s="7">
        <v>1344.3</v>
      </c>
      <c r="N154" s="5">
        <v>35200000</v>
      </c>
      <c r="O154" s="5">
        <v>38200000</v>
      </c>
      <c r="P154" s="3">
        <v>0.97916666666666663</v>
      </c>
    </row>
    <row r="155" spans="1:16" x14ac:dyDescent="0.25">
      <c r="A155" s="2">
        <v>42682</v>
      </c>
      <c r="B155" s="2">
        <v>42593</v>
      </c>
      <c r="C155" t="str">
        <f>TEXT(B155,"mm")</f>
        <v>08</v>
      </c>
      <c r="D155" t="s">
        <v>20</v>
      </c>
      <c r="E155" t="s">
        <v>1636</v>
      </c>
      <c r="F155" s="5">
        <v>34600000</v>
      </c>
      <c r="G155" s="5">
        <v>37600000</v>
      </c>
      <c r="H155" s="5">
        <f>M155*26000*1.20565</f>
        <v>42083213.250000007</v>
      </c>
      <c r="I155" s="5">
        <f>G155-H155</f>
        <v>-4483213.2500000075</v>
      </c>
      <c r="J155" s="5">
        <v>3000000</v>
      </c>
      <c r="K155" s="5">
        <v>3460000</v>
      </c>
      <c r="L155" s="5">
        <v>3760000</v>
      </c>
      <c r="M155" s="7">
        <v>1342.5</v>
      </c>
      <c r="N155" s="5">
        <v>35100000</v>
      </c>
      <c r="O155" s="5">
        <v>38100000</v>
      </c>
      <c r="P155" s="3">
        <v>0.97916666666666663</v>
      </c>
    </row>
    <row r="156" spans="1:16" x14ac:dyDescent="0.25">
      <c r="A156" s="2">
        <v>42712</v>
      </c>
      <c r="B156" s="2">
        <v>42594</v>
      </c>
      <c r="C156" t="str">
        <f>TEXT(B156,"mm")</f>
        <v>08</v>
      </c>
      <c r="D156" t="s">
        <v>21</v>
      </c>
      <c r="E156" t="s">
        <v>1636</v>
      </c>
      <c r="F156" s="5">
        <v>34400000</v>
      </c>
      <c r="G156" s="5">
        <v>37400000</v>
      </c>
      <c r="H156" s="5">
        <f>M156*26000*1.20565</f>
        <v>41873189.020000003</v>
      </c>
      <c r="I156" s="5">
        <f>G156-H156</f>
        <v>-4473189.0200000033</v>
      </c>
      <c r="J156" s="5">
        <v>3000000</v>
      </c>
      <c r="K156" s="5">
        <v>3440000</v>
      </c>
      <c r="L156" s="5">
        <v>3740000</v>
      </c>
      <c r="M156" s="7">
        <v>1335.8</v>
      </c>
      <c r="N156" s="5">
        <v>34900000</v>
      </c>
      <c r="O156" s="5">
        <v>37900000</v>
      </c>
      <c r="P156" s="3">
        <v>0.97916666666666663</v>
      </c>
    </row>
    <row r="157" spans="1:16" x14ac:dyDescent="0.25">
      <c r="A157" t="s">
        <v>109</v>
      </c>
      <c r="B157" s="2">
        <v>42597</v>
      </c>
      <c r="C157" t="str">
        <f>TEXT(B157,"mm")</f>
        <v>08</v>
      </c>
      <c r="D157" t="s">
        <v>16</v>
      </c>
      <c r="E157" t="s">
        <v>1636</v>
      </c>
      <c r="F157" s="5">
        <v>34600000</v>
      </c>
      <c r="G157" s="5">
        <v>37600000</v>
      </c>
      <c r="H157" s="5">
        <f>M157*26000*1.20565</f>
        <v>42014250.07</v>
      </c>
      <c r="I157" s="5">
        <f>G157-H157</f>
        <v>-4414250.07</v>
      </c>
      <c r="J157" s="5">
        <v>3000000</v>
      </c>
      <c r="K157" s="5">
        <v>3460000</v>
      </c>
      <c r="L157" s="5">
        <v>3760000</v>
      </c>
      <c r="M157" s="7">
        <v>1340.3</v>
      </c>
      <c r="N157" s="5">
        <v>35100000</v>
      </c>
      <c r="O157" s="5">
        <v>38100000</v>
      </c>
      <c r="P157" s="3">
        <v>0.97916666666666663</v>
      </c>
    </row>
    <row r="158" spans="1:16" x14ac:dyDescent="0.25">
      <c r="A158" t="s">
        <v>110</v>
      </c>
      <c r="B158" s="2">
        <v>42598</v>
      </c>
      <c r="C158" t="str">
        <f>TEXT(B158,"mm")</f>
        <v>08</v>
      </c>
      <c r="D158" t="s">
        <v>18</v>
      </c>
      <c r="E158" t="s">
        <v>1636</v>
      </c>
      <c r="F158" s="5">
        <v>34800000</v>
      </c>
      <c r="G158" s="5">
        <v>37800000</v>
      </c>
      <c r="H158" s="5">
        <f>M158*26000*1.20565</f>
        <v>42333988.450000003</v>
      </c>
      <c r="I158" s="5">
        <f>G158-H158</f>
        <v>-4533988.450000003</v>
      </c>
      <c r="J158" s="5">
        <v>3000000</v>
      </c>
      <c r="K158" s="5">
        <v>3480000</v>
      </c>
      <c r="L158" s="5">
        <v>3780000</v>
      </c>
      <c r="M158" s="7">
        <v>1350.5</v>
      </c>
      <c r="N158" s="5">
        <v>35300000</v>
      </c>
      <c r="O158" s="5">
        <v>38300000</v>
      </c>
      <c r="P158" s="3">
        <v>0.97916666666666663</v>
      </c>
    </row>
    <row r="159" spans="1:16" x14ac:dyDescent="0.25">
      <c r="A159" t="s">
        <v>111</v>
      </c>
      <c r="B159" s="2">
        <v>42599</v>
      </c>
      <c r="C159" t="str">
        <f>TEXT(B159,"mm")</f>
        <v>08</v>
      </c>
      <c r="D159" t="s">
        <v>19</v>
      </c>
      <c r="E159" t="s">
        <v>1636</v>
      </c>
      <c r="F159" s="5">
        <v>34600000</v>
      </c>
      <c r="G159" s="5">
        <v>37600000</v>
      </c>
      <c r="H159" s="5">
        <f>M159*26000*1.20565</f>
        <v>42089482.630000003</v>
      </c>
      <c r="I159" s="5">
        <f>G159-H159</f>
        <v>-4489482.6300000027</v>
      </c>
      <c r="J159" s="5">
        <v>3000000</v>
      </c>
      <c r="K159" s="5">
        <v>3460000</v>
      </c>
      <c r="L159" s="5">
        <v>3760000</v>
      </c>
      <c r="M159" s="7">
        <v>1342.7</v>
      </c>
      <c r="N159" s="5">
        <v>35100000</v>
      </c>
      <c r="O159" s="5">
        <v>38100000</v>
      </c>
      <c r="P159" s="3">
        <v>0.97916666666666663</v>
      </c>
    </row>
    <row r="160" spans="1:16" x14ac:dyDescent="0.25">
      <c r="A160" t="s">
        <v>112</v>
      </c>
      <c r="B160" s="2">
        <v>42600</v>
      </c>
      <c r="C160" t="str">
        <f>TEXT(B160,"mm")</f>
        <v>08</v>
      </c>
      <c r="D160" t="s">
        <v>20</v>
      </c>
      <c r="E160" t="s">
        <v>1636</v>
      </c>
      <c r="F160" s="5">
        <v>34900000</v>
      </c>
      <c r="G160" s="5">
        <v>37900000</v>
      </c>
      <c r="H160" s="5">
        <f>M160*26000*1.20565</f>
        <v>42355931.280000001</v>
      </c>
      <c r="I160" s="5">
        <f>G160-H160</f>
        <v>-4455931.2800000012</v>
      </c>
      <c r="J160" s="5">
        <v>3000000</v>
      </c>
      <c r="K160" s="5">
        <v>3490000</v>
      </c>
      <c r="L160" s="5">
        <v>3790000</v>
      </c>
      <c r="M160" s="7">
        <v>1351.2</v>
      </c>
      <c r="N160" s="5">
        <v>35400000</v>
      </c>
      <c r="O160" s="5">
        <v>38400000</v>
      </c>
      <c r="P160" s="3">
        <v>0.97916666666666663</v>
      </c>
    </row>
    <row r="161" spans="1:16" x14ac:dyDescent="0.25">
      <c r="A161" t="s">
        <v>113</v>
      </c>
      <c r="B161" s="2">
        <v>42601</v>
      </c>
      <c r="C161" t="str">
        <f>TEXT(B161,"mm")</f>
        <v>08</v>
      </c>
      <c r="D161" t="s">
        <v>21</v>
      </c>
      <c r="E161" t="s">
        <v>1636</v>
      </c>
      <c r="F161" s="5">
        <v>34600000</v>
      </c>
      <c r="G161" s="5">
        <v>37600000</v>
      </c>
      <c r="H161" s="5">
        <f>M161*26000*1.20565</f>
        <v>42017384.760000005</v>
      </c>
      <c r="I161" s="5">
        <f>G161-H161</f>
        <v>-4417384.7600000054</v>
      </c>
      <c r="J161" s="5">
        <v>3000000</v>
      </c>
      <c r="K161" s="5">
        <v>3460000</v>
      </c>
      <c r="L161" s="5">
        <v>3760000</v>
      </c>
      <c r="M161" s="7">
        <v>1340.4</v>
      </c>
      <c r="N161" s="5">
        <v>35100000</v>
      </c>
      <c r="O161" s="5">
        <v>38100000</v>
      </c>
      <c r="P161" s="3">
        <v>0.97916666666666663</v>
      </c>
    </row>
    <row r="162" spans="1:16" x14ac:dyDescent="0.25">
      <c r="A162" t="s">
        <v>114</v>
      </c>
      <c r="B162" s="2">
        <v>42604</v>
      </c>
      <c r="C162" t="str">
        <f>TEXT(B162,"mm")</f>
        <v>08</v>
      </c>
      <c r="D162" t="s">
        <v>16</v>
      </c>
      <c r="E162" t="s">
        <v>1636</v>
      </c>
      <c r="F162" s="5">
        <v>34500000</v>
      </c>
      <c r="G162" s="5">
        <v>37500000</v>
      </c>
      <c r="H162" s="5">
        <f>M162*26000*1.20565</f>
        <v>41932748.130000003</v>
      </c>
      <c r="I162" s="5">
        <f>G162-H162</f>
        <v>-4432748.1300000027</v>
      </c>
      <c r="J162" s="5">
        <v>3000000</v>
      </c>
      <c r="K162" s="5">
        <v>3450000</v>
      </c>
      <c r="L162" s="5">
        <v>3750000</v>
      </c>
      <c r="M162" s="7">
        <v>1337.7</v>
      </c>
      <c r="N162" s="5">
        <v>35000000</v>
      </c>
      <c r="O162" s="5">
        <v>38000000</v>
      </c>
      <c r="P162" s="3">
        <v>0.97916666666666663</v>
      </c>
    </row>
    <row r="163" spans="1:16" x14ac:dyDescent="0.25">
      <c r="A163" t="s">
        <v>115</v>
      </c>
      <c r="B163" s="2">
        <v>42605</v>
      </c>
      <c r="C163" t="str">
        <f>TEXT(B163,"mm")</f>
        <v>08</v>
      </c>
      <c r="D163" t="s">
        <v>18</v>
      </c>
      <c r="E163" t="s">
        <v>1636</v>
      </c>
      <c r="F163" s="5">
        <v>34600000</v>
      </c>
      <c r="G163" s="5">
        <v>37600000</v>
      </c>
      <c r="H163" s="5">
        <f>M163*26000*1.20565</f>
        <v>42023654.140000001</v>
      </c>
      <c r="I163" s="5">
        <f>G163-H163</f>
        <v>-4423654.1400000006</v>
      </c>
      <c r="J163" s="5">
        <v>3000000</v>
      </c>
      <c r="K163" s="5">
        <v>3460000</v>
      </c>
      <c r="L163" s="5">
        <v>3760000</v>
      </c>
      <c r="M163" s="7">
        <v>1340.6</v>
      </c>
      <c r="N163" s="5">
        <v>35100000</v>
      </c>
      <c r="O163" s="5">
        <v>38100000</v>
      </c>
      <c r="P163" s="3">
        <v>0.97916666666666663</v>
      </c>
    </row>
    <row r="164" spans="1:16" x14ac:dyDescent="0.25">
      <c r="A164" t="s">
        <v>116</v>
      </c>
      <c r="B164" s="2">
        <v>42606</v>
      </c>
      <c r="C164" t="str">
        <f>TEXT(B164,"mm")</f>
        <v>08</v>
      </c>
      <c r="D164" t="s">
        <v>19</v>
      </c>
      <c r="E164" t="s">
        <v>1636</v>
      </c>
      <c r="F164" s="5">
        <v>34100000</v>
      </c>
      <c r="G164" s="5">
        <v>37100000</v>
      </c>
      <c r="H164" s="5">
        <f>M164*26000*1.20565</f>
        <v>41515834.360000007</v>
      </c>
      <c r="I164" s="5">
        <f>G164-H164</f>
        <v>-4415834.3600000069</v>
      </c>
      <c r="J164" s="5">
        <v>3000000</v>
      </c>
      <c r="K164" s="5">
        <v>3410000</v>
      </c>
      <c r="L164" s="5">
        <v>3710000</v>
      </c>
      <c r="M164" s="7">
        <v>1324.4</v>
      </c>
      <c r="N164" s="5">
        <v>34600000</v>
      </c>
      <c r="O164" s="5">
        <v>37600000</v>
      </c>
      <c r="P164" s="3">
        <v>0.97916666666666663</v>
      </c>
    </row>
    <row r="165" spans="1:16" x14ac:dyDescent="0.25">
      <c r="A165" t="s">
        <v>117</v>
      </c>
      <c r="B165" s="2">
        <v>42607</v>
      </c>
      <c r="C165" t="str">
        <f>TEXT(B165,"mm")</f>
        <v>08</v>
      </c>
      <c r="D165" t="s">
        <v>20</v>
      </c>
      <c r="E165" t="s">
        <v>1636</v>
      </c>
      <c r="F165" s="5">
        <v>34000000</v>
      </c>
      <c r="G165" s="5">
        <v>37000000</v>
      </c>
      <c r="H165" s="5">
        <f>M165*26000*1.20565</f>
        <v>41381042.690000005</v>
      </c>
      <c r="I165" s="5">
        <f>G165-H165</f>
        <v>-4381042.6900000051</v>
      </c>
      <c r="J165" s="5">
        <v>3000000</v>
      </c>
      <c r="K165" s="5">
        <v>3400000</v>
      </c>
      <c r="L165" s="5">
        <v>3700000</v>
      </c>
      <c r="M165" s="7">
        <v>1320.1</v>
      </c>
      <c r="N165" s="5">
        <v>34500000</v>
      </c>
      <c r="O165" s="5">
        <v>37500000</v>
      </c>
      <c r="P165" s="3">
        <v>0.97916666666666663</v>
      </c>
    </row>
    <row r="166" spans="1:16" x14ac:dyDescent="0.25">
      <c r="A166" t="s">
        <v>118</v>
      </c>
      <c r="B166" s="2">
        <v>42608</v>
      </c>
      <c r="C166" t="str">
        <f>TEXT(B166,"mm")</f>
        <v>08</v>
      </c>
      <c r="D166" t="s">
        <v>21</v>
      </c>
      <c r="E166" t="s">
        <v>1636</v>
      </c>
      <c r="F166" s="5">
        <v>34000000</v>
      </c>
      <c r="G166" s="5">
        <v>37000000</v>
      </c>
      <c r="H166" s="5">
        <f>M166*26000*1.20565</f>
        <v>41424928.350000001</v>
      </c>
      <c r="I166" s="5">
        <f>G166-H166</f>
        <v>-4424928.3500000015</v>
      </c>
      <c r="J166" s="5">
        <v>3000000</v>
      </c>
      <c r="K166" s="5">
        <v>3400000</v>
      </c>
      <c r="L166" s="5">
        <v>3700000</v>
      </c>
      <c r="M166" s="7">
        <v>1321.5</v>
      </c>
      <c r="N166" s="5">
        <v>34500000</v>
      </c>
      <c r="O166" s="5">
        <v>37500000</v>
      </c>
      <c r="P166" s="3">
        <v>0.97916666666666663</v>
      </c>
    </row>
    <row r="167" spans="1:16" x14ac:dyDescent="0.25">
      <c r="A167" t="s">
        <v>119</v>
      </c>
      <c r="B167" s="2">
        <v>42611</v>
      </c>
      <c r="C167" t="str">
        <f>TEXT(B167,"mm")</f>
        <v>08</v>
      </c>
      <c r="D167" t="s">
        <v>16</v>
      </c>
      <c r="E167" t="s">
        <v>1636</v>
      </c>
      <c r="F167" s="5">
        <v>34100000</v>
      </c>
      <c r="G167" s="5">
        <v>37100000</v>
      </c>
      <c r="H167" s="5">
        <f>M167*26000*1.20565</f>
        <v>41468814.010000005</v>
      </c>
      <c r="I167" s="5">
        <f>G167-H167</f>
        <v>-4368814.0100000054</v>
      </c>
      <c r="J167" s="5">
        <v>3000000</v>
      </c>
      <c r="K167" s="5">
        <v>3410000</v>
      </c>
      <c r="L167" s="5">
        <v>3710000</v>
      </c>
      <c r="M167" s="7">
        <v>1322.9</v>
      </c>
      <c r="N167" s="5">
        <v>34600000</v>
      </c>
      <c r="O167" s="5">
        <v>37600000</v>
      </c>
      <c r="P167" s="3">
        <v>0.97916666666666663</v>
      </c>
    </row>
    <row r="168" spans="1:16" x14ac:dyDescent="0.25">
      <c r="A168" t="s">
        <v>120</v>
      </c>
      <c r="B168" s="2">
        <v>42612</v>
      </c>
      <c r="C168" t="str">
        <f>TEXT(B168,"mm")</f>
        <v>08</v>
      </c>
      <c r="D168" t="s">
        <v>18</v>
      </c>
      <c r="E168" t="s">
        <v>1636</v>
      </c>
      <c r="F168" s="5">
        <v>33800000</v>
      </c>
      <c r="G168" s="5">
        <v>36800000</v>
      </c>
      <c r="H168" s="5">
        <f>M168*26000*1.20565</f>
        <v>41117728.730000004</v>
      </c>
      <c r="I168" s="5">
        <f>G168-H168</f>
        <v>-4317728.7300000042</v>
      </c>
      <c r="J168" s="5">
        <v>3000000</v>
      </c>
      <c r="K168" s="5">
        <v>3380000</v>
      </c>
      <c r="L168" s="5">
        <v>3680000</v>
      </c>
      <c r="M168" s="7">
        <v>1311.7</v>
      </c>
      <c r="N168" s="5">
        <v>34300000</v>
      </c>
      <c r="O168" s="5">
        <v>37300000</v>
      </c>
      <c r="P168" s="3">
        <v>0.97916666666666663</v>
      </c>
    </row>
    <row r="169" spans="1:16" x14ac:dyDescent="0.25">
      <c r="A169" t="s">
        <v>121</v>
      </c>
      <c r="B169" s="2">
        <v>42613</v>
      </c>
      <c r="C169" t="str">
        <f>TEXT(B169,"mm")</f>
        <v>08</v>
      </c>
      <c r="D169" t="s">
        <v>19</v>
      </c>
      <c r="E169" t="s">
        <v>1636</v>
      </c>
      <c r="F169" s="5">
        <v>33600000</v>
      </c>
      <c r="G169" s="5">
        <v>36600000</v>
      </c>
      <c r="H169" s="5">
        <f>M169*26000*1.20565</f>
        <v>40967263.610000007</v>
      </c>
      <c r="I169" s="5">
        <f>G169-H169</f>
        <v>-4367263.6100000069</v>
      </c>
      <c r="J169" s="5">
        <v>3000000</v>
      </c>
      <c r="K169" s="5">
        <v>3360000</v>
      </c>
      <c r="L169" s="5">
        <v>3660000</v>
      </c>
      <c r="M169" s="7">
        <v>1306.9000000000001</v>
      </c>
      <c r="N169" s="5">
        <v>34100000</v>
      </c>
      <c r="O169" s="5">
        <v>37100000</v>
      </c>
      <c r="P169" s="3">
        <v>0.97916666666666663</v>
      </c>
    </row>
    <row r="170" spans="1:16" x14ac:dyDescent="0.25">
      <c r="A170" s="2">
        <v>42378</v>
      </c>
      <c r="B170" s="2">
        <v>42614</v>
      </c>
      <c r="C170" t="str">
        <f>TEXT(B170,"mm")</f>
        <v>09</v>
      </c>
      <c r="D170" t="s">
        <v>20</v>
      </c>
      <c r="E170" t="s">
        <v>1636</v>
      </c>
      <c r="F170" s="5">
        <v>33800000</v>
      </c>
      <c r="G170" s="5">
        <v>36800000</v>
      </c>
      <c r="H170" s="5">
        <f>M170*26000*1.20565</f>
        <v>41133402.180000007</v>
      </c>
      <c r="I170" s="5">
        <f>G170-H170</f>
        <v>-4333402.1800000072</v>
      </c>
      <c r="J170" s="5">
        <v>3000000</v>
      </c>
      <c r="K170" s="5">
        <v>3380000</v>
      </c>
      <c r="L170" s="5">
        <v>3680000</v>
      </c>
      <c r="M170" s="7">
        <v>1312.2</v>
      </c>
      <c r="N170" s="5">
        <v>34300000</v>
      </c>
      <c r="O170" s="5">
        <v>37300000</v>
      </c>
      <c r="P170" s="3">
        <v>0.97916666666666663</v>
      </c>
    </row>
    <row r="171" spans="1:16" x14ac:dyDescent="0.25">
      <c r="A171" s="2">
        <v>42409</v>
      </c>
      <c r="B171" s="2">
        <v>42615</v>
      </c>
      <c r="C171" t="str">
        <f>TEXT(B171,"mm")</f>
        <v>09</v>
      </c>
      <c r="D171" t="s">
        <v>21</v>
      </c>
      <c r="E171" t="s">
        <v>1636</v>
      </c>
      <c r="F171" s="5">
        <v>34100000</v>
      </c>
      <c r="G171" s="5">
        <v>37100000</v>
      </c>
      <c r="H171" s="5">
        <f>M171*26000*1.20565</f>
        <v>41443736.490000002</v>
      </c>
      <c r="I171" s="5">
        <f>G171-H171</f>
        <v>-4343736.4900000021</v>
      </c>
      <c r="J171" s="5">
        <v>3000000</v>
      </c>
      <c r="K171" s="5">
        <v>3410000</v>
      </c>
      <c r="L171" s="5">
        <v>3710000</v>
      </c>
      <c r="M171" s="7">
        <v>1322.1</v>
      </c>
      <c r="N171" s="5">
        <v>34600000</v>
      </c>
      <c r="O171" s="5">
        <v>37600000</v>
      </c>
      <c r="P171" s="3">
        <v>0.97916666666666663</v>
      </c>
    </row>
    <row r="172" spans="1:16" x14ac:dyDescent="0.25">
      <c r="A172" s="2">
        <v>42530</v>
      </c>
      <c r="B172" s="2">
        <v>42619</v>
      </c>
      <c r="C172" t="str">
        <f>TEXT(B172,"mm")</f>
        <v>09</v>
      </c>
      <c r="D172" t="s">
        <v>18</v>
      </c>
      <c r="E172" t="s">
        <v>1636</v>
      </c>
      <c r="F172" s="5">
        <v>34800000</v>
      </c>
      <c r="G172" s="5">
        <v>37800000</v>
      </c>
      <c r="H172" s="5">
        <f>M172*26000*1.20565</f>
        <v>42299506.860000007</v>
      </c>
      <c r="I172" s="5">
        <f>G172-H172</f>
        <v>-4499506.8600000069</v>
      </c>
      <c r="J172" s="5">
        <v>3000000</v>
      </c>
      <c r="K172" s="5">
        <v>3480000</v>
      </c>
      <c r="L172" s="5">
        <v>3780000</v>
      </c>
      <c r="M172" s="7">
        <v>1349.4</v>
      </c>
      <c r="N172" s="5">
        <v>35300000</v>
      </c>
      <c r="O172" s="5">
        <v>38300000</v>
      </c>
      <c r="P172" s="3">
        <v>0.97916666666666663</v>
      </c>
    </row>
    <row r="173" spans="1:16" x14ac:dyDescent="0.25">
      <c r="A173" s="2">
        <v>42560</v>
      </c>
      <c r="B173" s="2">
        <v>42620</v>
      </c>
      <c r="C173" t="str">
        <f>TEXT(B173,"mm")</f>
        <v>09</v>
      </c>
      <c r="D173" t="s">
        <v>19</v>
      </c>
      <c r="E173" t="s">
        <v>1636</v>
      </c>
      <c r="F173" s="5">
        <v>34700000</v>
      </c>
      <c r="G173" s="5">
        <v>37700000</v>
      </c>
      <c r="H173" s="5">
        <f>M173*26000*1.20565</f>
        <v>42139637.670000002</v>
      </c>
      <c r="I173" s="5">
        <f>G173-H173</f>
        <v>-4439637.6700000018</v>
      </c>
      <c r="J173" s="5">
        <v>3000000</v>
      </c>
      <c r="K173" s="5">
        <v>3470000</v>
      </c>
      <c r="L173" s="5">
        <v>3770000</v>
      </c>
      <c r="M173" s="7">
        <v>1344.3</v>
      </c>
      <c r="N173" s="5">
        <v>35200000</v>
      </c>
      <c r="O173" s="5">
        <v>38200000</v>
      </c>
      <c r="P173" s="3">
        <v>0.97916666666666663</v>
      </c>
    </row>
    <row r="174" spans="1:16" x14ac:dyDescent="0.25">
      <c r="A174" s="2">
        <v>42591</v>
      </c>
      <c r="B174" s="2">
        <v>42621</v>
      </c>
      <c r="C174" t="str">
        <f>TEXT(B174,"mm")</f>
        <v>09</v>
      </c>
      <c r="D174" t="s">
        <v>20</v>
      </c>
      <c r="E174" t="s">
        <v>1636</v>
      </c>
      <c r="F174" s="5">
        <v>34500000</v>
      </c>
      <c r="G174" s="5">
        <v>37500000</v>
      </c>
      <c r="H174" s="5">
        <f>M174*26000*1.20565</f>
        <v>41904535.920000002</v>
      </c>
      <c r="I174" s="5">
        <f>G174-H174</f>
        <v>-4404535.9200000018</v>
      </c>
      <c r="J174" s="5">
        <v>3000000</v>
      </c>
      <c r="K174" s="5">
        <v>3450000</v>
      </c>
      <c r="L174" s="5">
        <v>3750000</v>
      </c>
      <c r="M174" s="7">
        <v>1336.8</v>
      </c>
      <c r="N174" s="5">
        <v>35000000</v>
      </c>
      <c r="O174" s="5">
        <v>38000000</v>
      </c>
      <c r="P174" s="3">
        <v>0.97916666666666663</v>
      </c>
    </row>
    <row r="175" spans="1:16" x14ac:dyDescent="0.25">
      <c r="A175" s="2">
        <v>42622</v>
      </c>
      <c r="B175" s="2">
        <v>42622</v>
      </c>
      <c r="C175" t="str">
        <f>TEXT(B175,"mm")</f>
        <v>09</v>
      </c>
      <c r="D175" t="s">
        <v>21</v>
      </c>
      <c r="E175" t="s">
        <v>1636</v>
      </c>
      <c r="F175" s="5">
        <v>34300000</v>
      </c>
      <c r="G175" s="5">
        <v>37300000</v>
      </c>
      <c r="H175" s="5">
        <f>M175*26000*1.20565</f>
        <v>41694511.690000005</v>
      </c>
      <c r="I175" s="5">
        <f>G175-H175</f>
        <v>-4394511.6900000051</v>
      </c>
      <c r="J175" s="5">
        <v>3000000</v>
      </c>
      <c r="K175" s="5">
        <v>3430000</v>
      </c>
      <c r="L175" s="5">
        <v>3730000</v>
      </c>
      <c r="M175" s="7">
        <v>1330.1</v>
      </c>
      <c r="N175" s="5">
        <v>34800000</v>
      </c>
      <c r="O175" s="5">
        <v>37800000</v>
      </c>
      <c r="P175" s="3">
        <v>0.97916666666666663</v>
      </c>
    </row>
    <row r="176" spans="1:16" x14ac:dyDescent="0.25">
      <c r="A176" s="2">
        <v>42713</v>
      </c>
      <c r="B176" s="2">
        <v>42625</v>
      </c>
      <c r="C176" t="str">
        <f>TEXT(B176,"mm")</f>
        <v>09</v>
      </c>
      <c r="D176" t="s">
        <v>16</v>
      </c>
      <c r="E176" t="s">
        <v>1636</v>
      </c>
      <c r="F176" s="5">
        <v>34000000</v>
      </c>
      <c r="G176" s="5">
        <v>37000000</v>
      </c>
      <c r="H176" s="5">
        <f>M176*26000*1.20565</f>
        <v>41409254.900000006</v>
      </c>
      <c r="I176" s="5">
        <f>G176-H176</f>
        <v>-4409254.900000006</v>
      </c>
      <c r="J176" s="5">
        <v>3000000</v>
      </c>
      <c r="K176" s="5">
        <v>3400000</v>
      </c>
      <c r="L176" s="5">
        <v>3700000</v>
      </c>
      <c r="M176" s="7">
        <v>1321</v>
      </c>
      <c r="N176" s="5">
        <v>34500000</v>
      </c>
      <c r="O176" s="5">
        <v>37500000</v>
      </c>
      <c r="P176" s="3">
        <v>0.97916666666666663</v>
      </c>
    </row>
    <row r="177" spans="1:16" x14ac:dyDescent="0.25">
      <c r="A177" t="s">
        <v>122</v>
      </c>
      <c r="B177" s="2">
        <v>42626</v>
      </c>
      <c r="C177" t="str">
        <f>TEXT(B177,"mm")</f>
        <v>09</v>
      </c>
      <c r="D177" t="s">
        <v>18</v>
      </c>
      <c r="E177" t="s">
        <v>1636</v>
      </c>
      <c r="F177" s="5">
        <v>34000000</v>
      </c>
      <c r="G177" s="5">
        <v>37000000</v>
      </c>
      <c r="H177" s="5">
        <f>M177*26000*1.20565</f>
        <v>41346561.100000001</v>
      </c>
      <c r="I177" s="5">
        <f>G177-H177</f>
        <v>-4346561.1000000015</v>
      </c>
      <c r="J177" s="5">
        <v>3000000</v>
      </c>
      <c r="K177" s="5">
        <v>3400000</v>
      </c>
      <c r="L177" s="5">
        <v>3700000</v>
      </c>
      <c r="M177" s="7">
        <v>1319</v>
      </c>
      <c r="N177" s="5">
        <v>34500000</v>
      </c>
      <c r="O177" s="5">
        <v>37500000</v>
      </c>
      <c r="P177" s="3">
        <v>0.97916666666666663</v>
      </c>
    </row>
    <row r="178" spans="1:16" x14ac:dyDescent="0.25">
      <c r="A178" t="s">
        <v>123</v>
      </c>
      <c r="B178" s="2">
        <v>42627</v>
      </c>
      <c r="C178" t="str">
        <f>TEXT(B178,"mm")</f>
        <v>09</v>
      </c>
      <c r="D178" t="s">
        <v>19</v>
      </c>
      <c r="E178" t="s">
        <v>1636</v>
      </c>
      <c r="F178" s="5">
        <v>34000000</v>
      </c>
      <c r="G178" s="5">
        <v>37000000</v>
      </c>
      <c r="H178" s="5">
        <f>M178*26000*1.20565</f>
        <v>41424928.350000001</v>
      </c>
      <c r="I178" s="5">
        <f>G178-H178</f>
        <v>-4424928.3500000015</v>
      </c>
      <c r="J178" s="5">
        <v>3000000</v>
      </c>
      <c r="K178" s="5">
        <v>3400000</v>
      </c>
      <c r="L178" s="5">
        <v>3700000</v>
      </c>
      <c r="M178" s="7">
        <v>1321.5</v>
      </c>
      <c r="N178" s="5">
        <v>34500000</v>
      </c>
      <c r="O178" s="5">
        <v>37500000</v>
      </c>
      <c r="P178" s="3">
        <v>0.97916666666666663</v>
      </c>
    </row>
    <row r="179" spans="1:16" x14ac:dyDescent="0.25">
      <c r="A179" t="s">
        <v>124</v>
      </c>
      <c r="B179" s="2">
        <v>42628</v>
      </c>
      <c r="C179" t="str">
        <f>TEXT(B179,"mm")</f>
        <v>09</v>
      </c>
      <c r="D179" t="s">
        <v>20</v>
      </c>
      <c r="E179" t="s">
        <v>1636</v>
      </c>
      <c r="F179" s="5">
        <v>33800000</v>
      </c>
      <c r="G179" s="5">
        <v>36800000</v>
      </c>
      <c r="H179" s="5">
        <f>M179*26000*1.20565</f>
        <v>41174153.150000006</v>
      </c>
      <c r="I179" s="5">
        <f>G179-H179</f>
        <v>-4374153.150000006</v>
      </c>
      <c r="J179" s="5">
        <v>3000000</v>
      </c>
      <c r="K179" s="5">
        <v>3380000</v>
      </c>
      <c r="L179" s="5">
        <v>3680000</v>
      </c>
      <c r="M179" s="7">
        <v>1313.5</v>
      </c>
      <c r="N179" s="5">
        <v>34300000</v>
      </c>
      <c r="O179" s="5">
        <v>37300000</v>
      </c>
      <c r="P179" s="3">
        <v>0.97916666666666663</v>
      </c>
    </row>
    <row r="180" spans="1:16" x14ac:dyDescent="0.25">
      <c r="A180" t="s">
        <v>125</v>
      </c>
      <c r="B180" s="2">
        <v>42629</v>
      </c>
      <c r="C180" t="str">
        <f>TEXT(B180,"mm")</f>
        <v>09</v>
      </c>
      <c r="D180" t="s">
        <v>21</v>
      </c>
      <c r="E180" t="s">
        <v>1636</v>
      </c>
      <c r="F180" s="5">
        <v>33600000</v>
      </c>
      <c r="G180" s="5">
        <v>36600000</v>
      </c>
      <c r="H180" s="5">
        <f>M180*26000*1.20565</f>
        <v>40932782.020000003</v>
      </c>
      <c r="I180" s="5">
        <f>G180-H180</f>
        <v>-4332782.0200000033</v>
      </c>
      <c r="J180" s="5">
        <v>3000000</v>
      </c>
      <c r="K180" s="5">
        <v>3360000</v>
      </c>
      <c r="L180" s="5">
        <v>3660000</v>
      </c>
      <c r="M180" s="7">
        <v>1305.8</v>
      </c>
      <c r="N180" s="5">
        <v>34100000</v>
      </c>
      <c r="O180" s="5">
        <v>37100000</v>
      </c>
      <c r="P180" s="3">
        <v>0.97916666666666663</v>
      </c>
    </row>
    <row r="181" spans="1:16" x14ac:dyDescent="0.25">
      <c r="A181" t="s">
        <v>126</v>
      </c>
      <c r="B181" s="2">
        <v>42632</v>
      </c>
      <c r="C181" t="str">
        <f>TEXT(B181,"mm")</f>
        <v>09</v>
      </c>
      <c r="D181" t="s">
        <v>16</v>
      </c>
      <c r="E181" t="s">
        <v>1636</v>
      </c>
      <c r="F181" s="5">
        <v>33800000</v>
      </c>
      <c r="G181" s="5">
        <v>36800000</v>
      </c>
      <c r="H181" s="5">
        <f>M181*26000*1.20565</f>
        <v>41174153.150000006</v>
      </c>
      <c r="I181" s="5">
        <f>G181-H181</f>
        <v>-4374153.150000006</v>
      </c>
      <c r="J181" s="5">
        <v>3000000</v>
      </c>
      <c r="K181" s="5">
        <v>3380000</v>
      </c>
      <c r="L181" s="5">
        <v>3680000</v>
      </c>
      <c r="M181" s="7">
        <v>1313.5</v>
      </c>
      <c r="N181" s="5">
        <v>34300000</v>
      </c>
      <c r="O181" s="5">
        <v>37300000</v>
      </c>
      <c r="P181" s="3">
        <v>0.97916666666666663</v>
      </c>
    </row>
    <row r="182" spans="1:16" x14ac:dyDescent="0.25">
      <c r="A182" t="s">
        <v>127</v>
      </c>
      <c r="B182" s="2">
        <v>42633</v>
      </c>
      <c r="C182" t="str">
        <f>TEXT(B182,"mm")</f>
        <v>09</v>
      </c>
      <c r="D182" t="s">
        <v>18</v>
      </c>
      <c r="E182" t="s">
        <v>1636</v>
      </c>
      <c r="F182" s="5">
        <v>33800000</v>
      </c>
      <c r="G182" s="5">
        <v>36800000</v>
      </c>
      <c r="H182" s="5">
        <f>M182*26000*1.20565</f>
        <v>41180422.530000001</v>
      </c>
      <c r="I182" s="5">
        <f>G182-H182</f>
        <v>-4380422.5300000012</v>
      </c>
      <c r="J182" s="5">
        <v>3000000</v>
      </c>
      <c r="K182" s="5">
        <v>3380000</v>
      </c>
      <c r="L182" s="5">
        <v>3680000</v>
      </c>
      <c r="M182" s="7">
        <v>1313.7</v>
      </c>
      <c r="N182" s="5">
        <v>34300000</v>
      </c>
      <c r="O182" s="5">
        <v>37300000</v>
      </c>
      <c r="P182" s="3">
        <v>0.97916666666666663</v>
      </c>
    </row>
    <row r="183" spans="1:16" x14ac:dyDescent="0.25">
      <c r="A183" t="s">
        <v>128</v>
      </c>
      <c r="B183" s="2">
        <v>42634</v>
      </c>
      <c r="C183" t="str">
        <f>TEXT(B183,"mm")</f>
        <v>09</v>
      </c>
      <c r="D183" t="s">
        <v>19</v>
      </c>
      <c r="E183" t="s">
        <v>1636</v>
      </c>
      <c r="F183" s="5">
        <v>34200000</v>
      </c>
      <c r="G183" s="5">
        <v>37200000</v>
      </c>
      <c r="H183" s="5">
        <f>M183*26000*1.20565</f>
        <v>41594201.610000007</v>
      </c>
      <c r="I183" s="5">
        <f>G183-H183</f>
        <v>-4394201.6100000069</v>
      </c>
      <c r="J183" s="5">
        <v>3000000</v>
      </c>
      <c r="K183" s="5">
        <v>3420000</v>
      </c>
      <c r="L183" s="5">
        <v>3720000</v>
      </c>
      <c r="M183" s="7">
        <v>1326.9</v>
      </c>
      <c r="N183" s="5">
        <v>34700000</v>
      </c>
      <c r="O183" s="5">
        <v>37700000</v>
      </c>
      <c r="P183" s="3">
        <v>0.97916666666666663</v>
      </c>
    </row>
    <row r="184" spans="1:16" x14ac:dyDescent="0.25">
      <c r="A184" t="s">
        <v>129</v>
      </c>
      <c r="B184" s="2">
        <v>42635</v>
      </c>
      <c r="C184" t="str">
        <f>TEXT(B184,"mm")</f>
        <v>09</v>
      </c>
      <c r="D184" t="s">
        <v>20</v>
      </c>
      <c r="E184" t="s">
        <v>1636</v>
      </c>
      <c r="F184" s="5">
        <v>34600000</v>
      </c>
      <c r="G184" s="5">
        <v>37600000</v>
      </c>
      <c r="H184" s="5">
        <f>M184*26000*1.20565</f>
        <v>42017384.760000005</v>
      </c>
      <c r="I184" s="5">
        <f>G184-H184</f>
        <v>-4417384.7600000054</v>
      </c>
      <c r="J184" s="5">
        <v>3000000</v>
      </c>
      <c r="K184" s="5">
        <v>3460000</v>
      </c>
      <c r="L184" s="5">
        <v>3760000</v>
      </c>
      <c r="M184" s="7">
        <v>1340.4</v>
      </c>
      <c r="N184" s="5">
        <v>35100000</v>
      </c>
      <c r="O184" s="5">
        <v>38100000</v>
      </c>
      <c r="P184" s="3">
        <v>0.97916666666666663</v>
      </c>
    </row>
    <row r="185" spans="1:16" x14ac:dyDescent="0.25">
      <c r="A185" t="s">
        <v>130</v>
      </c>
      <c r="B185" s="2">
        <v>42636</v>
      </c>
      <c r="C185" t="str">
        <f>TEXT(B185,"mm")</f>
        <v>09</v>
      </c>
      <c r="D185" t="s">
        <v>21</v>
      </c>
      <c r="E185" t="s">
        <v>1636</v>
      </c>
      <c r="F185" s="5">
        <v>34500000</v>
      </c>
      <c r="G185" s="5">
        <v>37500000</v>
      </c>
      <c r="H185" s="5">
        <f>M185*26000*1.20565</f>
        <v>41917074.680000007</v>
      </c>
      <c r="I185" s="5">
        <f>G185-H185</f>
        <v>-4417074.6800000072</v>
      </c>
      <c r="J185" s="5">
        <v>3000000</v>
      </c>
      <c r="K185" s="5">
        <v>3450000</v>
      </c>
      <c r="L185" s="5">
        <v>3750000</v>
      </c>
      <c r="M185" s="7">
        <v>1337.2</v>
      </c>
      <c r="N185" s="5">
        <v>35000000</v>
      </c>
      <c r="O185" s="5">
        <v>38000000</v>
      </c>
      <c r="P185" s="3">
        <v>0.97916666666666663</v>
      </c>
    </row>
    <row r="186" spans="1:16" x14ac:dyDescent="0.25">
      <c r="A186" t="s">
        <v>131</v>
      </c>
      <c r="B186" s="2">
        <v>42639</v>
      </c>
      <c r="C186" t="str">
        <f>TEXT(B186,"mm")</f>
        <v>09</v>
      </c>
      <c r="D186" t="s">
        <v>16</v>
      </c>
      <c r="E186" t="s">
        <v>1636</v>
      </c>
      <c r="F186" s="5">
        <v>34500000</v>
      </c>
      <c r="G186" s="5">
        <v>37500000</v>
      </c>
      <c r="H186" s="5">
        <f>M186*26000*1.20565</f>
        <v>41995441.930000007</v>
      </c>
      <c r="I186" s="5">
        <f>G186-H186</f>
        <v>-4495441.9300000072</v>
      </c>
      <c r="J186" s="5">
        <v>3000000</v>
      </c>
      <c r="K186" s="5">
        <v>3450000</v>
      </c>
      <c r="L186" s="5">
        <v>3750000</v>
      </c>
      <c r="M186" s="7">
        <v>1339.7</v>
      </c>
      <c r="N186" s="5">
        <v>35000000</v>
      </c>
      <c r="O186" s="5">
        <v>38000000</v>
      </c>
      <c r="P186" s="3">
        <v>0.97916666666666663</v>
      </c>
    </row>
    <row r="187" spans="1:16" x14ac:dyDescent="0.25">
      <c r="A187" t="s">
        <v>132</v>
      </c>
      <c r="B187" s="2">
        <v>42640</v>
      </c>
      <c r="C187" t="str">
        <f>TEXT(B187,"mm")</f>
        <v>09</v>
      </c>
      <c r="D187" t="s">
        <v>18</v>
      </c>
      <c r="E187" t="s">
        <v>1636</v>
      </c>
      <c r="F187" s="5">
        <v>34200000</v>
      </c>
      <c r="G187" s="5">
        <v>37200000</v>
      </c>
      <c r="H187" s="5">
        <f>M187*26000*1.20565</f>
        <v>41562854.710000001</v>
      </c>
      <c r="I187" s="5">
        <f>G187-H187</f>
        <v>-4362854.7100000009</v>
      </c>
      <c r="J187" s="5">
        <v>3000000</v>
      </c>
      <c r="K187" s="5">
        <v>3420000</v>
      </c>
      <c r="L187" s="5">
        <v>3720000</v>
      </c>
      <c r="M187" s="7">
        <v>1325.9</v>
      </c>
      <c r="N187" s="5">
        <v>34700000</v>
      </c>
      <c r="O187" s="5">
        <v>37700000</v>
      </c>
      <c r="P187" s="3">
        <v>0.97916666666666663</v>
      </c>
    </row>
    <row r="188" spans="1:16" x14ac:dyDescent="0.25">
      <c r="A188" t="s">
        <v>133</v>
      </c>
      <c r="B188" s="2">
        <v>42641</v>
      </c>
      <c r="C188" t="str">
        <f>TEXT(B188,"mm")</f>
        <v>09</v>
      </c>
      <c r="D188" t="s">
        <v>19</v>
      </c>
      <c r="E188" t="s">
        <v>1636</v>
      </c>
      <c r="F188" s="5">
        <v>34000000</v>
      </c>
      <c r="G188" s="5">
        <v>37000000</v>
      </c>
      <c r="H188" s="5">
        <f>M188*26000*1.20565</f>
        <v>41359099.860000007</v>
      </c>
      <c r="I188" s="5">
        <f>G188-H188</f>
        <v>-4359099.8600000069</v>
      </c>
      <c r="J188" s="5">
        <v>3000000</v>
      </c>
      <c r="K188" s="5">
        <v>3400000</v>
      </c>
      <c r="L188" s="5">
        <v>3700000</v>
      </c>
      <c r="M188" s="7">
        <v>1319.4</v>
      </c>
      <c r="N188" s="5">
        <v>34500000</v>
      </c>
      <c r="O188" s="5">
        <v>37500000</v>
      </c>
      <c r="P188" s="3">
        <v>0.97916666666666663</v>
      </c>
    </row>
    <row r="189" spans="1:16" x14ac:dyDescent="0.25">
      <c r="A189" t="s">
        <v>134</v>
      </c>
      <c r="B189" s="2">
        <v>42642</v>
      </c>
      <c r="C189" t="str">
        <f>TEXT(B189,"mm")</f>
        <v>09</v>
      </c>
      <c r="D189" t="s">
        <v>20</v>
      </c>
      <c r="E189" t="s">
        <v>1636</v>
      </c>
      <c r="F189" s="5">
        <v>34000000</v>
      </c>
      <c r="G189" s="5">
        <v>37000000</v>
      </c>
      <c r="H189" s="5">
        <f>M189*26000*1.20565</f>
        <v>41431197.730000004</v>
      </c>
      <c r="I189" s="5">
        <f>G189-H189</f>
        <v>-4431197.7300000042</v>
      </c>
      <c r="J189" s="5">
        <v>3000000</v>
      </c>
      <c r="K189" s="5">
        <v>3400000</v>
      </c>
      <c r="L189" s="5">
        <v>3700000</v>
      </c>
      <c r="M189" s="7">
        <v>1321.7</v>
      </c>
      <c r="N189" s="5">
        <v>34500000</v>
      </c>
      <c r="O189" s="5">
        <v>37500000</v>
      </c>
      <c r="P189" s="3">
        <v>0.97916666666666663</v>
      </c>
    </row>
    <row r="190" spans="1:16" x14ac:dyDescent="0.25">
      <c r="A190" t="s">
        <v>135</v>
      </c>
      <c r="B190" s="2">
        <v>42643</v>
      </c>
      <c r="C190" t="str">
        <f>TEXT(B190,"mm")</f>
        <v>09</v>
      </c>
      <c r="D190" t="s">
        <v>21</v>
      </c>
      <c r="E190" t="s">
        <v>1636</v>
      </c>
      <c r="F190" s="5">
        <v>33800000</v>
      </c>
      <c r="G190" s="5">
        <v>36800000</v>
      </c>
      <c r="H190" s="5">
        <f>M190*26000*1.20565</f>
        <v>41167883.770000003</v>
      </c>
      <c r="I190" s="5">
        <f>G190-H190</f>
        <v>-4367883.7700000033</v>
      </c>
      <c r="J190" s="5">
        <v>3000000</v>
      </c>
      <c r="K190" s="5">
        <v>3380000</v>
      </c>
      <c r="L190" s="5">
        <v>3680000</v>
      </c>
      <c r="M190" s="7">
        <v>1313.3</v>
      </c>
      <c r="N190" s="5">
        <v>34300000</v>
      </c>
      <c r="O190" s="5">
        <v>37300000</v>
      </c>
      <c r="P190" s="3">
        <v>0.97916666666666663</v>
      </c>
    </row>
    <row r="191" spans="1:16" x14ac:dyDescent="0.25">
      <c r="A191" s="2">
        <v>42439</v>
      </c>
      <c r="B191" s="2">
        <v>42646</v>
      </c>
      <c r="C191" t="str">
        <f>TEXT(B191,"mm")</f>
        <v>10</v>
      </c>
      <c r="D191" t="s">
        <v>16</v>
      </c>
      <c r="E191" t="s">
        <v>1636</v>
      </c>
      <c r="F191" s="5">
        <v>33700000</v>
      </c>
      <c r="G191" s="5">
        <v>36700000</v>
      </c>
      <c r="H191" s="5">
        <f>M191*26000*1.20565</f>
        <v>41033092.100000001</v>
      </c>
      <c r="I191" s="5">
        <f>G191-H191</f>
        <v>-4333092.1000000015</v>
      </c>
      <c r="J191" s="5">
        <v>3000000</v>
      </c>
      <c r="K191" s="5">
        <v>3370000</v>
      </c>
      <c r="L191" s="5">
        <v>3670000</v>
      </c>
      <c r="M191" s="7">
        <v>1309</v>
      </c>
      <c r="N191" s="5">
        <v>34200000</v>
      </c>
      <c r="O191" s="5">
        <v>37200000</v>
      </c>
      <c r="P191" s="3">
        <v>0.97916666666666663</v>
      </c>
    </row>
    <row r="192" spans="1:16" x14ac:dyDescent="0.25">
      <c r="A192" s="2">
        <v>42470</v>
      </c>
      <c r="B192" s="2">
        <v>42647</v>
      </c>
      <c r="C192" t="str">
        <f>TEXT(B192,"mm")</f>
        <v>10</v>
      </c>
      <c r="D192" t="s">
        <v>18</v>
      </c>
      <c r="E192" t="s">
        <v>1636</v>
      </c>
      <c r="F192" s="5">
        <v>32500000</v>
      </c>
      <c r="G192" s="5">
        <v>35500000</v>
      </c>
      <c r="H192" s="5">
        <f>M192*26000*1.20565</f>
        <v>39694579.470000006</v>
      </c>
      <c r="I192" s="5">
        <f>G192-H192</f>
        <v>-4194579.4700000063</v>
      </c>
      <c r="J192" s="5">
        <v>3000000</v>
      </c>
      <c r="K192" s="5">
        <v>3250000</v>
      </c>
      <c r="L192" s="5">
        <v>3550000</v>
      </c>
      <c r="M192" s="7">
        <v>1266.3</v>
      </c>
      <c r="N192" s="5">
        <v>33000000</v>
      </c>
      <c r="O192" s="5">
        <v>36000000</v>
      </c>
      <c r="P192" s="3">
        <v>0.97916666666666663</v>
      </c>
    </row>
    <row r="193" spans="1:16" x14ac:dyDescent="0.25">
      <c r="A193" s="2">
        <v>42500</v>
      </c>
      <c r="B193" s="2">
        <v>42648</v>
      </c>
      <c r="C193" t="str">
        <f>TEXT(B193,"mm")</f>
        <v>10</v>
      </c>
      <c r="D193" t="s">
        <v>19</v>
      </c>
      <c r="E193" t="s">
        <v>1636</v>
      </c>
      <c r="F193" s="5">
        <v>32500000</v>
      </c>
      <c r="G193" s="5">
        <v>35500000</v>
      </c>
      <c r="H193" s="5">
        <f>M193*26000*1.20565</f>
        <v>39660097.880000003</v>
      </c>
      <c r="I193" s="5">
        <f>G193-H193</f>
        <v>-4160097.8800000027</v>
      </c>
      <c r="J193" s="5">
        <v>3000000</v>
      </c>
      <c r="K193" s="5">
        <v>3250000</v>
      </c>
      <c r="L193" s="5">
        <v>3550000</v>
      </c>
      <c r="M193" s="7">
        <v>1265.2</v>
      </c>
      <c r="N193" s="5">
        <v>33000000</v>
      </c>
      <c r="O193" s="5">
        <v>36000000</v>
      </c>
      <c r="P193" s="3">
        <v>0.97916666666666663</v>
      </c>
    </row>
    <row r="194" spans="1:16" x14ac:dyDescent="0.25">
      <c r="A194" s="2">
        <v>42531</v>
      </c>
      <c r="B194" s="2">
        <v>42649</v>
      </c>
      <c r="C194" t="str">
        <f>TEXT(B194,"mm")</f>
        <v>10</v>
      </c>
      <c r="D194" t="s">
        <v>20</v>
      </c>
      <c r="E194" t="s">
        <v>1636</v>
      </c>
      <c r="F194" s="5">
        <v>32000000</v>
      </c>
      <c r="G194" s="5">
        <v>35000000</v>
      </c>
      <c r="H194" s="5">
        <f>M194*26000*1.20565</f>
        <v>39177355.620000005</v>
      </c>
      <c r="I194" s="5">
        <f>G194-H194</f>
        <v>-4177355.6200000048</v>
      </c>
      <c r="J194" s="5">
        <v>3000000</v>
      </c>
      <c r="K194" s="5">
        <v>3200000</v>
      </c>
      <c r="L194" s="5">
        <v>3500000</v>
      </c>
      <c r="M194" s="7">
        <v>1249.8</v>
      </c>
      <c r="N194" s="5">
        <v>32500000</v>
      </c>
      <c r="O194" s="5">
        <v>35500000</v>
      </c>
      <c r="P194" s="3">
        <v>0.97916666666666663</v>
      </c>
    </row>
    <row r="195" spans="1:16" x14ac:dyDescent="0.25">
      <c r="A195" s="2">
        <v>42561</v>
      </c>
      <c r="B195" s="2">
        <v>42650</v>
      </c>
      <c r="C195" t="str">
        <f>TEXT(B195,"mm")</f>
        <v>10</v>
      </c>
      <c r="D195" t="s">
        <v>21</v>
      </c>
      <c r="E195" t="s">
        <v>1636</v>
      </c>
      <c r="F195" s="5">
        <v>32000000</v>
      </c>
      <c r="G195" s="5">
        <v>35000000</v>
      </c>
      <c r="H195" s="5">
        <f>M195*26000*1.20565</f>
        <v>39149143.410000011</v>
      </c>
      <c r="I195" s="5">
        <f>G195-H195</f>
        <v>-4149143.4100000113</v>
      </c>
      <c r="J195" s="5">
        <v>3000000</v>
      </c>
      <c r="K195" s="5">
        <v>3200000</v>
      </c>
      <c r="L195" s="5">
        <v>3500000</v>
      </c>
      <c r="M195" s="7">
        <v>1248.9000000000001</v>
      </c>
      <c r="N195" s="5">
        <v>32500000</v>
      </c>
      <c r="O195" s="5">
        <v>35500000</v>
      </c>
      <c r="P195" s="3">
        <v>0.97916666666666663</v>
      </c>
    </row>
    <row r="196" spans="1:16" x14ac:dyDescent="0.25">
      <c r="A196" s="2">
        <v>42684</v>
      </c>
      <c r="B196" s="2">
        <v>42654</v>
      </c>
      <c r="C196" t="str">
        <f>TEXT(B196,"mm")</f>
        <v>10</v>
      </c>
      <c r="D196" t="s">
        <v>18</v>
      </c>
      <c r="E196" t="s">
        <v>1636</v>
      </c>
      <c r="F196" s="5">
        <v>32100000</v>
      </c>
      <c r="G196" s="5">
        <v>35100000</v>
      </c>
      <c r="H196" s="5">
        <f>M196*26000*1.20565</f>
        <v>39277665.700000003</v>
      </c>
      <c r="I196" s="5">
        <f>G196-H196</f>
        <v>-4177665.700000003</v>
      </c>
      <c r="J196" s="5">
        <v>3000000</v>
      </c>
      <c r="K196" s="5">
        <v>3210000</v>
      </c>
      <c r="L196" s="5">
        <v>3510000</v>
      </c>
      <c r="M196" s="7">
        <v>1253</v>
      </c>
      <c r="N196" s="5">
        <v>32600000</v>
      </c>
      <c r="O196" s="5">
        <v>35600000</v>
      </c>
      <c r="P196" s="3">
        <v>0.97916666666666663</v>
      </c>
    </row>
    <row r="197" spans="1:16" x14ac:dyDescent="0.25">
      <c r="A197" s="2">
        <v>42714</v>
      </c>
      <c r="B197" s="2">
        <v>42655</v>
      </c>
      <c r="C197" t="str">
        <f>TEXT(B197,"mm")</f>
        <v>10</v>
      </c>
      <c r="D197" t="s">
        <v>19</v>
      </c>
      <c r="E197" t="s">
        <v>1636</v>
      </c>
      <c r="F197" s="5">
        <v>32100000</v>
      </c>
      <c r="G197" s="5">
        <v>35100000</v>
      </c>
      <c r="H197" s="5">
        <f>M197*26000*1.20565</f>
        <v>39218106.589999996</v>
      </c>
      <c r="I197" s="5">
        <f>G197-H197</f>
        <v>-4118106.5899999961</v>
      </c>
      <c r="J197" s="5">
        <v>3000000</v>
      </c>
      <c r="K197" s="5">
        <v>3210000</v>
      </c>
      <c r="L197" s="5">
        <v>3510000</v>
      </c>
      <c r="M197" s="7">
        <v>1251.0999999999999</v>
      </c>
      <c r="N197" s="5">
        <v>32600000</v>
      </c>
      <c r="O197" s="5">
        <v>35600000</v>
      </c>
      <c r="P197" s="3">
        <v>0.97916666666666663</v>
      </c>
    </row>
    <row r="198" spans="1:16" x14ac:dyDescent="0.25">
      <c r="A198" t="s">
        <v>136</v>
      </c>
      <c r="B198" s="2">
        <v>42656</v>
      </c>
      <c r="C198" t="str">
        <f>TEXT(B198,"mm")</f>
        <v>10</v>
      </c>
      <c r="D198" t="s">
        <v>20</v>
      </c>
      <c r="E198" t="s">
        <v>1636</v>
      </c>
      <c r="F198" s="5">
        <v>32200000</v>
      </c>
      <c r="G198" s="5">
        <v>35200000</v>
      </c>
      <c r="H198" s="5">
        <f>M198*26000*1.20565</f>
        <v>39340359.5</v>
      </c>
      <c r="I198" s="5">
        <f>G198-H198</f>
        <v>-4140359.5</v>
      </c>
      <c r="J198" s="5">
        <v>3000000</v>
      </c>
      <c r="K198" s="5">
        <v>3220000</v>
      </c>
      <c r="L198" s="5">
        <v>3520000</v>
      </c>
      <c r="M198" s="7">
        <v>1255</v>
      </c>
      <c r="N198" s="5">
        <v>32700000</v>
      </c>
      <c r="O198" s="5">
        <v>35700000</v>
      </c>
      <c r="P198" s="3">
        <v>0.97916666666666663</v>
      </c>
    </row>
    <row r="199" spans="1:16" x14ac:dyDescent="0.25">
      <c r="A199" t="s">
        <v>137</v>
      </c>
      <c r="B199" s="2">
        <v>42657</v>
      </c>
      <c r="C199" t="str">
        <f>TEXT(B199,"mm")</f>
        <v>10</v>
      </c>
      <c r="D199" t="s">
        <v>21</v>
      </c>
      <c r="E199" t="s">
        <v>1636</v>
      </c>
      <c r="F199" s="5">
        <v>32100000</v>
      </c>
      <c r="G199" s="5">
        <v>35100000</v>
      </c>
      <c r="H199" s="5">
        <f>M199*26000*1.20565</f>
        <v>39280800.390000001</v>
      </c>
      <c r="I199" s="5">
        <f>G199-H199</f>
        <v>-4180800.3900000006</v>
      </c>
      <c r="J199" s="5">
        <v>3000000</v>
      </c>
      <c r="K199" s="5">
        <v>3210000</v>
      </c>
      <c r="L199" s="5">
        <v>3510000</v>
      </c>
      <c r="M199" s="7">
        <v>1253.0999999999999</v>
      </c>
      <c r="N199" s="5">
        <v>32600000</v>
      </c>
      <c r="O199" s="5">
        <v>35600000</v>
      </c>
      <c r="P199" s="3">
        <v>0.97916666666666663</v>
      </c>
    </row>
    <row r="200" spans="1:16" x14ac:dyDescent="0.25">
      <c r="A200" t="s">
        <v>138</v>
      </c>
      <c r="B200" s="2">
        <v>42660</v>
      </c>
      <c r="C200" t="str">
        <f>TEXT(B200,"mm")</f>
        <v>10</v>
      </c>
      <c r="D200" t="s">
        <v>16</v>
      </c>
      <c r="E200" t="s">
        <v>1636</v>
      </c>
      <c r="F200" s="5">
        <v>32200000</v>
      </c>
      <c r="G200" s="5">
        <v>35200000</v>
      </c>
      <c r="H200" s="5">
        <f>M200*26000*1.20565</f>
        <v>39321551.360000007</v>
      </c>
      <c r="I200" s="5">
        <f>G200-H200</f>
        <v>-4121551.3600000069</v>
      </c>
      <c r="J200" s="5">
        <v>3000000</v>
      </c>
      <c r="K200" s="5">
        <v>3220000</v>
      </c>
      <c r="L200" s="5">
        <v>3520000</v>
      </c>
      <c r="M200" s="7">
        <v>1254.4000000000001</v>
      </c>
      <c r="N200" s="5">
        <v>32700000</v>
      </c>
      <c r="O200" s="5">
        <v>35700000</v>
      </c>
      <c r="P200" s="3">
        <v>0.97916666666666663</v>
      </c>
    </row>
    <row r="201" spans="1:16" x14ac:dyDescent="0.25">
      <c r="A201" t="s">
        <v>139</v>
      </c>
      <c r="B201" s="2">
        <v>42661</v>
      </c>
      <c r="C201" t="str">
        <f>TEXT(B201,"mm")</f>
        <v>10</v>
      </c>
      <c r="D201" t="s">
        <v>18</v>
      </c>
      <c r="E201" t="s">
        <v>1636</v>
      </c>
      <c r="F201" s="5">
        <v>32300000</v>
      </c>
      <c r="G201" s="5">
        <v>35300000</v>
      </c>
      <c r="H201" s="5">
        <f>M201*26000*1.20565</f>
        <v>39522171.520000003</v>
      </c>
      <c r="I201" s="5">
        <f>G201-H201</f>
        <v>-4222171.5200000033</v>
      </c>
      <c r="J201" s="5">
        <v>3000000</v>
      </c>
      <c r="K201" s="5">
        <v>3230000</v>
      </c>
      <c r="L201" s="5">
        <v>3530000</v>
      </c>
      <c r="M201" s="7">
        <v>1260.8</v>
      </c>
      <c r="N201" s="5">
        <v>32800000</v>
      </c>
      <c r="O201" s="5">
        <v>35800000</v>
      </c>
      <c r="P201" s="3">
        <v>0.97916666666666663</v>
      </c>
    </row>
    <row r="202" spans="1:16" x14ac:dyDescent="0.25">
      <c r="A202" t="s">
        <v>140</v>
      </c>
      <c r="B202" s="2">
        <v>42662</v>
      </c>
      <c r="C202" t="str">
        <f>TEXT(B202,"mm")</f>
        <v>10</v>
      </c>
      <c r="D202" t="s">
        <v>19</v>
      </c>
      <c r="E202" t="s">
        <v>1636</v>
      </c>
      <c r="F202" s="5">
        <v>32500000</v>
      </c>
      <c r="G202" s="5">
        <v>35500000</v>
      </c>
      <c r="H202" s="5">
        <f>M202*26000*1.20565</f>
        <v>39744734.510000005</v>
      </c>
      <c r="I202" s="5">
        <f>G202-H202</f>
        <v>-4244734.5100000054</v>
      </c>
      <c r="J202" s="5">
        <v>3000000</v>
      </c>
      <c r="K202" s="5">
        <v>3250000</v>
      </c>
      <c r="L202" s="5">
        <v>3550000</v>
      </c>
      <c r="M202" s="7">
        <v>1267.9000000000001</v>
      </c>
      <c r="N202" s="5">
        <v>33000000</v>
      </c>
      <c r="O202" s="5">
        <v>36000000</v>
      </c>
      <c r="P202" s="3">
        <v>0.97916666666666663</v>
      </c>
    </row>
    <row r="203" spans="1:16" x14ac:dyDescent="0.25">
      <c r="A203" t="s">
        <v>141</v>
      </c>
      <c r="B203" s="2">
        <v>42663</v>
      </c>
      <c r="C203" t="str">
        <f>TEXT(B203,"mm")</f>
        <v>10</v>
      </c>
      <c r="D203" t="s">
        <v>20</v>
      </c>
      <c r="E203" t="s">
        <v>1636</v>
      </c>
      <c r="F203" s="5">
        <v>32500000</v>
      </c>
      <c r="G203" s="5">
        <v>35500000</v>
      </c>
      <c r="H203" s="5">
        <f>M203*26000*1.20565</f>
        <v>39672636.640000001</v>
      </c>
      <c r="I203" s="5">
        <f>G203-H203</f>
        <v>-4172636.6400000006</v>
      </c>
      <c r="J203" s="5">
        <v>3000000</v>
      </c>
      <c r="K203" s="5">
        <v>3250000</v>
      </c>
      <c r="L203" s="5">
        <v>3550000</v>
      </c>
      <c r="M203" s="7">
        <v>1265.5999999999999</v>
      </c>
      <c r="N203" s="5">
        <v>33000000</v>
      </c>
      <c r="O203" s="5">
        <v>36000000</v>
      </c>
      <c r="P203" s="3">
        <v>0.97916666666666663</v>
      </c>
    </row>
    <row r="204" spans="1:16" x14ac:dyDescent="0.25">
      <c r="A204" t="s">
        <v>142</v>
      </c>
      <c r="B204" s="2">
        <v>42664</v>
      </c>
      <c r="C204" t="str">
        <f>TEXT(B204,"mm")</f>
        <v>10</v>
      </c>
      <c r="D204" t="s">
        <v>21</v>
      </c>
      <c r="E204" t="s">
        <v>1636</v>
      </c>
      <c r="F204" s="5">
        <v>32500000</v>
      </c>
      <c r="G204" s="5">
        <v>35500000</v>
      </c>
      <c r="H204" s="5">
        <f>M204*26000*1.20565</f>
        <v>39682040.710000008</v>
      </c>
      <c r="I204" s="5">
        <f>G204-H204</f>
        <v>-4182040.7100000083</v>
      </c>
      <c r="J204" s="5">
        <v>3000000</v>
      </c>
      <c r="K204" s="5">
        <v>3250000</v>
      </c>
      <c r="L204" s="5">
        <v>3550000</v>
      </c>
      <c r="M204" s="7">
        <v>1265.9000000000001</v>
      </c>
      <c r="N204" s="5">
        <v>33000000</v>
      </c>
      <c r="O204" s="5">
        <v>36000000</v>
      </c>
      <c r="P204" s="3">
        <v>0.97916666666666663</v>
      </c>
    </row>
    <row r="205" spans="1:16" x14ac:dyDescent="0.25">
      <c r="A205" t="s">
        <v>143</v>
      </c>
      <c r="B205" s="2">
        <v>42667</v>
      </c>
      <c r="C205" t="str">
        <f>TEXT(B205,"mm")</f>
        <v>10</v>
      </c>
      <c r="D205" t="s">
        <v>16</v>
      </c>
      <c r="E205" t="s">
        <v>1636</v>
      </c>
      <c r="F205" s="5">
        <v>32400000</v>
      </c>
      <c r="G205" s="5">
        <v>35400000</v>
      </c>
      <c r="H205" s="5">
        <f>M205*26000*1.20565</f>
        <v>39559787.800000004</v>
      </c>
      <c r="I205" s="5">
        <f>G205-H205</f>
        <v>-4159787.8000000045</v>
      </c>
      <c r="J205" s="5">
        <v>3000000</v>
      </c>
      <c r="K205" s="5">
        <v>3240000</v>
      </c>
      <c r="L205" s="5">
        <v>3540000</v>
      </c>
      <c r="M205" s="7">
        <v>1262</v>
      </c>
      <c r="N205" s="5">
        <v>32900000</v>
      </c>
      <c r="O205" s="5">
        <v>35900000</v>
      </c>
      <c r="P205" s="3">
        <v>0.97916666666666663</v>
      </c>
    </row>
    <row r="206" spans="1:16" x14ac:dyDescent="0.25">
      <c r="A206" t="s">
        <v>144</v>
      </c>
      <c r="B206" s="2">
        <v>42668</v>
      </c>
      <c r="C206" t="str">
        <f>TEXT(B206,"mm")</f>
        <v>10</v>
      </c>
      <c r="D206" t="s">
        <v>18</v>
      </c>
      <c r="E206" t="s">
        <v>1636</v>
      </c>
      <c r="F206" s="5">
        <v>32600000</v>
      </c>
      <c r="G206" s="5">
        <v>35600000</v>
      </c>
      <c r="H206" s="5">
        <f>M206*26000*1.20565</f>
        <v>39870122.110000007</v>
      </c>
      <c r="I206" s="5">
        <f>G206-H206</f>
        <v>-4270122.1100000069</v>
      </c>
      <c r="J206" s="5">
        <v>3000000</v>
      </c>
      <c r="K206" s="5">
        <v>3260000</v>
      </c>
      <c r="L206" s="5">
        <v>3560000</v>
      </c>
      <c r="M206" s="7">
        <v>1271.9000000000001</v>
      </c>
      <c r="N206" s="5">
        <v>33100000</v>
      </c>
      <c r="O206" s="5">
        <v>36100000</v>
      </c>
      <c r="P206" s="3">
        <v>0.97916666666666663</v>
      </c>
    </row>
    <row r="207" spans="1:16" x14ac:dyDescent="0.25">
      <c r="A207" t="s">
        <v>145</v>
      </c>
      <c r="B207" s="2">
        <v>42669</v>
      </c>
      <c r="C207" t="str">
        <f>TEXT(B207,"mm")</f>
        <v>10</v>
      </c>
      <c r="D207" t="s">
        <v>19</v>
      </c>
      <c r="E207" t="s">
        <v>1636</v>
      </c>
      <c r="F207" s="5">
        <v>32400000</v>
      </c>
      <c r="G207" s="5">
        <v>35400000</v>
      </c>
      <c r="H207" s="5">
        <f>M207*26000*1.20565</f>
        <v>39647559.120000005</v>
      </c>
      <c r="I207" s="5">
        <f>G207-H207</f>
        <v>-4247559.1200000048</v>
      </c>
      <c r="J207" s="5">
        <v>3000000</v>
      </c>
      <c r="K207" s="5">
        <v>3240000</v>
      </c>
      <c r="L207" s="5">
        <v>3540000</v>
      </c>
      <c r="M207" s="7">
        <v>1264.8</v>
      </c>
      <c r="N207" s="5">
        <v>32900000</v>
      </c>
      <c r="O207" s="5">
        <v>35900000</v>
      </c>
      <c r="P207" s="3">
        <v>0.97916666666666663</v>
      </c>
    </row>
    <row r="208" spans="1:16" x14ac:dyDescent="0.25">
      <c r="A208" t="s">
        <v>146</v>
      </c>
      <c r="B208" s="2">
        <v>42670</v>
      </c>
      <c r="C208" t="str">
        <f>TEXT(B208,"mm")</f>
        <v>10</v>
      </c>
      <c r="D208" t="s">
        <v>20</v>
      </c>
      <c r="E208" t="s">
        <v>1636</v>
      </c>
      <c r="F208" s="5">
        <v>32500000</v>
      </c>
      <c r="G208" s="5">
        <v>35500000</v>
      </c>
      <c r="H208" s="5">
        <f>M208*26000*1.20565</f>
        <v>39744734.510000005</v>
      </c>
      <c r="I208" s="5">
        <f>G208-H208</f>
        <v>-4244734.5100000054</v>
      </c>
      <c r="J208" s="5">
        <v>3000000</v>
      </c>
      <c r="K208" s="5">
        <v>3250000</v>
      </c>
      <c r="L208" s="5">
        <v>3550000</v>
      </c>
      <c r="M208" s="7">
        <v>1267.9000000000001</v>
      </c>
      <c r="N208" s="5">
        <v>33000000</v>
      </c>
      <c r="O208" s="5">
        <v>36000000</v>
      </c>
      <c r="P208" s="3">
        <v>0.97916666666666663</v>
      </c>
    </row>
    <row r="209" spans="1:16" x14ac:dyDescent="0.25">
      <c r="A209" t="s">
        <v>147</v>
      </c>
      <c r="B209" s="2">
        <v>42671</v>
      </c>
      <c r="C209" t="str">
        <f>TEXT(B209,"mm")</f>
        <v>10</v>
      </c>
      <c r="D209" t="s">
        <v>21</v>
      </c>
      <c r="E209" t="s">
        <v>1636</v>
      </c>
      <c r="F209" s="5">
        <v>32700000</v>
      </c>
      <c r="G209" s="5">
        <v>35700000</v>
      </c>
      <c r="H209" s="5">
        <f>M209*26000*1.20565</f>
        <v>39982970.950000003</v>
      </c>
      <c r="I209" s="5">
        <f>G209-H209</f>
        <v>-4282970.950000003</v>
      </c>
      <c r="J209" s="5">
        <v>3000000</v>
      </c>
      <c r="K209" s="5">
        <v>3270000</v>
      </c>
      <c r="L209" s="5">
        <v>3570000</v>
      </c>
      <c r="M209" s="7">
        <v>1275.5</v>
      </c>
      <c r="N209" s="5">
        <v>33200000</v>
      </c>
      <c r="O209" s="5">
        <v>36200000</v>
      </c>
      <c r="P209" s="3">
        <v>0.97916666666666663</v>
      </c>
    </row>
    <row r="210" spans="1:16" x14ac:dyDescent="0.25">
      <c r="A210" t="s">
        <v>148</v>
      </c>
      <c r="B210" s="2">
        <v>42674</v>
      </c>
      <c r="C210" t="str">
        <f>TEXT(B210,"mm")</f>
        <v>10</v>
      </c>
      <c r="D210" t="s">
        <v>16</v>
      </c>
      <c r="E210" t="s">
        <v>1636</v>
      </c>
      <c r="F210" s="5">
        <v>32600000</v>
      </c>
      <c r="G210" s="5">
        <v>35600000</v>
      </c>
      <c r="H210" s="5">
        <f>M210*26000*1.20565</f>
        <v>39857583.350000001</v>
      </c>
      <c r="I210" s="5">
        <f>G210-H210</f>
        <v>-4257583.3500000015</v>
      </c>
      <c r="J210" s="5">
        <v>3000000</v>
      </c>
      <c r="K210" s="5">
        <v>3260000</v>
      </c>
      <c r="L210" s="5">
        <v>3560000</v>
      </c>
      <c r="M210" s="7">
        <v>1271.5</v>
      </c>
      <c r="N210" s="5">
        <v>33100000</v>
      </c>
      <c r="O210" s="5">
        <v>36100000</v>
      </c>
      <c r="P210" s="3">
        <v>0.97916666666666663</v>
      </c>
    </row>
    <row r="211" spans="1:16" x14ac:dyDescent="0.25">
      <c r="A211" s="2">
        <v>42380</v>
      </c>
      <c r="B211" s="2">
        <v>42675</v>
      </c>
      <c r="C211" t="str">
        <f>TEXT(B211,"mm")</f>
        <v>11</v>
      </c>
      <c r="D211" t="s">
        <v>18</v>
      </c>
      <c r="E211" t="s">
        <v>1636</v>
      </c>
      <c r="F211" s="5">
        <v>33100000</v>
      </c>
      <c r="G211" s="5">
        <v>36100000</v>
      </c>
      <c r="H211" s="5">
        <f>M211*26000*1.20565</f>
        <v>40324652.160000011</v>
      </c>
      <c r="I211" s="5">
        <f>G211-H211</f>
        <v>-4224652.1600000113</v>
      </c>
      <c r="J211" s="5">
        <v>3000000</v>
      </c>
      <c r="K211" s="5">
        <v>3310000</v>
      </c>
      <c r="L211" s="5">
        <v>3610000</v>
      </c>
      <c r="M211" s="7">
        <v>1286.4000000000001</v>
      </c>
      <c r="N211" s="5">
        <v>33600000</v>
      </c>
      <c r="O211" s="5">
        <v>36600000</v>
      </c>
      <c r="P211" s="3">
        <v>0.97916666666666663</v>
      </c>
    </row>
    <row r="212" spans="1:16" x14ac:dyDescent="0.25">
      <c r="A212" s="2">
        <v>42411</v>
      </c>
      <c r="B212" s="2">
        <v>42676</v>
      </c>
      <c r="C212" t="str">
        <f>TEXT(B212,"mm")</f>
        <v>11</v>
      </c>
      <c r="D212" t="s">
        <v>19</v>
      </c>
      <c r="E212" t="s">
        <v>1636</v>
      </c>
      <c r="F212" s="5">
        <v>33600000</v>
      </c>
      <c r="G212" s="5">
        <v>36600000</v>
      </c>
      <c r="H212" s="5">
        <f>M212*26000*1.20565</f>
        <v>40964128.920000002</v>
      </c>
      <c r="I212" s="5">
        <f>G212-H212</f>
        <v>-4364128.9200000018</v>
      </c>
      <c r="J212" s="5">
        <v>3000000</v>
      </c>
      <c r="K212" s="5">
        <v>3360000</v>
      </c>
      <c r="L212" s="5">
        <v>3660000</v>
      </c>
      <c r="M212" s="7">
        <v>1306.8</v>
      </c>
      <c r="N212" s="5">
        <v>34100000</v>
      </c>
      <c r="O212" s="5">
        <v>37100000</v>
      </c>
      <c r="P212" s="3">
        <v>0.97916666666666663</v>
      </c>
    </row>
    <row r="213" spans="1:16" x14ac:dyDescent="0.25">
      <c r="A213" s="2">
        <v>42440</v>
      </c>
      <c r="B213" s="2">
        <v>42677</v>
      </c>
      <c r="C213" t="str">
        <f>TEXT(B213,"mm")</f>
        <v>11</v>
      </c>
      <c r="D213" t="s">
        <v>20</v>
      </c>
      <c r="E213" t="s">
        <v>1636</v>
      </c>
      <c r="F213" s="5">
        <v>33500000</v>
      </c>
      <c r="G213" s="5">
        <v>36500000</v>
      </c>
      <c r="H213" s="5">
        <f>M213*26000*1.20565</f>
        <v>40816798.490000002</v>
      </c>
      <c r="I213" s="5">
        <f>G213-H213</f>
        <v>-4316798.4900000021</v>
      </c>
      <c r="J213" s="5">
        <v>3000000</v>
      </c>
      <c r="K213" s="5">
        <v>3350000</v>
      </c>
      <c r="L213" s="5">
        <v>3650000</v>
      </c>
      <c r="M213" s="7">
        <v>1302.0999999999999</v>
      </c>
      <c r="N213" s="5">
        <v>34000000</v>
      </c>
      <c r="O213" s="5">
        <v>37000000</v>
      </c>
      <c r="P213" s="3">
        <v>0.97916666666666663</v>
      </c>
    </row>
    <row r="214" spans="1:16" x14ac:dyDescent="0.25">
      <c r="A214" s="2">
        <v>42471</v>
      </c>
      <c r="B214" s="2">
        <v>42678</v>
      </c>
      <c r="C214" t="str">
        <f>TEXT(B214,"mm")</f>
        <v>11</v>
      </c>
      <c r="D214" t="s">
        <v>21</v>
      </c>
      <c r="E214" t="s">
        <v>1636</v>
      </c>
      <c r="F214" s="5">
        <v>33500000</v>
      </c>
      <c r="G214" s="5">
        <v>36500000</v>
      </c>
      <c r="H214" s="5">
        <f>M214*26000*1.20565</f>
        <v>40854414.770000003</v>
      </c>
      <c r="I214" s="5">
        <f>G214-H214</f>
        <v>-4354414.7700000033</v>
      </c>
      <c r="J214" s="5">
        <v>3000000</v>
      </c>
      <c r="K214" s="5">
        <v>3350000</v>
      </c>
      <c r="L214" s="5">
        <v>3650000</v>
      </c>
      <c r="M214" s="7">
        <v>1303.3</v>
      </c>
      <c r="N214" s="5">
        <v>34000000</v>
      </c>
      <c r="O214" s="5">
        <v>37000000</v>
      </c>
      <c r="P214" s="3">
        <v>0.97916666666666663</v>
      </c>
    </row>
    <row r="215" spans="1:16" x14ac:dyDescent="0.25">
      <c r="A215" s="2">
        <v>42562</v>
      </c>
      <c r="B215" s="2">
        <v>42681</v>
      </c>
      <c r="C215" t="str">
        <f>TEXT(B215,"mm")</f>
        <v>11</v>
      </c>
      <c r="D215" t="s">
        <v>16</v>
      </c>
      <c r="E215" t="s">
        <v>1636</v>
      </c>
      <c r="F215" s="5">
        <v>32800000</v>
      </c>
      <c r="G215" s="5">
        <v>35800000</v>
      </c>
      <c r="H215" s="5">
        <f>M215*26000*1.20565</f>
        <v>40070742.270000003</v>
      </c>
      <c r="I215" s="5">
        <f>G215-H215</f>
        <v>-4270742.2700000033</v>
      </c>
      <c r="J215" s="5">
        <v>3000000</v>
      </c>
      <c r="K215" s="5">
        <v>3280000</v>
      </c>
      <c r="L215" s="5">
        <v>3580000</v>
      </c>
      <c r="M215" s="7">
        <v>1278.3</v>
      </c>
      <c r="N215" s="5">
        <v>33300000</v>
      </c>
      <c r="O215" s="5">
        <v>36300000</v>
      </c>
      <c r="P215" s="3">
        <v>0.97916666666666663</v>
      </c>
    </row>
    <row r="216" spans="1:16" x14ac:dyDescent="0.25">
      <c r="A216" s="2">
        <v>42593</v>
      </c>
      <c r="B216" s="2">
        <v>42682</v>
      </c>
      <c r="C216" t="str">
        <f>TEXT(B216,"mm")</f>
        <v>11</v>
      </c>
      <c r="D216" t="s">
        <v>18</v>
      </c>
      <c r="E216" t="s">
        <v>1636</v>
      </c>
      <c r="F216" s="5">
        <v>32700000</v>
      </c>
      <c r="G216" s="5">
        <v>35700000</v>
      </c>
      <c r="H216" s="5">
        <f>M216*26000*1.20565</f>
        <v>39917142.460000008</v>
      </c>
      <c r="I216" s="5">
        <f>G216-H216</f>
        <v>-4217142.4600000083</v>
      </c>
      <c r="J216" s="5">
        <v>3000000</v>
      </c>
      <c r="K216" s="5">
        <v>3270000</v>
      </c>
      <c r="L216" s="5">
        <v>3570000</v>
      </c>
      <c r="M216" s="7">
        <v>1273.4000000000001</v>
      </c>
      <c r="N216" s="5">
        <v>33200000</v>
      </c>
      <c r="O216" s="5">
        <v>36200000</v>
      </c>
      <c r="P216" s="3">
        <v>0.97916666666666663</v>
      </c>
    </row>
    <row r="217" spans="1:16" x14ac:dyDescent="0.25">
      <c r="A217" s="2">
        <v>42624</v>
      </c>
      <c r="B217" s="2">
        <v>42683</v>
      </c>
      <c r="C217" t="str">
        <f>TEXT(B217,"mm")</f>
        <v>11</v>
      </c>
      <c r="D217" t="s">
        <v>19</v>
      </c>
      <c r="E217" t="s">
        <v>1636</v>
      </c>
      <c r="F217" s="5">
        <v>32700000</v>
      </c>
      <c r="G217" s="5">
        <v>35700000</v>
      </c>
      <c r="H217" s="5">
        <f>M217*26000*1.20565</f>
        <v>39892064.939999998</v>
      </c>
      <c r="I217" s="5">
        <f>G217-H217</f>
        <v>-4192064.9399999976</v>
      </c>
      <c r="J217" s="5">
        <v>3000000</v>
      </c>
      <c r="K217" s="5">
        <v>3270000</v>
      </c>
      <c r="L217" s="5">
        <v>3570000</v>
      </c>
      <c r="M217" s="7">
        <v>1272.5999999999999</v>
      </c>
      <c r="N217" s="5">
        <v>33200000</v>
      </c>
      <c r="O217" s="5">
        <v>36200000</v>
      </c>
      <c r="P217" s="3">
        <v>0.97916666666666663</v>
      </c>
    </row>
    <row r="218" spans="1:16" x14ac:dyDescent="0.25">
      <c r="A218" s="2">
        <v>42654</v>
      </c>
      <c r="B218" s="2">
        <v>42684</v>
      </c>
      <c r="C218" t="str">
        <f>TEXT(B218,"mm")</f>
        <v>11</v>
      </c>
      <c r="D218" t="s">
        <v>20</v>
      </c>
      <c r="E218" t="s">
        <v>1636</v>
      </c>
      <c r="F218" s="5">
        <v>32500000</v>
      </c>
      <c r="G218" s="5">
        <v>35500000</v>
      </c>
      <c r="H218" s="5">
        <f>M218*26000*1.20565</f>
        <v>39669501.950000003</v>
      </c>
      <c r="I218" s="5">
        <f>G218-H218</f>
        <v>-4169501.950000003</v>
      </c>
      <c r="J218" s="5">
        <v>3000000</v>
      </c>
      <c r="K218" s="5">
        <v>3250000</v>
      </c>
      <c r="L218" s="5">
        <v>3550000</v>
      </c>
      <c r="M218" s="7">
        <v>1265.5</v>
      </c>
      <c r="N218" s="5">
        <v>33000000</v>
      </c>
      <c r="O218" s="5">
        <v>36000000</v>
      </c>
      <c r="P218" s="3">
        <v>0.97916666666666663</v>
      </c>
    </row>
    <row r="219" spans="1:16" x14ac:dyDescent="0.25">
      <c r="A219" t="s">
        <v>149</v>
      </c>
      <c r="B219" s="2">
        <v>42688</v>
      </c>
      <c r="C219" t="str">
        <f>TEXT(B219,"mm")</f>
        <v>11</v>
      </c>
      <c r="D219" t="s">
        <v>16</v>
      </c>
      <c r="E219" t="s">
        <v>1636</v>
      </c>
      <c r="F219" s="5">
        <v>31200000</v>
      </c>
      <c r="G219" s="5">
        <v>34200000</v>
      </c>
      <c r="H219" s="5">
        <f>M219*26000*1.20565</f>
        <v>38280834.280000001</v>
      </c>
      <c r="I219" s="5">
        <f>G219-H219</f>
        <v>-4080834.2800000012</v>
      </c>
      <c r="J219" s="5">
        <v>3000000</v>
      </c>
      <c r="K219" s="5">
        <v>3120000</v>
      </c>
      <c r="L219" s="5">
        <v>3420000</v>
      </c>
      <c r="M219" s="7">
        <v>1221.2</v>
      </c>
      <c r="N219" s="5">
        <v>31700000</v>
      </c>
      <c r="O219" s="5">
        <v>34700000</v>
      </c>
      <c r="P219" s="3">
        <v>0.97916666666666663</v>
      </c>
    </row>
    <row r="220" spans="1:16" x14ac:dyDescent="0.25">
      <c r="A220" t="s">
        <v>150</v>
      </c>
      <c r="B220" s="2">
        <v>42689</v>
      </c>
      <c r="C220" t="str">
        <f>TEXT(B220,"mm")</f>
        <v>11</v>
      </c>
      <c r="D220" t="s">
        <v>18</v>
      </c>
      <c r="E220" t="s">
        <v>1636</v>
      </c>
      <c r="F220" s="5">
        <v>31300000</v>
      </c>
      <c r="G220" s="5">
        <v>34300000</v>
      </c>
      <c r="H220" s="5">
        <f>M220*26000*1.20565</f>
        <v>38368605.600000001</v>
      </c>
      <c r="I220" s="5">
        <f>G220-H220</f>
        <v>-4068605.6000000015</v>
      </c>
      <c r="J220" s="5">
        <v>3000000</v>
      </c>
      <c r="K220" s="5">
        <v>3130000</v>
      </c>
      <c r="L220" s="5">
        <v>3430000</v>
      </c>
      <c r="M220" s="7">
        <v>1224</v>
      </c>
      <c r="N220" s="5">
        <v>31800000</v>
      </c>
      <c r="O220" s="5">
        <v>34800000</v>
      </c>
      <c r="P220" s="3">
        <v>0.97916666666666663</v>
      </c>
    </row>
    <row r="221" spans="1:16" x14ac:dyDescent="0.25">
      <c r="A221" t="s">
        <v>151</v>
      </c>
      <c r="B221" s="2">
        <v>42690</v>
      </c>
      <c r="C221" t="str">
        <f>TEXT(B221,"mm")</f>
        <v>11</v>
      </c>
      <c r="D221" t="s">
        <v>19</v>
      </c>
      <c r="E221" t="s">
        <v>1636</v>
      </c>
      <c r="F221" s="5">
        <v>31300000</v>
      </c>
      <c r="G221" s="5">
        <v>34300000</v>
      </c>
      <c r="H221" s="5">
        <f>M221*26000*1.20565</f>
        <v>38349797.460000008</v>
      </c>
      <c r="I221" s="5">
        <f>G221-H221</f>
        <v>-4049797.4600000083</v>
      </c>
      <c r="J221" s="5">
        <v>3000000</v>
      </c>
      <c r="K221" s="5">
        <v>3130000</v>
      </c>
      <c r="L221" s="5">
        <v>3430000</v>
      </c>
      <c r="M221" s="7">
        <v>1223.4000000000001</v>
      </c>
      <c r="N221" s="5">
        <v>31800000</v>
      </c>
      <c r="O221" s="5">
        <v>34800000</v>
      </c>
      <c r="P221" s="3">
        <v>0.97916666666666663</v>
      </c>
    </row>
    <row r="222" spans="1:16" x14ac:dyDescent="0.25">
      <c r="A222" t="s">
        <v>152</v>
      </c>
      <c r="B222" s="2">
        <v>42691</v>
      </c>
      <c r="C222" t="str">
        <f>TEXT(B222,"mm")</f>
        <v>11</v>
      </c>
      <c r="D222" t="s">
        <v>20</v>
      </c>
      <c r="E222" t="s">
        <v>1636</v>
      </c>
      <c r="F222" s="5">
        <v>31100000</v>
      </c>
      <c r="G222" s="5">
        <v>34100000</v>
      </c>
      <c r="H222" s="5">
        <f>M222*26000*1.20565</f>
        <v>38133503.850000001</v>
      </c>
      <c r="I222" s="5">
        <f>G222-H222</f>
        <v>-4033503.8500000015</v>
      </c>
      <c r="J222" s="5">
        <v>3000000</v>
      </c>
      <c r="K222" s="5">
        <v>3110000</v>
      </c>
      <c r="L222" s="5">
        <v>3410000</v>
      </c>
      <c r="M222" s="7">
        <v>1216.5</v>
      </c>
      <c r="N222" s="5">
        <v>31600000</v>
      </c>
      <c r="O222" s="5">
        <v>34600000</v>
      </c>
      <c r="P222" s="3">
        <v>0.97916666666666663</v>
      </c>
    </row>
    <row r="223" spans="1:16" x14ac:dyDescent="0.25">
      <c r="A223" t="s">
        <v>153</v>
      </c>
      <c r="B223" s="2">
        <v>42692</v>
      </c>
      <c r="C223" t="str">
        <f>TEXT(B223,"mm")</f>
        <v>11</v>
      </c>
      <c r="D223" t="s">
        <v>21</v>
      </c>
      <c r="E223" t="s">
        <v>1636</v>
      </c>
      <c r="F223" s="5">
        <v>30900000</v>
      </c>
      <c r="G223" s="5">
        <v>33900000</v>
      </c>
      <c r="H223" s="5">
        <f>M223*26000*1.20565</f>
        <v>37882728.650000006</v>
      </c>
      <c r="I223" s="5">
        <f>G223-H223</f>
        <v>-3982728.650000006</v>
      </c>
      <c r="J223" s="5">
        <v>3000000</v>
      </c>
      <c r="K223" s="5">
        <v>3090000</v>
      </c>
      <c r="L223" s="5">
        <v>3390000</v>
      </c>
      <c r="M223" s="7">
        <v>1208.5</v>
      </c>
      <c r="N223" s="5">
        <v>31400000</v>
      </c>
      <c r="O223" s="5">
        <v>34400000</v>
      </c>
      <c r="P223" s="3">
        <v>0.97916666666666663</v>
      </c>
    </row>
    <row r="224" spans="1:16" x14ac:dyDescent="0.25">
      <c r="A224" t="s">
        <v>154</v>
      </c>
      <c r="B224" s="2">
        <v>42695</v>
      </c>
      <c r="C224" t="str">
        <f>TEXT(B224,"mm")</f>
        <v>11</v>
      </c>
      <c r="D224" t="s">
        <v>16</v>
      </c>
      <c r="E224" t="s">
        <v>1636</v>
      </c>
      <c r="F224" s="5">
        <v>30900000</v>
      </c>
      <c r="G224" s="5">
        <v>33900000</v>
      </c>
      <c r="H224" s="5">
        <f>M224*26000*1.20565</f>
        <v>37917210.240000002</v>
      </c>
      <c r="I224" s="5">
        <f>G224-H224</f>
        <v>-4017210.2400000021</v>
      </c>
      <c r="J224" s="5">
        <v>3000000</v>
      </c>
      <c r="K224" s="5">
        <v>3090000</v>
      </c>
      <c r="L224" s="5">
        <v>3390000</v>
      </c>
      <c r="M224" s="7">
        <v>1209.5999999999999</v>
      </c>
      <c r="N224" s="5">
        <v>31400000</v>
      </c>
      <c r="O224" s="5">
        <v>34400000</v>
      </c>
      <c r="P224" s="3">
        <v>0.97916666666666663</v>
      </c>
    </row>
    <row r="225" spans="1:16" x14ac:dyDescent="0.25">
      <c r="A225" t="s">
        <v>155</v>
      </c>
      <c r="B225" s="2">
        <v>42696</v>
      </c>
      <c r="C225" t="str">
        <f>TEXT(B225,"mm")</f>
        <v>11</v>
      </c>
      <c r="D225" t="s">
        <v>18</v>
      </c>
      <c r="E225" t="s">
        <v>1636</v>
      </c>
      <c r="F225" s="5">
        <v>30900000</v>
      </c>
      <c r="G225" s="5">
        <v>33900000</v>
      </c>
      <c r="H225" s="5">
        <f>M225*26000*1.20565</f>
        <v>37961095.900000006</v>
      </c>
      <c r="I225" s="5">
        <f>G225-H225</f>
        <v>-4061095.900000006</v>
      </c>
      <c r="J225" s="5">
        <v>3000000</v>
      </c>
      <c r="K225" s="5">
        <v>3090000</v>
      </c>
      <c r="L225" s="5">
        <v>3390000</v>
      </c>
      <c r="M225" s="7">
        <v>1211</v>
      </c>
      <c r="N225" s="5">
        <v>31400000</v>
      </c>
      <c r="O225" s="5">
        <v>34400000</v>
      </c>
      <c r="P225" s="3">
        <v>0.97916666666666663</v>
      </c>
    </row>
    <row r="226" spans="1:16" x14ac:dyDescent="0.25">
      <c r="A226" t="s">
        <v>156</v>
      </c>
      <c r="B226" s="2">
        <v>42697</v>
      </c>
      <c r="C226" t="str">
        <f>TEXT(B226,"mm")</f>
        <v>11</v>
      </c>
      <c r="D226" t="s">
        <v>19</v>
      </c>
      <c r="E226" t="s">
        <v>1636</v>
      </c>
      <c r="F226" s="5">
        <v>30300000</v>
      </c>
      <c r="G226" s="5">
        <v>33300000</v>
      </c>
      <c r="H226" s="5">
        <f>M226*26000*1.20565</f>
        <v>37274598.789999999</v>
      </c>
      <c r="I226" s="5">
        <f>G226-H226</f>
        <v>-3974598.7899999991</v>
      </c>
      <c r="J226" s="5">
        <v>3000000</v>
      </c>
      <c r="K226" s="5">
        <v>3030000</v>
      </c>
      <c r="L226" s="5">
        <v>3330000</v>
      </c>
      <c r="M226" s="7">
        <v>1189.0999999999999</v>
      </c>
      <c r="N226" s="5">
        <v>30800000</v>
      </c>
      <c r="O226" s="5">
        <v>33800000</v>
      </c>
      <c r="P226" s="3">
        <v>0.97916666666666663</v>
      </c>
    </row>
    <row r="227" spans="1:16" x14ac:dyDescent="0.25">
      <c r="A227" t="s">
        <v>157</v>
      </c>
      <c r="B227" s="2">
        <v>42699</v>
      </c>
      <c r="C227" t="str">
        <f>TEXT(B227,"mm")</f>
        <v>11</v>
      </c>
      <c r="D227" t="s">
        <v>21</v>
      </c>
      <c r="E227" t="s">
        <v>1636</v>
      </c>
      <c r="F227" s="5">
        <v>30000000</v>
      </c>
      <c r="G227" s="5">
        <v>33000000</v>
      </c>
      <c r="H227" s="5">
        <f>M227*26000*1.20565</f>
        <v>36932917.580000006</v>
      </c>
      <c r="I227" s="5">
        <f>G227-H227</f>
        <v>-3932917.5800000057</v>
      </c>
      <c r="J227" s="5">
        <v>3000000</v>
      </c>
      <c r="K227" s="5">
        <v>3000000</v>
      </c>
      <c r="L227" s="5">
        <v>3300000</v>
      </c>
      <c r="M227" s="7">
        <v>1178.2</v>
      </c>
      <c r="N227" s="5">
        <v>30500000</v>
      </c>
      <c r="O227" s="5">
        <v>33500000</v>
      </c>
      <c r="P227" s="3">
        <v>0.97916666666666663</v>
      </c>
    </row>
    <row r="228" spans="1:16" x14ac:dyDescent="0.25">
      <c r="A228" t="s">
        <v>158</v>
      </c>
      <c r="B228" s="2">
        <v>42702</v>
      </c>
      <c r="C228" t="str">
        <f>TEXT(B228,"mm")</f>
        <v>11</v>
      </c>
      <c r="D228" t="s">
        <v>16</v>
      </c>
      <c r="E228" t="s">
        <v>1636</v>
      </c>
      <c r="F228" s="5">
        <v>30400000</v>
      </c>
      <c r="G228" s="5">
        <v>33400000</v>
      </c>
      <c r="H228" s="5">
        <f>M228*26000*1.20565</f>
        <v>37321619.140000001</v>
      </c>
      <c r="I228" s="5">
        <f>G228-H228</f>
        <v>-3921619.1400000006</v>
      </c>
      <c r="J228" s="5">
        <v>3000000</v>
      </c>
      <c r="K228" s="5">
        <v>3040000</v>
      </c>
      <c r="L228" s="5">
        <v>3340000</v>
      </c>
      <c r="M228" s="7">
        <v>1190.5999999999999</v>
      </c>
      <c r="N228" s="5">
        <v>30900000</v>
      </c>
      <c r="O228" s="5">
        <v>33900000</v>
      </c>
      <c r="P228" s="3">
        <v>0.97916666666666663</v>
      </c>
    </row>
    <row r="229" spans="1:16" x14ac:dyDescent="0.25">
      <c r="A229" t="s">
        <v>159</v>
      </c>
      <c r="B229" s="2">
        <v>42703</v>
      </c>
      <c r="C229" t="str">
        <f>TEXT(B229,"mm")</f>
        <v>11</v>
      </c>
      <c r="D229" t="s">
        <v>18</v>
      </c>
      <c r="E229" t="s">
        <v>1636</v>
      </c>
      <c r="F229" s="5">
        <v>30300000</v>
      </c>
      <c r="G229" s="5">
        <v>33300000</v>
      </c>
      <c r="H229" s="5">
        <f>M229*26000*1.20565</f>
        <v>37236982.510000005</v>
      </c>
      <c r="I229" s="5">
        <f>G229-H229</f>
        <v>-3936982.5100000054</v>
      </c>
      <c r="J229" s="5">
        <v>3000000</v>
      </c>
      <c r="K229" s="5">
        <v>3030000</v>
      </c>
      <c r="L229" s="5">
        <v>3330000</v>
      </c>
      <c r="M229" s="7">
        <v>1187.9000000000001</v>
      </c>
      <c r="N229" s="5">
        <v>30800000</v>
      </c>
      <c r="O229" s="5">
        <v>33800000</v>
      </c>
      <c r="P229" s="3">
        <v>0.97916666666666663</v>
      </c>
    </row>
    <row r="230" spans="1:16" x14ac:dyDescent="0.25">
      <c r="A230" t="s">
        <v>160</v>
      </c>
      <c r="B230" s="2">
        <v>42704</v>
      </c>
      <c r="C230" t="str">
        <f>TEXT(B230,"mm")</f>
        <v>11</v>
      </c>
      <c r="D230" t="s">
        <v>19</v>
      </c>
      <c r="E230" t="s">
        <v>1636</v>
      </c>
      <c r="F230" s="5">
        <v>29800000</v>
      </c>
      <c r="G230" s="5">
        <v>32800000</v>
      </c>
      <c r="H230" s="5">
        <f>M230*26000*1.20565</f>
        <v>36700950.520000003</v>
      </c>
      <c r="I230" s="5">
        <f>G230-H230</f>
        <v>-3900950.5200000033</v>
      </c>
      <c r="J230" s="5">
        <v>3000000</v>
      </c>
      <c r="K230" s="5">
        <v>2980000</v>
      </c>
      <c r="L230" s="5">
        <v>3280000</v>
      </c>
      <c r="M230" s="7">
        <v>1170.8</v>
      </c>
      <c r="N230" s="5">
        <v>30300000</v>
      </c>
      <c r="O230" s="5">
        <v>33300000</v>
      </c>
      <c r="P230" s="3">
        <v>0.97916666666666663</v>
      </c>
    </row>
    <row r="231" spans="1:16" x14ac:dyDescent="0.25">
      <c r="A231" s="2">
        <v>42381</v>
      </c>
      <c r="B231" s="2">
        <v>42705</v>
      </c>
      <c r="C231" t="str">
        <f>TEXT(B231,"mm")</f>
        <v>12</v>
      </c>
      <c r="D231" t="s">
        <v>20</v>
      </c>
      <c r="E231" t="s">
        <v>1636</v>
      </c>
      <c r="F231" s="5">
        <v>29700000</v>
      </c>
      <c r="G231" s="5">
        <v>32700000</v>
      </c>
      <c r="H231" s="5">
        <f>M231*26000*1.20565</f>
        <v>36578697.610000007</v>
      </c>
      <c r="I231" s="5">
        <f>G231-H231</f>
        <v>-3878697.6100000069</v>
      </c>
      <c r="J231" s="5">
        <v>3000000</v>
      </c>
      <c r="K231" s="5">
        <v>2970000</v>
      </c>
      <c r="L231" s="5">
        <v>3270000</v>
      </c>
      <c r="M231" s="7">
        <v>1166.9000000000001</v>
      </c>
      <c r="N231" s="5">
        <v>30200000</v>
      </c>
      <c r="O231" s="5">
        <v>33200000</v>
      </c>
      <c r="P231" s="3">
        <v>0.97916666666666663</v>
      </c>
    </row>
    <row r="232" spans="1:16" x14ac:dyDescent="0.25">
      <c r="A232" s="2">
        <v>42412</v>
      </c>
      <c r="B232" s="2">
        <v>42706</v>
      </c>
      <c r="C232" t="str">
        <f>TEXT(B232,"mm")</f>
        <v>12</v>
      </c>
      <c r="D232" t="s">
        <v>21</v>
      </c>
      <c r="E232" t="s">
        <v>1636</v>
      </c>
      <c r="F232" s="5">
        <v>29900000</v>
      </c>
      <c r="G232" s="5">
        <v>32900000</v>
      </c>
      <c r="H232" s="5">
        <f>M232*26000*1.20565</f>
        <v>36835742.189999998</v>
      </c>
      <c r="I232" s="5">
        <f>G232-H232</f>
        <v>-3935742.1899999976</v>
      </c>
      <c r="J232" s="5">
        <v>3000000</v>
      </c>
      <c r="K232" s="5">
        <v>2990000</v>
      </c>
      <c r="L232" s="5">
        <v>3290000</v>
      </c>
      <c r="M232" s="7">
        <v>1175.0999999999999</v>
      </c>
      <c r="N232" s="5">
        <v>30400000</v>
      </c>
      <c r="O232" s="5">
        <v>33400000</v>
      </c>
      <c r="P232" s="3">
        <v>0.97916666666666663</v>
      </c>
    </row>
    <row r="233" spans="1:16" x14ac:dyDescent="0.25">
      <c r="A233" s="2">
        <v>42502</v>
      </c>
      <c r="B233" s="2">
        <v>42709</v>
      </c>
      <c r="C233" t="str">
        <f>TEXT(B233,"mm")</f>
        <v>12</v>
      </c>
      <c r="D233" t="s">
        <v>16</v>
      </c>
      <c r="E233" t="s">
        <v>1636</v>
      </c>
      <c r="F233" s="5">
        <v>29900000</v>
      </c>
      <c r="G233" s="5">
        <v>32900000</v>
      </c>
      <c r="H233" s="5">
        <f>M233*26000*1.20565</f>
        <v>36801260.600000001</v>
      </c>
      <c r="I233" s="5">
        <f>G233-H233</f>
        <v>-3901260.6000000015</v>
      </c>
      <c r="J233" s="5">
        <v>3000000</v>
      </c>
      <c r="K233" s="5">
        <v>2990000</v>
      </c>
      <c r="L233" s="5">
        <v>3290000</v>
      </c>
      <c r="M233" s="7">
        <v>1174</v>
      </c>
      <c r="N233" s="5">
        <v>30400000</v>
      </c>
      <c r="O233" s="5">
        <v>33400000</v>
      </c>
      <c r="P233" s="3">
        <v>0.97916666666666663</v>
      </c>
    </row>
    <row r="234" spans="1:16" x14ac:dyDescent="0.25">
      <c r="A234" s="2">
        <v>42533</v>
      </c>
      <c r="B234" s="2">
        <v>42710</v>
      </c>
      <c r="C234" t="str">
        <f>TEXT(B234,"mm")</f>
        <v>12</v>
      </c>
      <c r="D234" t="s">
        <v>18</v>
      </c>
      <c r="E234" t="s">
        <v>1636</v>
      </c>
      <c r="F234" s="5">
        <v>29700000</v>
      </c>
      <c r="G234" s="5">
        <v>32700000</v>
      </c>
      <c r="H234" s="5">
        <f>M234*26000*1.20565</f>
        <v>36600640.439999998</v>
      </c>
      <c r="I234" s="5">
        <f>G234-H234</f>
        <v>-3900640.4399999976</v>
      </c>
      <c r="J234" s="5">
        <v>3000000</v>
      </c>
      <c r="K234" s="5">
        <v>2970000</v>
      </c>
      <c r="L234" s="5">
        <v>3270000</v>
      </c>
      <c r="M234" s="7">
        <v>1167.5999999999999</v>
      </c>
      <c r="N234" s="5">
        <v>30200000</v>
      </c>
      <c r="O234" s="5">
        <v>33200000</v>
      </c>
      <c r="P234" s="3">
        <v>0.97916666666666663</v>
      </c>
    </row>
    <row r="235" spans="1:16" x14ac:dyDescent="0.25">
      <c r="A235" s="2">
        <v>42563</v>
      </c>
      <c r="B235" s="2">
        <v>42711</v>
      </c>
      <c r="C235" t="str">
        <f>TEXT(B235,"mm")</f>
        <v>12</v>
      </c>
      <c r="D235" t="s">
        <v>19</v>
      </c>
      <c r="E235" t="s">
        <v>1636</v>
      </c>
      <c r="F235" s="5">
        <v>29900000</v>
      </c>
      <c r="G235" s="5">
        <v>32900000</v>
      </c>
      <c r="H235" s="5">
        <f>M235*26000*1.20565</f>
        <v>36832607.5</v>
      </c>
      <c r="I235" s="5">
        <f>G235-H235</f>
        <v>-3932607.5</v>
      </c>
      <c r="J235" s="5">
        <v>3000000</v>
      </c>
      <c r="K235" s="5">
        <v>2990000</v>
      </c>
      <c r="L235" s="5">
        <v>3290000</v>
      </c>
      <c r="M235" s="7">
        <v>1175</v>
      </c>
      <c r="N235" s="5">
        <v>30400000</v>
      </c>
      <c r="O235" s="5">
        <v>33400000</v>
      </c>
      <c r="P235" s="3">
        <v>0.97916666666666663</v>
      </c>
    </row>
    <row r="236" spans="1:16" x14ac:dyDescent="0.25">
      <c r="A236" s="2">
        <v>42594</v>
      </c>
      <c r="B236" s="2">
        <v>42712</v>
      </c>
      <c r="C236" t="str">
        <f>TEXT(B236,"mm")</f>
        <v>12</v>
      </c>
      <c r="D236" t="s">
        <v>20</v>
      </c>
      <c r="E236" t="s">
        <v>1636</v>
      </c>
      <c r="F236" s="5">
        <v>29800000</v>
      </c>
      <c r="G236" s="5">
        <v>32800000</v>
      </c>
      <c r="H236" s="5">
        <f>M236*26000*1.20565</f>
        <v>36669603.620000005</v>
      </c>
      <c r="I236" s="5">
        <f>G236-H236</f>
        <v>-3869603.6200000048</v>
      </c>
      <c r="J236" s="5">
        <v>3000000</v>
      </c>
      <c r="K236" s="5">
        <v>2980000</v>
      </c>
      <c r="L236" s="5">
        <v>3280000</v>
      </c>
      <c r="M236" s="7">
        <v>1169.8</v>
      </c>
      <c r="N236" s="5">
        <v>30300000</v>
      </c>
      <c r="O236" s="5">
        <v>33300000</v>
      </c>
      <c r="P236" s="3">
        <v>0.97916666666666663</v>
      </c>
    </row>
    <row r="237" spans="1:16" x14ac:dyDescent="0.25">
      <c r="A237" s="2">
        <v>42625</v>
      </c>
      <c r="B237" s="2">
        <v>42713</v>
      </c>
      <c r="C237" t="str">
        <f>TEXT(B237,"mm")</f>
        <v>12</v>
      </c>
      <c r="D237" t="s">
        <v>21</v>
      </c>
      <c r="E237" t="s">
        <v>1636</v>
      </c>
      <c r="F237" s="5">
        <v>29500000</v>
      </c>
      <c r="G237" s="5">
        <v>32500000</v>
      </c>
      <c r="H237" s="5">
        <f>M237*26000*1.20565</f>
        <v>36343595.860000007</v>
      </c>
      <c r="I237" s="5">
        <f>G237-H237</f>
        <v>-3843595.8600000069</v>
      </c>
      <c r="J237" s="5">
        <v>3000000</v>
      </c>
      <c r="K237" s="5">
        <v>2950000</v>
      </c>
      <c r="L237" s="5">
        <v>3250000</v>
      </c>
      <c r="M237" s="7">
        <v>1159.4000000000001</v>
      </c>
      <c r="N237" s="5">
        <v>30000000</v>
      </c>
      <c r="O237" s="5">
        <v>33000000</v>
      </c>
      <c r="P237" s="3">
        <v>0.97916666666666663</v>
      </c>
    </row>
    <row r="238" spans="1:16" x14ac:dyDescent="0.25">
      <c r="A238" s="2">
        <v>42716</v>
      </c>
      <c r="B238" s="2">
        <v>42716</v>
      </c>
      <c r="C238" t="str">
        <f>TEXT(B238,"mm")</f>
        <v>12</v>
      </c>
      <c r="D238" t="s">
        <v>16</v>
      </c>
      <c r="E238" t="s">
        <v>1636</v>
      </c>
      <c r="F238" s="5">
        <v>29600000</v>
      </c>
      <c r="G238" s="5">
        <v>32600000</v>
      </c>
      <c r="H238" s="5">
        <f>M238*26000*1.20565</f>
        <v>36472118.150000006</v>
      </c>
      <c r="I238" s="5">
        <f>G238-H238</f>
        <v>-3872118.150000006</v>
      </c>
      <c r="J238" s="5">
        <v>3000000</v>
      </c>
      <c r="K238" s="5">
        <v>2960000</v>
      </c>
      <c r="L238" s="5">
        <v>3260000</v>
      </c>
      <c r="M238" s="7">
        <v>1163.5</v>
      </c>
      <c r="N238" s="5">
        <v>30100000</v>
      </c>
      <c r="O238" s="5">
        <v>33100000</v>
      </c>
      <c r="P238" s="3">
        <v>0.97916666666666663</v>
      </c>
    </row>
    <row r="239" spans="1:16" x14ac:dyDescent="0.25">
      <c r="A239" t="s">
        <v>161</v>
      </c>
      <c r="B239" s="2">
        <v>42717</v>
      </c>
      <c r="C239" t="str">
        <f>TEXT(B239,"mm")</f>
        <v>12</v>
      </c>
      <c r="D239" t="s">
        <v>18</v>
      </c>
      <c r="E239" t="s">
        <v>1636</v>
      </c>
      <c r="F239" s="5">
        <v>29400000</v>
      </c>
      <c r="G239" s="5">
        <v>32400000</v>
      </c>
      <c r="H239" s="5">
        <f>M239*26000*1.20565</f>
        <v>36258959.230000004</v>
      </c>
      <c r="I239" s="5">
        <f>G239-H239</f>
        <v>-3858959.2300000042</v>
      </c>
      <c r="J239" s="5">
        <v>3000000</v>
      </c>
      <c r="K239" s="5">
        <v>2940000</v>
      </c>
      <c r="L239" s="5">
        <v>3240000</v>
      </c>
      <c r="M239" s="7">
        <v>1156.7</v>
      </c>
      <c r="N239" s="5">
        <v>29900000</v>
      </c>
      <c r="O239" s="5">
        <v>32900000</v>
      </c>
      <c r="P239" s="3">
        <v>0.97916666666666663</v>
      </c>
    </row>
    <row r="240" spans="1:16" x14ac:dyDescent="0.25">
      <c r="A240" t="s">
        <v>162</v>
      </c>
      <c r="B240" s="2">
        <v>42718</v>
      </c>
      <c r="C240" t="str">
        <f>TEXT(B240,"mm")</f>
        <v>12</v>
      </c>
      <c r="D240" t="s">
        <v>19</v>
      </c>
      <c r="E240" t="s">
        <v>1636</v>
      </c>
      <c r="F240" s="5">
        <v>29500000</v>
      </c>
      <c r="G240" s="5">
        <v>32500000</v>
      </c>
      <c r="H240" s="5">
        <f>M240*26000*1.20565</f>
        <v>36403154.970000006</v>
      </c>
      <c r="I240" s="5">
        <f>G240-H240</f>
        <v>-3903154.9700000063</v>
      </c>
      <c r="J240" s="5">
        <v>3000000</v>
      </c>
      <c r="K240" s="5">
        <v>2950000</v>
      </c>
      <c r="L240" s="5">
        <v>3250000</v>
      </c>
      <c r="M240" s="7">
        <v>1161.3</v>
      </c>
      <c r="N240" s="5">
        <v>30000000</v>
      </c>
      <c r="O240" s="5">
        <v>33000000</v>
      </c>
      <c r="P240" s="3">
        <v>0.97916666666666663</v>
      </c>
    </row>
    <row r="241" spans="1:16" x14ac:dyDescent="0.25">
      <c r="A241" t="s">
        <v>163</v>
      </c>
      <c r="B241" s="2">
        <v>42719</v>
      </c>
      <c r="C241" t="str">
        <f>TEXT(B241,"mm")</f>
        <v>12</v>
      </c>
      <c r="D241" t="s">
        <v>20</v>
      </c>
      <c r="E241" t="s">
        <v>1636</v>
      </c>
      <c r="F241" s="5">
        <v>28600000</v>
      </c>
      <c r="G241" s="5">
        <v>31600000</v>
      </c>
      <c r="H241" s="5">
        <f>M241*26000*1.20565</f>
        <v>35353033.82</v>
      </c>
      <c r="I241" s="5">
        <f>G241-H241</f>
        <v>-3753033.8200000003</v>
      </c>
      <c r="J241" s="5">
        <v>3000000</v>
      </c>
      <c r="K241" s="5">
        <v>2860000</v>
      </c>
      <c r="L241" s="5">
        <v>3160000</v>
      </c>
      <c r="M241" s="7">
        <v>1127.8</v>
      </c>
      <c r="N241" s="5">
        <v>29100000</v>
      </c>
      <c r="O241" s="5">
        <v>32100000</v>
      </c>
      <c r="P241" s="3">
        <v>0.97916666666666663</v>
      </c>
    </row>
    <row r="242" spans="1:16" x14ac:dyDescent="0.25">
      <c r="A242" t="s">
        <v>164</v>
      </c>
      <c r="B242" s="2">
        <v>42720</v>
      </c>
      <c r="C242" t="str">
        <f>TEXT(B242,"mm")</f>
        <v>12</v>
      </c>
      <c r="D242" t="s">
        <v>21</v>
      </c>
      <c r="E242" t="s">
        <v>1636</v>
      </c>
      <c r="F242" s="5">
        <v>28800000</v>
      </c>
      <c r="G242" s="5">
        <v>31800000</v>
      </c>
      <c r="H242" s="5">
        <f>M242*26000*1.20565</f>
        <v>35588135.57</v>
      </c>
      <c r="I242" s="5">
        <f>G242-H242</f>
        <v>-3788135.5700000003</v>
      </c>
      <c r="J242" s="5">
        <v>3000000</v>
      </c>
      <c r="K242" s="5">
        <v>2880000</v>
      </c>
      <c r="L242" s="5">
        <v>3180000</v>
      </c>
      <c r="M242" s="7">
        <v>1135.3</v>
      </c>
      <c r="N242" s="5">
        <v>29300000</v>
      </c>
      <c r="O242" s="5">
        <v>32300000</v>
      </c>
      <c r="P242" s="3">
        <v>0.97916666666666663</v>
      </c>
    </row>
    <row r="243" spans="1:16" x14ac:dyDescent="0.25">
      <c r="A243" t="s">
        <v>165</v>
      </c>
      <c r="B243" s="2">
        <v>42723</v>
      </c>
      <c r="C243" t="str">
        <f>TEXT(B243,"mm")</f>
        <v>12</v>
      </c>
      <c r="D243" t="s">
        <v>16</v>
      </c>
      <c r="E243" t="s">
        <v>1636</v>
      </c>
      <c r="F243" s="5">
        <v>29000000</v>
      </c>
      <c r="G243" s="5">
        <v>32000000</v>
      </c>
      <c r="H243" s="5">
        <f>M243*26000*1.20565</f>
        <v>35751139.450000003</v>
      </c>
      <c r="I243" s="5">
        <f>G243-H243</f>
        <v>-3751139.450000003</v>
      </c>
      <c r="J243" s="5">
        <v>3000000</v>
      </c>
      <c r="K243" s="5">
        <v>2900000</v>
      </c>
      <c r="L243" s="5">
        <v>3200000</v>
      </c>
      <c r="M243" s="7">
        <v>1140.5</v>
      </c>
      <c r="N243" s="5">
        <v>29500000</v>
      </c>
      <c r="O243" s="5">
        <v>32500000</v>
      </c>
      <c r="P243" s="3">
        <v>0.97916666666666663</v>
      </c>
    </row>
    <row r="244" spans="1:16" x14ac:dyDescent="0.25">
      <c r="A244" t="s">
        <v>166</v>
      </c>
      <c r="B244" s="2">
        <v>42724</v>
      </c>
      <c r="C244" t="str">
        <f>TEXT(B244,"mm")</f>
        <v>12</v>
      </c>
      <c r="D244" t="s">
        <v>18</v>
      </c>
      <c r="E244" t="s">
        <v>1636</v>
      </c>
      <c r="F244" s="5">
        <v>28700000</v>
      </c>
      <c r="G244" s="5">
        <v>31700000</v>
      </c>
      <c r="H244" s="5">
        <f>M244*26000*1.20565</f>
        <v>35469017.350000001</v>
      </c>
      <c r="I244" s="5">
        <f>G244-H244</f>
        <v>-3769017.3500000015</v>
      </c>
      <c r="J244" s="5">
        <v>3000000</v>
      </c>
      <c r="K244" s="5">
        <v>2870000</v>
      </c>
      <c r="L244" s="5">
        <v>3170000</v>
      </c>
      <c r="M244" s="7">
        <v>1131.5</v>
      </c>
      <c r="N244" s="5">
        <v>29200000</v>
      </c>
      <c r="O244" s="5">
        <v>32200000</v>
      </c>
      <c r="P244" s="3">
        <v>0.97916666666666663</v>
      </c>
    </row>
    <row r="245" spans="1:16" x14ac:dyDescent="0.25">
      <c r="A245" t="s">
        <v>167</v>
      </c>
      <c r="B245" s="2">
        <v>42725</v>
      </c>
      <c r="C245" t="str">
        <f>TEXT(B245,"mm")</f>
        <v>12</v>
      </c>
      <c r="D245" t="s">
        <v>19</v>
      </c>
      <c r="E245" t="s">
        <v>1636</v>
      </c>
      <c r="F245" s="5">
        <v>28700000</v>
      </c>
      <c r="G245" s="5">
        <v>31700000</v>
      </c>
      <c r="H245" s="5">
        <f>M245*26000*1.20565</f>
        <v>35456478.589999996</v>
      </c>
      <c r="I245" s="5">
        <f>G245-H245</f>
        <v>-3756478.5899999961</v>
      </c>
      <c r="J245" s="5">
        <v>3000000</v>
      </c>
      <c r="K245" s="5">
        <v>2870000</v>
      </c>
      <c r="L245" s="5">
        <v>3170000</v>
      </c>
      <c r="M245" s="7">
        <v>1131.0999999999999</v>
      </c>
      <c r="N245" s="5">
        <v>29200000</v>
      </c>
      <c r="O245" s="5">
        <v>32200000</v>
      </c>
      <c r="P245" s="3">
        <v>0.97916666666666663</v>
      </c>
    </row>
    <row r="246" spans="1:16" x14ac:dyDescent="0.25">
      <c r="A246" t="s">
        <v>168</v>
      </c>
      <c r="B246" s="2">
        <v>42726</v>
      </c>
      <c r="C246" t="str">
        <f>TEXT(B246,"mm")</f>
        <v>12</v>
      </c>
      <c r="D246" t="s">
        <v>20</v>
      </c>
      <c r="E246" t="s">
        <v>1636</v>
      </c>
      <c r="F246" s="5">
        <v>28600000</v>
      </c>
      <c r="G246" s="5">
        <v>31600000</v>
      </c>
      <c r="H246" s="5">
        <f>M246*26000*1.20565</f>
        <v>35384380.720000006</v>
      </c>
      <c r="I246" s="5">
        <f>G246-H246</f>
        <v>-3784380.7200000063</v>
      </c>
      <c r="J246" s="5">
        <v>3000000</v>
      </c>
      <c r="K246" s="5">
        <v>2860000</v>
      </c>
      <c r="L246" s="5">
        <v>3160000</v>
      </c>
      <c r="M246" s="7">
        <v>1128.8</v>
      </c>
      <c r="N246" s="5">
        <v>29100000</v>
      </c>
      <c r="O246" s="5">
        <v>32100000</v>
      </c>
      <c r="P246" s="3">
        <v>0.97916666666666663</v>
      </c>
    </row>
    <row r="247" spans="1:16" x14ac:dyDescent="0.25">
      <c r="A247" t="s">
        <v>169</v>
      </c>
      <c r="B247" s="2">
        <v>42727</v>
      </c>
      <c r="C247" t="str">
        <f>TEXT(B247,"mm")</f>
        <v>12</v>
      </c>
      <c r="D247" t="s">
        <v>21</v>
      </c>
      <c r="E247" t="s">
        <v>1636</v>
      </c>
      <c r="F247" s="5">
        <v>28700000</v>
      </c>
      <c r="G247" s="5">
        <v>31700000</v>
      </c>
      <c r="H247" s="5">
        <f>M247*26000*1.20565</f>
        <v>35481556.110000007</v>
      </c>
      <c r="I247" s="5">
        <f>G247-H247</f>
        <v>-3781556.1100000069</v>
      </c>
      <c r="J247" s="5">
        <v>3000000</v>
      </c>
      <c r="K247" s="5">
        <v>2870000</v>
      </c>
      <c r="L247" s="5">
        <v>3170000</v>
      </c>
      <c r="M247" s="7">
        <v>1131.9000000000001</v>
      </c>
      <c r="N247" s="5">
        <v>29200000</v>
      </c>
      <c r="O247" s="5">
        <v>32200000</v>
      </c>
      <c r="P247" s="3">
        <v>0.97916666666666663</v>
      </c>
    </row>
    <row r="248" spans="1:16" x14ac:dyDescent="0.25">
      <c r="A248" t="s">
        <v>170</v>
      </c>
      <c r="B248" s="2">
        <v>42731</v>
      </c>
      <c r="C248" t="str">
        <f>TEXT(B248,"mm")</f>
        <v>12</v>
      </c>
      <c r="D248" t="s">
        <v>18</v>
      </c>
      <c r="E248" t="s">
        <v>1636</v>
      </c>
      <c r="F248" s="5">
        <v>28900000</v>
      </c>
      <c r="G248" s="5">
        <v>31900000</v>
      </c>
      <c r="H248" s="5">
        <f>M248*26000*1.20565</f>
        <v>35650829.370000005</v>
      </c>
      <c r="I248" s="5">
        <f>G248-H248</f>
        <v>-3750829.3700000048</v>
      </c>
      <c r="J248" s="5">
        <v>3000000</v>
      </c>
      <c r="K248" s="5">
        <v>2890000</v>
      </c>
      <c r="L248" s="5">
        <v>3190000</v>
      </c>
      <c r="M248" s="7">
        <v>1137.3</v>
      </c>
      <c r="N248" s="5">
        <v>29400000</v>
      </c>
      <c r="O248" s="5">
        <v>32400000</v>
      </c>
      <c r="P248" s="3">
        <v>0.97916666666666663</v>
      </c>
    </row>
    <row r="249" spans="1:16" x14ac:dyDescent="0.25">
      <c r="A249" t="s">
        <v>171</v>
      </c>
      <c r="B249" s="2">
        <v>42732</v>
      </c>
      <c r="C249" t="str">
        <f>TEXT(B249,"mm")</f>
        <v>12</v>
      </c>
      <c r="D249" t="s">
        <v>19</v>
      </c>
      <c r="E249" t="s">
        <v>1636</v>
      </c>
      <c r="F249" s="5">
        <v>28900000</v>
      </c>
      <c r="G249" s="5">
        <v>31900000</v>
      </c>
      <c r="H249" s="5">
        <f>M249*26000*1.20565</f>
        <v>35716657.860000007</v>
      </c>
      <c r="I249" s="5">
        <f>G249-H249</f>
        <v>-3816657.8600000069</v>
      </c>
      <c r="J249" s="5">
        <v>3000000</v>
      </c>
      <c r="K249" s="5">
        <v>2890000</v>
      </c>
      <c r="L249" s="5">
        <v>3190000</v>
      </c>
      <c r="M249" s="7">
        <v>1139.4000000000001</v>
      </c>
      <c r="N249" s="5">
        <v>29400000</v>
      </c>
      <c r="O249" s="5">
        <v>32400000</v>
      </c>
      <c r="P249" s="3">
        <v>0.97916666666666663</v>
      </c>
    </row>
    <row r="250" spans="1:16" x14ac:dyDescent="0.25">
      <c r="A250" t="s">
        <v>172</v>
      </c>
      <c r="B250" s="2">
        <v>42733</v>
      </c>
      <c r="C250" t="str">
        <f>TEXT(B250,"mm")</f>
        <v>12</v>
      </c>
      <c r="D250" t="s">
        <v>20</v>
      </c>
      <c r="E250" t="s">
        <v>1636</v>
      </c>
      <c r="F250" s="5">
        <v>29400000</v>
      </c>
      <c r="G250" s="5">
        <v>32400000</v>
      </c>
      <c r="H250" s="5">
        <f>M250*26000*1.20565</f>
        <v>36249555.160000011</v>
      </c>
      <c r="I250" s="5">
        <f>G250-H250</f>
        <v>-3849555.1600000113</v>
      </c>
      <c r="J250" s="5">
        <v>3000000</v>
      </c>
      <c r="K250" s="5">
        <v>2940000</v>
      </c>
      <c r="L250" s="5">
        <v>3240000</v>
      </c>
      <c r="M250" s="7">
        <v>1156.4000000000001</v>
      </c>
      <c r="N250" s="5">
        <v>29900000</v>
      </c>
      <c r="O250" s="5">
        <v>32900000</v>
      </c>
      <c r="P250" s="3">
        <v>0.97916666666666663</v>
      </c>
    </row>
    <row r="251" spans="1:16" x14ac:dyDescent="0.25">
      <c r="A251" t="s">
        <v>173</v>
      </c>
      <c r="B251" s="2">
        <v>42734</v>
      </c>
      <c r="C251" t="str">
        <f>TEXT(B251,"mm")</f>
        <v>12</v>
      </c>
      <c r="D251" t="s">
        <v>21</v>
      </c>
      <c r="E251" t="s">
        <v>1636</v>
      </c>
      <c r="F251" s="5">
        <v>29200000</v>
      </c>
      <c r="G251" s="5">
        <v>32200000</v>
      </c>
      <c r="H251" s="5">
        <f>M251*26000*1.20565</f>
        <v>36048935</v>
      </c>
      <c r="I251" s="5">
        <f>G251-H251</f>
        <v>-3848935</v>
      </c>
      <c r="J251" s="5">
        <v>3000000</v>
      </c>
      <c r="K251" s="5">
        <v>2920000</v>
      </c>
      <c r="L251" s="5">
        <v>3220000</v>
      </c>
      <c r="M251" s="7">
        <v>1150</v>
      </c>
      <c r="N251" s="5">
        <v>29700000</v>
      </c>
      <c r="O251" s="5">
        <v>32700000</v>
      </c>
      <c r="P251" s="3">
        <v>0.97916666666666663</v>
      </c>
    </row>
    <row r="252" spans="1:16" x14ac:dyDescent="0.25">
      <c r="A252" s="2">
        <v>42795</v>
      </c>
      <c r="B252" s="2">
        <v>42738</v>
      </c>
      <c r="C252" t="str">
        <f>TEXT(B252,"mm")</f>
        <v>01</v>
      </c>
      <c r="D252" t="s">
        <v>18</v>
      </c>
      <c r="E252" t="s">
        <v>1636</v>
      </c>
      <c r="F252" s="5">
        <v>30300000</v>
      </c>
      <c r="G252" s="5">
        <v>33300000</v>
      </c>
      <c r="H252" s="5">
        <f>M252*26000*1.20565</f>
        <v>36374942.760000005</v>
      </c>
      <c r="I252" s="5">
        <f>G252-H252</f>
        <v>-3074942.7600000054</v>
      </c>
      <c r="J252" s="5">
        <v>3000000</v>
      </c>
      <c r="K252" s="5">
        <v>3030000</v>
      </c>
      <c r="L252" s="5">
        <v>3330000</v>
      </c>
      <c r="M252" s="7">
        <v>1160.4000000000001</v>
      </c>
      <c r="N252" s="5">
        <v>30800000</v>
      </c>
      <c r="O252" s="5">
        <v>33800000</v>
      </c>
      <c r="P252" s="3">
        <v>0.97916666666666663</v>
      </c>
    </row>
    <row r="253" spans="1:16" x14ac:dyDescent="0.25">
      <c r="A253" s="2">
        <v>42826</v>
      </c>
      <c r="B253" s="2">
        <v>42739</v>
      </c>
      <c r="C253" t="str">
        <f>TEXT(B253,"mm")</f>
        <v>01</v>
      </c>
      <c r="D253" t="s">
        <v>19</v>
      </c>
      <c r="E253" t="s">
        <v>1636</v>
      </c>
      <c r="F253" s="5">
        <v>30400000</v>
      </c>
      <c r="G253" s="5">
        <v>33400000</v>
      </c>
      <c r="H253" s="5">
        <f>M253*26000*1.20565</f>
        <v>36481522.220000006</v>
      </c>
      <c r="I253" s="5">
        <f>G253-H253</f>
        <v>-3081522.2200000063</v>
      </c>
      <c r="J253" s="5">
        <v>3000000</v>
      </c>
      <c r="K253" s="5">
        <v>3040000</v>
      </c>
      <c r="L253" s="5">
        <v>3340000</v>
      </c>
      <c r="M253" s="7">
        <v>1163.8</v>
      </c>
      <c r="N253" s="5">
        <v>30900000</v>
      </c>
      <c r="O253" s="5">
        <v>33900000</v>
      </c>
      <c r="P253" s="3">
        <v>0.97916666666666663</v>
      </c>
    </row>
    <row r="254" spans="1:16" x14ac:dyDescent="0.25">
      <c r="A254" s="2">
        <v>42856</v>
      </c>
      <c r="B254" s="2">
        <v>42740</v>
      </c>
      <c r="C254" t="str">
        <f>TEXT(B254,"mm")</f>
        <v>01</v>
      </c>
      <c r="D254" t="s">
        <v>20</v>
      </c>
      <c r="E254" t="s">
        <v>1636</v>
      </c>
      <c r="F254" s="5">
        <v>30900000</v>
      </c>
      <c r="G254" s="5">
        <v>33900000</v>
      </c>
      <c r="H254" s="5">
        <f>M254*26000*1.20565</f>
        <v>36979937.93</v>
      </c>
      <c r="I254" s="5">
        <f>G254-H254</f>
        <v>-3079937.9299999997</v>
      </c>
      <c r="J254" s="5">
        <v>3000000</v>
      </c>
      <c r="K254" s="5">
        <v>3090000</v>
      </c>
      <c r="L254" s="5">
        <v>3390000</v>
      </c>
      <c r="M254" s="7">
        <v>1179.7</v>
      </c>
      <c r="N254" s="5">
        <v>31400000</v>
      </c>
      <c r="O254" s="5">
        <v>34400000</v>
      </c>
      <c r="P254" s="3">
        <v>0.97916666666666663</v>
      </c>
    </row>
    <row r="255" spans="1:16" x14ac:dyDescent="0.25">
      <c r="A255" s="2">
        <v>42887</v>
      </c>
      <c r="B255" s="2">
        <v>42741</v>
      </c>
      <c r="C255" t="str">
        <f>TEXT(B255,"mm")</f>
        <v>01</v>
      </c>
      <c r="D255" t="s">
        <v>21</v>
      </c>
      <c r="E255" t="s">
        <v>1636</v>
      </c>
      <c r="F255" s="5">
        <v>30700000</v>
      </c>
      <c r="G255" s="5">
        <v>33700000</v>
      </c>
      <c r="H255" s="5">
        <f>M255*26000*1.20565</f>
        <v>36735432.110000007</v>
      </c>
      <c r="I255" s="5">
        <f>G255-H255</f>
        <v>-3035432.1100000069</v>
      </c>
      <c r="J255" s="5">
        <v>3000000</v>
      </c>
      <c r="K255" s="5">
        <v>3070000</v>
      </c>
      <c r="L255" s="5">
        <v>3370000</v>
      </c>
      <c r="M255" s="7">
        <v>1171.9000000000001</v>
      </c>
      <c r="N255" s="5">
        <v>31200000</v>
      </c>
      <c r="O255" s="5">
        <v>34200000</v>
      </c>
      <c r="P255" s="3">
        <v>0.97916666666666663</v>
      </c>
    </row>
    <row r="256" spans="1:16" x14ac:dyDescent="0.25">
      <c r="A256" s="2">
        <v>42979</v>
      </c>
      <c r="B256" s="2">
        <v>42744</v>
      </c>
      <c r="C256" t="str">
        <f>TEXT(B256,"mm")</f>
        <v>01</v>
      </c>
      <c r="D256" t="s">
        <v>16</v>
      </c>
      <c r="E256" t="s">
        <v>1636</v>
      </c>
      <c r="F256" s="5">
        <v>31000000</v>
      </c>
      <c r="G256" s="5">
        <v>34000000</v>
      </c>
      <c r="H256" s="5">
        <f>M256*26000*1.20565</f>
        <v>37099056.150000006</v>
      </c>
      <c r="I256" s="5">
        <f>G256-H256</f>
        <v>-3099056.150000006</v>
      </c>
      <c r="J256" s="5">
        <v>3000000</v>
      </c>
      <c r="K256" s="5">
        <v>3100000</v>
      </c>
      <c r="L256" s="5">
        <v>3400000</v>
      </c>
      <c r="M256" s="7">
        <v>1183.5</v>
      </c>
      <c r="N256" s="5">
        <v>31500000</v>
      </c>
      <c r="O256" s="5">
        <v>34500000</v>
      </c>
      <c r="P256" s="3">
        <v>0.97916666666666663</v>
      </c>
    </row>
    <row r="257" spans="1:16" x14ac:dyDescent="0.25">
      <c r="A257" s="2">
        <v>43009</v>
      </c>
      <c r="B257" s="2">
        <v>42745</v>
      </c>
      <c r="C257" t="str">
        <f>TEXT(B257,"mm")</f>
        <v>01</v>
      </c>
      <c r="D257" t="s">
        <v>18</v>
      </c>
      <c r="E257" t="s">
        <v>1636</v>
      </c>
      <c r="F257" s="5">
        <v>31000000</v>
      </c>
      <c r="G257" s="5">
        <v>34000000</v>
      </c>
      <c r="H257" s="5">
        <f>M257*26000*1.20565</f>
        <v>37120998.980000004</v>
      </c>
      <c r="I257" s="5">
        <f>G257-H257</f>
        <v>-3120998.9800000042</v>
      </c>
      <c r="J257" s="5">
        <v>3000000</v>
      </c>
      <c r="K257" s="5">
        <v>3100000</v>
      </c>
      <c r="L257" s="5">
        <v>3400000</v>
      </c>
      <c r="M257" s="7">
        <v>1184.2</v>
      </c>
      <c r="N257" s="5">
        <v>31500000</v>
      </c>
      <c r="O257" s="5">
        <v>34500000</v>
      </c>
      <c r="P257" s="3">
        <v>0.97916666666666663</v>
      </c>
    </row>
    <row r="258" spans="1:16" x14ac:dyDescent="0.25">
      <c r="A258" s="2">
        <v>43040</v>
      </c>
      <c r="B258" s="2">
        <v>42746</v>
      </c>
      <c r="C258" t="str">
        <f>TEXT(B258,"mm")</f>
        <v>01</v>
      </c>
      <c r="D258" t="s">
        <v>19</v>
      </c>
      <c r="E258" t="s">
        <v>1636</v>
      </c>
      <c r="F258" s="5">
        <v>31400000</v>
      </c>
      <c r="G258" s="5">
        <v>34400000</v>
      </c>
      <c r="H258" s="5">
        <f>M258*26000*1.20565</f>
        <v>37478353.640000001</v>
      </c>
      <c r="I258" s="5">
        <f>G258-H258</f>
        <v>-3078353.6400000006</v>
      </c>
      <c r="J258" s="5">
        <v>3000000</v>
      </c>
      <c r="K258" s="5">
        <v>3140000</v>
      </c>
      <c r="L258" s="5">
        <v>3440000</v>
      </c>
      <c r="M258" s="7">
        <v>1195.5999999999999</v>
      </c>
      <c r="N258" s="5">
        <v>31900000</v>
      </c>
      <c r="O258" s="5">
        <v>34900000</v>
      </c>
      <c r="P258" s="3">
        <v>0.97916666666666663</v>
      </c>
    </row>
    <row r="259" spans="1:16" x14ac:dyDescent="0.25">
      <c r="A259" s="2">
        <v>43070</v>
      </c>
      <c r="B259" s="2">
        <v>42747</v>
      </c>
      <c r="C259" t="str">
        <f>TEXT(B259,"mm")</f>
        <v>01</v>
      </c>
      <c r="D259" t="s">
        <v>20</v>
      </c>
      <c r="E259" t="s">
        <v>1636</v>
      </c>
      <c r="F259" s="5">
        <v>31500000</v>
      </c>
      <c r="G259" s="5">
        <v>34500000</v>
      </c>
      <c r="H259" s="5">
        <f>M259*26000*1.20565</f>
        <v>37581798.410000011</v>
      </c>
      <c r="I259" s="5">
        <f>G259-H259</f>
        <v>-3081798.4100000113</v>
      </c>
      <c r="J259" s="5">
        <v>3000000</v>
      </c>
      <c r="K259" s="5">
        <v>3150000</v>
      </c>
      <c r="L259" s="5">
        <v>3450000</v>
      </c>
      <c r="M259" s="7">
        <v>1198.9000000000001</v>
      </c>
      <c r="N259" s="5">
        <v>32000000</v>
      </c>
      <c r="O259" s="5">
        <v>35000000</v>
      </c>
      <c r="P259" s="3">
        <v>0.97916666666666663</v>
      </c>
    </row>
    <row r="260" spans="1:16" x14ac:dyDescent="0.25">
      <c r="A260" t="s">
        <v>174</v>
      </c>
      <c r="B260" s="2">
        <v>42748</v>
      </c>
      <c r="C260" t="str">
        <f>TEXT(B260,"mm")</f>
        <v>01</v>
      </c>
      <c r="D260" t="s">
        <v>21</v>
      </c>
      <c r="E260" t="s">
        <v>1636</v>
      </c>
      <c r="F260" s="5">
        <v>31300000</v>
      </c>
      <c r="G260" s="5">
        <v>34300000</v>
      </c>
      <c r="H260" s="5">
        <f>M260*26000*1.20565</f>
        <v>37468949.57</v>
      </c>
      <c r="I260" s="5">
        <f>G260-H260</f>
        <v>-3168949.5700000003</v>
      </c>
      <c r="J260" s="5">
        <v>3000000</v>
      </c>
      <c r="K260" s="5">
        <v>3130000</v>
      </c>
      <c r="L260" s="5">
        <v>3430000</v>
      </c>
      <c r="M260" s="7">
        <v>1195.3</v>
      </c>
      <c r="N260" s="5">
        <v>31800000</v>
      </c>
      <c r="O260" s="5">
        <v>34800000</v>
      </c>
      <c r="P260" s="3">
        <v>0.97916666666666663</v>
      </c>
    </row>
    <row r="261" spans="1:16" x14ac:dyDescent="0.25">
      <c r="A261" t="s">
        <v>175</v>
      </c>
      <c r="B261" s="2">
        <v>42752</v>
      </c>
      <c r="C261" t="str">
        <f>TEXT(B261,"mm")</f>
        <v>01</v>
      </c>
      <c r="D261" t="s">
        <v>18</v>
      </c>
      <c r="E261" t="s">
        <v>1636</v>
      </c>
      <c r="F261" s="5">
        <v>31800000</v>
      </c>
      <c r="G261" s="5">
        <v>34800000</v>
      </c>
      <c r="H261" s="5">
        <f>M261*26000*1.20565</f>
        <v>37992442.800000004</v>
      </c>
      <c r="I261" s="5">
        <f>G261-H261</f>
        <v>-3192442.8000000045</v>
      </c>
      <c r="J261" s="5">
        <v>3000000</v>
      </c>
      <c r="K261" s="5">
        <v>3180000</v>
      </c>
      <c r="L261" s="5">
        <v>3480000</v>
      </c>
      <c r="M261" s="7">
        <v>1212</v>
      </c>
      <c r="N261" s="5">
        <v>32300000</v>
      </c>
      <c r="O261" s="5">
        <v>35300000</v>
      </c>
      <c r="P261" s="3">
        <v>0.97916666666666663</v>
      </c>
    </row>
    <row r="262" spans="1:16" x14ac:dyDescent="0.25">
      <c r="A262" t="s">
        <v>176</v>
      </c>
      <c r="B262" s="2">
        <v>42753</v>
      </c>
      <c r="C262" t="str">
        <f>TEXT(B262,"mm")</f>
        <v>01</v>
      </c>
      <c r="D262" t="s">
        <v>19</v>
      </c>
      <c r="E262" t="s">
        <v>1636</v>
      </c>
      <c r="F262" s="5">
        <v>31800000</v>
      </c>
      <c r="G262" s="5">
        <v>34800000</v>
      </c>
      <c r="H262" s="5">
        <f>M262*26000*1.20565</f>
        <v>37970499.970000006</v>
      </c>
      <c r="I262" s="5">
        <f>G262-H262</f>
        <v>-3170499.9700000063</v>
      </c>
      <c r="J262" s="5">
        <v>3000000</v>
      </c>
      <c r="K262" s="5">
        <v>3180000</v>
      </c>
      <c r="L262" s="5">
        <v>3480000</v>
      </c>
      <c r="M262" s="7">
        <v>1211.3</v>
      </c>
      <c r="N262" s="5">
        <v>32300000</v>
      </c>
      <c r="O262" s="5">
        <v>35300000</v>
      </c>
      <c r="P262" s="3">
        <v>0.97916666666666663</v>
      </c>
    </row>
    <row r="263" spans="1:16" x14ac:dyDescent="0.25">
      <c r="A263" t="s">
        <v>177</v>
      </c>
      <c r="B263" s="2">
        <v>42754</v>
      </c>
      <c r="C263" t="str">
        <f>TEXT(B263,"mm")</f>
        <v>01</v>
      </c>
      <c r="D263" t="s">
        <v>20</v>
      </c>
      <c r="E263" t="s">
        <v>1636</v>
      </c>
      <c r="F263" s="5">
        <v>31500000</v>
      </c>
      <c r="G263" s="5">
        <v>34500000</v>
      </c>
      <c r="H263" s="5">
        <f>M263*26000*1.20565</f>
        <v>37644492.210000008</v>
      </c>
      <c r="I263" s="5">
        <f>G263-H263</f>
        <v>-3144492.2100000083</v>
      </c>
      <c r="J263" s="5">
        <v>3000000</v>
      </c>
      <c r="K263" s="5">
        <v>3150000</v>
      </c>
      <c r="L263" s="5">
        <v>3450000</v>
      </c>
      <c r="M263" s="7">
        <v>1200.9000000000001</v>
      </c>
      <c r="N263" s="5">
        <v>32000000</v>
      </c>
      <c r="O263" s="5">
        <v>35000000</v>
      </c>
      <c r="P263" s="3">
        <v>0.97916666666666663</v>
      </c>
    </row>
    <row r="264" spans="1:16" x14ac:dyDescent="0.25">
      <c r="A264" t="s">
        <v>178</v>
      </c>
      <c r="B264" s="2">
        <v>42755</v>
      </c>
      <c r="C264" t="str">
        <f>TEXT(B264,"mm")</f>
        <v>01</v>
      </c>
      <c r="D264" t="s">
        <v>21</v>
      </c>
      <c r="E264" t="s">
        <v>1636</v>
      </c>
      <c r="F264" s="5">
        <v>31600000</v>
      </c>
      <c r="G264" s="5">
        <v>34600000</v>
      </c>
      <c r="H264" s="5">
        <f>M264*26000*1.20565</f>
        <v>37751071.670000002</v>
      </c>
      <c r="I264" s="5">
        <f>G264-H264</f>
        <v>-3151071.6700000018</v>
      </c>
      <c r="J264" s="5">
        <v>3000000</v>
      </c>
      <c r="K264" s="5">
        <v>3160000</v>
      </c>
      <c r="L264" s="5">
        <v>3460000</v>
      </c>
      <c r="M264" s="7">
        <v>1204.3</v>
      </c>
      <c r="N264" s="5">
        <v>32100000</v>
      </c>
      <c r="O264" s="5">
        <v>35100000</v>
      </c>
      <c r="P264" s="3">
        <v>0.97916666666666663</v>
      </c>
    </row>
    <row r="265" spans="1:16" x14ac:dyDescent="0.25">
      <c r="A265" t="s">
        <v>179</v>
      </c>
      <c r="B265" s="2">
        <v>42758</v>
      </c>
      <c r="C265" t="str">
        <f>TEXT(B265,"mm")</f>
        <v>01</v>
      </c>
      <c r="D265" t="s">
        <v>16</v>
      </c>
      <c r="E265" t="s">
        <v>1636</v>
      </c>
      <c r="F265" s="5">
        <v>31900000</v>
      </c>
      <c r="G265" s="5">
        <v>34900000</v>
      </c>
      <c r="H265" s="5">
        <f>M265*26000*1.20565</f>
        <v>38086483.5</v>
      </c>
      <c r="I265" s="5">
        <f>G265-H265</f>
        <v>-3186483.5</v>
      </c>
      <c r="J265" s="5">
        <v>3000000</v>
      </c>
      <c r="K265" s="5">
        <v>3190000</v>
      </c>
      <c r="L265" s="5">
        <v>3490000</v>
      </c>
      <c r="M265" s="7">
        <v>1215</v>
      </c>
      <c r="N265" s="5">
        <v>32400000</v>
      </c>
      <c r="O265" s="5">
        <v>35400000</v>
      </c>
      <c r="P265" s="3">
        <v>0.97916666666666663</v>
      </c>
    </row>
    <row r="266" spans="1:16" x14ac:dyDescent="0.25">
      <c r="A266" t="s">
        <v>180</v>
      </c>
      <c r="B266" s="2">
        <v>42759</v>
      </c>
      <c r="C266" t="str">
        <f>TEXT(B266,"mm")</f>
        <v>01</v>
      </c>
      <c r="D266" t="s">
        <v>18</v>
      </c>
      <c r="E266" t="s">
        <v>1636</v>
      </c>
      <c r="F266" s="5">
        <v>31800000</v>
      </c>
      <c r="G266" s="5">
        <v>34800000</v>
      </c>
      <c r="H266" s="5">
        <f>M266*26000*1.20565</f>
        <v>37939153.07</v>
      </c>
      <c r="I266" s="5">
        <f>G266-H266</f>
        <v>-3139153.0700000003</v>
      </c>
      <c r="J266" s="5">
        <v>3000000</v>
      </c>
      <c r="K266" s="5">
        <v>3180000</v>
      </c>
      <c r="L266" s="5">
        <v>3480000</v>
      </c>
      <c r="M266" s="7">
        <v>1210.3</v>
      </c>
      <c r="N266" s="5">
        <v>32300000</v>
      </c>
      <c r="O266" s="5">
        <v>35300000</v>
      </c>
      <c r="P266" s="3">
        <v>0.97916666666666663</v>
      </c>
    </row>
    <row r="267" spans="1:16" x14ac:dyDescent="0.25">
      <c r="A267" t="s">
        <v>181</v>
      </c>
      <c r="B267" s="2">
        <v>42760</v>
      </c>
      <c r="C267" t="str">
        <f>TEXT(B267,"mm")</f>
        <v>01</v>
      </c>
      <c r="D267" t="s">
        <v>19</v>
      </c>
      <c r="E267" t="s">
        <v>1636</v>
      </c>
      <c r="F267" s="5">
        <v>31400000</v>
      </c>
      <c r="G267" s="5">
        <v>34400000</v>
      </c>
      <c r="H267" s="5">
        <f>M267*26000*1.20565</f>
        <v>37531643.370000005</v>
      </c>
      <c r="I267" s="5">
        <f>G267-H267</f>
        <v>-3131643.3700000048</v>
      </c>
      <c r="J267" s="5">
        <v>3000000</v>
      </c>
      <c r="K267" s="5">
        <v>3140000</v>
      </c>
      <c r="L267" s="5">
        <v>3440000</v>
      </c>
      <c r="M267" s="7">
        <v>1197.3</v>
      </c>
      <c r="N267" s="5">
        <v>31900000</v>
      </c>
      <c r="O267" s="5">
        <v>34900000</v>
      </c>
      <c r="P267" s="3">
        <v>0.97916666666666663</v>
      </c>
    </row>
    <row r="268" spans="1:16" x14ac:dyDescent="0.25">
      <c r="A268" t="s">
        <v>182</v>
      </c>
      <c r="B268" s="2">
        <v>42761</v>
      </c>
      <c r="C268" t="str">
        <f>TEXT(B268,"mm")</f>
        <v>01</v>
      </c>
      <c r="D268" t="s">
        <v>20</v>
      </c>
      <c r="E268" t="s">
        <v>1636</v>
      </c>
      <c r="F268" s="5">
        <v>31200000</v>
      </c>
      <c r="G268" s="5">
        <v>34200000</v>
      </c>
      <c r="H268" s="5">
        <f>M268*26000*1.20565</f>
        <v>37287137.550000004</v>
      </c>
      <c r="I268" s="5">
        <f>G268-H268</f>
        <v>-3087137.5500000045</v>
      </c>
      <c r="J268" s="5">
        <v>3000000</v>
      </c>
      <c r="K268" s="5">
        <v>3120000</v>
      </c>
      <c r="L268" s="5">
        <v>3420000</v>
      </c>
      <c r="M268" s="7">
        <v>1189.5</v>
      </c>
      <c r="N268" s="5">
        <v>31700000</v>
      </c>
      <c r="O268" s="5">
        <v>34700000</v>
      </c>
      <c r="P268" s="3">
        <v>0.97916666666666663</v>
      </c>
    </row>
    <row r="269" spans="1:16" x14ac:dyDescent="0.25">
      <c r="A269" t="s">
        <v>183</v>
      </c>
      <c r="B269" s="2">
        <v>42762</v>
      </c>
      <c r="C269" t="str">
        <f>TEXT(B269,"mm")</f>
        <v>01</v>
      </c>
      <c r="D269" t="s">
        <v>21</v>
      </c>
      <c r="E269" t="s">
        <v>1636</v>
      </c>
      <c r="F269" s="5">
        <v>31100000</v>
      </c>
      <c r="G269" s="5">
        <v>34100000</v>
      </c>
      <c r="H269" s="5">
        <f>M269*26000*1.20565</f>
        <v>37243251.890000001</v>
      </c>
      <c r="I269" s="5">
        <f>G269-H269</f>
        <v>-3143251.8900000006</v>
      </c>
      <c r="J269" s="5">
        <v>3000000</v>
      </c>
      <c r="K269" s="5">
        <v>3110000</v>
      </c>
      <c r="L269" s="5">
        <v>3410000</v>
      </c>
      <c r="M269" s="7">
        <v>1188.0999999999999</v>
      </c>
      <c r="N269" s="5">
        <v>31600000</v>
      </c>
      <c r="O269" s="5">
        <v>34600000</v>
      </c>
      <c r="P269" s="3">
        <v>0.97916666666666663</v>
      </c>
    </row>
    <row r="270" spans="1:16" x14ac:dyDescent="0.25">
      <c r="A270" t="s">
        <v>184</v>
      </c>
      <c r="B270" s="2">
        <v>42765</v>
      </c>
      <c r="C270" t="str">
        <f>TEXT(B270,"mm")</f>
        <v>01</v>
      </c>
      <c r="D270" t="s">
        <v>16</v>
      </c>
      <c r="E270" t="s">
        <v>1636</v>
      </c>
      <c r="F270" s="5">
        <v>31300000</v>
      </c>
      <c r="G270" s="5">
        <v>34300000</v>
      </c>
      <c r="H270" s="5">
        <f>M270*26000*1.20565</f>
        <v>37403121.080000006</v>
      </c>
      <c r="I270" s="5">
        <f>G270-H270</f>
        <v>-3103121.0800000057</v>
      </c>
      <c r="J270" s="5">
        <v>3000000</v>
      </c>
      <c r="K270" s="5">
        <v>3130000</v>
      </c>
      <c r="L270" s="5">
        <v>3430000</v>
      </c>
      <c r="M270" s="7">
        <v>1193.2</v>
      </c>
      <c r="N270" s="5">
        <v>31800000</v>
      </c>
      <c r="O270" s="5">
        <v>34800000</v>
      </c>
      <c r="P270" s="3">
        <v>0.97916666666666663</v>
      </c>
    </row>
    <row r="271" spans="1:16" x14ac:dyDescent="0.25">
      <c r="A271" t="s">
        <v>185</v>
      </c>
      <c r="B271" s="2">
        <v>42766</v>
      </c>
      <c r="C271" t="str">
        <f>TEXT(B271,"mm")</f>
        <v>01</v>
      </c>
      <c r="D271" t="s">
        <v>18</v>
      </c>
      <c r="E271" t="s">
        <v>1636</v>
      </c>
      <c r="F271" s="5">
        <v>31700000</v>
      </c>
      <c r="G271" s="5">
        <v>34700000</v>
      </c>
      <c r="H271" s="5">
        <f>M271*26000*1.20565</f>
        <v>37885863.339999996</v>
      </c>
      <c r="I271" s="5">
        <f>G271-H271</f>
        <v>-3185863.3399999961</v>
      </c>
      <c r="J271" s="5">
        <v>3000000</v>
      </c>
      <c r="K271" s="5">
        <v>3170000</v>
      </c>
      <c r="L271" s="5">
        <v>3470000</v>
      </c>
      <c r="M271" s="7">
        <v>1208.5999999999999</v>
      </c>
      <c r="N271" s="5">
        <v>32200000</v>
      </c>
      <c r="O271" s="5">
        <v>35200000</v>
      </c>
      <c r="P271" s="3">
        <v>0.97916666666666663</v>
      </c>
    </row>
    <row r="272" spans="1:16" x14ac:dyDescent="0.25">
      <c r="A272" s="2">
        <v>42737</v>
      </c>
      <c r="B272" s="2">
        <v>42767</v>
      </c>
      <c r="C272" t="str">
        <f>TEXT(B272,"mm")</f>
        <v>02</v>
      </c>
      <c r="D272" t="s">
        <v>19</v>
      </c>
      <c r="E272" t="s">
        <v>1636</v>
      </c>
      <c r="F272" s="5">
        <v>31600000</v>
      </c>
      <c r="G272" s="5">
        <v>34600000</v>
      </c>
      <c r="H272" s="5">
        <f>M272*26000*1.20565</f>
        <v>37791822.640000001</v>
      </c>
      <c r="I272" s="5">
        <f>G272-H272</f>
        <v>-3191822.6400000006</v>
      </c>
      <c r="J272" s="5">
        <v>3000000</v>
      </c>
      <c r="K272" s="5">
        <v>3160000</v>
      </c>
      <c r="L272" s="5">
        <v>3460000</v>
      </c>
      <c r="M272" s="7">
        <v>1205.5999999999999</v>
      </c>
      <c r="N272" s="5">
        <v>32100000</v>
      </c>
      <c r="O272" s="5">
        <v>35100000</v>
      </c>
      <c r="P272" s="3">
        <v>0.97916666666666663</v>
      </c>
    </row>
    <row r="273" spans="1:16" x14ac:dyDescent="0.25">
      <c r="A273" s="2">
        <v>42768</v>
      </c>
      <c r="B273" s="2">
        <v>42768</v>
      </c>
      <c r="C273" t="str">
        <f>TEXT(B273,"mm")</f>
        <v>02</v>
      </c>
      <c r="D273" t="s">
        <v>20</v>
      </c>
      <c r="E273" t="s">
        <v>1636</v>
      </c>
      <c r="F273" s="5">
        <v>32000000</v>
      </c>
      <c r="G273" s="5">
        <v>35000000</v>
      </c>
      <c r="H273" s="5">
        <f>M273*26000*1.20565</f>
        <v>38139773.230000004</v>
      </c>
      <c r="I273" s="5">
        <f>G273-H273</f>
        <v>-3139773.2300000042</v>
      </c>
      <c r="J273" s="5">
        <v>3000000</v>
      </c>
      <c r="K273" s="5">
        <v>3200000</v>
      </c>
      <c r="L273" s="5">
        <v>3500000</v>
      </c>
      <c r="M273" s="7">
        <v>1216.7</v>
      </c>
      <c r="N273" s="5">
        <v>32500000</v>
      </c>
      <c r="O273" s="5">
        <v>35500000</v>
      </c>
      <c r="P273" s="3">
        <v>0.97916666666666663</v>
      </c>
    </row>
    <row r="274" spans="1:16" x14ac:dyDescent="0.25">
      <c r="A274" s="2">
        <v>42796</v>
      </c>
      <c r="B274" s="2">
        <v>42769</v>
      </c>
      <c r="C274" t="str">
        <f>TEXT(B274,"mm")</f>
        <v>02</v>
      </c>
      <c r="D274" t="s">
        <v>21</v>
      </c>
      <c r="E274" t="s">
        <v>1636</v>
      </c>
      <c r="F274" s="5">
        <v>32000000</v>
      </c>
      <c r="G274" s="5">
        <v>35000000</v>
      </c>
      <c r="H274" s="5">
        <f>M274*26000*1.20565</f>
        <v>38196197.650000006</v>
      </c>
      <c r="I274" s="5">
        <f>G274-H274</f>
        <v>-3196197.650000006</v>
      </c>
      <c r="J274" s="5">
        <v>3000000</v>
      </c>
      <c r="K274" s="5">
        <v>3200000</v>
      </c>
      <c r="L274" s="5">
        <v>3500000</v>
      </c>
      <c r="M274" s="7">
        <v>1218.5</v>
      </c>
      <c r="N274" s="5">
        <v>32500000</v>
      </c>
      <c r="O274" s="5">
        <v>35500000</v>
      </c>
      <c r="P274" s="3">
        <v>0.97916666666666663</v>
      </c>
    </row>
    <row r="275" spans="1:16" x14ac:dyDescent="0.25">
      <c r="A275" s="2">
        <v>42888</v>
      </c>
      <c r="B275" s="2">
        <v>42772</v>
      </c>
      <c r="C275" t="str">
        <f>TEXT(B275,"mm")</f>
        <v>02</v>
      </c>
      <c r="D275" t="s">
        <v>16</v>
      </c>
      <c r="E275" t="s">
        <v>1636</v>
      </c>
      <c r="F275" s="5">
        <v>32300000</v>
      </c>
      <c r="G275" s="5">
        <v>35300000</v>
      </c>
      <c r="H275" s="5">
        <f>M275*26000*1.20565</f>
        <v>38556687</v>
      </c>
      <c r="I275" s="5">
        <f>G275-H275</f>
        <v>-3256687</v>
      </c>
      <c r="J275" s="5">
        <v>3000000</v>
      </c>
      <c r="K275" s="5">
        <v>3230000</v>
      </c>
      <c r="L275" s="5">
        <v>3530000</v>
      </c>
      <c r="M275" s="7">
        <v>1230</v>
      </c>
      <c r="N275" s="5">
        <v>32800000</v>
      </c>
      <c r="O275" s="5">
        <v>35800000</v>
      </c>
      <c r="P275" s="3">
        <v>0.97916666666666663</v>
      </c>
    </row>
    <row r="276" spans="1:16" x14ac:dyDescent="0.25">
      <c r="A276" s="2">
        <v>42918</v>
      </c>
      <c r="B276" s="2">
        <v>42773</v>
      </c>
      <c r="C276" t="str">
        <f>TEXT(B276,"mm")</f>
        <v>02</v>
      </c>
      <c r="D276" t="s">
        <v>18</v>
      </c>
      <c r="E276" t="s">
        <v>1636</v>
      </c>
      <c r="F276" s="5">
        <v>32500000</v>
      </c>
      <c r="G276" s="5">
        <v>35500000</v>
      </c>
      <c r="H276" s="5">
        <f>M276*26000*1.20565</f>
        <v>38688343.980000004</v>
      </c>
      <c r="I276" s="5">
        <f>G276-H276</f>
        <v>-3188343.9800000042</v>
      </c>
      <c r="J276" s="5">
        <v>3000000</v>
      </c>
      <c r="K276" s="5">
        <v>3250000</v>
      </c>
      <c r="L276" s="5">
        <v>3550000</v>
      </c>
      <c r="M276" s="7">
        <v>1234.2</v>
      </c>
      <c r="N276" s="5">
        <v>33000000</v>
      </c>
      <c r="O276" s="5">
        <v>36000000</v>
      </c>
      <c r="P276" s="3">
        <v>0.97916666666666663</v>
      </c>
    </row>
    <row r="277" spans="1:16" x14ac:dyDescent="0.25">
      <c r="A277" s="2">
        <v>42949</v>
      </c>
      <c r="B277" s="2">
        <v>42774</v>
      </c>
      <c r="C277" t="str">
        <f>TEXT(B277,"mm")</f>
        <v>02</v>
      </c>
      <c r="D277" t="s">
        <v>19</v>
      </c>
      <c r="E277" t="s">
        <v>1636</v>
      </c>
      <c r="F277" s="5">
        <v>32600000</v>
      </c>
      <c r="G277" s="5">
        <v>35600000</v>
      </c>
      <c r="H277" s="5">
        <f>M277*26000*1.20565</f>
        <v>38794923.439999998</v>
      </c>
      <c r="I277" s="5">
        <f>G277-H277</f>
        <v>-3194923.4399999976</v>
      </c>
      <c r="J277" s="5">
        <v>3000000</v>
      </c>
      <c r="K277" s="5">
        <v>3260000</v>
      </c>
      <c r="L277" s="5">
        <v>3560000</v>
      </c>
      <c r="M277" s="7">
        <v>1237.5999999999999</v>
      </c>
      <c r="N277" s="5">
        <v>33100000</v>
      </c>
      <c r="O277" s="5">
        <v>36100000</v>
      </c>
      <c r="P277" s="3">
        <v>0.97916666666666663</v>
      </c>
    </row>
    <row r="278" spans="1:16" x14ac:dyDescent="0.25">
      <c r="A278" s="2">
        <v>42980</v>
      </c>
      <c r="B278" s="2">
        <v>42775</v>
      </c>
      <c r="C278" t="str">
        <f>TEXT(B278,"mm")</f>
        <v>02</v>
      </c>
      <c r="D278" t="s">
        <v>20</v>
      </c>
      <c r="E278" t="s">
        <v>1636</v>
      </c>
      <c r="F278" s="5">
        <v>32500000</v>
      </c>
      <c r="G278" s="5">
        <v>35500000</v>
      </c>
      <c r="H278" s="5">
        <f>M278*26000*1.20565</f>
        <v>38716556.189999998</v>
      </c>
      <c r="I278" s="5">
        <f>G278-H278</f>
        <v>-3216556.1899999976</v>
      </c>
      <c r="J278" s="5">
        <v>3000000</v>
      </c>
      <c r="K278" s="5">
        <v>3250000</v>
      </c>
      <c r="L278" s="5">
        <v>3550000</v>
      </c>
      <c r="M278" s="7">
        <v>1235.0999999999999</v>
      </c>
      <c r="N278" s="5">
        <v>33000000</v>
      </c>
      <c r="O278" s="5">
        <v>36000000</v>
      </c>
      <c r="P278" s="3">
        <v>0.97916666666666663</v>
      </c>
    </row>
    <row r="279" spans="1:16" x14ac:dyDescent="0.25">
      <c r="A279" s="2">
        <v>43010</v>
      </c>
      <c r="B279" s="2">
        <v>42776</v>
      </c>
      <c r="C279" t="str">
        <f>TEXT(B279,"mm")</f>
        <v>02</v>
      </c>
      <c r="D279" t="s">
        <v>21</v>
      </c>
      <c r="E279" t="s">
        <v>1636</v>
      </c>
      <c r="F279" s="5">
        <v>32500000</v>
      </c>
      <c r="G279" s="5">
        <v>35500000</v>
      </c>
      <c r="H279" s="5">
        <f>M279*26000*1.20565</f>
        <v>38694613.360000007</v>
      </c>
      <c r="I279" s="5">
        <f>G279-H279</f>
        <v>-3194613.3600000069</v>
      </c>
      <c r="J279" s="5">
        <v>3000000</v>
      </c>
      <c r="K279" s="5">
        <v>3250000</v>
      </c>
      <c r="L279" s="5">
        <v>3550000</v>
      </c>
      <c r="M279" s="7">
        <v>1234.4000000000001</v>
      </c>
      <c r="N279" s="5">
        <v>33000000</v>
      </c>
      <c r="O279" s="5">
        <v>36000000</v>
      </c>
      <c r="P279" s="3">
        <v>0.97916666666666663</v>
      </c>
    </row>
    <row r="280" spans="1:16" x14ac:dyDescent="0.25">
      <c r="A280" t="s">
        <v>186</v>
      </c>
      <c r="B280" s="2">
        <v>42779</v>
      </c>
      <c r="C280" t="str">
        <f>TEXT(B280,"mm")</f>
        <v>02</v>
      </c>
      <c r="D280" t="s">
        <v>16</v>
      </c>
      <c r="E280" t="s">
        <v>1636</v>
      </c>
      <c r="F280" s="5">
        <v>32200000</v>
      </c>
      <c r="G280" s="5">
        <v>35200000</v>
      </c>
      <c r="H280" s="5">
        <f>M280*26000*1.20565</f>
        <v>38381144.360000007</v>
      </c>
      <c r="I280" s="5">
        <f>G280-H280</f>
        <v>-3181144.3600000069</v>
      </c>
      <c r="J280" s="5">
        <v>3000000</v>
      </c>
      <c r="K280" s="5">
        <v>3220000</v>
      </c>
      <c r="L280" s="5">
        <v>3520000</v>
      </c>
      <c r="M280" s="7">
        <v>1224.4000000000001</v>
      </c>
      <c r="N280" s="5">
        <v>32700000</v>
      </c>
      <c r="O280" s="5">
        <v>35700000</v>
      </c>
      <c r="P280" s="3">
        <v>0.97916666666666663</v>
      </c>
    </row>
    <row r="281" spans="1:16" x14ac:dyDescent="0.25">
      <c r="A281" t="s">
        <v>187</v>
      </c>
      <c r="B281" s="2">
        <v>42780</v>
      </c>
      <c r="C281" t="str">
        <f>TEXT(B281,"mm")</f>
        <v>02</v>
      </c>
      <c r="D281" t="s">
        <v>18</v>
      </c>
      <c r="E281" t="s">
        <v>1636</v>
      </c>
      <c r="F281" s="5">
        <v>32200000</v>
      </c>
      <c r="G281" s="5">
        <v>35200000</v>
      </c>
      <c r="H281" s="5">
        <f>M281*26000*1.20565</f>
        <v>38365470.910000011</v>
      </c>
      <c r="I281" s="5">
        <f>G281-H281</f>
        <v>-3165470.9100000113</v>
      </c>
      <c r="J281" s="5">
        <v>3000000</v>
      </c>
      <c r="K281" s="5">
        <v>3220000</v>
      </c>
      <c r="L281" s="5">
        <v>3520000</v>
      </c>
      <c r="M281" s="7">
        <v>1223.9000000000001</v>
      </c>
      <c r="N281" s="5">
        <v>32700000</v>
      </c>
      <c r="O281" s="5">
        <v>35700000</v>
      </c>
      <c r="P281" s="3">
        <v>0.97916666666666663</v>
      </c>
    </row>
    <row r="282" spans="1:16" x14ac:dyDescent="0.25">
      <c r="A282" t="s">
        <v>188</v>
      </c>
      <c r="B282" s="2">
        <v>42781</v>
      </c>
      <c r="C282" t="str">
        <f>TEXT(B282,"mm")</f>
        <v>02</v>
      </c>
      <c r="D282" t="s">
        <v>19</v>
      </c>
      <c r="E282" t="s">
        <v>1636</v>
      </c>
      <c r="F282" s="5">
        <v>32400000</v>
      </c>
      <c r="G282" s="5">
        <v>35400000</v>
      </c>
      <c r="H282" s="5">
        <f>M282*26000*1.20565</f>
        <v>38609976.730000004</v>
      </c>
      <c r="I282" s="5">
        <f>G282-H282</f>
        <v>-3209976.7300000042</v>
      </c>
      <c r="J282" s="5">
        <v>3000000</v>
      </c>
      <c r="K282" s="5">
        <v>3240000</v>
      </c>
      <c r="L282" s="5">
        <v>3540000</v>
      </c>
      <c r="M282" s="7">
        <v>1231.7</v>
      </c>
      <c r="N282" s="5">
        <v>32900000</v>
      </c>
      <c r="O282" s="5">
        <v>35900000</v>
      </c>
      <c r="P282" s="3">
        <v>0.97916666666666663</v>
      </c>
    </row>
    <row r="283" spans="1:16" x14ac:dyDescent="0.25">
      <c r="A283" t="s">
        <v>189</v>
      </c>
      <c r="B283" s="2">
        <v>42782</v>
      </c>
      <c r="C283" t="str">
        <f>TEXT(B283,"mm")</f>
        <v>02</v>
      </c>
      <c r="D283" t="s">
        <v>20</v>
      </c>
      <c r="E283" t="s">
        <v>1636</v>
      </c>
      <c r="F283" s="5">
        <v>32600000</v>
      </c>
      <c r="G283" s="5">
        <v>35600000</v>
      </c>
      <c r="H283" s="5">
        <f>M283*26000*1.20565</f>
        <v>38870156</v>
      </c>
      <c r="I283" s="5">
        <f>G283-H283</f>
        <v>-3270156</v>
      </c>
      <c r="J283" s="5">
        <v>3000000</v>
      </c>
      <c r="K283" s="5">
        <v>3260000</v>
      </c>
      <c r="L283" s="5">
        <v>3560000</v>
      </c>
      <c r="M283" s="7">
        <v>1240</v>
      </c>
      <c r="N283" s="5">
        <v>33100000</v>
      </c>
      <c r="O283" s="5">
        <v>36100000</v>
      </c>
      <c r="P283" s="3">
        <v>0.97916666666666663</v>
      </c>
    </row>
    <row r="284" spans="1:16" x14ac:dyDescent="0.25">
      <c r="A284" t="s">
        <v>190</v>
      </c>
      <c r="B284" s="2">
        <v>42783</v>
      </c>
      <c r="C284" t="str">
        <f>TEXT(B284,"mm")</f>
        <v>02</v>
      </c>
      <c r="D284" t="s">
        <v>21</v>
      </c>
      <c r="E284" t="s">
        <v>1636</v>
      </c>
      <c r="F284" s="5">
        <v>32600000</v>
      </c>
      <c r="G284" s="5">
        <v>35600000</v>
      </c>
      <c r="H284" s="5">
        <f>M284*26000*1.20565</f>
        <v>38794923.439999998</v>
      </c>
      <c r="I284" s="5">
        <f>G284-H284</f>
        <v>-3194923.4399999976</v>
      </c>
      <c r="J284" s="5">
        <v>3000000</v>
      </c>
      <c r="K284" s="5">
        <v>3260000</v>
      </c>
      <c r="L284" s="5">
        <v>3560000</v>
      </c>
      <c r="M284" s="7">
        <v>1237.5999999999999</v>
      </c>
      <c r="N284" s="5">
        <v>33100000</v>
      </c>
      <c r="O284" s="5">
        <v>36100000</v>
      </c>
      <c r="P284" s="3">
        <v>0.97916666666666663</v>
      </c>
    </row>
    <row r="285" spans="1:16" x14ac:dyDescent="0.25">
      <c r="A285" t="s">
        <v>191</v>
      </c>
      <c r="B285" s="2">
        <v>42787</v>
      </c>
      <c r="C285" t="str">
        <f>TEXT(B285,"mm")</f>
        <v>02</v>
      </c>
      <c r="D285" t="s">
        <v>18</v>
      </c>
      <c r="E285" t="s">
        <v>1636</v>
      </c>
      <c r="F285" s="5">
        <v>32600000</v>
      </c>
      <c r="G285" s="5">
        <v>35600000</v>
      </c>
      <c r="H285" s="5">
        <f>M285*26000*1.20565</f>
        <v>38791788.75</v>
      </c>
      <c r="I285" s="5">
        <f>G285-H285</f>
        <v>-3191788.75</v>
      </c>
      <c r="J285" s="5">
        <v>3000000</v>
      </c>
      <c r="K285" s="5">
        <v>3260000</v>
      </c>
      <c r="L285" s="5">
        <v>3560000</v>
      </c>
      <c r="M285" s="7">
        <v>1237.5</v>
      </c>
      <c r="N285" s="5">
        <v>33100000</v>
      </c>
      <c r="O285" s="5">
        <v>36100000</v>
      </c>
      <c r="P285" s="3">
        <v>0.97916666666666663</v>
      </c>
    </row>
    <row r="286" spans="1:16" x14ac:dyDescent="0.25">
      <c r="A286" t="s">
        <v>192</v>
      </c>
      <c r="B286" s="2">
        <v>42788</v>
      </c>
      <c r="C286" t="str">
        <f>TEXT(B286,"mm")</f>
        <v>02</v>
      </c>
      <c r="D286" t="s">
        <v>19</v>
      </c>
      <c r="E286" t="s">
        <v>1636</v>
      </c>
      <c r="F286" s="5">
        <v>32400000</v>
      </c>
      <c r="G286" s="5">
        <v>35400000</v>
      </c>
      <c r="H286" s="5">
        <f>M286*26000*1.20565</f>
        <v>38619380.800000004</v>
      </c>
      <c r="I286" s="5">
        <f>G286-H286</f>
        <v>-3219380.8000000045</v>
      </c>
      <c r="J286" s="5">
        <v>3000000</v>
      </c>
      <c r="K286" s="5">
        <v>3240000</v>
      </c>
      <c r="L286" s="5">
        <v>3540000</v>
      </c>
      <c r="M286" s="7">
        <v>1232</v>
      </c>
      <c r="N286" s="5">
        <v>32900000</v>
      </c>
      <c r="O286" s="5">
        <v>35900000</v>
      </c>
      <c r="P286" s="3">
        <v>0.97916666666666663</v>
      </c>
    </row>
    <row r="287" spans="1:16" x14ac:dyDescent="0.25">
      <c r="A287" t="s">
        <v>193</v>
      </c>
      <c r="B287" s="2">
        <v>42789</v>
      </c>
      <c r="C287" t="str">
        <f>TEXT(B287,"mm")</f>
        <v>02</v>
      </c>
      <c r="D287" t="s">
        <v>20</v>
      </c>
      <c r="E287" t="s">
        <v>1636</v>
      </c>
      <c r="F287" s="5">
        <v>32900000</v>
      </c>
      <c r="G287" s="5">
        <v>35900000</v>
      </c>
      <c r="H287" s="5">
        <f>M287*26000*1.20565</f>
        <v>39189894.380000003</v>
      </c>
      <c r="I287" s="5">
        <f>G287-H287</f>
        <v>-3289894.3800000027</v>
      </c>
      <c r="J287" s="5">
        <v>3000000</v>
      </c>
      <c r="K287" s="5">
        <v>3290000</v>
      </c>
      <c r="L287" s="5">
        <v>3590000</v>
      </c>
      <c r="M287" s="7">
        <v>1250.2</v>
      </c>
      <c r="N287" s="5">
        <v>33400000</v>
      </c>
      <c r="O287" s="5">
        <v>36400000</v>
      </c>
      <c r="P287" s="3">
        <v>0.97916666666666663</v>
      </c>
    </row>
    <row r="288" spans="1:16" x14ac:dyDescent="0.25">
      <c r="A288" t="s">
        <v>194</v>
      </c>
      <c r="B288" s="2">
        <v>42790</v>
      </c>
      <c r="C288" t="str">
        <f>TEXT(B288,"mm")</f>
        <v>02</v>
      </c>
      <c r="D288" t="s">
        <v>21</v>
      </c>
      <c r="E288" t="s">
        <v>1636</v>
      </c>
      <c r="F288" s="5">
        <v>33100000</v>
      </c>
      <c r="G288" s="5">
        <v>36100000</v>
      </c>
      <c r="H288" s="5">
        <f>M288*26000*1.20565</f>
        <v>39399918.610000007</v>
      </c>
      <c r="I288" s="5">
        <f>G288-H288</f>
        <v>-3299918.6100000069</v>
      </c>
      <c r="J288" s="5">
        <v>3000000</v>
      </c>
      <c r="K288" s="5">
        <v>3310000</v>
      </c>
      <c r="L288" s="5">
        <v>3610000</v>
      </c>
      <c r="M288" s="7">
        <v>1256.9000000000001</v>
      </c>
      <c r="N288" s="5">
        <v>33600000</v>
      </c>
      <c r="O288" s="5">
        <v>36600000</v>
      </c>
      <c r="P288" s="3">
        <v>0.97916666666666663</v>
      </c>
    </row>
    <row r="289" spans="1:16" x14ac:dyDescent="0.25">
      <c r="A289" t="s">
        <v>195</v>
      </c>
      <c r="B289" s="2">
        <v>42793</v>
      </c>
      <c r="C289" t="str">
        <f>TEXT(B289,"mm")</f>
        <v>02</v>
      </c>
      <c r="D289" t="s">
        <v>16</v>
      </c>
      <c r="E289" t="s">
        <v>1636</v>
      </c>
      <c r="F289" s="5">
        <v>33100000</v>
      </c>
      <c r="G289" s="5">
        <v>36100000</v>
      </c>
      <c r="H289" s="5">
        <f>M289*26000*1.20565</f>
        <v>39415592.06000001</v>
      </c>
      <c r="I289" s="5">
        <f>G289-H289</f>
        <v>-3315592.0600000098</v>
      </c>
      <c r="J289" s="5">
        <v>3000000</v>
      </c>
      <c r="K289" s="5">
        <v>3310000</v>
      </c>
      <c r="L289" s="5">
        <v>3610000</v>
      </c>
      <c r="M289" s="7">
        <v>1257.4000000000001</v>
      </c>
      <c r="N289" s="5">
        <v>33600000</v>
      </c>
      <c r="O289" s="5">
        <v>36600000</v>
      </c>
      <c r="P289" s="3">
        <v>0.97916666666666663</v>
      </c>
    </row>
    <row r="290" spans="1:16" x14ac:dyDescent="0.25">
      <c r="A290" t="s">
        <v>196</v>
      </c>
      <c r="B290" s="2">
        <v>42794</v>
      </c>
      <c r="C290" t="str">
        <f>TEXT(B290,"mm")</f>
        <v>02</v>
      </c>
      <c r="D290" t="s">
        <v>18</v>
      </c>
      <c r="E290" t="s">
        <v>1636</v>
      </c>
      <c r="F290" s="5">
        <v>33000000</v>
      </c>
      <c r="G290" s="5">
        <v>36000000</v>
      </c>
      <c r="H290" s="5">
        <f>M290*26000*1.20565</f>
        <v>39265126.939999998</v>
      </c>
      <c r="I290" s="5">
        <f>G290-H290</f>
        <v>-3265126.9399999976</v>
      </c>
      <c r="J290" s="5">
        <v>3000000</v>
      </c>
      <c r="K290" s="5">
        <v>3300000</v>
      </c>
      <c r="L290" s="5">
        <v>3600000</v>
      </c>
      <c r="M290" s="7">
        <v>1252.5999999999999</v>
      </c>
      <c r="N290" s="5">
        <v>33500000</v>
      </c>
      <c r="O290" s="5">
        <v>36500000</v>
      </c>
      <c r="P290" s="3">
        <v>0.97916666666666663</v>
      </c>
    </row>
    <row r="291" spans="1:16" x14ac:dyDescent="0.25">
      <c r="A291" s="2">
        <v>42738</v>
      </c>
      <c r="B291" s="2">
        <v>42795</v>
      </c>
      <c r="C291" t="str">
        <f>TEXT(B291,"mm")</f>
        <v>03</v>
      </c>
      <c r="D291" t="s">
        <v>19</v>
      </c>
      <c r="E291" t="s">
        <v>1636</v>
      </c>
      <c r="F291" s="5">
        <v>32900000</v>
      </c>
      <c r="G291" s="5">
        <v>35900000</v>
      </c>
      <c r="H291" s="5">
        <f>M291*26000*1.20565</f>
        <v>39149143.410000011</v>
      </c>
      <c r="I291" s="5">
        <f>G291-H291</f>
        <v>-3249143.4100000113</v>
      </c>
      <c r="J291" s="5">
        <v>3000000</v>
      </c>
      <c r="K291" s="5">
        <v>3290000</v>
      </c>
      <c r="L291" s="5">
        <v>3590000</v>
      </c>
      <c r="M291" s="7">
        <v>1248.9000000000001</v>
      </c>
      <c r="N291" s="5">
        <v>33400000</v>
      </c>
      <c r="O291" s="5">
        <v>36400000</v>
      </c>
      <c r="P291" s="3">
        <v>0.97916666666666663</v>
      </c>
    </row>
    <row r="292" spans="1:16" x14ac:dyDescent="0.25">
      <c r="A292" s="2">
        <v>42769</v>
      </c>
      <c r="B292" s="2">
        <v>42796</v>
      </c>
      <c r="C292" t="str">
        <f>TEXT(B292,"mm")</f>
        <v>03</v>
      </c>
      <c r="D292" t="s">
        <v>20</v>
      </c>
      <c r="E292" t="s">
        <v>1636</v>
      </c>
      <c r="F292" s="5">
        <v>32400000</v>
      </c>
      <c r="G292" s="5">
        <v>35400000</v>
      </c>
      <c r="H292" s="5">
        <f>M292*26000*1.20565</f>
        <v>38616246.110000007</v>
      </c>
      <c r="I292" s="5">
        <f>G292-H292</f>
        <v>-3216246.1100000069</v>
      </c>
      <c r="J292" s="5">
        <v>3000000</v>
      </c>
      <c r="K292" s="5">
        <v>3240000</v>
      </c>
      <c r="L292" s="5">
        <v>3540000</v>
      </c>
      <c r="M292" s="7">
        <v>1231.9000000000001</v>
      </c>
      <c r="N292" s="5">
        <v>32900000</v>
      </c>
      <c r="O292" s="5">
        <v>35900000</v>
      </c>
      <c r="P292" s="3">
        <v>0.97916666666666663</v>
      </c>
    </row>
    <row r="293" spans="1:16" x14ac:dyDescent="0.25">
      <c r="A293" s="2">
        <v>42797</v>
      </c>
      <c r="B293" s="2">
        <v>42797</v>
      </c>
      <c r="C293" t="str">
        <f>TEXT(B293,"mm")</f>
        <v>03</v>
      </c>
      <c r="D293" t="s">
        <v>21</v>
      </c>
      <c r="E293" t="s">
        <v>1636</v>
      </c>
      <c r="F293" s="5">
        <v>32200000</v>
      </c>
      <c r="G293" s="5">
        <v>35200000</v>
      </c>
      <c r="H293" s="5">
        <f>M293*26000*1.20565</f>
        <v>38415625.950000003</v>
      </c>
      <c r="I293" s="5">
        <f>G293-H293</f>
        <v>-3215625.950000003</v>
      </c>
      <c r="J293" s="5">
        <v>3000000</v>
      </c>
      <c r="K293" s="5">
        <v>3220000</v>
      </c>
      <c r="L293" s="5">
        <v>3520000</v>
      </c>
      <c r="M293" s="7">
        <v>1225.5</v>
      </c>
      <c r="N293" s="5">
        <v>32700000</v>
      </c>
      <c r="O293" s="5">
        <v>35700000</v>
      </c>
      <c r="P293" s="3">
        <v>0.97916666666666663</v>
      </c>
    </row>
    <row r="294" spans="1:16" x14ac:dyDescent="0.25">
      <c r="A294" s="2">
        <v>42889</v>
      </c>
      <c r="B294" s="2">
        <v>42800</v>
      </c>
      <c r="C294" t="str">
        <f>TEXT(B294,"mm")</f>
        <v>03</v>
      </c>
      <c r="D294" t="s">
        <v>16</v>
      </c>
      <c r="E294" t="s">
        <v>1636</v>
      </c>
      <c r="F294" s="5">
        <v>32200000</v>
      </c>
      <c r="G294" s="5">
        <v>35200000</v>
      </c>
      <c r="H294" s="5">
        <f>M294*26000*1.20565</f>
        <v>38384279.050000004</v>
      </c>
      <c r="I294" s="5">
        <f>G294-H294</f>
        <v>-3184279.0500000045</v>
      </c>
      <c r="J294" s="5">
        <v>3000000</v>
      </c>
      <c r="K294" s="5">
        <v>3220000</v>
      </c>
      <c r="L294" s="5">
        <v>3520000</v>
      </c>
      <c r="M294" s="7">
        <v>1224.5</v>
      </c>
      <c r="N294" s="5">
        <v>32700000</v>
      </c>
      <c r="O294" s="5">
        <v>35700000</v>
      </c>
      <c r="P294" s="3">
        <v>0.97916666666666663</v>
      </c>
    </row>
    <row r="295" spans="1:16" x14ac:dyDescent="0.25">
      <c r="A295" s="2">
        <v>42919</v>
      </c>
      <c r="B295" s="2">
        <v>42801</v>
      </c>
      <c r="C295" t="str">
        <f>TEXT(B295,"mm")</f>
        <v>03</v>
      </c>
      <c r="D295" t="s">
        <v>18</v>
      </c>
      <c r="E295" t="s">
        <v>1636</v>
      </c>
      <c r="F295" s="5">
        <v>31900000</v>
      </c>
      <c r="G295" s="5">
        <v>34900000</v>
      </c>
      <c r="H295" s="5">
        <f>M295*26000*1.20565</f>
        <v>38089618.189999998</v>
      </c>
      <c r="I295" s="5">
        <f>G295-H295</f>
        <v>-3189618.1899999976</v>
      </c>
      <c r="J295" s="5">
        <v>3000000</v>
      </c>
      <c r="K295" s="5">
        <v>3190000</v>
      </c>
      <c r="L295" s="5">
        <v>3490000</v>
      </c>
      <c r="M295" s="7">
        <v>1215.0999999999999</v>
      </c>
      <c r="N295" s="5">
        <v>32400000</v>
      </c>
      <c r="O295" s="5">
        <v>35400000</v>
      </c>
      <c r="P295" s="3">
        <v>0.97916666666666663</v>
      </c>
    </row>
    <row r="296" spans="1:16" x14ac:dyDescent="0.25">
      <c r="A296" s="2">
        <v>42950</v>
      </c>
      <c r="B296" s="2">
        <v>42802</v>
      </c>
      <c r="C296" t="str">
        <f>TEXT(B296,"mm")</f>
        <v>03</v>
      </c>
      <c r="D296" t="s">
        <v>19</v>
      </c>
      <c r="E296" t="s">
        <v>1636</v>
      </c>
      <c r="F296" s="5">
        <v>31700000</v>
      </c>
      <c r="G296" s="5">
        <v>34700000</v>
      </c>
      <c r="H296" s="5">
        <f>M296*26000*1.20565</f>
        <v>37882728.650000006</v>
      </c>
      <c r="I296" s="5">
        <f>G296-H296</f>
        <v>-3182728.650000006</v>
      </c>
      <c r="J296" s="5">
        <v>3000000</v>
      </c>
      <c r="K296" s="5">
        <v>3170000</v>
      </c>
      <c r="L296" s="5">
        <v>3470000</v>
      </c>
      <c r="M296" s="7">
        <v>1208.5</v>
      </c>
      <c r="N296" s="5">
        <v>32200000</v>
      </c>
      <c r="O296" s="5">
        <v>35200000</v>
      </c>
      <c r="P296" s="3">
        <v>0.97916666666666663</v>
      </c>
    </row>
    <row r="297" spans="1:16" x14ac:dyDescent="0.25">
      <c r="A297" s="2">
        <v>42981</v>
      </c>
      <c r="B297" s="2">
        <v>42803</v>
      </c>
      <c r="C297" t="str">
        <f>TEXT(B297,"mm")</f>
        <v>03</v>
      </c>
      <c r="D297" t="s">
        <v>20</v>
      </c>
      <c r="E297" t="s">
        <v>1636</v>
      </c>
      <c r="F297" s="5">
        <v>31600000</v>
      </c>
      <c r="G297" s="5">
        <v>34600000</v>
      </c>
      <c r="H297" s="5">
        <f>M297*26000*1.20565</f>
        <v>37691512.56000001</v>
      </c>
      <c r="I297" s="5">
        <f>G297-H297</f>
        <v>-3091512.5600000098</v>
      </c>
      <c r="J297" s="5">
        <v>3000000</v>
      </c>
      <c r="K297" s="5">
        <v>3160000</v>
      </c>
      <c r="L297" s="5">
        <v>3460000</v>
      </c>
      <c r="M297" s="7">
        <v>1202.4000000000001</v>
      </c>
      <c r="N297" s="5">
        <v>32100000</v>
      </c>
      <c r="O297" s="5">
        <v>35100000</v>
      </c>
      <c r="P297" s="3">
        <v>0.97916666666666663</v>
      </c>
    </row>
    <row r="298" spans="1:16" x14ac:dyDescent="0.25">
      <c r="A298" s="2">
        <v>43011</v>
      </c>
      <c r="B298" s="2">
        <v>42804</v>
      </c>
      <c r="C298" t="str">
        <f>TEXT(B298,"mm")</f>
        <v>03</v>
      </c>
      <c r="D298" t="s">
        <v>21</v>
      </c>
      <c r="E298" t="s">
        <v>1636</v>
      </c>
      <c r="F298" s="5">
        <v>31500000</v>
      </c>
      <c r="G298" s="5">
        <v>34500000</v>
      </c>
      <c r="H298" s="5">
        <f>M298*26000*1.20565</f>
        <v>37638222.830000006</v>
      </c>
      <c r="I298" s="5">
        <f>G298-H298</f>
        <v>-3138222.8300000057</v>
      </c>
      <c r="J298" s="5">
        <v>3000000</v>
      </c>
      <c r="K298" s="5">
        <v>3150000</v>
      </c>
      <c r="L298" s="5">
        <v>3450000</v>
      </c>
      <c r="M298" s="7">
        <v>1200.7</v>
      </c>
      <c r="N298" s="5">
        <v>32000000</v>
      </c>
      <c r="O298" s="5">
        <v>35000000</v>
      </c>
      <c r="P298" s="3">
        <v>0.97916666666666663</v>
      </c>
    </row>
    <row r="299" spans="1:16" x14ac:dyDescent="0.25">
      <c r="A299" t="s">
        <v>197</v>
      </c>
      <c r="B299" s="2">
        <v>42807</v>
      </c>
      <c r="C299" t="str">
        <f>TEXT(B299,"mm")</f>
        <v>03</v>
      </c>
      <c r="D299" t="s">
        <v>16</v>
      </c>
      <c r="E299" t="s">
        <v>1636</v>
      </c>
      <c r="F299" s="5">
        <v>31600000</v>
      </c>
      <c r="G299" s="5">
        <v>34600000</v>
      </c>
      <c r="H299" s="5">
        <f>M299*26000*1.20565</f>
        <v>37691512.56000001</v>
      </c>
      <c r="I299" s="5">
        <f>G299-H299</f>
        <v>-3091512.5600000098</v>
      </c>
      <c r="J299" s="5">
        <v>3000000</v>
      </c>
      <c r="K299" s="5">
        <v>3160000</v>
      </c>
      <c r="L299" s="5">
        <v>3460000</v>
      </c>
      <c r="M299" s="7">
        <v>1202.4000000000001</v>
      </c>
      <c r="N299" s="5">
        <v>32100000</v>
      </c>
      <c r="O299" s="5">
        <v>35100000</v>
      </c>
      <c r="P299" s="3">
        <v>0.97916666666666663</v>
      </c>
    </row>
    <row r="300" spans="1:16" x14ac:dyDescent="0.25">
      <c r="A300" t="s">
        <v>198</v>
      </c>
      <c r="B300" s="2">
        <v>42808</v>
      </c>
      <c r="C300" t="str">
        <f>TEXT(B300,"mm")</f>
        <v>03</v>
      </c>
      <c r="D300" t="s">
        <v>18</v>
      </c>
      <c r="E300" t="s">
        <v>1636</v>
      </c>
      <c r="F300" s="5">
        <v>31500000</v>
      </c>
      <c r="G300" s="5">
        <v>34500000</v>
      </c>
      <c r="H300" s="5">
        <f>M300*26000*1.20565</f>
        <v>37675839.110000007</v>
      </c>
      <c r="I300" s="5">
        <f>G300-H300</f>
        <v>-3175839.1100000069</v>
      </c>
      <c r="J300" s="5">
        <v>3000000</v>
      </c>
      <c r="K300" s="5">
        <v>3150000</v>
      </c>
      <c r="L300" s="5">
        <v>3450000</v>
      </c>
      <c r="M300" s="7">
        <v>1201.9000000000001</v>
      </c>
      <c r="N300" s="5">
        <v>32000000</v>
      </c>
      <c r="O300" s="5">
        <v>35000000</v>
      </c>
      <c r="P300" s="3">
        <v>0.97916666666666663</v>
      </c>
    </row>
    <row r="301" spans="1:16" x14ac:dyDescent="0.25">
      <c r="A301" t="s">
        <v>199</v>
      </c>
      <c r="B301" s="2">
        <v>42809</v>
      </c>
      <c r="C301" t="str">
        <f>TEXT(B301,"mm")</f>
        <v>03</v>
      </c>
      <c r="D301" t="s">
        <v>19</v>
      </c>
      <c r="E301" t="s">
        <v>1636</v>
      </c>
      <c r="F301" s="5">
        <v>31500000</v>
      </c>
      <c r="G301" s="5">
        <v>34500000</v>
      </c>
      <c r="H301" s="5">
        <f>M301*26000*1.20565</f>
        <v>37619414.689999998</v>
      </c>
      <c r="I301" s="5">
        <f>G301-H301</f>
        <v>-3119414.6899999976</v>
      </c>
      <c r="J301" s="5">
        <v>3000000</v>
      </c>
      <c r="K301" s="5">
        <v>3150000</v>
      </c>
      <c r="L301" s="5">
        <v>3450000</v>
      </c>
      <c r="M301" s="7">
        <v>1200.0999999999999</v>
      </c>
      <c r="N301" s="5">
        <v>32000000</v>
      </c>
      <c r="O301" s="5">
        <v>35000000</v>
      </c>
      <c r="P301" s="3">
        <v>0.97916666666666663</v>
      </c>
    </row>
    <row r="302" spans="1:16" x14ac:dyDescent="0.25">
      <c r="A302" t="s">
        <v>200</v>
      </c>
      <c r="B302" s="2">
        <v>42810</v>
      </c>
      <c r="C302" t="str">
        <f>TEXT(B302,"mm")</f>
        <v>03</v>
      </c>
      <c r="D302" t="s">
        <v>20</v>
      </c>
      <c r="E302" t="s">
        <v>1636</v>
      </c>
      <c r="F302" s="5">
        <v>32200000</v>
      </c>
      <c r="G302" s="5">
        <v>35200000</v>
      </c>
      <c r="H302" s="5">
        <f>M302*26000*1.20565</f>
        <v>38446972.850000001</v>
      </c>
      <c r="I302" s="5">
        <f>G302-H302</f>
        <v>-3246972.8500000015</v>
      </c>
      <c r="J302" s="5">
        <v>3000000</v>
      </c>
      <c r="K302" s="5">
        <v>3220000</v>
      </c>
      <c r="L302" s="5">
        <v>3520000</v>
      </c>
      <c r="M302" s="7">
        <v>1226.5</v>
      </c>
      <c r="N302" s="5">
        <v>32700000</v>
      </c>
      <c r="O302" s="5">
        <v>35700000</v>
      </c>
      <c r="P302" s="3">
        <v>0.97916666666666663</v>
      </c>
    </row>
    <row r="303" spans="1:16" x14ac:dyDescent="0.25">
      <c r="A303" t="s">
        <v>201</v>
      </c>
      <c r="B303" s="2">
        <v>42811</v>
      </c>
      <c r="C303" t="str">
        <f>TEXT(B303,"mm")</f>
        <v>03</v>
      </c>
      <c r="D303" t="s">
        <v>21</v>
      </c>
      <c r="E303" t="s">
        <v>1636</v>
      </c>
      <c r="F303" s="5">
        <v>32300000</v>
      </c>
      <c r="G303" s="5">
        <v>35300000</v>
      </c>
      <c r="H303" s="5">
        <f>M303*26000*1.20565</f>
        <v>38550417.620000005</v>
      </c>
      <c r="I303" s="5">
        <f>G303-H303</f>
        <v>-3250417.6200000048</v>
      </c>
      <c r="J303" s="5">
        <v>3000000</v>
      </c>
      <c r="K303" s="5">
        <v>3230000</v>
      </c>
      <c r="L303" s="5">
        <v>3530000</v>
      </c>
      <c r="M303" s="7">
        <v>1229.8</v>
      </c>
      <c r="N303" s="5">
        <v>32800000</v>
      </c>
      <c r="O303" s="5">
        <v>35800000</v>
      </c>
      <c r="P303" s="3">
        <v>0.97916666666666663</v>
      </c>
    </row>
    <row r="304" spans="1:16" x14ac:dyDescent="0.25">
      <c r="A304" t="s">
        <v>202</v>
      </c>
      <c r="B304" s="2">
        <v>42814</v>
      </c>
      <c r="C304" t="str">
        <f>TEXT(B304,"mm")</f>
        <v>03</v>
      </c>
      <c r="D304" t="s">
        <v>16</v>
      </c>
      <c r="E304" t="s">
        <v>1636</v>
      </c>
      <c r="F304" s="5">
        <v>32400000</v>
      </c>
      <c r="G304" s="5">
        <v>35400000</v>
      </c>
      <c r="H304" s="5">
        <f>M304*26000*1.20565</f>
        <v>38669535.839999996</v>
      </c>
      <c r="I304" s="5">
        <f>G304-H304</f>
        <v>-3269535.8399999961</v>
      </c>
      <c r="J304" s="5">
        <v>3000000</v>
      </c>
      <c r="K304" s="5">
        <v>3240000</v>
      </c>
      <c r="L304" s="5">
        <v>3540000</v>
      </c>
      <c r="M304" s="7">
        <v>1233.5999999999999</v>
      </c>
      <c r="N304" s="5">
        <v>32900000</v>
      </c>
      <c r="O304" s="5">
        <v>35900000</v>
      </c>
      <c r="P304" s="3">
        <v>0.97916666666666663</v>
      </c>
    </row>
    <row r="305" spans="1:16" x14ac:dyDescent="0.25">
      <c r="A305" t="s">
        <v>203</v>
      </c>
      <c r="B305" s="2">
        <v>42815</v>
      </c>
      <c r="C305" t="str">
        <f>TEXT(B305,"mm")</f>
        <v>03</v>
      </c>
      <c r="D305" t="s">
        <v>18</v>
      </c>
      <c r="E305" t="s">
        <v>1636</v>
      </c>
      <c r="F305" s="5">
        <v>32800000</v>
      </c>
      <c r="G305" s="5">
        <v>35800000</v>
      </c>
      <c r="H305" s="5">
        <f>M305*26000*1.20565</f>
        <v>39061372.089999996</v>
      </c>
      <c r="I305" s="5">
        <f>G305-H305</f>
        <v>-3261372.0899999961</v>
      </c>
      <c r="J305" s="5">
        <v>3000000</v>
      </c>
      <c r="K305" s="5">
        <v>3280000</v>
      </c>
      <c r="L305" s="5">
        <v>3580000</v>
      </c>
      <c r="M305" s="7">
        <v>1246.0999999999999</v>
      </c>
      <c r="N305" s="5">
        <v>33300000</v>
      </c>
      <c r="O305" s="5">
        <v>36300000</v>
      </c>
      <c r="P305" s="3">
        <v>0.97916666666666663</v>
      </c>
    </row>
    <row r="306" spans="1:16" x14ac:dyDescent="0.25">
      <c r="A306" t="s">
        <v>204</v>
      </c>
      <c r="B306" s="2">
        <v>42816</v>
      </c>
      <c r="C306" t="str">
        <f>TEXT(B306,"mm")</f>
        <v>03</v>
      </c>
      <c r="D306" t="s">
        <v>19</v>
      </c>
      <c r="E306" t="s">
        <v>1636</v>
      </c>
      <c r="F306" s="5">
        <v>32900000</v>
      </c>
      <c r="G306" s="5">
        <v>35900000</v>
      </c>
      <c r="H306" s="5">
        <f>M306*26000*1.20565</f>
        <v>39161682.170000002</v>
      </c>
      <c r="I306" s="5">
        <f>G306-H306</f>
        <v>-3261682.1700000018</v>
      </c>
      <c r="J306" s="5">
        <v>3000000</v>
      </c>
      <c r="K306" s="5">
        <v>3290000</v>
      </c>
      <c r="L306" s="5">
        <v>3590000</v>
      </c>
      <c r="M306" s="7">
        <v>1249.3</v>
      </c>
      <c r="N306" s="5">
        <v>33400000</v>
      </c>
      <c r="O306" s="5">
        <v>36400000</v>
      </c>
      <c r="P306" s="3">
        <v>0.97916666666666663</v>
      </c>
    </row>
    <row r="307" spans="1:16" x14ac:dyDescent="0.25">
      <c r="A307" t="s">
        <v>205</v>
      </c>
      <c r="B307" s="2">
        <v>42817</v>
      </c>
      <c r="C307" t="str">
        <f>TEXT(B307,"mm")</f>
        <v>03</v>
      </c>
      <c r="D307" t="s">
        <v>20</v>
      </c>
      <c r="E307" t="s">
        <v>1636</v>
      </c>
      <c r="F307" s="5">
        <v>32800000</v>
      </c>
      <c r="G307" s="5">
        <v>35800000</v>
      </c>
      <c r="H307" s="5">
        <f>M307*26000*1.20565</f>
        <v>39086449.610000007</v>
      </c>
      <c r="I307" s="5">
        <f>G307-H307</f>
        <v>-3286449.6100000069</v>
      </c>
      <c r="J307" s="5">
        <v>3000000</v>
      </c>
      <c r="K307" s="5">
        <v>3280000</v>
      </c>
      <c r="L307" s="5">
        <v>3580000</v>
      </c>
      <c r="M307" s="7">
        <v>1246.9000000000001</v>
      </c>
      <c r="N307" s="5">
        <v>33300000</v>
      </c>
      <c r="O307" s="5">
        <v>36300000</v>
      </c>
      <c r="P307" s="3">
        <v>0.97916666666666663</v>
      </c>
    </row>
    <row r="308" spans="1:16" x14ac:dyDescent="0.25">
      <c r="A308" t="s">
        <v>206</v>
      </c>
      <c r="B308" s="2">
        <v>42818</v>
      </c>
      <c r="C308" t="str">
        <f>TEXT(B308,"mm")</f>
        <v>03</v>
      </c>
      <c r="D308" t="s">
        <v>21</v>
      </c>
      <c r="E308" t="s">
        <v>1636</v>
      </c>
      <c r="F308" s="5">
        <v>32900000</v>
      </c>
      <c r="G308" s="5">
        <v>35900000</v>
      </c>
      <c r="H308" s="5">
        <f>M308*26000*1.20565</f>
        <v>39127200.580000006</v>
      </c>
      <c r="I308" s="5">
        <f>G308-H308</f>
        <v>-3227200.5800000057</v>
      </c>
      <c r="J308" s="5">
        <v>3000000</v>
      </c>
      <c r="K308" s="5">
        <v>3290000</v>
      </c>
      <c r="L308" s="5">
        <v>3590000</v>
      </c>
      <c r="M308" s="7">
        <v>1248.2</v>
      </c>
      <c r="N308" s="5">
        <v>33400000</v>
      </c>
      <c r="O308" s="5">
        <v>36400000</v>
      </c>
      <c r="P308" s="3">
        <v>0.97916666666666663</v>
      </c>
    </row>
    <row r="309" spans="1:16" x14ac:dyDescent="0.25">
      <c r="A309" t="s">
        <v>207</v>
      </c>
      <c r="B309" s="2">
        <v>42821</v>
      </c>
      <c r="C309" t="str">
        <f>TEXT(B309,"mm")</f>
        <v>03</v>
      </c>
      <c r="D309" t="s">
        <v>16</v>
      </c>
      <c r="E309" t="s">
        <v>1636</v>
      </c>
      <c r="F309" s="5">
        <v>33100000</v>
      </c>
      <c r="G309" s="5">
        <v>36100000</v>
      </c>
      <c r="H309" s="5">
        <f>M309*26000*1.20565</f>
        <v>39352898.260000005</v>
      </c>
      <c r="I309" s="5">
        <f>G309-H309</f>
        <v>-3252898.2600000054</v>
      </c>
      <c r="J309" s="5">
        <v>3000000</v>
      </c>
      <c r="K309" s="5">
        <v>3310000</v>
      </c>
      <c r="L309" s="5">
        <v>3610000</v>
      </c>
      <c r="M309" s="7">
        <v>1255.4000000000001</v>
      </c>
      <c r="N309" s="5">
        <v>33600000</v>
      </c>
      <c r="O309" s="5">
        <v>36600000</v>
      </c>
      <c r="P309" s="3">
        <v>0.97916666666666663</v>
      </c>
    </row>
    <row r="310" spans="1:16" x14ac:dyDescent="0.25">
      <c r="A310" t="s">
        <v>208</v>
      </c>
      <c r="B310" s="2">
        <v>42822</v>
      </c>
      <c r="C310" t="str">
        <f>TEXT(B310,"mm")</f>
        <v>03</v>
      </c>
      <c r="D310" t="s">
        <v>18</v>
      </c>
      <c r="E310" t="s">
        <v>1636</v>
      </c>
      <c r="F310" s="5">
        <v>33100000</v>
      </c>
      <c r="G310" s="5">
        <v>36100000</v>
      </c>
      <c r="H310" s="5">
        <f>M310*26000*1.20565</f>
        <v>39349763.57</v>
      </c>
      <c r="I310" s="5">
        <f>G310-H310</f>
        <v>-3249763.5700000003</v>
      </c>
      <c r="J310" s="5">
        <v>3000000</v>
      </c>
      <c r="K310" s="5">
        <v>3310000</v>
      </c>
      <c r="L310" s="5">
        <v>3610000</v>
      </c>
      <c r="M310" s="7">
        <v>1255.3</v>
      </c>
      <c r="N310" s="5">
        <v>33600000</v>
      </c>
      <c r="O310" s="5">
        <v>36600000</v>
      </c>
      <c r="P310" s="3">
        <v>0.97916666666666663</v>
      </c>
    </row>
    <row r="311" spans="1:16" x14ac:dyDescent="0.25">
      <c r="A311" t="s">
        <v>209</v>
      </c>
      <c r="B311" s="2">
        <v>42823</v>
      </c>
      <c r="C311" t="str">
        <f>TEXT(B311,"mm")</f>
        <v>03</v>
      </c>
      <c r="D311" t="s">
        <v>19</v>
      </c>
      <c r="E311" t="s">
        <v>1636</v>
      </c>
      <c r="F311" s="5">
        <v>33000000</v>
      </c>
      <c r="G311" s="5">
        <v>36000000</v>
      </c>
      <c r="H311" s="5">
        <f>M311*26000*1.20565</f>
        <v>39290204.460000008</v>
      </c>
      <c r="I311" s="5">
        <f>G311-H311</f>
        <v>-3290204.4600000083</v>
      </c>
      <c r="J311" s="5">
        <v>3000000</v>
      </c>
      <c r="K311" s="5">
        <v>3300000</v>
      </c>
      <c r="L311" s="5">
        <v>3600000</v>
      </c>
      <c r="M311" s="7">
        <v>1253.4000000000001</v>
      </c>
      <c r="N311" s="5">
        <v>33500000</v>
      </c>
      <c r="O311" s="5">
        <v>36500000</v>
      </c>
      <c r="P311" s="3">
        <v>0.97916666666666663</v>
      </c>
    </row>
    <row r="312" spans="1:16" x14ac:dyDescent="0.25">
      <c r="A312" t="s">
        <v>210</v>
      </c>
      <c r="B312" s="2">
        <v>42824</v>
      </c>
      <c r="C312" t="str">
        <f>TEXT(B312,"mm")</f>
        <v>03</v>
      </c>
      <c r="D312" t="s">
        <v>20</v>
      </c>
      <c r="E312" t="s">
        <v>1636</v>
      </c>
      <c r="F312" s="5">
        <v>32800000</v>
      </c>
      <c r="G312" s="5">
        <v>35800000</v>
      </c>
      <c r="H312" s="5">
        <f>M312*26000*1.20565</f>
        <v>39026890.5</v>
      </c>
      <c r="I312" s="5">
        <f>G312-H312</f>
        <v>-3226890.5</v>
      </c>
      <c r="J312" s="5">
        <v>3000000</v>
      </c>
      <c r="K312" s="5">
        <v>3280000</v>
      </c>
      <c r="L312" s="5">
        <v>3580000</v>
      </c>
      <c r="M312" s="7">
        <v>1245</v>
      </c>
      <c r="N312" s="5">
        <v>33300000</v>
      </c>
      <c r="O312" s="5">
        <v>36300000</v>
      </c>
      <c r="P312" s="3">
        <v>0.97916666666666663</v>
      </c>
    </row>
    <row r="313" spans="1:16" x14ac:dyDescent="0.25">
      <c r="A313" t="s">
        <v>211</v>
      </c>
      <c r="B313" s="2">
        <v>42825</v>
      </c>
      <c r="C313" t="str">
        <f>TEXT(B313,"mm")</f>
        <v>03</v>
      </c>
      <c r="D313" t="s">
        <v>21</v>
      </c>
      <c r="E313" t="s">
        <v>1636</v>
      </c>
      <c r="F313" s="5">
        <v>32800000</v>
      </c>
      <c r="G313" s="5">
        <v>35800000</v>
      </c>
      <c r="H313" s="5">
        <f>M313*26000*1.20565</f>
        <v>39098988.370000005</v>
      </c>
      <c r="I313" s="5">
        <f>G313-H313</f>
        <v>-3298988.3700000048</v>
      </c>
      <c r="J313" s="5">
        <v>3000000</v>
      </c>
      <c r="K313" s="5">
        <v>3280000</v>
      </c>
      <c r="L313" s="5">
        <v>3580000</v>
      </c>
      <c r="M313" s="7">
        <v>1247.3</v>
      </c>
      <c r="N313" s="5">
        <v>33300000</v>
      </c>
      <c r="O313" s="5">
        <v>36300000</v>
      </c>
      <c r="P313" s="3">
        <v>0.97916666666666663</v>
      </c>
    </row>
    <row r="314" spans="1:16" x14ac:dyDescent="0.25">
      <c r="A314" s="2">
        <v>42798</v>
      </c>
      <c r="B314" s="2">
        <v>42828</v>
      </c>
      <c r="C314" t="str">
        <f>TEXT(B314,"mm")</f>
        <v>04</v>
      </c>
      <c r="D314" t="s">
        <v>16</v>
      </c>
      <c r="E314" t="s">
        <v>1636</v>
      </c>
      <c r="F314" s="5">
        <v>32900000</v>
      </c>
      <c r="G314" s="5">
        <v>35900000</v>
      </c>
      <c r="H314" s="5">
        <f>M314*26000*1.20565</f>
        <v>39208702.520000003</v>
      </c>
      <c r="I314" s="5">
        <f>G314-H314</f>
        <v>-3308702.5200000033</v>
      </c>
      <c r="J314" s="5">
        <v>3000000</v>
      </c>
      <c r="K314" s="5">
        <v>3290000</v>
      </c>
      <c r="L314" s="5">
        <v>3590000</v>
      </c>
      <c r="M314" s="7">
        <v>1250.8</v>
      </c>
      <c r="N314" s="5">
        <v>33400000</v>
      </c>
      <c r="O314" s="5">
        <v>36400000</v>
      </c>
      <c r="P314" s="3">
        <v>0.97916666666666663</v>
      </c>
    </row>
    <row r="315" spans="1:16" x14ac:dyDescent="0.25">
      <c r="A315" s="2">
        <v>42829</v>
      </c>
      <c r="B315" s="2">
        <v>42829</v>
      </c>
      <c r="C315" t="str">
        <f>TEXT(B315,"mm")</f>
        <v>04</v>
      </c>
      <c r="D315" t="s">
        <v>18</v>
      </c>
      <c r="E315" t="s">
        <v>1636</v>
      </c>
      <c r="F315" s="5">
        <v>33100000</v>
      </c>
      <c r="G315" s="5">
        <v>36100000</v>
      </c>
      <c r="H315" s="5">
        <f>M315*26000*1.20565</f>
        <v>39340359.5</v>
      </c>
      <c r="I315" s="5">
        <f>G315-H315</f>
        <v>-3240359.5</v>
      </c>
      <c r="J315" s="5">
        <v>3000000</v>
      </c>
      <c r="K315" s="5">
        <v>3310000</v>
      </c>
      <c r="L315" s="5">
        <v>3610000</v>
      </c>
      <c r="M315" s="7">
        <v>1255</v>
      </c>
      <c r="N315" s="5">
        <v>33600000</v>
      </c>
      <c r="O315" s="5">
        <v>36600000</v>
      </c>
      <c r="P315" s="3">
        <v>0.97916666666666663</v>
      </c>
    </row>
    <row r="316" spans="1:16" x14ac:dyDescent="0.25">
      <c r="A316" s="2">
        <v>42859</v>
      </c>
      <c r="B316" s="2">
        <v>42830</v>
      </c>
      <c r="C316" t="str">
        <f>TEXT(B316,"mm")</f>
        <v>04</v>
      </c>
      <c r="D316" t="s">
        <v>19</v>
      </c>
      <c r="E316" t="s">
        <v>1636</v>
      </c>
      <c r="F316" s="5">
        <v>32800000</v>
      </c>
      <c r="G316" s="5">
        <v>35800000</v>
      </c>
      <c r="H316" s="5">
        <f>M316*26000*1.20565</f>
        <v>39039429.260000005</v>
      </c>
      <c r="I316" s="5">
        <f>G316-H316</f>
        <v>-3239429.2600000054</v>
      </c>
      <c r="J316" s="5">
        <v>3000000</v>
      </c>
      <c r="K316" s="5">
        <v>3280000</v>
      </c>
      <c r="L316" s="5">
        <v>3580000</v>
      </c>
      <c r="M316" s="7">
        <v>1245.4000000000001</v>
      </c>
      <c r="N316" s="5">
        <v>33300000</v>
      </c>
      <c r="O316" s="5">
        <v>36300000</v>
      </c>
      <c r="P316" s="3">
        <v>0.97916666666666663</v>
      </c>
    </row>
    <row r="317" spans="1:16" x14ac:dyDescent="0.25">
      <c r="A317" s="2">
        <v>42890</v>
      </c>
      <c r="B317" s="2">
        <v>42831</v>
      </c>
      <c r="C317" t="str">
        <f>TEXT(B317,"mm")</f>
        <v>04</v>
      </c>
      <c r="D317" t="s">
        <v>20</v>
      </c>
      <c r="E317" t="s">
        <v>1636</v>
      </c>
      <c r="F317" s="5">
        <v>32900000</v>
      </c>
      <c r="G317" s="5">
        <v>35900000</v>
      </c>
      <c r="H317" s="5">
        <f>M317*26000*1.20565</f>
        <v>39193029.07</v>
      </c>
      <c r="I317" s="5">
        <f>G317-H317</f>
        <v>-3293029.0700000003</v>
      </c>
      <c r="J317" s="5">
        <v>3000000</v>
      </c>
      <c r="K317" s="5">
        <v>3290000</v>
      </c>
      <c r="L317" s="5">
        <v>3590000</v>
      </c>
      <c r="M317" s="7">
        <v>1250.3</v>
      </c>
      <c r="N317" s="5">
        <v>33400000</v>
      </c>
      <c r="O317" s="5">
        <v>36400000</v>
      </c>
      <c r="P317" s="3">
        <v>0.97916666666666663</v>
      </c>
    </row>
    <row r="318" spans="1:16" x14ac:dyDescent="0.25">
      <c r="A318" s="2">
        <v>42920</v>
      </c>
      <c r="B318" s="2">
        <v>42832</v>
      </c>
      <c r="C318" t="str">
        <f>TEXT(B318,"mm")</f>
        <v>04</v>
      </c>
      <c r="D318" t="s">
        <v>21</v>
      </c>
      <c r="E318" t="s">
        <v>1636</v>
      </c>
      <c r="F318" s="5">
        <v>33000000</v>
      </c>
      <c r="G318" s="5">
        <v>36000000</v>
      </c>
      <c r="H318" s="5">
        <f>M318*26000*1.20565</f>
        <v>39318416.670000002</v>
      </c>
      <c r="I318" s="5">
        <f>G318-H318</f>
        <v>-3318416.6700000018</v>
      </c>
      <c r="J318" s="5">
        <v>3000000</v>
      </c>
      <c r="K318" s="5">
        <v>3300000</v>
      </c>
      <c r="L318" s="5">
        <v>3600000</v>
      </c>
      <c r="M318" s="7">
        <v>1254.3</v>
      </c>
      <c r="N318" s="5">
        <v>33500000</v>
      </c>
      <c r="O318" s="5">
        <v>36500000</v>
      </c>
      <c r="P318" s="3">
        <v>0.97916666666666663</v>
      </c>
    </row>
    <row r="319" spans="1:16" x14ac:dyDescent="0.25">
      <c r="A319" s="2">
        <v>43012</v>
      </c>
      <c r="B319" s="2">
        <v>42835</v>
      </c>
      <c r="C319" t="str">
        <f>TEXT(B319,"mm")</f>
        <v>04</v>
      </c>
      <c r="D319" t="s">
        <v>16</v>
      </c>
      <c r="E319" t="s">
        <v>1636</v>
      </c>
      <c r="F319" s="5">
        <v>33000000</v>
      </c>
      <c r="G319" s="5">
        <v>36000000</v>
      </c>
      <c r="H319" s="5">
        <f>M319*26000*1.20565</f>
        <v>39218106.589999996</v>
      </c>
      <c r="I319" s="5">
        <f>G319-H319</f>
        <v>-3218106.5899999961</v>
      </c>
      <c r="J319" s="5">
        <v>3000000</v>
      </c>
      <c r="K319" s="5">
        <v>3300000</v>
      </c>
      <c r="L319" s="5">
        <v>3600000</v>
      </c>
      <c r="M319" s="7">
        <v>1251.0999999999999</v>
      </c>
      <c r="N319" s="5">
        <v>33500000</v>
      </c>
      <c r="O319" s="5">
        <v>36500000</v>
      </c>
      <c r="P319" s="3">
        <v>0.97916666666666663</v>
      </c>
    </row>
    <row r="320" spans="1:16" x14ac:dyDescent="0.25">
      <c r="A320" s="2">
        <v>43043</v>
      </c>
      <c r="B320" s="2">
        <v>42836</v>
      </c>
      <c r="C320" t="str">
        <f>TEXT(B320,"mm")</f>
        <v>04</v>
      </c>
      <c r="D320" t="s">
        <v>18</v>
      </c>
      <c r="E320" t="s">
        <v>1636</v>
      </c>
      <c r="F320" s="5">
        <v>33500000</v>
      </c>
      <c r="G320" s="5">
        <v>36500000</v>
      </c>
      <c r="H320" s="5">
        <f>M320*26000*1.20565</f>
        <v>39848179.280000001</v>
      </c>
      <c r="I320" s="5">
        <f>G320-H320</f>
        <v>-3348179.2800000012</v>
      </c>
      <c r="J320" s="5">
        <v>3000000</v>
      </c>
      <c r="K320" s="5">
        <v>3350000</v>
      </c>
      <c r="L320" s="5">
        <v>3650000</v>
      </c>
      <c r="M320" s="7">
        <v>1271.2</v>
      </c>
      <c r="N320" s="5">
        <v>34000000</v>
      </c>
      <c r="O320" s="5">
        <v>37000000</v>
      </c>
      <c r="P320" s="3">
        <v>0.97916666666666663</v>
      </c>
    </row>
    <row r="321" spans="1:16" x14ac:dyDescent="0.25">
      <c r="A321" s="2">
        <v>43073</v>
      </c>
      <c r="B321" s="2">
        <v>42837</v>
      </c>
      <c r="C321" t="str">
        <f>TEXT(B321,"mm")</f>
        <v>04</v>
      </c>
      <c r="D321" t="s">
        <v>19</v>
      </c>
      <c r="E321" t="s">
        <v>1636</v>
      </c>
      <c r="F321" s="5">
        <v>33600000</v>
      </c>
      <c r="G321" s="5">
        <v>36600000</v>
      </c>
      <c r="H321" s="5">
        <f>M321*26000*1.20565</f>
        <v>39976701.57</v>
      </c>
      <c r="I321" s="5">
        <f>G321-H321</f>
        <v>-3376701.5700000003</v>
      </c>
      <c r="J321" s="5">
        <v>3000000</v>
      </c>
      <c r="K321" s="5">
        <v>3360000</v>
      </c>
      <c r="L321" s="5">
        <v>3660000</v>
      </c>
      <c r="M321" s="7">
        <v>1275.3</v>
      </c>
      <c r="N321" s="5">
        <v>34100000</v>
      </c>
      <c r="O321" s="5">
        <v>37100000</v>
      </c>
      <c r="P321" s="3">
        <v>0.97916666666666663</v>
      </c>
    </row>
    <row r="322" spans="1:16" x14ac:dyDescent="0.25">
      <c r="A322" t="s">
        <v>212</v>
      </c>
      <c r="B322" s="2">
        <v>42838</v>
      </c>
      <c r="C322" t="str">
        <f>TEXT(B322,"mm")</f>
        <v>04</v>
      </c>
      <c r="D322" t="s">
        <v>20</v>
      </c>
      <c r="E322" t="s">
        <v>1636</v>
      </c>
      <c r="F322" s="5">
        <v>34000000</v>
      </c>
      <c r="G322" s="5">
        <v>37000000</v>
      </c>
      <c r="H322" s="5">
        <f>M322*26000*1.20565</f>
        <v>40308978.710000008</v>
      </c>
      <c r="I322" s="5">
        <f>G322-H322</f>
        <v>-3308978.7100000083</v>
      </c>
      <c r="J322" s="5">
        <v>3000000</v>
      </c>
      <c r="K322" s="5">
        <v>3400000</v>
      </c>
      <c r="L322" s="5">
        <v>3700000</v>
      </c>
      <c r="M322" s="7">
        <v>1285.9000000000001</v>
      </c>
      <c r="N322" s="5">
        <v>34500000</v>
      </c>
      <c r="O322" s="5">
        <v>37500000</v>
      </c>
      <c r="P322" s="3">
        <v>0.97916666666666663</v>
      </c>
    </row>
    <row r="323" spans="1:16" x14ac:dyDescent="0.25">
      <c r="A323" t="s">
        <v>213</v>
      </c>
      <c r="B323" s="2">
        <v>42842</v>
      </c>
      <c r="C323" t="str">
        <f>TEXT(B323,"mm")</f>
        <v>04</v>
      </c>
      <c r="D323" t="s">
        <v>16</v>
      </c>
      <c r="E323" t="s">
        <v>1636</v>
      </c>
      <c r="F323" s="5">
        <v>34100000</v>
      </c>
      <c r="G323" s="5">
        <v>37100000</v>
      </c>
      <c r="H323" s="5">
        <f>M323*26000*1.20565</f>
        <v>40418692.860000007</v>
      </c>
      <c r="I323" s="5">
        <f>G323-H323</f>
        <v>-3318692.8600000069</v>
      </c>
      <c r="J323" s="5">
        <v>3000000</v>
      </c>
      <c r="K323" s="5">
        <v>3410000</v>
      </c>
      <c r="L323" s="5">
        <v>3710000</v>
      </c>
      <c r="M323" s="7">
        <v>1289.4000000000001</v>
      </c>
      <c r="N323" s="5">
        <v>34600000</v>
      </c>
      <c r="O323" s="5">
        <v>37600000</v>
      </c>
      <c r="P323" s="3">
        <v>0.97916666666666663</v>
      </c>
    </row>
    <row r="324" spans="1:16" x14ac:dyDescent="0.25">
      <c r="A324" t="s">
        <v>214</v>
      </c>
      <c r="B324" s="2">
        <v>42843</v>
      </c>
      <c r="C324" t="str">
        <f>TEXT(B324,"mm")</f>
        <v>04</v>
      </c>
      <c r="D324" t="s">
        <v>18</v>
      </c>
      <c r="E324" t="s">
        <v>1636</v>
      </c>
      <c r="F324" s="5">
        <v>34100000</v>
      </c>
      <c r="G324" s="5">
        <v>37100000</v>
      </c>
      <c r="H324" s="5">
        <f>M324*26000*1.20565</f>
        <v>40490790.730000004</v>
      </c>
      <c r="I324" s="5">
        <f>G324-H324</f>
        <v>-3390790.7300000042</v>
      </c>
      <c r="J324" s="5">
        <v>3000000</v>
      </c>
      <c r="K324" s="5">
        <v>3410000</v>
      </c>
      <c r="L324" s="5">
        <v>3710000</v>
      </c>
      <c r="M324" s="7">
        <v>1291.7</v>
      </c>
      <c r="N324" s="5">
        <v>34600000</v>
      </c>
      <c r="O324" s="5">
        <v>37600000</v>
      </c>
      <c r="P324" s="3">
        <v>0.97916666666666663</v>
      </c>
    </row>
    <row r="325" spans="1:16" x14ac:dyDescent="0.25">
      <c r="A325" t="s">
        <v>215</v>
      </c>
      <c r="B325" s="2">
        <v>42844</v>
      </c>
      <c r="C325" t="str">
        <f>TEXT(B325,"mm")</f>
        <v>04</v>
      </c>
      <c r="D325" t="s">
        <v>19</v>
      </c>
      <c r="E325" t="s">
        <v>1636</v>
      </c>
      <c r="F325" s="5">
        <v>33800000</v>
      </c>
      <c r="G325" s="5">
        <v>36800000</v>
      </c>
      <c r="H325" s="5">
        <f>M325*26000*1.20565</f>
        <v>40167917.660000011</v>
      </c>
      <c r="I325" s="5">
        <f>G325-H325</f>
        <v>-3367917.6600000113</v>
      </c>
      <c r="J325" s="5">
        <v>3000000</v>
      </c>
      <c r="K325" s="5">
        <v>3380000</v>
      </c>
      <c r="L325" s="5">
        <v>3680000</v>
      </c>
      <c r="M325" s="7">
        <v>1281.4000000000001</v>
      </c>
      <c r="N325" s="5">
        <v>34300000</v>
      </c>
      <c r="O325" s="5">
        <v>37300000</v>
      </c>
      <c r="P325" s="3">
        <v>0.97916666666666663</v>
      </c>
    </row>
    <row r="326" spans="1:16" x14ac:dyDescent="0.25">
      <c r="A326" t="s">
        <v>216</v>
      </c>
      <c r="B326" s="2">
        <v>42845</v>
      </c>
      <c r="C326" t="str">
        <f>TEXT(B326,"mm")</f>
        <v>04</v>
      </c>
      <c r="D326" t="s">
        <v>20</v>
      </c>
      <c r="E326" t="s">
        <v>1636</v>
      </c>
      <c r="F326" s="5">
        <v>33800000</v>
      </c>
      <c r="G326" s="5">
        <v>36800000</v>
      </c>
      <c r="H326" s="5">
        <f>M326*26000*1.20565</f>
        <v>40183591.110000007</v>
      </c>
      <c r="I326" s="5">
        <f>G326-H326</f>
        <v>-3383591.1100000069</v>
      </c>
      <c r="J326" s="5">
        <v>3000000</v>
      </c>
      <c r="K326" s="5">
        <v>3380000</v>
      </c>
      <c r="L326" s="5">
        <v>3680000</v>
      </c>
      <c r="M326" s="7">
        <v>1281.9000000000001</v>
      </c>
      <c r="N326" s="5">
        <v>34300000</v>
      </c>
      <c r="O326" s="5">
        <v>37300000</v>
      </c>
      <c r="P326" s="3">
        <v>0.97916666666666663</v>
      </c>
    </row>
    <row r="327" spans="1:16" x14ac:dyDescent="0.25">
      <c r="A327" t="s">
        <v>217</v>
      </c>
      <c r="B327" s="2">
        <v>42846</v>
      </c>
      <c r="C327" t="str">
        <f>TEXT(B327,"mm")</f>
        <v>04</v>
      </c>
      <c r="D327" t="s">
        <v>21</v>
      </c>
      <c r="E327" t="s">
        <v>1636</v>
      </c>
      <c r="F327" s="5">
        <v>34000000</v>
      </c>
      <c r="G327" s="5">
        <v>37000000</v>
      </c>
      <c r="H327" s="5">
        <f>M327*26000*1.20565</f>
        <v>40355999.06000001</v>
      </c>
      <c r="I327" s="5">
        <f>G327-H327</f>
        <v>-3355999.0600000098</v>
      </c>
      <c r="J327" s="5">
        <v>3000000</v>
      </c>
      <c r="K327" s="5">
        <v>3400000</v>
      </c>
      <c r="L327" s="5">
        <v>3700000</v>
      </c>
      <c r="M327" s="7">
        <v>1287.4000000000001</v>
      </c>
      <c r="N327" s="5">
        <v>34500000</v>
      </c>
      <c r="O327" s="5">
        <v>37500000</v>
      </c>
      <c r="P327" s="3">
        <v>0.97916666666666663</v>
      </c>
    </row>
    <row r="328" spans="1:16" x14ac:dyDescent="0.25">
      <c r="A328" t="s">
        <v>218</v>
      </c>
      <c r="B328" s="2">
        <v>42849</v>
      </c>
      <c r="C328" t="str">
        <f>TEXT(B328,"mm")</f>
        <v>04</v>
      </c>
      <c r="D328" t="s">
        <v>16</v>
      </c>
      <c r="E328" t="s">
        <v>1636</v>
      </c>
      <c r="F328" s="5">
        <v>33700000</v>
      </c>
      <c r="G328" s="5">
        <v>36700000</v>
      </c>
      <c r="H328" s="5">
        <f>M328*26000*1.20565</f>
        <v>39992375.020000003</v>
      </c>
      <c r="I328" s="5">
        <f>G328-H328</f>
        <v>-3292375.0200000033</v>
      </c>
      <c r="J328" s="5">
        <v>3000000</v>
      </c>
      <c r="K328" s="5">
        <v>3370000</v>
      </c>
      <c r="L328" s="5">
        <v>3670000</v>
      </c>
      <c r="M328" s="7">
        <v>1275.8</v>
      </c>
      <c r="N328" s="5">
        <v>34200000</v>
      </c>
      <c r="O328" s="5">
        <v>37200000</v>
      </c>
      <c r="P328" s="3">
        <v>0.97916666666666663</v>
      </c>
    </row>
    <row r="329" spans="1:16" x14ac:dyDescent="0.25">
      <c r="A329" t="s">
        <v>219</v>
      </c>
      <c r="B329" s="2">
        <v>42850</v>
      </c>
      <c r="C329" t="str">
        <f>TEXT(B329,"mm")</f>
        <v>04</v>
      </c>
      <c r="D329" t="s">
        <v>18</v>
      </c>
      <c r="E329" t="s">
        <v>1636</v>
      </c>
      <c r="F329" s="5">
        <v>33400000</v>
      </c>
      <c r="G329" s="5">
        <v>36400000</v>
      </c>
      <c r="H329" s="5">
        <f>M329*26000*1.20565</f>
        <v>39672636.640000001</v>
      </c>
      <c r="I329" s="5">
        <f>G329-H329</f>
        <v>-3272636.6400000006</v>
      </c>
      <c r="J329" s="5">
        <v>3000000</v>
      </c>
      <c r="K329" s="5">
        <v>3340000</v>
      </c>
      <c r="L329" s="5">
        <v>3640000</v>
      </c>
      <c r="M329" s="7">
        <v>1265.5999999999999</v>
      </c>
      <c r="N329" s="5">
        <v>33900000</v>
      </c>
      <c r="O329" s="5">
        <v>36900000</v>
      </c>
      <c r="P329" s="3">
        <v>0.97916666666666663</v>
      </c>
    </row>
    <row r="330" spans="1:16" x14ac:dyDescent="0.25">
      <c r="A330" t="s">
        <v>220</v>
      </c>
      <c r="B330" s="2">
        <v>42851</v>
      </c>
      <c r="C330" t="str">
        <f>TEXT(B330,"mm")</f>
        <v>04</v>
      </c>
      <c r="D330" t="s">
        <v>19</v>
      </c>
      <c r="E330" t="s">
        <v>1636</v>
      </c>
      <c r="F330" s="5">
        <v>33300000</v>
      </c>
      <c r="G330" s="5">
        <v>36300000</v>
      </c>
      <c r="H330" s="5">
        <f>M330*26000*1.20565</f>
        <v>39562922.490000002</v>
      </c>
      <c r="I330" s="5">
        <f>G330-H330</f>
        <v>-3262922.4900000021</v>
      </c>
      <c r="J330" s="5">
        <v>3000000</v>
      </c>
      <c r="K330" s="5">
        <v>3330000</v>
      </c>
      <c r="L330" s="5">
        <v>3630000</v>
      </c>
      <c r="M330" s="7">
        <v>1262.0999999999999</v>
      </c>
      <c r="N330" s="5">
        <v>33800000</v>
      </c>
      <c r="O330" s="5">
        <v>36800000</v>
      </c>
      <c r="P330" s="3">
        <v>0.97916666666666663</v>
      </c>
    </row>
    <row r="331" spans="1:16" x14ac:dyDescent="0.25">
      <c r="A331" t="s">
        <v>221</v>
      </c>
      <c r="B331" s="2">
        <v>42852</v>
      </c>
      <c r="C331" t="str">
        <f>TEXT(B331,"mm")</f>
        <v>04</v>
      </c>
      <c r="D331" t="s">
        <v>20</v>
      </c>
      <c r="E331" t="s">
        <v>1636</v>
      </c>
      <c r="F331" s="5">
        <v>33300000</v>
      </c>
      <c r="G331" s="5">
        <v>36300000</v>
      </c>
      <c r="H331" s="5">
        <f>M331*26000*1.20565</f>
        <v>39613077.530000001</v>
      </c>
      <c r="I331" s="5">
        <f>G331-H331</f>
        <v>-3313077.5300000012</v>
      </c>
      <c r="J331" s="5">
        <v>3000000</v>
      </c>
      <c r="K331" s="5">
        <v>3330000</v>
      </c>
      <c r="L331" s="5">
        <v>3630000</v>
      </c>
      <c r="M331" s="7">
        <v>1263.7</v>
      </c>
      <c r="N331" s="5">
        <v>33800000</v>
      </c>
      <c r="O331" s="5">
        <v>36800000</v>
      </c>
      <c r="P331" s="3">
        <v>0.97916666666666663</v>
      </c>
    </row>
    <row r="332" spans="1:16" x14ac:dyDescent="0.25">
      <c r="A332" t="s">
        <v>222</v>
      </c>
      <c r="B332" s="2">
        <v>42853</v>
      </c>
      <c r="C332" t="str">
        <f>TEXT(B332,"mm")</f>
        <v>04</v>
      </c>
      <c r="D332" t="s">
        <v>21</v>
      </c>
      <c r="E332" t="s">
        <v>1636</v>
      </c>
      <c r="F332" s="5">
        <v>33400000</v>
      </c>
      <c r="G332" s="5">
        <v>36400000</v>
      </c>
      <c r="H332" s="5">
        <f>M332*26000*1.20565</f>
        <v>39688310.089999996</v>
      </c>
      <c r="I332" s="5">
        <f>G332-H332</f>
        <v>-3288310.0899999961</v>
      </c>
      <c r="J332" s="5">
        <v>3000000</v>
      </c>
      <c r="K332" s="5">
        <v>3340000</v>
      </c>
      <c r="L332" s="5">
        <v>3640000</v>
      </c>
      <c r="M332" s="7">
        <v>1266.0999999999999</v>
      </c>
      <c r="N332" s="5">
        <v>33900000</v>
      </c>
      <c r="O332" s="5">
        <v>36900000</v>
      </c>
      <c r="P332" s="3">
        <v>0.97916666666666663</v>
      </c>
    </row>
    <row r="333" spans="1:16" x14ac:dyDescent="0.25">
      <c r="A333" s="2">
        <v>42740</v>
      </c>
      <c r="B333" s="2">
        <v>42856</v>
      </c>
      <c r="C333" t="str">
        <f>TEXT(B333,"mm")</f>
        <v>05</v>
      </c>
      <c r="D333" t="s">
        <v>16</v>
      </c>
      <c r="E333" t="s">
        <v>1636</v>
      </c>
      <c r="F333" s="5">
        <v>33000000</v>
      </c>
      <c r="G333" s="5">
        <v>36000000</v>
      </c>
      <c r="H333" s="5">
        <f>M333*26000*1.20565</f>
        <v>39287069.770000003</v>
      </c>
      <c r="I333" s="5">
        <f>G333-H333</f>
        <v>-3287069.7700000033</v>
      </c>
      <c r="J333" s="5">
        <v>3000000</v>
      </c>
      <c r="K333" s="5">
        <v>3300000</v>
      </c>
      <c r="L333" s="5">
        <v>3600000</v>
      </c>
      <c r="M333" s="7">
        <v>1253.3</v>
      </c>
      <c r="N333" s="5">
        <v>33500000</v>
      </c>
      <c r="O333" s="5">
        <v>36500000</v>
      </c>
      <c r="P333" s="3">
        <v>0.97916666666666663</v>
      </c>
    </row>
    <row r="334" spans="1:16" x14ac:dyDescent="0.25">
      <c r="A334" s="2">
        <v>42771</v>
      </c>
      <c r="B334" s="2">
        <v>42857</v>
      </c>
      <c r="C334" t="str">
        <f>TEXT(B334,"mm")</f>
        <v>05</v>
      </c>
      <c r="D334" t="s">
        <v>18</v>
      </c>
      <c r="E334" t="s">
        <v>1636</v>
      </c>
      <c r="F334" s="5">
        <v>33100000</v>
      </c>
      <c r="G334" s="5">
        <v>36100000</v>
      </c>
      <c r="H334" s="5">
        <f>M334*26000*1.20565</f>
        <v>39343494.189999998</v>
      </c>
      <c r="I334" s="5">
        <f>G334-H334</f>
        <v>-3243494.1899999976</v>
      </c>
      <c r="J334" s="5">
        <v>3000000</v>
      </c>
      <c r="K334" s="5">
        <v>3310000</v>
      </c>
      <c r="L334" s="5">
        <v>3610000</v>
      </c>
      <c r="M334" s="7">
        <v>1255.0999999999999</v>
      </c>
      <c r="N334" s="5">
        <v>33600000</v>
      </c>
      <c r="O334" s="5">
        <v>36600000</v>
      </c>
      <c r="P334" s="3">
        <v>0.97916666666666663</v>
      </c>
    </row>
    <row r="335" spans="1:16" x14ac:dyDescent="0.25">
      <c r="A335" s="2">
        <v>42799</v>
      </c>
      <c r="B335" s="2">
        <v>42858</v>
      </c>
      <c r="C335" t="str">
        <f>TEXT(B335,"mm")</f>
        <v>05</v>
      </c>
      <c r="D335" t="s">
        <v>19</v>
      </c>
      <c r="E335" t="s">
        <v>1636</v>
      </c>
      <c r="F335" s="5">
        <v>32800000</v>
      </c>
      <c r="G335" s="5">
        <v>35800000</v>
      </c>
      <c r="H335" s="5">
        <f>M335*26000*1.20565</f>
        <v>39070776.160000011</v>
      </c>
      <c r="I335" s="5">
        <f>G335-H335</f>
        <v>-3270776.1600000113</v>
      </c>
      <c r="J335" s="5">
        <v>3000000</v>
      </c>
      <c r="K335" s="5">
        <v>3280000</v>
      </c>
      <c r="L335" s="5">
        <v>3580000</v>
      </c>
      <c r="M335" s="7">
        <v>1246.4000000000001</v>
      </c>
      <c r="N335" s="5">
        <v>33300000</v>
      </c>
      <c r="O335" s="5">
        <v>36300000</v>
      </c>
      <c r="P335" s="3">
        <v>0.97916666666666663</v>
      </c>
    </row>
    <row r="336" spans="1:16" x14ac:dyDescent="0.25">
      <c r="A336" s="2">
        <v>42830</v>
      </c>
      <c r="B336" s="2">
        <v>42859</v>
      </c>
      <c r="C336" t="str">
        <f>TEXT(B336,"mm")</f>
        <v>05</v>
      </c>
      <c r="D336" t="s">
        <v>20</v>
      </c>
      <c r="E336" t="s">
        <v>1636</v>
      </c>
      <c r="F336" s="5">
        <v>32200000</v>
      </c>
      <c r="G336" s="5">
        <v>35200000</v>
      </c>
      <c r="H336" s="5">
        <f>M336*26000*1.20565</f>
        <v>38446972.850000001</v>
      </c>
      <c r="I336" s="5">
        <f>G336-H336</f>
        <v>-3246972.8500000015</v>
      </c>
      <c r="J336" s="5">
        <v>3000000</v>
      </c>
      <c r="K336" s="5">
        <v>3220000</v>
      </c>
      <c r="L336" s="5">
        <v>3520000</v>
      </c>
      <c r="M336" s="7">
        <v>1226.5</v>
      </c>
      <c r="N336" s="5">
        <v>32700000</v>
      </c>
      <c r="O336" s="5">
        <v>35700000</v>
      </c>
      <c r="P336" s="3">
        <v>0.97916666666666663</v>
      </c>
    </row>
    <row r="337" spans="1:16" x14ac:dyDescent="0.25">
      <c r="A337" s="2">
        <v>42860</v>
      </c>
      <c r="B337" s="2">
        <v>42860</v>
      </c>
      <c r="C337" t="str">
        <f>TEXT(B337,"mm")</f>
        <v>05</v>
      </c>
      <c r="D337" t="s">
        <v>21</v>
      </c>
      <c r="E337" t="s">
        <v>1636</v>
      </c>
      <c r="F337" s="5">
        <v>32200000</v>
      </c>
      <c r="G337" s="5">
        <v>35200000</v>
      </c>
      <c r="H337" s="5">
        <f>M337*26000*1.20565</f>
        <v>38393683.120000005</v>
      </c>
      <c r="I337" s="5">
        <f>G337-H337</f>
        <v>-3193683.1200000048</v>
      </c>
      <c r="J337" s="5">
        <v>3000000</v>
      </c>
      <c r="K337" s="5">
        <v>3220000</v>
      </c>
      <c r="L337" s="5">
        <v>3520000</v>
      </c>
      <c r="M337" s="7">
        <v>1224.8</v>
      </c>
      <c r="N337" s="5">
        <v>32700000</v>
      </c>
      <c r="O337" s="5">
        <v>35700000</v>
      </c>
      <c r="P337" s="3">
        <v>0.97916666666666663</v>
      </c>
    </row>
    <row r="338" spans="1:16" x14ac:dyDescent="0.25">
      <c r="A338" s="2">
        <v>42952</v>
      </c>
      <c r="B338" s="2">
        <v>42863</v>
      </c>
      <c r="C338" t="str">
        <f>TEXT(B338,"mm")</f>
        <v>05</v>
      </c>
      <c r="D338" t="s">
        <v>16</v>
      </c>
      <c r="E338" t="s">
        <v>1636</v>
      </c>
      <c r="F338" s="5">
        <v>32200000</v>
      </c>
      <c r="G338" s="5">
        <v>35200000</v>
      </c>
      <c r="H338" s="5">
        <f>M338*26000*1.20565</f>
        <v>38409356.57</v>
      </c>
      <c r="I338" s="5">
        <f>G338-H338</f>
        <v>-3209356.5700000003</v>
      </c>
      <c r="J338" s="5">
        <v>3000000</v>
      </c>
      <c r="K338" s="5">
        <v>3220000</v>
      </c>
      <c r="L338" s="5">
        <v>3520000</v>
      </c>
      <c r="M338" s="7">
        <v>1225.3</v>
      </c>
      <c r="N338" s="5">
        <v>32700000</v>
      </c>
      <c r="O338" s="5">
        <v>35700000</v>
      </c>
      <c r="P338" s="3">
        <v>0.97916666666666663</v>
      </c>
    </row>
    <row r="339" spans="1:16" x14ac:dyDescent="0.25">
      <c r="A339" s="2">
        <v>42983</v>
      </c>
      <c r="B339" s="2">
        <v>42864</v>
      </c>
      <c r="C339" t="str">
        <f>TEXT(B339,"mm")</f>
        <v>05</v>
      </c>
      <c r="D339" t="s">
        <v>18</v>
      </c>
      <c r="E339" t="s">
        <v>1636</v>
      </c>
      <c r="F339" s="5">
        <v>31900000</v>
      </c>
      <c r="G339" s="5">
        <v>34900000</v>
      </c>
      <c r="H339" s="5">
        <f>M339*26000*1.20565</f>
        <v>38064540.670000002</v>
      </c>
      <c r="I339" s="5">
        <f>G339-H339</f>
        <v>-3164540.6700000018</v>
      </c>
      <c r="J339" s="5">
        <v>3000000</v>
      </c>
      <c r="K339" s="5">
        <v>3190000</v>
      </c>
      <c r="L339" s="5">
        <v>3490000</v>
      </c>
      <c r="M339" s="7">
        <v>1214.3</v>
      </c>
      <c r="N339" s="5">
        <v>32400000</v>
      </c>
      <c r="O339" s="5">
        <v>35400000</v>
      </c>
      <c r="P339" s="3">
        <v>0.97916666666666663</v>
      </c>
    </row>
    <row r="340" spans="1:16" x14ac:dyDescent="0.25">
      <c r="A340" s="2">
        <v>43013</v>
      </c>
      <c r="B340" s="2">
        <v>42865</v>
      </c>
      <c r="C340" t="str">
        <f>TEXT(B340,"mm")</f>
        <v>05</v>
      </c>
      <c r="D340" t="s">
        <v>19</v>
      </c>
      <c r="E340" t="s">
        <v>1636</v>
      </c>
      <c r="F340" s="5">
        <v>32000000</v>
      </c>
      <c r="G340" s="5">
        <v>35000000</v>
      </c>
      <c r="H340" s="5">
        <f>M340*26000*1.20565</f>
        <v>38158581.370000005</v>
      </c>
      <c r="I340" s="5">
        <f>G340-H340</f>
        <v>-3158581.3700000048</v>
      </c>
      <c r="J340" s="5">
        <v>3000000</v>
      </c>
      <c r="K340" s="5">
        <v>3200000</v>
      </c>
      <c r="L340" s="5">
        <v>3500000</v>
      </c>
      <c r="M340" s="7">
        <v>1217.3</v>
      </c>
      <c r="N340" s="5">
        <v>32500000</v>
      </c>
      <c r="O340" s="5">
        <v>35500000</v>
      </c>
      <c r="P340" s="3">
        <v>0.97916666666666663</v>
      </c>
    </row>
    <row r="341" spans="1:16" x14ac:dyDescent="0.25">
      <c r="A341" s="2">
        <v>43044</v>
      </c>
      <c r="B341" s="2">
        <v>42866</v>
      </c>
      <c r="C341" t="str">
        <f>TEXT(B341,"mm")</f>
        <v>05</v>
      </c>
      <c r="D341" t="s">
        <v>20</v>
      </c>
      <c r="E341" t="s">
        <v>1636</v>
      </c>
      <c r="F341" s="5">
        <v>32100000</v>
      </c>
      <c r="G341" s="5">
        <v>35100000</v>
      </c>
      <c r="H341" s="5">
        <f>M341*26000*1.20565</f>
        <v>38327854.630000003</v>
      </c>
      <c r="I341" s="5">
        <f>G341-H341</f>
        <v>-3227854.6300000027</v>
      </c>
      <c r="J341" s="5">
        <v>3000000</v>
      </c>
      <c r="K341" s="5">
        <v>3210000</v>
      </c>
      <c r="L341" s="5">
        <v>3510000</v>
      </c>
      <c r="M341" s="7">
        <v>1222.7</v>
      </c>
      <c r="N341" s="5">
        <v>32600000</v>
      </c>
      <c r="O341" s="5">
        <v>35600000</v>
      </c>
      <c r="P341" s="3">
        <v>0.97916666666666663</v>
      </c>
    </row>
    <row r="342" spans="1:16" x14ac:dyDescent="0.25">
      <c r="A342" s="2">
        <v>43074</v>
      </c>
      <c r="B342" s="2">
        <v>42867</v>
      </c>
      <c r="C342" t="str">
        <f>TEXT(B342,"mm")</f>
        <v>05</v>
      </c>
      <c r="D342" t="s">
        <v>21</v>
      </c>
      <c r="E342" t="s">
        <v>1636</v>
      </c>
      <c r="F342" s="5">
        <v>32200000</v>
      </c>
      <c r="G342" s="5">
        <v>35200000</v>
      </c>
      <c r="H342" s="5">
        <f>M342*26000*1.20565</f>
        <v>38437568.780000001</v>
      </c>
      <c r="I342" s="5">
        <f>G342-H342</f>
        <v>-3237568.7800000012</v>
      </c>
      <c r="J342" s="5">
        <v>3000000</v>
      </c>
      <c r="K342" s="5">
        <v>3220000</v>
      </c>
      <c r="L342" s="5">
        <v>3520000</v>
      </c>
      <c r="M342" s="7">
        <v>1226.2</v>
      </c>
      <c r="N342" s="5">
        <v>32700000</v>
      </c>
      <c r="O342" s="5">
        <v>35700000</v>
      </c>
      <c r="P342" s="3">
        <v>0.97916666666666663</v>
      </c>
    </row>
    <row r="343" spans="1:16" x14ac:dyDescent="0.25">
      <c r="A343" t="s">
        <v>223</v>
      </c>
      <c r="B343" s="2">
        <v>42870</v>
      </c>
      <c r="C343" t="str">
        <f>TEXT(B343,"mm")</f>
        <v>05</v>
      </c>
      <c r="D343" t="s">
        <v>16</v>
      </c>
      <c r="E343" t="s">
        <v>1636</v>
      </c>
      <c r="F343" s="5">
        <v>32300000</v>
      </c>
      <c r="G343" s="5">
        <v>35300000</v>
      </c>
      <c r="H343" s="5">
        <f>M343*26000*1.20565</f>
        <v>38512801.339999996</v>
      </c>
      <c r="I343" s="5">
        <f>G343-H343</f>
        <v>-3212801.3399999961</v>
      </c>
      <c r="J343" s="5">
        <v>3000000</v>
      </c>
      <c r="K343" s="5">
        <v>3230000</v>
      </c>
      <c r="L343" s="5">
        <v>3530000</v>
      </c>
      <c r="M343" s="7">
        <v>1228.5999999999999</v>
      </c>
      <c r="N343" s="5">
        <v>32800000</v>
      </c>
      <c r="O343" s="5">
        <v>35800000</v>
      </c>
      <c r="P343" s="3">
        <v>0.97916666666666663</v>
      </c>
    </row>
    <row r="344" spans="1:16" x14ac:dyDescent="0.25">
      <c r="A344" t="s">
        <v>224</v>
      </c>
      <c r="B344" s="2">
        <v>42871</v>
      </c>
      <c r="C344" t="str">
        <f>TEXT(B344,"mm")</f>
        <v>05</v>
      </c>
      <c r="D344" t="s">
        <v>18</v>
      </c>
      <c r="E344" t="s">
        <v>1636</v>
      </c>
      <c r="F344" s="5">
        <v>32500000</v>
      </c>
      <c r="G344" s="5">
        <v>35500000</v>
      </c>
      <c r="H344" s="5">
        <f>M344*26000*1.20565</f>
        <v>38713421.5</v>
      </c>
      <c r="I344" s="5">
        <f>G344-H344</f>
        <v>-3213421.5</v>
      </c>
      <c r="J344" s="5">
        <v>3000000</v>
      </c>
      <c r="K344" s="5">
        <v>3250000</v>
      </c>
      <c r="L344" s="5">
        <v>3550000</v>
      </c>
      <c r="M344" s="7">
        <v>1235</v>
      </c>
      <c r="N344" s="5">
        <v>33000000</v>
      </c>
      <c r="O344" s="5">
        <v>36000000</v>
      </c>
      <c r="P344" s="3">
        <v>0.97916666666666663</v>
      </c>
    </row>
    <row r="345" spans="1:16" x14ac:dyDescent="0.25">
      <c r="A345" t="s">
        <v>225</v>
      </c>
      <c r="B345" s="2">
        <v>42872</v>
      </c>
      <c r="C345" t="str">
        <f>TEXT(B345,"mm")</f>
        <v>05</v>
      </c>
      <c r="D345" t="s">
        <v>19</v>
      </c>
      <c r="E345" t="s">
        <v>1636</v>
      </c>
      <c r="F345" s="5">
        <v>33100000</v>
      </c>
      <c r="G345" s="5">
        <v>36100000</v>
      </c>
      <c r="H345" s="5">
        <f>M345*26000*1.20565</f>
        <v>39418726.75</v>
      </c>
      <c r="I345" s="5">
        <f>G345-H345</f>
        <v>-3318726.75</v>
      </c>
      <c r="J345" s="5">
        <v>3000000</v>
      </c>
      <c r="K345" s="5">
        <v>3310000</v>
      </c>
      <c r="L345" s="5">
        <v>3610000</v>
      </c>
      <c r="M345" s="7">
        <v>1257.5</v>
      </c>
      <c r="N345" s="5">
        <v>33600000</v>
      </c>
      <c r="O345" s="5">
        <v>36600000</v>
      </c>
      <c r="P345" s="3">
        <v>0.97916666666666663</v>
      </c>
    </row>
    <row r="346" spans="1:16" x14ac:dyDescent="0.25">
      <c r="A346" t="s">
        <v>226</v>
      </c>
      <c r="B346" s="2">
        <v>42873</v>
      </c>
      <c r="C346" t="str">
        <f>TEXT(B346,"mm")</f>
        <v>05</v>
      </c>
      <c r="D346" t="s">
        <v>20</v>
      </c>
      <c r="E346" t="s">
        <v>1636</v>
      </c>
      <c r="F346" s="5">
        <v>33000000</v>
      </c>
      <c r="G346" s="5">
        <v>36000000</v>
      </c>
      <c r="H346" s="5">
        <f>M346*26000*1.20565</f>
        <v>39236914.730000004</v>
      </c>
      <c r="I346" s="5">
        <f>G346-H346</f>
        <v>-3236914.7300000042</v>
      </c>
      <c r="J346" s="5">
        <v>3000000</v>
      </c>
      <c r="K346" s="5">
        <v>3300000</v>
      </c>
      <c r="L346" s="5">
        <v>3600000</v>
      </c>
      <c r="M346" s="7">
        <v>1251.7</v>
      </c>
      <c r="N346" s="5">
        <v>33500000</v>
      </c>
      <c r="O346" s="5">
        <v>36500000</v>
      </c>
      <c r="P346" s="3">
        <v>0.97916666666666663</v>
      </c>
    </row>
    <row r="347" spans="1:16" x14ac:dyDescent="0.25">
      <c r="A347" t="s">
        <v>227</v>
      </c>
      <c r="B347" s="2">
        <v>42874</v>
      </c>
      <c r="C347" t="str">
        <f>TEXT(B347,"mm")</f>
        <v>05</v>
      </c>
      <c r="D347" t="s">
        <v>21</v>
      </c>
      <c r="E347" t="s">
        <v>1636</v>
      </c>
      <c r="F347" s="5">
        <v>33000000</v>
      </c>
      <c r="G347" s="5">
        <v>36000000</v>
      </c>
      <c r="H347" s="5">
        <f>M347*26000*1.20565</f>
        <v>39268261.630000003</v>
      </c>
      <c r="I347" s="5">
        <f>G347-H347</f>
        <v>-3268261.6300000027</v>
      </c>
      <c r="J347" s="5">
        <v>3000000</v>
      </c>
      <c r="K347" s="5">
        <v>3300000</v>
      </c>
      <c r="L347" s="5">
        <v>3600000</v>
      </c>
      <c r="M347" s="7">
        <v>1252.7</v>
      </c>
      <c r="N347" s="5">
        <v>33500000</v>
      </c>
      <c r="O347" s="5">
        <v>36500000</v>
      </c>
      <c r="P347" s="3">
        <v>0.97916666666666663</v>
      </c>
    </row>
    <row r="348" spans="1:16" x14ac:dyDescent="0.25">
      <c r="A348" t="s">
        <v>228</v>
      </c>
      <c r="B348" s="2">
        <v>42877</v>
      </c>
      <c r="C348" t="str">
        <f>TEXT(B348,"mm")</f>
        <v>05</v>
      </c>
      <c r="D348" t="s">
        <v>16</v>
      </c>
      <c r="E348" t="s">
        <v>1636</v>
      </c>
      <c r="F348" s="5">
        <v>33200000</v>
      </c>
      <c r="G348" s="5">
        <v>36200000</v>
      </c>
      <c r="H348" s="5">
        <f>M348*26000*1.20565</f>
        <v>39519036.830000006</v>
      </c>
      <c r="I348" s="5">
        <f>G348-H348</f>
        <v>-3319036.8300000057</v>
      </c>
      <c r="J348" s="5">
        <v>3000000</v>
      </c>
      <c r="K348" s="5">
        <v>3320000</v>
      </c>
      <c r="L348" s="5">
        <v>3620000</v>
      </c>
      <c r="M348" s="7">
        <v>1260.7</v>
      </c>
      <c r="N348" s="5">
        <v>33700000</v>
      </c>
      <c r="O348" s="5">
        <v>36700000</v>
      </c>
      <c r="P348" s="3">
        <v>0.97916666666666663</v>
      </c>
    </row>
    <row r="349" spans="1:16" x14ac:dyDescent="0.25">
      <c r="A349" t="s">
        <v>229</v>
      </c>
      <c r="B349" s="2">
        <v>42878</v>
      </c>
      <c r="C349" t="str">
        <f>TEXT(B349,"mm")</f>
        <v>05</v>
      </c>
      <c r="D349" t="s">
        <v>18</v>
      </c>
      <c r="E349" t="s">
        <v>1636</v>
      </c>
      <c r="F349" s="5">
        <v>33100000</v>
      </c>
      <c r="G349" s="5">
        <v>36100000</v>
      </c>
      <c r="H349" s="5">
        <f>M349*26000*1.20565</f>
        <v>39334090.120000005</v>
      </c>
      <c r="I349" s="5">
        <f>G349-H349</f>
        <v>-3234090.1200000048</v>
      </c>
      <c r="J349" s="5">
        <v>3000000</v>
      </c>
      <c r="K349" s="5">
        <v>3310000</v>
      </c>
      <c r="L349" s="5">
        <v>3610000</v>
      </c>
      <c r="M349" s="7">
        <v>1254.8</v>
      </c>
      <c r="N349" s="5">
        <v>33600000</v>
      </c>
      <c r="O349" s="5">
        <v>36600000</v>
      </c>
      <c r="P349" s="3">
        <v>0.97916666666666663</v>
      </c>
    </row>
    <row r="350" spans="1:16" x14ac:dyDescent="0.25">
      <c r="A350" t="s">
        <v>230</v>
      </c>
      <c r="B350" s="2">
        <v>42879</v>
      </c>
      <c r="C350" t="str">
        <f>TEXT(B350,"mm")</f>
        <v>05</v>
      </c>
      <c r="D350" t="s">
        <v>19</v>
      </c>
      <c r="E350" t="s">
        <v>1636</v>
      </c>
      <c r="F350" s="5">
        <v>33000000</v>
      </c>
      <c r="G350" s="5">
        <v>36000000</v>
      </c>
      <c r="H350" s="5">
        <f>M350*26000*1.20565</f>
        <v>39258857.56000001</v>
      </c>
      <c r="I350" s="5">
        <f>G350-H350</f>
        <v>-3258857.5600000098</v>
      </c>
      <c r="J350" s="5">
        <v>3000000</v>
      </c>
      <c r="K350" s="5">
        <v>3300000</v>
      </c>
      <c r="L350" s="5">
        <v>3600000</v>
      </c>
      <c r="M350" s="7">
        <v>1252.4000000000001</v>
      </c>
      <c r="N350" s="5">
        <v>33500000</v>
      </c>
      <c r="O350" s="5">
        <v>36500000</v>
      </c>
      <c r="P350" s="3">
        <v>0.97916666666666663</v>
      </c>
    </row>
    <row r="351" spans="1:16" x14ac:dyDescent="0.25">
      <c r="A351" t="s">
        <v>231</v>
      </c>
      <c r="B351" s="2">
        <v>42880</v>
      </c>
      <c r="C351" t="str">
        <f>TEXT(B351,"mm")</f>
        <v>05</v>
      </c>
      <c r="D351" t="s">
        <v>20</v>
      </c>
      <c r="E351" t="s">
        <v>1636</v>
      </c>
      <c r="F351" s="5">
        <v>33100000</v>
      </c>
      <c r="G351" s="5">
        <v>36100000</v>
      </c>
      <c r="H351" s="5">
        <f>M351*26000*1.20565</f>
        <v>39365437.020000003</v>
      </c>
      <c r="I351" s="5">
        <f>G351-H351</f>
        <v>-3265437.0200000033</v>
      </c>
      <c r="J351" s="5">
        <v>3000000</v>
      </c>
      <c r="K351" s="5">
        <v>3310000</v>
      </c>
      <c r="L351" s="5">
        <v>3610000</v>
      </c>
      <c r="M351" s="7">
        <v>1255.8</v>
      </c>
      <c r="N351" s="5">
        <v>33600000</v>
      </c>
      <c r="O351" s="5">
        <v>36600000</v>
      </c>
      <c r="P351" s="3">
        <v>0.97916666666666663</v>
      </c>
    </row>
    <row r="352" spans="1:16" x14ac:dyDescent="0.25">
      <c r="A352" t="s">
        <v>232</v>
      </c>
      <c r="B352" s="2">
        <v>42881</v>
      </c>
      <c r="C352" t="str">
        <f>TEXT(B352,"mm")</f>
        <v>05</v>
      </c>
      <c r="D352" t="s">
        <v>21</v>
      </c>
      <c r="E352" t="s">
        <v>1636</v>
      </c>
      <c r="F352" s="5">
        <v>33400000</v>
      </c>
      <c r="G352" s="5">
        <v>36400000</v>
      </c>
      <c r="H352" s="5">
        <f>M352*26000*1.20565</f>
        <v>39735330.439999998</v>
      </c>
      <c r="I352" s="5">
        <f>G352-H352</f>
        <v>-3335330.4399999976</v>
      </c>
      <c r="J352" s="5">
        <v>3000000</v>
      </c>
      <c r="K352" s="5">
        <v>3340000</v>
      </c>
      <c r="L352" s="5">
        <v>3640000</v>
      </c>
      <c r="M352" s="7">
        <v>1267.5999999999999</v>
      </c>
      <c r="N352" s="5">
        <v>33900000</v>
      </c>
      <c r="O352" s="5">
        <v>36900000</v>
      </c>
      <c r="P352" s="3">
        <v>0.97916666666666663</v>
      </c>
    </row>
    <row r="353" spans="1:16" x14ac:dyDescent="0.25">
      <c r="A353" t="s">
        <v>233</v>
      </c>
      <c r="B353" s="2">
        <v>42885</v>
      </c>
      <c r="C353" t="str">
        <f>TEXT(B353,"mm")</f>
        <v>05</v>
      </c>
      <c r="D353" t="s">
        <v>18</v>
      </c>
      <c r="E353" t="s">
        <v>1636</v>
      </c>
      <c r="F353" s="5">
        <v>33300000</v>
      </c>
      <c r="G353" s="5">
        <v>36300000</v>
      </c>
      <c r="H353" s="5">
        <f>M353*26000*1.20565</f>
        <v>39562922.490000002</v>
      </c>
      <c r="I353" s="5">
        <f>G353-H353</f>
        <v>-3262922.4900000021</v>
      </c>
      <c r="J353" s="5">
        <v>3000000</v>
      </c>
      <c r="K353" s="5">
        <v>3330000</v>
      </c>
      <c r="L353" s="5">
        <v>3630000</v>
      </c>
      <c r="M353" s="7">
        <v>1262.0999999999999</v>
      </c>
      <c r="N353" s="5">
        <v>33800000</v>
      </c>
      <c r="O353" s="5">
        <v>36800000</v>
      </c>
      <c r="P353" s="3">
        <v>0.97916666666666663</v>
      </c>
    </row>
    <row r="354" spans="1:16" x14ac:dyDescent="0.25">
      <c r="A354" t="s">
        <v>234</v>
      </c>
      <c r="B354" s="2">
        <v>42886</v>
      </c>
      <c r="C354" t="str">
        <f>TEXT(B354,"mm")</f>
        <v>05</v>
      </c>
      <c r="D354" t="s">
        <v>19</v>
      </c>
      <c r="E354" t="s">
        <v>1636</v>
      </c>
      <c r="F354" s="5">
        <v>33600000</v>
      </c>
      <c r="G354" s="5">
        <v>36600000</v>
      </c>
      <c r="H354" s="5">
        <f>M354*26000*1.20565</f>
        <v>39873256.800000004</v>
      </c>
      <c r="I354" s="5">
        <f>G354-H354</f>
        <v>-3273256.8000000045</v>
      </c>
      <c r="J354" s="5">
        <v>3000000</v>
      </c>
      <c r="K354" s="5">
        <v>3360000</v>
      </c>
      <c r="L354" s="5">
        <v>3660000</v>
      </c>
      <c r="M354" s="7">
        <v>1272</v>
      </c>
      <c r="N354" s="5">
        <v>34100000</v>
      </c>
      <c r="O354" s="5">
        <v>37100000</v>
      </c>
      <c r="P354" s="3">
        <v>0.97916666666666663</v>
      </c>
    </row>
    <row r="355" spans="1:16" x14ac:dyDescent="0.25">
      <c r="A355" s="2">
        <v>42741</v>
      </c>
      <c r="B355" s="2">
        <v>42887</v>
      </c>
      <c r="C355" t="str">
        <f>TEXT(B355,"mm")</f>
        <v>06</v>
      </c>
      <c r="D355" t="s">
        <v>20</v>
      </c>
      <c r="E355" t="s">
        <v>1636</v>
      </c>
      <c r="F355" s="5">
        <v>33400000</v>
      </c>
      <c r="G355" s="5">
        <v>36400000</v>
      </c>
      <c r="H355" s="5">
        <f>M355*26000*1.20565</f>
        <v>39716522.300000004</v>
      </c>
      <c r="I355" s="5">
        <f>G355-H355</f>
        <v>-3316522.3000000045</v>
      </c>
      <c r="J355" s="5">
        <v>3000000</v>
      </c>
      <c r="K355" s="5">
        <v>3340000</v>
      </c>
      <c r="L355" s="5">
        <v>3640000</v>
      </c>
      <c r="M355" s="7">
        <v>1267</v>
      </c>
      <c r="N355" s="5">
        <v>33900000</v>
      </c>
      <c r="O355" s="5">
        <v>36900000</v>
      </c>
      <c r="P355" s="3">
        <v>0.97916666666666663</v>
      </c>
    </row>
    <row r="356" spans="1:16" x14ac:dyDescent="0.25">
      <c r="A356" s="2">
        <v>42772</v>
      </c>
      <c r="B356" s="2">
        <v>42888</v>
      </c>
      <c r="C356" t="str">
        <f>TEXT(B356,"mm")</f>
        <v>06</v>
      </c>
      <c r="D356" t="s">
        <v>21</v>
      </c>
      <c r="E356" t="s">
        <v>1636</v>
      </c>
      <c r="F356" s="5">
        <v>33700000</v>
      </c>
      <c r="G356" s="5">
        <v>36700000</v>
      </c>
      <c r="H356" s="5">
        <f>M356*26000*1.20565</f>
        <v>40023721.920000002</v>
      </c>
      <c r="I356" s="5">
        <f>G356-H356</f>
        <v>-3323721.9200000018</v>
      </c>
      <c r="J356" s="5">
        <v>3000000</v>
      </c>
      <c r="K356" s="5">
        <v>3370000</v>
      </c>
      <c r="L356" s="5">
        <v>3670000</v>
      </c>
      <c r="M356" s="7">
        <v>1276.8</v>
      </c>
      <c r="N356" s="5">
        <v>34200000</v>
      </c>
      <c r="O356" s="5">
        <v>37200000</v>
      </c>
      <c r="P356" s="3">
        <v>0.97916666666666663</v>
      </c>
    </row>
    <row r="357" spans="1:16" x14ac:dyDescent="0.25">
      <c r="A357" s="2">
        <v>42861</v>
      </c>
      <c r="B357" s="2">
        <v>42891</v>
      </c>
      <c r="C357" t="str">
        <f>TEXT(B357,"mm")</f>
        <v>06</v>
      </c>
      <c r="D357" t="s">
        <v>16</v>
      </c>
      <c r="E357" t="s">
        <v>1636</v>
      </c>
      <c r="F357" s="5">
        <v>33800000</v>
      </c>
      <c r="G357" s="5">
        <v>36800000</v>
      </c>
      <c r="H357" s="5">
        <f>M357*26000*1.20565</f>
        <v>40102089.170000002</v>
      </c>
      <c r="I357" s="5">
        <f>G357-H357</f>
        <v>-3302089.1700000018</v>
      </c>
      <c r="J357" s="5">
        <v>3000000</v>
      </c>
      <c r="K357" s="5">
        <v>3380000</v>
      </c>
      <c r="L357" s="5">
        <v>3680000</v>
      </c>
      <c r="M357" s="7">
        <v>1279.3</v>
      </c>
      <c r="N357" s="5">
        <v>34300000</v>
      </c>
      <c r="O357" s="5">
        <v>37300000</v>
      </c>
      <c r="P357" s="3">
        <v>0.97916666666666663</v>
      </c>
    </row>
    <row r="358" spans="1:16" x14ac:dyDescent="0.25">
      <c r="A358" s="2">
        <v>42892</v>
      </c>
      <c r="B358" s="2">
        <v>42892</v>
      </c>
      <c r="C358" t="str">
        <f>TEXT(B358,"mm")</f>
        <v>06</v>
      </c>
      <c r="D358" t="s">
        <v>18</v>
      </c>
      <c r="E358" t="s">
        <v>1636</v>
      </c>
      <c r="F358" s="5">
        <v>34200000</v>
      </c>
      <c r="G358" s="5">
        <v>37200000</v>
      </c>
      <c r="H358" s="5">
        <f>M358*26000*1.20565</f>
        <v>40575427.360000007</v>
      </c>
      <c r="I358" s="5">
        <f>G358-H358</f>
        <v>-3375427.3600000069</v>
      </c>
      <c r="J358" s="5">
        <v>3000000</v>
      </c>
      <c r="K358" s="5">
        <v>3420000</v>
      </c>
      <c r="L358" s="5">
        <v>3720000</v>
      </c>
      <c r="M358" s="7">
        <v>1294.4000000000001</v>
      </c>
      <c r="N358" s="5">
        <v>34700000</v>
      </c>
      <c r="O358" s="5">
        <v>37700000</v>
      </c>
      <c r="P358" s="3">
        <v>0.97916666666666663</v>
      </c>
    </row>
    <row r="359" spans="1:16" x14ac:dyDescent="0.25">
      <c r="A359" s="2">
        <v>42922</v>
      </c>
      <c r="B359" s="2">
        <v>42893</v>
      </c>
      <c r="C359" t="str">
        <f>TEXT(B359,"mm")</f>
        <v>06</v>
      </c>
      <c r="D359" t="s">
        <v>19</v>
      </c>
      <c r="E359" t="s">
        <v>1636</v>
      </c>
      <c r="F359" s="5">
        <v>34100000</v>
      </c>
      <c r="G359" s="5">
        <v>37100000</v>
      </c>
      <c r="H359" s="5">
        <f>M359*26000*1.20565</f>
        <v>40440635.689999998</v>
      </c>
      <c r="I359" s="5">
        <f>G359-H359</f>
        <v>-3340635.6899999976</v>
      </c>
      <c r="J359" s="5">
        <v>3000000</v>
      </c>
      <c r="K359" s="5">
        <v>3410000</v>
      </c>
      <c r="L359" s="5">
        <v>3710000</v>
      </c>
      <c r="M359" s="7">
        <v>1290.0999999999999</v>
      </c>
      <c r="N359" s="5">
        <v>34600000</v>
      </c>
      <c r="O359" s="5">
        <v>37600000</v>
      </c>
      <c r="P359" s="3">
        <v>0.97916666666666663</v>
      </c>
    </row>
    <row r="360" spans="1:16" x14ac:dyDescent="0.25">
      <c r="A360" s="2">
        <v>42953</v>
      </c>
      <c r="B360" s="2">
        <v>42894</v>
      </c>
      <c r="C360" t="str">
        <f>TEXT(B360,"mm")</f>
        <v>06</v>
      </c>
      <c r="D360" t="s">
        <v>20</v>
      </c>
      <c r="E360" t="s">
        <v>1636</v>
      </c>
      <c r="F360" s="5">
        <v>33700000</v>
      </c>
      <c r="G360" s="5">
        <v>36700000</v>
      </c>
      <c r="H360" s="5">
        <f>M360*26000*1.20565</f>
        <v>40008048.470000006</v>
      </c>
      <c r="I360" s="5">
        <f>G360-H360</f>
        <v>-3308048.4700000063</v>
      </c>
      <c r="J360" s="5">
        <v>3000000</v>
      </c>
      <c r="K360" s="5">
        <v>3370000</v>
      </c>
      <c r="L360" s="5">
        <v>3670000</v>
      </c>
      <c r="M360" s="7">
        <v>1276.3</v>
      </c>
      <c r="N360" s="5">
        <v>34200000</v>
      </c>
      <c r="O360" s="5">
        <v>37200000</v>
      </c>
      <c r="P360" s="3">
        <v>0.97916666666666663</v>
      </c>
    </row>
    <row r="361" spans="1:16" x14ac:dyDescent="0.25">
      <c r="A361" s="2">
        <v>42984</v>
      </c>
      <c r="B361" s="2">
        <v>42895</v>
      </c>
      <c r="C361" t="str">
        <f>TEXT(B361,"mm")</f>
        <v>06</v>
      </c>
      <c r="D361" t="s">
        <v>21</v>
      </c>
      <c r="E361" t="s">
        <v>1636</v>
      </c>
      <c r="F361" s="5">
        <v>33500000</v>
      </c>
      <c r="G361" s="5">
        <v>36500000</v>
      </c>
      <c r="H361" s="5">
        <f>M361*26000*1.20565</f>
        <v>39763542.650000006</v>
      </c>
      <c r="I361" s="5">
        <f>G361-H361</f>
        <v>-3263542.650000006</v>
      </c>
      <c r="J361" s="5">
        <v>3000000</v>
      </c>
      <c r="K361" s="5">
        <v>3350000</v>
      </c>
      <c r="L361" s="5">
        <v>3650000</v>
      </c>
      <c r="M361" s="7">
        <v>1268.5</v>
      </c>
      <c r="N361" s="5">
        <v>34000000</v>
      </c>
      <c r="O361" s="5">
        <v>37000000</v>
      </c>
      <c r="P361" s="3">
        <v>0.97916666666666663</v>
      </c>
    </row>
    <row r="362" spans="1:16" x14ac:dyDescent="0.25">
      <c r="A362" s="2">
        <v>43075</v>
      </c>
      <c r="B362" s="2">
        <v>42898</v>
      </c>
      <c r="C362" t="str">
        <f>TEXT(B362,"mm")</f>
        <v>06</v>
      </c>
      <c r="D362" t="s">
        <v>16</v>
      </c>
      <c r="E362" t="s">
        <v>1636</v>
      </c>
      <c r="F362" s="5">
        <v>33400000</v>
      </c>
      <c r="G362" s="5">
        <v>36400000</v>
      </c>
      <c r="H362" s="5">
        <f>M362*26000*1.20565</f>
        <v>39688310.089999996</v>
      </c>
      <c r="I362" s="5">
        <f>G362-H362</f>
        <v>-3288310.0899999961</v>
      </c>
      <c r="J362" s="5">
        <v>3000000</v>
      </c>
      <c r="K362" s="5">
        <v>3340000</v>
      </c>
      <c r="L362" s="5">
        <v>3640000</v>
      </c>
      <c r="M362" s="7">
        <v>1266.0999999999999</v>
      </c>
      <c r="N362" s="5">
        <v>33900000</v>
      </c>
      <c r="O362" s="5">
        <v>36900000</v>
      </c>
      <c r="P362" s="3">
        <v>0.97916666666666663</v>
      </c>
    </row>
    <row r="363" spans="1:16" x14ac:dyDescent="0.25">
      <c r="A363" t="s">
        <v>235</v>
      </c>
      <c r="B363" s="2">
        <v>42899</v>
      </c>
      <c r="C363" t="str">
        <f>TEXT(B363,"mm")</f>
        <v>06</v>
      </c>
      <c r="D363" t="s">
        <v>18</v>
      </c>
      <c r="E363" t="s">
        <v>1636</v>
      </c>
      <c r="F363" s="5">
        <v>33400000</v>
      </c>
      <c r="G363" s="5">
        <v>36400000</v>
      </c>
      <c r="H363" s="5">
        <f>M363*26000*1.20565</f>
        <v>39678906.020000003</v>
      </c>
      <c r="I363" s="5">
        <f>G363-H363</f>
        <v>-3278906.0200000033</v>
      </c>
      <c r="J363" s="5">
        <v>3000000</v>
      </c>
      <c r="K363" s="5">
        <v>3340000</v>
      </c>
      <c r="L363" s="5">
        <v>3640000</v>
      </c>
      <c r="M363" s="7">
        <v>1265.8</v>
      </c>
      <c r="N363" s="5">
        <v>33900000</v>
      </c>
      <c r="O363" s="5">
        <v>36900000</v>
      </c>
      <c r="P363" s="3">
        <v>0.97916666666666663</v>
      </c>
    </row>
    <row r="364" spans="1:16" x14ac:dyDescent="0.25">
      <c r="A364" t="s">
        <v>236</v>
      </c>
      <c r="B364" s="2">
        <v>42900</v>
      </c>
      <c r="C364" t="str">
        <f>TEXT(B364,"mm")</f>
        <v>06</v>
      </c>
      <c r="D364" t="s">
        <v>19</v>
      </c>
      <c r="E364" t="s">
        <v>1636</v>
      </c>
      <c r="F364" s="5">
        <v>33600000</v>
      </c>
      <c r="G364" s="5">
        <v>36600000</v>
      </c>
      <c r="H364" s="5">
        <f>M364*26000*1.20565</f>
        <v>39898334.32</v>
      </c>
      <c r="I364" s="5">
        <f>G364-H364</f>
        <v>-3298334.3200000003</v>
      </c>
      <c r="J364" s="5">
        <v>3000000</v>
      </c>
      <c r="K364" s="5">
        <v>3360000</v>
      </c>
      <c r="L364" s="5">
        <v>3660000</v>
      </c>
      <c r="M364" s="7">
        <v>1272.8</v>
      </c>
      <c r="N364" s="5">
        <v>34100000</v>
      </c>
      <c r="O364" s="5">
        <v>37100000</v>
      </c>
      <c r="P364" s="3">
        <v>0.97916666666666663</v>
      </c>
    </row>
    <row r="365" spans="1:16" x14ac:dyDescent="0.25">
      <c r="A365" t="s">
        <v>237</v>
      </c>
      <c r="B365" s="2">
        <v>42901</v>
      </c>
      <c r="C365" t="str">
        <f>TEXT(B365,"mm")</f>
        <v>06</v>
      </c>
      <c r="D365" t="s">
        <v>20</v>
      </c>
      <c r="E365" t="s">
        <v>1636</v>
      </c>
      <c r="F365" s="5">
        <v>33000000</v>
      </c>
      <c r="G365" s="5">
        <v>36000000</v>
      </c>
      <c r="H365" s="5">
        <f>M365*26000*1.20565</f>
        <v>39252588.180000007</v>
      </c>
      <c r="I365" s="5">
        <f>G365-H365</f>
        <v>-3252588.1800000072</v>
      </c>
      <c r="J365" s="5">
        <v>3000000</v>
      </c>
      <c r="K365" s="5">
        <v>3300000</v>
      </c>
      <c r="L365" s="5">
        <v>3600000</v>
      </c>
      <c r="M365" s="7">
        <v>1252.2</v>
      </c>
      <c r="N365" s="5">
        <v>33500000</v>
      </c>
      <c r="O365" s="5">
        <v>36500000</v>
      </c>
      <c r="P365" s="3">
        <v>0.97916666666666663</v>
      </c>
    </row>
    <row r="366" spans="1:16" x14ac:dyDescent="0.25">
      <c r="A366" t="s">
        <v>238</v>
      </c>
      <c r="B366" s="2">
        <v>42902</v>
      </c>
      <c r="C366" t="str">
        <f>TEXT(B366,"mm")</f>
        <v>06</v>
      </c>
      <c r="D366" t="s">
        <v>21</v>
      </c>
      <c r="E366" t="s">
        <v>1636</v>
      </c>
      <c r="F366" s="5">
        <v>33000000</v>
      </c>
      <c r="G366" s="5">
        <v>36000000</v>
      </c>
      <c r="H366" s="5">
        <f>M366*26000*1.20565</f>
        <v>39309012.600000001</v>
      </c>
      <c r="I366" s="5">
        <f>G366-H366</f>
        <v>-3309012.6000000015</v>
      </c>
      <c r="J366" s="5">
        <v>3000000</v>
      </c>
      <c r="K366" s="5">
        <v>3300000</v>
      </c>
      <c r="L366" s="5">
        <v>3600000</v>
      </c>
      <c r="M366" s="7">
        <v>1254</v>
      </c>
      <c r="N366" s="5">
        <v>33500000</v>
      </c>
      <c r="O366" s="5">
        <v>36500000</v>
      </c>
      <c r="P366" s="3">
        <v>0.97916666666666663</v>
      </c>
    </row>
    <row r="367" spans="1:16" x14ac:dyDescent="0.25">
      <c r="A367" t="s">
        <v>239</v>
      </c>
      <c r="B367" s="2">
        <v>42905</v>
      </c>
      <c r="C367" t="str">
        <f>TEXT(B367,"mm")</f>
        <v>06</v>
      </c>
      <c r="D367" t="s">
        <v>16</v>
      </c>
      <c r="E367" t="s">
        <v>1636</v>
      </c>
      <c r="F367" s="5">
        <v>32800000</v>
      </c>
      <c r="G367" s="5">
        <v>35800000</v>
      </c>
      <c r="H367" s="5">
        <f>M367*26000*1.20565</f>
        <v>39001812.980000004</v>
      </c>
      <c r="I367" s="5">
        <f>G367-H367</f>
        <v>-3201812.9800000042</v>
      </c>
      <c r="J367" s="5">
        <v>3000000</v>
      </c>
      <c r="K367" s="5">
        <v>3280000</v>
      </c>
      <c r="L367" s="5">
        <v>3580000</v>
      </c>
      <c r="M367" s="7">
        <v>1244.2</v>
      </c>
      <c r="N367" s="5">
        <v>33300000</v>
      </c>
      <c r="O367" s="5">
        <v>36300000</v>
      </c>
      <c r="P367" s="3">
        <v>0.97916666666666663</v>
      </c>
    </row>
    <row r="368" spans="1:16" x14ac:dyDescent="0.25">
      <c r="A368" t="s">
        <v>240</v>
      </c>
      <c r="B368" s="2">
        <v>42906</v>
      </c>
      <c r="C368" t="str">
        <f>TEXT(B368,"mm")</f>
        <v>06</v>
      </c>
      <c r="D368" t="s">
        <v>18</v>
      </c>
      <c r="E368" t="s">
        <v>1636</v>
      </c>
      <c r="F368" s="5">
        <v>32700000</v>
      </c>
      <c r="G368" s="5">
        <v>35700000</v>
      </c>
      <c r="H368" s="5">
        <f>M368*26000*1.20565</f>
        <v>38901502.900000006</v>
      </c>
      <c r="I368" s="5">
        <f>G368-H368</f>
        <v>-3201502.900000006</v>
      </c>
      <c r="J368" s="5">
        <v>3000000</v>
      </c>
      <c r="K368" s="5">
        <v>3270000</v>
      </c>
      <c r="L368" s="5">
        <v>3570000</v>
      </c>
      <c r="M368" s="7">
        <v>1241</v>
      </c>
      <c r="N368" s="5">
        <v>33200000</v>
      </c>
      <c r="O368" s="5">
        <v>36200000</v>
      </c>
      <c r="P368" s="3">
        <v>0.97916666666666663</v>
      </c>
    </row>
    <row r="369" spans="1:16" x14ac:dyDescent="0.25">
      <c r="A369" t="s">
        <v>241</v>
      </c>
      <c r="B369" s="2">
        <v>42907</v>
      </c>
      <c r="C369" t="str">
        <f>TEXT(B369,"mm")</f>
        <v>06</v>
      </c>
      <c r="D369" t="s">
        <v>19</v>
      </c>
      <c r="E369" t="s">
        <v>1636</v>
      </c>
      <c r="F369" s="5">
        <v>32700000</v>
      </c>
      <c r="G369" s="5">
        <v>35700000</v>
      </c>
      <c r="H369" s="5">
        <f>M369*26000*1.20565</f>
        <v>38976735.460000008</v>
      </c>
      <c r="I369" s="5">
        <f>G369-H369</f>
        <v>-3276735.4600000083</v>
      </c>
      <c r="J369" s="5">
        <v>3000000</v>
      </c>
      <c r="K369" s="5">
        <v>3270000</v>
      </c>
      <c r="L369" s="5">
        <v>3570000</v>
      </c>
      <c r="M369" s="7">
        <v>1243.4000000000001</v>
      </c>
      <c r="N369" s="5">
        <v>33200000</v>
      </c>
      <c r="O369" s="5">
        <v>36200000</v>
      </c>
      <c r="P369" s="3">
        <v>0.97916666666666663</v>
      </c>
    </row>
    <row r="370" spans="1:16" x14ac:dyDescent="0.25">
      <c r="A370" t="s">
        <v>242</v>
      </c>
      <c r="B370" s="2">
        <v>42908</v>
      </c>
      <c r="C370" t="str">
        <f>TEXT(B370,"mm")</f>
        <v>06</v>
      </c>
      <c r="D370" t="s">
        <v>20</v>
      </c>
      <c r="E370" t="s">
        <v>1636</v>
      </c>
      <c r="F370" s="5">
        <v>32900000</v>
      </c>
      <c r="G370" s="5">
        <v>35900000</v>
      </c>
      <c r="H370" s="5">
        <f>M370*26000*1.20565</f>
        <v>39108392.439999998</v>
      </c>
      <c r="I370" s="5">
        <f>G370-H370</f>
        <v>-3208392.4399999976</v>
      </c>
      <c r="J370" s="5">
        <v>3000000</v>
      </c>
      <c r="K370" s="5">
        <v>3290000</v>
      </c>
      <c r="L370" s="5">
        <v>3590000</v>
      </c>
      <c r="M370" s="7">
        <v>1247.5999999999999</v>
      </c>
      <c r="N370" s="5">
        <v>33400000</v>
      </c>
      <c r="O370" s="5">
        <v>36400000</v>
      </c>
      <c r="P370" s="3">
        <v>0.97916666666666663</v>
      </c>
    </row>
    <row r="371" spans="1:16" x14ac:dyDescent="0.25">
      <c r="A371" t="s">
        <v>243</v>
      </c>
      <c r="B371" s="2">
        <v>42909</v>
      </c>
      <c r="C371" t="str">
        <f>TEXT(B371,"mm")</f>
        <v>06</v>
      </c>
      <c r="D371" t="s">
        <v>21</v>
      </c>
      <c r="E371" t="s">
        <v>1636</v>
      </c>
      <c r="F371" s="5">
        <v>33100000</v>
      </c>
      <c r="G371" s="5">
        <v>36100000</v>
      </c>
      <c r="H371" s="5">
        <f>M371*26000*1.20565</f>
        <v>39377975.780000001</v>
      </c>
      <c r="I371" s="5">
        <f>G371-H371</f>
        <v>-3277975.7800000012</v>
      </c>
      <c r="J371" s="5">
        <v>3000000</v>
      </c>
      <c r="K371" s="5">
        <v>3310000</v>
      </c>
      <c r="L371" s="5">
        <v>3610000</v>
      </c>
      <c r="M371" s="7">
        <v>1256.2</v>
      </c>
      <c r="N371" s="5">
        <v>33600000</v>
      </c>
      <c r="O371" s="5">
        <v>36600000</v>
      </c>
      <c r="P371" s="3">
        <v>0.97916666666666663</v>
      </c>
    </row>
    <row r="372" spans="1:16" x14ac:dyDescent="0.25">
      <c r="A372" t="s">
        <v>244</v>
      </c>
      <c r="B372" s="2">
        <v>42912</v>
      </c>
      <c r="C372" t="str">
        <f>TEXT(B372,"mm")</f>
        <v>06</v>
      </c>
      <c r="D372" t="s">
        <v>16</v>
      </c>
      <c r="E372" t="s">
        <v>1636</v>
      </c>
      <c r="F372" s="5">
        <v>32800000</v>
      </c>
      <c r="G372" s="5">
        <v>35800000</v>
      </c>
      <c r="H372" s="5">
        <f>M372*26000*1.20565</f>
        <v>39067641.470000006</v>
      </c>
      <c r="I372" s="5">
        <f>G372-H372</f>
        <v>-3267641.4700000063</v>
      </c>
      <c r="J372" s="5">
        <v>3000000</v>
      </c>
      <c r="K372" s="5">
        <v>3280000</v>
      </c>
      <c r="L372" s="5">
        <v>3580000</v>
      </c>
      <c r="M372" s="7">
        <v>1246.3</v>
      </c>
      <c r="N372" s="5">
        <v>33300000</v>
      </c>
      <c r="O372" s="5">
        <v>36300000</v>
      </c>
      <c r="P372" s="3">
        <v>0.97916666666666663</v>
      </c>
    </row>
    <row r="373" spans="1:16" x14ac:dyDescent="0.25">
      <c r="A373" t="s">
        <v>245</v>
      </c>
      <c r="B373" s="2">
        <v>42913</v>
      </c>
      <c r="C373" t="str">
        <f>TEXT(B373,"mm")</f>
        <v>06</v>
      </c>
      <c r="D373" t="s">
        <v>18</v>
      </c>
      <c r="E373" t="s">
        <v>1636</v>
      </c>
      <c r="F373" s="5">
        <v>32800000</v>
      </c>
      <c r="G373" s="5">
        <v>35800000</v>
      </c>
      <c r="H373" s="5">
        <f>M373*26000*1.20565</f>
        <v>39070776.160000011</v>
      </c>
      <c r="I373" s="5">
        <f>G373-H373</f>
        <v>-3270776.1600000113</v>
      </c>
      <c r="J373" s="5">
        <v>3000000</v>
      </c>
      <c r="K373" s="5">
        <v>3280000</v>
      </c>
      <c r="L373" s="5">
        <v>3580000</v>
      </c>
      <c r="M373" s="7">
        <v>1246.4000000000001</v>
      </c>
      <c r="N373" s="5">
        <v>33300000</v>
      </c>
      <c r="O373" s="5">
        <v>36300000</v>
      </c>
      <c r="P373" s="3">
        <v>0.97916666666666663</v>
      </c>
    </row>
    <row r="374" spans="1:16" x14ac:dyDescent="0.25">
      <c r="A374" t="s">
        <v>246</v>
      </c>
      <c r="B374" s="2">
        <v>42914</v>
      </c>
      <c r="C374" t="str">
        <f>TEXT(B374,"mm")</f>
        <v>06</v>
      </c>
      <c r="D374" t="s">
        <v>19</v>
      </c>
      <c r="E374" t="s">
        <v>1636</v>
      </c>
      <c r="F374" s="5">
        <v>32900000</v>
      </c>
      <c r="G374" s="5">
        <v>35900000</v>
      </c>
      <c r="H374" s="5">
        <f>M374*26000*1.20565</f>
        <v>39120931.200000003</v>
      </c>
      <c r="I374" s="5">
        <f>G374-H374</f>
        <v>-3220931.200000003</v>
      </c>
      <c r="J374" s="5">
        <v>3000000</v>
      </c>
      <c r="K374" s="5">
        <v>3290000</v>
      </c>
      <c r="L374" s="5">
        <v>3590000</v>
      </c>
      <c r="M374" s="7">
        <v>1248</v>
      </c>
      <c r="N374" s="5">
        <v>33400000</v>
      </c>
      <c r="O374" s="5">
        <v>36400000</v>
      </c>
      <c r="P374" s="3">
        <v>0.97916666666666663</v>
      </c>
    </row>
    <row r="375" spans="1:16" x14ac:dyDescent="0.25">
      <c r="A375" t="s">
        <v>247</v>
      </c>
      <c r="B375" s="2">
        <v>42915</v>
      </c>
      <c r="C375" t="str">
        <f>TEXT(B375,"mm")</f>
        <v>06</v>
      </c>
      <c r="D375" t="s">
        <v>20</v>
      </c>
      <c r="E375" t="s">
        <v>1636</v>
      </c>
      <c r="F375" s="5">
        <v>32800000</v>
      </c>
      <c r="G375" s="5">
        <v>35800000</v>
      </c>
      <c r="H375" s="5">
        <f>M375*26000*1.20565</f>
        <v>39001812.980000004</v>
      </c>
      <c r="I375" s="5">
        <f>G375-H375</f>
        <v>-3201812.9800000042</v>
      </c>
      <c r="J375" s="5">
        <v>3000000</v>
      </c>
      <c r="K375" s="5">
        <v>3280000</v>
      </c>
      <c r="L375" s="5">
        <v>3580000</v>
      </c>
      <c r="M375" s="7">
        <v>1244.2</v>
      </c>
      <c r="N375" s="5">
        <v>33300000</v>
      </c>
      <c r="O375" s="5">
        <v>36300000</v>
      </c>
      <c r="P375" s="3">
        <v>0.97916666666666663</v>
      </c>
    </row>
    <row r="376" spans="1:16" x14ac:dyDescent="0.25">
      <c r="A376" t="s">
        <v>248</v>
      </c>
      <c r="B376" s="2">
        <v>42916</v>
      </c>
      <c r="C376" t="str">
        <f>TEXT(B376,"mm")</f>
        <v>06</v>
      </c>
      <c r="D376" t="s">
        <v>21</v>
      </c>
      <c r="E376" t="s">
        <v>1636</v>
      </c>
      <c r="F376" s="5">
        <v>32700000</v>
      </c>
      <c r="G376" s="5">
        <v>35700000</v>
      </c>
      <c r="H376" s="5">
        <f>M376*26000*1.20565</f>
        <v>38892098.830000006</v>
      </c>
      <c r="I376" s="5">
        <f>G376-H376</f>
        <v>-3192098.8300000057</v>
      </c>
      <c r="J376" s="5">
        <v>3000000</v>
      </c>
      <c r="K376" s="5">
        <v>3270000</v>
      </c>
      <c r="L376" s="5">
        <v>3570000</v>
      </c>
      <c r="M376" s="7">
        <v>1240.7</v>
      </c>
      <c r="N376" s="5">
        <v>33200000</v>
      </c>
      <c r="O376" s="5">
        <v>36200000</v>
      </c>
      <c r="P376" s="3">
        <v>0.97916666666666663</v>
      </c>
    </row>
    <row r="377" spans="1:16" x14ac:dyDescent="0.25">
      <c r="A377" s="2">
        <v>42801</v>
      </c>
      <c r="B377" s="2">
        <v>42919</v>
      </c>
      <c r="C377" t="str">
        <f>TEXT(B377,"mm")</f>
        <v>07</v>
      </c>
      <c r="D377" t="s">
        <v>16</v>
      </c>
      <c r="E377" t="s">
        <v>1636</v>
      </c>
      <c r="F377" s="5">
        <v>32000000</v>
      </c>
      <c r="G377" s="5">
        <v>35000000</v>
      </c>
      <c r="H377" s="5">
        <f>M377*26000*1.20565</f>
        <v>38177389.510000005</v>
      </c>
      <c r="I377" s="5">
        <f>G377-H377</f>
        <v>-3177389.5100000054</v>
      </c>
      <c r="J377" s="5">
        <v>3000000</v>
      </c>
      <c r="K377" s="5">
        <v>3200000</v>
      </c>
      <c r="L377" s="5">
        <v>3500000</v>
      </c>
      <c r="M377" s="7">
        <v>1217.9000000000001</v>
      </c>
      <c r="N377" s="5">
        <v>32500000</v>
      </c>
      <c r="O377" s="5">
        <v>35500000</v>
      </c>
      <c r="P377" s="3">
        <v>0.97916666666666663</v>
      </c>
    </row>
    <row r="378" spans="1:16" x14ac:dyDescent="0.25">
      <c r="A378" s="2">
        <v>42862</v>
      </c>
      <c r="B378" s="2">
        <v>42921</v>
      </c>
      <c r="C378" t="str">
        <f>TEXT(B378,"mm")</f>
        <v>07</v>
      </c>
      <c r="D378" t="s">
        <v>19</v>
      </c>
      <c r="E378" t="s">
        <v>1636</v>
      </c>
      <c r="F378" s="5">
        <v>32100000</v>
      </c>
      <c r="G378" s="5">
        <v>35100000</v>
      </c>
      <c r="H378" s="5">
        <f>M378*26000*1.20565</f>
        <v>38255756.760000005</v>
      </c>
      <c r="I378" s="5">
        <f>G378-H378</f>
        <v>-3155756.7600000054</v>
      </c>
      <c r="J378" s="5">
        <v>3000000</v>
      </c>
      <c r="K378" s="5">
        <v>3210000</v>
      </c>
      <c r="L378" s="5">
        <v>3510000</v>
      </c>
      <c r="M378" s="7">
        <v>1220.4000000000001</v>
      </c>
      <c r="N378" s="5">
        <v>32600000</v>
      </c>
      <c r="O378" s="5">
        <v>35600000</v>
      </c>
      <c r="P378" s="3">
        <v>0.97916666666666663</v>
      </c>
    </row>
    <row r="379" spans="1:16" x14ac:dyDescent="0.25">
      <c r="A379" s="2">
        <v>42893</v>
      </c>
      <c r="B379" s="2">
        <v>42922</v>
      </c>
      <c r="C379" t="str">
        <f>TEXT(B379,"mm")</f>
        <v>07</v>
      </c>
      <c r="D379" t="s">
        <v>20</v>
      </c>
      <c r="E379" t="s">
        <v>1636</v>
      </c>
      <c r="F379" s="5">
        <v>32100000</v>
      </c>
      <c r="G379" s="5">
        <v>35100000</v>
      </c>
      <c r="H379" s="5">
        <f>M379*26000*1.20565</f>
        <v>38312181.180000007</v>
      </c>
      <c r="I379" s="5">
        <f>G379-H379</f>
        <v>-3212181.1800000072</v>
      </c>
      <c r="J379" s="5">
        <v>3000000</v>
      </c>
      <c r="K379" s="5">
        <v>3210000</v>
      </c>
      <c r="L379" s="5">
        <v>3510000</v>
      </c>
      <c r="M379" s="7">
        <v>1222.2</v>
      </c>
      <c r="N379" s="5">
        <v>32600000</v>
      </c>
      <c r="O379" s="5">
        <v>35600000</v>
      </c>
      <c r="P379" s="3">
        <v>0.97916666666666663</v>
      </c>
    </row>
    <row r="380" spans="1:16" x14ac:dyDescent="0.25">
      <c r="A380" s="2">
        <v>42923</v>
      </c>
      <c r="B380" s="2">
        <v>42923</v>
      </c>
      <c r="C380" t="str">
        <f>TEXT(B380,"mm")</f>
        <v>07</v>
      </c>
      <c r="D380" t="s">
        <v>21</v>
      </c>
      <c r="E380" t="s">
        <v>1636</v>
      </c>
      <c r="F380" s="5">
        <v>31700000</v>
      </c>
      <c r="G380" s="5">
        <v>34700000</v>
      </c>
      <c r="H380" s="5">
        <f>M380*26000*1.20565</f>
        <v>37885863.339999996</v>
      </c>
      <c r="I380" s="5">
        <f>G380-H380</f>
        <v>-3185863.3399999961</v>
      </c>
      <c r="J380" s="5">
        <v>3000000</v>
      </c>
      <c r="K380" s="5">
        <v>3170000</v>
      </c>
      <c r="L380" s="5">
        <v>3470000</v>
      </c>
      <c r="M380" s="7">
        <v>1208.5999999999999</v>
      </c>
      <c r="N380" s="5">
        <v>32200000</v>
      </c>
      <c r="O380" s="5">
        <v>35200000</v>
      </c>
      <c r="P380" s="3">
        <v>0.97916666666666663</v>
      </c>
    </row>
    <row r="381" spans="1:16" x14ac:dyDescent="0.25">
      <c r="A381" s="2">
        <v>43015</v>
      </c>
      <c r="B381" s="2">
        <v>42926</v>
      </c>
      <c r="C381" t="str">
        <f>TEXT(B381,"mm")</f>
        <v>07</v>
      </c>
      <c r="D381" t="s">
        <v>16</v>
      </c>
      <c r="E381" t="s">
        <v>1636</v>
      </c>
      <c r="F381" s="5">
        <v>31800000</v>
      </c>
      <c r="G381" s="5">
        <v>34800000</v>
      </c>
      <c r="H381" s="5">
        <f>M381*26000*1.20565</f>
        <v>37995577.490000002</v>
      </c>
      <c r="I381" s="5">
        <f>G381-H381</f>
        <v>-3195577.4900000021</v>
      </c>
      <c r="J381" s="5">
        <v>3000000</v>
      </c>
      <c r="K381" s="5">
        <v>3180000</v>
      </c>
      <c r="L381" s="5">
        <v>3480000</v>
      </c>
      <c r="M381" s="7">
        <v>1212.0999999999999</v>
      </c>
      <c r="N381" s="5">
        <v>32300000</v>
      </c>
      <c r="O381" s="5">
        <v>35300000</v>
      </c>
      <c r="P381" s="3">
        <v>0.97916666666666663</v>
      </c>
    </row>
    <row r="382" spans="1:16" x14ac:dyDescent="0.25">
      <c r="A382" s="2">
        <v>43046</v>
      </c>
      <c r="B382" s="2">
        <v>42927</v>
      </c>
      <c r="C382" t="str">
        <f>TEXT(B382,"mm")</f>
        <v>07</v>
      </c>
      <c r="D382" t="s">
        <v>18</v>
      </c>
      <c r="E382" t="s">
        <v>1636</v>
      </c>
      <c r="F382" s="5">
        <v>31900000</v>
      </c>
      <c r="G382" s="5">
        <v>34900000</v>
      </c>
      <c r="H382" s="5">
        <f>M382*26000*1.20565</f>
        <v>38042597.839999996</v>
      </c>
      <c r="I382" s="5">
        <f>G382-H382</f>
        <v>-3142597.8399999961</v>
      </c>
      <c r="J382" s="5">
        <v>3000000</v>
      </c>
      <c r="K382" s="5">
        <v>3190000</v>
      </c>
      <c r="L382" s="5">
        <v>3490000</v>
      </c>
      <c r="M382" s="7">
        <v>1213.5999999999999</v>
      </c>
      <c r="N382" s="5">
        <v>32400000</v>
      </c>
      <c r="O382" s="5">
        <v>35400000</v>
      </c>
      <c r="P382" s="3">
        <v>0.97916666666666663</v>
      </c>
    </row>
    <row r="383" spans="1:16" x14ac:dyDescent="0.25">
      <c r="A383" s="2">
        <v>43076</v>
      </c>
      <c r="B383" s="2">
        <v>42928</v>
      </c>
      <c r="C383" t="str">
        <f>TEXT(B383,"mm")</f>
        <v>07</v>
      </c>
      <c r="D383" t="s">
        <v>19</v>
      </c>
      <c r="E383" t="s">
        <v>1636</v>
      </c>
      <c r="F383" s="5">
        <v>32000000</v>
      </c>
      <c r="G383" s="5">
        <v>35000000</v>
      </c>
      <c r="H383" s="5">
        <f>M383*26000*1.20565</f>
        <v>38183658.890000001</v>
      </c>
      <c r="I383" s="5">
        <f>G383-H383</f>
        <v>-3183658.8900000006</v>
      </c>
      <c r="J383" s="5">
        <v>3000000</v>
      </c>
      <c r="K383" s="5">
        <v>3200000</v>
      </c>
      <c r="L383" s="5">
        <v>3500000</v>
      </c>
      <c r="M383" s="7">
        <v>1218.0999999999999</v>
      </c>
      <c r="N383" s="5">
        <v>32500000</v>
      </c>
      <c r="O383" s="5">
        <v>35500000</v>
      </c>
      <c r="P383" s="3">
        <v>0.97916666666666663</v>
      </c>
    </row>
    <row r="384" spans="1:16" x14ac:dyDescent="0.25">
      <c r="A384" t="s">
        <v>249</v>
      </c>
      <c r="B384" s="2">
        <v>42929</v>
      </c>
      <c r="C384" t="str">
        <f>TEXT(B384,"mm")</f>
        <v>07</v>
      </c>
      <c r="D384" t="s">
        <v>20</v>
      </c>
      <c r="E384" t="s">
        <v>1636</v>
      </c>
      <c r="F384" s="5">
        <v>32000000</v>
      </c>
      <c r="G384" s="5">
        <v>35000000</v>
      </c>
      <c r="H384" s="5">
        <f>M384*26000*1.20565</f>
        <v>38127234.470000006</v>
      </c>
      <c r="I384" s="5">
        <f>G384-H384</f>
        <v>-3127234.4700000063</v>
      </c>
      <c r="J384" s="5">
        <v>3000000</v>
      </c>
      <c r="K384" s="5">
        <v>3200000</v>
      </c>
      <c r="L384" s="5">
        <v>3500000</v>
      </c>
      <c r="M384" s="7">
        <v>1216.3</v>
      </c>
      <c r="N384" s="5">
        <v>32500000</v>
      </c>
      <c r="O384" s="5">
        <v>35500000</v>
      </c>
      <c r="P384" s="3">
        <v>0.97916666666666663</v>
      </c>
    </row>
    <row r="385" spans="1:16" x14ac:dyDescent="0.25">
      <c r="A385" t="s">
        <v>250</v>
      </c>
      <c r="B385" s="2">
        <v>42930</v>
      </c>
      <c r="C385" t="str">
        <f>TEXT(B385,"mm")</f>
        <v>07</v>
      </c>
      <c r="D385" t="s">
        <v>21</v>
      </c>
      <c r="E385" t="s">
        <v>1636</v>
      </c>
      <c r="F385" s="5">
        <v>32200000</v>
      </c>
      <c r="G385" s="5">
        <v>35200000</v>
      </c>
      <c r="H385" s="5">
        <f>M385*26000*1.20565</f>
        <v>38450107.539999999</v>
      </c>
      <c r="I385" s="5">
        <f>G385-H385</f>
        <v>-3250107.5399999991</v>
      </c>
      <c r="J385" s="5">
        <v>3000000</v>
      </c>
      <c r="K385" s="5">
        <v>3220000</v>
      </c>
      <c r="L385" s="5">
        <v>3520000</v>
      </c>
      <c r="M385" s="7">
        <v>1226.5999999999999</v>
      </c>
      <c r="N385" s="5">
        <v>32700000</v>
      </c>
      <c r="O385" s="5">
        <v>35700000</v>
      </c>
      <c r="P385" s="3">
        <v>0.97916666666666663</v>
      </c>
    </row>
    <row r="386" spans="1:16" x14ac:dyDescent="0.25">
      <c r="A386" t="s">
        <v>251</v>
      </c>
      <c r="B386" s="2">
        <v>42933</v>
      </c>
      <c r="C386" t="str">
        <f>TEXT(B386,"mm")</f>
        <v>07</v>
      </c>
      <c r="D386" t="s">
        <v>16</v>
      </c>
      <c r="E386" t="s">
        <v>1636</v>
      </c>
      <c r="F386" s="5">
        <v>32400000</v>
      </c>
      <c r="G386" s="5">
        <v>35400000</v>
      </c>
      <c r="H386" s="5">
        <f>M386*26000*1.20565</f>
        <v>38644458.32</v>
      </c>
      <c r="I386" s="5">
        <f>G386-H386</f>
        <v>-3244458.3200000003</v>
      </c>
      <c r="J386" s="5">
        <v>3000000</v>
      </c>
      <c r="K386" s="5">
        <v>3240000</v>
      </c>
      <c r="L386" s="5">
        <v>3540000</v>
      </c>
      <c r="M386" s="7">
        <v>1232.8</v>
      </c>
      <c r="N386" s="5">
        <v>32900000</v>
      </c>
      <c r="O386" s="5">
        <v>35900000</v>
      </c>
      <c r="P386" s="3">
        <v>0.97916666666666663</v>
      </c>
    </row>
    <row r="387" spans="1:16" x14ac:dyDescent="0.25">
      <c r="A387" t="s">
        <v>252</v>
      </c>
      <c r="B387" s="2">
        <v>42934</v>
      </c>
      <c r="C387" t="str">
        <f>TEXT(B387,"mm")</f>
        <v>07</v>
      </c>
      <c r="D387" t="s">
        <v>18</v>
      </c>
      <c r="E387" t="s">
        <v>1636</v>
      </c>
      <c r="F387" s="5">
        <v>32700000</v>
      </c>
      <c r="G387" s="5">
        <v>35700000</v>
      </c>
      <c r="H387" s="5">
        <f>M387*26000*1.20565</f>
        <v>38904637.589999996</v>
      </c>
      <c r="I387" s="5">
        <f>G387-H387</f>
        <v>-3204637.5899999961</v>
      </c>
      <c r="J387" s="5">
        <v>3000000</v>
      </c>
      <c r="K387" s="5">
        <v>3270000</v>
      </c>
      <c r="L387" s="5">
        <v>3570000</v>
      </c>
      <c r="M387" s="7">
        <v>1241.0999999999999</v>
      </c>
      <c r="N387" s="5">
        <v>33200000</v>
      </c>
      <c r="O387" s="5">
        <v>36200000</v>
      </c>
      <c r="P387" s="3">
        <v>0.97916666666666663</v>
      </c>
    </row>
    <row r="388" spans="1:16" x14ac:dyDescent="0.25">
      <c r="A388" t="s">
        <v>253</v>
      </c>
      <c r="B388" s="2">
        <v>42935</v>
      </c>
      <c r="C388" t="str">
        <f>TEXT(B388,"mm")</f>
        <v>07</v>
      </c>
      <c r="D388" t="s">
        <v>19</v>
      </c>
      <c r="E388" t="s">
        <v>1636</v>
      </c>
      <c r="F388" s="5">
        <v>32700000</v>
      </c>
      <c r="G388" s="5">
        <v>35700000</v>
      </c>
      <c r="H388" s="5">
        <f>M388*26000*1.20565</f>
        <v>38907772.280000001</v>
      </c>
      <c r="I388" s="5">
        <f>G388-H388</f>
        <v>-3207772.2800000012</v>
      </c>
      <c r="J388" s="5">
        <v>3000000</v>
      </c>
      <c r="K388" s="5">
        <v>3270000</v>
      </c>
      <c r="L388" s="5">
        <v>3570000</v>
      </c>
      <c r="M388" s="7">
        <v>1241.2</v>
      </c>
      <c r="N388" s="5">
        <v>33200000</v>
      </c>
      <c r="O388" s="5">
        <v>36200000</v>
      </c>
      <c r="P388" s="3">
        <v>0.97916666666666663</v>
      </c>
    </row>
    <row r="389" spans="1:16" x14ac:dyDescent="0.25">
      <c r="A389" t="s">
        <v>254</v>
      </c>
      <c r="B389" s="2">
        <v>42936</v>
      </c>
      <c r="C389" t="str">
        <f>TEXT(B389,"mm")</f>
        <v>07</v>
      </c>
      <c r="D389" t="s">
        <v>20</v>
      </c>
      <c r="E389" t="s">
        <v>1636</v>
      </c>
      <c r="F389" s="5">
        <v>32800000</v>
      </c>
      <c r="G389" s="5">
        <v>35800000</v>
      </c>
      <c r="H389" s="5">
        <f>M389*26000*1.20565</f>
        <v>39020621.120000005</v>
      </c>
      <c r="I389" s="5">
        <f>G389-H389</f>
        <v>-3220621.1200000048</v>
      </c>
      <c r="J389" s="5">
        <v>3000000</v>
      </c>
      <c r="K389" s="5">
        <v>3280000</v>
      </c>
      <c r="L389" s="5">
        <v>3580000</v>
      </c>
      <c r="M389" s="7">
        <v>1244.8</v>
      </c>
      <c r="N389" s="5">
        <v>33300000</v>
      </c>
      <c r="O389" s="5">
        <v>36300000</v>
      </c>
      <c r="P389" s="3">
        <v>0.97916666666666663</v>
      </c>
    </row>
    <row r="390" spans="1:16" x14ac:dyDescent="0.25">
      <c r="A390" t="s">
        <v>255</v>
      </c>
      <c r="B390" s="2">
        <v>42937</v>
      </c>
      <c r="C390" t="str">
        <f>TEXT(B390,"mm")</f>
        <v>07</v>
      </c>
      <c r="D390" t="s">
        <v>21</v>
      </c>
      <c r="E390" t="s">
        <v>1636</v>
      </c>
      <c r="F390" s="5">
        <v>33000000</v>
      </c>
      <c r="G390" s="5">
        <v>36000000</v>
      </c>
      <c r="H390" s="5">
        <f>M390*26000*1.20565</f>
        <v>39318416.670000002</v>
      </c>
      <c r="I390" s="5">
        <f>G390-H390</f>
        <v>-3318416.6700000018</v>
      </c>
      <c r="J390" s="5">
        <v>3000000</v>
      </c>
      <c r="K390" s="5">
        <v>3300000</v>
      </c>
      <c r="L390" s="5">
        <v>3600000</v>
      </c>
      <c r="M390" s="7">
        <v>1254.3</v>
      </c>
      <c r="N390" s="5">
        <v>33500000</v>
      </c>
      <c r="O390" s="5">
        <v>36500000</v>
      </c>
      <c r="P390" s="3">
        <v>0.97916666666666663</v>
      </c>
    </row>
    <row r="391" spans="1:16" x14ac:dyDescent="0.25">
      <c r="A391" t="s">
        <v>256</v>
      </c>
      <c r="B391" s="2">
        <v>42940</v>
      </c>
      <c r="C391" t="str">
        <f>TEXT(B391,"mm")</f>
        <v>07</v>
      </c>
      <c r="D391" t="s">
        <v>16</v>
      </c>
      <c r="E391" t="s">
        <v>1636</v>
      </c>
      <c r="F391" s="5">
        <v>33000000</v>
      </c>
      <c r="G391" s="5">
        <v>36000000</v>
      </c>
      <c r="H391" s="5">
        <f>M391*26000*1.20565</f>
        <v>39305877.910000011</v>
      </c>
      <c r="I391" s="5">
        <f>G391-H391</f>
        <v>-3305877.9100000113</v>
      </c>
      <c r="J391" s="5">
        <v>3000000</v>
      </c>
      <c r="K391" s="5">
        <v>3300000</v>
      </c>
      <c r="L391" s="5">
        <v>3600000</v>
      </c>
      <c r="M391" s="7">
        <v>1253.9000000000001</v>
      </c>
      <c r="N391" s="5">
        <v>33500000</v>
      </c>
      <c r="O391" s="5">
        <v>36500000</v>
      </c>
      <c r="P391" s="3">
        <v>0.97916666666666663</v>
      </c>
    </row>
    <row r="392" spans="1:16" x14ac:dyDescent="0.25">
      <c r="A392" t="s">
        <v>257</v>
      </c>
      <c r="B392" s="2">
        <v>42941</v>
      </c>
      <c r="C392" t="str">
        <f>TEXT(B392,"mm")</f>
        <v>07</v>
      </c>
      <c r="D392" t="s">
        <v>18</v>
      </c>
      <c r="E392" t="s">
        <v>1636</v>
      </c>
      <c r="F392" s="5">
        <v>33000000</v>
      </c>
      <c r="G392" s="5">
        <v>36000000</v>
      </c>
      <c r="H392" s="5">
        <f>M392*26000*1.20565</f>
        <v>39236914.730000004</v>
      </c>
      <c r="I392" s="5">
        <f>G392-H392</f>
        <v>-3236914.7300000042</v>
      </c>
      <c r="J392" s="5">
        <v>3000000</v>
      </c>
      <c r="K392" s="5">
        <v>3300000</v>
      </c>
      <c r="L392" s="5">
        <v>3600000</v>
      </c>
      <c r="M392" s="7">
        <v>1251.7</v>
      </c>
      <c r="N392" s="5">
        <v>33500000</v>
      </c>
      <c r="O392" s="5">
        <v>36500000</v>
      </c>
      <c r="P392" s="3">
        <v>0.97916666666666663</v>
      </c>
    </row>
    <row r="393" spans="1:16" x14ac:dyDescent="0.25">
      <c r="A393" t="s">
        <v>258</v>
      </c>
      <c r="B393" s="2">
        <v>42942</v>
      </c>
      <c r="C393" t="str">
        <f>TEXT(B393,"mm")</f>
        <v>07</v>
      </c>
      <c r="D393" t="s">
        <v>19</v>
      </c>
      <c r="E393" t="s">
        <v>1636</v>
      </c>
      <c r="F393" s="5">
        <v>32900000</v>
      </c>
      <c r="G393" s="5">
        <v>35900000</v>
      </c>
      <c r="H393" s="5">
        <f>M393*26000*1.20565</f>
        <v>39152278.100000001</v>
      </c>
      <c r="I393" s="5">
        <f>G393-H393</f>
        <v>-3252278.1000000015</v>
      </c>
      <c r="J393" s="5">
        <v>3000000</v>
      </c>
      <c r="K393" s="5">
        <v>3290000</v>
      </c>
      <c r="L393" s="5">
        <v>3590000</v>
      </c>
      <c r="M393" s="7">
        <v>1249</v>
      </c>
      <c r="N393" s="5">
        <v>33400000</v>
      </c>
      <c r="O393" s="5">
        <v>36400000</v>
      </c>
      <c r="P393" s="3">
        <v>0.97916666666666663</v>
      </c>
    </row>
    <row r="394" spans="1:16" x14ac:dyDescent="0.25">
      <c r="A394" t="s">
        <v>259</v>
      </c>
      <c r="B394" s="2">
        <v>42943</v>
      </c>
      <c r="C394" t="str">
        <f>TEXT(B394,"mm")</f>
        <v>07</v>
      </c>
      <c r="D394" t="s">
        <v>20</v>
      </c>
      <c r="E394" t="s">
        <v>1636</v>
      </c>
      <c r="F394" s="5">
        <v>33200000</v>
      </c>
      <c r="G394" s="5">
        <v>36200000</v>
      </c>
      <c r="H394" s="5">
        <f>M394*26000*1.20565</f>
        <v>39484555.240000002</v>
      </c>
      <c r="I394" s="5">
        <f>G394-H394</f>
        <v>-3284555.2400000021</v>
      </c>
      <c r="J394" s="5">
        <v>3000000</v>
      </c>
      <c r="K394" s="5">
        <v>3320000</v>
      </c>
      <c r="L394" s="5">
        <v>3620000</v>
      </c>
      <c r="M394" s="7">
        <v>1259.5999999999999</v>
      </c>
      <c r="N394" s="5">
        <v>33700000</v>
      </c>
      <c r="O394" s="5">
        <v>36700000</v>
      </c>
      <c r="P394" s="3">
        <v>0.97916666666666663</v>
      </c>
    </row>
    <row r="395" spans="1:16" x14ac:dyDescent="0.25">
      <c r="A395" t="s">
        <v>260</v>
      </c>
      <c r="B395" s="2">
        <v>42944</v>
      </c>
      <c r="C395" t="str">
        <f>TEXT(B395,"mm")</f>
        <v>07</v>
      </c>
      <c r="D395" t="s">
        <v>21</v>
      </c>
      <c r="E395" t="s">
        <v>1636</v>
      </c>
      <c r="F395" s="5">
        <v>33400000</v>
      </c>
      <c r="G395" s="5">
        <v>36400000</v>
      </c>
      <c r="H395" s="5">
        <f>M395*26000*1.20565</f>
        <v>39760407.960000008</v>
      </c>
      <c r="I395" s="5">
        <f>G395-H395</f>
        <v>-3360407.9600000083</v>
      </c>
      <c r="J395" s="5">
        <v>3000000</v>
      </c>
      <c r="K395" s="5">
        <v>3340000</v>
      </c>
      <c r="L395" s="5">
        <v>3640000</v>
      </c>
      <c r="M395" s="7">
        <v>1268.4000000000001</v>
      </c>
      <c r="N395" s="5">
        <v>33900000</v>
      </c>
      <c r="O395" s="5">
        <v>36900000</v>
      </c>
      <c r="P395" s="3">
        <v>0.97916666666666663</v>
      </c>
    </row>
    <row r="396" spans="1:16" x14ac:dyDescent="0.25">
      <c r="A396" t="s">
        <v>261</v>
      </c>
      <c r="B396" s="2">
        <v>42947</v>
      </c>
      <c r="C396" t="str">
        <f>TEXT(B396,"mm")</f>
        <v>07</v>
      </c>
      <c r="D396" t="s">
        <v>16</v>
      </c>
      <c r="E396" t="s">
        <v>1636</v>
      </c>
      <c r="F396" s="5">
        <v>33400000</v>
      </c>
      <c r="G396" s="5">
        <v>36400000</v>
      </c>
      <c r="H396" s="5">
        <f>M396*26000*1.20565</f>
        <v>39703983.539999999</v>
      </c>
      <c r="I396" s="5">
        <f>G396-H396</f>
        <v>-3303983.5399999991</v>
      </c>
      <c r="J396" s="5">
        <v>3000000</v>
      </c>
      <c r="K396" s="5">
        <v>3340000</v>
      </c>
      <c r="L396" s="5">
        <v>3640000</v>
      </c>
      <c r="M396" s="7">
        <v>1266.5999999999999</v>
      </c>
      <c r="N396" s="5">
        <v>33900000</v>
      </c>
      <c r="O396" s="5">
        <v>36900000</v>
      </c>
      <c r="P396" s="3">
        <v>0.97916666666666663</v>
      </c>
    </row>
    <row r="397" spans="1:16" x14ac:dyDescent="0.25">
      <c r="A397" s="2">
        <v>42743</v>
      </c>
      <c r="B397" s="2">
        <v>42948</v>
      </c>
      <c r="C397" t="str">
        <f>TEXT(B397,"mm")</f>
        <v>08</v>
      </c>
      <c r="D397" t="s">
        <v>18</v>
      </c>
      <c r="E397" t="s">
        <v>1636</v>
      </c>
      <c r="F397" s="5">
        <v>33600000</v>
      </c>
      <c r="G397" s="5">
        <v>36600000</v>
      </c>
      <c r="H397" s="5">
        <f>M397*26000*1.20565</f>
        <v>39892064.939999998</v>
      </c>
      <c r="I397" s="5">
        <f>G397-H397</f>
        <v>-3292064.9399999976</v>
      </c>
      <c r="J397" s="5">
        <v>3000000</v>
      </c>
      <c r="K397" s="5">
        <v>3360000</v>
      </c>
      <c r="L397" s="5">
        <v>3660000</v>
      </c>
      <c r="M397" s="7">
        <v>1272.5999999999999</v>
      </c>
      <c r="N397" s="5">
        <v>34100000</v>
      </c>
      <c r="O397" s="5">
        <v>37100000</v>
      </c>
      <c r="P397" s="3">
        <v>0.97916666666666663</v>
      </c>
    </row>
    <row r="398" spans="1:16" x14ac:dyDescent="0.25">
      <c r="A398" s="2">
        <v>42774</v>
      </c>
      <c r="B398" s="2">
        <v>42949</v>
      </c>
      <c r="C398" t="str">
        <f>TEXT(B398,"mm")</f>
        <v>08</v>
      </c>
      <c r="D398" t="s">
        <v>19</v>
      </c>
      <c r="E398" t="s">
        <v>1636</v>
      </c>
      <c r="F398" s="5">
        <v>33500000</v>
      </c>
      <c r="G398" s="5">
        <v>36500000</v>
      </c>
      <c r="H398" s="5">
        <f>M398*26000*1.20565</f>
        <v>39866987.420000002</v>
      </c>
      <c r="I398" s="5">
        <f>G398-H398</f>
        <v>-3366987.4200000018</v>
      </c>
      <c r="J398" s="5">
        <v>3000000</v>
      </c>
      <c r="K398" s="5">
        <v>3350000</v>
      </c>
      <c r="L398" s="5">
        <v>3650000</v>
      </c>
      <c r="M398" s="7">
        <v>1271.8</v>
      </c>
      <c r="N398" s="5">
        <v>34000000</v>
      </c>
      <c r="O398" s="5">
        <v>37000000</v>
      </c>
      <c r="P398" s="3">
        <v>0.97916666666666663</v>
      </c>
    </row>
    <row r="399" spans="1:16" x14ac:dyDescent="0.25">
      <c r="A399" s="2">
        <v>42802</v>
      </c>
      <c r="B399" s="2">
        <v>42950</v>
      </c>
      <c r="C399" t="str">
        <f>TEXT(B399,"mm")</f>
        <v>08</v>
      </c>
      <c r="D399" t="s">
        <v>20</v>
      </c>
      <c r="E399" t="s">
        <v>1636</v>
      </c>
      <c r="F399" s="5">
        <v>33400000</v>
      </c>
      <c r="G399" s="5">
        <v>36400000</v>
      </c>
      <c r="H399" s="5">
        <f>M399*26000*1.20565</f>
        <v>39741599.82</v>
      </c>
      <c r="I399" s="5">
        <f>G399-H399</f>
        <v>-3341599.8200000003</v>
      </c>
      <c r="J399" s="5">
        <v>3000000</v>
      </c>
      <c r="K399" s="5">
        <v>3340000</v>
      </c>
      <c r="L399" s="5">
        <v>3640000</v>
      </c>
      <c r="M399" s="7">
        <v>1267.8</v>
      </c>
      <c r="N399" s="5">
        <v>33900000</v>
      </c>
      <c r="O399" s="5">
        <v>36900000</v>
      </c>
      <c r="P399" s="3">
        <v>0.97916666666666663</v>
      </c>
    </row>
    <row r="400" spans="1:16" x14ac:dyDescent="0.25">
      <c r="A400" s="2">
        <v>42833</v>
      </c>
      <c r="B400" s="2">
        <v>42951</v>
      </c>
      <c r="C400" t="str">
        <f>TEXT(B400,"mm")</f>
        <v>08</v>
      </c>
      <c r="D400" t="s">
        <v>21</v>
      </c>
      <c r="E400" t="s">
        <v>1636</v>
      </c>
      <c r="F400" s="5">
        <v>33200000</v>
      </c>
      <c r="G400" s="5">
        <v>36200000</v>
      </c>
      <c r="H400" s="5">
        <f>M400*26000*1.20565</f>
        <v>39443804.270000003</v>
      </c>
      <c r="I400" s="5">
        <f>G400-H400</f>
        <v>-3243804.2700000033</v>
      </c>
      <c r="J400" s="5">
        <v>3000000</v>
      </c>
      <c r="K400" s="5">
        <v>3320000</v>
      </c>
      <c r="L400" s="5">
        <v>3620000</v>
      </c>
      <c r="M400" s="7">
        <v>1258.3</v>
      </c>
      <c r="N400" s="5">
        <v>33700000</v>
      </c>
      <c r="O400" s="5">
        <v>36700000</v>
      </c>
      <c r="P400" s="3">
        <v>0.97916666666666663</v>
      </c>
    </row>
    <row r="401" spans="1:16" x14ac:dyDescent="0.25">
      <c r="A401" s="2">
        <v>42924</v>
      </c>
      <c r="B401" s="2">
        <v>42954</v>
      </c>
      <c r="C401" t="str">
        <f>TEXT(B401,"mm")</f>
        <v>08</v>
      </c>
      <c r="D401" t="s">
        <v>16</v>
      </c>
      <c r="E401" t="s">
        <v>1636</v>
      </c>
      <c r="F401" s="5">
        <v>33200000</v>
      </c>
      <c r="G401" s="5">
        <v>36200000</v>
      </c>
      <c r="H401" s="5">
        <f>M401*26000*1.20565</f>
        <v>39440669.580000006</v>
      </c>
      <c r="I401" s="5">
        <f>G401-H401</f>
        <v>-3240669.5800000057</v>
      </c>
      <c r="J401" s="5">
        <v>3000000</v>
      </c>
      <c r="K401" s="5">
        <v>3320000</v>
      </c>
      <c r="L401" s="5">
        <v>3620000</v>
      </c>
      <c r="M401" s="7">
        <v>1258.2</v>
      </c>
      <c r="N401" s="5">
        <v>33700000</v>
      </c>
      <c r="O401" s="5">
        <v>36700000</v>
      </c>
      <c r="P401" s="3">
        <v>0.97916666666666663</v>
      </c>
    </row>
    <row r="402" spans="1:16" x14ac:dyDescent="0.25">
      <c r="A402" s="2">
        <v>42955</v>
      </c>
      <c r="B402" s="2">
        <v>42955</v>
      </c>
      <c r="C402" t="str">
        <f>TEXT(B402,"mm")</f>
        <v>08</v>
      </c>
      <c r="D402" t="s">
        <v>18</v>
      </c>
      <c r="E402" t="s">
        <v>1636</v>
      </c>
      <c r="F402" s="5">
        <v>33100000</v>
      </c>
      <c r="G402" s="5">
        <v>36100000</v>
      </c>
      <c r="H402" s="5">
        <f>M402*26000*1.20565</f>
        <v>39384245.160000011</v>
      </c>
      <c r="I402" s="5">
        <f>G402-H402</f>
        <v>-3284245.1600000113</v>
      </c>
      <c r="J402" s="5">
        <v>3000000</v>
      </c>
      <c r="K402" s="5">
        <v>3310000</v>
      </c>
      <c r="L402" s="5">
        <v>3610000</v>
      </c>
      <c r="M402" s="7">
        <v>1256.4000000000001</v>
      </c>
      <c r="N402" s="5">
        <v>33600000</v>
      </c>
      <c r="O402" s="5">
        <v>36600000</v>
      </c>
      <c r="P402" s="3">
        <v>0.97916666666666663</v>
      </c>
    </row>
    <row r="403" spans="1:16" x14ac:dyDescent="0.25">
      <c r="A403" s="2">
        <v>42986</v>
      </c>
      <c r="B403" s="2">
        <v>42956</v>
      </c>
      <c r="C403" t="str">
        <f>TEXT(B403,"mm")</f>
        <v>08</v>
      </c>
      <c r="D403" t="s">
        <v>19</v>
      </c>
      <c r="E403" t="s">
        <v>1636</v>
      </c>
      <c r="F403" s="5">
        <v>33600000</v>
      </c>
      <c r="G403" s="5">
        <v>36600000</v>
      </c>
      <c r="H403" s="5">
        <f>M403*26000*1.20565</f>
        <v>39904603.700000003</v>
      </c>
      <c r="I403" s="5">
        <f>G403-H403</f>
        <v>-3304603.700000003</v>
      </c>
      <c r="J403" s="5">
        <v>3000000</v>
      </c>
      <c r="K403" s="5">
        <v>3360000</v>
      </c>
      <c r="L403" s="5">
        <v>3660000</v>
      </c>
      <c r="M403" s="7">
        <v>1273</v>
      </c>
      <c r="N403" s="5">
        <v>34100000</v>
      </c>
      <c r="O403" s="5">
        <v>37100000</v>
      </c>
      <c r="P403" s="3">
        <v>0.97916666666666663</v>
      </c>
    </row>
    <row r="404" spans="1:16" x14ac:dyDescent="0.25">
      <c r="A404" s="2">
        <v>43016</v>
      </c>
      <c r="B404" s="2">
        <v>42957</v>
      </c>
      <c r="C404" t="str">
        <f>TEXT(B404,"mm")</f>
        <v>08</v>
      </c>
      <c r="D404" t="s">
        <v>20</v>
      </c>
      <c r="E404" t="s">
        <v>1636</v>
      </c>
      <c r="F404" s="5">
        <v>33900000</v>
      </c>
      <c r="G404" s="5">
        <v>36900000</v>
      </c>
      <c r="H404" s="5">
        <f>M404*26000*1.20565</f>
        <v>40240015.530000001</v>
      </c>
      <c r="I404" s="5">
        <f>G404-H404</f>
        <v>-3340015.5300000012</v>
      </c>
      <c r="J404" s="5">
        <v>3000000</v>
      </c>
      <c r="K404" s="5">
        <v>3390000</v>
      </c>
      <c r="L404" s="5">
        <v>3690000</v>
      </c>
      <c r="M404" s="7">
        <v>1283.7</v>
      </c>
      <c r="N404" s="5">
        <v>34400000</v>
      </c>
      <c r="O404" s="5">
        <v>37400000</v>
      </c>
      <c r="P404" s="3">
        <v>0.97916666666666663</v>
      </c>
    </row>
    <row r="405" spans="1:16" x14ac:dyDescent="0.25">
      <c r="A405" s="2">
        <v>43047</v>
      </c>
      <c r="B405" s="2">
        <v>42958</v>
      </c>
      <c r="C405" t="str">
        <f>TEXT(B405,"mm")</f>
        <v>08</v>
      </c>
      <c r="D405" t="s">
        <v>21</v>
      </c>
      <c r="E405" t="s">
        <v>1636</v>
      </c>
      <c r="F405" s="5">
        <v>34000000</v>
      </c>
      <c r="G405" s="5">
        <v>37000000</v>
      </c>
      <c r="H405" s="5">
        <f>M405*26000*1.20565</f>
        <v>40365403.130000003</v>
      </c>
      <c r="I405" s="5">
        <f>G405-H405</f>
        <v>-3365403.1300000027</v>
      </c>
      <c r="J405" s="5">
        <v>3000000</v>
      </c>
      <c r="K405" s="5">
        <v>3400000</v>
      </c>
      <c r="L405" s="5">
        <v>3700000</v>
      </c>
      <c r="M405" s="7">
        <v>1287.7</v>
      </c>
      <c r="N405" s="5">
        <v>34500000</v>
      </c>
      <c r="O405" s="5">
        <v>37500000</v>
      </c>
      <c r="P405" s="3">
        <v>0.97916666666666663</v>
      </c>
    </row>
    <row r="406" spans="1:16" x14ac:dyDescent="0.25">
      <c r="A406" t="s">
        <v>262</v>
      </c>
      <c r="B406" s="2">
        <v>42961</v>
      </c>
      <c r="C406" t="str">
        <f>TEXT(B406,"mm")</f>
        <v>08</v>
      </c>
      <c r="D406" t="s">
        <v>16</v>
      </c>
      <c r="E406" t="s">
        <v>1636</v>
      </c>
      <c r="F406" s="5">
        <v>33900000</v>
      </c>
      <c r="G406" s="5">
        <v>36900000</v>
      </c>
      <c r="H406" s="5">
        <f>M406*26000*1.20565</f>
        <v>40255688.980000004</v>
      </c>
      <c r="I406" s="5">
        <f>G406-H406</f>
        <v>-3355688.9800000042</v>
      </c>
      <c r="J406" s="5">
        <v>3000000</v>
      </c>
      <c r="K406" s="5">
        <v>3390000</v>
      </c>
      <c r="L406" s="5">
        <v>3690000</v>
      </c>
      <c r="M406" s="7">
        <v>1284.2</v>
      </c>
      <c r="N406" s="5">
        <v>34400000</v>
      </c>
      <c r="O406" s="5">
        <v>37400000</v>
      </c>
      <c r="P406" s="3">
        <v>0.97916666666666663</v>
      </c>
    </row>
    <row r="407" spans="1:16" x14ac:dyDescent="0.25">
      <c r="A407" t="s">
        <v>263</v>
      </c>
      <c r="B407" s="2">
        <v>42962</v>
      </c>
      <c r="C407" t="str">
        <f>TEXT(B407,"mm")</f>
        <v>08</v>
      </c>
      <c r="D407" t="s">
        <v>18</v>
      </c>
      <c r="E407" t="s">
        <v>1636</v>
      </c>
      <c r="F407" s="5">
        <v>33600000</v>
      </c>
      <c r="G407" s="5">
        <v>36600000</v>
      </c>
      <c r="H407" s="5">
        <f>M407*26000*1.20565</f>
        <v>39926546.530000001</v>
      </c>
      <c r="I407" s="5">
        <f>G407-H407</f>
        <v>-3326546.5300000012</v>
      </c>
      <c r="J407" s="5">
        <v>3000000</v>
      </c>
      <c r="K407" s="5">
        <v>3360000</v>
      </c>
      <c r="L407" s="5">
        <v>3660000</v>
      </c>
      <c r="M407" s="7">
        <v>1273.7</v>
      </c>
      <c r="N407" s="5">
        <v>34100000</v>
      </c>
      <c r="O407" s="5">
        <v>37100000</v>
      </c>
      <c r="P407" s="3">
        <v>0.97916666666666663</v>
      </c>
    </row>
    <row r="408" spans="1:16" x14ac:dyDescent="0.25">
      <c r="A408" t="s">
        <v>264</v>
      </c>
      <c r="B408" s="2">
        <v>42963</v>
      </c>
      <c r="C408" t="str">
        <f>TEXT(B408,"mm")</f>
        <v>08</v>
      </c>
      <c r="D408" t="s">
        <v>19</v>
      </c>
      <c r="E408" t="s">
        <v>1636</v>
      </c>
      <c r="F408" s="5">
        <v>33700000</v>
      </c>
      <c r="G408" s="5">
        <v>36700000</v>
      </c>
      <c r="H408" s="5">
        <f>M408*26000*1.20565</f>
        <v>40026856.610000007</v>
      </c>
      <c r="I408" s="5">
        <f>G408-H408</f>
        <v>-3326856.6100000069</v>
      </c>
      <c r="J408" s="5">
        <v>3000000</v>
      </c>
      <c r="K408" s="5">
        <v>3370000</v>
      </c>
      <c r="L408" s="5">
        <v>3670000</v>
      </c>
      <c r="M408" s="7">
        <v>1276.9000000000001</v>
      </c>
      <c r="N408" s="5">
        <v>34200000</v>
      </c>
      <c r="O408" s="5">
        <v>37200000</v>
      </c>
      <c r="P408" s="3">
        <v>0.97916666666666663</v>
      </c>
    </row>
    <row r="409" spans="1:16" x14ac:dyDescent="0.25">
      <c r="A409" t="s">
        <v>265</v>
      </c>
      <c r="B409" s="2">
        <v>42964</v>
      </c>
      <c r="C409" t="str">
        <f>TEXT(B409,"mm")</f>
        <v>08</v>
      </c>
      <c r="D409" t="s">
        <v>20</v>
      </c>
      <c r="E409" t="s">
        <v>1636</v>
      </c>
      <c r="F409" s="5">
        <v>34000000</v>
      </c>
      <c r="G409" s="5">
        <v>37000000</v>
      </c>
      <c r="H409" s="5">
        <f>M409*26000*1.20565</f>
        <v>40324652.160000011</v>
      </c>
      <c r="I409" s="5">
        <f>G409-H409</f>
        <v>-3324652.1600000113</v>
      </c>
      <c r="J409" s="5">
        <v>3000000</v>
      </c>
      <c r="K409" s="5">
        <v>3400000</v>
      </c>
      <c r="L409" s="5">
        <v>3700000</v>
      </c>
      <c r="M409" s="7">
        <v>1286.4000000000001</v>
      </c>
      <c r="N409" s="5">
        <v>34500000</v>
      </c>
      <c r="O409" s="5">
        <v>37500000</v>
      </c>
      <c r="P409" s="3">
        <v>0.97916666666666663</v>
      </c>
    </row>
    <row r="410" spans="1:16" x14ac:dyDescent="0.25">
      <c r="A410" t="s">
        <v>266</v>
      </c>
      <c r="B410" s="2">
        <v>42965</v>
      </c>
      <c r="C410" t="str">
        <f>TEXT(B410,"mm")</f>
        <v>08</v>
      </c>
      <c r="D410" t="s">
        <v>21</v>
      </c>
      <c r="E410" t="s">
        <v>1636</v>
      </c>
      <c r="F410" s="5">
        <v>33900000</v>
      </c>
      <c r="G410" s="5">
        <v>36900000</v>
      </c>
      <c r="H410" s="5">
        <f>M410*26000*1.20565</f>
        <v>40302709.330000006</v>
      </c>
      <c r="I410" s="5">
        <f>G410-H410</f>
        <v>-3402709.3300000057</v>
      </c>
      <c r="J410" s="5">
        <v>3000000</v>
      </c>
      <c r="K410" s="5">
        <v>3390000</v>
      </c>
      <c r="L410" s="5">
        <v>3690000</v>
      </c>
      <c r="M410" s="7">
        <v>1285.7</v>
      </c>
      <c r="N410" s="5">
        <v>34400000</v>
      </c>
      <c r="O410" s="5">
        <v>37400000</v>
      </c>
      <c r="P410" s="3">
        <v>0.97916666666666663</v>
      </c>
    </row>
    <row r="411" spans="1:16" x14ac:dyDescent="0.25">
      <c r="A411" t="s">
        <v>267</v>
      </c>
      <c r="B411" s="2">
        <v>42968</v>
      </c>
      <c r="C411" t="str">
        <f>TEXT(B411,"mm")</f>
        <v>08</v>
      </c>
      <c r="D411" t="s">
        <v>16</v>
      </c>
      <c r="E411" t="s">
        <v>1636</v>
      </c>
      <c r="F411" s="5">
        <v>34100000</v>
      </c>
      <c r="G411" s="5">
        <v>37100000</v>
      </c>
      <c r="H411" s="5">
        <f>M411*26000*1.20565</f>
        <v>40462578.520000003</v>
      </c>
      <c r="I411" s="5">
        <f>G411-H411</f>
        <v>-3362578.5200000033</v>
      </c>
      <c r="J411" s="5">
        <v>3000000</v>
      </c>
      <c r="K411" s="5">
        <v>3410000</v>
      </c>
      <c r="L411" s="5">
        <v>3710000</v>
      </c>
      <c r="M411" s="7">
        <v>1290.8</v>
      </c>
      <c r="N411" s="5">
        <v>34600000</v>
      </c>
      <c r="O411" s="5">
        <v>37600000</v>
      </c>
      <c r="P411" s="3">
        <v>0.97916666666666663</v>
      </c>
    </row>
    <row r="412" spans="1:16" x14ac:dyDescent="0.25">
      <c r="A412" t="s">
        <v>268</v>
      </c>
      <c r="B412" s="2">
        <v>42969</v>
      </c>
      <c r="C412" t="str">
        <f>TEXT(B412,"mm")</f>
        <v>08</v>
      </c>
      <c r="D412" t="s">
        <v>18</v>
      </c>
      <c r="E412" t="s">
        <v>1636</v>
      </c>
      <c r="F412" s="5">
        <v>33900000</v>
      </c>
      <c r="G412" s="5">
        <v>36900000</v>
      </c>
      <c r="H412" s="5">
        <f>M412*26000*1.20565</f>
        <v>40283901.189999998</v>
      </c>
      <c r="I412" s="5">
        <f>G412-H412</f>
        <v>-3383901.1899999976</v>
      </c>
      <c r="J412" s="5">
        <v>3000000</v>
      </c>
      <c r="K412" s="5">
        <v>3390000</v>
      </c>
      <c r="L412" s="5">
        <v>3690000</v>
      </c>
      <c r="M412" s="7">
        <v>1285.0999999999999</v>
      </c>
      <c r="N412" s="5">
        <v>34400000</v>
      </c>
      <c r="O412" s="5">
        <v>37400000</v>
      </c>
      <c r="P412" s="3">
        <v>0.97916666666666663</v>
      </c>
    </row>
    <row r="413" spans="1:16" x14ac:dyDescent="0.25">
      <c r="A413" t="s">
        <v>269</v>
      </c>
      <c r="B413" s="2">
        <v>42970</v>
      </c>
      <c r="C413" t="str">
        <f>TEXT(B413,"mm")</f>
        <v>08</v>
      </c>
      <c r="D413" t="s">
        <v>19</v>
      </c>
      <c r="E413" t="s">
        <v>1636</v>
      </c>
      <c r="F413" s="5">
        <v>34000000</v>
      </c>
      <c r="G413" s="5">
        <v>37000000</v>
      </c>
      <c r="H413" s="5">
        <f>M413*26000*1.20565</f>
        <v>40403019.410000011</v>
      </c>
      <c r="I413" s="5">
        <f>G413-H413</f>
        <v>-3403019.4100000113</v>
      </c>
      <c r="J413" s="5">
        <v>3000000</v>
      </c>
      <c r="K413" s="5">
        <v>3400000</v>
      </c>
      <c r="L413" s="5">
        <v>3700000</v>
      </c>
      <c r="M413" s="7">
        <v>1288.9000000000001</v>
      </c>
      <c r="N413" s="5">
        <v>34500000</v>
      </c>
      <c r="O413" s="5">
        <v>37500000</v>
      </c>
      <c r="P413" s="3">
        <v>0.97916666666666663</v>
      </c>
    </row>
    <row r="414" spans="1:16" x14ac:dyDescent="0.25">
      <c r="A414" t="s">
        <v>270</v>
      </c>
      <c r="B414" s="2">
        <v>42971</v>
      </c>
      <c r="C414" t="str">
        <f>TEXT(B414,"mm")</f>
        <v>08</v>
      </c>
      <c r="D414" t="s">
        <v>20</v>
      </c>
      <c r="E414" t="s">
        <v>1636</v>
      </c>
      <c r="F414" s="5">
        <v>34000000</v>
      </c>
      <c r="G414" s="5">
        <v>37000000</v>
      </c>
      <c r="H414" s="5">
        <f>M414*26000*1.20565</f>
        <v>40327786.850000001</v>
      </c>
      <c r="I414" s="5">
        <f>G414-H414</f>
        <v>-3327786.8500000015</v>
      </c>
      <c r="J414" s="5">
        <v>3000000</v>
      </c>
      <c r="K414" s="5">
        <v>3400000</v>
      </c>
      <c r="L414" s="5">
        <v>3700000</v>
      </c>
      <c r="M414" s="7">
        <v>1286.5</v>
      </c>
      <c r="N414" s="5">
        <v>34500000</v>
      </c>
      <c r="O414" s="5">
        <v>37500000</v>
      </c>
      <c r="P414" s="3">
        <v>0.97916666666666663</v>
      </c>
    </row>
    <row r="415" spans="1:16" x14ac:dyDescent="0.25">
      <c r="A415" t="s">
        <v>271</v>
      </c>
      <c r="B415" s="2">
        <v>42972</v>
      </c>
      <c r="C415" t="str">
        <f>TEXT(B415,"mm")</f>
        <v>08</v>
      </c>
      <c r="D415" t="s">
        <v>21</v>
      </c>
      <c r="E415" t="s">
        <v>1636</v>
      </c>
      <c r="F415" s="5">
        <v>34100000</v>
      </c>
      <c r="G415" s="5">
        <v>37100000</v>
      </c>
      <c r="H415" s="5">
        <f>M415*26000*1.20565</f>
        <v>40515868.25</v>
      </c>
      <c r="I415" s="5">
        <f>G415-H415</f>
        <v>-3415868.25</v>
      </c>
      <c r="J415" s="5">
        <v>3000000</v>
      </c>
      <c r="K415" s="5">
        <v>3410000</v>
      </c>
      <c r="L415" s="5">
        <v>3710000</v>
      </c>
      <c r="M415" s="7">
        <v>1292.5</v>
      </c>
      <c r="N415" s="5">
        <v>34600000</v>
      </c>
      <c r="O415" s="5">
        <v>37600000</v>
      </c>
      <c r="P415" s="3">
        <v>0.97916666666666663</v>
      </c>
    </row>
    <row r="416" spans="1:16" x14ac:dyDescent="0.25">
      <c r="A416" t="s">
        <v>272</v>
      </c>
      <c r="B416" s="2">
        <v>42975</v>
      </c>
      <c r="C416" t="str">
        <f>TEXT(B416,"mm")</f>
        <v>08</v>
      </c>
      <c r="D416" t="s">
        <v>16</v>
      </c>
      <c r="E416" t="s">
        <v>1636</v>
      </c>
      <c r="F416" s="5">
        <v>34600000</v>
      </c>
      <c r="G416" s="5">
        <v>37600000</v>
      </c>
      <c r="H416" s="5">
        <f>M416*26000*1.20565</f>
        <v>41055034.930000007</v>
      </c>
      <c r="I416" s="5">
        <f>G416-H416</f>
        <v>-3455034.9300000072</v>
      </c>
      <c r="J416" s="5">
        <v>3000000</v>
      </c>
      <c r="K416" s="5">
        <v>3460000</v>
      </c>
      <c r="L416" s="5">
        <v>3760000</v>
      </c>
      <c r="M416" s="7">
        <v>1309.7</v>
      </c>
      <c r="N416" s="5">
        <v>35100000</v>
      </c>
      <c r="O416" s="5">
        <v>38100000</v>
      </c>
      <c r="P416" s="3">
        <v>0.97916666666666663</v>
      </c>
    </row>
    <row r="417" spans="1:16" x14ac:dyDescent="0.25">
      <c r="A417" t="s">
        <v>273</v>
      </c>
      <c r="B417" s="2">
        <v>42976</v>
      </c>
      <c r="C417" t="str">
        <f>TEXT(B417,"mm")</f>
        <v>08</v>
      </c>
      <c r="D417" t="s">
        <v>18</v>
      </c>
      <c r="E417" t="s">
        <v>1636</v>
      </c>
      <c r="F417" s="5">
        <v>34700000</v>
      </c>
      <c r="G417" s="5">
        <v>37700000</v>
      </c>
      <c r="H417" s="5">
        <f>M417*26000*1.20565</f>
        <v>41161614.390000001</v>
      </c>
      <c r="I417" s="5">
        <f>G417-H417</f>
        <v>-3461614.3900000006</v>
      </c>
      <c r="J417" s="5">
        <v>3000000</v>
      </c>
      <c r="K417" s="5">
        <v>3470000</v>
      </c>
      <c r="L417" s="5">
        <v>3770000</v>
      </c>
      <c r="M417" s="7">
        <v>1313.1</v>
      </c>
      <c r="N417" s="5">
        <v>35200000</v>
      </c>
      <c r="O417" s="5">
        <v>38200000</v>
      </c>
      <c r="P417" s="3">
        <v>0.97916666666666663</v>
      </c>
    </row>
    <row r="418" spans="1:16" x14ac:dyDescent="0.25">
      <c r="A418" t="s">
        <v>274</v>
      </c>
      <c r="B418" s="2">
        <v>42977</v>
      </c>
      <c r="C418" t="str">
        <f>TEXT(B418,"mm")</f>
        <v>08</v>
      </c>
      <c r="D418" t="s">
        <v>19</v>
      </c>
      <c r="E418" t="s">
        <v>1636</v>
      </c>
      <c r="F418" s="5">
        <v>34600000</v>
      </c>
      <c r="G418" s="5">
        <v>37600000</v>
      </c>
      <c r="H418" s="5">
        <f>M418*26000*1.20565</f>
        <v>41004879.890000001</v>
      </c>
      <c r="I418" s="5">
        <f>G418-H418</f>
        <v>-3404879.8900000006</v>
      </c>
      <c r="J418" s="5">
        <v>3000000</v>
      </c>
      <c r="K418" s="5">
        <v>3460000</v>
      </c>
      <c r="L418" s="5">
        <v>3760000</v>
      </c>
      <c r="M418" s="7">
        <v>1308.0999999999999</v>
      </c>
      <c r="N418" s="5">
        <v>35100000</v>
      </c>
      <c r="O418" s="5">
        <v>38100000</v>
      </c>
      <c r="P418" s="3">
        <v>0.97916666666666663</v>
      </c>
    </row>
    <row r="419" spans="1:16" x14ac:dyDescent="0.25">
      <c r="A419" t="s">
        <v>275</v>
      </c>
      <c r="B419" s="2">
        <v>42978</v>
      </c>
      <c r="C419" t="str">
        <f>TEXT(B419,"mm")</f>
        <v>08</v>
      </c>
      <c r="D419" t="s">
        <v>20</v>
      </c>
      <c r="E419" t="s">
        <v>1636</v>
      </c>
      <c r="F419" s="5">
        <v>34800000</v>
      </c>
      <c r="G419" s="5">
        <v>37800000</v>
      </c>
      <c r="H419" s="5">
        <f>M419*26000*1.20565</f>
        <v>41258789.780000001</v>
      </c>
      <c r="I419" s="5">
        <f>G419-H419</f>
        <v>-3458789.7800000012</v>
      </c>
      <c r="J419" s="5">
        <v>3000000</v>
      </c>
      <c r="K419" s="5">
        <v>3480000</v>
      </c>
      <c r="L419" s="5">
        <v>3780000</v>
      </c>
      <c r="M419" s="7">
        <v>1316.2</v>
      </c>
      <c r="N419" s="5">
        <v>35300000</v>
      </c>
      <c r="O419" s="5">
        <v>38300000</v>
      </c>
      <c r="P419" s="3">
        <v>0.97916666666666663</v>
      </c>
    </row>
    <row r="420" spans="1:16" x14ac:dyDescent="0.25">
      <c r="A420" s="2">
        <v>42744</v>
      </c>
      <c r="B420" s="2">
        <v>42979</v>
      </c>
      <c r="C420" t="str">
        <f>TEXT(B420,"mm")</f>
        <v>09</v>
      </c>
      <c r="D420" t="s">
        <v>21</v>
      </c>
      <c r="E420" t="s">
        <v>1636</v>
      </c>
      <c r="F420" s="5">
        <v>35100000</v>
      </c>
      <c r="G420" s="5">
        <v>38100000</v>
      </c>
      <c r="H420" s="5">
        <f>M420*26000*1.20565</f>
        <v>41518969.050000004</v>
      </c>
      <c r="I420" s="5">
        <f>G420-H420</f>
        <v>-3418969.0500000045</v>
      </c>
      <c r="J420" s="5">
        <v>3000000</v>
      </c>
      <c r="K420" s="5">
        <v>3510000</v>
      </c>
      <c r="L420" s="5">
        <v>3810000</v>
      </c>
      <c r="M420" s="7">
        <v>1324.5</v>
      </c>
      <c r="N420" s="5">
        <v>35600000</v>
      </c>
      <c r="O420" s="5">
        <v>38600000</v>
      </c>
      <c r="P420" s="3">
        <v>0.97916666666666663</v>
      </c>
    </row>
    <row r="421" spans="1:16" x14ac:dyDescent="0.25">
      <c r="A421" s="2">
        <v>42864</v>
      </c>
      <c r="B421" s="2">
        <v>42983</v>
      </c>
      <c r="C421" t="str">
        <f>TEXT(B421,"mm")</f>
        <v>09</v>
      </c>
      <c r="D421" t="s">
        <v>18</v>
      </c>
      <c r="E421" t="s">
        <v>1636</v>
      </c>
      <c r="F421" s="5">
        <v>35500000</v>
      </c>
      <c r="G421" s="5">
        <v>38500000</v>
      </c>
      <c r="H421" s="5">
        <f>M421*26000*1.20565</f>
        <v>41979768.480000004</v>
      </c>
      <c r="I421" s="5">
        <f>G421-H421</f>
        <v>-3479768.4800000042</v>
      </c>
      <c r="J421" s="5">
        <v>3000000</v>
      </c>
      <c r="K421" s="5">
        <v>3550000</v>
      </c>
      <c r="L421" s="5">
        <v>3850000</v>
      </c>
      <c r="M421" s="7">
        <v>1339.2</v>
      </c>
      <c r="N421" s="5">
        <v>36000000</v>
      </c>
      <c r="O421" s="5">
        <v>39000000</v>
      </c>
      <c r="P421" s="3">
        <v>0.97916666666666663</v>
      </c>
    </row>
    <row r="422" spans="1:16" x14ac:dyDescent="0.25">
      <c r="A422" s="2">
        <v>42895</v>
      </c>
      <c r="B422" s="2">
        <v>42984</v>
      </c>
      <c r="C422" t="str">
        <f>TEXT(B422,"mm")</f>
        <v>09</v>
      </c>
      <c r="D422" t="s">
        <v>19</v>
      </c>
      <c r="E422" t="s">
        <v>1636</v>
      </c>
      <c r="F422" s="5">
        <v>35300000</v>
      </c>
      <c r="G422" s="5">
        <v>38300000</v>
      </c>
      <c r="H422" s="5">
        <f>M422*26000*1.20565</f>
        <v>41813629.910000004</v>
      </c>
      <c r="I422" s="5">
        <f>G422-H422</f>
        <v>-3513629.9100000039</v>
      </c>
      <c r="J422" s="5">
        <v>3000000</v>
      </c>
      <c r="K422" s="5">
        <v>3530000</v>
      </c>
      <c r="L422" s="5">
        <v>3830000</v>
      </c>
      <c r="M422" s="7">
        <v>1333.9</v>
      </c>
      <c r="N422" s="5">
        <v>35800000</v>
      </c>
      <c r="O422" s="5">
        <v>38800000</v>
      </c>
      <c r="P422" s="3">
        <v>0.97916666666666663</v>
      </c>
    </row>
    <row r="423" spans="1:16" x14ac:dyDescent="0.25">
      <c r="A423" s="2">
        <v>42925</v>
      </c>
      <c r="B423" s="2">
        <v>42985</v>
      </c>
      <c r="C423" t="str">
        <f>TEXT(B423,"mm")</f>
        <v>09</v>
      </c>
      <c r="D423" t="s">
        <v>20</v>
      </c>
      <c r="E423" t="s">
        <v>1636</v>
      </c>
      <c r="F423" s="5">
        <v>35700000</v>
      </c>
      <c r="G423" s="5">
        <v>38700000</v>
      </c>
      <c r="H423" s="5">
        <f>M423*26000*1.20565</f>
        <v>42164715.190000005</v>
      </c>
      <c r="I423" s="5">
        <f>G423-H423</f>
        <v>-3464715.1900000051</v>
      </c>
      <c r="J423" s="5">
        <v>3000000</v>
      </c>
      <c r="K423" s="5">
        <v>3570000</v>
      </c>
      <c r="L423" s="5">
        <v>3870000</v>
      </c>
      <c r="M423" s="7">
        <v>1345.1</v>
      </c>
      <c r="N423" s="5">
        <v>36200000</v>
      </c>
      <c r="O423" s="5">
        <v>39200000</v>
      </c>
      <c r="P423" s="3">
        <v>0.97916666666666663</v>
      </c>
    </row>
    <row r="424" spans="1:16" x14ac:dyDescent="0.25">
      <c r="A424" s="2">
        <v>42956</v>
      </c>
      <c r="B424" s="2">
        <v>42986</v>
      </c>
      <c r="C424" t="str">
        <f>TEXT(B424,"mm")</f>
        <v>09</v>
      </c>
      <c r="D424" t="s">
        <v>21</v>
      </c>
      <c r="E424" t="s">
        <v>1636</v>
      </c>
      <c r="F424" s="5">
        <v>35700000</v>
      </c>
      <c r="G424" s="5">
        <v>38700000</v>
      </c>
      <c r="H424" s="5">
        <f>M424*26000*1.20565</f>
        <v>42192927.400000006</v>
      </c>
      <c r="I424" s="5">
        <f>G424-H424</f>
        <v>-3492927.400000006</v>
      </c>
      <c r="J424" s="5">
        <v>3000000</v>
      </c>
      <c r="K424" s="5">
        <v>3570000</v>
      </c>
      <c r="L424" s="5">
        <v>3870000</v>
      </c>
      <c r="M424" s="7">
        <v>1346</v>
      </c>
      <c r="N424" s="5">
        <v>36200000</v>
      </c>
      <c r="O424" s="5">
        <v>39200000</v>
      </c>
      <c r="P424" s="3">
        <v>0.97916666666666663</v>
      </c>
    </row>
    <row r="425" spans="1:16" x14ac:dyDescent="0.25">
      <c r="A425" s="2">
        <v>43048</v>
      </c>
      <c r="B425" s="2">
        <v>42989</v>
      </c>
      <c r="C425" t="str">
        <f>TEXT(B425,"mm")</f>
        <v>09</v>
      </c>
      <c r="D425" t="s">
        <v>16</v>
      </c>
      <c r="E425" t="s">
        <v>1636</v>
      </c>
      <c r="F425" s="5">
        <v>35200000</v>
      </c>
      <c r="G425" s="5">
        <v>38200000</v>
      </c>
      <c r="H425" s="5">
        <f>M425*26000*1.20565</f>
        <v>41722723.900000006</v>
      </c>
      <c r="I425" s="5">
        <f>G425-H425</f>
        <v>-3522723.900000006</v>
      </c>
      <c r="J425" s="5">
        <v>3000000</v>
      </c>
      <c r="K425" s="5">
        <v>3520000</v>
      </c>
      <c r="L425" s="5">
        <v>3820000</v>
      </c>
      <c r="M425" s="7">
        <v>1331</v>
      </c>
      <c r="N425" s="5">
        <v>35700000</v>
      </c>
      <c r="O425" s="5">
        <v>38700000</v>
      </c>
      <c r="P425" s="3">
        <v>0.97916666666666663</v>
      </c>
    </row>
    <row r="426" spans="1:16" x14ac:dyDescent="0.25">
      <c r="A426" s="2">
        <v>43078</v>
      </c>
      <c r="B426" s="2">
        <v>42990</v>
      </c>
      <c r="C426" t="str">
        <f>TEXT(B426,"mm")</f>
        <v>09</v>
      </c>
      <c r="D426" t="s">
        <v>18</v>
      </c>
      <c r="E426" t="s">
        <v>1636</v>
      </c>
      <c r="F426" s="5">
        <v>35200000</v>
      </c>
      <c r="G426" s="5">
        <v>38200000</v>
      </c>
      <c r="H426" s="5">
        <f>M426*26000*1.20565</f>
        <v>41628683.200000003</v>
      </c>
      <c r="I426" s="5">
        <f>G426-H426</f>
        <v>-3428683.200000003</v>
      </c>
      <c r="J426" s="5">
        <v>3000000</v>
      </c>
      <c r="K426" s="5">
        <v>3520000</v>
      </c>
      <c r="L426" s="5">
        <v>3820000</v>
      </c>
      <c r="M426" s="7">
        <v>1328</v>
      </c>
      <c r="N426" s="5">
        <v>35700000</v>
      </c>
      <c r="O426" s="5">
        <v>38700000</v>
      </c>
      <c r="P426" s="3">
        <v>0.97916666666666663</v>
      </c>
    </row>
    <row r="427" spans="1:16" x14ac:dyDescent="0.25">
      <c r="A427" t="s">
        <v>276</v>
      </c>
      <c r="B427" s="2">
        <v>42991</v>
      </c>
      <c r="C427" t="str">
        <f>TEXT(B427,"mm")</f>
        <v>09</v>
      </c>
      <c r="D427" t="s">
        <v>19</v>
      </c>
      <c r="E427" t="s">
        <v>1636</v>
      </c>
      <c r="F427" s="5">
        <v>35000000</v>
      </c>
      <c r="G427" s="5">
        <v>38000000</v>
      </c>
      <c r="H427" s="5">
        <f>M427*26000*1.20565</f>
        <v>41484487.460000001</v>
      </c>
      <c r="I427" s="5">
        <f>G427-H427</f>
        <v>-3484487.4600000009</v>
      </c>
      <c r="J427" s="5">
        <v>3000000</v>
      </c>
      <c r="K427" s="5">
        <v>3500000</v>
      </c>
      <c r="L427" s="5">
        <v>3800000</v>
      </c>
      <c r="M427" s="7">
        <v>1323.4</v>
      </c>
      <c r="N427" s="5">
        <v>35500000</v>
      </c>
      <c r="O427" s="5">
        <v>38500000</v>
      </c>
      <c r="P427" s="3">
        <v>0.97916666666666663</v>
      </c>
    </row>
    <row r="428" spans="1:16" x14ac:dyDescent="0.25">
      <c r="A428" t="s">
        <v>277</v>
      </c>
      <c r="B428" s="2">
        <v>42992</v>
      </c>
      <c r="C428" t="str">
        <f>TEXT(B428,"mm")</f>
        <v>09</v>
      </c>
      <c r="D428" t="s">
        <v>20</v>
      </c>
      <c r="E428" t="s">
        <v>1636</v>
      </c>
      <c r="F428" s="5">
        <v>35100000</v>
      </c>
      <c r="G428" s="5">
        <v>38100000</v>
      </c>
      <c r="H428" s="5">
        <f>M428*26000*1.20565</f>
        <v>41525238.430000007</v>
      </c>
      <c r="I428" s="5">
        <f>G428-H428</f>
        <v>-3425238.4300000072</v>
      </c>
      <c r="J428" s="5">
        <v>3000000</v>
      </c>
      <c r="K428" s="5">
        <v>3510000</v>
      </c>
      <c r="L428" s="5">
        <v>3810000</v>
      </c>
      <c r="M428" s="7">
        <v>1324.7</v>
      </c>
      <c r="N428" s="5">
        <v>35600000</v>
      </c>
      <c r="O428" s="5">
        <v>38600000</v>
      </c>
      <c r="P428" s="3">
        <v>0.97916666666666663</v>
      </c>
    </row>
    <row r="429" spans="1:16" x14ac:dyDescent="0.25">
      <c r="A429" t="s">
        <v>278</v>
      </c>
      <c r="B429" s="2">
        <v>42993</v>
      </c>
      <c r="C429" t="str">
        <f>TEXT(B429,"mm")</f>
        <v>09</v>
      </c>
      <c r="D429" t="s">
        <v>21</v>
      </c>
      <c r="E429" t="s">
        <v>1636</v>
      </c>
      <c r="F429" s="5">
        <v>34900000</v>
      </c>
      <c r="G429" s="5">
        <v>37900000</v>
      </c>
      <c r="H429" s="5">
        <f>M429*26000*1.20565</f>
        <v>41390446.760000005</v>
      </c>
      <c r="I429" s="5">
        <f>G429-H429</f>
        <v>-3490446.7600000054</v>
      </c>
      <c r="J429" s="5">
        <v>3000000</v>
      </c>
      <c r="K429" s="5">
        <v>3490000</v>
      </c>
      <c r="L429" s="5">
        <v>3790000</v>
      </c>
      <c r="M429" s="7">
        <v>1320.4</v>
      </c>
      <c r="N429" s="5">
        <v>35400000</v>
      </c>
      <c r="O429" s="5">
        <v>38400000</v>
      </c>
      <c r="P429" s="3">
        <v>0.97916666666666663</v>
      </c>
    </row>
    <row r="430" spans="1:16" x14ac:dyDescent="0.25">
      <c r="A430" t="s">
        <v>279</v>
      </c>
      <c r="B430" s="2">
        <v>42996</v>
      </c>
      <c r="C430" t="str">
        <f>TEXT(B430,"mm")</f>
        <v>09</v>
      </c>
      <c r="D430" t="s">
        <v>16</v>
      </c>
      <c r="E430" t="s">
        <v>1636</v>
      </c>
      <c r="F430" s="5">
        <v>34500000</v>
      </c>
      <c r="G430" s="5">
        <v>37500000</v>
      </c>
      <c r="H430" s="5">
        <f>M430*26000*1.20565</f>
        <v>40948455.470000006</v>
      </c>
      <c r="I430" s="5">
        <f>G430-H430</f>
        <v>-3448455.4700000063</v>
      </c>
      <c r="J430" s="5">
        <v>3000000</v>
      </c>
      <c r="K430" s="5">
        <v>3450000</v>
      </c>
      <c r="L430" s="5">
        <v>3750000</v>
      </c>
      <c r="M430" s="7">
        <v>1306.3</v>
      </c>
      <c r="N430" s="5">
        <v>35000000</v>
      </c>
      <c r="O430" s="5">
        <v>38000000</v>
      </c>
      <c r="P430" s="3">
        <v>0.97916666666666663</v>
      </c>
    </row>
    <row r="431" spans="1:16" x14ac:dyDescent="0.25">
      <c r="A431" t="s">
        <v>280</v>
      </c>
      <c r="B431" s="2">
        <v>42997</v>
      </c>
      <c r="C431" t="str">
        <f>TEXT(B431,"mm")</f>
        <v>09</v>
      </c>
      <c r="D431" t="s">
        <v>18</v>
      </c>
      <c r="E431" t="s">
        <v>1636</v>
      </c>
      <c r="F431" s="5">
        <v>34500000</v>
      </c>
      <c r="G431" s="5">
        <v>37500000</v>
      </c>
      <c r="H431" s="5">
        <f>M431*26000*1.20565</f>
        <v>40945320.780000001</v>
      </c>
      <c r="I431" s="5">
        <f>G431-H431</f>
        <v>-3445320.7800000012</v>
      </c>
      <c r="J431" s="5">
        <v>3000000</v>
      </c>
      <c r="K431" s="5">
        <v>3450000</v>
      </c>
      <c r="L431" s="5">
        <v>3750000</v>
      </c>
      <c r="M431" s="7">
        <v>1306.2</v>
      </c>
      <c r="N431" s="5">
        <v>35000000</v>
      </c>
      <c r="O431" s="5">
        <v>38000000</v>
      </c>
      <c r="P431" s="3">
        <v>0.97916666666666663</v>
      </c>
    </row>
    <row r="432" spans="1:16" x14ac:dyDescent="0.25">
      <c r="A432" t="s">
        <v>281</v>
      </c>
      <c r="B432" s="2">
        <v>42998</v>
      </c>
      <c r="C432" t="str">
        <f>TEXT(B432,"mm")</f>
        <v>09</v>
      </c>
      <c r="D432" t="s">
        <v>19</v>
      </c>
      <c r="E432" t="s">
        <v>1636</v>
      </c>
      <c r="F432" s="5">
        <v>34700000</v>
      </c>
      <c r="G432" s="5">
        <v>37700000</v>
      </c>
      <c r="H432" s="5">
        <f>M432*26000*1.20565</f>
        <v>41127132.800000004</v>
      </c>
      <c r="I432" s="5">
        <f>G432-H432</f>
        <v>-3427132.8000000045</v>
      </c>
      <c r="J432" s="5">
        <v>3000000</v>
      </c>
      <c r="K432" s="5">
        <v>3470000</v>
      </c>
      <c r="L432" s="5">
        <v>3770000</v>
      </c>
      <c r="M432" s="7">
        <v>1312</v>
      </c>
      <c r="N432" s="5">
        <v>35200000</v>
      </c>
      <c r="O432" s="5">
        <v>38200000</v>
      </c>
      <c r="P432" s="3">
        <v>0.97916666666666663</v>
      </c>
    </row>
    <row r="433" spans="1:16" x14ac:dyDescent="0.25">
      <c r="A433" t="s">
        <v>282</v>
      </c>
      <c r="B433" s="2">
        <v>42999</v>
      </c>
      <c r="C433" t="str">
        <f>TEXT(B433,"mm")</f>
        <v>09</v>
      </c>
      <c r="D433" t="s">
        <v>20</v>
      </c>
      <c r="E433" t="s">
        <v>1636</v>
      </c>
      <c r="F433" s="5">
        <v>34100000</v>
      </c>
      <c r="G433" s="5">
        <v>37100000</v>
      </c>
      <c r="H433" s="5">
        <f>M433*26000*1.20565</f>
        <v>40456309.140000001</v>
      </c>
      <c r="I433" s="5">
        <f>G433-H433</f>
        <v>-3356309.1400000006</v>
      </c>
      <c r="J433" s="5">
        <v>3000000</v>
      </c>
      <c r="K433" s="5">
        <v>3410000</v>
      </c>
      <c r="L433" s="5">
        <v>3710000</v>
      </c>
      <c r="M433" s="7">
        <v>1290.5999999999999</v>
      </c>
      <c r="N433" s="5">
        <v>34600000</v>
      </c>
      <c r="O433" s="5">
        <v>37600000</v>
      </c>
      <c r="P433" s="3">
        <v>0.97916666666666663</v>
      </c>
    </row>
    <row r="434" spans="1:16" x14ac:dyDescent="0.25">
      <c r="A434" t="s">
        <v>283</v>
      </c>
      <c r="B434" s="2">
        <v>43000</v>
      </c>
      <c r="C434" t="str">
        <f>TEXT(B434,"mm")</f>
        <v>09</v>
      </c>
      <c r="D434" t="s">
        <v>21</v>
      </c>
      <c r="E434" t="s">
        <v>1636</v>
      </c>
      <c r="F434" s="5">
        <v>34200000</v>
      </c>
      <c r="G434" s="5">
        <v>37200000</v>
      </c>
      <c r="H434" s="5">
        <f>M434*26000*1.20565</f>
        <v>40540945.770000003</v>
      </c>
      <c r="I434" s="5">
        <f>G434-H434</f>
        <v>-3340945.7700000033</v>
      </c>
      <c r="J434" s="5">
        <v>3000000</v>
      </c>
      <c r="K434" s="5">
        <v>3420000</v>
      </c>
      <c r="L434" s="5">
        <v>3720000</v>
      </c>
      <c r="M434" s="7">
        <v>1293.3</v>
      </c>
      <c r="N434" s="5">
        <v>34700000</v>
      </c>
      <c r="O434" s="5">
        <v>37700000</v>
      </c>
      <c r="P434" s="3">
        <v>0.97916666666666663</v>
      </c>
    </row>
    <row r="435" spans="1:16" x14ac:dyDescent="0.25">
      <c r="A435" t="s">
        <v>284</v>
      </c>
      <c r="B435" s="2">
        <v>43003</v>
      </c>
      <c r="C435" t="str">
        <f>TEXT(B435,"mm")</f>
        <v>09</v>
      </c>
      <c r="D435" t="s">
        <v>16</v>
      </c>
      <c r="E435" t="s">
        <v>1636</v>
      </c>
      <c r="F435" s="5">
        <v>34600000</v>
      </c>
      <c r="G435" s="5">
        <v>37600000</v>
      </c>
      <c r="H435" s="5">
        <f>M435*26000*1.20565</f>
        <v>40964128.920000002</v>
      </c>
      <c r="I435" s="5">
        <f>G435-H435</f>
        <v>-3364128.9200000018</v>
      </c>
      <c r="J435" s="5">
        <v>3000000</v>
      </c>
      <c r="K435" s="5">
        <v>3460000</v>
      </c>
      <c r="L435" s="5">
        <v>3760000</v>
      </c>
      <c r="M435" s="7">
        <v>1306.8</v>
      </c>
      <c r="N435" s="5">
        <v>35100000</v>
      </c>
      <c r="O435" s="5">
        <v>38100000</v>
      </c>
      <c r="P435" s="3">
        <v>0.97916666666666663</v>
      </c>
    </row>
    <row r="436" spans="1:16" x14ac:dyDescent="0.25">
      <c r="A436" t="s">
        <v>285</v>
      </c>
      <c r="B436" s="2">
        <v>43004</v>
      </c>
      <c r="C436" t="str">
        <f>TEXT(B436,"mm")</f>
        <v>09</v>
      </c>
      <c r="D436" t="s">
        <v>18</v>
      </c>
      <c r="E436" t="s">
        <v>1636</v>
      </c>
      <c r="F436" s="5">
        <v>34300000</v>
      </c>
      <c r="G436" s="5">
        <v>37300000</v>
      </c>
      <c r="H436" s="5">
        <f>M436*26000*1.20565</f>
        <v>40656929.300000004</v>
      </c>
      <c r="I436" s="5">
        <f>G436-H436</f>
        <v>-3356929.3000000045</v>
      </c>
      <c r="J436" s="5">
        <v>3000000</v>
      </c>
      <c r="K436" s="5">
        <v>3430000</v>
      </c>
      <c r="L436" s="5">
        <v>3730000</v>
      </c>
      <c r="M436" s="7">
        <v>1297</v>
      </c>
      <c r="N436" s="5">
        <v>34800000</v>
      </c>
      <c r="O436" s="5">
        <v>37800000</v>
      </c>
      <c r="P436" s="3">
        <v>0.97916666666666663</v>
      </c>
    </row>
    <row r="437" spans="1:16" x14ac:dyDescent="0.25">
      <c r="A437" t="s">
        <v>286</v>
      </c>
      <c r="B437" s="2">
        <v>43005</v>
      </c>
      <c r="C437" t="str">
        <f>TEXT(B437,"mm")</f>
        <v>09</v>
      </c>
      <c r="D437" t="s">
        <v>19</v>
      </c>
      <c r="E437" t="s">
        <v>1636</v>
      </c>
      <c r="F437" s="5">
        <v>33900000</v>
      </c>
      <c r="G437" s="5">
        <v>36900000</v>
      </c>
      <c r="H437" s="5">
        <f>M437*26000*1.20565</f>
        <v>40230611.460000008</v>
      </c>
      <c r="I437" s="5">
        <f>G437-H437</f>
        <v>-3330611.4600000083</v>
      </c>
      <c r="J437" s="5">
        <v>3000000</v>
      </c>
      <c r="K437" s="5">
        <v>3390000</v>
      </c>
      <c r="L437" s="5">
        <v>3690000</v>
      </c>
      <c r="M437" s="7">
        <v>1283.4000000000001</v>
      </c>
      <c r="N437" s="5">
        <v>34400000</v>
      </c>
      <c r="O437" s="5">
        <v>37400000</v>
      </c>
      <c r="P437" s="3">
        <v>0.97916666666666663</v>
      </c>
    </row>
    <row r="438" spans="1:16" x14ac:dyDescent="0.25">
      <c r="A438" t="s">
        <v>287</v>
      </c>
      <c r="B438" s="2">
        <v>43006</v>
      </c>
      <c r="C438" t="str">
        <f>TEXT(B438,"mm")</f>
        <v>09</v>
      </c>
      <c r="D438" t="s">
        <v>20</v>
      </c>
      <c r="E438" t="s">
        <v>1636</v>
      </c>
      <c r="F438" s="5">
        <v>33900000</v>
      </c>
      <c r="G438" s="5">
        <v>36900000</v>
      </c>
      <c r="H438" s="5">
        <f>M438*26000*1.20565</f>
        <v>40296439.950000003</v>
      </c>
      <c r="I438" s="5">
        <f>G438-H438</f>
        <v>-3396439.950000003</v>
      </c>
      <c r="J438" s="5">
        <v>3000000</v>
      </c>
      <c r="K438" s="5">
        <v>3390000</v>
      </c>
      <c r="L438" s="5">
        <v>3690000</v>
      </c>
      <c r="M438" s="7">
        <v>1285.5</v>
      </c>
      <c r="N438" s="5">
        <v>34400000</v>
      </c>
      <c r="O438" s="5">
        <v>37400000</v>
      </c>
      <c r="P438" s="3">
        <v>0.97916666666666663</v>
      </c>
    </row>
    <row r="439" spans="1:16" x14ac:dyDescent="0.25">
      <c r="A439" t="s">
        <v>288</v>
      </c>
      <c r="B439" s="2">
        <v>43007</v>
      </c>
      <c r="C439" t="str">
        <f>TEXT(B439,"mm")</f>
        <v>09</v>
      </c>
      <c r="D439" t="s">
        <v>21</v>
      </c>
      <c r="E439" t="s">
        <v>1636</v>
      </c>
      <c r="F439" s="5">
        <v>33800000</v>
      </c>
      <c r="G439" s="5">
        <v>36800000</v>
      </c>
      <c r="H439" s="5">
        <f>M439*26000*1.20565</f>
        <v>40171052.350000001</v>
      </c>
      <c r="I439" s="5">
        <f>G439-H439</f>
        <v>-3371052.3500000015</v>
      </c>
      <c r="J439" s="5">
        <v>3000000</v>
      </c>
      <c r="K439" s="5">
        <v>3380000</v>
      </c>
      <c r="L439" s="5">
        <v>3680000</v>
      </c>
      <c r="M439" s="7">
        <v>1281.5</v>
      </c>
      <c r="N439" s="5">
        <v>34300000</v>
      </c>
      <c r="O439" s="5">
        <v>37300000</v>
      </c>
      <c r="P439" s="3">
        <v>0.97916666666666663</v>
      </c>
    </row>
    <row r="440" spans="1:16" x14ac:dyDescent="0.25">
      <c r="A440" s="2">
        <v>42776</v>
      </c>
      <c r="B440" s="2">
        <v>43010</v>
      </c>
      <c r="C440" t="str">
        <f>TEXT(B440,"mm")</f>
        <v>10</v>
      </c>
      <c r="D440" t="s">
        <v>16</v>
      </c>
      <c r="E440" t="s">
        <v>1636</v>
      </c>
      <c r="F440" s="5">
        <v>33600000</v>
      </c>
      <c r="G440" s="5">
        <v>36600000</v>
      </c>
      <c r="H440" s="5">
        <f>M440*26000*1.20565</f>
        <v>39895199.630000003</v>
      </c>
      <c r="I440" s="5">
        <f>G440-H440</f>
        <v>-3295199.6300000027</v>
      </c>
      <c r="J440" s="5">
        <v>3000000</v>
      </c>
      <c r="K440" s="5">
        <v>3360000</v>
      </c>
      <c r="L440" s="5">
        <v>3660000</v>
      </c>
      <c r="M440" s="7">
        <v>1272.7</v>
      </c>
      <c r="N440" s="5">
        <v>34100000</v>
      </c>
      <c r="O440" s="5">
        <v>37100000</v>
      </c>
      <c r="P440" s="3">
        <v>0.97916666666666663</v>
      </c>
    </row>
    <row r="441" spans="1:16" x14ac:dyDescent="0.25">
      <c r="A441" s="2">
        <v>42804</v>
      </c>
      <c r="B441" s="2">
        <v>43011</v>
      </c>
      <c r="C441" t="str">
        <f>TEXT(B441,"mm")</f>
        <v>10</v>
      </c>
      <c r="D441" t="s">
        <v>18</v>
      </c>
      <c r="E441" t="s">
        <v>1636</v>
      </c>
      <c r="F441" s="5">
        <v>33500000</v>
      </c>
      <c r="G441" s="5">
        <v>36500000</v>
      </c>
      <c r="H441" s="5">
        <f>M441*26000*1.20565</f>
        <v>39857583.350000001</v>
      </c>
      <c r="I441" s="5">
        <f>G441-H441</f>
        <v>-3357583.3500000015</v>
      </c>
      <c r="J441" s="5">
        <v>3000000</v>
      </c>
      <c r="K441" s="5">
        <v>3350000</v>
      </c>
      <c r="L441" s="5">
        <v>3650000</v>
      </c>
      <c r="M441" s="7">
        <v>1271.5</v>
      </c>
      <c r="N441" s="5">
        <v>34000000</v>
      </c>
      <c r="O441" s="5">
        <v>37000000</v>
      </c>
      <c r="P441" s="3">
        <v>0.97916666666666663</v>
      </c>
    </row>
    <row r="442" spans="1:16" x14ac:dyDescent="0.25">
      <c r="A442" s="2">
        <v>42835</v>
      </c>
      <c r="B442" s="2">
        <v>43012</v>
      </c>
      <c r="C442" t="str">
        <f>TEXT(B442,"mm")</f>
        <v>10</v>
      </c>
      <c r="D442" t="s">
        <v>19</v>
      </c>
      <c r="E442" t="s">
        <v>1636</v>
      </c>
      <c r="F442" s="5">
        <v>33600000</v>
      </c>
      <c r="G442" s="5">
        <v>36600000</v>
      </c>
      <c r="H442" s="5">
        <f>M442*26000*1.20565</f>
        <v>39926546.530000001</v>
      </c>
      <c r="I442" s="5">
        <f>G442-H442</f>
        <v>-3326546.5300000012</v>
      </c>
      <c r="J442" s="5">
        <v>3000000</v>
      </c>
      <c r="K442" s="5">
        <v>3360000</v>
      </c>
      <c r="L442" s="5">
        <v>3660000</v>
      </c>
      <c r="M442" s="7">
        <v>1273.7</v>
      </c>
      <c r="N442" s="5">
        <v>34100000</v>
      </c>
      <c r="O442" s="5">
        <v>37100000</v>
      </c>
      <c r="P442" s="3">
        <v>0.97916666666666663</v>
      </c>
    </row>
    <row r="443" spans="1:16" x14ac:dyDescent="0.25">
      <c r="A443" s="2">
        <v>42865</v>
      </c>
      <c r="B443" s="2">
        <v>43013</v>
      </c>
      <c r="C443" t="str">
        <f>TEXT(B443,"mm")</f>
        <v>10</v>
      </c>
      <c r="D443" t="s">
        <v>20</v>
      </c>
      <c r="E443" t="s">
        <v>1636</v>
      </c>
      <c r="F443" s="5">
        <v>33500000</v>
      </c>
      <c r="G443" s="5">
        <v>36500000</v>
      </c>
      <c r="H443" s="5">
        <f>M443*26000*1.20565</f>
        <v>39807428.31000001</v>
      </c>
      <c r="I443" s="5">
        <f>G443-H443</f>
        <v>-3307428.3100000098</v>
      </c>
      <c r="J443" s="5">
        <v>3000000</v>
      </c>
      <c r="K443" s="5">
        <v>3350000</v>
      </c>
      <c r="L443" s="5">
        <v>3650000</v>
      </c>
      <c r="M443" s="7">
        <v>1269.9000000000001</v>
      </c>
      <c r="N443" s="5">
        <v>34000000</v>
      </c>
      <c r="O443" s="5">
        <v>37000000</v>
      </c>
      <c r="P443" s="3">
        <v>0.97916666666666663</v>
      </c>
    </row>
    <row r="444" spans="1:16" x14ac:dyDescent="0.25">
      <c r="A444" s="2">
        <v>42896</v>
      </c>
      <c r="B444" s="2">
        <v>43014</v>
      </c>
      <c r="C444" t="str">
        <f>TEXT(B444,"mm")</f>
        <v>10</v>
      </c>
      <c r="D444" t="s">
        <v>21</v>
      </c>
      <c r="E444" t="s">
        <v>1636</v>
      </c>
      <c r="F444" s="5">
        <v>33500000</v>
      </c>
      <c r="G444" s="5">
        <v>36500000</v>
      </c>
      <c r="H444" s="5">
        <f>M444*26000*1.20565</f>
        <v>39860718.039999999</v>
      </c>
      <c r="I444" s="5">
        <f>G444-H444</f>
        <v>-3360718.0399999991</v>
      </c>
      <c r="J444" s="5">
        <v>3000000</v>
      </c>
      <c r="K444" s="5">
        <v>3350000</v>
      </c>
      <c r="L444" s="5">
        <v>3650000</v>
      </c>
      <c r="M444" s="7">
        <v>1271.5999999999999</v>
      </c>
      <c r="N444" s="5">
        <v>34000000</v>
      </c>
      <c r="O444" s="5">
        <v>37000000</v>
      </c>
      <c r="P444" s="3">
        <v>0.97916666666666663</v>
      </c>
    </row>
    <row r="445" spans="1:16" x14ac:dyDescent="0.25">
      <c r="A445" s="2">
        <v>42988</v>
      </c>
      <c r="B445" s="2">
        <v>43017</v>
      </c>
      <c r="C445" t="str">
        <f>TEXT(B445,"mm")</f>
        <v>10</v>
      </c>
      <c r="D445" t="s">
        <v>16</v>
      </c>
      <c r="E445" t="s">
        <v>1636</v>
      </c>
      <c r="F445" s="5">
        <v>33800000</v>
      </c>
      <c r="G445" s="5">
        <v>36800000</v>
      </c>
      <c r="H445" s="5">
        <f>M445*26000*1.20565</f>
        <v>40180456.420000002</v>
      </c>
      <c r="I445" s="5">
        <f>G445-H445</f>
        <v>-3380456.4200000018</v>
      </c>
      <c r="J445" s="5">
        <v>3000000</v>
      </c>
      <c r="K445" s="5">
        <v>3380000</v>
      </c>
      <c r="L445" s="5">
        <v>3680000</v>
      </c>
      <c r="M445" s="7">
        <v>1281.8</v>
      </c>
      <c r="N445" s="5">
        <v>34300000</v>
      </c>
      <c r="O445" s="5">
        <v>37300000</v>
      </c>
      <c r="P445" s="3">
        <v>0.97916666666666663</v>
      </c>
    </row>
    <row r="446" spans="1:16" x14ac:dyDescent="0.25">
      <c r="A446" s="2">
        <v>43018</v>
      </c>
      <c r="B446" s="2">
        <v>43018</v>
      </c>
      <c r="C446" t="str">
        <f>TEXT(B446,"mm")</f>
        <v>10</v>
      </c>
      <c r="D446" t="s">
        <v>18</v>
      </c>
      <c r="E446" t="s">
        <v>1636</v>
      </c>
      <c r="F446" s="5">
        <v>34100000</v>
      </c>
      <c r="G446" s="5">
        <v>37100000</v>
      </c>
      <c r="H446" s="5">
        <f>M446*26000*1.20565</f>
        <v>40456309.140000001</v>
      </c>
      <c r="I446" s="5">
        <f>G446-H446</f>
        <v>-3356309.1400000006</v>
      </c>
      <c r="J446" s="5">
        <v>3000000</v>
      </c>
      <c r="K446" s="5">
        <v>3410000</v>
      </c>
      <c r="L446" s="5">
        <v>3710000</v>
      </c>
      <c r="M446" s="7">
        <v>1290.5999999999999</v>
      </c>
      <c r="N446" s="5">
        <v>34600000</v>
      </c>
      <c r="O446" s="5">
        <v>37600000</v>
      </c>
      <c r="P446" s="3">
        <v>0.97916666666666663</v>
      </c>
    </row>
    <row r="447" spans="1:16" x14ac:dyDescent="0.25">
      <c r="A447" s="2">
        <v>43049</v>
      </c>
      <c r="B447" s="2">
        <v>43019</v>
      </c>
      <c r="C447" t="str">
        <f>TEXT(B447,"mm")</f>
        <v>10</v>
      </c>
      <c r="D447" t="s">
        <v>19</v>
      </c>
      <c r="E447" t="s">
        <v>1636</v>
      </c>
      <c r="F447" s="5">
        <v>33900000</v>
      </c>
      <c r="G447" s="5">
        <v>36900000</v>
      </c>
      <c r="H447" s="5">
        <f>M447*26000*1.20565</f>
        <v>40305844.020000003</v>
      </c>
      <c r="I447" s="5">
        <f>G447-H447</f>
        <v>-3405844.0200000033</v>
      </c>
      <c r="J447" s="5">
        <v>3000000</v>
      </c>
      <c r="K447" s="5">
        <v>3390000</v>
      </c>
      <c r="L447" s="5">
        <v>3690000</v>
      </c>
      <c r="M447" s="7">
        <v>1285.8</v>
      </c>
      <c r="N447" s="5">
        <v>34400000</v>
      </c>
      <c r="O447" s="5">
        <v>37400000</v>
      </c>
      <c r="P447" s="3">
        <v>0.97916666666666663</v>
      </c>
    </row>
    <row r="448" spans="1:16" x14ac:dyDescent="0.25">
      <c r="A448" s="2">
        <v>43079</v>
      </c>
      <c r="B448" s="2">
        <v>43020</v>
      </c>
      <c r="C448" t="str">
        <f>TEXT(B448,"mm")</f>
        <v>10</v>
      </c>
      <c r="D448" t="s">
        <v>20</v>
      </c>
      <c r="E448" t="s">
        <v>1636</v>
      </c>
      <c r="F448" s="5">
        <v>34200000</v>
      </c>
      <c r="G448" s="5">
        <v>37200000</v>
      </c>
      <c r="H448" s="5">
        <f>M448*26000*1.20565</f>
        <v>40540945.770000003</v>
      </c>
      <c r="I448" s="5">
        <f>G448-H448</f>
        <v>-3340945.7700000033</v>
      </c>
      <c r="J448" s="5">
        <v>3000000</v>
      </c>
      <c r="K448" s="5">
        <v>3420000</v>
      </c>
      <c r="L448" s="5">
        <v>3720000</v>
      </c>
      <c r="M448" s="7">
        <v>1293.3</v>
      </c>
      <c r="N448" s="5">
        <v>34700000</v>
      </c>
      <c r="O448" s="5">
        <v>37700000</v>
      </c>
      <c r="P448" s="3">
        <v>0.97916666666666663</v>
      </c>
    </row>
    <row r="449" spans="1:16" x14ac:dyDescent="0.25">
      <c r="A449" t="s">
        <v>289</v>
      </c>
      <c r="B449" s="2">
        <v>43021</v>
      </c>
      <c r="C449" t="str">
        <f>TEXT(B449,"mm")</f>
        <v>10</v>
      </c>
      <c r="D449" t="s">
        <v>21</v>
      </c>
      <c r="E449" t="s">
        <v>1636</v>
      </c>
      <c r="F449" s="5">
        <v>34400000</v>
      </c>
      <c r="G449" s="5">
        <v>37400000</v>
      </c>
      <c r="H449" s="5">
        <f>M449*26000*1.20565</f>
        <v>40797990.350000001</v>
      </c>
      <c r="I449" s="5">
        <f>G449-H449</f>
        <v>-3397990.3500000015</v>
      </c>
      <c r="J449" s="5">
        <v>3000000</v>
      </c>
      <c r="K449" s="5">
        <v>3440000</v>
      </c>
      <c r="L449" s="5">
        <v>3740000</v>
      </c>
      <c r="M449" s="7">
        <v>1301.5</v>
      </c>
      <c r="N449" s="5">
        <v>34900000</v>
      </c>
      <c r="O449" s="5">
        <v>37900000</v>
      </c>
      <c r="P449" s="3">
        <v>0.97916666666666663</v>
      </c>
    </row>
    <row r="450" spans="1:16" x14ac:dyDescent="0.25">
      <c r="A450" t="s">
        <v>290</v>
      </c>
      <c r="B450" s="2">
        <v>43024</v>
      </c>
      <c r="C450" t="str">
        <f>TEXT(B450,"mm")</f>
        <v>10</v>
      </c>
      <c r="D450" t="s">
        <v>16</v>
      </c>
      <c r="E450" t="s">
        <v>1636</v>
      </c>
      <c r="F450" s="5">
        <v>34400000</v>
      </c>
      <c r="G450" s="5">
        <v>37400000</v>
      </c>
      <c r="H450" s="5">
        <f>M450*26000*1.20565</f>
        <v>40747835.310000002</v>
      </c>
      <c r="I450" s="5">
        <f>G450-H450</f>
        <v>-3347835.3100000024</v>
      </c>
      <c r="J450" s="5">
        <v>3000000</v>
      </c>
      <c r="K450" s="5">
        <v>3440000</v>
      </c>
      <c r="L450" s="5">
        <v>3740000</v>
      </c>
      <c r="M450" s="7">
        <v>1299.9000000000001</v>
      </c>
      <c r="N450" s="5">
        <v>34900000</v>
      </c>
      <c r="O450" s="5">
        <v>37900000</v>
      </c>
      <c r="P450" s="3">
        <v>0.97916666666666663</v>
      </c>
    </row>
    <row r="451" spans="1:16" x14ac:dyDescent="0.25">
      <c r="A451" t="s">
        <v>291</v>
      </c>
      <c r="B451" s="2">
        <v>43025</v>
      </c>
      <c r="C451" t="str">
        <f>TEXT(B451,"mm")</f>
        <v>10</v>
      </c>
      <c r="D451" t="s">
        <v>18</v>
      </c>
      <c r="E451" t="s">
        <v>1636</v>
      </c>
      <c r="F451" s="5">
        <v>33900000</v>
      </c>
      <c r="G451" s="5">
        <v>36900000</v>
      </c>
      <c r="H451" s="5">
        <f>M451*26000*1.20565</f>
        <v>40218072.700000003</v>
      </c>
      <c r="I451" s="5">
        <f>G451-H451</f>
        <v>-3318072.700000003</v>
      </c>
      <c r="J451" s="5">
        <v>3000000</v>
      </c>
      <c r="K451" s="5">
        <v>3390000</v>
      </c>
      <c r="L451" s="5">
        <v>3690000</v>
      </c>
      <c r="M451" s="7">
        <v>1283</v>
      </c>
      <c r="N451" s="5">
        <v>34400000</v>
      </c>
      <c r="O451" s="5">
        <v>37400000</v>
      </c>
      <c r="P451" s="3">
        <v>0.97916666666666663</v>
      </c>
    </row>
    <row r="452" spans="1:16" x14ac:dyDescent="0.25">
      <c r="A452" t="s">
        <v>292</v>
      </c>
      <c r="B452" s="2">
        <v>43026</v>
      </c>
      <c r="C452" t="str">
        <f>TEXT(B452,"mm")</f>
        <v>10</v>
      </c>
      <c r="D452" t="s">
        <v>19</v>
      </c>
      <c r="E452" t="s">
        <v>1636</v>
      </c>
      <c r="F452" s="5">
        <v>33800000</v>
      </c>
      <c r="G452" s="5">
        <v>36800000</v>
      </c>
      <c r="H452" s="5">
        <f>M452*26000*1.20565</f>
        <v>40120897.31000001</v>
      </c>
      <c r="I452" s="5">
        <f>G452-H452</f>
        <v>-3320897.3100000098</v>
      </c>
      <c r="J452" s="5">
        <v>3000000</v>
      </c>
      <c r="K452" s="5">
        <v>3380000</v>
      </c>
      <c r="L452" s="5">
        <v>3680000</v>
      </c>
      <c r="M452" s="7">
        <v>1279.9000000000001</v>
      </c>
      <c r="N452" s="5">
        <v>34300000</v>
      </c>
      <c r="O452" s="5">
        <v>37300000</v>
      </c>
      <c r="P452" s="3">
        <v>0.97916666666666663</v>
      </c>
    </row>
    <row r="453" spans="1:16" x14ac:dyDescent="0.25">
      <c r="A453" t="s">
        <v>293</v>
      </c>
      <c r="B453" s="2">
        <v>43027</v>
      </c>
      <c r="C453" t="str">
        <f>TEXT(B453,"mm")</f>
        <v>10</v>
      </c>
      <c r="D453" t="s">
        <v>20</v>
      </c>
      <c r="E453" t="s">
        <v>1636</v>
      </c>
      <c r="F453" s="5">
        <v>34000000</v>
      </c>
      <c r="G453" s="5">
        <v>37000000</v>
      </c>
      <c r="H453" s="5">
        <f>M453*26000*1.20565</f>
        <v>40340325.610000007</v>
      </c>
      <c r="I453" s="5">
        <f>G453-H453</f>
        <v>-3340325.6100000069</v>
      </c>
      <c r="J453" s="5">
        <v>3000000</v>
      </c>
      <c r="K453" s="5">
        <v>3400000</v>
      </c>
      <c r="L453" s="5">
        <v>3700000</v>
      </c>
      <c r="M453" s="7">
        <v>1286.9000000000001</v>
      </c>
      <c r="N453" s="5">
        <v>34500000</v>
      </c>
      <c r="O453" s="5">
        <v>37500000</v>
      </c>
      <c r="P453" s="3">
        <v>0.97916666666666663</v>
      </c>
    </row>
    <row r="454" spans="1:16" x14ac:dyDescent="0.25">
      <c r="A454" t="s">
        <v>294</v>
      </c>
      <c r="B454" s="2">
        <v>43028</v>
      </c>
      <c r="C454" t="str">
        <f>TEXT(B454,"mm")</f>
        <v>10</v>
      </c>
      <c r="D454" t="s">
        <v>21</v>
      </c>
      <c r="E454" t="s">
        <v>1636</v>
      </c>
      <c r="F454" s="5">
        <v>33700000</v>
      </c>
      <c r="G454" s="5">
        <v>36700000</v>
      </c>
      <c r="H454" s="5">
        <f>M454*26000*1.20565</f>
        <v>40042530.06000001</v>
      </c>
      <c r="I454" s="5">
        <f>G454-H454</f>
        <v>-3342530.0600000098</v>
      </c>
      <c r="J454" s="5">
        <v>3000000</v>
      </c>
      <c r="K454" s="5">
        <v>3370000</v>
      </c>
      <c r="L454" s="5">
        <v>3670000</v>
      </c>
      <c r="M454" s="7">
        <v>1277.4000000000001</v>
      </c>
      <c r="N454" s="5">
        <v>34200000</v>
      </c>
      <c r="O454" s="5">
        <v>37200000</v>
      </c>
      <c r="P454" s="3">
        <v>0.97916666666666663</v>
      </c>
    </row>
    <row r="455" spans="1:16" x14ac:dyDescent="0.25">
      <c r="A455" t="s">
        <v>295</v>
      </c>
      <c r="B455" s="2">
        <v>43031</v>
      </c>
      <c r="C455" t="str">
        <f>TEXT(B455,"mm")</f>
        <v>10</v>
      </c>
      <c r="D455" t="s">
        <v>16</v>
      </c>
      <c r="E455" t="s">
        <v>1636</v>
      </c>
      <c r="F455" s="5">
        <v>33700000</v>
      </c>
      <c r="G455" s="5">
        <v>36700000</v>
      </c>
      <c r="H455" s="5">
        <f>M455*26000*1.20565</f>
        <v>40051934.130000003</v>
      </c>
      <c r="I455" s="5">
        <f>G455-H455</f>
        <v>-3351934.1300000027</v>
      </c>
      <c r="J455" s="5">
        <v>3000000</v>
      </c>
      <c r="K455" s="5">
        <v>3370000</v>
      </c>
      <c r="L455" s="5">
        <v>3670000</v>
      </c>
      <c r="M455" s="7">
        <v>1277.7</v>
      </c>
      <c r="N455" s="5">
        <v>34200000</v>
      </c>
      <c r="O455" s="5">
        <v>37200000</v>
      </c>
      <c r="P455" s="3">
        <v>0.97916666666666663</v>
      </c>
    </row>
    <row r="456" spans="1:16" x14ac:dyDescent="0.25">
      <c r="A456" t="s">
        <v>296</v>
      </c>
      <c r="B456" s="2">
        <v>43032</v>
      </c>
      <c r="C456" t="str">
        <f>TEXT(B456,"mm")</f>
        <v>10</v>
      </c>
      <c r="D456" t="s">
        <v>18</v>
      </c>
      <c r="E456" t="s">
        <v>1636</v>
      </c>
      <c r="F456" s="5">
        <v>33600000</v>
      </c>
      <c r="G456" s="5">
        <v>36600000</v>
      </c>
      <c r="H456" s="5">
        <f>M456*26000*1.20565</f>
        <v>39967297.5</v>
      </c>
      <c r="I456" s="5">
        <f>G456-H456</f>
        <v>-3367297.5</v>
      </c>
      <c r="J456" s="5">
        <v>3000000</v>
      </c>
      <c r="K456" s="5">
        <v>3360000</v>
      </c>
      <c r="L456" s="5">
        <v>3660000</v>
      </c>
      <c r="M456" s="7">
        <v>1275</v>
      </c>
      <c r="N456" s="5">
        <v>34100000</v>
      </c>
      <c r="O456" s="5">
        <v>37100000</v>
      </c>
      <c r="P456" s="3">
        <v>0.97916666666666663</v>
      </c>
    </row>
    <row r="457" spans="1:16" x14ac:dyDescent="0.25">
      <c r="A457" t="s">
        <v>297</v>
      </c>
      <c r="B457" s="2">
        <v>43033</v>
      </c>
      <c r="C457" t="str">
        <f>TEXT(B457,"mm")</f>
        <v>10</v>
      </c>
      <c r="D457" t="s">
        <v>19</v>
      </c>
      <c r="E457" t="s">
        <v>1636</v>
      </c>
      <c r="F457" s="5">
        <v>33700000</v>
      </c>
      <c r="G457" s="5">
        <v>36700000</v>
      </c>
      <c r="H457" s="5">
        <f>M457*26000*1.20565</f>
        <v>39979836.260000005</v>
      </c>
      <c r="I457" s="5">
        <f>G457-H457</f>
        <v>-3279836.2600000054</v>
      </c>
      <c r="J457" s="5">
        <v>3000000</v>
      </c>
      <c r="K457" s="5">
        <v>3370000</v>
      </c>
      <c r="L457" s="5">
        <v>3670000</v>
      </c>
      <c r="M457" s="7">
        <v>1275.4000000000001</v>
      </c>
      <c r="N457" s="5">
        <v>34200000</v>
      </c>
      <c r="O457" s="5">
        <v>37200000</v>
      </c>
      <c r="P457" s="3">
        <v>0.97916666666666663</v>
      </c>
    </row>
    <row r="458" spans="1:16" x14ac:dyDescent="0.25">
      <c r="A458" t="s">
        <v>298</v>
      </c>
      <c r="B458" s="2">
        <v>43034</v>
      </c>
      <c r="C458" t="str">
        <f>TEXT(B458,"mm")</f>
        <v>10</v>
      </c>
      <c r="D458" t="s">
        <v>20</v>
      </c>
      <c r="E458" t="s">
        <v>1636</v>
      </c>
      <c r="F458" s="5">
        <v>33400000</v>
      </c>
      <c r="G458" s="5">
        <v>36400000</v>
      </c>
      <c r="H458" s="5">
        <f>M458*26000*1.20565</f>
        <v>39694579.470000006</v>
      </c>
      <c r="I458" s="5">
        <f>G458-H458</f>
        <v>-3294579.4700000063</v>
      </c>
      <c r="J458" s="5">
        <v>3000000</v>
      </c>
      <c r="K458" s="5">
        <v>3340000</v>
      </c>
      <c r="L458" s="5">
        <v>3640000</v>
      </c>
      <c r="M458" s="7">
        <v>1266.3</v>
      </c>
      <c r="N458" s="5">
        <v>33900000</v>
      </c>
      <c r="O458" s="5">
        <v>36900000</v>
      </c>
      <c r="P458" s="3">
        <v>0.97916666666666663</v>
      </c>
    </row>
    <row r="459" spans="1:16" x14ac:dyDescent="0.25">
      <c r="A459" t="s">
        <v>299</v>
      </c>
      <c r="B459" s="2">
        <v>43035</v>
      </c>
      <c r="C459" t="str">
        <f>TEXT(B459,"mm")</f>
        <v>10</v>
      </c>
      <c r="D459" t="s">
        <v>21</v>
      </c>
      <c r="E459" t="s">
        <v>1636</v>
      </c>
      <c r="F459" s="5">
        <v>33500000</v>
      </c>
      <c r="G459" s="5">
        <v>36500000</v>
      </c>
      <c r="H459" s="5">
        <f>M459*26000*1.20565</f>
        <v>39763542.650000006</v>
      </c>
      <c r="I459" s="5">
        <f>G459-H459</f>
        <v>-3263542.650000006</v>
      </c>
      <c r="J459" s="5">
        <v>3000000</v>
      </c>
      <c r="K459" s="5">
        <v>3350000</v>
      </c>
      <c r="L459" s="5">
        <v>3650000</v>
      </c>
      <c r="M459" s="7">
        <v>1268.5</v>
      </c>
      <c r="N459" s="5">
        <v>34000000</v>
      </c>
      <c r="O459" s="5">
        <v>37000000</v>
      </c>
      <c r="P459" s="3">
        <v>0.97916666666666663</v>
      </c>
    </row>
    <row r="460" spans="1:16" x14ac:dyDescent="0.25">
      <c r="A460" t="s">
        <v>300</v>
      </c>
      <c r="B460" s="2">
        <v>43038</v>
      </c>
      <c r="C460" t="str">
        <f>TEXT(B460,"mm")</f>
        <v>10</v>
      </c>
      <c r="D460" t="s">
        <v>16</v>
      </c>
      <c r="E460" t="s">
        <v>1636</v>
      </c>
      <c r="F460" s="5">
        <v>33600000</v>
      </c>
      <c r="G460" s="5">
        <v>36600000</v>
      </c>
      <c r="H460" s="5">
        <f>M460*26000*1.20565</f>
        <v>39939085.289999999</v>
      </c>
      <c r="I460" s="5">
        <f>G460-H460</f>
        <v>-3339085.2899999991</v>
      </c>
      <c r="J460" s="5">
        <v>3000000</v>
      </c>
      <c r="K460" s="5">
        <v>3360000</v>
      </c>
      <c r="L460" s="5">
        <v>3660000</v>
      </c>
      <c r="M460" s="7">
        <v>1274.0999999999999</v>
      </c>
      <c r="N460" s="5">
        <v>34100000</v>
      </c>
      <c r="O460" s="5">
        <v>37100000</v>
      </c>
      <c r="P460" s="3">
        <v>0.97916666666666663</v>
      </c>
    </row>
    <row r="461" spans="1:16" x14ac:dyDescent="0.25">
      <c r="A461" t="s">
        <v>301</v>
      </c>
      <c r="B461" s="2">
        <v>43039</v>
      </c>
      <c r="C461" t="str">
        <f>TEXT(B461,"mm")</f>
        <v>10</v>
      </c>
      <c r="D461" t="s">
        <v>18</v>
      </c>
      <c r="E461" t="s">
        <v>1636</v>
      </c>
      <c r="F461" s="5">
        <v>33400000</v>
      </c>
      <c r="G461" s="5">
        <v>36400000</v>
      </c>
      <c r="H461" s="5">
        <f>M461*26000*1.20565</f>
        <v>39716522.300000004</v>
      </c>
      <c r="I461" s="5">
        <f>G461-H461</f>
        <v>-3316522.3000000045</v>
      </c>
      <c r="J461" s="5">
        <v>3000000</v>
      </c>
      <c r="K461" s="5">
        <v>3340000</v>
      </c>
      <c r="L461" s="5">
        <v>3640000</v>
      </c>
      <c r="M461" s="7">
        <v>1267</v>
      </c>
      <c r="N461" s="5">
        <v>33900000</v>
      </c>
      <c r="O461" s="5">
        <v>36900000</v>
      </c>
      <c r="P461" s="3">
        <v>0.97916666666666663</v>
      </c>
    </row>
    <row r="462" spans="1:16" x14ac:dyDescent="0.25">
      <c r="A462" s="2">
        <v>42746</v>
      </c>
      <c r="B462" s="2">
        <v>43040</v>
      </c>
      <c r="C462" t="str">
        <f>TEXT(B462,"mm")</f>
        <v>11</v>
      </c>
      <c r="D462" t="s">
        <v>19</v>
      </c>
      <c r="E462" t="s">
        <v>1636</v>
      </c>
      <c r="F462" s="5">
        <v>33600000</v>
      </c>
      <c r="G462" s="5">
        <v>36600000</v>
      </c>
      <c r="H462" s="5">
        <f>M462*26000*1.20565</f>
        <v>39939085.289999999</v>
      </c>
      <c r="I462" s="5">
        <f>G462-H462</f>
        <v>-3339085.2899999991</v>
      </c>
      <c r="J462" s="5">
        <v>3000000</v>
      </c>
      <c r="K462" s="5">
        <v>3360000</v>
      </c>
      <c r="L462" s="5">
        <v>3660000</v>
      </c>
      <c r="M462" s="7">
        <v>1274.0999999999999</v>
      </c>
      <c r="N462" s="5">
        <v>34100000</v>
      </c>
      <c r="O462" s="5">
        <v>37100000</v>
      </c>
      <c r="P462" s="3">
        <v>0.97916666666666663</v>
      </c>
    </row>
    <row r="463" spans="1:16" x14ac:dyDescent="0.25">
      <c r="A463" s="2">
        <v>42777</v>
      </c>
      <c r="B463" s="2">
        <v>43041</v>
      </c>
      <c r="C463" t="str">
        <f>TEXT(B463,"mm")</f>
        <v>11</v>
      </c>
      <c r="D463" t="s">
        <v>20</v>
      </c>
      <c r="E463" t="s">
        <v>1636</v>
      </c>
      <c r="F463" s="5">
        <v>33600000</v>
      </c>
      <c r="G463" s="5">
        <v>36600000</v>
      </c>
      <c r="H463" s="5">
        <f>M463*26000*1.20565</f>
        <v>39964162.81000001</v>
      </c>
      <c r="I463" s="5">
        <f>G463-H463</f>
        <v>-3364162.8100000098</v>
      </c>
      <c r="J463" s="5">
        <v>3000000</v>
      </c>
      <c r="K463" s="5">
        <v>3360000</v>
      </c>
      <c r="L463" s="5">
        <v>3660000</v>
      </c>
      <c r="M463" s="7">
        <v>1274.9000000000001</v>
      </c>
      <c r="N463" s="5">
        <v>34100000</v>
      </c>
      <c r="O463" s="5">
        <v>37100000</v>
      </c>
      <c r="P463" s="3">
        <v>0.97916666666666663</v>
      </c>
    </row>
    <row r="464" spans="1:16" x14ac:dyDescent="0.25">
      <c r="A464" s="2">
        <v>42805</v>
      </c>
      <c r="B464" s="2">
        <v>43042</v>
      </c>
      <c r="C464" t="str">
        <f>TEXT(B464,"mm")</f>
        <v>11</v>
      </c>
      <c r="D464" t="s">
        <v>21</v>
      </c>
      <c r="E464" t="s">
        <v>1636</v>
      </c>
      <c r="F464" s="5">
        <v>33400000</v>
      </c>
      <c r="G464" s="5">
        <v>36400000</v>
      </c>
      <c r="H464" s="5">
        <f>M464*26000*1.20565</f>
        <v>39700848.850000001</v>
      </c>
      <c r="I464" s="5">
        <f>G464-H464</f>
        <v>-3300848.8500000015</v>
      </c>
      <c r="J464" s="5">
        <v>3000000</v>
      </c>
      <c r="K464" s="5">
        <v>3340000</v>
      </c>
      <c r="L464" s="5">
        <v>3640000</v>
      </c>
      <c r="M464" s="7">
        <v>1266.5</v>
      </c>
      <c r="N464" s="5">
        <v>33900000</v>
      </c>
      <c r="O464" s="5">
        <v>36900000</v>
      </c>
      <c r="P464" s="3">
        <v>0.97916666666666663</v>
      </c>
    </row>
    <row r="465" spans="1:16" x14ac:dyDescent="0.25">
      <c r="A465" s="2">
        <v>42897</v>
      </c>
      <c r="B465" s="2">
        <v>43045</v>
      </c>
      <c r="C465" t="str">
        <f>TEXT(B465,"mm")</f>
        <v>11</v>
      </c>
      <c r="D465" t="s">
        <v>16</v>
      </c>
      <c r="E465" t="s">
        <v>1636</v>
      </c>
      <c r="F465" s="5">
        <v>33800000</v>
      </c>
      <c r="G465" s="5">
        <v>36800000</v>
      </c>
      <c r="H465" s="5">
        <f>M465*26000*1.20565</f>
        <v>40105223.860000007</v>
      </c>
      <c r="I465" s="5">
        <f>G465-H465</f>
        <v>-3305223.8600000069</v>
      </c>
      <c r="J465" s="5">
        <v>3000000</v>
      </c>
      <c r="K465" s="5">
        <v>3380000</v>
      </c>
      <c r="L465" s="5">
        <v>3680000</v>
      </c>
      <c r="M465" s="7">
        <v>1279.4000000000001</v>
      </c>
      <c r="N465" s="5">
        <v>34300000</v>
      </c>
      <c r="O465" s="5">
        <v>37300000</v>
      </c>
      <c r="P465" s="3">
        <v>0.97916666666666663</v>
      </c>
    </row>
    <row r="466" spans="1:16" x14ac:dyDescent="0.25">
      <c r="A466" s="2">
        <v>42927</v>
      </c>
      <c r="B466" s="2">
        <v>43046</v>
      </c>
      <c r="C466" t="str">
        <f>TEXT(B466,"mm")</f>
        <v>11</v>
      </c>
      <c r="D466" t="s">
        <v>18</v>
      </c>
      <c r="E466" t="s">
        <v>1636</v>
      </c>
      <c r="F466" s="5">
        <v>33600000</v>
      </c>
      <c r="G466" s="5">
        <v>36600000</v>
      </c>
      <c r="H466" s="5">
        <f>M466*26000*1.20565</f>
        <v>39926546.530000001</v>
      </c>
      <c r="I466" s="5">
        <f>G466-H466</f>
        <v>-3326546.5300000012</v>
      </c>
      <c r="J466" s="5">
        <v>3000000</v>
      </c>
      <c r="K466" s="5">
        <v>3360000</v>
      </c>
      <c r="L466" s="5">
        <v>3660000</v>
      </c>
      <c r="M466" s="7">
        <v>1273.7</v>
      </c>
      <c r="N466" s="5">
        <v>34100000</v>
      </c>
      <c r="O466" s="5">
        <v>37100000</v>
      </c>
      <c r="P466" s="3">
        <v>0.97916666666666663</v>
      </c>
    </row>
    <row r="467" spans="1:16" x14ac:dyDescent="0.25">
      <c r="A467" s="2">
        <v>42958</v>
      </c>
      <c r="B467" s="2">
        <v>43047</v>
      </c>
      <c r="C467" t="str">
        <f>TEXT(B467,"mm")</f>
        <v>11</v>
      </c>
      <c r="D467" t="s">
        <v>19</v>
      </c>
      <c r="E467" t="s">
        <v>1636</v>
      </c>
      <c r="F467" s="5">
        <v>33800000</v>
      </c>
      <c r="G467" s="5">
        <v>36800000</v>
      </c>
      <c r="H467" s="5">
        <f>M467*26000*1.20565</f>
        <v>40174187.039999999</v>
      </c>
      <c r="I467" s="5">
        <f>G467-H467</f>
        <v>-3374187.0399999991</v>
      </c>
      <c r="J467" s="5">
        <v>3000000</v>
      </c>
      <c r="K467" s="5">
        <v>3380000</v>
      </c>
      <c r="L467" s="5">
        <v>3680000</v>
      </c>
      <c r="M467" s="7">
        <v>1281.5999999999999</v>
      </c>
      <c r="N467" s="5">
        <v>34300000</v>
      </c>
      <c r="O467" s="5">
        <v>37300000</v>
      </c>
      <c r="P467" s="3">
        <v>0.97916666666666663</v>
      </c>
    </row>
    <row r="468" spans="1:16" x14ac:dyDescent="0.25">
      <c r="A468" s="2">
        <v>42989</v>
      </c>
      <c r="B468" s="2">
        <v>43048</v>
      </c>
      <c r="C468" t="str">
        <f>TEXT(B468,"mm")</f>
        <v>11</v>
      </c>
      <c r="D468" t="s">
        <v>20</v>
      </c>
      <c r="E468" t="s">
        <v>1636</v>
      </c>
      <c r="F468" s="5">
        <v>33900000</v>
      </c>
      <c r="G468" s="5">
        <v>36900000</v>
      </c>
      <c r="H468" s="5">
        <f>M468*26000*1.20565</f>
        <v>40299574.640000001</v>
      </c>
      <c r="I468" s="5">
        <f>G468-H468</f>
        <v>-3399574.6400000006</v>
      </c>
      <c r="J468" s="5">
        <v>3000000</v>
      </c>
      <c r="K468" s="5">
        <v>3390000</v>
      </c>
      <c r="L468" s="5">
        <v>3690000</v>
      </c>
      <c r="M468" s="7">
        <v>1285.5999999999999</v>
      </c>
      <c r="N468" s="5">
        <v>34400000</v>
      </c>
      <c r="O468" s="5">
        <v>37400000</v>
      </c>
      <c r="P468" s="3">
        <v>0.97916666666666663</v>
      </c>
    </row>
    <row r="469" spans="1:16" x14ac:dyDescent="0.25">
      <c r="A469" s="2">
        <v>43019</v>
      </c>
      <c r="B469" s="2">
        <v>43049</v>
      </c>
      <c r="C469" t="str">
        <f>TEXT(B469,"mm")</f>
        <v>11</v>
      </c>
      <c r="D469" t="s">
        <v>21</v>
      </c>
      <c r="E469" t="s">
        <v>1636</v>
      </c>
      <c r="F469" s="5">
        <v>33600000</v>
      </c>
      <c r="G469" s="5">
        <v>36600000</v>
      </c>
      <c r="H469" s="5">
        <f>M469*26000*1.20565</f>
        <v>39885795.56000001</v>
      </c>
      <c r="I469" s="5">
        <f>G469-H469</f>
        <v>-3285795.5600000098</v>
      </c>
      <c r="J469" s="5">
        <v>3000000</v>
      </c>
      <c r="K469" s="5">
        <v>3360000</v>
      </c>
      <c r="L469" s="5">
        <v>3660000</v>
      </c>
      <c r="M469" s="7">
        <v>1272.4000000000001</v>
      </c>
      <c r="N469" s="5">
        <v>34100000</v>
      </c>
      <c r="O469" s="5">
        <v>37100000</v>
      </c>
      <c r="P469" s="3">
        <v>0.97916666666666663</v>
      </c>
    </row>
    <row r="470" spans="1:16" x14ac:dyDescent="0.25">
      <c r="A470" t="s">
        <v>302</v>
      </c>
      <c r="B470" s="2">
        <v>43052</v>
      </c>
      <c r="C470" t="str">
        <f>TEXT(B470,"mm")</f>
        <v>11</v>
      </c>
      <c r="D470" t="s">
        <v>16</v>
      </c>
      <c r="E470" t="s">
        <v>1636</v>
      </c>
      <c r="F470" s="5">
        <v>33700000</v>
      </c>
      <c r="G470" s="5">
        <v>36700000</v>
      </c>
      <c r="H470" s="5">
        <f>M470*26000*1.20565</f>
        <v>40039395.370000005</v>
      </c>
      <c r="I470" s="5">
        <f>G470-H470</f>
        <v>-3339395.3700000048</v>
      </c>
      <c r="J470" s="5">
        <v>3000000</v>
      </c>
      <c r="K470" s="5">
        <v>3370000</v>
      </c>
      <c r="L470" s="5">
        <v>3670000</v>
      </c>
      <c r="M470" s="7">
        <v>1277.3</v>
      </c>
      <c r="N470" s="5">
        <v>34200000</v>
      </c>
      <c r="O470" s="5">
        <v>37200000</v>
      </c>
      <c r="P470" s="3">
        <v>0.97916666666666663</v>
      </c>
    </row>
    <row r="471" spans="1:16" x14ac:dyDescent="0.25">
      <c r="A471" t="s">
        <v>303</v>
      </c>
      <c r="B471" s="2">
        <v>43053</v>
      </c>
      <c r="C471" t="str">
        <f>TEXT(B471,"mm")</f>
        <v>11</v>
      </c>
      <c r="D471" t="s">
        <v>18</v>
      </c>
      <c r="E471" t="s">
        <v>1636</v>
      </c>
      <c r="F471" s="5">
        <v>33800000</v>
      </c>
      <c r="G471" s="5">
        <v>36800000</v>
      </c>
      <c r="H471" s="5">
        <f>M471*26000*1.20565</f>
        <v>40171052.350000001</v>
      </c>
      <c r="I471" s="5">
        <f>G471-H471</f>
        <v>-3371052.3500000015</v>
      </c>
      <c r="J471" s="5">
        <v>3000000</v>
      </c>
      <c r="K471" s="5">
        <v>3380000</v>
      </c>
      <c r="L471" s="5">
        <v>3680000</v>
      </c>
      <c r="M471" s="7">
        <v>1281.5</v>
      </c>
      <c r="N471" s="5">
        <v>34300000</v>
      </c>
      <c r="O471" s="5">
        <v>37300000</v>
      </c>
      <c r="P471" s="3">
        <v>0.97916666666666663</v>
      </c>
    </row>
    <row r="472" spans="1:16" x14ac:dyDescent="0.25">
      <c r="A472" t="s">
        <v>304</v>
      </c>
      <c r="B472" s="2">
        <v>43054</v>
      </c>
      <c r="C472" t="str">
        <f>TEXT(B472,"mm")</f>
        <v>11</v>
      </c>
      <c r="D472" t="s">
        <v>19</v>
      </c>
      <c r="E472" t="s">
        <v>1636</v>
      </c>
      <c r="F472" s="5">
        <v>33700000</v>
      </c>
      <c r="G472" s="5">
        <v>36700000</v>
      </c>
      <c r="H472" s="5">
        <f>M472*26000*1.20565</f>
        <v>40014317.850000001</v>
      </c>
      <c r="I472" s="5">
        <f>G472-H472</f>
        <v>-3314317.8500000015</v>
      </c>
      <c r="J472" s="5">
        <v>3000000</v>
      </c>
      <c r="K472" s="5">
        <v>3370000</v>
      </c>
      <c r="L472" s="5">
        <v>3670000</v>
      </c>
      <c r="M472" s="7">
        <v>1276.5</v>
      </c>
      <c r="N472" s="5">
        <v>34200000</v>
      </c>
      <c r="O472" s="5">
        <v>37200000</v>
      </c>
      <c r="P472" s="3">
        <v>0.97916666666666663</v>
      </c>
    </row>
    <row r="473" spans="1:16" x14ac:dyDescent="0.25">
      <c r="A473" t="s">
        <v>305</v>
      </c>
      <c r="B473" s="2">
        <v>43055</v>
      </c>
      <c r="C473" t="str">
        <f>TEXT(B473,"mm")</f>
        <v>11</v>
      </c>
      <c r="D473" t="s">
        <v>20</v>
      </c>
      <c r="E473" t="s">
        <v>1636</v>
      </c>
      <c r="F473" s="5">
        <v>33700000</v>
      </c>
      <c r="G473" s="5">
        <v>36700000</v>
      </c>
      <c r="H473" s="5">
        <f>M473*26000*1.20565</f>
        <v>40042530.06000001</v>
      </c>
      <c r="I473" s="5">
        <f>G473-H473</f>
        <v>-3342530.0600000098</v>
      </c>
      <c r="J473" s="5">
        <v>3000000</v>
      </c>
      <c r="K473" s="5">
        <v>3370000</v>
      </c>
      <c r="L473" s="5">
        <v>3670000</v>
      </c>
      <c r="M473" s="7">
        <v>1277.4000000000001</v>
      </c>
      <c r="N473" s="5">
        <v>34200000</v>
      </c>
      <c r="O473" s="5">
        <v>37200000</v>
      </c>
      <c r="P473" s="3">
        <v>0.97916666666666663</v>
      </c>
    </row>
    <row r="474" spans="1:16" x14ac:dyDescent="0.25">
      <c r="A474" t="s">
        <v>306</v>
      </c>
      <c r="B474" s="2">
        <v>43056</v>
      </c>
      <c r="C474" t="str">
        <f>TEXT(B474,"mm")</f>
        <v>11</v>
      </c>
      <c r="D474" t="s">
        <v>21</v>
      </c>
      <c r="E474" t="s">
        <v>1636</v>
      </c>
      <c r="F474" s="5">
        <v>34200000</v>
      </c>
      <c r="G474" s="5">
        <v>37200000</v>
      </c>
      <c r="H474" s="5">
        <f>M474*26000*1.20565</f>
        <v>40619313.020000003</v>
      </c>
      <c r="I474" s="5">
        <f>G474-H474</f>
        <v>-3419313.0200000033</v>
      </c>
      <c r="J474" s="5">
        <v>3000000</v>
      </c>
      <c r="K474" s="5">
        <v>3420000</v>
      </c>
      <c r="L474" s="5">
        <v>3720000</v>
      </c>
      <c r="M474" s="7">
        <v>1295.8</v>
      </c>
      <c r="N474" s="5">
        <v>34700000</v>
      </c>
      <c r="O474" s="5">
        <v>37700000</v>
      </c>
      <c r="P474" s="3">
        <v>0.97916666666666663</v>
      </c>
    </row>
    <row r="475" spans="1:16" x14ac:dyDescent="0.25">
      <c r="A475" t="s">
        <v>307</v>
      </c>
      <c r="B475" s="2">
        <v>43059</v>
      </c>
      <c r="C475" t="str">
        <f>TEXT(B475,"mm")</f>
        <v>11</v>
      </c>
      <c r="D475" t="s">
        <v>16</v>
      </c>
      <c r="E475" t="s">
        <v>1636</v>
      </c>
      <c r="F475" s="5">
        <v>33600000</v>
      </c>
      <c r="G475" s="5">
        <v>36600000</v>
      </c>
      <c r="H475" s="5">
        <f>M475*26000*1.20565</f>
        <v>39954758.740000002</v>
      </c>
      <c r="I475" s="5">
        <f>G475-H475</f>
        <v>-3354758.7400000021</v>
      </c>
      <c r="J475" s="5">
        <v>3000000</v>
      </c>
      <c r="K475" s="5">
        <v>3360000</v>
      </c>
      <c r="L475" s="5">
        <v>3660000</v>
      </c>
      <c r="M475" s="7">
        <v>1274.5999999999999</v>
      </c>
      <c r="N475" s="5">
        <v>34100000</v>
      </c>
      <c r="O475" s="5">
        <v>37100000</v>
      </c>
      <c r="P475" s="3">
        <v>0.97916666666666663</v>
      </c>
    </row>
    <row r="476" spans="1:16" x14ac:dyDescent="0.25">
      <c r="A476" t="s">
        <v>308</v>
      </c>
      <c r="B476" s="2">
        <v>43060</v>
      </c>
      <c r="C476" t="str">
        <f>TEXT(B476,"mm")</f>
        <v>11</v>
      </c>
      <c r="D476" t="s">
        <v>18</v>
      </c>
      <c r="E476" t="s">
        <v>1636</v>
      </c>
      <c r="F476" s="5">
        <v>33800000</v>
      </c>
      <c r="G476" s="5">
        <v>36800000</v>
      </c>
      <c r="H476" s="5">
        <f>M476*26000*1.20565</f>
        <v>40158513.589999996</v>
      </c>
      <c r="I476" s="5">
        <f>G476-H476</f>
        <v>-3358513.5899999961</v>
      </c>
      <c r="J476" s="5">
        <v>3000000</v>
      </c>
      <c r="K476" s="5">
        <v>3380000</v>
      </c>
      <c r="L476" s="5">
        <v>3680000</v>
      </c>
      <c r="M476" s="7">
        <v>1281.0999999999999</v>
      </c>
      <c r="N476" s="5">
        <v>34300000</v>
      </c>
      <c r="O476" s="5">
        <v>37300000</v>
      </c>
      <c r="P476" s="3">
        <v>0.97916666666666663</v>
      </c>
    </row>
    <row r="477" spans="1:16" x14ac:dyDescent="0.25">
      <c r="A477" t="s">
        <v>309</v>
      </c>
      <c r="B477" s="2">
        <v>43061</v>
      </c>
      <c r="C477" t="str">
        <f>TEXT(B477,"mm")</f>
        <v>11</v>
      </c>
      <c r="D477" t="s">
        <v>19</v>
      </c>
      <c r="E477" t="s">
        <v>1636</v>
      </c>
      <c r="F477" s="5">
        <v>34100000</v>
      </c>
      <c r="G477" s="5">
        <v>37100000</v>
      </c>
      <c r="H477" s="5">
        <f>M477*26000*1.20565</f>
        <v>40487656.040000007</v>
      </c>
      <c r="I477" s="5">
        <f>G477-H477</f>
        <v>-3387656.0400000066</v>
      </c>
      <c r="J477" s="5">
        <v>3000000</v>
      </c>
      <c r="K477" s="5">
        <v>3410000</v>
      </c>
      <c r="L477" s="5">
        <v>3710000</v>
      </c>
      <c r="M477" s="7">
        <v>1291.5999999999999</v>
      </c>
      <c r="N477" s="5">
        <v>34600000</v>
      </c>
      <c r="O477" s="5">
        <v>37600000</v>
      </c>
      <c r="P477" s="3">
        <v>0.97916666666666663</v>
      </c>
    </row>
    <row r="478" spans="1:16" x14ac:dyDescent="0.25">
      <c r="A478" t="s">
        <v>310</v>
      </c>
      <c r="B478" s="2">
        <v>43063</v>
      </c>
      <c r="C478" t="str">
        <f>TEXT(B478,"mm")</f>
        <v>11</v>
      </c>
      <c r="D478" t="s">
        <v>21</v>
      </c>
      <c r="E478" t="s">
        <v>1636</v>
      </c>
      <c r="F478" s="5">
        <v>34000000</v>
      </c>
      <c r="G478" s="5">
        <v>37000000</v>
      </c>
      <c r="H478" s="5">
        <f>M478*26000*1.20565</f>
        <v>40334056.230000004</v>
      </c>
      <c r="I478" s="5">
        <f>G478-H478</f>
        <v>-3334056.2300000042</v>
      </c>
      <c r="J478" s="5">
        <v>3000000</v>
      </c>
      <c r="K478" s="5">
        <v>3400000</v>
      </c>
      <c r="L478" s="5">
        <v>3700000</v>
      </c>
      <c r="M478" s="7">
        <v>1286.7</v>
      </c>
      <c r="N478" s="5">
        <v>34500000</v>
      </c>
      <c r="O478" s="5">
        <v>37500000</v>
      </c>
      <c r="P478" s="3">
        <v>0.97916666666666663</v>
      </c>
    </row>
    <row r="479" spans="1:16" x14ac:dyDescent="0.25">
      <c r="A479" t="s">
        <v>311</v>
      </c>
      <c r="B479" s="2">
        <v>43066</v>
      </c>
      <c r="C479" t="str">
        <f>TEXT(B479,"mm")</f>
        <v>11</v>
      </c>
      <c r="D479" t="s">
        <v>16</v>
      </c>
      <c r="E479" t="s">
        <v>1636</v>
      </c>
      <c r="F479" s="5">
        <v>34200000</v>
      </c>
      <c r="G479" s="5">
        <v>37200000</v>
      </c>
      <c r="H479" s="5">
        <f>M479*26000*1.20565</f>
        <v>40556619.220000006</v>
      </c>
      <c r="I479" s="5">
        <f>G479-H479</f>
        <v>-3356619.2200000063</v>
      </c>
      <c r="J479" s="5">
        <v>3000000</v>
      </c>
      <c r="K479" s="5">
        <v>3420000</v>
      </c>
      <c r="L479" s="5">
        <v>3720000</v>
      </c>
      <c r="M479" s="7">
        <v>1293.8</v>
      </c>
      <c r="N479" s="5">
        <v>34700000</v>
      </c>
      <c r="O479" s="5">
        <v>37700000</v>
      </c>
      <c r="P479" s="3">
        <v>0.97916666666666663</v>
      </c>
    </row>
    <row r="480" spans="1:16" x14ac:dyDescent="0.25">
      <c r="A480" t="s">
        <v>312</v>
      </c>
      <c r="B480" s="2">
        <v>43067</v>
      </c>
      <c r="C480" t="str">
        <f>TEXT(B480,"mm")</f>
        <v>11</v>
      </c>
      <c r="D480" t="s">
        <v>18</v>
      </c>
      <c r="E480" t="s">
        <v>1636</v>
      </c>
      <c r="F480" s="5">
        <v>34200000</v>
      </c>
      <c r="G480" s="5">
        <v>37200000</v>
      </c>
      <c r="H480" s="5">
        <f>M480*26000*1.20565</f>
        <v>40584831.430000007</v>
      </c>
      <c r="I480" s="5">
        <f>G480-H480</f>
        <v>-3384831.4300000072</v>
      </c>
      <c r="J480" s="5">
        <v>3000000</v>
      </c>
      <c r="K480" s="5">
        <v>3420000</v>
      </c>
      <c r="L480" s="5">
        <v>3720000</v>
      </c>
      <c r="M480" s="7">
        <v>1294.7</v>
      </c>
      <c r="N480" s="5">
        <v>34700000</v>
      </c>
      <c r="O480" s="5">
        <v>37700000</v>
      </c>
      <c r="P480" s="3">
        <v>0.97916666666666663</v>
      </c>
    </row>
    <row r="481" spans="1:16" x14ac:dyDescent="0.25">
      <c r="A481" t="s">
        <v>313</v>
      </c>
      <c r="B481" s="2">
        <v>43068</v>
      </c>
      <c r="C481" t="str">
        <f>TEXT(B481,"mm")</f>
        <v>11</v>
      </c>
      <c r="D481" t="s">
        <v>19</v>
      </c>
      <c r="E481" t="s">
        <v>1636</v>
      </c>
      <c r="F481" s="5">
        <v>33800000</v>
      </c>
      <c r="G481" s="5">
        <v>36800000</v>
      </c>
      <c r="H481" s="5">
        <f>M481*26000*1.20565</f>
        <v>40189860.490000002</v>
      </c>
      <c r="I481" s="5">
        <f>G481-H481</f>
        <v>-3389860.4900000021</v>
      </c>
      <c r="J481" s="5">
        <v>3000000</v>
      </c>
      <c r="K481" s="5">
        <v>3380000</v>
      </c>
      <c r="L481" s="5">
        <v>3680000</v>
      </c>
      <c r="M481" s="7">
        <v>1282.0999999999999</v>
      </c>
      <c r="N481" s="5">
        <v>34300000</v>
      </c>
      <c r="O481" s="5">
        <v>37300000</v>
      </c>
      <c r="P481" s="3">
        <v>0.97916666666666663</v>
      </c>
    </row>
    <row r="482" spans="1:16" x14ac:dyDescent="0.25">
      <c r="A482" t="s">
        <v>314</v>
      </c>
      <c r="B482" s="2">
        <v>43069</v>
      </c>
      <c r="C482" t="str">
        <f>TEXT(B482,"mm")</f>
        <v>11</v>
      </c>
      <c r="D482" t="s">
        <v>20</v>
      </c>
      <c r="E482" t="s">
        <v>1636</v>
      </c>
      <c r="F482" s="5">
        <v>33600000</v>
      </c>
      <c r="G482" s="5">
        <v>36600000</v>
      </c>
      <c r="H482" s="5">
        <f>M482*26000*1.20565</f>
        <v>39910873.080000006</v>
      </c>
      <c r="I482" s="5">
        <f>G482-H482</f>
        <v>-3310873.0800000057</v>
      </c>
      <c r="J482" s="5">
        <v>3000000</v>
      </c>
      <c r="K482" s="5">
        <v>3360000</v>
      </c>
      <c r="L482" s="5">
        <v>3660000</v>
      </c>
      <c r="M482" s="7">
        <v>1273.2</v>
      </c>
      <c r="N482" s="5">
        <v>34100000</v>
      </c>
      <c r="O482" s="5">
        <v>37100000</v>
      </c>
      <c r="P482" s="3">
        <v>0.97916666666666663</v>
      </c>
    </row>
    <row r="483" spans="1:16" x14ac:dyDescent="0.25">
      <c r="A483" s="2">
        <v>42747</v>
      </c>
      <c r="B483" s="2">
        <v>43070</v>
      </c>
      <c r="C483" t="str">
        <f>TEXT(B483,"mm")</f>
        <v>12</v>
      </c>
      <c r="D483" t="s">
        <v>21</v>
      </c>
      <c r="E483" t="s">
        <v>1636</v>
      </c>
      <c r="F483" s="5">
        <v>33700000</v>
      </c>
      <c r="G483" s="5">
        <v>36700000</v>
      </c>
      <c r="H483" s="5">
        <f>M483*26000*1.20565</f>
        <v>40086415.720000006</v>
      </c>
      <c r="I483" s="5">
        <f>G483-H483</f>
        <v>-3386415.7200000063</v>
      </c>
      <c r="J483" s="5">
        <v>3000000</v>
      </c>
      <c r="K483" s="5">
        <v>3370000</v>
      </c>
      <c r="L483" s="5">
        <v>3670000</v>
      </c>
      <c r="M483" s="7">
        <v>1278.8</v>
      </c>
      <c r="N483" s="5">
        <v>34200000</v>
      </c>
      <c r="O483" s="5">
        <v>37200000</v>
      </c>
      <c r="P483" s="3">
        <v>0.97916666666666663</v>
      </c>
    </row>
    <row r="484" spans="1:16" x14ac:dyDescent="0.25">
      <c r="A484" s="2">
        <v>42837</v>
      </c>
      <c r="B484" s="2">
        <v>43073</v>
      </c>
      <c r="C484" t="str">
        <f>TEXT(B484,"mm")</f>
        <v>12</v>
      </c>
      <c r="D484" t="s">
        <v>16</v>
      </c>
      <c r="E484" t="s">
        <v>1636</v>
      </c>
      <c r="F484" s="5">
        <v>33600000</v>
      </c>
      <c r="G484" s="5">
        <v>36600000</v>
      </c>
      <c r="H484" s="5">
        <f>M484*26000*1.20565</f>
        <v>39945354.670000002</v>
      </c>
      <c r="I484" s="5">
        <f>G484-H484</f>
        <v>-3345354.6700000018</v>
      </c>
      <c r="J484" s="5">
        <v>3000000</v>
      </c>
      <c r="K484" s="5">
        <v>3360000</v>
      </c>
      <c r="L484" s="5">
        <v>3660000</v>
      </c>
      <c r="M484" s="7">
        <v>1274.3</v>
      </c>
      <c r="N484" s="5">
        <v>34100000</v>
      </c>
      <c r="O484" s="5">
        <v>37100000</v>
      </c>
      <c r="P484" s="3">
        <v>0.97916666666666663</v>
      </c>
    </row>
    <row r="485" spans="1:16" x14ac:dyDescent="0.25">
      <c r="A485" s="2">
        <v>42867</v>
      </c>
      <c r="B485" s="2">
        <v>43074</v>
      </c>
      <c r="C485" t="str">
        <f>TEXT(B485,"mm")</f>
        <v>12</v>
      </c>
      <c r="D485" t="s">
        <v>18</v>
      </c>
      <c r="E485" t="s">
        <v>1636</v>
      </c>
      <c r="F485" s="5">
        <v>33300000</v>
      </c>
      <c r="G485" s="5">
        <v>36300000</v>
      </c>
      <c r="H485" s="5">
        <f>M485*26000*1.20565</f>
        <v>39547249.039999999</v>
      </c>
      <c r="I485" s="5">
        <f>G485-H485</f>
        <v>-3247249.0399999991</v>
      </c>
      <c r="J485" s="5">
        <v>3000000</v>
      </c>
      <c r="K485" s="5">
        <v>3330000</v>
      </c>
      <c r="L485" s="5">
        <v>3630000</v>
      </c>
      <c r="M485" s="7">
        <v>1261.5999999999999</v>
      </c>
      <c r="N485" s="5">
        <v>33800000</v>
      </c>
      <c r="O485" s="5">
        <v>36800000</v>
      </c>
      <c r="P485" s="3">
        <v>0.97916666666666663</v>
      </c>
    </row>
    <row r="486" spans="1:16" x14ac:dyDescent="0.25">
      <c r="A486" s="2">
        <v>42898</v>
      </c>
      <c r="B486" s="2">
        <v>43075</v>
      </c>
      <c r="C486" t="str">
        <f>TEXT(B486,"mm")</f>
        <v>12</v>
      </c>
      <c r="D486" t="s">
        <v>19</v>
      </c>
      <c r="E486" t="s">
        <v>1636</v>
      </c>
      <c r="F486" s="5">
        <v>33300000</v>
      </c>
      <c r="G486" s="5">
        <v>36300000</v>
      </c>
      <c r="H486" s="5">
        <f>M486*26000*1.20565</f>
        <v>39584865.32</v>
      </c>
      <c r="I486" s="5">
        <f>G486-H486</f>
        <v>-3284865.3200000003</v>
      </c>
      <c r="J486" s="5">
        <v>3000000</v>
      </c>
      <c r="K486" s="5">
        <v>3330000</v>
      </c>
      <c r="L486" s="5">
        <v>3630000</v>
      </c>
      <c r="M486" s="7">
        <v>1262.8</v>
      </c>
      <c r="N486" s="5">
        <v>33800000</v>
      </c>
      <c r="O486" s="5">
        <v>36800000</v>
      </c>
      <c r="P486" s="3">
        <v>0.97916666666666663</v>
      </c>
    </row>
    <row r="487" spans="1:16" x14ac:dyDescent="0.25">
      <c r="A487" s="2">
        <v>42928</v>
      </c>
      <c r="B487" s="2">
        <v>43076</v>
      </c>
      <c r="C487" t="str">
        <f>TEXT(B487,"mm")</f>
        <v>12</v>
      </c>
      <c r="D487" t="s">
        <v>20</v>
      </c>
      <c r="E487" t="s">
        <v>1636</v>
      </c>
      <c r="F487" s="5">
        <v>32900000</v>
      </c>
      <c r="G487" s="5">
        <v>35900000</v>
      </c>
      <c r="H487" s="5">
        <f>M487*26000*1.20565</f>
        <v>39177355.620000005</v>
      </c>
      <c r="I487" s="5">
        <f>G487-H487</f>
        <v>-3277355.6200000048</v>
      </c>
      <c r="J487" s="5">
        <v>3000000</v>
      </c>
      <c r="K487" s="5">
        <v>3290000</v>
      </c>
      <c r="L487" s="5">
        <v>3590000</v>
      </c>
      <c r="M487" s="7">
        <v>1249.8</v>
      </c>
      <c r="N487" s="5">
        <v>33400000</v>
      </c>
      <c r="O487" s="5">
        <v>36400000</v>
      </c>
      <c r="P487" s="3">
        <v>0.97916666666666663</v>
      </c>
    </row>
    <row r="488" spans="1:16" x14ac:dyDescent="0.25">
      <c r="A488" s="2">
        <v>42959</v>
      </c>
      <c r="B488" s="2">
        <v>43077</v>
      </c>
      <c r="C488" t="str">
        <f>TEXT(B488,"mm")</f>
        <v>12</v>
      </c>
      <c r="D488" t="s">
        <v>21</v>
      </c>
      <c r="E488" t="s">
        <v>1636</v>
      </c>
      <c r="F488" s="5">
        <v>32800000</v>
      </c>
      <c r="G488" s="5">
        <v>35800000</v>
      </c>
      <c r="H488" s="5">
        <f>M488*26000*1.20565</f>
        <v>39033159.880000003</v>
      </c>
      <c r="I488" s="5">
        <f>G488-H488</f>
        <v>-3233159.8800000027</v>
      </c>
      <c r="J488" s="5">
        <v>3000000</v>
      </c>
      <c r="K488" s="5">
        <v>3280000</v>
      </c>
      <c r="L488" s="5">
        <v>3580000</v>
      </c>
      <c r="M488" s="7">
        <v>1245.2</v>
      </c>
      <c r="N488" s="5">
        <v>33300000</v>
      </c>
      <c r="O488" s="5">
        <v>36300000</v>
      </c>
      <c r="P488" s="3">
        <v>0.97916666666666663</v>
      </c>
    </row>
    <row r="489" spans="1:16" x14ac:dyDescent="0.25">
      <c r="A489" s="2">
        <v>43051</v>
      </c>
      <c r="B489" s="2">
        <v>43080</v>
      </c>
      <c r="C489" t="str">
        <f>TEXT(B489,"mm")</f>
        <v>12</v>
      </c>
      <c r="D489" t="s">
        <v>16</v>
      </c>
      <c r="E489" t="s">
        <v>1636</v>
      </c>
      <c r="F489" s="5">
        <v>32700000</v>
      </c>
      <c r="G489" s="5">
        <v>35700000</v>
      </c>
      <c r="H489" s="5">
        <f>M489*26000*1.20565</f>
        <v>38986139.530000001</v>
      </c>
      <c r="I489" s="5">
        <f>G489-H489</f>
        <v>-3286139.5300000012</v>
      </c>
      <c r="J489" s="5">
        <v>3000000</v>
      </c>
      <c r="K489" s="5">
        <v>3270000</v>
      </c>
      <c r="L489" s="5">
        <v>3570000</v>
      </c>
      <c r="M489" s="7">
        <v>1243.7</v>
      </c>
      <c r="N489" s="5">
        <v>33200000</v>
      </c>
      <c r="O489" s="5">
        <v>36200000</v>
      </c>
      <c r="P489" s="3">
        <v>0.97916666666666663</v>
      </c>
    </row>
    <row r="490" spans="1:16" x14ac:dyDescent="0.25">
      <c r="A490" s="2">
        <v>43081</v>
      </c>
      <c r="B490" s="2">
        <v>43081</v>
      </c>
      <c r="C490" t="str">
        <f>TEXT(B490,"mm")</f>
        <v>12</v>
      </c>
      <c r="D490" t="s">
        <v>18</v>
      </c>
      <c r="E490" t="s">
        <v>1636</v>
      </c>
      <c r="F490" s="5">
        <v>32600000</v>
      </c>
      <c r="G490" s="5">
        <v>35600000</v>
      </c>
      <c r="H490" s="5">
        <f>M490*26000*1.20565</f>
        <v>38823135.650000006</v>
      </c>
      <c r="I490" s="5">
        <f>G490-H490</f>
        <v>-3223135.650000006</v>
      </c>
      <c r="J490" s="5">
        <v>3000000</v>
      </c>
      <c r="K490" s="5">
        <v>3260000</v>
      </c>
      <c r="L490" s="5">
        <v>3560000</v>
      </c>
      <c r="M490" s="7">
        <v>1238.5</v>
      </c>
      <c r="N490" s="5">
        <v>33100000</v>
      </c>
      <c r="O490" s="5">
        <v>36100000</v>
      </c>
      <c r="P490" s="3">
        <v>0.97916666666666663</v>
      </c>
    </row>
    <row r="491" spans="1:16" x14ac:dyDescent="0.25">
      <c r="A491" t="s">
        <v>315</v>
      </c>
      <c r="B491" s="2">
        <v>43082</v>
      </c>
      <c r="C491" t="str">
        <f>TEXT(B491,"mm")</f>
        <v>12</v>
      </c>
      <c r="D491" t="s">
        <v>19</v>
      </c>
      <c r="E491" t="s">
        <v>1636</v>
      </c>
      <c r="F491" s="5">
        <v>32800000</v>
      </c>
      <c r="G491" s="5">
        <v>35800000</v>
      </c>
      <c r="H491" s="5">
        <f>M491*26000*1.20565</f>
        <v>39039429.260000005</v>
      </c>
      <c r="I491" s="5">
        <f>G491-H491</f>
        <v>-3239429.2600000054</v>
      </c>
      <c r="J491" s="5">
        <v>3000000</v>
      </c>
      <c r="K491" s="5">
        <v>3280000</v>
      </c>
      <c r="L491" s="5">
        <v>3580000</v>
      </c>
      <c r="M491" s="7">
        <v>1245.4000000000001</v>
      </c>
      <c r="N491" s="5">
        <v>33300000</v>
      </c>
      <c r="O491" s="5">
        <v>36300000</v>
      </c>
      <c r="P491" s="3">
        <v>0.97916666666666663</v>
      </c>
    </row>
    <row r="492" spans="1:16" x14ac:dyDescent="0.25">
      <c r="A492" t="s">
        <v>316</v>
      </c>
      <c r="B492" s="2">
        <v>43083</v>
      </c>
      <c r="C492" t="str">
        <f>TEXT(B492,"mm")</f>
        <v>12</v>
      </c>
      <c r="D492" t="s">
        <v>20</v>
      </c>
      <c r="E492" t="s">
        <v>1636</v>
      </c>
      <c r="F492" s="5">
        <v>33000000</v>
      </c>
      <c r="G492" s="5">
        <v>36000000</v>
      </c>
      <c r="H492" s="5">
        <f>M492*26000*1.20565</f>
        <v>39302743.220000006</v>
      </c>
      <c r="I492" s="5">
        <f>G492-H492</f>
        <v>-3302743.2200000063</v>
      </c>
      <c r="J492" s="5">
        <v>3000000</v>
      </c>
      <c r="K492" s="5">
        <v>3300000</v>
      </c>
      <c r="L492" s="5">
        <v>3600000</v>
      </c>
      <c r="M492" s="7">
        <v>1253.8</v>
      </c>
      <c r="N492" s="5">
        <v>33500000</v>
      </c>
      <c r="O492" s="5">
        <v>36500000</v>
      </c>
      <c r="P492" s="3">
        <v>0.97916666666666663</v>
      </c>
    </row>
    <row r="493" spans="1:16" x14ac:dyDescent="0.25">
      <c r="A493" t="s">
        <v>317</v>
      </c>
      <c r="B493" s="2">
        <v>43084</v>
      </c>
      <c r="C493" t="str">
        <f>TEXT(B493,"mm")</f>
        <v>12</v>
      </c>
      <c r="D493" t="s">
        <v>21</v>
      </c>
      <c r="E493" t="s">
        <v>1636</v>
      </c>
      <c r="F493" s="5">
        <v>33000000</v>
      </c>
      <c r="G493" s="5">
        <v>36000000</v>
      </c>
      <c r="H493" s="5">
        <f>M493*26000*1.20565</f>
        <v>39318416.670000002</v>
      </c>
      <c r="I493" s="5">
        <f>G493-H493</f>
        <v>-3318416.6700000018</v>
      </c>
      <c r="J493" s="5">
        <v>3000000</v>
      </c>
      <c r="K493" s="5">
        <v>3300000</v>
      </c>
      <c r="L493" s="5">
        <v>3600000</v>
      </c>
      <c r="M493" s="7">
        <v>1254.3</v>
      </c>
      <c r="N493" s="5">
        <v>33500000</v>
      </c>
      <c r="O493" s="5">
        <v>36500000</v>
      </c>
      <c r="P493" s="3">
        <v>0.97916666666666663</v>
      </c>
    </row>
    <row r="494" spans="1:16" x14ac:dyDescent="0.25">
      <c r="A494" t="s">
        <v>318</v>
      </c>
      <c r="B494" s="2">
        <v>43087</v>
      </c>
      <c r="C494" t="str">
        <f>TEXT(B494,"mm")</f>
        <v>12</v>
      </c>
      <c r="D494" t="s">
        <v>16</v>
      </c>
      <c r="E494" t="s">
        <v>1636</v>
      </c>
      <c r="F494" s="5">
        <v>33300000</v>
      </c>
      <c r="G494" s="5">
        <v>36300000</v>
      </c>
      <c r="H494" s="5">
        <f>M494*26000*1.20565</f>
        <v>39566057.180000007</v>
      </c>
      <c r="I494" s="5">
        <f>G494-H494</f>
        <v>-3266057.1800000072</v>
      </c>
      <c r="J494" s="5">
        <v>3000000</v>
      </c>
      <c r="K494" s="5">
        <v>3330000</v>
      </c>
      <c r="L494" s="5">
        <v>3630000</v>
      </c>
      <c r="M494" s="7">
        <v>1262.2</v>
      </c>
      <c r="N494" s="5">
        <v>33800000</v>
      </c>
      <c r="O494" s="5">
        <v>36800000</v>
      </c>
      <c r="P494" s="3">
        <v>0.97916666666666663</v>
      </c>
    </row>
    <row r="495" spans="1:16" x14ac:dyDescent="0.25">
      <c r="A495" t="s">
        <v>319</v>
      </c>
      <c r="B495" s="2">
        <v>43088</v>
      </c>
      <c r="C495" t="str">
        <f>TEXT(B495,"mm")</f>
        <v>12</v>
      </c>
      <c r="D495" t="s">
        <v>18</v>
      </c>
      <c r="E495" t="s">
        <v>1636</v>
      </c>
      <c r="F495" s="5">
        <v>33200000</v>
      </c>
      <c r="G495" s="5">
        <v>36200000</v>
      </c>
      <c r="H495" s="5">
        <f>M495*26000*1.20565</f>
        <v>39519036.830000006</v>
      </c>
      <c r="I495" s="5">
        <f>G495-H495</f>
        <v>-3319036.8300000057</v>
      </c>
      <c r="J495" s="5">
        <v>3000000</v>
      </c>
      <c r="K495" s="5">
        <v>3320000</v>
      </c>
      <c r="L495" s="5">
        <v>3620000</v>
      </c>
      <c r="M495" s="7">
        <v>1260.7</v>
      </c>
      <c r="N495" s="5">
        <v>33700000</v>
      </c>
      <c r="O495" s="5">
        <v>36700000</v>
      </c>
      <c r="P495" s="3">
        <v>0.97916666666666663</v>
      </c>
    </row>
    <row r="496" spans="1:16" x14ac:dyDescent="0.25">
      <c r="A496" t="s">
        <v>320</v>
      </c>
      <c r="B496" s="2">
        <v>43089</v>
      </c>
      <c r="C496" t="str">
        <f>TEXT(B496,"mm")</f>
        <v>12</v>
      </c>
      <c r="D496" t="s">
        <v>19</v>
      </c>
      <c r="E496" t="s">
        <v>1636</v>
      </c>
      <c r="F496" s="5">
        <v>33400000</v>
      </c>
      <c r="G496" s="5">
        <v>36400000</v>
      </c>
      <c r="H496" s="5">
        <f>M496*26000*1.20565</f>
        <v>39688310.089999996</v>
      </c>
      <c r="I496" s="5">
        <f>G496-H496</f>
        <v>-3288310.0899999961</v>
      </c>
      <c r="J496" s="5">
        <v>3000000</v>
      </c>
      <c r="K496" s="5">
        <v>3340000</v>
      </c>
      <c r="L496" s="5">
        <v>3640000</v>
      </c>
      <c r="M496" s="7">
        <v>1266.0999999999999</v>
      </c>
      <c r="N496" s="5">
        <v>33900000</v>
      </c>
      <c r="O496" s="5">
        <v>36900000</v>
      </c>
      <c r="P496" s="3">
        <v>0.97916666666666663</v>
      </c>
    </row>
    <row r="497" spans="1:16" x14ac:dyDescent="0.25">
      <c r="A497" t="s">
        <v>321</v>
      </c>
      <c r="B497" s="2">
        <v>43090</v>
      </c>
      <c r="C497" t="str">
        <f>TEXT(B497,"mm")</f>
        <v>12</v>
      </c>
      <c r="D497" t="s">
        <v>20</v>
      </c>
      <c r="E497" t="s">
        <v>1636</v>
      </c>
      <c r="F497" s="5">
        <v>33400000</v>
      </c>
      <c r="G497" s="5">
        <v>36400000</v>
      </c>
      <c r="H497" s="5">
        <f>M497*26000*1.20565</f>
        <v>39725926.370000005</v>
      </c>
      <c r="I497" s="5">
        <f>G497-H497</f>
        <v>-3325926.3700000048</v>
      </c>
      <c r="J497" s="5">
        <v>3000000</v>
      </c>
      <c r="K497" s="5">
        <v>3340000</v>
      </c>
      <c r="L497" s="5">
        <v>3640000</v>
      </c>
      <c r="M497" s="7">
        <v>1267.3</v>
      </c>
      <c r="N497" s="5">
        <v>33900000</v>
      </c>
      <c r="O497" s="5">
        <v>36900000</v>
      </c>
      <c r="P497" s="3">
        <v>0.97916666666666663</v>
      </c>
    </row>
    <row r="498" spans="1:16" x14ac:dyDescent="0.25">
      <c r="A498" t="s">
        <v>322</v>
      </c>
      <c r="B498" s="2">
        <v>43091</v>
      </c>
      <c r="C498" t="str">
        <f>TEXT(B498,"mm")</f>
        <v>12</v>
      </c>
      <c r="D498" t="s">
        <v>21</v>
      </c>
      <c r="E498" t="s">
        <v>1636</v>
      </c>
      <c r="F498" s="5">
        <v>33700000</v>
      </c>
      <c r="G498" s="5">
        <v>36700000</v>
      </c>
      <c r="H498" s="5">
        <f>M498*26000*1.20565</f>
        <v>39979836.260000005</v>
      </c>
      <c r="I498" s="5">
        <f>G498-H498</f>
        <v>-3279836.2600000054</v>
      </c>
      <c r="J498" s="5">
        <v>3000000</v>
      </c>
      <c r="K498" s="5">
        <v>3370000</v>
      </c>
      <c r="L498" s="5">
        <v>3670000</v>
      </c>
      <c r="M498" s="7">
        <v>1275.4000000000001</v>
      </c>
      <c r="N498" s="5">
        <v>34200000</v>
      </c>
      <c r="O498" s="5">
        <v>37200000</v>
      </c>
      <c r="P498" s="3">
        <v>0.97916666666666663</v>
      </c>
    </row>
    <row r="499" spans="1:16" x14ac:dyDescent="0.25">
      <c r="A499" t="s">
        <v>323</v>
      </c>
      <c r="B499" s="2">
        <v>43095</v>
      </c>
      <c r="C499" t="str">
        <f>TEXT(B499,"mm")</f>
        <v>12</v>
      </c>
      <c r="D499" t="s">
        <v>18</v>
      </c>
      <c r="E499" t="s">
        <v>1636</v>
      </c>
      <c r="F499" s="5">
        <v>33900000</v>
      </c>
      <c r="G499" s="5">
        <v>36900000</v>
      </c>
      <c r="H499" s="5">
        <f>M499*26000*1.20565</f>
        <v>40252554.289999999</v>
      </c>
      <c r="I499" s="5">
        <f>G499-H499</f>
        <v>-3352554.2899999991</v>
      </c>
      <c r="J499" s="5">
        <v>3000000</v>
      </c>
      <c r="K499" s="5">
        <v>3390000</v>
      </c>
      <c r="L499" s="5">
        <v>3690000</v>
      </c>
      <c r="M499" s="7">
        <v>1284.0999999999999</v>
      </c>
      <c r="N499" s="5">
        <v>34400000</v>
      </c>
      <c r="O499" s="5">
        <v>37400000</v>
      </c>
      <c r="P499" s="3">
        <v>0.97916666666666663</v>
      </c>
    </row>
    <row r="500" spans="1:16" x14ac:dyDescent="0.25">
      <c r="A500" t="s">
        <v>324</v>
      </c>
      <c r="B500" s="2">
        <v>43096</v>
      </c>
      <c r="C500" t="str">
        <f>TEXT(B500,"mm")</f>
        <v>12</v>
      </c>
      <c r="D500" t="s">
        <v>19</v>
      </c>
      <c r="E500" t="s">
        <v>1636</v>
      </c>
      <c r="F500" s="5">
        <v>34000000</v>
      </c>
      <c r="G500" s="5">
        <v>37000000</v>
      </c>
      <c r="H500" s="5">
        <f>M500*26000*1.20565</f>
        <v>40343460.300000004</v>
      </c>
      <c r="I500" s="5">
        <f>G500-H500</f>
        <v>-3343460.3000000045</v>
      </c>
      <c r="J500" s="5">
        <v>3000000</v>
      </c>
      <c r="K500" s="5">
        <v>3400000</v>
      </c>
      <c r="L500" s="5">
        <v>3700000</v>
      </c>
      <c r="M500" s="7">
        <v>1287</v>
      </c>
      <c r="N500" s="5">
        <v>34500000</v>
      </c>
      <c r="O500" s="5">
        <v>37500000</v>
      </c>
      <c r="P500" s="3">
        <v>0.97916666666666663</v>
      </c>
    </row>
    <row r="501" spans="1:16" x14ac:dyDescent="0.25">
      <c r="A501" t="s">
        <v>325</v>
      </c>
      <c r="B501" s="2">
        <v>43097</v>
      </c>
      <c r="C501" t="str">
        <f>TEXT(B501,"mm")</f>
        <v>12</v>
      </c>
      <c r="D501" t="s">
        <v>20</v>
      </c>
      <c r="E501" t="s">
        <v>1636</v>
      </c>
      <c r="F501" s="5">
        <v>34200000</v>
      </c>
      <c r="G501" s="5">
        <v>37200000</v>
      </c>
      <c r="H501" s="5">
        <f>M501*26000*1.20565</f>
        <v>40566023.290000007</v>
      </c>
      <c r="I501" s="5">
        <f>G501-H501</f>
        <v>-3366023.2900000066</v>
      </c>
      <c r="J501" s="5">
        <v>3000000</v>
      </c>
      <c r="K501" s="5">
        <v>3420000</v>
      </c>
      <c r="L501" s="5">
        <v>3720000</v>
      </c>
      <c r="M501" s="7">
        <v>1294.0999999999999</v>
      </c>
      <c r="N501" s="5">
        <v>34700000</v>
      </c>
      <c r="O501" s="5">
        <v>37700000</v>
      </c>
      <c r="P501" s="3">
        <v>0.97916666666666663</v>
      </c>
    </row>
    <row r="502" spans="1:16" x14ac:dyDescent="0.25">
      <c r="A502" t="s">
        <v>326</v>
      </c>
      <c r="B502" s="2">
        <v>43098</v>
      </c>
      <c r="C502" t="str">
        <f>TEXT(B502,"mm")</f>
        <v>12</v>
      </c>
      <c r="D502" t="s">
        <v>21</v>
      </c>
      <c r="E502" t="s">
        <v>1636</v>
      </c>
      <c r="F502" s="5">
        <v>34500000</v>
      </c>
      <c r="G502" s="5">
        <v>37500000</v>
      </c>
      <c r="H502" s="5">
        <f>M502*26000*1.20565</f>
        <v>40948455.470000006</v>
      </c>
      <c r="I502" s="5">
        <f>G502-H502</f>
        <v>-3448455.4700000063</v>
      </c>
      <c r="J502" s="5">
        <v>3000000</v>
      </c>
      <c r="K502" s="5">
        <v>3450000</v>
      </c>
      <c r="L502" s="5">
        <v>3750000</v>
      </c>
      <c r="M502" s="7">
        <v>1306.3</v>
      </c>
      <c r="N502" s="5">
        <v>35000000</v>
      </c>
      <c r="O502" s="5">
        <v>38000000</v>
      </c>
      <c r="P502" s="3">
        <v>0.97916666666666663</v>
      </c>
    </row>
    <row r="503" spans="1:16" x14ac:dyDescent="0.25">
      <c r="A503" s="2">
        <v>43132</v>
      </c>
      <c r="B503" s="2">
        <v>43102</v>
      </c>
      <c r="C503" t="str">
        <f>TEXT(B503,"mm")</f>
        <v>01</v>
      </c>
      <c r="D503" t="s">
        <v>18</v>
      </c>
      <c r="E503" t="s">
        <v>1636</v>
      </c>
      <c r="F503" s="5">
        <v>35000000</v>
      </c>
      <c r="G503" s="5">
        <v>38000000</v>
      </c>
      <c r="H503" s="5">
        <f>M503*26000*1.20565</f>
        <v>41180422.530000001</v>
      </c>
      <c r="I503" s="5">
        <f>G503-H503</f>
        <v>-3180422.5300000012</v>
      </c>
      <c r="J503" s="5">
        <v>3000000</v>
      </c>
      <c r="K503" s="5">
        <v>3500000</v>
      </c>
      <c r="L503" s="5">
        <v>3800000</v>
      </c>
      <c r="M503" s="7">
        <v>1313.7</v>
      </c>
      <c r="N503" s="5">
        <v>35500000</v>
      </c>
      <c r="O503" s="5">
        <v>38500000</v>
      </c>
      <c r="P503" s="3">
        <v>0.97916666666666663</v>
      </c>
    </row>
    <row r="504" spans="1:16" x14ac:dyDescent="0.25">
      <c r="A504" s="2">
        <v>43160</v>
      </c>
      <c r="B504" s="2">
        <v>43103</v>
      </c>
      <c r="C504" t="str">
        <f>TEXT(B504,"mm")</f>
        <v>01</v>
      </c>
      <c r="D504" t="s">
        <v>19</v>
      </c>
      <c r="E504" t="s">
        <v>1636</v>
      </c>
      <c r="F504" s="5">
        <v>35100000</v>
      </c>
      <c r="G504" s="5">
        <v>38100000</v>
      </c>
      <c r="H504" s="5">
        <f>M504*26000*1.20565</f>
        <v>41258789.780000001</v>
      </c>
      <c r="I504" s="5">
        <f>G504-H504</f>
        <v>-3158789.7800000012</v>
      </c>
      <c r="J504" s="5">
        <v>3000000</v>
      </c>
      <c r="K504" s="5">
        <v>3510000</v>
      </c>
      <c r="L504" s="5">
        <v>3810000</v>
      </c>
      <c r="M504" s="7">
        <v>1316.2</v>
      </c>
      <c r="N504" s="5">
        <v>35600000</v>
      </c>
      <c r="O504" s="5">
        <v>38600000</v>
      </c>
      <c r="P504" s="3">
        <v>0.97916666666666663</v>
      </c>
    </row>
    <row r="505" spans="1:16" x14ac:dyDescent="0.25">
      <c r="A505" s="2">
        <v>43191</v>
      </c>
      <c r="B505" s="2">
        <v>43104</v>
      </c>
      <c r="C505" t="str">
        <f>TEXT(B505,"mm")</f>
        <v>01</v>
      </c>
      <c r="D505" t="s">
        <v>20</v>
      </c>
      <c r="E505" t="s">
        <v>1636</v>
      </c>
      <c r="F505" s="5">
        <v>35200000</v>
      </c>
      <c r="G505" s="5">
        <v>38200000</v>
      </c>
      <c r="H505" s="5">
        <f>M505*26000*1.20565</f>
        <v>41359099.860000007</v>
      </c>
      <c r="I505" s="5">
        <f>G505-H505</f>
        <v>-3159099.8600000069</v>
      </c>
      <c r="J505" s="5">
        <v>3000000</v>
      </c>
      <c r="K505" s="5">
        <v>3520000</v>
      </c>
      <c r="L505" s="5">
        <v>3820000</v>
      </c>
      <c r="M505" s="7">
        <v>1319.4</v>
      </c>
      <c r="N505" s="5">
        <v>35700000</v>
      </c>
      <c r="O505" s="5">
        <v>38700000</v>
      </c>
      <c r="P505" s="3">
        <v>0.97916666666666663</v>
      </c>
    </row>
    <row r="506" spans="1:16" x14ac:dyDescent="0.25">
      <c r="A506" s="2">
        <v>43221</v>
      </c>
      <c r="B506" s="2">
        <v>43105</v>
      </c>
      <c r="C506" t="str">
        <f>TEXT(B506,"mm")</f>
        <v>01</v>
      </c>
      <c r="D506" t="s">
        <v>21</v>
      </c>
      <c r="E506" t="s">
        <v>1636</v>
      </c>
      <c r="F506" s="5">
        <v>35200000</v>
      </c>
      <c r="G506" s="5">
        <v>38200000</v>
      </c>
      <c r="H506" s="5">
        <f>M506*26000*1.20565</f>
        <v>41387312.07</v>
      </c>
      <c r="I506" s="5">
        <f>G506-H506</f>
        <v>-3187312.0700000003</v>
      </c>
      <c r="J506" s="5">
        <v>3000000</v>
      </c>
      <c r="K506" s="5">
        <v>3520000</v>
      </c>
      <c r="L506" s="5">
        <v>3820000</v>
      </c>
      <c r="M506" s="7">
        <v>1320.3</v>
      </c>
      <c r="N506" s="5">
        <v>35700000</v>
      </c>
      <c r="O506" s="5">
        <v>38700000</v>
      </c>
      <c r="P506" s="3">
        <v>0.97916666666666663</v>
      </c>
    </row>
    <row r="507" spans="1:16" x14ac:dyDescent="0.25">
      <c r="A507" s="2">
        <v>43313</v>
      </c>
      <c r="B507" s="2">
        <v>43108</v>
      </c>
      <c r="C507" t="str">
        <f>TEXT(B507,"mm")</f>
        <v>01</v>
      </c>
      <c r="D507" t="s">
        <v>16</v>
      </c>
      <c r="E507" t="s">
        <v>1636</v>
      </c>
      <c r="F507" s="5">
        <v>35100000</v>
      </c>
      <c r="G507" s="5">
        <v>38100000</v>
      </c>
      <c r="H507" s="5">
        <f>M507*26000*1.20565</f>
        <v>41334022.340000004</v>
      </c>
      <c r="I507" s="5">
        <f>G507-H507</f>
        <v>-3234022.3400000036</v>
      </c>
      <c r="J507" s="5">
        <v>3000000</v>
      </c>
      <c r="K507" s="5">
        <v>3510000</v>
      </c>
      <c r="L507" s="5">
        <v>3810000</v>
      </c>
      <c r="M507" s="7">
        <v>1318.6</v>
      </c>
      <c r="N507" s="5">
        <v>35600000</v>
      </c>
      <c r="O507" s="5">
        <v>38600000</v>
      </c>
      <c r="P507" s="3">
        <v>0.97916666666666663</v>
      </c>
    </row>
    <row r="508" spans="1:16" x14ac:dyDescent="0.25">
      <c r="A508" s="2">
        <v>43344</v>
      </c>
      <c r="B508" s="2">
        <v>43109</v>
      </c>
      <c r="C508" t="str">
        <f>TEXT(B508,"mm")</f>
        <v>01</v>
      </c>
      <c r="D508" t="s">
        <v>18</v>
      </c>
      <c r="E508" t="s">
        <v>1636</v>
      </c>
      <c r="F508" s="5">
        <v>34900000</v>
      </c>
      <c r="G508" s="5">
        <v>37900000</v>
      </c>
      <c r="H508" s="5">
        <f>M508*26000*1.20565</f>
        <v>41117728.730000004</v>
      </c>
      <c r="I508" s="5">
        <f>G508-H508</f>
        <v>-3217728.7300000042</v>
      </c>
      <c r="J508" s="5">
        <v>3000000</v>
      </c>
      <c r="K508" s="5">
        <v>3490000</v>
      </c>
      <c r="L508" s="5">
        <v>3790000</v>
      </c>
      <c r="M508" s="7">
        <v>1311.7</v>
      </c>
      <c r="N508" s="5">
        <v>35400000</v>
      </c>
      <c r="O508" s="5">
        <v>38400000</v>
      </c>
      <c r="P508" s="3">
        <v>0.97916666666666663</v>
      </c>
    </row>
    <row r="509" spans="1:16" x14ac:dyDescent="0.25">
      <c r="A509" s="2">
        <v>43374</v>
      </c>
      <c r="B509" s="2">
        <v>43110</v>
      </c>
      <c r="C509" t="str">
        <f>TEXT(B509,"mm")</f>
        <v>01</v>
      </c>
      <c r="D509" t="s">
        <v>19</v>
      </c>
      <c r="E509" t="s">
        <v>1636</v>
      </c>
      <c r="F509" s="5">
        <v>35100000</v>
      </c>
      <c r="G509" s="5">
        <v>38100000</v>
      </c>
      <c r="H509" s="5">
        <f>M509*26000*1.20565</f>
        <v>41296406.060000002</v>
      </c>
      <c r="I509" s="5">
        <f>G509-H509</f>
        <v>-3196406.0600000024</v>
      </c>
      <c r="J509" s="5">
        <v>3000000</v>
      </c>
      <c r="K509" s="5">
        <v>3510000</v>
      </c>
      <c r="L509" s="5">
        <v>3810000</v>
      </c>
      <c r="M509" s="7">
        <v>1317.4</v>
      </c>
      <c r="N509" s="5">
        <v>35600000</v>
      </c>
      <c r="O509" s="5">
        <v>38600000</v>
      </c>
      <c r="P509" s="3">
        <v>0.97916666666666663</v>
      </c>
    </row>
    <row r="510" spans="1:16" x14ac:dyDescent="0.25">
      <c r="A510" s="2">
        <v>43405</v>
      </c>
      <c r="B510" s="2">
        <v>43111</v>
      </c>
      <c r="C510" t="str">
        <f>TEXT(B510,"mm")</f>
        <v>01</v>
      </c>
      <c r="D510" t="s">
        <v>20</v>
      </c>
      <c r="E510" t="s">
        <v>1636</v>
      </c>
      <c r="F510" s="5">
        <v>35200000</v>
      </c>
      <c r="G510" s="5">
        <v>38200000</v>
      </c>
      <c r="H510" s="5">
        <f>M510*26000*1.20565</f>
        <v>41396716.140000001</v>
      </c>
      <c r="I510" s="5">
        <f>G510-H510</f>
        <v>-3196716.1400000006</v>
      </c>
      <c r="J510" s="5">
        <v>3000000</v>
      </c>
      <c r="K510" s="5">
        <v>3520000</v>
      </c>
      <c r="L510" s="5">
        <v>3820000</v>
      </c>
      <c r="M510" s="7">
        <v>1320.6</v>
      </c>
      <c r="N510" s="5">
        <v>35700000</v>
      </c>
      <c r="O510" s="5">
        <v>38700000</v>
      </c>
      <c r="P510" s="3">
        <v>0.97916666666666663</v>
      </c>
    </row>
    <row r="511" spans="1:16" x14ac:dyDescent="0.25">
      <c r="A511" s="2">
        <v>43435</v>
      </c>
      <c r="B511" s="2">
        <v>43112</v>
      </c>
      <c r="C511" t="str">
        <f>TEXT(B511,"mm")</f>
        <v>01</v>
      </c>
      <c r="D511" t="s">
        <v>21</v>
      </c>
      <c r="E511" t="s">
        <v>1636</v>
      </c>
      <c r="F511" s="5">
        <v>35600000</v>
      </c>
      <c r="G511" s="5">
        <v>38600000</v>
      </c>
      <c r="H511" s="5">
        <f>M511*26000*1.20565</f>
        <v>41797956.460000001</v>
      </c>
      <c r="I511" s="5">
        <f>G511-H511</f>
        <v>-3197956.4600000009</v>
      </c>
      <c r="J511" s="5">
        <v>3000000</v>
      </c>
      <c r="K511" s="5">
        <v>3560000</v>
      </c>
      <c r="L511" s="5">
        <v>3860000</v>
      </c>
      <c r="M511" s="7">
        <v>1333.4</v>
      </c>
      <c r="N511" s="5">
        <v>36100000</v>
      </c>
      <c r="O511" s="5">
        <v>39100000</v>
      </c>
      <c r="P511" s="3">
        <v>0.97916666666666663</v>
      </c>
    </row>
    <row r="512" spans="1:16" x14ac:dyDescent="0.25">
      <c r="A512" t="s">
        <v>327</v>
      </c>
      <c r="B512" s="2">
        <v>43116</v>
      </c>
      <c r="C512" t="str">
        <f>TEXT(B512,"mm")</f>
        <v>01</v>
      </c>
      <c r="D512" t="s">
        <v>18</v>
      </c>
      <c r="E512" t="s">
        <v>1636</v>
      </c>
      <c r="F512" s="5">
        <v>35600000</v>
      </c>
      <c r="G512" s="5">
        <v>38600000</v>
      </c>
      <c r="H512" s="5">
        <f>M512*26000*1.20565</f>
        <v>41860650.260000005</v>
      </c>
      <c r="I512" s="5">
        <f>G512-H512</f>
        <v>-3260650.2600000054</v>
      </c>
      <c r="J512" s="5">
        <v>3000000</v>
      </c>
      <c r="K512" s="5">
        <v>3560000</v>
      </c>
      <c r="L512" s="5">
        <v>3860000</v>
      </c>
      <c r="M512" s="7">
        <v>1335.4</v>
      </c>
      <c r="N512" s="5">
        <v>36100000</v>
      </c>
      <c r="O512" s="5">
        <v>39100000</v>
      </c>
      <c r="P512" s="3">
        <v>0.97916666666666663</v>
      </c>
    </row>
    <row r="513" spans="1:16" x14ac:dyDescent="0.25">
      <c r="A513" t="s">
        <v>328</v>
      </c>
      <c r="B513" s="2">
        <v>43117</v>
      </c>
      <c r="C513" t="str">
        <f>TEXT(B513,"mm")</f>
        <v>01</v>
      </c>
      <c r="D513" t="s">
        <v>19</v>
      </c>
      <c r="E513" t="s">
        <v>1636</v>
      </c>
      <c r="F513" s="5">
        <v>35700000</v>
      </c>
      <c r="G513" s="5">
        <v>38700000</v>
      </c>
      <c r="H513" s="5">
        <f>M513*26000*1.20565</f>
        <v>41942152.200000003</v>
      </c>
      <c r="I513" s="5">
        <f>G513-H513</f>
        <v>-3242152.200000003</v>
      </c>
      <c r="J513" s="5">
        <v>3000000</v>
      </c>
      <c r="K513" s="5">
        <v>3570000</v>
      </c>
      <c r="L513" s="5">
        <v>3870000</v>
      </c>
      <c r="M513" s="7">
        <v>1338</v>
      </c>
      <c r="N513" s="5">
        <v>36200000</v>
      </c>
      <c r="O513" s="5">
        <v>39200000</v>
      </c>
      <c r="P513" s="3">
        <v>0.97916666666666663</v>
      </c>
    </row>
    <row r="514" spans="1:16" x14ac:dyDescent="0.25">
      <c r="A514" t="s">
        <v>329</v>
      </c>
      <c r="B514" s="2">
        <v>43118</v>
      </c>
      <c r="C514" t="str">
        <f>TEXT(B514,"mm")</f>
        <v>01</v>
      </c>
      <c r="D514" t="s">
        <v>20</v>
      </c>
      <c r="E514" t="s">
        <v>1636</v>
      </c>
      <c r="F514" s="5">
        <v>35400000</v>
      </c>
      <c r="G514" s="5">
        <v>38400000</v>
      </c>
      <c r="H514" s="5">
        <f>M514*26000*1.20565</f>
        <v>41565989.400000006</v>
      </c>
      <c r="I514" s="5">
        <f>G514-H514</f>
        <v>-3165989.400000006</v>
      </c>
      <c r="J514" s="5">
        <v>3000000</v>
      </c>
      <c r="K514" s="5">
        <v>3540000</v>
      </c>
      <c r="L514" s="5">
        <v>3840000</v>
      </c>
      <c r="M514" s="7">
        <v>1326</v>
      </c>
      <c r="N514" s="5">
        <v>35900000</v>
      </c>
      <c r="O514" s="5">
        <v>38900000</v>
      </c>
      <c r="P514" s="3">
        <v>0.97916666666666663</v>
      </c>
    </row>
    <row r="515" spans="1:16" x14ac:dyDescent="0.25">
      <c r="A515" t="s">
        <v>330</v>
      </c>
      <c r="B515" s="2">
        <v>43119</v>
      </c>
      <c r="C515" t="str">
        <f>TEXT(B515,"mm")</f>
        <v>01</v>
      </c>
      <c r="D515" t="s">
        <v>21</v>
      </c>
      <c r="E515" t="s">
        <v>1636</v>
      </c>
      <c r="F515" s="5">
        <v>35500000</v>
      </c>
      <c r="G515" s="5">
        <v>38500000</v>
      </c>
      <c r="H515" s="5">
        <f>M515*26000*1.20565</f>
        <v>41750936.110000007</v>
      </c>
      <c r="I515" s="5">
        <f>G515-H515</f>
        <v>-3250936.1100000069</v>
      </c>
      <c r="J515" s="5">
        <v>3000000</v>
      </c>
      <c r="K515" s="5">
        <v>3550000</v>
      </c>
      <c r="L515" s="5">
        <v>3850000</v>
      </c>
      <c r="M515" s="7">
        <v>1331.9</v>
      </c>
      <c r="N515" s="5">
        <v>36000000</v>
      </c>
      <c r="O515" s="5">
        <v>39000000</v>
      </c>
      <c r="P515" s="3">
        <v>0.97916666666666663</v>
      </c>
    </row>
    <row r="516" spans="1:16" x14ac:dyDescent="0.25">
      <c r="A516" t="s">
        <v>331</v>
      </c>
      <c r="B516" s="2">
        <v>43122</v>
      </c>
      <c r="C516" t="str">
        <f>TEXT(B516,"mm")</f>
        <v>01</v>
      </c>
      <c r="D516" t="s">
        <v>16</v>
      </c>
      <c r="E516" t="s">
        <v>1636</v>
      </c>
      <c r="F516" s="5">
        <v>35500000</v>
      </c>
      <c r="G516" s="5">
        <v>38500000</v>
      </c>
      <c r="H516" s="5">
        <f>M516*26000*1.20565</f>
        <v>41719589.210000001</v>
      </c>
      <c r="I516" s="5">
        <f>G516-H516</f>
        <v>-3219589.2100000009</v>
      </c>
      <c r="J516" s="5">
        <v>3000000</v>
      </c>
      <c r="K516" s="5">
        <v>3550000</v>
      </c>
      <c r="L516" s="5">
        <v>3850000</v>
      </c>
      <c r="M516" s="7">
        <v>1330.9</v>
      </c>
      <c r="N516" s="5">
        <v>36000000</v>
      </c>
      <c r="O516" s="5">
        <v>39000000</v>
      </c>
      <c r="P516" s="3">
        <v>0.97916666666666663</v>
      </c>
    </row>
    <row r="517" spans="1:16" x14ac:dyDescent="0.25">
      <c r="A517" t="s">
        <v>332</v>
      </c>
      <c r="B517" s="2">
        <v>43123</v>
      </c>
      <c r="C517" t="str">
        <f>TEXT(B517,"mm")</f>
        <v>01</v>
      </c>
      <c r="D517" t="s">
        <v>18</v>
      </c>
      <c r="E517" t="s">
        <v>1636</v>
      </c>
      <c r="F517" s="5">
        <v>35600000</v>
      </c>
      <c r="G517" s="5">
        <v>38600000</v>
      </c>
      <c r="H517" s="5">
        <f>M517*26000*1.20565</f>
        <v>41870054.330000006</v>
      </c>
      <c r="I517" s="5">
        <f>G517-H517</f>
        <v>-3270054.3300000057</v>
      </c>
      <c r="J517" s="5">
        <v>3000000</v>
      </c>
      <c r="K517" s="5">
        <v>3560000</v>
      </c>
      <c r="L517" s="5">
        <v>3860000</v>
      </c>
      <c r="M517" s="7">
        <v>1335.7</v>
      </c>
      <c r="N517" s="5">
        <v>36100000</v>
      </c>
      <c r="O517" s="5">
        <v>39100000</v>
      </c>
      <c r="P517" s="3">
        <v>0.97916666666666663</v>
      </c>
    </row>
    <row r="518" spans="1:16" x14ac:dyDescent="0.25">
      <c r="A518" t="s">
        <v>333</v>
      </c>
      <c r="B518" s="2">
        <v>43124</v>
      </c>
      <c r="C518" t="str">
        <f>TEXT(B518,"mm")</f>
        <v>01</v>
      </c>
      <c r="D518" t="s">
        <v>19</v>
      </c>
      <c r="E518" t="s">
        <v>1636</v>
      </c>
      <c r="F518" s="5">
        <v>36200000</v>
      </c>
      <c r="G518" s="5">
        <v>39200000</v>
      </c>
      <c r="H518" s="5">
        <f>M518*26000*1.20565</f>
        <v>42503261.710000001</v>
      </c>
      <c r="I518" s="5">
        <f>G518-H518</f>
        <v>-3303261.7100000009</v>
      </c>
      <c r="J518" s="5">
        <v>3000000</v>
      </c>
      <c r="K518" s="5">
        <v>3620000</v>
      </c>
      <c r="L518" s="5">
        <v>3920000</v>
      </c>
      <c r="M518" s="7">
        <v>1355.9</v>
      </c>
      <c r="N518" s="5">
        <v>36700000</v>
      </c>
      <c r="O518" s="5">
        <v>39700000</v>
      </c>
      <c r="P518" s="3">
        <v>0.97916666666666663</v>
      </c>
    </row>
    <row r="519" spans="1:16" x14ac:dyDescent="0.25">
      <c r="A519" t="s">
        <v>334</v>
      </c>
      <c r="B519" s="2">
        <v>43125</v>
      </c>
      <c r="C519" t="str">
        <f>TEXT(B519,"mm")</f>
        <v>01</v>
      </c>
      <c r="D519" t="s">
        <v>20</v>
      </c>
      <c r="E519" t="s">
        <v>1636</v>
      </c>
      <c r="F519" s="5">
        <v>36400000</v>
      </c>
      <c r="G519" s="5">
        <v>39400000</v>
      </c>
      <c r="H519" s="5">
        <f>M519*26000*1.20565</f>
        <v>42707016.560000002</v>
      </c>
      <c r="I519" s="5">
        <f>G519-H519</f>
        <v>-3307016.5600000024</v>
      </c>
      <c r="J519" s="5">
        <v>3000000</v>
      </c>
      <c r="K519" s="5">
        <v>3640000</v>
      </c>
      <c r="L519" s="5">
        <v>3940000</v>
      </c>
      <c r="M519" s="7">
        <v>1362.4</v>
      </c>
      <c r="N519" s="5">
        <v>36900000</v>
      </c>
      <c r="O519" s="5">
        <v>39900000</v>
      </c>
      <c r="P519" s="3">
        <v>0.97916666666666663</v>
      </c>
    </row>
    <row r="520" spans="1:16" x14ac:dyDescent="0.25">
      <c r="A520" t="s">
        <v>335</v>
      </c>
      <c r="B520" s="2">
        <v>43126</v>
      </c>
      <c r="C520" t="str">
        <f>TEXT(B520,"mm")</f>
        <v>01</v>
      </c>
      <c r="D520" t="s">
        <v>21</v>
      </c>
      <c r="E520" t="s">
        <v>1636</v>
      </c>
      <c r="F520" s="5">
        <v>36100000</v>
      </c>
      <c r="G520" s="5">
        <v>39100000</v>
      </c>
      <c r="H520" s="5">
        <f>M520*26000*1.20565</f>
        <v>42368470.040000007</v>
      </c>
      <c r="I520" s="5">
        <f>G520-H520</f>
        <v>-3268470.0400000066</v>
      </c>
      <c r="J520" s="5">
        <v>3000000</v>
      </c>
      <c r="K520" s="5">
        <v>3610000</v>
      </c>
      <c r="L520" s="5">
        <v>3910000</v>
      </c>
      <c r="M520" s="7">
        <v>1351.6</v>
      </c>
      <c r="N520" s="5">
        <v>36600000</v>
      </c>
      <c r="O520" s="5">
        <v>39600000</v>
      </c>
      <c r="P520" s="3">
        <v>0.97916666666666663</v>
      </c>
    </row>
    <row r="521" spans="1:16" x14ac:dyDescent="0.25">
      <c r="A521" t="s">
        <v>336</v>
      </c>
      <c r="B521" s="2">
        <v>43130</v>
      </c>
      <c r="C521" t="str">
        <f>TEXT(B521,"mm")</f>
        <v>01</v>
      </c>
      <c r="D521" t="s">
        <v>18</v>
      </c>
      <c r="E521" t="s">
        <v>1636</v>
      </c>
      <c r="F521" s="5">
        <v>35600000</v>
      </c>
      <c r="G521" s="5">
        <v>38600000</v>
      </c>
      <c r="H521" s="5">
        <f>M521*26000*1.20565</f>
        <v>41860650.260000005</v>
      </c>
      <c r="I521" s="5">
        <f>G521-H521</f>
        <v>-3260650.2600000054</v>
      </c>
      <c r="J521" s="5">
        <v>3000000</v>
      </c>
      <c r="K521" s="5">
        <v>3560000</v>
      </c>
      <c r="L521" s="5">
        <v>3860000</v>
      </c>
      <c r="M521" s="7">
        <v>1335.4</v>
      </c>
      <c r="N521" s="5">
        <v>36100000</v>
      </c>
      <c r="O521" s="5">
        <v>39100000</v>
      </c>
      <c r="P521" s="3">
        <v>0.97916666666666663</v>
      </c>
    </row>
    <row r="522" spans="1:16" x14ac:dyDescent="0.25">
      <c r="A522" t="s">
        <v>337</v>
      </c>
      <c r="B522" s="2">
        <v>43131</v>
      </c>
      <c r="C522" t="str">
        <f>TEXT(B522,"mm")</f>
        <v>01</v>
      </c>
      <c r="D522" t="s">
        <v>19</v>
      </c>
      <c r="E522" t="s">
        <v>1636</v>
      </c>
      <c r="F522" s="5">
        <v>35700000</v>
      </c>
      <c r="G522" s="5">
        <v>38700000</v>
      </c>
      <c r="H522" s="5">
        <f>M522*26000*1.20565</f>
        <v>41973499.100000001</v>
      </c>
      <c r="I522" s="5">
        <f>G522-H522</f>
        <v>-3273499.1000000015</v>
      </c>
      <c r="J522" s="5">
        <v>3000000</v>
      </c>
      <c r="K522" s="5">
        <v>3570000</v>
      </c>
      <c r="L522" s="5">
        <v>3870000</v>
      </c>
      <c r="M522" s="7">
        <v>1339</v>
      </c>
      <c r="N522" s="5">
        <v>36200000</v>
      </c>
      <c r="O522" s="5">
        <v>39200000</v>
      </c>
      <c r="P522" s="3">
        <v>0.97916666666666663</v>
      </c>
    </row>
    <row r="523" spans="1:16" x14ac:dyDescent="0.25">
      <c r="A523" s="2">
        <v>43102</v>
      </c>
      <c r="B523" s="2">
        <v>43132</v>
      </c>
      <c r="C523" t="str">
        <f>TEXT(B523,"mm")</f>
        <v>02</v>
      </c>
      <c r="D523" t="s">
        <v>20</v>
      </c>
      <c r="E523" t="s">
        <v>1636</v>
      </c>
      <c r="F523" s="5">
        <v>35900000</v>
      </c>
      <c r="G523" s="5">
        <v>38900000</v>
      </c>
      <c r="H523" s="5">
        <f>M523*26000*1.20565</f>
        <v>42139637.670000002</v>
      </c>
      <c r="I523" s="5">
        <f>G523-H523</f>
        <v>-3239637.6700000018</v>
      </c>
      <c r="J523" s="5">
        <v>3000000</v>
      </c>
      <c r="K523" s="5">
        <v>3590000</v>
      </c>
      <c r="L523" s="5">
        <v>3890000</v>
      </c>
      <c r="M523" s="7">
        <v>1344.3</v>
      </c>
      <c r="N523" s="5">
        <v>36400000</v>
      </c>
      <c r="O523" s="5">
        <v>39400000</v>
      </c>
      <c r="P523" s="3">
        <v>0.97916666666666663</v>
      </c>
    </row>
    <row r="524" spans="1:16" x14ac:dyDescent="0.25">
      <c r="A524" s="2">
        <v>43133</v>
      </c>
      <c r="B524" s="2">
        <v>43133</v>
      </c>
      <c r="C524" t="str">
        <f>TEXT(B524,"mm")</f>
        <v>02</v>
      </c>
      <c r="D524" t="s">
        <v>21</v>
      </c>
      <c r="E524" t="s">
        <v>1636</v>
      </c>
      <c r="F524" s="5">
        <v>35600000</v>
      </c>
      <c r="G524" s="5">
        <v>38600000</v>
      </c>
      <c r="H524" s="5">
        <f>M524*26000*1.20565</f>
        <v>41807360.530000001</v>
      </c>
      <c r="I524" s="5">
        <f>G524-H524</f>
        <v>-3207360.5300000012</v>
      </c>
      <c r="J524" s="5">
        <v>3000000</v>
      </c>
      <c r="K524" s="5">
        <v>3560000</v>
      </c>
      <c r="L524" s="5">
        <v>3860000</v>
      </c>
      <c r="M524" s="7">
        <v>1333.7</v>
      </c>
      <c r="N524" s="5">
        <v>36100000</v>
      </c>
      <c r="O524" s="5">
        <v>39100000</v>
      </c>
      <c r="P524" s="3">
        <v>0.97916666666666663</v>
      </c>
    </row>
    <row r="525" spans="1:16" x14ac:dyDescent="0.25">
      <c r="A525" s="2">
        <v>43222</v>
      </c>
      <c r="B525" s="2">
        <v>43136</v>
      </c>
      <c r="C525" t="str">
        <f>TEXT(B525,"mm")</f>
        <v>02</v>
      </c>
      <c r="D525" t="s">
        <v>16</v>
      </c>
      <c r="E525" t="s">
        <v>1636</v>
      </c>
      <c r="F525" s="5">
        <v>35600000</v>
      </c>
      <c r="G525" s="5">
        <v>38600000</v>
      </c>
      <c r="H525" s="5">
        <f>M525*26000*1.20565</f>
        <v>41785417.700000003</v>
      </c>
      <c r="I525" s="5">
        <f>G525-H525</f>
        <v>-3185417.700000003</v>
      </c>
      <c r="J525" s="5">
        <v>3000000</v>
      </c>
      <c r="K525" s="5">
        <v>3560000</v>
      </c>
      <c r="L525" s="5">
        <v>3860000</v>
      </c>
      <c r="M525" s="7">
        <v>1333</v>
      </c>
      <c r="N525" s="5">
        <v>36100000</v>
      </c>
      <c r="O525" s="5">
        <v>39100000</v>
      </c>
      <c r="P525" s="3">
        <v>0.97916666666666663</v>
      </c>
    </row>
    <row r="526" spans="1:16" x14ac:dyDescent="0.25">
      <c r="A526" s="2">
        <v>43253</v>
      </c>
      <c r="B526" s="2">
        <v>43137</v>
      </c>
      <c r="C526" t="str">
        <f>TEXT(B526,"mm")</f>
        <v>02</v>
      </c>
      <c r="D526" t="s">
        <v>18</v>
      </c>
      <c r="E526" t="s">
        <v>1636</v>
      </c>
      <c r="F526" s="5">
        <v>35400000</v>
      </c>
      <c r="G526" s="5">
        <v>38400000</v>
      </c>
      <c r="H526" s="5">
        <f>M526*26000*1.20565</f>
        <v>41569124.090000004</v>
      </c>
      <c r="I526" s="5">
        <f>G526-H526</f>
        <v>-3169124.0900000036</v>
      </c>
      <c r="J526" s="5">
        <v>3000000</v>
      </c>
      <c r="K526" s="5">
        <v>3540000</v>
      </c>
      <c r="L526" s="5">
        <v>3840000</v>
      </c>
      <c r="M526" s="7">
        <v>1326.1</v>
      </c>
      <c r="N526" s="5">
        <v>35900000</v>
      </c>
      <c r="O526" s="5">
        <v>38900000</v>
      </c>
      <c r="P526" s="3">
        <v>0.97916666666666663</v>
      </c>
    </row>
    <row r="527" spans="1:16" x14ac:dyDescent="0.25">
      <c r="A527" s="2">
        <v>43283</v>
      </c>
      <c r="B527" s="2">
        <v>43138</v>
      </c>
      <c r="C527" t="str">
        <f>TEXT(B527,"mm")</f>
        <v>02</v>
      </c>
      <c r="D527" t="s">
        <v>19</v>
      </c>
      <c r="E527" t="s">
        <v>1636</v>
      </c>
      <c r="F527" s="5">
        <v>34900000</v>
      </c>
      <c r="G527" s="5">
        <v>37900000</v>
      </c>
      <c r="H527" s="5">
        <f>M527*26000*1.20565</f>
        <v>41114594.040000007</v>
      </c>
      <c r="I527" s="5">
        <f>G527-H527</f>
        <v>-3214594.0400000066</v>
      </c>
      <c r="J527" s="5">
        <v>3000000</v>
      </c>
      <c r="K527" s="5">
        <v>3490000</v>
      </c>
      <c r="L527" s="5">
        <v>3790000</v>
      </c>
      <c r="M527" s="7">
        <v>1311.6</v>
      </c>
      <c r="N527" s="5">
        <v>35400000</v>
      </c>
      <c r="O527" s="5">
        <v>38400000</v>
      </c>
      <c r="P527" s="3">
        <v>0.97916666666666663</v>
      </c>
    </row>
    <row r="528" spans="1:16" x14ac:dyDescent="0.25">
      <c r="A528" s="2">
        <v>43314</v>
      </c>
      <c r="B528" s="2">
        <v>43139</v>
      </c>
      <c r="C528" t="str">
        <f>TEXT(B528,"mm")</f>
        <v>02</v>
      </c>
      <c r="D528" t="s">
        <v>20</v>
      </c>
      <c r="E528" t="s">
        <v>1636</v>
      </c>
      <c r="F528" s="5">
        <v>35100000</v>
      </c>
      <c r="G528" s="5">
        <v>38100000</v>
      </c>
      <c r="H528" s="5">
        <f>M528*26000*1.20565</f>
        <v>41280732.610000007</v>
      </c>
      <c r="I528" s="5">
        <f>G528-H528</f>
        <v>-3180732.6100000069</v>
      </c>
      <c r="J528" s="5">
        <v>3000000</v>
      </c>
      <c r="K528" s="5">
        <v>3510000</v>
      </c>
      <c r="L528" s="5">
        <v>3810000</v>
      </c>
      <c r="M528" s="7">
        <v>1316.9</v>
      </c>
      <c r="N528" s="5">
        <v>35600000</v>
      </c>
      <c r="O528" s="5">
        <v>38600000</v>
      </c>
      <c r="P528" s="3">
        <v>0.97916666666666663</v>
      </c>
    </row>
    <row r="529" spans="1:16" x14ac:dyDescent="0.25">
      <c r="A529" s="2">
        <v>43345</v>
      </c>
      <c r="B529" s="2">
        <v>43140</v>
      </c>
      <c r="C529" t="str">
        <f>TEXT(B529,"mm")</f>
        <v>02</v>
      </c>
      <c r="D529" t="s">
        <v>21</v>
      </c>
      <c r="E529" t="s">
        <v>1636</v>
      </c>
      <c r="F529" s="5">
        <v>35000000</v>
      </c>
      <c r="G529" s="5">
        <v>38000000</v>
      </c>
      <c r="H529" s="5">
        <f>M529*26000*1.20565</f>
        <v>41161614.390000001</v>
      </c>
      <c r="I529" s="5">
        <f>G529-H529</f>
        <v>-3161614.3900000006</v>
      </c>
      <c r="J529" s="5">
        <v>3000000</v>
      </c>
      <c r="K529" s="5">
        <v>3500000</v>
      </c>
      <c r="L529" s="5">
        <v>3800000</v>
      </c>
      <c r="M529" s="7">
        <v>1313.1</v>
      </c>
      <c r="N529" s="5">
        <v>35500000</v>
      </c>
      <c r="O529" s="5">
        <v>38500000</v>
      </c>
      <c r="P529" s="3">
        <v>0.97916666666666663</v>
      </c>
    </row>
    <row r="530" spans="1:16" x14ac:dyDescent="0.25">
      <c r="A530" s="2">
        <v>43436</v>
      </c>
      <c r="B530" s="2">
        <v>43143</v>
      </c>
      <c r="C530" t="str">
        <f>TEXT(B530,"mm")</f>
        <v>02</v>
      </c>
      <c r="D530" t="s">
        <v>16</v>
      </c>
      <c r="E530" t="s">
        <v>1636</v>
      </c>
      <c r="F530" s="5">
        <v>35300000</v>
      </c>
      <c r="G530" s="5">
        <v>38300000</v>
      </c>
      <c r="H530" s="5">
        <f>M530*26000*1.20565</f>
        <v>41509564.980000004</v>
      </c>
      <c r="I530" s="5">
        <f>G530-H530</f>
        <v>-3209564.9800000042</v>
      </c>
      <c r="J530" s="5">
        <v>3000000</v>
      </c>
      <c r="K530" s="5">
        <v>3530000</v>
      </c>
      <c r="L530" s="5">
        <v>3830000</v>
      </c>
      <c r="M530" s="7">
        <v>1324.2</v>
      </c>
      <c r="N530" s="5">
        <v>35800000</v>
      </c>
      <c r="O530" s="5">
        <v>38800000</v>
      </c>
      <c r="P530" s="3">
        <v>0.97916666666666663</v>
      </c>
    </row>
    <row r="531" spans="1:16" x14ac:dyDescent="0.25">
      <c r="A531" t="s">
        <v>338</v>
      </c>
      <c r="B531" s="2">
        <v>43144</v>
      </c>
      <c r="C531" t="str">
        <f>TEXT(B531,"mm")</f>
        <v>02</v>
      </c>
      <c r="D531" t="s">
        <v>18</v>
      </c>
      <c r="E531" t="s">
        <v>1636</v>
      </c>
      <c r="F531" s="5">
        <v>35400000</v>
      </c>
      <c r="G531" s="5">
        <v>38400000</v>
      </c>
      <c r="H531" s="5">
        <f>M531*26000*1.20565</f>
        <v>41631817.890000001</v>
      </c>
      <c r="I531" s="5">
        <f>G531-H531</f>
        <v>-3231817.8900000006</v>
      </c>
      <c r="J531" s="5">
        <v>3000000</v>
      </c>
      <c r="K531" s="5">
        <v>3540000</v>
      </c>
      <c r="L531" s="5">
        <v>3840000</v>
      </c>
      <c r="M531" s="7">
        <v>1328.1</v>
      </c>
      <c r="N531" s="5">
        <v>35900000</v>
      </c>
      <c r="O531" s="5">
        <v>38900000</v>
      </c>
      <c r="P531" s="3">
        <v>0.97916666666666663</v>
      </c>
    </row>
    <row r="532" spans="1:16" x14ac:dyDescent="0.25">
      <c r="A532" t="s">
        <v>339</v>
      </c>
      <c r="B532" s="2">
        <v>43145</v>
      </c>
      <c r="C532" t="str">
        <f>TEXT(B532,"mm")</f>
        <v>02</v>
      </c>
      <c r="D532" t="s">
        <v>19</v>
      </c>
      <c r="E532" t="s">
        <v>1636</v>
      </c>
      <c r="F532" s="5">
        <v>36200000</v>
      </c>
      <c r="G532" s="5">
        <v>39200000</v>
      </c>
      <c r="H532" s="5">
        <f>M532*26000*1.20565</f>
        <v>42490722.950000003</v>
      </c>
      <c r="I532" s="5">
        <f>G532-H532</f>
        <v>-3290722.950000003</v>
      </c>
      <c r="J532" s="5">
        <v>3000000</v>
      </c>
      <c r="K532" s="5">
        <v>3620000</v>
      </c>
      <c r="L532" s="5">
        <v>3920000</v>
      </c>
      <c r="M532" s="7">
        <v>1355.5</v>
      </c>
      <c r="N532" s="5">
        <v>36700000</v>
      </c>
      <c r="O532" s="5">
        <v>39700000</v>
      </c>
      <c r="P532" s="3">
        <v>0.97916666666666663</v>
      </c>
    </row>
    <row r="533" spans="1:16" x14ac:dyDescent="0.25">
      <c r="A533" t="s">
        <v>340</v>
      </c>
      <c r="B533" s="2">
        <v>43146</v>
      </c>
      <c r="C533" t="str">
        <f>TEXT(B533,"mm")</f>
        <v>02</v>
      </c>
      <c r="D533" t="s">
        <v>20</v>
      </c>
      <c r="E533" t="s">
        <v>1636</v>
      </c>
      <c r="F533" s="5">
        <v>36100000</v>
      </c>
      <c r="G533" s="5">
        <v>39100000</v>
      </c>
      <c r="H533" s="5">
        <f>M533*26000*1.20565</f>
        <v>42384143.490000002</v>
      </c>
      <c r="I533" s="5">
        <f>G533-H533</f>
        <v>-3284143.4900000021</v>
      </c>
      <c r="J533" s="5">
        <v>3000000</v>
      </c>
      <c r="K533" s="5">
        <v>3610000</v>
      </c>
      <c r="L533" s="5">
        <v>3910000</v>
      </c>
      <c r="M533" s="7">
        <v>1352.1</v>
      </c>
      <c r="N533" s="5">
        <v>36600000</v>
      </c>
      <c r="O533" s="5">
        <v>39600000</v>
      </c>
      <c r="P533" s="3">
        <v>0.97916666666666663</v>
      </c>
    </row>
    <row r="534" spans="1:16" x14ac:dyDescent="0.25">
      <c r="A534" t="s">
        <v>341</v>
      </c>
      <c r="B534" s="2">
        <v>43147</v>
      </c>
      <c r="C534" t="str">
        <f>TEXT(B534,"mm")</f>
        <v>02</v>
      </c>
      <c r="D534" t="s">
        <v>21</v>
      </c>
      <c r="E534" t="s">
        <v>1636</v>
      </c>
      <c r="F534" s="5">
        <v>36100000</v>
      </c>
      <c r="G534" s="5">
        <v>39100000</v>
      </c>
      <c r="H534" s="5">
        <f>M534*26000*1.20565</f>
        <v>42418625.080000006</v>
      </c>
      <c r="I534" s="5">
        <f>G534-H534</f>
        <v>-3318625.0800000057</v>
      </c>
      <c r="J534" s="5">
        <v>3000000</v>
      </c>
      <c r="K534" s="5">
        <v>3610000</v>
      </c>
      <c r="L534" s="5">
        <v>3910000</v>
      </c>
      <c r="M534" s="7">
        <v>1353.2</v>
      </c>
      <c r="N534" s="5">
        <v>36600000</v>
      </c>
      <c r="O534" s="5">
        <v>39600000</v>
      </c>
      <c r="P534" s="3">
        <v>0.97916666666666663</v>
      </c>
    </row>
    <row r="535" spans="1:16" x14ac:dyDescent="0.25">
      <c r="A535" t="s">
        <v>342</v>
      </c>
      <c r="B535" s="2">
        <v>43151</v>
      </c>
      <c r="C535" t="str">
        <f>TEXT(B535,"mm")</f>
        <v>02</v>
      </c>
      <c r="D535" t="s">
        <v>18</v>
      </c>
      <c r="E535" t="s">
        <v>1636</v>
      </c>
      <c r="F535" s="5">
        <v>35400000</v>
      </c>
      <c r="G535" s="5">
        <v>38400000</v>
      </c>
      <c r="H535" s="5">
        <f>M535*26000*1.20565</f>
        <v>41653760.720000006</v>
      </c>
      <c r="I535" s="5">
        <f>G535-H535</f>
        <v>-3253760.7200000063</v>
      </c>
      <c r="J535" s="5">
        <v>3000000</v>
      </c>
      <c r="K535" s="5">
        <v>3540000</v>
      </c>
      <c r="L535" s="5">
        <v>3840000</v>
      </c>
      <c r="M535" s="7">
        <v>1328.8</v>
      </c>
      <c r="N535" s="5">
        <v>35900000</v>
      </c>
      <c r="O535" s="5">
        <v>38900000</v>
      </c>
      <c r="P535" s="3">
        <v>0.97916666666666663</v>
      </c>
    </row>
    <row r="536" spans="1:16" x14ac:dyDescent="0.25">
      <c r="A536" t="s">
        <v>343</v>
      </c>
      <c r="B536" s="2">
        <v>43152</v>
      </c>
      <c r="C536" t="str">
        <f>TEXT(B536,"mm")</f>
        <v>02</v>
      </c>
      <c r="D536" t="s">
        <v>19</v>
      </c>
      <c r="E536" t="s">
        <v>1636</v>
      </c>
      <c r="F536" s="5">
        <v>35500000</v>
      </c>
      <c r="G536" s="5">
        <v>38500000</v>
      </c>
      <c r="H536" s="5">
        <f>M536*26000*1.20565</f>
        <v>41691377.000000007</v>
      </c>
      <c r="I536" s="5">
        <f>G536-H536</f>
        <v>-3191377.0000000075</v>
      </c>
      <c r="J536" s="5">
        <v>3000000</v>
      </c>
      <c r="K536" s="5">
        <v>3550000</v>
      </c>
      <c r="L536" s="5">
        <v>3850000</v>
      </c>
      <c r="M536" s="7">
        <v>1330</v>
      </c>
      <c r="N536" s="5">
        <v>36000000</v>
      </c>
      <c r="O536" s="5">
        <v>39000000</v>
      </c>
      <c r="P536" s="3">
        <v>0.97916666666666663</v>
      </c>
    </row>
    <row r="537" spans="1:16" x14ac:dyDescent="0.25">
      <c r="A537" t="s">
        <v>344</v>
      </c>
      <c r="B537" s="2">
        <v>43153</v>
      </c>
      <c r="C537" t="str">
        <f>TEXT(B537,"mm")</f>
        <v>02</v>
      </c>
      <c r="D537" t="s">
        <v>20</v>
      </c>
      <c r="E537" t="s">
        <v>1636</v>
      </c>
      <c r="F537" s="5">
        <v>35500000</v>
      </c>
      <c r="G537" s="5">
        <v>38500000</v>
      </c>
      <c r="H537" s="5">
        <f>M537*26000*1.20565</f>
        <v>41710185.140000001</v>
      </c>
      <c r="I537" s="5">
        <f>G537-H537</f>
        <v>-3210185.1400000006</v>
      </c>
      <c r="J537" s="5">
        <v>3000000</v>
      </c>
      <c r="K537" s="5">
        <v>3550000</v>
      </c>
      <c r="L537" s="5">
        <v>3850000</v>
      </c>
      <c r="M537" s="7">
        <v>1330.6</v>
      </c>
      <c r="N537" s="5">
        <v>36000000</v>
      </c>
      <c r="O537" s="5">
        <v>39000000</v>
      </c>
      <c r="P537" s="3">
        <v>0.97916666666666663</v>
      </c>
    </row>
    <row r="538" spans="1:16" x14ac:dyDescent="0.25">
      <c r="A538" t="s">
        <v>345</v>
      </c>
      <c r="B538" s="2">
        <v>43154</v>
      </c>
      <c r="C538" t="str">
        <f>TEXT(B538,"mm")</f>
        <v>02</v>
      </c>
      <c r="D538" t="s">
        <v>21</v>
      </c>
      <c r="E538" t="s">
        <v>1636</v>
      </c>
      <c r="F538" s="5">
        <v>35400000</v>
      </c>
      <c r="G538" s="5">
        <v>38400000</v>
      </c>
      <c r="H538" s="5">
        <f>M538*26000*1.20565</f>
        <v>41634952.580000006</v>
      </c>
      <c r="I538" s="5">
        <f>G538-H538</f>
        <v>-3234952.5800000057</v>
      </c>
      <c r="J538" s="5">
        <v>3000000</v>
      </c>
      <c r="K538" s="5">
        <v>3540000</v>
      </c>
      <c r="L538" s="5">
        <v>3840000</v>
      </c>
      <c r="M538" s="7">
        <v>1328.2</v>
      </c>
      <c r="N538" s="5">
        <v>35900000</v>
      </c>
      <c r="O538" s="5">
        <v>38900000</v>
      </c>
      <c r="P538" s="3">
        <v>0.97916666666666663</v>
      </c>
    </row>
    <row r="539" spans="1:16" x14ac:dyDescent="0.25">
      <c r="A539" t="s">
        <v>346</v>
      </c>
      <c r="B539" s="2">
        <v>43157</v>
      </c>
      <c r="C539" t="str">
        <f>TEXT(B539,"mm")</f>
        <v>02</v>
      </c>
      <c r="D539" t="s">
        <v>16</v>
      </c>
      <c r="E539" t="s">
        <v>1636</v>
      </c>
      <c r="F539" s="5">
        <v>35500000</v>
      </c>
      <c r="G539" s="5">
        <v>38500000</v>
      </c>
      <c r="H539" s="5">
        <f>M539*26000*1.20565</f>
        <v>41713319.830000006</v>
      </c>
      <c r="I539" s="5">
        <f>G539-H539</f>
        <v>-3213319.8300000057</v>
      </c>
      <c r="J539" s="5">
        <v>3000000</v>
      </c>
      <c r="K539" s="5">
        <v>3550000</v>
      </c>
      <c r="L539" s="5">
        <v>3850000</v>
      </c>
      <c r="M539" s="7">
        <v>1330.7</v>
      </c>
      <c r="N539" s="5">
        <v>36000000</v>
      </c>
      <c r="O539" s="5">
        <v>39000000</v>
      </c>
      <c r="P539" s="3">
        <v>0.97916666666666663</v>
      </c>
    </row>
    <row r="540" spans="1:16" x14ac:dyDescent="0.25">
      <c r="A540" t="s">
        <v>347</v>
      </c>
      <c r="B540" s="2">
        <v>43158</v>
      </c>
      <c r="C540" t="str">
        <f>TEXT(B540,"mm")</f>
        <v>02</v>
      </c>
      <c r="D540" t="s">
        <v>18</v>
      </c>
      <c r="E540" t="s">
        <v>1636</v>
      </c>
      <c r="F540" s="5">
        <v>35100000</v>
      </c>
      <c r="G540" s="5">
        <v>38100000</v>
      </c>
      <c r="H540" s="5">
        <f>M540*26000*1.20565</f>
        <v>41236846.950000003</v>
      </c>
      <c r="I540" s="5">
        <f>G540-H540</f>
        <v>-3136846.950000003</v>
      </c>
      <c r="J540" s="5">
        <v>3000000</v>
      </c>
      <c r="K540" s="5">
        <v>3510000</v>
      </c>
      <c r="L540" s="5">
        <v>3810000</v>
      </c>
      <c r="M540" s="7">
        <v>1315.5</v>
      </c>
      <c r="N540" s="5">
        <v>35600000</v>
      </c>
      <c r="O540" s="5">
        <v>38600000</v>
      </c>
      <c r="P540" s="3">
        <v>0.97916666666666663</v>
      </c>
    </row>
    <row r="541" spans="1:16" x14ac:dyDescent="0.25">
      <c r="A541" t="s">
        <v>348</v>
      </c>
      <c r="B541" s="2">
        <v>43159</v>
      </c>
      <c r="C541" t="str">
        <f>TEXT(B541,"mm")</f>
        <v>02</v>
      </c>
      <c r="D541" t="s">
        <v>19</v>
      </c>
      <c r="E541" t="s">
        <v>1636</v>
      </c>
      <c r="F541" s="5">
        <v>35100000</v>
      </c>
      <c r="G541" s="5">
        <v>38100000</v>
      </c>
      <c r="H541" s="5">
        <f>M541*26000*1.20565</f>
        <v>41236846.950000003</v>
      </c>
      <c r="I541" s="5">
        <f>G541-H541</f>
        <v>-3136846.950000003</v>
      </c>
      <c r="J541" s="5">
        <v>3000000</v>
      </c>
      <c r="K541" s="5">
        <v>3510000</v>
      </c>
      <c r="L541" s="5">
        <v>3810000</v>
      </c>
      <c r="M541" s="7">
        <v>1315.5</v>
      </c>
      <c r="N541" s="5">
        <v>35600000</v>
      </c>
      <c r="O541" s="5">
        <v>38600000</v>
      </c>
      <c r="P541" s="3">
        <v>0.97916666666666663</v>
      </c>
    </row>
    <row r="542" spans="1:16" x14ac:dyDescent="0.25">
      <c r="A542" s="2">
        <v>43103</v>
      </c>
      <c r="B542" s="2">
        <v>43160</v>
      </c>
      <c r="C542" t="str">
        <f>TEXT(B542,"mm")</f>
        <v>03</v>
      </c>
      <c r="D542" t="s">
        <v>20</v>
      </c>
      <c r="E542" t="s">
        <v>1636</v>
      </c>
      <c r="F542" s="5">
        <v>34700000</v>
      </c>
      <c r="G542" s="5">
        <v>37700000</v>
      </c>
      <c r="H542" s="5">
        <f>M542*26000*1.20565</f>
        <v>40841876.010000005</v>
      </c>
      <c r="I542" s="5">
        <f>G542-H542</f>
        <v>-3141876.0100000054</v>
      </c>
      <c r="J542" s="5">
        <v>3000000</v>
      </c>
      <c r="K542" s="5">
        <v>3470000</v>
      </c>
      <c r="L542" s="5">
        <v>3770000</v>
      </c>
      <c r="M542" s="7">
        <v>1302.9000000000001</v>
      </c>
      <c r="N542" s="5">
        <v>35200000</v>
      </c>
      <c r="O542" s="5">
        <v>38200000</v>
      </c>
      <c r="P542" s="3">
        <v>0.97916666666666663</v>
      </c>
    </row>
    <row r="543" spans="1:16" x14ac:dyDescent="0.25">
      <c r="A543" s="2">
        <v>43134</v>
      </c>
      <c r="B543" s="2">
        <v>43161</v>
      </c>
      <c r="C543" t="str">
        <f>TEXT(B543,"mm")</f>
        <v>03</v>
      </c>
      <c r="D543" t="s">
        <v>21</v>
      </c>
      <c r="E543" t="s">
        <v>1636</v>
      </c>
      <c r="F543" s="5">
        <v>35200000</v>
      </c>
      <c r="G543" s="5">
        <v>38200000</v>
      </c>
      <c r="H543" s="5">
        <f>M543*26000*1.20565</f>
        <v>41412389.590000004</v>
      </c>
      <c r="I543" s="5">
        <f>G543-H543</f>
        <v>-3212389.5900000036</v>
      </c>
      <c r="J543" s="5">
        <v>3000000</v>
      </c>
      <c r="K543" s="5">
        <v>3520000</v>
      </c>
      <c r="L543" s="5">
        <v>3820000</v>
      </c>
      <c r="M543" s="7">
        <v>1321.1</v>
      </c>
      <c r="N543" s="5">
        <v>35700000</v>
      </c>
      <c r="O543" s="5">
        <v>38700000</v>
      </c>
      <c r="P543" s="3">
        <v>0.97916666666666663</v>
      </c>
    </row>
    <row r="544" spans="1:16" x14ac:dyDescent="0.25">
      <c r="A544" s="2">
        <v>43223</v>
      </c>
      <c r="B544" s="2">
        <v>43164</v>
      </c>
      <c r="C544" t="str">
        <f>TEXT(B544,"mm")</f>
        <v>03</v>
      </c>
      <c r="D544" t="s">
        <v>16</v>
      </c>
      <c r="E544" t="s">
        <v>1636</v>
      </c>
      <c r="F544" s="5">
        <v>35100000</v>
      </c>
      <c r="G544" s="5">
        <v>38100000</v>
      </c>
      <c r="H544" s="5">
        <f>M544*26000*1.20565</f>
        <v>41318348.890000001</v>
      </c>
      <c r="I544" s="5">
        <f>G544-H544</f>
        <v>-3218348.8900000006</v>
      </c>
      <c r="J544" s="5">
        <v>3000000</v>
      </c>
      <c r="K544" s="5">
        <v>3510000</v>
      </c>
      <c r="L544" s="5">
        <v>3810000</v>
      </c>
      <c r="M544" s="7">
        <v>1318.1</v>
      </c>
      <c r="N544" s="5">
        <v>35600000</v>
      </c>
      <c r="O544" s="5">
        <v>38600000</v>
      </c>
      <c r="P544" s="3">
        <v>0.97916666666666663</v>
      </c>
    </row>
    <row r="545" spans="1:16" x14ac:dyDescent="0.25">
      <c r="A545" s="2">
        <v>43254</v>
      </c>
      <c r="B545" s="2">
        <v>43165</v>
      </c>
      <c r="C545" t="str">
        <f>TEXT(B545,"mm")</f>
        <v>03</v>
      </c>
      <c r="D545" t="s">
        <v>18</v>
      </c>
      <c r="E545" t="s">
        <v>1636</v>
      </c>
      <c r="F545" s="5">
        <v>35600000</v>
      </c>
      <c r="G545" s="5">
        <v>38600000</v>
      </c>
      <c r="H545" s="5">
        <f>M545*26000*1.20565</f>
        <v>41804225.840000004</v>
      </c>
      <c r="I545" s="5">
        <f>G545-H545</f>
        <v>-3204225.8400000036</v>
      </c>
      <c r="J545" s="5">
        <v>3000000</v>
      </c>
      <c r="K545" s="5">
        <v>3560000</v>
      </c>
      <c r="L545" s="5">
        <v>3860000</v>
      </c>
      <c r="M545" s="7">
        <v>1333.6</v>
      </c>
      <c r="N545" s="5">
        <v>36100000</v>
      </c>
      <c r="O545" s="5">
        <v>39100000</v>
      </c>
      <c r="P545" s="3">
        <v>0.97916666666666663</v>
      </c>
    </row>
    <row r="546" spans="1:16" x14ac:dyDescent="0.25">
      <c r="A546" s="2">
        <v>43284</v>
      </c>
      <c r="B546" s="2">
        <v>43166</v>
      </c>
      <c r="C546" t="str">
        <f>TEXT(B546,"mm")</f>
        <v>03</v>
      </c>
      <c r="D546" t="s">
        <v>19</v>
      </c>
      <c r="E546" t="s">
        <v>1636</v>
      </c>
      <c r="F546" s="5">
        <v>35400000</v>
      </c>
      <c r="G546" s="5">
        <v>38400000</v>
      </c>
      <c r="H546" s="5">
        <f>M546*26000*1.20565</f>
        <v>41565989.400000006</v>
      </c>
      <c r="I546" s="5">
        <f>G546-H546</f>
        <v>-3165989.400000006</v>
      </c>
      <c r="J546" s="5">
        <v>3000000</v>
      </c>
      <c r="K546" s="5">
        <v>3540000</v>
      </c>
      <c r="L546" s="5">
        <v>3840000</v>
      </c>
      <c r="M546" s="7">
        <v>1326</v>
      </c>
      <c r="N546" s="5">
        <v>35900000</v>
      </c>
      <c r="O546" s="5">
        <v>38900000</v>
      </c>
      <c r="P546" s="3">
        <v>0.97916666666666663</v>
      </c>
    </row>
    <row r="547" spans="1:16" x14ac:dyDescent="0.25">
      <c r="A547" s="2">
        <v>43315</v>
      </c>
      <c r="B547" s="2">
        <v>43167</v>
      </c>
      <c r="C547" t="str">
        <f>TEXT(B547,"mm")</f>
        <v>03</v>
      </c>
      <c r="D547" t="s">
        <v>20</v>
      </c>
      <c r="E547" t="s">
        <v>1636</v>
      </c>
      <c r="F547" s="5">
        <v>35200000</v>
      </c>
      <c r="G547" s="5">
        <v>38200000</v>
      </c>
      <c r="H547" s="5">
        <f>M547*26000*1.20565</f>
        <v>41374773.310000002</v>
      </c>
      <c r="I547" s="5">
        <f>G547-H547</f>
        <v>-3174773.3100000024</v>
      </c>
      <c r="J547" s="5">
        <v>3000000</v>
      </c>
      <c r="K547" s="5">
        <v>3520000</v>
      </c>
      <c r="L547" s="5">
        <v>3820000</v>
      </c>
      <c r="M547" s="7">
        <v>1319.9</v>
      </c>
      <c r="N547" s="5">
        <v>35700000</v>
      </c>
      <c r="O547" s="5">
        <v>38700000</v>
      </c>
      <c r="P547" s="3">
        <v>0.97916666666666663</v>
      </c>
    </row>
    <row r="548" spans="1:16" x14ac:dyDescent="0.25">
      <c r="A548" s="2">
        <v>43346</v>
      </c>
      <c r="B548" s="2">
        <v>43168</v>
      </c>
      <c r="C548" t="str">
        <f>TEXT(B548,"mm")</f>
        <v>03</v>
      </c>
      <c r="D548" t="s">
        <v>21</v>
      </c>
      <c r="E548" t="s">
        <v>1636</v>
      </c>
      <c r="F548" s="5">
        <v>35300000</v>
      </c>
      <c r="G548" s="5">
        <v>38300000</v>
      </c>
      <c r="H548" s="5">
        <f>M548*26000*1.20565</f>
        <v>41453140.560000002</v>
      </c>
      <c r="I548" s="5">
        <f>G548-H548</f>
        <v>-3153140.5600000024</v>
      </c>
      <c r="J548" s="5">
        <v>3000000</v>
      </c>
      <c r="K548" s="5">
        <v>3530000</v>
      </c>
      <c r="L548" s="5">
        <v>3830000</v>
      </c>
      <c r="M548" s="7">
        <v>1322.4</v>
      </c>
      <c r="N548" s="5">
        <v>35800000</v>
      </c>
      <c r="O548" s="5">
        <v>38800000</v>
      </c>
      <c r="P548" s="3">
        <v>0.97916666666666663</v>
      </c>
    </row>
    <row r="549" spans="1:16" x14ac:dyDescent="0.25">
      <c r="A549" s="2">
        <v>43437</v>
      </c>
      <c r="B549" s="2">
        <v>43171</v>
      </c>
      <c r="C549" t="str">
        <f>TEXT(B549,"mm")</f>
        <v>03</v>
      </c>
      <c r="D549" t="s">
        <v>16</v>
      </c>
      <c r="E549" t="s">
        <v>1636</v>
      </c>
      <c r="F549" s="5">
        <v>35200000</v>
      </c>
      <c r="G549" s="5">
        <v>38200000</v>
      </c>
      <c r="H549" s="5">
        <f>M549*26000*1.20565</f>
        <v>41359099.860000007</v>
      </c>
      <c r="I549" s="5">
        <f>G549-H549</f>
        <v>-3159099.8600000069</v>
      </c>
      <c r="J549" s="5">
        <v>3000000</v>
      </c>
      <c r="K549" s="5">
        <v>3520000</v>
      </c>
      <c r="L549" s="5">
        <v>3820000</v>
      </c>
      <c r="M549" s="7">
        <v>1319.4</v>
      </c>
      <c r="N549" s="5">
        <v>35700000</v>
      </c>
      <c r="O549" s="5">
        <v>38700000</v>
      </c>
      <c r="P549" s="3">
        <v>0.97916666666666663</v>
      </c>
    </row>
    <row r="550" spans="1:16" x14ac:dyDescent="0.25">
      <c r="A550" t="s">
        <v>349</v>
      </c>
      <c r="B550" s="2">
        <v>43172</v>
      </c>
      <c r="C550" t="str">
        <f>TEXT(B550,"mm")</f>
        <v>03</v>
      </c>
      <c r="D550" t="s">
        <v>18</v>
      </c>
      <c r="E550" t="s">
        <v>1636</v>
      </c>
      <c r="F550" s="5">
        <v>35400000</v>
      </c>
      <c r="G550" s="5">
        <v>38400000</v>
      </c>
      <c r="H550" s="5">
        <f>M550*26000*1.20565</f>
        <v>41562854.710000001</v>
      </c>
      <c r="I550" s="5">
        <f>G550-H550</f>
        <v>-3162854.7100000009</v>
      </c>
      <c r="J550" s="5">
        <v>3000000</v>
      </c>
      <c r="K550" s="5">
        <v>3540000</v>
      </c>
      <c r="L550" s="5">
        <v>3840000</v>
      </c>
      <c r="M550" s="7">
        <v>1325.9</v>
      </c>
      <c r="N550" s="5">
        <v>35900000</v>
      </c>
      <c r="O550" s="5">
        <v>38900000</v>
      </c>
      <c r="P550" s="3">
        <v>0.97916666666666663</v>
      </c>
    </row>
    <row r="551" spans="1:16" x14ac:dyDescent="0.25">
      <c r="A551" t="s">
        <v>350</v>
      </c>
      <c r="B551" s="2">
        <v>43173</v>
      </c>
      <c r="C551" t="str">
        <f>TEXT(B551,"mm")</f>
        <v>03</v>
      </c>
      <c r="D551" t="s">
        <v>19</v>
      </c>
      <c r="E551" t="s">
        <v>1636</v>
      </c>
      <c r="F551" s="5">
        <v>35300000</v>
      </c>
      <c r="G551" s="5">
        <v>38300000</v>
      </c>
      <c r="H551" s="5">
        <f>M551*26000*1.20565</f>
        <v>41515834.360000007</v>
      </c>
      <c r="I551" s="5">
        <f>G551-H551</f>
        <v>-3215834.3600000069</v>
      </c>
      <c r="J551" s="5">
        <v>3000000</v>
      </c>
      <c r="K551" s="5">
        <v>3530000</v>
      </c>
      <c r="L551" s="5">
        <v>3830000</v>
      </c>
      <c r="M551" s="7">
        <v>1324.4</v>
      </c>
      <c r="N551" s="5">
        <v>35800000</v>
      </c>
      <c r="O551" s="5">
        <v>38800000</v>
      </c>
      <c r="P551" s="3">
        <v>0.97916666666666663</v>
      </c>
    </row>
    <row r="552" spans="1:16" x14ac:dyDescent="0.25">
      <c r="A552" t="s">
        <v>351</v>
      </c>
      <c r="B552" s="2">
        <v>43174</v>
      </c>
      <c r="C552" t="str">
        <f>TEXT(B552,"mm")</f>
        <v>03</v>
      </c>
      <c r="D552" t="s">
        <v>20</v>
      </c>
      <c r="E552" t="s">
        <v>1636</v>
      </c>
      <c r="F552" s="5">
        <v>35100000</v>
      </c>
      <c r="G552" s="5">
        <v>38100000</v>
      </c>
      <c r="H552" s="5">
        <f>M552*26000*1.20565</f>
        <v>41277597.920000002</v>
      </c>
      <c r="I552" s="5">
        <f>G552-H552</f>
        <v>-3177597.9200000018</v>
      </c>
      <c r="J552" s="5">
        <v>3000000</v>
      </c>
      <c r="K552" s="5">
        <v>3510000</v>
      </c>
      <c r="L552" s="5">
        <v>3810000</v>
      </c>
      <c r="M552" s="7">
        <v>1316.8</v>
      </c>
      <c r="N552" s="5">
        <v>35600000</v>
      </c>
      <c r="O552" s="5">
        <v>38600000</v>
      </c>
      <c r="P552" s="3">
        <v>0.97916666666666663</v>
      </c>
    </row>
    <row r="553" spans="1:16" x14ac:dyDescent="0.25">
      <c r="A553" t="s">
        <v>352</v>
      </c>
      <c r="B553" s="2">
        <v>43175</v>
      </c>
      <c r="C553" t="str">
        <f>TEXT(B553,"mm")</f>
        <v>03</v>
      </c>
      <c r="D553" t="s">
        <v>21</v>
      </c>
      <c r="E553" t="s">
        <v>1636</v>
      </c>
      <c r="F553" s="5">
        <v>34900000</v>
      </c>
      <c r="G553" s="5">
        <v>37900000</v>
      </c>
      <c r="H553" s="5">
        <f>M553*26000*1.20565</f>
        <v>41105189.970000006</v>
      </c>
      <c r="I553" s="5">
        <f>G553-H553</f>
        <v>-3205189.9700000063</v>
      </c>
      <c r="J553" s="5">
        <v>3000000</v>
      </c>
      <c r="K553" s="5">
        <v>3490000</v>
      </c>
      <c r="L553" s="5">
        <v>3790000</v>
      </c>
      <c r="M553" s="7">
        <v>1311.3</v>
      </c>
      <c r="N553" s="5">
        <v>35400000</v>
      </c>
      <c r="O553" s="5">
        <v>38400000</v>
      </c>
      <c r="P553" s="3">
        <v>0.97916666666666663</v>
      </c>
    </row>
    <row r="554" spans="1:16" x14ac:dyDescent="0.25">
      <c r="A554" t="s">
        <v>353</v>
      </c>
      <c r="B554" s="2">
        <v>43178</v>
      </c>
      <c r="C554" t="str">
        <f>TEXT(B554,"mm")</f>
        <v>03</v>
      </c>
      <c r="D554" t="s">
        <v>16</v>
      </c>
      <c r="E554" t="s">
        <v>1636</v>
      </c>
      <c r="F554" s="5">
        <v>35100000</v>
      </c>
      <c r="G554" s="5">
        <v>38100000</v>
      </c>
      <c r="H554" s="5">
        <f>M554*26000*1.20565</f>
        <v>41277597.920000002</v>
      </c>
      <c r="I554" s="5">
        <f>G554-H554</f>
        <v>-3177597.9200000018</v>
      </c>
      <c r="J554" s="5">
        <v>3000000</v>
      </c>
      <c r="K554" s="5">
        <v>3510000</v>
      </c>
      <c r="L554" s="5">
        <v>3810000</v>
      </c>
      <c r="M554" s="7">
        <v>1316.8</v>
      </c>
      <c r="N554" s="5">
        <v>35600000</v>
      </c>
      <c r="O554" s="5">
        <v>38600000</v>
      </c>
      <c r="P554" s="3">
        <v>0.97916666666666663</v>
      </c>
    </row>
    <row r="555" spans="1:16" x14ac:dyDescent="0.25">
      <c r="A555" t="s">
        <v>354</v>
      </c>
      <c r="B555" s="2">
        <v>43179</v>
      </c>
      <c r="C555" t="str">
        <f>TEXT(B555,"mm")</f>
        <v>03</v>
      </c>
      <c r="D555" t="s">
        <v>18</v>
      </c>
      <c r="E555" t="s">
        <v>1636</v>
      </c>
      <c r="F555" s="5">
        <v>34900000</v>
      </c>
      <c r="G555" s="5">
        <v>37900000</v>
      </c>
      <c r="H555" s="5">
        <f>M555*26000*1.20565</f>
        <v>41098920.590000004</v>
      </c>
      <c r="I555" s="5">
        <f>G555-H555</f>
        <v>-3198920.5900000036</v>
      </c>
      <c r="J555" s="5">
        <v>3000000</v>
      </c>
      <c r="K555" s="5">
        <v>3490000</v>
      </c>
      <c r="L555" s="5">
        <v>3790000</v>
      </c>
      <c r="M555" s="7">
        <v>1311.1</v>
      </c>
      <c r="N555" s="5">
        <v>35400000</v>
      </c>
      <c r="O555" s="5">
        <v>38400000</v>
      </c>
      <c r="P555" s="3">
        <v>0.97916666666666663</v>
      </c>
    </row>
    <row r="556" spans="1:16" x14ac:dyDescent="0.25">
      <c r="A556" t="s">
        <v>355</v>
      </c>
      <c r="B556" s="2">
        <v>43180</v>
      </c>
      <c r="C556" t="str">
        <f>TEXT(B556,"mm")</f>
        <v>03</v>
      </c>
      <c r="D556" t="s">
        <v>19</v>
      </c>
      <c r="E556" t="s">
        <v>1636</v>
      </c>
      <c r="F556" s="5">
        <v>35200000</v>
      </c>
      <c r="G556" s="5">
        <v>38200000</v>
      </c>
      <c r="H556" s="5">
        <f>M556*26000*1.20565</f>
        <v>41399850.830000006</v>
      </c>
      <c r="I556" s="5">
        <f>G556-H556</f>
        <v>-3199850.8300000057</v>
      </c>
      <c r="J556" s="5">
        <v>3000000</v>
      </c>
      <c r="K556" s="5">
        <v>3520000</v>
      </c>
      <c r="L556" s="5">
        <v>3820000</v>
      </c>
      <c r="M556" s="7">
        <v>1320.7</v>
      </c>
      <c r="N556" s="5">
        <v>35700000</v>
      </c>
      <c r="O556" s="5">
        <v>38700000</v>
      </c>
      <c r="P556" s="3">
        <v>0.97916666666666663</v>
      </c>
    </row>
    <row r="557" spans="1:16" x14ac:dyDescent="0.25">
      <c r="A557" t="s">
        <v>356</v>
      </c>
      <c r="B557" s="2">
        <v>43181</v>
      </c>
      <c r="C557" t="str">
        <f>TEXT(B557,"mm")</f>
        <v>03</v>
      </c>
      <c r="D557" t="s">
        <v>20</v>
      </c>
      <c r="E557" t="s">
        <v>1636</v>
      </c>
      <c r="F557" s="5">
        <v>35400000</v>
      </c>
      <c r="G557" s="5">
        <v>38400000</v>
      </c>
      <c r="H557" s="5">
        <f>M557*26000*1.20565</f>
        <v>41584797.540000007</v>
      </c>
      <c r="I557" s="5">
        <f>G557-H557</f>
        <v>-3184797.5400000066</v>
      </c>
      <c r="J557" s="5">
        <v>3000000</v>
      </c>
      <c r="K557" s="5">
        <v>3540000</v>
      </c>
      <c r="L557" s="5">
        <v>3840000</v>
      </c>
      <c r="M557" s="7">
        <v>1326.6</v>
      </c>
      <c r="N557" s="5">
        <v>35900000</v>
      </c>
      <c r="O557" s="5">
        <v>38900000</v>
      </c>
      <c r="P557" s="3">
        <v>0.97916666666666663</v>
      </c>
    </row>
    <row r="558" spans="1:16" x14ac:dyDescent="0.25">
      <c r="A558" t="s">
        <v>357</v>
      </c>
      <c r="B558" s="2">
        <v>43182</v>
      </c>
      <c r="C558" t="str">
        <f>TEXT(B558,"mm")</f>
        <v>03</v>
      </c>
      <c r="D558" t="s">
        <v>21</v>
      </c>
      <c r="E558" t="s">
        <v>1636</v>
      </c>
      <c r="F558" s="5">
        <v>36000000</v>
      </c>
      <c r="G558" s="5">
        <v>39000000</v>
      </c>
      <c r="H558" s="5">
        <f>M558*26000*1.20565</f>
        <v>42296372.170000002</v>
      </c>
      <c r="I558" s="5">
        <f>G558-H558</f>
        <v>-3296372.1700000018</v>
      </c>
      <c r="J558" s="5">
        <v>3000000</v>
      </c>
      <c r="K558" s="5">
        <v>3600000</v>
      </c>
      <c r="L558" s="5">
        <v>3900000</v>
      </c>
      <c r="M558" s="7">
        <v>1349.3</v>
      </c>
      <c r="N558" s="5">
        <v>36500000</v>
      </c>
      <c r="O558" s="5">
        <v>39500000</v>
      </c>
      <c r="P558" s="3">
        <v>0.97916666666666663</v>
      </c>
    </row>
    <row r="559" spans="1:16" x14ac:dyDescent="0.25">
      <c r="A559" t="s">
        <v>358</v>
      </c>
      <c r="B559" s="2">
        <v>43185</v>
      </c>
      <c r="C559" t="str">
        <f>TEXT(B559,"mm")</f>
        <v>03</v>
      </c>
      <c r="D559" t="s">
        <v>16</v>
      </c>
      <c r="E559" t="s">
        <v>1636</v>
      </c>
      <c r="F559" s="5">
        <v>36200000</v>
      </c>
      <c r="G559" s="5">
        <v>39200000</v>
      </c>
      <c r="H559" s="5">
        <f>M559*26000*1.20565</f>
        <v>42456241.360000007</v>
      </c>
      <c r="I559" s="5">
        <f>G559-H559</f>
        <v>-3256241.3600000069</v>
      </c>
      <c r="J559" s="5">
        <v>3000000</v>
      </c>
      <c r="K559" s="5">
        <v>3620000</v>
      </c>
      <c r="L559" s="5">
        <v>3920000</v>
      </c>
      <c r="M559" s="7">
        <v>1354.4</v>
      </c>
      <c r="N559" s="5">
        <v>36700000</v>
      </c>
      <c r="O559" s="5">
        <v>39700000</v>
      </c>
      <c r="P559" s="3">
        <v>0.97916666666666663</v>
      </c>
    </row>
    <row r="560" spans="1:16" x14ac:dyDescent="0.25">
      <c r="A560" t="s">
        <v>359</v>
      </c>
      <c r="B560" s="2">
        <v>43186</v>
      </c>
      <c r="C560" t="str">
        <f>TEXT(B560,"mm")</f>
        <v>03</v>
      </c>
      <c r="D560" t="s">
        <v>18</v>
      </c>
      <c r="E560" t="s">
        <v>1636</v>
      </c>
      <c r="F560" s="5">
        <v>35800000</v>
      </c>
      <c r="G560" s="5">
        <v>38800000</v>
      </c>
      <c r="H560" s="5">
        <f>M560*26000*1.20565</f>
        <v>42045596.970000006</v>
      </c>
      <c r="I560" s="5">
        <f>G560-H560</f>
        <v>-3245596.9700000063</v>
      </c>
      <c r="J560" s="5">
        <v>3000000</v>
      </c>
      <c r="K560" s="5">
        <v>3580000</v>
      </c>
      <c r="L560" s="5">
        <v>3880000</v>
      </c>
      <c r="M560" s="7">
        <v>1341.3</v>
      </c>
      <c r="N560" s="5">
        <v>36300000</v>
      </c>
      <c r="O560" s="5">
        <v>39300000</v>
      </c>
      <c r="P560" s="3">
        <v>0.97916666666666663</v>
      </c>
    </row>
    <row r="561" spans="1:16" x14ac:dyDescent="0.25">
      <c r="A561" t="s">
        <v>360</v>
      </c>
      <c r="B561" s="2">
        <v>43187</v>
      </c>
      <c r="C561" t="str">
        <f>TEXT(B561,"mm")</f>
        <v>03</v>
      </c>
      <c r="D561" t="s">
        <v>19</v>
      </c>
      <c r="E561" t="s">
        <v>1636</v>
      </c>
      <c r="F561" s="5">
        <v>35300000</v>
      </c>
      <c r="G561" s="5">
        <v>38300000</v>
      </c>
      <c r="H561" s="5">
        <f>M561*26000*1.20565</f>
        <v>41509564.980000004</v>
      </c>
      <c r="I561" s="5">
        <f>G561-H561</f>
        <v>-3209564.9800000042</v>
      </c>
      <c r="J561" s="5">
        <v>3000000</v>
      </c>
      <c r="K561" s="5">
        <v>3530000</v>
      </c>
      <c r="L561" s="5">
        <v>3830000</v>
      </c>
      <c r="M561" s="7">
        <v>1324.2</v>
      </c>
      <c r="N561" s="5">
        <v>35800000</v>
      </c>
      <c r="O561" s="5">
        <v>38800000</v>
      </c>
      <c r="P561" s="3">
        <v>0.97916666666666663</v>
      </c>
    </row>
    <row r="562" spans="1:16" x14ac:dyDescent="0.25">
      <c r="A562" t="s">
        <v>361</v>
      </c>
      <c r="B562" s="2">
        <v>43188</v>
      </c>
      <c r="C562" t="str">
        <f>TEXT(B562,"mm")</f>
        <v>03</v>
      </c>
      <c r="D562" t="s">
        <v>20</v>
      </c>
      <c r="E562" t="s">
        <v>1636</v>
      </c>
      <c r="F562" s="5">
        <v>35300000</v>
      </c>
      <c r="G562" s="5">
        <v>38300000</v>
      </c>
      <c r="H562" s="5">
        <f>M562*26000*1.20565</f>
        <v>41465679.32</v>
      </c>
      <c r="I562" s="5">
        <f>G562-H562</f>
        <v>-3165679.3200000003</v>
      </c>
      <c r="J562" s="5">
        <v>3000000</v>
      </c>
      <c r="K562" s="5">
        <v>3530000</v>
      </c>
      <c r="L562" s="5">
        <v>3830000</v>
      </c>
      <c r="M562" s="7">
        <v>1322.8</v>
      </c>
      <c r="N562" s="5">
        <v>35800000</v>
      </c>
      <c r="O562" s="5">
        <v>38800000</v>
      </c>
      <c r="P562" s="3">
        <v>0.97916666666666663</v>
      </c>
    </row>
    <row r="563" spans="1:16" x14ac:dyDescent="0.25">
      <c r="A563" s="2">
        <v>43135</v>
      </c>
      <c r="B563" s="2">
        <v>43192</v>
      </c>
      <c r="C563" t="str">
        <f>TEXT(B563,"mm")</f>
        <v>04</v>
      </c>
      <c r="D563" t="s">
        <v>16</v>
      </c>
      <c r="E563" t="s">
        <v>1636</v>
      </c>
      <c r="F563" s="5">
        <v>35800000</v>
      </c>
      <c r="G563" s="5">
        <v>38800000</v>
      </c>
      <c r="H563" s="5">
        <f>M563*26000*1.20565</f>
        <v>42070674.490000002</v>
      </c>
      <c r="I563" s="5">
        <f>G563-H563</f>
        <v>-3270674.4900000021</v>
      </c>
      <c r="J563" s="5">
        <v>3000000</v>
      </c>
      <c r="K563" s="5">
        <v>3580000</v>
      </c>
      <c r="L563" s="5">
        <v>3880000</v>
      </c>
      <c r="M563" s="7">
        <v>1342.1</v>
      </c>
      <c r="N563" s="5">
        <v>36300000</v>
      </c>
      <c r="O563" s="5">
        <v>39300000</v>
      </c>
      <c r="P563" s="3">
        <v>0.97916666666666663</v>
      </c>
    </row>
    <row r="564" spans="1:16" x14ac:dyDescent="0.25">
      <c r="A564" s="2">
        <v>43163</v>
      </c>
      <c r="B564" s="2">
        <v>43193</v>
      </c>
      <c r="C564" t="str">
        <f>TEXT(B564,"mm")</f>
        <v>04</v>
      </c>
      <c r="D564" t="s">
        <v>18</v>
      </c>
      <c r="E564" t="s">
        <v>1636</v>
      </c>
      <c r="F564" s="5">
        <v>35600000</v>
      </c>
      <c r="G564" s="5">
        <v>38600000</v>
      </c>
      <c r="H564" s="5">
        <f>M564*26000*1.20565</f>
        <v>41779148.32</v>
      </c>
      <c r="I564" s="5">
        <f>G564-H564</f>
        <v>-3179148.3200000003</v>
      </c>
      <c r="J564" s="5">
        <v>3000000</v>
      </c>
      <c r="K564" s="5">
        <v>3560000</v>
      </c>
      <c r="L564" s="5">
        <v>3860000</v>
      </c>
      <c r="M564" s="7">
        <v>1332.8</v>
      </c>
      <c r="N564" s="5">
        <v>36100000</v>
      </c>
      <c r="O564" s="5">
        <v>39100000</v>
      </c>
      <c r="P564" s="3">
        <v>0.97916666666666663</v>
      </c>
    </row>
    <row r="565" spans="1:16" x14ac:dyDescent="0.25">
      <c r="A565" s="2">
        <v>43194</v>
      </c>
      <c r="B565" s="2">
        <v>43194</v>
      </c>
      <c r="C565" t="str">
        <f>TEXT(B565,"mm")</f>
        <v>04</v>
      </c>
      <c r="D565" t="s">
        <v>19</v>
      </c>
      <c r="E565" t="s">
        <v>1636</v>
      </c>
      <c r="F565" s="5">
        <v>35600000</v>
      </c>
      <c r="G565" s="5">
        <v>38600000</v>
      </c>
      <c r="H565" s="5">
        <f>M565*26000*1.20565</f>
        <v>41873189.020000003</v>
      </c>
      <c r="I565" s="5">
        <f>G565-H565</f>
        <v>-3273189.0200000033</v>
      </c>
      <c r="J565" s="5">
        <v>3000000</v>
      </c>
      <c r="K565" s="5">
        <v>3560000</v>
      </c>
      <c r="L565" s="5">
        <v>3860000</v>
      </c>
      <c r="M565" s="7">
        <v>1335.8</v>
      </c>
      <c r="N565" s="5">
        <v>36100000</v>
      </c>
      <c r="O565" s="5">
        <v>39100000</v>
      </c>
      <c r="P565" s="3">
        <v>0.97916666666666663</v>
      </c>
    </row>
    <row r="566" spans="1:16" x14ac:dyDescent="0.25">
      <c r="A566" s="2">
        <v>43224</v>
      </c>
      <c r="B566" s="2">
        <v>43195</v>
      </c>
      <c r="C566" t="str">
        <f>TEXT(B566,"mm")</f>
        <v>04</v>
      </c>
      <c r="D566" t="s">
        <v>20</v>
      </c>
      <c r="E566" t="s">
        <v>1636</v>
      </c>
      <c r="F566" s="5">
        <v>35300000</v>
      </c>
      <c r="G566" s="5">
        <v>38300000</v>
      </c>
      <c r="H566" s="5">
        <f>M566*26000*1.20565</f>
        <v>41512699.670000002</v>
      </c>
      <c r="I566" s="5">
        <f>G566-H566</f>
        <v>-3212699.6700000018</v>
      </c>
      <c r="J566" s="5">
        <v>3000000</v>
      </c>
      <c r="K566" s="5">
        <v>3530000</v>
      </c>
      <c r="L566" s="5">
        <v>3830000</v>
      </c>
      <c r="M566" s="7">
        <v>1324.3</v>
      </c>
      <c r="N566" s="5">
        <v>35800000</v>
      </c>
      <c r="O566" s="5">
        <v>38800000</v>
      </c>
      <c r="P566" s="3">
        <v>0.97916666666666663</v>
      </c>
    </row>
    <row r="567" spans="1:16" x14ac:dyDescent="0.25">
      <c r="A567" s="2">
        <v>43255</v>
      </c>
      <c r="B567" s="2">
        <v>43196</v>
      </c>
      <c r="C567" t="str">
        <f>TEXT(B567,"mm")</f>
        <v>04</v>
      </c>
      <c r="D567" t="s">
        <v>21</v>
      </c>
      <c r="E567" t="s">
        <v>1636</v>
      </c>
      <c r="F567" s="5">
        <v>35500000</v>
      </c>
      <c r="G567" s="5">
        <v>38500000</v>
      </c>
      <c r="H567" s="5">
        <f>M567*26000*1.20565</f>
        <v>41750936.110000007</v>
      </c>
      <c r="I567" s="5">
        <f>G567-H567</f>
        <v>-3250936.1100000069</v>
      </c>
      <c r="J567" s="5">
        <v>3000000</v>
      </c>
      <c r="K567" s="5">
        <v>3550000</v>
      </c>
      <c r="L567" s="5">
        <v>3850000</v>
      </c>
      <c r="M567" s="7">
        <v>1331.9</v>
      </c>
      <c r="N567" s="5">
        <v>36000000</v>
      </c>
      <c r="O567" s="5">
        <v>39000000</v>
      </c>
      <c r="P567" s="3">
        <v>0.97916666666666663</v>
      </c>
    </row>
    <row r="568" spans="1:16" x14ac:dyDescent="0.25">
      <c r="A568" s="2">
        <v>43347</v>
      </c>
      <c r="B568" s="2">
        <v>43199</v>
      </c>
      <c r="C568" t="str">
        <f>TEXT(B568,"mm")</f>
        <v>04</v>
      </c>
      <c r="D568" t="s">
        <v>16</v>
      </c>
      <c r="E568" t="s">
        <v>1636</v>
      </c>
      <c r="F568" s="5">
        <v>35700000</v>
      </c>
      <c r="G568" s="5">
        <v>38700000</v>
      </c>
      <c r="H568" s="5">
        <f>M568*26000*1.20565</f>
        <v>41888862.470000006</v>
      </c>
      <c r="I568" s="5">
        <f>G568-H568</f>
        <v>-3188862.4700000063</v>
      </c>
      <c r="J568" s="5">
        <v>3000000</v>
      </c>
      <c r="K568" s="5">
        <v>3570000</v>
      </c>
      <c r="L568" s="5">
        <v>3870000</v>
      </c>
      <c r="M568" s="7">
        <v>1336.3</v>
      </c>
      <c r="N568" s="5">
        <v>36200000</v>
      </c>
      <c r="O568" s="5">
        <v>39200000</v>
      </c>
      <c r="P568" s="3">
        <v>0.97916666666666663</v>
      </c>
    </row>
    <row r="569" spans="1:16" x14ac:dyDescent="0.25">
      <c r="A569" s="2">
        <v>43377</v>
      </c>
      <c r="B569" s="2">
        <v>43200</v>
      </c>
      <c r="C569" t="str">
        <f>TEXT(B569,"mm")</f>
        <v>04</v>
      </c>
      <c r="D569" t="s">
        <v>18</v>
      </c>
      <c r="E569" t="s">
        <v>1636</v>
      </c>
      <c r="F569" s="5">
        <v>35800000</v>
      </c>
      <c r="G569" s="5">
        <v>38800000</v>
      </c>
      <c r="H569" s="5">
        <f>M569*26000*1.20565</f>
        <v>42067539.800000004</v>
      </c>
      <c r="I569" s="5">
        <f>G569-H569</f>
        <v>-3267539.8000000045</v>
      </c>
      <c r="J569" s="5">
        <v>3000000</v>
      </c>
      <c r="K569" s="5">
        <v>3580000</v>
      </c>
      <c r="L569" s="5">
        <v>3880000</v>
      </c>
      <c r="M569" s="7">
        <v>1342</v>
      </c>
      <c r="N569" s="5">
        <v>36300000</v>
      </c>
      <c r="O569" s="5">
        <v>39300000</v>
      </c>
      <c r="P569" s="3">
        <v>0.97916666666666663</v>
      </c>
    </row>
    <row r="570" spans="1:16" x14ac:dyDescent="0.25">
      <c r="A570" s="2">
        <v>43408</v>
      </c>
      <c r="B570" s="2">
        <v>43201</v>
      </c>
      <c r="C570" t="str">
        <f>TEXT(B570,"mm")</f>
        <v>04</v>
      </c>
      <c r="D570" t="s">
        <v>19</v>
      </c>
      <c r="E570" t="s">
        <v>1636</v>
      </c>
      <c r="F570" s="5">
        <v>36200000</v>
      </c>
      <c r="G570" s="5">
        <v>39200000</v>
      </c>
      <c r="H570" s="5">
        <f>M570*26000*1.20565</f>
        <v>42522069.850000001</v>
      </c>
      <c r="I570" s="5">
        <f>G570-H570</f>
        <v>-3322069.8500000015</v>
      </c>
      <c r="J570" s="5">
        <v>3000000</v>
      </c>
      <c r="K570" s="5">
        <v>3620000</v>
      </c>
      <c r="L570" s="5">
        <v>3920000</v>
      </c>
      <c r="M570" s="7">
        <v>1356.5</v>
      </c>
      <c r="N570" s="5">
        <v>36700000</v>
      </c>
      <c r="O570" s="5">
        <v>39700000</v>
      </c>
      <c r="P570" s="3">
        <v>0.97916666666666663</v>
      </c>
    </row>
    <row r="571" spans="1:16" x14ac:dyDescent="0.25">
      <c r="A571" s="2">
        <v>43438</v>
      </c>
      <c r="B571" s="2">
        <v>43202</v>
      </c>
      <c r="C571" t="str">
        <f>TEXT(B571,"mm")</f>
        <v>04</v>
      </c>
      <c r="D571" t="s">
        <v>20</v>
      </c>
      <c r="E571" t="s">
        <v>1636</v>
      </c>
      <c r="F571" s="5">
        <v>35700000</v>
      </c>
      <c r="G571" s="5">
        <v>38700000</v>
      </c>
      <c r="H571" s="5">
        <f>M571*26000*1.20565</f>
        <v>41954690.960000001</v>
      </c>
      <c r="I571" s="5">
        <f>G571-H571</f>
        <v>-3254690.9600000009</v>
      </c>
      <c r="J571" s="5">
        <v>3000000</v>
      </c>
      <c r="K571" s="5">
        <v>3570000</v>
      </c>
      <c r="L571" s="5">
        <v>3870000</v>
      </c>
      <c r="M571" s="7">
        <v>1338.4</v>
      </c>
      <c r="N571" s="5">
        <v>36200000</v>
      </c>
      <c r="O571" s="5">
        <v>39200000</v>
      </c>
      <c r="P571" s="3">
        <v>0.97916666666666663</v>
      </c>
    </row>
    <row r="572" spans="1:16" x14ac:dyDescent="0.25">
      <c r="A572" t="s">
        <v>362</v>
      </c>
      <c r="B572" s="2">
        <v>43203</v>
      </c>
      <c r="C572" t="str">
        <f>TEXT(B572,"mm")</f>
        <v>04</v>
      </c>
      <c r="D572" t="s">
        <v>21</v>
      </c>
      <c r="E572" t="s">
        <v>1636</v>
      </c>
      <c r="F572" s="5">
        <v>35900000</v>
      </c>
      <c r="G572" s="5">
        <v>38900000</v>
      </c>
      <c r="H572" s="5">
        <f>M572*26000*1.20565</f>
        <v>42155311.120000005</v>
      </c>
      <c r="I572" s="5">
        <f>G572-H572</f>
        <v>-3255311.1200000048</v>
      </c>
      <c r="J572" s="5">
        <v>3000000</v>
      </c>
      <c r="K572" s="5">
        <v>3590000</v>
      </c>
      <c r="L572" s="5">
        <v>3890000</v>
      </c>
      <c r="M572" s="7">
        <v>1344.8</v>
      </c>
      <c r="N572" s="5">
        <v>36400000</v>
      </c>
      <c r="O572" s="5">
        <v>39400000</v>
      </c>
      <c r="P572" s="3">
        <v>0.97916666666666663</v>
      </c>
    </row>
    <row r="573" spans="1:16" x14ac:dyDescent="0.25">
      <c r="A573" t="s">
        <v>363</v>
      </c>
      <c r="B573" s="2">
        <v>43206</v>
      </c>
      <c r="C573" t="str">
        <f>TEXT(B573,"mm")</f>
        <v>04</v>
      </c>
      <c r="D573" t="s">
        <v>16</v>
      </c>
      <c r="E573" t="s">
        <v>1636</v>
      </c>
      <c r="F573" s="5">
        <v>36000000</v>
      </c>
      <c r="G573" s="5">
        <v>39000000</v>
      </c>
      <c r="H573" s="5">
        <f>M573*26000*1.20565</f>
        <v>42239947.750000007</v>
      </c>
      <c r="I573" s="5">
        <f>G573-H573</f>
        <v>-3239947.7500000075</v>
      </c>
      <c r="J573" s="5">
        <v>3000000</v>
      </c>
      <c r="K573" s="5">
        <v>3600000</v>
      </c>
      <c r="L573" s="5">
        <v>3900000</v>
      </c>
      <c r="M573" s="7">
        <v>1347.5</v>
      </c>
      <c r="N573" s="5">
        <v>36500000</v>
      </c>
      <c r="O573" s="5">
        <v>39500000</v>
      </c>
      <c r="P573" s="3">
        <v>0.97916666666666663</v>
      </c>
    </row>
    <row r="574" spans="1:16" x14ac:dyDescent="0.25">
      <c r="A574" t="s">
        <v>364</v>
      </c>
      <c r="B574" s="2">
        <v>43207</v>
      </c>
      <c r="C574" t="str">
        <f>TEXT(B574,"mm")</f>
        <v>04</v>
      </c>
      <c r="D574" t="s">
        <v>18</v>
      </c>
      <c r="E574" t="s">
        <v>1636</v>
      </c>
      <c r="F574" s="5">
        <v>36000000</v>
      </c>
      <c r="G574" s="5">
        <v>39000000</v>
      </c>
      <c r="H574" s="5">
        <f>M574*26000*1.20565</f>
        <v>42230543.680000007</v>
      </c>
      <c r="I574" s="5">
        <f>G574-H574</f>
        <v>-3230543.6800000072</v>
      </c>
      <c r="J574" s="5">
        <v>3000000</v>
      </c>
      <c r="K574" s="5">
        <v>3600000</v>
      </c>
      <c r="L574" s="5">
        <v>3900000</v>
      </c>
      <c r="M574" s="7">
        <v>1347.2</v>
      </c>
      <c r="N574" s="5">
        <v>36500000</v>
      </c>
      <c r="O574" s="5">
        <v>39500000</v>
      </c>
      <c r="P574" s="3">
        <v>0.97916666666666663</v>
      </c>
    </row>
    <row r="575" spans="1:16" x14ac:dyDescent="0.25">
      <c r="A575" t="s">
        <v>365</v>
      </c>
      <c r="B575" s="2">
        <v>43208</v>
      </c>
      <c r="C575" t="str">
        <f>TEXT(B575,"mm")</f>
        <v>04</v>
      </c>
      <c r="D575" t="s">
        <v>19</v>
      </c>
      <c r="E575" t="s">
        <v>1636</v>
      </c>
      <c r="F575" s="5">
        <v>36100000</v>
      </c>
      <c r="G575" s="5">
        <v>39100000</v>
      </c>
      <c r="H575" s="5">
        <f>M575*26000*1.20565</f>
        <v>42355931.280000001</v>
      </c>
      <c r="I575" s="5">
        <f>G575-H575</f>
        <v>-3255931.2800000012</v>
      </c>
      <c r="J575" s="5">
        <v>3000000</v>
      </c>
      <c r="K575" s="5">
        <v>3610000</v>
      </c>
      <c r="L575" s="5">
        <v>3910000</v>
      </c>
      <c r="M575" s="7">
        <v>1351.2</v>
      </c>
      <c r="N575" s="5">
        <v>36600000</v>
      </c>
      <c r="O575" s="5">
        <v>39600000</v>
      </c>
      <c r="P575" s="3">
        <v>0.97916666666666663</v>
      </c>
    </row>
    <row r="576" spans="1:16" x14ac:dyDescent="0.25">
      <c r="A576" t="s">
        <v>366</v>
      </c>
      <c r="B576" s="2">
        <v>43209</v>
      </c>
      <c r="C576" t="str">
        <f>TEXT(B576,"mm")</f>
        <v>04</v>
      </c>
      <c r="D576" t="s">
        <v>20</v>
      </c>
      <c r="E576" t="s">
        <v>1636</v>
      </c>
      <c r="F576" s="5">
        <v>36000000</v>
      </c>
      <c r="G576" s="5">
        <v>39000000</v>
      </c>
      <c r="H576" s="5">
        <f>M576*26000*1.20565</f>
        <v>42218004.920000002</v>
      </c>
      <c r="I576" s="5">
        <f>G576-H576</f>
        <v>-3218004.9200000018</v>
      </c>
      <c r="J576" s="5">
        <v>3000000</v>
      </c>
      <c r="K576" s="5">
        <v>3600000</v>
      </c>
      <c r="L576" s="5">
        <v>3900000</v>
      </c>
      <c r="M576" s="7">
        <v>1346.8</v>
      </c>
      <c r="N576" s="5">
        <v>36500000</v>
      </c>
      <c r="O576" s="5">
        <v>39500000</v>
      </c>
      <c r="P576" s="3">
        <v>0.97916666666666663</v>
      </c>
    </row>
    <row r="577" spans="1:16" x14ac:dyDescent="0.25">
      <c r="A577" t="s">
        <v>367</v>
      </c>
      <c r="B577" s="2">
        <v>43210</v>
      </c>
      <c r="C577" t="str">
        <f>TEXT(B577,"mm")</f>
        <v>04</v>
      </c>
      <c r="D577" t="s">
        <v>21</v>
      </c>
      <c r="E577" t="s">
        <v>1636</v>
      </c>
      <c r="F577" s="5">
        <v>35700000</v>
      </c>
      <c r="G577" s="5">
        <v>38700000</v>
      </c>
      <c r="H577" s="5">
        <f>M577*26000*1.20565</f>
        <v>41901401.230000004</v>
      </c>
      <c r="I577" s="5">
        <f>G577-H577</f>
        <v>-3201401.2300000042</v>
      </c>
      <c r="J577" s="5">
        <v>3000000</v>
      </c>
      <c r="K577" s="5">
        <v>3570000</v>
      </c>
      <c r="L577" s="5">
        <v>3870000</v>
      </c>
      <c r="M577" s="7">
        <v>1336.7</v>
      </c>
      <c r="N577" s="5">
        <v>36200000</v>
      </c>
      <c r="O577" s="5">
        <v>39200000</v>
      </c>
      <c r="P577" s="3">
        <v>0.97916666666666663</v>
      </c>
    </row>
    <row r="578" spans="1:16" x14ac:dyDescent="0.25">
      <c r="A578" t="s">
        <v>368</v>
      </c>
      <c r="B578" s="2">
        <v>43213</v>
      </c>
      <c r="C578" t="str">
        <f>TEXT(B578,"mm")</f>
        <v>04</v>
      </c>
      <c r="D578" t="s">
        <v>16</v>
      </c>
      <c r="E578" t="s">
        <v>1636</v>
      </c>
      <c r="F578" s="5">
        <v>35300000</v>
      </c>
      <c r="G578" s="5">
        <v>38300000</v>
      </c>
      <c r="H578" s="5">
        <f>M578*26000*1.20565</f>
        <v>41456275.250000007</v>
      </c>
      <c r="I578" s="5">
        <f>G578-H578</f>
        <v>-3156275.2500000075</v>
      </c>
      <c r="J578" s="5">
        <v>3000000</v>
      </c>
      <c r="K578" s="5">
        <v>3530000</v>
      </c>
      <c r="L578" s="5">
        <v>3830000</v>
      </c>
      <c r="M578" s="7">
        <v>1322.5</v>
      </c>
      <c r="N578" s="5">
        <v>35800000</v>
      </c>
      <c r="O578" s="5">
        <v>38800000</v>
      </c>
      <c r="P578" s="3">
        <v>0.97916666666666663</v>
      </c>
    </row>
    <row r="579" spans="1:16" x14ac:dyDescent="0.25">
      <c r="A579" t="s">
        <v>369</v>
      </c>
      <c r="B579" s="2">
        <v>43214</v>
      </c>
      <c r="C579" t="str">
        <f>TEXT(B579,"mm")</f>
        <v>04</v>
      </c>
      <c r="D579" t="s">
        <v>18</v>
      </c>
      <c r="E579" t="s">
        <v>1636</v>
      </c>
      <c r="F579" s="5">
        <v>35500000</v>
      </c>
      <c r="G579" s="5">
        <v>38500000</v>
      </c>
      <c r="H579" s="5">
        <f>M579*26000*1.20565</f>
        <v>41735262.660000004</v>
      </c>
      <c r="I579" s="5">
        <f>G579-H579</f>
        <v>-3235262.6600000039</v>
      </c>
      <c r="J579" s="5">
        <v>3000000</v>
      </c>
      <c r="K579" s="5">
        <v>3550000</v>
      </c>
      <c r="L579" s="5">
        <v>3850000</v>
      </c>
      <c r="M579" s="7">
        <v>1331.4</v>
      </c>
      <c r="N579" s="5">
        <v>36000000</v>
      </c>
      <c r="O579" s="5">
        <v>39000000</v>
      </c>
      <c r="P579" s="3">
        <v>0.97916666666666663</v>
      </c>
    </row>
    <row r="580" spans="1:16" x14ac:dyDescent="0.25">
      <c r="A580" t="s">
        <v>370</v>
      </c>
      <c r="B580" s="2">
        <v>43215</v>
      </c>
      <c r="C580" t="str">
        <f>TEXT(B580,"mm")</f>
        <v>04</v>
      </c>
      <c r="D580" t="s">
        <v>19</v>
      </c>
      <c r="E580" t="s">
        <v>1636</v>
      </c>
      <c r="F580" s="5">
        <v>35200000</v>
      </c>
      <c r="G580" s="5">
        <v>38200000</v>
      </c>
      <c r="H580" s="5">
        <f>M580*26000*1.20565</f>
        <v>41415524.280000001</v>
      </c>
      <c r="I580" s="5">
        <f>G580-H580</f>
        <v>-3215524.2800000012</v>
      </c>
      <c r="J580" s="5">
        <v>3000000</v>
      </c>
      <c r="K580" s="5">
        <v>3520000</v>
      </c>
      <c r="L580" s="5">
        <v>3820000</v>
      </c>
      <c r="M580" s="7">
        <v>1321.2</v>
      </c>
      <c r="N580" s="5">
        <v>35700000</v>
      </c>
      <c r="O580" s="5">
        <v>38700000</v>
      </c>
      <c r="P580" s="3">
        <v>0.97916666666666663</v>
      </c>
    </row>
    <row r="581" spans="1:16" x14ac:dyDescent="0.25">
      <c r="A581" t="s">
        <v>371</v>
      </c>
      <c r="B581" s="2">
        <v>43216</v>
      </c>
      <c r="C581" t="str">
        <f>TEXT(B581,"mm")</f>
        <v>04</v>
      </c>
      <c r="D581" t="s">
        <v>20</v>
      </c>
      <c r="E581" t="s">
        <v>1636</v>
      </c>
      <c r="F581" s="5">
        <v>35100000</v>
      </c>
      <c r="G581" s="5">
        <v>38100000</v>
      </c>
      <c r="H581" s="5">
        <f>M581*26000*1.20565</f>
        <v>41261924.470000006</v>
      </c>
      <c r="I581" s="5">
        <f>G581-H581</f>
        <v>-3161924.4700000063</v>
      </c>
      <c r="J581" s="5">
        <v>3000000</v>
      </c>
      <c r="K581" s="5">
        <v>3510000</v>
      </c>
      <c r="L581" s="5">
        <v>3810000</v>
      </c>
      <c r="M581" s="7">
        <v>1316.3</v>
      </c>
      <c r="N581" s="5">
        <v>35600000</v>
      </c>
      <c r="O581" s="5">
        <v>38600000</v>
      </c>
      <c r="P581" s="3">
        <v>0.97916666666666663</v>
      </c>
    </row>
    <row r="582" spans="1:16" x14ac:dyDescent="0.25">
      <c r="A582" t="s">
        <v>372</v>
      </c>
      <c r="B582" s="2">
        <v>43217</v>
      </c>
      <c r="C582" t="str">
        <f>TEXT(B582,"mm")</f>
        <v>04</v>
      </c>
      <c r="D582" t="s">
        <v>21</v>
      </c>
      <c r="E582" t="s">
        <v>1636</v>
      </c>
      <c r="F582" s="5">
        <v>35200000</v>
      </c>
      <c r="G582" s="5">
        <v>38200000</v>
      </c>
      <c r="H582" s="5">
        <f>M582*26000*1.20565</f>
        <v>41387312.07</v>
      </c>
      <c r="I582" s="5">
        <f>G582-H582</f>
        <v>-3187312.0700000003</v>
      </c>
      <c r="J582" s="5">
        <v>3000000</v>
      </c>
      <c r="K582" s="5">
        <v>3520000</v>
      </c>
      <c r="L582" s="5">
        <v>3820000</v>
      </c>
      <c r="M582" s="7">
        <v>1320.3</v>
      </c>
      <c r="N582" s="5">
        <v>35700000</v>
      </c>
      <c r="O582" s="5">
        <v>38700000</v>
      </c>
      <c r="P582" s="3">
        <v>0.97916666666666663</v>
      </c>
    </row>
    <row r="583" spans="1:16" x14ac:dyDescent="0.25">
      <c r="A583" t="s">
        <v>373</v>
      </c>
      <c r="B583" s="2">
        <v>43220</v>
      </c>
      <c r="C583" t="str">
        <f>TEXT(B583,"mm")</f>
        <v>04</v>
      </c>
      <c r="D583" t="s">
        <v>16</v>
      </c>
      <c r="E583" t="s">
        <v>1636</v>
      </c>
      <c r="F583" s="5">
        <v>35100000</v>
      </c>
      <c r="G583" s="5">
        <v>38100000</v>
      </c>
      <c r="H583" s="5">
        <f>M583*26000*1.20565</f>
        <v>41258789.780000001</v>
      </c>
      <c r="I583" s="5">
        <f>G583-H583</f>
        <v>-3158789.7800000012</v>
      </c>
      <c r="J583" s="5">
        <v>3000000</v>
      </c>
      <c r="K583" s="5">
        <v>3510000</v>
      </c>
      <c r="L583" s="5">
        <v>3810000</v>
      </c>
      <c r="M583" s="7">
        <v>1316.2</v>
      </c>
      <c r="N583" s="5">
        <v>35600000</v>
      </c>
      <c r="O583" s="5">
        <v>38600000</v>
      </c>
      <c r="P583" s="3">
        <v>0.97916666666666663</v>
      </c>
    </row>
    <row r="584" spans="1:16" x14ac:dyDescent="0.25">
      <c r="A584" s="2">
        <v>43105</v>
      </c>
      <c r="B584" s="2">
        <v>43221</v>
      </c>
      <c r="C584" t="str">
        <f>TEXT(B584,"mm")</f>
        <v>05</v>
      </c>
      <c r="D584" t="s">
        <v>18</v>
      </c>
      <c r="E584" t="s">
        <v>1636</v>
      </c>
      <c r="F584" s="5">
        <v>34700000</v>
      </c>
      <c r="G584" s="5">
        <v>37700000</v>
      </c>
      <c r="H584" s="5">
        <f>M584*26000*1.20565</f>
        <v>40870088.220000006</v>
      </c>
      <c r="I584" s="5">
        <f>G584-H584</f>
        <v>-3170088.2200000063</v>
      </c>
      <c r="J584" s="5">
        <v>3000000</v>
      </c>
      <c r="K584" s="5">
        <v>3470000</v>
      </c>
      <c r="L584" s="5">
        <v>3770000</v>
      </c>
      <c r="M584" s="7">
        <v>1303.8</v>
      </c>
      <c r="N584" s="5">
        <v>35200000</v>
      </c>
      <c r="O584" s="5">
        <v>38200000</v>
      </c>
      <c r="P584" s="3">
        <v>0.97916666666666663</v>
      </c>
    </row>
    <row r="585" spans="1:16" x14ac:dyDescent="0.25">
      <c r="A585" s="2">
        <v>43136</v>
      </c>
      <c r="B585" s="2">
        <v>43222</v>
      </c>
      <c r="C585" t="str">
        <f>TEXT(B585,"mm")</f>
        <v>05</v>
      </c>
      <c r="D585" t="s">
        <v>19</v>
      </c>
      <c r="E585" t="s">
        <v>1636</v>
      </c>
      <c r="F585" s="5">
        <v>34700000</v>
      </c>
      <c r="G585" s="5">
        <v>37700000</v>
      </c>
      <c r="H585" s="5">
        <f>M585*26000*1.20565</f>
        <v>40832471.940000005</v>
      </c>
      <c r="I585" s="5">
        <f>G585-H585</f>
        <v>-3132471.9400000051</v>
      </c>
      <c r="J585" s="5">
        <v>3000000</v>
      </c>
      <c r="K585" s="5">
        <v>3470000</v>
      </c>
      <c r="L585" s="5">
        <v>3770000</v>
      </c>
      <c r="M585" s="7">
        <v>1302.5999999999999</v>
      </c>
      <c r="N585" s="5">
        <v>35200000</v>
      </c>
      <c r="O585" s="5">
        <v>38200000</v>
      </c>
      <c r="P585" s="3">
        <v>0.97916666666666663</v>
      </c>
    </row>
    <row r="586" spans="1:16" x14ac:dyDescent="0.25">
      <c r="A586" s="2">
        <v>43164</v>
      </c>
      <c r="B586" s="2">
        <v>43223</v>
      </c>
      <c r="C586" t="str">
        <f>TEXT(B586,"mm")</f>
        <v>05</v>
      </c>
      <c r="D586" t="s">
        <v>20</v>
      </c>
      <c r="E586" t="s">
        <v>1636</v>
      </c>
      <c r="F586" s="5">
        <v>34900000</v>
      </c>
      <c r="G586" s="5">
        <v>37900000</v>
      </c>
      <c r="H586" s="5">
        <f>M586*26000*1.20565</f>
        <v>41086381.830000006</v>
      </c>
      <c r="I586" s="5">
        <f>G586-H586</f>
        <v>-3186381.8300000057</v>
      </c>
      <c r="J586" s="5">
        <v>3000000</v>
      </c>
      <c r="K586" s="5">
        <v>3490000</v>
      </c>
      <c r="L586" s="5">
        <v>3790000</v>
      </c>
      <c r="M586" s="7">
        <v>1310.7</v>
      </c>
      <c r="N586" s="5">
        <v>35400000</v>
      </c>
      <c r="O586" s="5">
        <v>38400000</v>
      </c>
      <c r="P586" s="3">
        <v>0.97916666666666663</v>
      </c>
    </row>
    <row r="587" spans="1:16" x14ac:dyDescent="0.25">
      <c r="A587" s="2">
        <v>43195</v>
      </c>
      <c r="B587" s="2">
        <v>43224</v>
      </c>
      <c r="C587" t="str">
        <f>TEXT(B587,"mm")</f>
        <v>05</v>
      </c>
      <c r="D587" t="s">
        <v>21</v>
      </c>
      <c r="E587" t="s">
        <v>1636</v>
      </c>
      <c r="F587" s="5">
        <v>35000000</v>
      </c>
      <c r="G587" s="5">
        <v>38000000</v>
      </c>
      <c r="H587" s="5">
        <f>M587*26000*1.20565</f>
        <v>41149075.630000003</v>
      </c>
      <c r="I587" s="5">
        <f>G587-H587</f>
        <v>-3149075.6300000027</v>
      </c>
      <c r="J587" s="5">
        <v>3000000</v>
      </c>
      <c r="K587" s="5">
        <v>3500000</v>
      </c>
      <c r="L587" s="5">
        <v>3800000</v>
      </c>
      <c r="M587" s="7">
        <v>1312.7</v>
      </c>
      <c r="N587" s="5">
        <v>35500000</v>
      </c>
      <c r="O587" s="5">
        <v>38500000</v>
      </c>
      <c r="P587" s="3">
        <v>0.97916666666666663</v>
      </c>
    </row>
    <row r="588" spans="1:16" x14ac:dyDescent="0.25">
      <c r="A588" s="2">
        <v>43286</v>
      </c>
      <c r="B588" s="2">
        <v>43227</v>
      </c>
      <c r="C588" t="str">
        <f>TEXT(B588,"mm")</f>
        <v>05</v>
      </c>
      <c r="D588" t="s">
        <v>16</v>
      </c>
      <c r="E588" t="s">
        <v>1636</v>
      </c>
      <c r="F588" s="5">
        <v>35000000</v>
      </c>
      <c r="G588" s="5">
        <v>38000000</v>
      </c>
      <c r="H588" s="5">
        <f>M588*26000*1.20565</f>
        <v>41133402.180000007</v>
      </c>
      <c r="I588" s="5">
        <f>G588-H588</f>
        <v>-3133402.1800000072</v>
      </c>
      <c r="J588" s="5">
        <v>3000000</v>
      </c>
      <c r="K588" s="5">
        <v>3500000</v>
      </c>
      <c r="L588" s="5">
        <v>3800000</v>
      </c>
      <c r="M588" s="7">
        <v>1312.2</v>
      </c>
      <c r="N588" s="5">
        <v>35500000</v>
      </c>
      <c r="O588" s="5">
        <v>38500000</v>
      </c>
      <c r="P588" s="3">
        <v>0.97916666666666663</v>
      </c>
    </row>
    <row r="589" spans="1:16" x14ac:dyDescent="0.25">
      <c r="A589" s="2">
        <v>43317</v>
      </c>
      <c r="B589" s="2">
        <v>43228</v>
      </c>
      <c r="C589" t="str">
        <f>TEXT(B589,"mm")</f>
        <v>05</v>
      </c>
      <c r="D589" t="s">
        <v>18</v>
      </c>
      <c r="E589" t="s">
        <v>1636</v>
      </c>
      <c r="F589" s="5">
        <v>35000000</v>
      </c>
      <c r="G589" s="5">
        <v>38000000</v>
      </c>
      <c r="H589" s="5">
        <f>M589*26000*1.20565</f>
        <v>41127132.800000004</v>
      </c>
      <c r="I589" s="5">
        <f>G589-H589</f>
        <v>-3127132.8000000045</v>
      </c>
      <c r="J589" s="5">
        <v>3000000</v>
      </c>
      <c r="K589" s="5">
        <v>3500000</v>
      </c>
      <c r="L589" s="5">
        <v>3800000</v>
      </c>
      <c r="M589" s="7">
        <v>1312</v>
      </c>
      <c r="N589" s="5">
        <v>35500000</v>
      </c>
      <c r="O589" s="5">
        <v>38500000</v>
      </c>
      <c r="P589" s="3">
        <v>0.97916666666666663</v>
      </c>
    </row>
    <row r="590" spans="1:16" x14ac:dyDescent="0.25">
      <c r="A590" s="2">
        <v>43348</v>
      </c>
      <c r="B590" s="2">
        <v>43229</v>
      </c>
      <c r="C590" t="str">
        <f>TEXT(B590,"mm")</f>
        <v>05</v>
      </c>
      <c r="D590" t="s">
        <v>19</v>
      </c>
      <c r="E590" t="s">
        <v>1636</v>
      </c>
      <c r="F590" s="5">
        <v>34900000</v>
      </c>
      <c r="G590" s="5">
        <v>37900000</v>
      </c>
      <c r="H590" s="5">
        <f>M590*26000*1.20565</f>
        <v>41105189.970000006</v>
      </c>
      <c r="I590" s="5">
        <f>G590-H590</f>
        <v>-3205189.9700000063</v>
      </c>
      <c r="J590" s="5">
        <v>3000000</v>
      </c>
      <c r="K590" s="5">
        <v>3490000</v>
      </c>
      <c r="L590" s="5">
        <v>3790000</v>
      </c>
      <c r="M590" s="7">
        <v>1311.3</v>
      </c>
      <c r="N590" s="5">
        <v>35400000</v>
      </c>
      <c r="O590" s="5">
        <v>38400000</v>
      </c>
      <c r="P590" s="3">
        <v>0.97916666666666663</v>
      </c>
    </row>
    <row r="591" spans="1:16" x14ac:dyDescent="0.25">
      <c r="A591" s="2">
        <v>43378</v>
      </c>
      <c r="B591" s="2">
        <v>43230</v>
      </c>
      <c r="C591" t="str">
        <f>TEXT(B591,"mm")</f>
        <v>05</v>
      </c>
      <c r="D591" t="s">
        <v>20</v>
      </c>
      <c r="E591" t="s">
        <v>1636</v>
      </c>
      <c r="F591" s="5">
        <v>35200000</v>
      </c>
      <c r="G591" s="5">
        <v>38200000</v>
      </c>
      <c r="H591" s="5">
        <f>M591*26000*1.20565</f>
        <v>41402985.520000003</v>
      </c>
      <c r="I591" s="5">
        <f>G591-H591</f>
        <v>-3202985.5200000033</v>
      </c>
      <c r="J591" s="5">
        <v>3000000</v>
      </c>
      <c r="K591" s="5">
        <v>3520000</v>
      </c>
      <c r="L591" s="5">
        <v>3820000</v>
      </c>
      <c r="M591" s="7">
        <v>1320.8</v>
      </c>
      <c r="N591" s="5">
        <v>35700000</v>
      </c>
      <c r="O591" s="5">
        <v>38700000</v>
      </c>
      <c r="P591" s="3">
        <v>0.97916666666666663</v>
      </c>
    </row>
    <row r="592" spans="1:16" x14ac:dyDescent="0.25">
      <c r="A592" s="2">
        <v>43409</v>
      </c>
      <c r="B592" s="2">
        <v>43231</v>
      </c>
      <c r="C592" t="str">
        <f>TEXT(B592,"mm")</f>
        <v>05</v>
      </c>
      <c r="D592" t="s">
        <v>21</v>
      </c>
      <c r="E592" t="s">
        <v>1636</v>
      </c>
      <c r="F592" s="5">
        <v>35200000</v>
      </c>
      <c r="G592" s="5">
        <v>38200000</v>
      </c>
      <c r="H592" s="5">
        <f>M592*26000*1.20565</f>
        <v>41346561.100000001</v>
      </c>
      <c r="I592" s="5">
        <f>G592-H592</f>
        <v>-3146561.1000000015</v>
      </c>
      <c r="J592" s="5">
        <v>3000000</v>
      </c>
      <c r="K592" s="5">
        <v>3520000</v>
      </c>
      <c r="L592" s="5">
        <v>3820000</v>
      </c>
      <c r="M592" s="7">
        <v>1319</v>
      </c>
      <c r="N592" s="5">
        <v>35700000</v>
      </c>
      <c r="O592" s="5">
        <v>38700000</v>
      </c>
      <c r="P592" s="3">
        <v>0.97916666666666663</v>
      </c>
    </row>
    <row r="593" spans="1:16" x14ac:dyDescent="0.25">
      <c r="A593" t="s">
        <v>374</v>
      </c>
      <c r="B593" s="2">
        <v>43234</v>
      </c>
      <c r="C593" t="str">
        <f>TEXT(B593,"mm")</f>
        <v>05</v>
      </c>
      <c r="D593" t="s">
        <v>16</v>
      </c>
      <c r="E593" t="s">
        <v>1636</v>
      </c>
      <c r="F593" s="5">
        <v>35100000</v>
      </c>
      <c r="G593" s="5">
        <v>38100000</v>
      </c>
      <c r="H593" s="5">
        <f>M593*26000*1.20565</f>
        <v>41268193.850000001</v>
      </c>
      <c r="I593" s="5">
        <f>G593-H593</f>
        <v>-3168193.8500000015</v>
      </c>
      <c r="J593" s="5">
        <v>3000000</v>
      </c>
      <c r="K593" s="5">
        <v>3510000</v>
      </c>
      <c r="L593" s="5">
        <v>3810000</v>
      </c>
      <c r="M593" s="7">
        <v>1316.5</v>
      </c>
      <c r="N593" s="5">
        <v>35600000</v>
      </c>
      <c r="O593" s="5">
        <v>38600000</v>
      </c>
      <c r="P593" s="3">
        <v>0.97916666666666663</v>
      </c>
    </row>
    <row r="594" spans="1:16" x14ac:dyDescent="0.25">
      <c r="A594" t="s">
        <v>375</v>
      </c>
      <c r="B594" s="2">
        <v>43235</v>
      </c>
      <c r="C594" t="str">
        <f>TEXT(B594,"mm")</f>
        <v>05</v>
      </c>
      <c r="D594" t="s">
        <v>18</v>
      </c>
      <c r="E594" t="s">
        <v>1636</v>
      </c>
      <c r="F594" s="5">
        <v>34300000</v>
      </c>
      <c r="G594" s="5">
        <v>37300000</v>
      </c>
      <c r="H594" s="5">
        <f>M594*26000*1.20565</f>
        <v>40403019.410000011</v>
      </c>
      <c r="I594" s="5">
        <f>G594-H594</f>
        <v>-3103019.4100000113</v>
      </c>
      <c r="J594" s="5">
        <v>3000000</v>
      </c>
      <c r="K594" s="5">
        <v>3430000</v>
      </c>
      <c r="L594" s="5">
        <v>3730000</v>
      </c>
      <c r="M594" s="7">
        <v>1288.9000000000001</v>
      </c>
      <c r="N594" s="5">
        <v>34800000</v>
      </c>
      <c r="O594" s="5">
        <v>37800000</v>
      </c>
      <c r="P594" s="3">
        <v>0.97916666666666663</v>
      </c>
    </row>
    <row r="595" spans="1:16" x14ac:dyDescent="0.25">
      <c r="A595" t="s">
        <v>376</v>
      </c>
      <c r="B595" s="2">
        <v>43236</v>
      </c>
      <c r="C595" t="str">
        <f>TEXT(B595,"mm")</f>
        <v>05</v>
      </c>
      <c r="D595" t="s">
        <v>19</v>
      </c>
      <c r="E595" t="s">
        <v>1636</v>
      </c>
      <c r="F595" s="5">
        <v>34300000</v>
      </c>
      <c r="G595" s="5">
        <v>37300000</v>
      </c>
      <c r="H595" s="5">
        <f>M595*26000*1.20565</f>
        <v>40443770.380000003</v>
      </c>
      <c r="I595" s="5">
        <f>G595-H595</f>
        <v>-3143770.3800000027</v>
      </c>
      <c r="J595" s="5">
        <v>3000000</v>
      </c>
      <c r="K595" s="5">
        <v>3430000</v>
      </c>
      <c r="L595" s="5">
        <v>3730000</v>
      </c>
      <c r="M595" s="7">
        <v>1290.2</v>
      </c>
      <c r="N595" s="5">
        <v>34800000</v>
      </c>
      <c r="O595" s="5">
        <v>37800000</v>
      </c>
      <c r="P595" s="3">
        <v>0.97916666666666663</v>
      </c>
    </row>
    <row r="596" spans="1:16" x14ac:dyDescent="0.25">
      <c r="A596" t="s">
        <v>377</v>
      </c>
      <c r="B596" s="2">
        <v>43237</v>
      </c>
      <c r="C596" t="str">
        <f>TEXT(B596,"mm")</f>
        <v>05</v>
      </c>
      <c r="D596" t="s">
        <v>20</v>
      </c>
      <c r="E596" t="s">
        <v>1636</v>
      </c>
      <c r="F596" s="5">
        <v>34300000</v>
      </c>
      <c r="G596" s="5">
        <v>37300000</v>
      </c>
      <c r="H596" s="5">
        <f>M596*26000*1.20565</f>
        <v>40381076.580000006</v>
      </c>
      <c r="I596" s="5">
        <f>G596-H596</f>
        <v>-3081076.5800000057</v>
      </c>
      <c r="J596" s="5">
        <v>3000000</v>
      </c>
      <c r="K596" s="5">
        <v>3430000</v>
      </c>
      <c r="L596" s="5">
        <v>3730000</v>
      </c>
      <c r="M596" s="7">
        <v>1288.2</v>
      </c>
      <c r="N596" s="5">
        <v>34800000</v>
      </c>
      <c r="O596" s="5">
        <v>37800000</v>
      </c>
      <c r="P596" s="3">
        <v>0.97916666666666663</v>
      </c>
    </row>
    <row r="597" spans="1:16" x14ac:dyDescent="0.25">
      <c r="A597" t="s">
        <v>378</v>
      </c>
      <c r="B597" s="2">
        <v>43238</v>
      </c>
      <c r="C597" t="str">
        <f>TEXT(B597,"mm")</f>
        <v>05</v>
      </c>
      <c r="D597" t="s">
        <v>21</v>
      </c>
      <c r="E597" t="s">
        <v>1636</v>
      </c>
      <c r="F597" s="5">
        <v>34300000</v>
      </c>
      <c r="G597" s="5">
        <v>37300000</v>
      </c>
      <c r="H597" s="5">
        <f>M597*26000*1.20565</f>
        <v>40443770.380000003</v>
      </c>
      <c r="I597" s="5">
        <f>G597-H597</f>
        <v>-3143770.3800000027</v>
      </c>
      <c r="J597" s="5">
        <v>3000000</v>
      </c>
      <c r="K597" s="5">
        <v>3430000</v>
      </c>
      <c r="L597" s="5">
        <v>3730000</v>
      </c>
      <c r="M597" s="7">
        <v>1290.2</v>
      </c>
      <c r="N597" s="5">
        <v>34800000</v>
      </c>
      <c r="O597" s="5">
        <v>37800000</v>
      </c>
      <c r="P597" s="3">
        <v>0.97916666666666663</v>
      </c>
    </row>
    <row r="598" spans="1:16" x14ac:dyDescent="0.25">
      <c r="A598" t="s">
        <v>379</v>
      </c>
      <c r="B598" s="2">
        <v>43241</v>
      </c>
      <c r="C598" t="str">
        <f>TEXT(B598,"mm")</f>
        <v>05</v>
      </c>
      <c r="D598" t="s">
        <v>16</v>
      </c>
      <c r="E598" t="s">
        <v>1636</v>
      </c>
      <c r="F598" s="5">
        <v>34300000</v>
      </c>
      <c r="G598" s="5">
        <v>37300000</v>
      </c>
      <c r="H598" s="5">
        <f>M598*26000*1.20565</f>
        <v>40443770.380000003</v>
      </c>
      <c r="I598" s="5">
        <f>G598-H598</f>
        <v>-3143770.3800000027</v>
      </c>
      <c r="J598" s="5">
        <v>3000000</v>
      </c>
      <c r="K598" s="5">
        <v>3430000</v>
      </c>
      <c r="L598" s="5">
        <v>3730000</v>
      </c>
      <c r="M598" s="7">
        <v>1290.2</v>
      </c>
      <c r="N598" s="5">
        <v>34800000</v>
      </c>
      <c r="O598" s="5">
        <v>37800000</v>
      </c>
      <c r="P598" s="3">
        <v>0.97916666666666663</v>
      </c>
    </row>
    <row r="599" spans="1:16" x14ac:dyDescent="0.25">
      <c r="A599" t="s">
        <v>380</v>
      </c>
      <c r="B599" s="2">
        <v>43242</v>
      </c>
      <c r="C599" t="str">
        <f>TEXT(B599,"mm")</f>
        <v>05</v>
      </c>
      <c r="D599" t="s">
        <v>18</v>
      </c>
      <c r="E599" t="s">
        <v>1636</v>
      </c>
      <c r="F599" s="5">
        <v>34400000</v>
      </c>
      <c r="G599" s="5">
        <v>37400000</v>
      </c>
      <c r="H599" s="5">
        <f>M599*26000*1.20565</f>
        <v>40490790.730000004</v>
      </c>
      <c r="I599" s="5">
        <f>G599-H599</f>
        <v>-3090790.7300000042</v>
      </c>
      <c r="J599" s="5">
        <v>3000000</v>
      </c>
      <c r="K599" s="5">
        <v>3440000</v>
      </c>
      <c r="L599" s="5">
        <v>3740000</v>
      </c>
      <c r="M599" s="7">
        <v>1291.7</v>
      </c>
      <c r="N599" s="5">
        <v>34900000</v>
      </c>
      <c r="O599" s="5">
        <v>37900000</v>
      </c>
      <c r="P599" s="3">
        <v>0.97916666666666663</v>
      </c>
    </row>
    <row r="600" spans="1:16" x14ac:dyDescent="0.25">
      <c r="A600" t="s">
        <v>381</v>
      </c>
      <c r="B600" s="2">
        <v>43243</v>
      </c>
      <c r="C600" t="str">
        <f>TEXT(B600,"mm")</f>
        <v>05</v>
      </c>
      <c r="D600" t="s">
        <v>19</v>
      </c>
      <c r="E600" t="s">
        <v>1636</v>
      </c>
      <c r="F600" s="5">
        <v>34300000</v>
      </c>
      <c r="G600" s="5">
        <v>37300000</v>
      </c>
      <c r="H600" s="5">
        <f>M600*26000*1.20565</f>
        <v>40415558.170000002</v>
      </c>
      <c r="I600" s="5">
        <f>G600-H600</f>
        <v>-3115558.1700000018</v>
      </c>
      <c r="J600" s="5">
        <v>3000000</v>
      </c>
      <c r="K600" s="5">
        <v>3430000</v>
      </c>
      <c r="L600" s="5">
        <v>3730000</v>
      </c>
      <c r="M600" s="7">
        <v>1289.3</v>
      </c>
      <c r="N600" s="5">
        <v>34800000</v>
      </c>
      <c r="O600" s="5">
        <v>37800000</v>
      </c>
      <c r="P600" s="3">
        <v>0.97916666666666663</v>
      </c>
    </row>
    <row r="601" spans="1:16" x14ac:dyDescent="0.25">
      <c r="A601" t="s">
        <v>382</v>
      </c>
      <c r="B601" s="2">
        <v>43244</v>
      </c>
      <c r="C601" t="str">
        <f>TEXT(B601,"mm")</f>
        <v>05</v>
      </c>
      <c r="D601" t="s">
        <v>20</v>
      </c>
      <c r="E601" t="s">
        <v>1636</v>
      </c>
      <c r="F601" s="5">
        <v>34700000</v>
      </c>
      <c r="G601" s="5">
        <v>37700000</v>
      </c>
      <c r="H601" s="5">
        <f>M601*26000*1.20565</f>
        <v>40866953.530000001</v>
      </c>
      <c r="I601" s="5">
        <f>G601-H601</f>
        <v>-3166953.5300000012</v>
      </c>
      <c r="J601" s="5">
        <v>3000000</v>
      </c>
      <c r="K601" s="5">
        <v>3470000</v>
      </c>
      <c r="L601" s="5">
        <v>3770000</v>
      </c>
      <c r="M601" s="7">
        <v>1303.7</v>
      </c>
      <c r="N601" s="5">
        <v>35200000</v>
      </c>
      <c r="O601" s="5">
        <v>38200000</v>
      </c>
      <c r="P601" s="3">
        <v>0.97916666666666663</v>
      </c>
    </row>
    <row r="602" spans="1:16" x14ac:dyDescent="0.25">
      <c r="A602" t="s">
        <v>383</v>
      </c>
      <c r="B602" s="2">
        <v>43245</v>
      </c>
      <c r="C602" t="str">
        <f>TEXT(B602,"mm")</f>
        <v>05</v>
      </c>
      <c r="D602" t="s">
        <v>21</v>
      </c>
      <c r="E602" t="s">
        <v>1636</v>
      </c>
      <c r="F602" s="5">
        <v>34700000</v>
      </c>
      <c r="G602" s="5">
        <v>37700000</v>
      </c>
      <c r="H602" s="5">
        <f>M602*26000*1.20565</f>
        <v>40854414.770000003</v>
      </c>
      <c r="I602" s="5">
        <f>G602-H602</f>
        <v>-3154414.7700000033</v>
      </c>
      <c r="J602" s="5">
        <v>3000000</v>
      </c>
      <c r="K602" s="5">
        <v>3470000</v>
      </c>
      <c r="L602" s="5">
        <v>3770000</v>
      </c>
      <c r="M602" s="7">
        <v>1303.3</v>
      </c>
      <c r="N602" s="5">
        <v>35200000</v>
      </c>
      <c r="O602" s="5">
        <v>38200000</v>
      </c>
      <c r="P602" s="3">
        <v>0.97916666666666663</v>
      </c>
    </row>
    <row r="603" spans="1:16" x14ac:dyDescent="0.25">
      <c r="A603" t="s">
        <v>384</v>
      </c>
      <c r="B603" s="2">
        <v>43249</v>
      </c>
      <c r="C603" t="str">
        <f>TEXT(B603,"mm")</f>
        <v>05</v>
      </c>
      <c r="D603" t="s">
        <v>18</v>
      </c>
      <c r="E603" t="s">
        <v>1636</v>
      </c>
      <c r="F603" s="5">
        <v>34600000</v>
      </c>
      <c r="G603" s="5">
        <v>37600000</v>
      </c>
      <c r="H603" s="5">
        <f>M603*26000*1.20565</f>
        <v>40710219.030000001</v>
      </c>
      <c r="I603" s="5">
        <f>G603-H603</f>
        <v>-3110219.0300000012</v>
      </c>
      <c r="J603" s="5">
        <v>3000000</v>
      </c>
      <c r="K603" s="5">
        <v>3460000</v>
      </c>
      <c r="L603" s="5">
        <v>3760000</v>
      </c>
      <c r="M603" s="7">
        <v>1298.7</v>
      </c>
      <c r="N603" s="5">
        <v>35100000</v>
      </c>
      <c r="O603" s="5">
        <v>38100000</v>
      </c>
      <c r="P603" s="3">
        <v>0.97916666666666663</v>
      </c>
    </row>
    <row r="604" spans="1:16" x14ac:dyDescent="0.25">
      <c r="A604" t="s">
        <v>385</v>
      </c>
      <c r="B604" s="2">
        <v>43250</v>
      </c>
      <c r="C604" t="str">
        <f>TEXT(B604,"mm")</f>
        <v>05</v>
      </c>
      <c r="D604" t="s">
        <v>19</v>
      </c>
      <c r="E604" t="s">
        <v>1636</v>
      </c>
      <c r="F604" s="5">
        <v>34600000</v>
      </c>
      <c r="G604" s="5">
        <v>37600000</v>
      </c>
      <c r="H604" s="5">
        <f>M604*26000*1.20565</f>
        <v>40797990.350000001</v>
      </c>
      <c r="I604" s="5">
        <f>G604-H604</f>
        <v>-3197990.3500000015</v>
      </c>
      <c r="J604" s="5">
        <v>3000000</v>
      </c>
      <c r="K604" s="5">
        <v>3460000</v>
      </c>
      <c r="L604" s="5">
        <v>3760000</v>
      </c>
      <c r="M604" s="7">
        <v>1301.5</v>
      </c>
      <c r="N604" s="5">
        <v>35100000</v>
      </c>
      <c r="O604" s="5">
        <v>38100000</v>
      </c>
      <c r="P604" s="3">
        <v>0.97916666666666663</v>
      </c>
    </row>
    <row r="605" spans="1:16" x14ac:dyDescent="0.25">
      <c r="A605" t="s">
        <v>386</v>
      </c>
      <c r="B605" s="2">
        <v>43251</v>
      </c>
      <c r="C605" t="str">
        <f>TEXT(B605,"mm")</f>
        <v>05</v>
      </c>
      <c r="D605" t="s">
        <v>20</v>
      </c>
      <c r="E605" t="s">
        <v>1636</v>
      </c>
      <c r="F605" s="5">
        <v>34600000</v>
      </c>
      <c r="G605" s="5">
        <v>37600000</v>
      </c>
      <c r="H605" s="5">
        <f>M605*26000*1.20565</f>
        <v>40754104.690000005</v>
      </c>
      <c r="I605" s="5">
        <f>G605-H605</f>
        <v>-3154104.6900000051</v>
      </c>
      <c r="J605" s="5">
        <v>3000000</v>
      </c>
      <c r="K605" s="5">
        <v>3460000</v>
      </c>
      <c r="L605" s="5">
        <v>3760000</v>
      </c>
      <c r="M605" s="7">
        <v>1300.0999999999999</v>
      </c>
      <c r="N605" s="5">
        <v>35100000</v>
      </c>
      <c r="O605" s="5">
        <v>38100000</v>
      </c>
      <c r="P605" s="3">
        <v>0.97916666666666663</v>
      </c>
    </row>
    <row r="606" spans="1:16" x14ac:dyDescent="0.25">
      <c r="A606" s="2">
        <v>43106</v>
      </c>
      <c r="B606" s="2">
        <v>43252</v>
      </c>
      <c r="C606" t="str">
        <f>TEXT(B606,"mm")</f>
        <v>06</v>
      </c>
      <c r="D606" t="s">
        <v>21</v>
      </c>
      <c r="E606" t="s">
        <v>1636</v>
      </c>
      <c r="F606" s="5">
        <v>34500000</v>
      </c>
      <c r="G606" s="5">
        <v>37500000</v>
      </c>
      <c r="H606" s="5">
        <f>M606*26000*1.20565</f>
        <v>40587966.120000005</v>
      </c>
      <c r="I606" s="5">
        <f>G606-H606</f>
        <v>-3087966.1200000048</v>
      </c>
      <c r="J606" s="5">
        <v>3000000</v>
      </c>
      <c r="K606" s="5">
        <v>3450000</v>
      </c>
      <c r="L606" s="5">
        <v>3750000</v>
      </c>
      <c r="M606" s="7">
        <v>1294.8</v>
      </c>
      <c r="N606" s="5">
        <v>35000000</v>
      </c>
      <c r="O606" s="5">
        <v>38000000</v>
      </c>
      <c r="P606" s="3">
        <v>0.97916666666666663</v>
      </c>
    </row>
    <row r="607" spans="1:16" x14ac:dyDescent="0.25">
      <c r="A607" s="2">
        <v>43196</v>
      </c>
      <c r="B607" s="2">
        <v>43255</v>
      </c>
      <c r="C607" t="str">
        <f>TEXT(B607,"mm")</f>
        <v>06</v>
      </c>
      <c r="D607" t="s">
        <v>16</v>
      </c>
      <c r="E607" t="s">
        <v>1636</v>
      </c>
      <c r="F607" s="5">
        <v>34400000</v>
      </c>
      <c r="G607" s="5">
        <v>37400000</v>
      </c>
      <c r="H607" s="5">
        <f>M607*26000*1.20565</f>
        <v>40534676.390000001</v>
      </c>
      <c r="I607" s="5">
        <f>G607-H607</f>
        <v>-3134676.3900000006</v>
      </c>
      <c r="J607" s="5">
        <v>3000000</v>
      </c>
      <c r="K607" s="5">
        <v>3440000</v>
      </c>
      <c r="L607" s="5">
        <v>3740000</v>
      </c>
      <c r="M607" s="7">
        <v>1293.0999999999999</v>
      </c>
      <c r="N607" s="5">
        <v>34900000</v>
      </c>
      <c r="O607" s="5">
        <v>37900000</v>
      </c>
      <c r="P607" s="3">
        <v>0.97916666666666663</v>
      </c>
    </row>
    <row r="608" spans="1:16" x14ac:dyDescent="0.25">
      <c r="A608" s="2">
        <v>43226</v>
      </c>
      <c r="B608" s="2">
        <v>43256</v>
      </c>
      <c r="C608" t="str">
        <f>TEXT(B608,"mm")</f>
        <v>06</v>
      </c>
      <c r="D608" t="s">
        <v>18</v>
      </c>
      <c r="E608" t="s">
        <v>1636</v>
      </c>
      <c r="F608" s="5">
        <v>34500000</v>
      </c>
      <c r="G608" s="5">
        <v>37500000</v>
      </c>
      <c r="H608" s="5">
        <f>M608*26000*1.20565</f>
        <v>40672602.750000007</v>
      </c>
      <c r="I608" s="5">
        <f>G608-H608</f>
        <v>-3172602.7500000075</v>
      </c>
      <c r="J608" s="5">
        <v>3000000</v>
      </c>
      <c r="K608" s="5">
        <v>3450000</v>
      </c>
      <c r="L608" s="5">
        <v>3750000</v>
      </c>
      <c r="M608" s="7">
        <v>1297.5</v>
      </c>
      <c r="N608" s="5">
        <v>35000000</v>
      </c>
      <c r="O608" s="5">
        <v>38000000</v>
      </c>
      <c r="P608" s="3">
        <v>0.97916666666666663</v>
      </c>
    </row>
    <row r="609" spans="1:16" x14ac:dyDescent="0.25">
      <c r="A609" s="2">
        <v>43257</v>
      </c>
      <c r="B609" s="2">
        <v>43257</v>
      </c>
      <c r="C609" t="str">
        <f>TEXT(B609,"mm")</f>
        <v>06</v>
      </c>
      <c r="D609" t="s">
        <v>19</v>
      </c>
      <c r="E609" t="s">
        <v>1636</v>
      </c>
      <c r="F609" s="5">
        <v>34500000</v>
      </c>
      <c r="G609" s="5">
        <v>37500000</v>
      </c>
      <c r="H609" s="5">
        <f>M609*26000*1.20565</f>
        <v>40660063.990000002</v>
      </c>
      <c r="I609" s="5">
        <f>G609-H609</f>
        <v>-3160063.9900000021</v>
      </c>
      <c r="J609" s="5">
        <v>3000000</v>
      </c>
      <c r="K609" s="5">
        <v>3450000</v>
      </c>
      <c r="L609" s="5">
        <v>3750000</v>
      </c>
      <c r="M609" s="7">
        <v>1297.0999999999999</v>
      </c>
      <c r="N609" s="5">
        <v>35000000</v>
      </c>
      <c r="O609" s="5">
        <v>38000000</v>
      </c>
      <c r="P609" s="3">
        <v>0.97916666666666663</v>
      </c>
    </row>
    <row r="610" spans="1:16" x14ac:dyDescent="0.25">
      <c r="A610" s="2">
        <v>43287</v>
      </c>
      <c r="B610" s="2">
        <v>43258</v>
      </c>
      <c r="C610" t="str">
        <f>TEXT(B610,"mm")</f>
        <v>06</v>
      </c>
      <c r="D610" t="s">
        <v>20</v>
      </c>
      <c r="E610" t="s">
        <v>1636</v>
      </c>
      <c r="F610" s="5">
        <v>34600000</v>
      </c>
      <c r="G610" s="5">
        <v>37600000</v>
      </c>
      <c r="H610" s="5">
        <f>M610*26000*1.20565</f>
        <v>40710219.030000001</v>
      </c>
      <c r="I610" s="5">
        <f>G610-H610</f>
        <v>-3110219.0300000012</v>
      </c>
      <c r="J610" s="5">
        <v>3000000</v>
      </c>
      <c r="K610" s="5">
        <v>3460000</v>
      </c>
      <c r="L610" s="5">
        <v>3760000</v>
      </c>
      <c r="M610" s="7">
        <v>1298.7</v>
      </c>
      <c r="N610" s="5">
        <v>35100000</v>
      </c>
      <c r="O610" s="5">
        <v>38100000</v>
      </c>
      <c r="P610" s="3">
        <v>0.97916666666666663</v>
      </c>
    </row>
    <row r="611" spans="1:16" x14ac:dyDescent="0.25">
      <c r="A611" s="2">
        <v>43318</v>
      </c>
      <c r="B611" s="2">
        <v>43259</v>
      </c>
      <c r="C611" t="str">
        <f>TEXT(B611,"mm")</f>
        <v>06</v>
      </c>
      <c r="D611" t="s">
        <v>21</v>
      </c>
      <c r="E611" t="s">
        <v>1636</v>
      </c>
      <c r="F611" s="5">
        <v>34500000</v>
      </c>
      <c r="G611" s="5">
        <v>37500000</v>
      </c>
      <c r="H611" s="5">
        <f>M611*26000*1.20565</f>
        <v>40691410.890000001</v>
      </c>
      <c r="I611" s="5">
        <f>G611-H611</f>
        <v>-3191410.8900000006</v>
      </c>
      <c r="J611" s="5">
        <v>3000000</v>
      </c>
      <c r="K611" s="5">
        <v>3450000</v>
      </c>
      <c r="L611" s="5">
        <v>3750000</v>
      </c>
      <c r="M611" s="7">
        <v>1298.0999999999999</v>
      </c>
      <c r="N611" s="5">
        <v>35000000</v>
      </c>
      <c r="O611" s="5">
        <v>38000000</v>
      </c>
      <c r="P611" s="3">
        <v>0.97916666666666663</v>
      </c>
    </row>
    <row r="612" spans="1:16" x14ac:dyDescent="0.25">
      <c r="A612" s="2">
        <v>43410</v>
      </c>
      <c r="B612" s="2">
        <v>43262</v>
      </c>
      <c r="C612" t="str">
        <f>TEXT(B612,"mm")</f>
        <v>06</v>
      </c>
      <c r="D612" t="s">
        <v>16</v>
      </c>
      <c r="E612" t="s">
        <v>1636</v>
      </c>
      <c r="F612" s="5">
        <v>34600000</v>
      </c>
      <c r="G612" s="5">
        <v>37600000</v>
      </c>
      <c r="H612" s="5">
        <f>M612*26000*1.20565</f>
        <v>40716488.410000004</v>
      </c>
      <c r="I612" s="5">
        <f>G612-H612</f>
        <v>-3116488.4100000039</v>
      </c>
      <c r="J612" s="5">
        <v>3000000</v>
      </c>
      <c r="K612" s="5">
        <v>3460000</v>
      </c>
      <c r="L612" s="5">
        <v>3760000</v>
      </c>
      <c r="M612" s="7">
        <v>1298.9000000000001</v>
      </c>
      <c r="N612" s="5">
        <v>35100000</v>
      </c>
      <c r="O612" s="5">
        <v>38100000</v>
      </c>
      <c r="P612" s="3">
        <v>0.97916666666666663</v>
      </c>
    </row>
    <row r="613" spans="1:16" x14ac:dyDescent="0.25">
      <c r="A613" s="2">
        <v>43440</v>
      </c>
      <c r="B613" s="2">
        <v>43263</v>
      </c>
      <c r="C613" t="str">
        <f>TEXT(B613,"mm")</f>
        <v>06</v>
      </c>
      <c r="D613" t="s">
        <v>18</v>
      </c>
      <c r="E613" t="s">
        <v>1636</v>
      </c>
      <c r="F613" s="5">
        <v>34500000</v>
      </c>
      <c r="G613" s="5">
        <v>37500000</v>
      </c>
      <c r="H613" s="5">
        <f>M613*26000*1.20565</f>
        <v>40597370.190000005</v>
      </c>
      <c r="I613" s="5">
        <f>G613-H613</f>
        <v>-3097370.1900000051</v>
      </c>
      <c r="J613" s="5">
        <v>3000000</v>
      </c>
      <c r="K613" s="5">
        <v>3450000</v>
      </c>
      <c r="L613" s="5">
        <v>3750000</v>
      </c>
      <c r="M613" s="7">
        <v>1295.0999999999999</v>
      </c>
      <c r="N613" s="5">
        <v>35000000</v>
      </c>
      <c r="O613" s="5">
        <v>38000000</v>
      </c>
      <c r="P613" s="3">
        <v>0.97916666666666663</v>
      </c>
    </row>
    <row r="614" spans="1:16" x14ac:dyDescent="0.25">
      <c r="A614" t="s">
        <v>387</v>
      </c>
      <c r="B614" s="2">
        <v>43264</v>
      </c>
      <c r="C614" t="str">
        <f>TEXT(B614,"mm")</f>
        <v>06</v>
      </c>
      <c r="D614" t="s">
        <v>19</v>
      </c>
      <c r="E614" t="s">
        <v>1636</v>
      </c>
      <c r="F614" s="5">
        <v>34500000</v>
      </c>
      <c r="G614" s="5">
        <v>37500000</v>
      </c>
      <c r="H614" s="5">
        <f>M614*26000*1.20565</f>
        <v>40653794.610000007</v>
      </c>
      <c r="I614" s="5">
        <f>G614-H614</f>
        <v>-3153794.6100000069</v>
      </c>
      <c r="J614" s="5">
        <v>3000000</v>
      </c>
      <c r="K614" s="5">
        <v>3450000</v>
      </c>
      <c r="L614" s="5">
        <v>3750000</v>
      </c>
      <c r="M614" s="7">
        <v>1296.9000000000001</v>
      </c>
      <c r="N614" s="5">
        <v>35000000</v>
      </c>
      <c r="O614" s="5">
        <v>38000000</v>
      </c>
      <c r="P614" s="3">
        <v>0.97916666666666663</v>
      </c>
    </row>
    <row r="615" spans="1:16" x14ac:dyDescent="0.25">
      <c r="A615" t="s">
        <v>388</v>
      </c>
      <c r="B615" s="2">
        <v>43265</v>
      </c>
      <c r="C615" t="str">
        <f>TEXT(B615,"mm")</f>
        <v>06</v>
      </c>
      <c r="D615" t="s">
        <v>20</v>
      </c>
      <c r="E615" t="s">
        <v>1636</v>
      </c>
      <c r="F615" s="5">
        <v>34700000</v>
      </c>
      <c r="G615" s="5">
        <v>37700000</v>
      </c>
      <c r="H615" s="5">
        <f>M615*26000*1.20565</f>
        <v>40876357.600000001</v>
      </c>
      <c r="I615" s="5">
        <f>G615-H615</f>
        <v>-3176357.6000000015</v>
      </c>
      <c r="J615" s="5">
        <v>3000000</v>
      </c>
      <c r="K615" s="5">
        <v>3470000</v>
      </c>
      <c r="L615" s="5">
        <v>3770000</v>
      </c>
      <c r="M615" s="7">
        <v>1304</v>
      </c>
      <c r="N615" s="5">
        <v>35200000</v>
      </c>
      <c r="O615" s="5">
        <v>38200000</v>
      </c>
      <c r="P615" s="3">
        <v>0.97916666666666663</v>
      </c>
    </row>
    <row r="616" spans="1:16" x14ac:dyDescent="0.25">
      <c r="A616" t="s">
        <v>389</v>
      </c>
      <c r="B616" s="2">
        <v>43266</v>
      </c>
      <c r="C616" t="str">
        <f>TEXT(B616,"mm")</f>
        <v>06</v>
      </c>
      <c r="D616" t="s">
        <v>21</v>
      </c>
      <c r="E616" t="s">
        <v>1636</v>
      </c>
      <c r="F616" s="5">
        <v>33900000</v>
      </c>
      <c r="G616" s="5">
        <v>36900000</v>
      </c>
      <c r="H616" s="5">
        <f>M616*26000*1.20565</f>
        <v>39954758.740000002</v>
      </c>
      <c r="I616" s="5">
        <f>G616-H616</f>
        <v>-3054758.7400000021</v>
      </c>
      <c r="J616" s="5">
        <v>3000000</v>
      </c>
      <c r="K616" s="5">
        <v>3390000</v>
      </c>
      <c r="L616" s="5">
        <v>3690000</v>
      </c>
      <c r="M616" s="7">
        <v>1274.5999999999999</v>
      </c>
      <c r="N616" s="5">
        <v>34400000</v>
      </c>
      <c r="O616" s="5">
        <v>37400000</v>
      </c>
      <c r="P616" s="3">
        <v>0.97916666666666663</v>
      </c>
    </row>
    <row r="617" spans="1:16" x14ac:dyDescent="0.25">
      <c r="A617" t="s">
        <v>390</v>
      </c>
      <c r="B617" s="2">
        <v>43269</v>
      </c>
      <c r="C617" t="str">
        <f>TEXT(B617,"mm")</f>
        <v>06</v>
      </c>
      <c r="D617" t="s">
        <v>16</v>
      </c>
      <c r="E617" t="s">
        <v>1636</v>
      </c>
      <c r="F617" s="5">
        <v>33900000</v>
      </c>
      <c r="G617" s="5">
        <v>36900000</v>
      </c>
      <c r="H617" s="5">
        <f>M617*26000*1.20565</f>
        <v>40004913.780000001</v>
      </c>
      <c r="I617" s="5">
        <f>G617-H617</f>
        <v>-3104913.7800000012</v>
      </c>
      <c r="J617" s="5">
        <v>3000000</v>
      </c>
      <c r="K617" s="5">
        <v>3390000</v>
      </c>
      <c r="L617" s="5">
        <v>3690000</v>
      </c>
      <c r="M617" s="7">
        <v>1276.2</v>
      </c>
      <c r="N617" s="5">
        <v>34400000</v>
      </c>
      <c r="O617" s="5">
        <v>37400000</v>
      </c>
      <c r="P617" s="3">
        <v>0.97916666666666663</v>
      </c>
    </row>
    <row r="618" spans="1:16" x14ac:dyDescent="0.25">
      <c r="A618" t="s">
        <v>391</v>
      </c>
      <c r="B618" s="2">
        <v>43270</v>
      </c>
      <c r="C618" t="str">
        <f>TEXT(B618,"mm")</f>
        <v>06</v>
      </c>
      <c r="D618" t="s">
        <v>18</v>
      </c>
      <c r="E618" t="s">
        <v>1636</v>
      </c>
      <c r="F618" s="5">
        <v>33900000</v>
      </c>
      <c r="G618" s="5">
        <v>36900000</v>
      </c>
      <c r="H618" s="5">
        <f>M618*26000*1.20565</f>
        <v>39986105.640000001</v>
      </c>
      <c r="I618" s="5">
        <f>G618-H618</f>
        <v>-3086105.6400000006</v>
      </c>
      <c r="J618" s="5">
        <v>3000000</v>
      </c>
      <c r="K618" s="5">
        <v>3390000</v>
      </c>
      <c r="L618" s="5">
        <v>3690000</v>
      </c>
      <c r="M618" s="7">
        <v>1275.5999999999999</v>
      </c>
      <c r="N618" s="5">
        <v>34400000</v>
      </c>
      <c r="O618" s="5">
        <v>37400000</v>
      </c>
      <c r="P618" s="3">
        <v>0.97916666666666663</v>
      </c>
    </row>
    <row r="619" spans="1:16" x14ac:dyDescent="0.25">
      <c r="A619" t="s">
        <v>392</v>
      </c>
      <c r="B619" s="2">
        <v>43271</v>
      </c>
      <c r="C619" t="str">
        <f>TEXT(B619,"mm")</f>
        <v>06</v>
      </c>
      <c r="D619" t="s">
        <v>19</v>
      </c>
      <c r="E619" t="s">
        <v>1636</v>
      </c>
      <c r="F619" s="5">
        <v>33800000</v>
      </c>
      <c r="G619" s="5">
        <v>36800000</v>
      </c>
      <c r="H619" s="5">
        <f>M619*26000*1.20565</f>
        <v>39848179.280000001</v>
      </c>
      <c r="I619" s="5">
        <f>G619-H619</f>
        <v>-3048179.2800000012</v>
      </c>
      <c r="J619" s="5">
        <v>3000000</v>
      </c>
      <c r="K619" s="5">
        <v>3380000</v>
      </c>
      <c r="L619" s="5">
        <v>3680000</v>
      </c>
      <c r="M619" s="7">
        <v>1271.2</v>
      </c>
      <c r="N619" s="5">
        <v>34300000</v>
      </c>
      <c r="O619" s="5">
        <v>37300000</v>
      </c>
      <c r="P619" s="3">
        <v>0.97916666666666663</v>
      </c>
    </row>
    <row r="620" spans="1:16" x14ac:dyDescent="0.25">
      <c r="A620" t="s">
        <v>393</v>
      </c>
      <c r="B620" s="2">
        <v>43272</v>
      </c>
      <c r="C620" t="str">
        <f>TEXT(B620,"mm")</f>
        <v>06</v>
      </c>
      <c r="D620" t="s">
        <v>20</v>
      </c>
      <c r="E620" t="s">
        <v>1636</v>
      </c>
      <c r="F620" s="5">
        <v>33700000</v>
      </c>
      <c r="G620" s="5">
        <v>36700000</v>
      </c>
      <c r="H620" s="5">
        <f>M620*26000*1.20565</f>
        <v>39722791.680000007</v>
      </c>
      <c r="I620" s="5">
        <f>G620-H620</f>
        <v>-3022791.6800000072</v>
      </c>
      <c r="J620" s="5">
        <v>3000000</v>
      </c>
      <c r="K620" s="5">
        <v>3370000</v>
      </c>
      <c r="L620" s="5">
        <v>3670000</v>
      </c>
      <c r="M620" s="7">
        <v>1267.2</v>
      </c>
      <c r="N620" s="5">
        <v>34200000</v>
      </c>
      <c r="O620" s="5">
        <v>37200000</v>
      </c>
      <c r="P620" s="3">
        <v>0.97916666666666663</v>
      </c>
    </row>
    <row r="621" spans="1:16" x14ac:dyDescent="0.25">
      <c r="A621" t="s">
        <v>394</v>
      </c>
      <c r="B621" s="2">
        <v>43273</v>
      </c>
      <c r="C621" t="str">
        <f>TEXT(B621,"mm")</f>
        <v>06</v>
      </c>
      <c r="D621" t="s">
        <v>21</v>
      </c>
      <c r="E621" t="s">
        <v>1636</v>
      </c>
      <c r="F621" s="5">
        <v>33700000</v>
      </c>
      <c r="G621" s="5">
        <v>36700000</v>
      </c>
      <c r="H621" s="5">
        <f>M621*26000*1.20565</f>
        <v>39729061.06000001</v>
      </c>
      <c r="I621" s="5">
        <f>G621-H621</f>
        <v>-3029061.0600000098</v>
      </c>
      <c r="J621" s="5">
        <v>3000000</v>
      </c>
      <c r="K621" s="5">
        <v>3370000</v>
      </c>
      <c r="L621" s="5">
        <v>3670000</v>
      </c>
      <c r="M621" s="7">
        <v>1267.4000000000001</v>
      </c>
      <c r="N621" s="5">
        <v>34200000</v>
      </c>
      <c r="O621" s="5">
        <v>37200000</v>
      </c>
      <c r="P621" s="3">
        <v>0.97916666666666663</v>
      </c>
    </row>
    <row r="622" spans="1:16" x14ac:dyDescent="0.25">
      <c r="A622" t="s">
        <v>395</v>
      </c>
      <c r="B622" s="2">
        <v>43276</v>
      </c>
      <c r="C622" t="str">
        <f>TEXT(B622,"mm")</f>
        <v>06</v>
      </c>
      <c r="D622" t="s">
        <v>16</v>
      </c>
      <c r="E622" t="s">
        <v>1636</v>
      </c>
      <c r="F622" s="5">
        <v>33600000</v>
      </c>
      <c r="G622" s="5">
        <v>36600000</v>
      </c>
      <c r="H622" s="5">
        <f>M622*26000*1.20565</f>
        <v>39672636.640000001</v>
      </c>
      <c r="I622" s="5">
        <f>G622-H622</f>
        <v>-3072636.6400000006</v>
      </c>
      <c r="J622" s="5">
        <v>3000000</v>
      </c>
      <c r="K622" s="5">
        <v>3360000</v>
      </c>
      <c r="L622" s="5">
        <v>3660000</v>
      </c>
      <c r="M622" s="7">
        <v>1265.5999999999999</v>
      </c>
      <c r="N622" s="5">
        <v>34100000</v>
      </c>
      <c r="O622" s="5">
        <v>37100000</v>
      </c>
      <c r="P622" s="3">
        <v>0.97916666666666663</v>
      </c>
    </row>
    <row r="623" spans="1:16" x14ac:dyDescent="0.25">
      <c r="A623" t="s">
        <v>396</v>
      </c>
      <c r="B623" s="2">
        <v>43277</v>
      </c>
      <c r="C623" t="str">
        <f>TEXT(B623,"mm")</f>
        <v>06</v>
      </c>
      <c r="D623" t="s">
        <v>18</v>
      </c>
      <c r="E623" t="s">
        <v>1636</v>
      </c>
      <c r="F623" s="5">
        <v>33300000</v>
      </c>
      <c r="G623" s="5">
        <v>36300000</v>
      </c>
      <c r="H623" s="5">
        <f>M623*26000*1.20565</f>
        <v>39390514.539999999</v>
      </c>
      <c r="I623" s="5">
        <f>G623-H623</f>
        <v>-3090514.5399999991</v>
      </c>
      <c r="J623" s="5">
        <v>3000000</v>
      </c>
      <c r="K623" s="5">
        <v>3330000</v>
      </c>
      <c r="L623" s="5">
        <v>3630000</v>
      </c>
      <c r="M623" s="7">
        <v>1256.5999999999999</v>
      </c>
      <c r="N623" s="5">
        <v>33800000</v>
      </c>
      <c r="O623" s="5">
        <v>36800000</v>
      </c>
      <c r="P623" s="3">
        <v>0.97916666666666663</v>
      </c>
    </row>
    <row r="624" spans="1:16" x14ac:dyDescent="0.25">
      <c r="A624" t="s">
        <v>397</v>
      </c>
      <c r="B624" s="2">
        <v>43278</v>
      </c>
      <c r="C624" t="str">
        <f>TEXT(B624,"mm")</f>
        <v>06</v>
      </c>
      <c r="D624" t="s">
        <v>19</v>
      </c>
      <c r="E624" t="s">
        <v>1636</v>
      </c>
      <c r="F624" s="5">
        <v>33200000</v>
      </c>
      <c r="G624" s="5">
        <v>36200000</v>
      </c>
      <c r="H624" s="5">
        <f>M624*26000*1.20565</f>
        <v>39271396.32</v>
      </c>
      <c r="I624" s="5">
        <f>G624-H624</f>
        <v>-3071396.3200000003</v>
      </c>
      <c r="J624" s="5">
        <v>3000000</v>
      </c>
      <c r="K624" s="5">
        <v>3320000</v>
      </c>
      <c r="L624" s="5">
        <v>3620000</v>
      </c>
      <c r="M624" s="7">
        <v>1252.8</v>
      </c>
      <c r="N624" s="5">
        <v>33700000</v>
      </c>
      <c r="O624" s="5">
        <v>36700000</v>
      </c>
      <c r="P624" s="3">
        <v>0.97916666666666663</v>
      </c>
    </row>
    <row r="625" spans="1:16" x14ac:dyDescent="0.25">
      <c r="A625" t="s">
        <v>398</v>
      </c>
      <c r="B625" s="2">
        <v>43279</v>
      </c>
      <c r="C625" t="str">
        <f>TEXT(B625,"mm")</f>
        <v>06</v>
      </c>
      <c r="D625" t="s">
        <v>20</v>
      </c>
      <c r="E625" t="s">
        <v>1636</v>
      </c>
      <c r="F625" s="5">
        <v>33100000</v>
      </c>
      <c r="G625" s="5">
        <v>36100000</v>
      </c>
      <c r="H625" s="5">
        <f>M625*26000*1.20565</f>
        <v>39114661.82</v>
      </c>
      <c r="I625" s="5">
        <f>G625-H625</f>
        <v>-3014661.8200000003</v>
      </c>
      <c r="J625" s="5">
        <v>3000000</v>
      </c>
      <c r="K625" s="5">
        <v>3310000</v>
      </c>
      <c r="L625" s="5">
        <v>3610000</v>
      </c>
      <c r="M625" s="7">
        <v>1247.8</v>
      </c>
      <c r="N625" s="5">
        <v>33600000</v>
      </c>
      <c r="O625" s="5">
        <v>36600000</v>
      </c>
      <c r="P625" s="3">
        <v>0.97916666666666663</v>
      </c>
    </row>
    <row r="626" spans="1:16" x14ac:dyDescent="0.25">
      <c r="A626" t="s">
        <v>399</v>
      </c>
      <c r="B626" s="2">
        <v>43280</v>
      </c>
      <c r="C626" t="str">
        <f>TEXT(B626,"mm")</f>
        <v>06</v>
      </c>
      <c r="D626" t="s">
        <v>21</v>
      </c>
      <c r="E626" t="s">
        <v>1636</v>
      </c>
      <c r="F626" s="5">
        <v>33200000</v>
      </c>
      <c r="G626" s="5">
        <v>36200000</v>
      </c>
      <c r="H626" s="5">
        <f>M626*26000*1.20565</f>
        <v>39224375.970000006</v>
      </c>
      <c r="I626" s="5">
        <f>G626-H626</f>
        <v>-3024375.9700000063</v>
      </c>
      <c r="J626" s="5">
        <v>3000000</v>
      </c>
      <c r="K626" s="5">
        <v>3320000</v>
      </c>
      <c r="L626" s="5">
        <v>3620000</v>
      </c>
      <c r="M626" s="7">
        <v>1251.3</v>
      </c>
      <c r="N626" s="5">
        <v>33700000</v>
      </c>
      <c r="O626" s="5">
        <v>36700000</v>
      </c>
      <c r="P626" s="3">
        <v>0.97916666666666663</v>
      </c>
    </row>
    <row r="627" spans="1:16" x14ac:dyDescent="0.25">
      <c r="A627" s="2">
        <v>43138</v>
      </c>
      <c r="B627" s="2">
        <v>43283</v>
      </c>
      <c r="C627" t="str">
        <f>TEXT(B627,"mm")</f>
        <v>07</v>
      </c>
      <c r="D627" t="s">
        <v>16</v>
      </c>
      <c r="E627" t="s">
        <v>1636</v>
      </c>
      <c r="F627" s="5">
        <v>32900000</v>
      </c>
      <c r="G627" s="5">
        <v>35900000</v>
      </c>
      <c r="H627" s="5">
        <f>M627*26000*1.20565</f>
        <v>38863886.620000005</v>
      </c>
      <c r="I627" s="5">
        <f>G627-H627</f>
        <v>-2963886.6200000048</v>
      </c>
      <c r="J627" s="5">
        <v>3000000</v>
      </c>
      <c r="K627" s="5">
        <v>3290000</v>
      </c>
      <c r="L627" s="5">
        <v>3590000</v>
      </c>
      <c r="M627" s="7">
        <v>1239.8</v>
      </c>
      <c r="N627" s="5">
        <v>33400000</v>
      </c>
      <c r="O627" s="5">
        <v>36400000</v>
      </c>
      <c r="P627" s="3">
        <v>0.97916666666666663</v>
      </c>
    </row>
    <row r="628" spans="1:16" x14ac:dyDescent="0.25">
      <c r="A628" s="2">
        <v>43166</v>
      </c>
      <c r="B628" s="2">
        <v>43284</v>
      </c>
      <c r="C628" t="str">
        <f>TEXT(B628,"mm")</f>
        <v>07</v>
      </c>
      <c r="D628" t="s">
        <v>18</v>
      </c>
      <c r="E628" t="s">
        <v>1636</v>
      </c>
      <c r="F628" s="5">
        <v>33200000</v>
      </c>
      <c r="G628" s="5">
        <v>36200000</v>
      </c>
      <c r="H628" s="5">
        <f>M628*26000*1.20565</f>
        <v>39233780.039999999</v>
      </c>
      <c r="I628" s="5">
        <f>G628-H628</f>
        <v>-3033780.0399999991</v>
      </c>
      <c r="J628" s="5">
        <v>3000000</v>
      </c>
      <c r="K628" s="5">
        <v>3320000</v>
      </c>
      <c r="L628" s="5">
        <v>3620000</v>
      </c>
      <c r="M628" s="7">
        <v>1251.5999999999999</v>
      </c>
      <c r="N628" s="5">
        <v>33700000</v>
      </c>
      <c r="O628" s="5">
        <v>36700000</v>
      </c>
      <c r="P628" s="3">
        <v>0.97916666666666663</v>
      </c>
    </row>
    <row r="629" spans="1:16" x14ac:dyDescent="0.25">
      <c r="A629" s="2">
        <v>43227</v>
      </c>
      <c r="B629" s="2">
        <v>43286</v>
      </c>
      <c r="C629" t="str">
        <f>TEXT(B629,"mm")</f>
        <v>07</v>
      </c>
      <c r="D629" t="s">
        <v>20</v>
      </c>
      <c r="E629" t="s">
        <v>1636</v>
      </c>
      <c r="F629" s="5">
        <v>33400000</v>
      </c>
      <c r="G629" s="5">
        <v>36400000</v>
      </c>
      <c r="H629" s="5">
        <f>M629*26000*1.20565</f>
        <v>39412457.370000005</v>
      </c>
      <c r="I629" s="5">
        <f>G629-H629</f>
        <v>-3012457.3700000048</v>
      </c>
      <c r="J629" s="5">
        <v>3000000</v>
      </c>
      <c r="K629" s="5">
        <v>3340000</v>
      </c>
      <c r="L629" s="5">
        <v>3640000</v>
      </c>
      <c r="M629" s="7">
        <v>1257.3</v>
      </c>
      <c r="N629" s="5">
        <v>33900000</v>
      </c>
      <c r="O629" s="5">
        <v>36900000</v>
      </c>
      <c r="P629" s="3">
        <v>0.97916666666666663</v>
      </c>
    </row>
    <row r="630" spans="1:16" x14ac:dyDescent="0.25">
      <c r="A630" s="2">
        <v>43258</v>
      </c>
      <c r="B630" s="2">
        <v>43287</v>
      </c>
      <c r="C630" t="str">
        <f>TEXT(B630,"mm")</f>
        <v>07</v>
      </c>
      <c r="D630" t="s">
        <v>21</v>
      </c>
      <c r="E630" t="s">
        <v>1636</v>
      </c>
      <c r="F630" s="5">
        <v>33300000</v>
      </c>
      <c r="G630" s="5">
        <v>36300000</v>
      </c>
      <c r="H630" s="5">
        <f>M630*26000*1.20565</f>
        <v>39318416.670000002</v>
      </c>
      <c r="I630" s="5">
        <f>G630-H630</f>
        <v>-3018416.6700000018</v>
      </c>
      <c r="J630" s="5">
        <v>3000000</v>
      </c>
      <c r="K630" s="5">
        <v>3330000</v>
      </c>
      <c r="L630" s="5">
        <v>3630000</v>
      </c>
      <c r="M630" s="7">
        <v>1254.3</v>
      </c>
      <c r="N630" s="5">
        <v>33800000</v>
      </c>
      <c r="O630" s="5">
        <v>36800000</v>
      </c>
      <c r="P630" s="3">
        <v>0.97916666666666663</v>
      </c>
    </row>
    <row r="631" spans="1:16" x14ac:dyDescent="0.25">
      <c r="A631" s="2">
        <v>43350</v>
      </c>
      <c r="B631" s="2">
        <v>43290</v>
      </c>
      <c r="C631" t="str">
        <f>TEXT(B631,"mm")</f>
        <v>07</v>
      </c>
      <c r="D631" t="s">
        <v>16</v>
      </c>
      <c r="E631" t="s">
        <v>1636</v>
      </c>
      <c r="F631" s="5">
        <v>33400000</v>
      </c>
      <c r="G631" s="5">
        <v>36400000</v>
      </c>
      <c r="H631" s="5">
        <f>M631*26000*1.20565</f>
        <v>39437534.890000001</v>
      </c>
      <c r="I631" s="5">
        <f>G631-H631</f>
        <v>-3037534.8900000006</v>
      </c>
      <c r="J631" s="5">
        <v>3000000</v>
      </c>
      <c r="K631" s="5">
        <v>3340000</v>
      </c>
      <c r="L631" s="5">
        <v>3640000</v>
      </c>
      <c r="M631" s="7">
        <v>1258.0999999999999</v>
      </c>
      <c r="N631" s="5">
        <v>33900000</v>
      </c>
      <c r="O631" s="5">
        <v>36900000</v>
      </c>
      <c r="P631" s="3">
        <v>0.97916666666666663</v>
      </c>
    </row>
    <row r="632" spans="1:16" x14ac:dyDescent="0.25">
      <c r="A632" s="2">
        <v>43380</v>
      </c>
      <c r="B632" s="2">
        <v>43291</v>
      </c>
      <c r="C632" t="str">
        <f>TEXT(B632,"mm")</f>
        <v>07</v>
      </c>
      <c r="D632" t="s">
        <v>18</v>
      </c>
      <c r="E632" t="s">
        <v>1636</v>
      </c>
      <c r="F632" s="5">
        <v>33300000</v>
      </c>
      <c r="G632" s="5">
        <v>36300000</v>
      </c>
      <c r="H632" s="5">
        <f>M632*26000*1.20565</f>
        <v>39302743.220000006</v>
      </c>
      <c r="I632" s="5">
        <f>G632-H632</f>
        <v>-3002743.2200000063</v>
      </c>
      <c r="J632" s="5">
        <v>3000000</v>
      </c>
      <c r="K632" s="5">
        <v>3330000</v>
      </c>
      <c r="L632" s="5">
        <v>3630000</v>
      </c>
      <c r="M632" s="7">
        <v>1253.8</v>
      </c>
      <c r="N632" s="5">
        <v>33800000</v>
      </c>
      <c r="O632" s="5">
        <v>36800000</v>
      </c>
      <c r="P632" s="3">
        <v>0.97916666666666663</v>
      </c>
    </row>
    <row r="633" spans="1:16" x14ac:dyDescent="0.25">
      <c r="A633" s="2">
        <v>43411</v>
      </c>
      <c r="B633" s="2">
        <v>43292</v>
      </c>
      <c r="C633" t="str">
        <f>TEXT(B633,"mm")</f>
        <v>07</v>
      </c>
      <c r="D633" t="s">
        <v>19</v>
      </c>
      <c r="E633" t="s">
        <v>1636</v>
      </c>
      <c r="F633" s="5">
        <v>33000000</v>
      </c>
      <c r="G633" s="5">
        <v>36000000</v>
      </c>
      <c r="H633" s="5">
        <f>M633*26000*1.20565</f>
        <v>38957927.32</v>
      </c>
      <c r="I633" s="5">
        <f>G633-H633</f>
        <v>-2957927.3200000003</v>
      </c>
      <c r="J633" s="5">
        <v>3000000</v>
      </c>
      <c r="K633" s="5">
        <v>3300000</v>
      </c>
      <c r="L633" s="5">
        <v>3600000</v>
      </c>
      <c r="M633" s="7">
        <v>1242.8</v>
      </c>
      <c r="N633" s="5">
        <v>33500000</v>
      </c>
      <c r="O633" s="5">
        <v>36500000</v>
      </c>
      <c r="P633" s="3">
        <v>0.97916666666666663</v>
      </c>
    </row>
    <row r="634" spans="1:16" x14ac:dyDescent="0.25">
      <c r="A634" s="2">
        <v>43441</v>
      </c>
      <c r="B634" s="2">
        <v>43293</v>
      </c>
      <c r="C634" t="str">
        <f>TEXT(B634,"mm")</f>
        <v>07</v>
      </c>
      <c r="D634" t="s">
        <v>20</v>
      </c>
      <c r="E634" t="s">
        <v>1636</v>
      </c>
      <c r="F634" s="5">
        <v>33000000</v>
      </c>
      <c r="G634" s="5">
        <v>36000000</v>
      </c>
      <c r="H634" s="5">
        <f>M634*26000*1.20565</f>
        <v>39026890.5</v>
      </c>
      <c r="I634" s="5">
        <f>G634-H634</f>
        <v>-3026890.5</v>
      </c>
      <c r="J634" s="5">
        <v>3000000</v>
      </c>
      <c r="K634" s="5">
        <v>3300000</v>
      </c>
      <c r="L634" s="5">
        <v>3600000</v>
      </c>
      <c r="M634" s="7">
        <v>1245</v>
      </c>
      <c r="N634" s="5">
        <v>33500000</v>
      </c>
      <c r="O634" s="5">
        <v>36500000</v>
      </c>
      <c r="P634" s="3">
        <v>0.97916666666666663</v>
      </c>
    </row>
    <row r="635" spans="1:16" x14ac:dyDescent="0.25">
      <c r="A635" t="s">
        <v>400</v>
      </c>
      <c r="B635" s="2">
        <v>43294</v>
      </c>
      <c r="C635" t="str">
        <f>TEXT(B635,"mm")</f>
        <v>07</v>
      </c>
      <c r="D635" t="s">
        <v>21</v>
      </c>
      <c r="E635" t="s">
        <v>1636</v>
      </c>
      <c r="F635" s="5">
        <v>32900000</v>
      </c>
      <c r="G635" s="5">
        <v>35900000</v>
      </c>
      <c r="H635" s="5">
        <f>M635*26000*1.20565</f>
        <v>38857617.240000002</v>
      </c>
      <c r="I635" s="5">
        <f>G635-H635</f>
        <v>-2957617.2400000021</v>
      </c>
      <c r="J635" s="5">
        <v>3000000</v>
      </c>
      <c r="K635" s="5">
        <v>3290000</v>
      </c>
      <c r="L635" s="5">
        <v>3590000</v>
      </c>
      <c r="M635" s="7">
        <v>1239.5999999999999</v>
      </c>
      <c r="N635" s="5">
        <v>33400000</v>
      </c>
      <c r="O635" s="5">
        <v>36400000</v>
      </c>
      <c r="P635" s="3">
        <v>0.97916666666666663</v>
      </c>
    </row>
    <row r="636" spans="1:16" x14ac:dyDescent="0.25">
      <c r="A636" t="s">
        <v>401</v>
      </c>
      <c r="B636" s="2">
        <v>43297</v>
      </c>
      <c r="C636" t="str">
        <f>TEXT(B636,"mm")</f>
        <v>07</v>
      </c>
      <c r="D636" t="s">
        <v>16</v>
      </c>
      <c r="E636" t="s">
        <v>1636</v>
      </c>
      <c r="F636" s="5">
        <v>32800000</v>
      </c>
      <c r="G636" s="5">
        <v>35800000</v>
      </c>
      <c r="H636" s="5">
        <f>M636*26000*1.20565</f>
        <v>38810596.890000001</v>
      </c>
      <c r="I636" s="5">
        <f>G636-H636</f>
        <v>-3010596.8900000006</v>
      </c>
      <c r="J636" s="5">
        <v>3000000</v>
      </c>
      <c r="K636" s="5">
        <v>3280000</v>
      </c>
      <c r="L636" s="5">
        <v>3580000</v>
      </c>
      <c r="M636" s="7">
        <v>1238.0999999999999</v>
      </c>
      <c r="N636" s="5">
        <v>33300000</v>
      </c>
      <c r="O636" s="5">
        <v>36300000</v>
      </c>
      <c r="P636" s="3">
        <v>0.97916666666666663</v>
      </c>
    </row>
    <row r="637" spans="1:16" x14ac:dyDescent="0.25">
      <c r="A637" t="s">
        <v>402</v>
      </c>
      <c r="B637" s="2">
        <v>43298</v>
      </c>
      <c r="C637" t="str">
        <f>TEXT(B637,"mm")</f>
        <v>07</v>
      </c>
      <c r="D637" t="s">
        <v>18</v>
      </c>
      <c r="E637" t="s">
        <v>1636</v>
      </c>
      <c r="F637" s="5">
        <v>32500000</v>
      </c>
      <c r="G637" s="5">
        <v>35500000</v>
      </c>
      <c r="H637" s="5">
        <f>M637*26000*1.20565</f>
        <v>38421895.330000006</v>
      </c>
      <c r="I637" s="5">
        <f>G637-H637</f>
        <v>-2921895.3300000057</v>
      </c>
      <c r="J637" s="5">
        <v>3000000</v>
      </c>
      <c r="K637" s="5">
        <v>3250000</v>
      </c>
      <c r="L637" s="5">
        <v>3550000</v>
      </c>
      <c r="M637" s="7">
        <v>1225.7</v>
      </c>
      <c r="N637" s="5">
        <v>33000000</v>
      </c>
      <c r="O637" s="5">
        <v>36000000</v>
      </c>
      <c r="P637" s="3">
        <v>0.97916666666666663</v>
      </c>
    </row>
    <row r="638" spans="1:16" x14ac:dyDescent="0.25">
      <c r="A638" t="s">
        <v>403</v>
      </c>
      <c r="B638" s="2">
        <v>43299</v>
      </c>
      <c r="C638" t="str">
        <f>TEXT(B638,"mm")</f>
        <v>07</v>
      </c>
      <c r="D638" t="s">
        <v>19</v>
      </c>
      <c r="E638" t="s">
        <v>1636</v>
      </c>
      <c r="F638" s="5">
        <v>32500000</v>
      </c>
      <c r="G638" s="5">
        <v>35500000</v>
      </c>
      <c r="H638" s="5">
        <f>M638*26000*1.20565</f>
        <v>38440703.470000006</v>
      </c>
      <c r="I638" s="5">
        <f>G638-H638</f>
        <v>-2940703.4700000063</v>
      </c>
      <c r="J638" s="5">
        <v>3000000</v>
      </c>
      <c r="K638" s="5">
        <v>3250000</v>
      </c>
      <c r="L638" s="5">
        <v>3550000</v>
      </c>
      <c r="M638" s="7">
        <v>1226.3</v>
      </c>
      <c r="N638" s="5">
        <v>33000000</v>
      </c>
      <c r="O638" s="5">
        <v>36000000</v>
      </c>
      <c r="P638" s="3">
        <v>0.97916666666666663</v>
      </c>
    </row>
    <row r="639" spans="1:16" x14ac:dyDescent="0.25">
      <c r="A639" t="s">
        <v>404</v>
      </c>
      <c r="B639" s="2">
        <v>43300</v>
      </c>
      <c r="C639" t="str">
        <f>TEXT(B639,"mm")</f>
        <v>07</v>
      </c>
      <c r="D639" t="s">
        <v>20</v>
      </c>
      <c r="E639" t="s">
        <v>1636</v>
      </c>
      <c r="F639" s="5">
        <v>32400000</v>
      </c>
      <c r="G639" s="5">
        <v>35400000</v>
      </c>
      <c r="H639" s="5">
        <f>M639*26000*1.20565</f>
        <v>38318450.56000001</v>
      </c>
      <c r="I639" s="5">
        <f>G639-H639</f>
        <v>-2918450.5600000098</v>
      </c>
      <c r="J639" s="5">
        <v>3000000</v>
      </c>
      <c r="K639" s="5">
        <v>3240000</v>
      </c>
      <c r="L639" s="5">
        <v>3540000</v>
      </c>
      <c r="M639" s="7">
        <v>1222.4000000000001</v>
      </c>
      <c r="N639" s="5">
        <v>32900000</v>
      </c>
      <c r="O639" s="5">
        <v>35900000</v>
      </c>
      <c r="P639" s="3">
        <v>0.97916666666666663</v>
      </c>
    </row>
    <row r="640" spans="1:16" x14ac:dyDescent="0.25">
      <c r="A640" t="s">
        <v>405</v>
      </c>
      <c r="B640" s="2">
        <v>43301</v>
      </c>
      <c r="C640" t="str">
        <f>TEXT(B640,"mm")</f>
        <v>07</v>
      </c>
      <c r="D640" t="s">
        <v>21</v>
      </c>
      <c r="E640" t="s">
        <v>1636</v>
      </c>
      <c r="F640" s="5">
        <v>32600000</v>
      </c>
      <c r="G640" s="5">
        <v>35600000</v>
      </c>
      <c r="H640" s="5">
        <f>M640*26000*1.20565</f>
        <v>38541013.550000004</v>
      </c>
      <c r="I640" s="5">
        <f>G640-H640</f>
        <v>-2941013.5500000045</v>
      </c>
      <c r="J640" s="5">
        <v>3000000</v>
      </c>
      <c r="K640" s="5">
        <v>3260000</v>
      </c>
      <c r="L640" s="5">
        <v>3560000</v>
      </c>
      <c r="M640" s="7">
        <v>1229.5</v>
      </c>
      <c r="N640" s="5">
        <v>33100000</v>
      </c>
      <c r="O640" s="5">
        <v>36100000</v>
      </c>
      <c r="P640" s="3">
        <v>0.97916666666666663</v>
      </c>
    </row>
    <row r="641" spans="1:16" x14ac:dyDescent="0.25">
      <c r="A641" t="s">
        <v>406</v>
      </c>
      <c r="B641" s="2">
        <v>43304</v>
      </c>
      <c r="C641" t="str">
        <f>TEXT(B641,"mm")</f>
        <v>07</v>
      </c>
      <c r="D641" t="s">
        <v>16</v>
      </c>
      <c r="E641" t="s">
        <v>1636</v>
      </c>
      <c r="F641" s="5">
        <v>32400000</v>
      </c>
      <c r="G641" s="5">
        <v>35400000</v>
      </c>
      <c r="H641" s="5">
        <f>M641*26000*1.20565</f>
        <v>38368605.600000001</v>
      </c>
      <c r="I641" s="5">
        <f>G641-H641</f>
        <v>-2968605.6000000015</v>
      </c>
      <c r="J641" s="5">
        <v>3000000</v>
      </c>
      <c r="K641" s="5">
        <v>3240000</v>
      </c>
      <c r="L641" s="5">
        <v>3540000</v>
      </c>
      <c r="M641" s="7">
        <v>1224</v>
      </c>
      <c r="N641" s="5">
        <v>32900000</v>
      </c>
      <c r="O641" s="5">
        <v>35900000</v>
      </c>
      <c r="P641" s="3">
        <v>0.97916666666666663</v>
      </c>
    </row>
    <row r="642" spans="1:16" x14ac:dyDescent="0.25">
      <c r="A642" t="s">
        <v>407</v>
      </c>
      <c r="B642" s="2">
        <v>43305</v>
      </c>
      <c r="C642" t="str">
        <f>TEXT(B642,"mm")</f>
        <v>07</v>
      </c>
      <c r="D642" t="s">
        <v>18</v>
      </c>
      <c r="E642" t="s">
        <v>1636</v>
      </c>
      <c r="F642" s="5">
        <v>32400000</v>
      </c>
      <c r="G642" s="5">
        <v>35400000</v>
      </c>
      <c r="H642" s="5">
        <f>M642*26000*1.20565</f>
        <v>38365470.910000011</v>
      </c>
      <c r="I642" s="5">
        <f>G642-H642</f>
        <v>-2965470.9100000113</v>
      </c>
      <c r="J642" s="5">
        <v>3000000</v>
      </c>
      <c r="K642" s="5">
        <v>3240000</v>
      </c>
      <c r="L642" s="5">
        <v>3540000</v>
      </c>
      <c r="M642" s="7">
        <v>1223.9000000000001</v>
      </c>
      <c r="N642" s="5">
        <v>32900000</v>
      </c>
      <c r="O642" s="5">
        <v>35900000</v>
      </c>
      <c r="P642" s="3">
        <v>0.97916666666666663</v>
      </c>
    </row>
    <row r="643" spans="1:16" x14ac:dyDescent="0.25">
      <c r="A643" t="s">
        <v>408</v>
      </c>
      <c r="B643" s="2">
        <v>43306</v>
      </c>
      <c r="C643" t="str">
        <f>TEXT(B643,"mm")</f>
        <v>07</v>
      </c>
      <c r="D643" t="s">
        <v>19</v>
      </c>
      <c r="E643" t="s">
        <v>1636</v>
      </c>
      <c r="F643" s="5">
        <v>32600000</v>
      </c>
      <c r="G643" s="5">
        <v>35600000</v>
      </c>
      <c r="H643" s="5">
        <f>M643*26000*1.20565</f>
        <v>38600572.660000011</v>
      </c>
      <c r="I643" s="5">
        <f>G643-H643</f>
        <v>-3000572.6600000113</v>
      </c>
      <c r="J643" s="5">
        <v>3000000</v>
      </c>
      <c r="K643" s="5">
        <v>3260000</v>
      </c>
      <c r="L643" s="5">
        <v>3560000</v>
      </c>
      <c r="M643" s="7">
        <v>1231.4000000000001</v>
      </c>
      <c r="N643" s="5">
        <v>33100000</v>
      </c>
      <c r="O643" s="5">
        <v>36100000</v>
      </c>
      <c r="P643" s="3">
        <v>0.97916666666666663</v>
      </c>
    </row>
    <row r="644" spans="1:16" x14ac:dyDescent="0.25">
      <c r="A644" t="s">
        <v>409</v>
      </c>
      <c r="B644" s="2">
        <v>43307</v>
      </c>
      <c r="C644" t="str">
        <f>TEXT(B644,"mm")</f>
        <v>07</v>
      </c>
      <c r="D644" t="s">
        <v>20</v>
      </c>
      <c r="E644" t="s">
        <v>1636</v>
      </c>
      <c r="F644" s="5">
        <v>32400000</v>
      </c>
      <c r="G644" s="5">
        <v>35400000</v>
      </c>
      <c r="H644" s="5">
        <f>M644*26000*1.20565</f>
        <v>38409356.57</v>
      </c>
      <c r="I644" s="5">
        <f>G644-H644</f>
        <v>-3009356.5700000003</v>
      </c>
      <c r="J644" s="5">
        <v>3000000</v>
      </c>
      <c r="K644" s="5">
        <v>3240000</v>
      </c>
      <c r="L644" s="5">
        <v>3540000</v>
      </c>
      <c r="M644" s="7">
        <v>1225.3</v>
      </c>
      <c r="N644" s="5">
        <v>32900000</v>
      </c>
      <c r="O644" s="5">
        <v>35900000</v>
      </c>
      <c r="P644" s="3">
        <v>0.97916666666666663</v>
      </c>
    </row>
    <row r="645" spans="1:16" x14ac:dyDescent="0.25">
      <c r="A645" t="s">
        <v>410</v>
      </c>
      <c r="B645" s="2">
        <v>43308</v>
      </c>
      <c r="C645" t="str">
        <f>TEXT(B645,"mm")</f>
        <v>07</v>
      </c>
      <c r="D645" t="s">
        <v>21</v>
      </c>
      <c r="E645" t="s">
        <v>1636</v>
      </c>
      <c r="F645" s="5">
        <v>32400000</v>
      </c>
      <c r="G645" s="5">
        <v>35400000</v>
      </c>
      <c r="H645" s="5">
        <f>M645*26000*1.20565</f>
        <v>38324719.939999998</v>
      </c>
      <c r="I645" s="5">
        <f>G645-H645</f>
        <v>-2924719.9399999976</v>
      </c>
      <c r="J645" s="5">
        <v>3000000</v>
      </c>
      <c r="K645" s="5">
        <v>3240000</v>
      </c>
      <c r="L645" s="5">
        <v>3540000</v>
      </c>
      <c r="M645" s="7">
        <v>1222.5999999999999</v>
      </c>
      <c r="N645" s="5">
        <v>32900000</v>
      </c>
      <c r="O645" s="5">
        <v>35900000</v>
      </c>
      <c r="P645" s="3">
        <v>0.97916666666666663</v>
      </c>
    </row>
    <row r="646" spans="1:16" x14ac:dyDescent="0.25">
      <c r="A646" t="s">
        <v>411</v>
      </c>
      <c r="B646" s="2">
        <v>43311</v>
      </c>
      <c r="C646" t="str">
        <f>TEXT(B646,"mm")</f>
        <v>07</v>
      </c>
      <c r="D646" t="s">
        <v>16</v>
      </c>
      <c r="E646" t="s">
        <v>1636</v>
      </c>
      <c r="F646" s="5">
        <v>32300000</v>
      </c>
      <c r="G646" s="5">
        <v>35300000</v>
      </c>
      <c r="H646" s="5">
        <f>M646*26000*1.20565</f>
        <v>38283968.970000006</v>
      </c>
      <c r="I646" s="5">
        <f>G646-H646</f>
        <v>-2983968.9700000063</v>
      </c>
      <c r="J646" s="5">
        <v>3000000</v>
      </c>
      <c r="K646" s="5">
        <v>3230000</v>
      </c>
      <c r="L646" s="5">
        <v>3530000</v>
      </c>
      <c r="M646" s="7">
        <v>1221.3</v>
      </c>
      <c r="N646" s="5">
        <v>32800000</v>
      </c>
      <c r="O646" s="5">
        <v>35800000</v>
      </c>
      <c r="P646" s="3">
        <v>0.97916666666666663</v>
      </c>
    </row>
    <row r="647" spans="1:16" x14ac:dyDescent="0.25">
      <c r="A647" t="s">
        <v>412</v>
      </c>
      <c r="B647" s="2">
        <v>43312</v>
      </c>
      <c r="C647" t="str">
        <f>TEXT(B647,"mm")</f>
        <v>07</v>
      </c>
      <c r="D647" t="s">
        <v>18</v>
      </c>
      <c r="E647" t="s">
        <v>1636</v>
      </c>
      <c r="F647" s="5">
        <v>32400000</v>
      </c>
      <c r="G647" s="5">
        <v>35400000</v>
      </c>
      <c r="H647" s="5">
        <f>M647*26000*1.20565</f>
        <v>38359201.530000001</v>
      </c>
      <c r="I647" s="5">
        <f>G647-H647</f>
        <v>-2959201.5300000012</v>
      </c>
      <c r="J647" s="5">
        <v>3000000</v>
      </c>
      <c r="K647" s="5">
        <v>3240000</v>
      </c>
      <c r="L647" s="5">
        <v>3540000</v>
      </c>
      <c r="M647" s="7">
        <v>1223.7</v>
      </c>
      <c r="N647" s="5">
        <v>32900000</v>
      </c>
      <c r="O647" s="5">
        <v>35900000</v>
      </c>
      <c r="P647" s="3">
        <v>0.97916666666666663</v>
      </c>
    </row>
    <row r="648" spans="1:16" x14ac:dyDescent="0.25">
      <c r="A648" s="2">
        <v>43108</v>
      </c>
      <c r="B648" s="2">
        <v>43313</v>
      </c>
      <c r="C648" t="str">
        <f>TEXT(B648,"mm")</f>
        <v>08</v>
      </c>
      <c r="D648" t="s">
        <v>19</v>
      </c>
      <c r="E648" t="s">
        <v>1636</v>
      </c>
      <c r="F648" s="5">
        <v>32200000</v>
      </c>
      <c r="G648" s="5">
        <v>35200000</v>
      </c>
      <c r="H648" s="5">
        <f>M648*26000*1.20565</f>
        <v>38177389.510000005</v>
      </c>
      <c r="I648" s="5">
        <f>G648-H648</f>
        <v>-2977389.5100000054</v>
      </c>
      <c r="J648" s="5">
        <v>3000000</v>
      </c>
      <c r="K648" s="5">
        <v>3220000</v>
      </c>
      <c r="L648" s="5">
        <v>3520000</v>
      </c>
      <c r="M648" s="7">
        <v>1217.9000000000001</v>
      </c>
      <c r="N648" s="5">
        <v>32700000</v>
      </c>
      <c r="O648" s="5">
        <v>35700000</v>
      </c>
      <c r="P648" s="3">
        <v>0.97916666666666663</v>
      </c>
    </row>
    <row r="649" spans="1:16" x14ac:dyDescent="0.25">
      <c r="A649" s="2">
        <v>43139</v>
      </c>
      <c r="B649" s="2">
        <v>43314</v>
      </c>
      <c r="C649" t="str">
        <f>TEXT(B649,"mm")</f>
        <v>08</v>
      </c>
      <c r="D649" t="s">
        <v>20</v>
      </c>
      <c r="E649" t="s">
        <v>1636</v>
      </c>
      <c r="F649" s="5">
        <v>32000000</v>
      </c>
      <c r="G649" s="5">
        <v>35000000</v>
      </c>
      <c r="H649" s="5">
        <f>M649*26000*1.20565</f>
        <v>37948557.140000001</v>
      </c>
      <c r="I649" s="5">
        <f>G649-H649</f>
        <v>-2948557.1400000006</v>
      </c>
      <c r="J649" s="5">
        <v>3000000</v>
      </c>
      <c r="K649" s="5">
        <v>3200000</v>
      </c>
      <c r="L649" s="5">
        <v>3500000</v>
      </c>
      <c r="M649" s="7">
        <v>1210.5999999999999</v>
      </c>
      <c r="N649" s="5">
        <v>32500000</v>
      </c>
      <c r="O649" s="5">
        <v>35500000</v>
      </c>
      <c r="P649" s="3">
        <v>0.97916666666666663</v>
      </c>
    </row>
    <row r="650" spans="1:16" x14ac:dyDescent="0.25">
      <c r="A650" s="2">
        <v>43167</v>
      </c>
      <c r="B650" s="2">
        <v>43315</v>
      </c>
      <c r="C650" t="str">
        <f>TEXT(B650,"mm")</f>
        <v>08</v>
      </c>
      <c r="D650" t="s">
        <v>21</v>
      </c>
      <c r="E650" t="s">
        <v>1636</v>
      </c>
      <c r="F650" s="5">
        <v>32100000</v>
      </c>
      <c r="G650" s="5">
        <v>35100000</v>
      </c>
      <c r="H650" s="5">
        <f>M650*26000*1.20565</f>
        <v>38061405.980000004</v>
      </c>
      <c r="I650" s="5">
        <f>G650-H650</f>
        <v>-2961405.9800000042</v>
      </c>
      <c r="J650" s="5">
        <v>3000000</v>
      </c>
      <c r="K650" s="5">
        <v>3210000</v>
      </c>
      <c r="L650" s="5">
        <v>3510000</v>
      </c>
      <c r="M650" s="7">
        <v>1214.2</v>
      </c>
      <c r="N650" s="5">
        <v>32600000</v>
      </c>
      <c r="O650" s="5">
        <v>35600000</v>
      </c>
      <c r="P650" s="3">
        <v>0.97916666666666663</v>
      </c>
    </row>
    <row r="651" spans="1:16" x14ac:dyDescent="0.25">
      <c r="A651" s="2">
        <v>43259</v>
      </c>
      <c r="B651" s="2">
        <v>43318</v>
      </c>
      <c r="C651" t="str">
        <f>TEXT(B651,"mm")</f>
        <v>08</v>
      </c>
      <c r="D651" t="s">
        <v>16</v>
      </c>
      <c r="E651" t="s">
        <v>1636</v>
      </c>
      <c r="F651" s="5">
        <v>32000000</v>
      </c>
      <c r="G651" s="5">
        <v>35000000</v>
      </c>
      <c r="H651" s="5">
        <f>M651*26000*1.20565</f>
        <v>37885863.339999996</v>
      </c>
      <c r="I651" s="5">
        <f>G651-H651</f>
        <v>-2885863.3399999961</v>
      </c>
      <c r="J651" s="5">
        <v>3000000</v>
      </c>
      <c r="K651" s="5">
        <v>3200000</v>
      </c>
      <c r="L651" s="5">
        <v>3500000</v>
      </c>
      <c r="M651" s="7">
        <v>1208.5999999999999</v>
      </c>
      <c r="N651" s="5">
        <v>32500000</v>
      </c>
      <c r="O651" s="5">
        <v>35500000</v>
      </c>
      <c r="P651" s="3">
        <v>0.97916666666666663</v>
      </c>
    </row>
    <row r="652" spans="1:16" x14ac:dyDescent="0.25">
      <c r="A652" s="2">
        <v>43289</v>
      </c>
      <c r="B652" s="2">
        <v>43319</v>
      </c>
      <c r="C652" t="str">
        <f>TEXT(B652,"mm")</f>
        <v>08</v>
      </c>
      <c r="D652" t="s">
        <v>18</v>
      </c>
      <c r="E652" t="s">
        <v>1636</v>
      </c>
      <c r="F652" s="5">
        <v>32000000</v>
      </c>
      <c r="G652" s="5">
        <v>35000000</v>
      </c>
      <c r="H652" s="5">
        <f>M652*26000*1.20565</f>
        <v>37917210.240000002</v>
      </c>
      <c r="I652" s="5">
        <f>G652-H652</f>
        <v>-2917210.2400000021</v>
      </c>
      <c r="J652" s="5">
        <v>3000000</v>
      </c>
      <c r="K652" s="5">
        <v>3200000</v>
      </c>
      <c r="L652" s="5">
        <v>3500000</v>
      </c>
      <c r="M652" s="7">
        <v>1209.5999999999999</v>
      </c>
      <c r="N652" s="5">
        <v>32500000</v>
      </c>
      <c r="O652" s="5">
        <v>35500000</v>
      </c>
      <c r="P652" s="3">
        <v>0.97916666666666663</v>
      </c>
    </row>
    <row r="653" spans="1:16" x14ac:dyDescent="0.25">
      <c r="A653" s="2">
        <v>43320</v>
      </c>
      <c r="B653" s="2">
        <v>43320</v>
      </c>
      <c r="C653" t="str">
        <f>TEXT(B653,"mm")</f>
        <v>08</v>
      </c>
      <c r="D653" t="s">
        <v>19</v>
      </c>
      <c r="E653" t="s">
        <v>1636</v>
      </c>
      <c r="F653" s="5">
        <v>32100000</v>
      </c>
      <c r="G653" s="5">
        <v>35100000</v>
      </c>
      <c r="H653" s="5">
        <f>M653*26000*1.20565</f>
        <v>38011250.939999998</v>
      </c>
      <c r="I653" s="5">
        <f>G653-H653</f>
        <v>-2911250.9399999976</v>
      </c>
      <c r="J653" s="5">
        <v>3000000</v>
      </c>
      <c r="K653" s="5">
        <v>3210000</v>
      </c>
      <c r="L653" s="5">
        <v>3510000</v>
      </c>
      <c r="M653" s="7">
        <v>1212.5999999999999</v>
      </c>
      <c r="N653" s="5">
        <v>32600000</v>
      </c>
      <c r="O653" s="5">
        <v>35600000</v>
      </c>
      <c r="P653" s="3">
        <v>0.97916666666666663</v>
      </c>
    </row>
    <row r="654" spans="1:16" x14ac:dyDescent="0.25">
      <c r="A654" s="2">
        <v>43351</v>
      </c>
      <c r="B654" s="2">
        <v>43321</v>
      </c>
      <c r="C654" t="str">
        <f>TEXT(B654,"mm")</f>
        <v>08</v>
      </c>
      <c r="D654" t="s">
        <v>20</v>
      </c>
      <c r="E654" t="s">
        <v>1636</v>
      </c>
      <c r="F654" s="5">
        <v>32100000</v>
      </c>
      <c r="G654" s="5">
        <v>35100000</v>
      </c>
      <c r="H654" s="5">
        <f>M654*26000*1.20565</f>
        <v>37989308.110000007</v>
      </c>
      <c r="I654" s="5">
        <f>G654-H654</f>
        <v>-2889308.1100000069</v>
      </c>
      <c r="J654" s="5">
        <v>3000000</v>
      </c>
      <c r="K654" s="5">
        <v>3210000</v>
      </c>
      <c r="L654" s="5">
        <v>3510000</v>
      </c>
      <c r="M654" s="7">
        <v>1211.9000000000001</v>
      </c>
      <c r="N654" s="5">
        <v>32600000</v>
      </c>
      <c r="O654" s="5">
        <v>35600000</v>
      </c>
      <c r="P654" s="3">
        <v>0.97916666666666663</v>
      </c>
    </row>
    <row r="655" spans="1:16" x14ac:dyDescent="0.25">
      <c r="A655" s="2">
        <v>43381</v>
      </c>
      <c r="B655" s="2">
        <v>43322</v>
      </c>
      <c r="C655" t="str">
        <f>TEXT(B655,"mm")</f>
        <v>08</v>
      </c>
      <c r="D655" t="s">
        <v>21</v>
      </c>
      <c r="E655" t="s">
        <v>1636</v>
      </c>
      <c r="F655" s="5">
        <v>32000000</v>
      </c>
      <c r="G655" s="5">
        <v>35000000</v>
      </c>
      <c r="H655" s="5">
        <f>M655*26000*1.20565</f>
        <v>37964230.589999996</v>
      </c>
      <c r="I655" s="5">
        <f>G655-H655</f>
        <v>-2964230.5899999961</v>
      </c>
      <c r="J655" s="5">
        <v>3000000</v>
      </c>
      <c r="K655" s="5">
        <v>3200000</v>
      </c>
      <c r="L655" s="5">
        <v>3500000</v>
      </c>
      <c r="M655" s="7">
        <v>1211.0999999999999</v>
      </c>
      <c r="N655" s="5">
        <v>32500000</v>
      </c>
      <c r="O655" s="5">
        <v>35500000</v>
      </c>
      <c r="P655" s="3">
        <v>0.97916666666666663</v>
      </c>
    </row>
    <row r="656" spans="1:16" x14ac:dyDescent="0.25">
      <c r="A656" t="s">
        <v>413</v>
      </c>
      <c r="B656" s="2">
        <v>43325</v>
      </c>
      <c r="C656" t="str">
        <f>TEXT(B656,"mm")</f>
        <v>08</v>
      </c>
      <c r="D656" t="s">
        <v>16</v>
      </c>
      <c r="E656" t="s">
        <v>1636</v>
      </c>
      <c r="F656" s="5">
        <v>31500000</v>
      </c>
      <c r="G656" s="5">
        <v>34500000</v>
      </c>
      <c r="H656" s="5">
        <f>M656*26000*1.20565</f>
        <v>37343561.970000006</v>
      </c>
      <c r="I656" s="5">
        <f>G656-H656</f>
        <v>-2843561.9700000063</v>
      </c>
      <c r="J656" s="5">
        <v>3000000</v>
      </c>
      <c r="K656" s="5">
        <v>3150000</v>
      </c>
      <c r="L656" s="5">
        <v>3450000</v>
      </c>
      <c r="M656" s="7">
        <v>1191.3</v>
      </c>
      <c r="N656" s="5">
        <v>32000000</v>
      </c>
      <c r="O656" s="5">
        <v>35000000</v>
      </c>
      <c r="P656" s="3">
        <v>0.97916666666666663</v>
      </c>
    </row>
    <row r="657" spans="1:16" x14ac:dyDescent="0.25">
      <c r="A657" t="s">
        <v>414</v>
      </c>
      <c r="B657" s="2">
        <v>43326</v>
      </c>
      <c r="C657" t="str">
        <f>TEXT(B657,"mm")</f>
        <v>08</v>
      </c>
      <c r="D657" t="s">
        <v>18</v>
      </c>
      <c r="E657" t="s">
        <v>1636</v>
      </c>
      <c r="F657" s="5">
        <v>31500000</v>
      </c>
      <c r="G657" s="5">
        <v>34500000</v>
      </c>
      <c r="H657" s="5">
        <f>M657*26000*1.20565</f>
        <v>37396851.700000003</v>
      </c>
      <c r="I657" s="5">
        <f>G657-H657</f>
        <v>-2896851.700000003</v>
      </c>
      <c r="J657" s="5">
        <v>3000000</v>
      </c>
      <c r="K657" s="5">
        <v>3150000</v>
      </c>
      <c r="L657" s="5">
        <v>3450000</v>
      </c>
      <c r="M657" s="7">
        <v>1193</v>
      </c>
      <c r="N657" s="5">
        <v>32000000</v>
      </c>
      <c r="O657" s="5">
        <v>35000000</v>
      </c>
      <c r="P657" s="3">
        <v>0.97916666666666663</v>
      </c>
    </row>
    <row r="658" spans="1:16" x14ac:dyDescent="0.25">
      <c r="A658" t="s">
        <v>415</v>
      </c>
      <c r="B658" s="2">
        <v>43327</v>
      </c>
      <c r="C658" t="str">
        <f>TEXT(B658,"mm")</f>
        <v>08</v>
      </c>
      <c r="D658" t="s">
        <v>19</v>
      </c>
      <c r="E658" t="s">
        <v>1636</v>
      </c>
      <c r="F658" s="5">
        <v>31100000</v>
      </c>
      <c r="G658" s="5">
        <v>34100000</v>
      </c>
      <c r="H658" s="5">
        <f>M658*26000*1.20565</f>
        <v>36910974.75</v>
      </c>
      <c r="I658" s="5">
        <f>G658-H658</f>
        <v>-2810974.75</v>
      </c>
      <c r="J658" s="5">
        <v>3000000</v>
      </c>
      <c r="K658" s="5">
        <v>3110000</v>
      </c>
      <c r="L658" s="5">
        <v>3410000</v>
      </c>
      <c r="M658" s="7">
        <v>1177.5</v>
      </c>
      <c r="N658" s="5">
        <v>31600000</v>
      </c>
      <c r="O658" s="5">
        <v>34600000</v>
      </c>
      <c r="P658" s="3">
        <v>0.97916666666666663</v>
      </c>
    </row>
    <row r="659" spans="1:16" x14ac:dyDescent="0.25">
      <c r="A659" t="s">
        <v>416</v>
      </c>
      <c r="B659" s="2">
        <v>43328</v>
      </c>
      <c r="C659" t="str">
        <f>TEXT(B659,"mm")</f>
        <v>08</v>
      </c>
      <c r="D659" t="s">
        <v>20</v>
      </c>
      <c r="E659" t="s">
        <v>1636</v>
      </c>
      <c r="F659" s="5">
        <v>31000000</v>
      </c>
      <c r="G659" s="5">
        <v>34000000</v>
      </c>
      <c r="H659" s="5">
        <f>M659*26000*1.20565</f>
        <v>36870223.780000001</v>
      </c>
      <c r="I659" s="5">
        <f>G659-H659</f>
        <v>-2870223.7800000012</v>
      </c>
      <c r="J659" s="5">
        <v>3000000</v>
      </c>
      <c r="K659" s="5">
        <v>3100000</v>
      </c>
      <c r="L659" s="5">
        <v>3400000</v>
      </c>
      <c r="M659" s="7">
        <v>1176.2</v>
      </c>
      <c r="N659" s="5">
        <v>31500000</v>
      </c>
      <c r="O659" s="5">
        <v>34500000</v>
      </c>
      <c r="P659" s="3">
        <v>0.97916666666666663</v>
      </c>
    </row>
    <row r="660" spans="1:16" x14ac:dyDescent="0.25">
      <c r="A660" t="s">
        <v>417</v>
      </c>
      <c r="B660" s="2">
        <v>43329</v>
      </c>
      <c r="C660" t="str">
        <f>TEXT(B660,"mm")</f>
        <v>08</v>
      </c>
      <c r="D660" t="s">
        <v>21</v>
      </c>
      <c r="E660" t="s">
        <v>1636</v>
      </c>
      <c r="F660" s="5">
        <v>31000000</v>
      </c>
      <c r="G660" s="5">
        <v>34000000</v>
      </c>
      <c r="H660" s="5">
        <f>M660*26000*1.20565</f>
        <v>36879627.850000001</v>
      </c>
      <c r="I660" s="5">
        <f>G660-H660</f>
        <v>-2879627.8500000015</v>
      </c>
      <c r="J660" s="5">
        <v>3000000</v>
      </c>
      <c r="K660" s="5">
        <v>3100000</v>
      </c>
      <c r="L660" s="5">
        <v>3400000</v>
      </c>
      <c r="M660" s="7">
        <v>1176.5</v>
      </c>
      <c r="N660" s="5">
        <v>31500000</v>
      </c>
      <c r="O660" s="5">
        <v>34500000</v>
      </c>
      <c r="P660" s="3">
        <v>0.97916666666666663</v>
      </c>
    </row>
    <row r="661" spans="1:16" x14ac:dyDescent="0.25">
      <c r="A661" t="s">
        <v>418</v>
      </c>
      <c r="B661" s="2">
        <v>43332</v>
      </c>
      <c r="C661" t="str">
        <f>TEXT(B661,"mm")</f>
        <v>08</v>
      </c>
      <c r="D661" t="s">
        <v>16</v>
      </c>
      <c r="E661" t="s">
        <v>1636</v>
      </c>
      <c r="F661" s="5">
        <v>31300000</v>
      </c>
      <c r="G661" s="5">
        <v>34300000</v>
      </c>
      <c r="H661" s="5">
        <f>M661*26000*1.20565</f>
        <v>37202500.920000002</v>
      </c>
      <c r="I661" s="5">
        <f>G661-H661</f>
        <v>-2902500.9200000018</v>
      </c>
      <c r="J661" s="5">
        <v>3000000</v>
      </c>
      <c r="K661" s="5">
        <v>3130000</v>
      </c>
      <c r="L661" s="5">
        <v>3430000</v>
      </c>
      <c r="M661" s="7">
        <v>1186.8</v>
      </c>
      <c r="N661" s="5">
        <v>31800000</v>
      </c>
      <c r="O661" s="5">
        <v>34800000</v>
      </c>
      <c r="P661" s="3">
        <v>0.97916666666666663</v>
      </c>
    </row>
    <row r="662" spans="1:16" x14ac:dyDescent="0.25">
      <c r="A662" t="s">
        <v>419</v>
      </c>
      <c r="B662" s="2">
        <v>43333</v>
      </c>
      <c r="C662" t="str">
        <f>TEXT(B662,"mm")</f>
        <v>08</v>
      </c>
      <c r="D662" t="s">
        <v>18</v>
      </c>
      <c r="E662" t="s">
        <v>1636</v>
      </c>
      <c r="F662" s="5">
        <v>31500000</v>
      </c>
      <c r="G662" s="5">
        <v>34500000</v>
      </c>
      <c r="H662" s="5">
        <f>M662*26000*1.20565</f>
        <v>37384312.939999998</v>
      </c>
      <c r="I662" s="5">
        <f>G662-H662</f>
        <v>-2884312.9399999976</v>
      </c>
      <c r="J662" s="5">
        <v>3000000</v>
      </c>
      <c r="K662" s="5">
        <v>3150000</v>
      </c>
      <c r="L662" s="5">
        <v>3450000</v>
      </c>
      <c r="M662" s="7">
        <v>1192.5999999999999</v>
      </c>
      <c r="N662" s="5">
        <v>32000000</v>
      </c>
      <c r="O662" s="5">
        <v>35000000</v>
      </c>
      <c r="P662" s="3">
        <v>0.97916666666666663</v>
      </c>
    </row>
    <row r="663" spans="1:16" x14ac:dyDescent="0.25">
      <c r="A663" t="s">
        <v>420</v>
      </c>
      <c r="B663" s="2">
        <v>43334</v>
      </c>
      <c r="C663" t="str">
        <f>TEXT(B663,"mm")</f>
        <v>08</v>
      </c>
      <c r="D663" t="s">
        <v>19</v>
      </c>
      <c r="E663" t="s">
        <v>1636</v>
      </c>
      <c r="F663" s="5">
        <v>31600000</v>
      </c>
      <c r="G663" s="5">
        <v>34600000</v>
      </c>
      <c r="H663" s="5">
        <f>M663*26000*1.20565</f>
        <v>37500296.470000006</v>
      </c>
      <c r="I663" s="5">
        <f>G663-H663</f>
        <v>-2900296.4700000063</v>
      </c>
      <c r="J663" s="5">
        <v>3000000</v>
      </c>
      <c r="K663" s="5">
        <v>3160000</v>
      </c>
      <c r="L663" s="5">
        <v>3460000</v>
      </c>
      <c r="M663" s="7">
        <v>1196.3</v>
      </c>
      <c r="N663" s="5">
        <v>32100000</v>
      </c>
      <c r="O663" s="5">
        <v>35100000</v>
      </c>
      <c r="P663" s="3">
        <v>0.97916666666666663</v>
      </c>
    </row>
    <row r="664" spans="1:16" x14ac:dyDescent="0.25">
      <c r="A664" t="s">
        <v>421</v>
      </c>
      <c r="B664" s="2">
        <v>43335</v>
      </c>
      <c r="C664" t="str">
        <f>TEXT(B664,"mm")</f>
        <v>08</v>
      </c>
      <c r="D664" t="s">
        <v>20</v>
      </c>
      <c r="E664" t="s">
        <v>1636</v>
      </c>
      <c r="F664" s="5">
        <v>31300000</v>
      </c>
      <c r="G664" s="5">
        <v>34300000</v>
      </c>
      <c r="H664" s="5">
        <f>M664*26000*1.20565</f>
        <v>37208770.300000004</v>
      </c>
      <c r="I664" s="5">
        <f>G664-H664</f>
        <v>-2908770.3000000045</v>
      </c>
      <c r="J664" s="5">
        <v>3000000</v>
      </c>
      <c r="K664" s="5">
        <v>3130000</v>
      </c>
      <c r="L664" s="5">
        <v>3430000</v>
      </c>
      <c r="M664" s="7">
        <v>1187</v>
      </c>
      <c r="N664" s="5">
        <v>31800000</v>
      </c>
      <c r="O664" s="5">
        <v>34800000</v>
      </c>
      <c r="P664" s="3">
        <v>0.97916666666666663</v>
      </c>
    </row>
    <row r="665" spans="1:16" x14ac:dyDescent="0.25">
      <c r="A665" t="s">
        <v>422</v>
      </c>
      <c r="B665" s="2">
        <v>43336</v>
      </c>
      <c r="C665" t="str">
        <f>TEXT(B665,"mm")</f>
        <v>08</v>
      </c>
      <c r="D665" t="s">
        <v>21</v>
      </c>
      <c r="E665" t="s">
        <v>1636</v>
      </c>
      <c r="F665" s="5">
        <v>31900000</v>
      </c>
      <c r="G665" s="5">
        <v>34900000</v>
      </c>
      <c r="H665" s="5">
        <f>M665*26000*1.20565</f>
        <v>37813765.470000006</v>
      </c>
      <c r="I665" s="5">
        <f>G665-H665</f>
        <v>-2913765.4700000063</v>
      </c>
      <c r="J665" s="5">
        <v>3000000</v>
      </c>
      <c r="K665" s="5">
        <v>3190000</v>
      </c>
      <c r="L665" s="5">
        <v>3490000</v>
      </c>
      <c r="M665" s="7">
        <v>1206.3</v>
      </c>
      <c r="N665" s="5">
        <v>32400000</v>
      </c>
      <c r="O665" s="5">
        <v>35400000</v>
      </c>
      <c r="P665" s="3">
        <v>0.97916666666666663</v>
      </c>
    </row>
    <row r="666" spans="1:16" x14ac:dyDescent="0.25">
      <c r="A666" t="s">
        <v>423</v>
      </c>
      <c r="B666" s="2">
        <v>43339</v>
      </c>
      <c r="C666" t="str">
        <f>TEXT(B666,"mm")</f>
        <v>08</v>
      </c>
      <c r="D666" t="s">
        <v>16</v>
      </c>
      <c r="E666" t="s">
        <v>1636</v>
      </c>
      <c r="F666" s="5">
        <v>32000000</v>
      </c>
      <c r="G666" s="5">
        <v>35000000</v>
      </c>
      <c r="H666" s="5">
        <f>M666*26000*1.20565</f>
        <v>37898402.100000001</v>
      </c>
      <c r="I666" s="5">
        <f>G666-H666</f>
        <v>-2898402.1000000015</v>
      </c>
      <c r="J666" s="5">
        <v>3000000</v>
      </c>
      <c r="K666" s="5">
        <v>3200000</v>
      </c>
      <c r="L666" s="5">
        <v>3500000</v>
      </c>
      <c r="M666" s="7">
        <v>1209</v>
      </c>
      <c r="N666" s="5">
        <v>32500000</v>
      </c>
      <c r="O666" s="5">
        <v>35500000</v>
      </c>
      <c r="P666" s="3">
        <v>0.97916666666666663</v>
      </c>
    </row>
    <row r="667" spans="1:16" x14ac:dyDescent="0.25">
      <c r="A667" t="s">
        <v>424</v>
      </c>
      <c r="B667" s="2">
        <v>43340</v>
      </c>
      <c r="C667" t="str">
        <f>TEXT(B667,"mm")</f>
        <v>08</v>
      </c>
      <c r="D667" t="s">
        <v>18</v>
      </c>
      <c r="E667" t="s">
        <v>1636</v>
      </c>
      <c r="F667" s="5">
        <v>31900000</v>
      </c>
      <c r="G667" s="5">
        <v>34900000</v>
      </c>
      <c r="H667" s="5">
        <f>M667*26000*1.20565</f>
        <v>37848247.06000001</v>
      </c>
      <c r="I667" s="5">
        <f>G667-H667</f>
        <v>-2948247.0600000098</v>
      </c>
      <c r="J667" s="5">
        <v>3000000</v>
      </c>
      <c r="K667" s="5">
        <v>3190000</v>
      </c>
      <c r="L667" s="5">
        <v>3490000</v>
      </c>
      <c r="M667" s="7">
        <v>1207.4000000000001</v>
      </c>
      <c r="N667" s="5">
        <v>32400000</v>
      </c>
      <c r="O667" s="5">
        <v>35400000</v>
      </c>
      <c r="P667" s="3">
        <v>0.97916666666666663</v>
      </c>
    </row>
    <row r="668" spans="1:16" x14ac:dyDescent="0.25">
      <c r="A668" t="s">
        <v>425</v>
      </c>
      <c r="B668" s="2">
        <v>43341</v>
      </c>
      <c r="C668" t="str">
        <f>TEXT(B668,"mm")</f>
        <v>08</v>
      </c>
      <c r="D668" t="s">
        <v>19</v>
      </c>
      <c r="E668" t="s">
        <v>1636</v>
      </c>
      <c r="F668" s="5">
        <v>31800000</v>
      </c>
      <c r="G668" s="5">
        <v>34800000</v>
      </c>
      <c r="H668" s="5">
        <f>M668*26000*1.20565</f>
        <v>37757341.050000004</v>
      </c>
      <c r="I668" s="5">
        <f>G668-H668</f>
        <v>-2957341.0500000045</v>
      </c>
      <c r="J668" s="5">
        <v>3000000</v>
      </c>
      <c r="K668" s="5">
        <v>3180000</v>
      </c>
      <c r="L668" s="5">
        <v>3480000</v>
      </c>
      <c r="M668" s="7">
        <v>1204.5</v>
      </c>
      <c r="N668" s="5">
        <v>32300000</v>
      </c>
      <c r="O668" s="5">
        <v>35300000</v>
      </c>
      <c r="P668" s="3">
        <v>0.97916666666666663</v>
      </c>
    </row>
    <row r="669" spans="1:16" x14ac:dyDescent="0.25">
      <c r="A669" t="s">
        <v>426</v>
      </c>
      <c r="B669" s="2">
        <v>43342</v>
      </c>
      <c r="C669" t="str">
        <f>TEXT(B669,"mm")</f>
        <v>08</v>
      </c>
      <c r="D669" t="s">
        <v>20</v>
      </c>
      <c r="E669" t="s">
        <v>1636</v>
      </c>
      <c r="F669" s="5">
        <v>31600000</v>
      </c>
      <c r="G669" s="5">
        <v>34600000</v>
      </c>
      <c r="H669" s="5">
        <f>M669*26000*1.20565</f>
        <v>37544182.130000003</v>
      </c>
      <c r="I669" s="5">
        <f>G669-H669</f>
        <v>-2944182.1300000027</v>
      </c>
      <c r="J669" s="5">
        <v>3000000</v>
      </c>
      <c r="K669" s="5">
        <v>3160000</v>
      </c>
      <c r="L669" s="5">
        <v>3460000</v>
      </c>
      <c r="M669" s="7">
        <v>1197.7</v>
      </c>
      <c r="N669" s="5">
        <v>32100000</v>
      </c>
      <c r="O669" s="5">
        <v>35100000</v>
      </c>
      <c r="P669" s="3">
        <v>0.97916666666666663</v>
      </c>
    </row>
    <row r="670" spans="1:16" x14ac:dyDescent="0.25">
      <c r="A670" t="s">
        <v>427</v>
      </c>
      <c r="B670" s="2">
        <v>43343</v>
      </c>
      <c r="C670" t="str">
        <f>TEXT(B670,"mm")</f>
        <v>08</v>
      </c>
      <c r="D670" t="s">
        <v>21</v>
      </c>
      <c r="E670" t="s">
        <v>1636</v>
      </c>
      <c r="F670" s="5">
        <v>31700000</v>
      </c>
      <c r="G670" s="5">
        <v>34700000</v>
      </c>
      <c r="H670" s="5">
        <f>M670*26000*1.20565</f>
        <v>37625684.07</v>
      </c>
      <c r="I670" s="5">
        <f>G670-H670</f>
        <v>-2925684.0700000003</v>
      </c>
      <c r="J670" s="5">
        <v>3000000</v>
      </c>
      <c r="K670" s="5">
        <v>3170000</v>
      </c>
      <c r="L670" s="5">
        <v>3470000</v>
      </c>
      <c r="M670" s="7">
        <v>1200.3</v>
      </c>
      <c r="N670" s="5">
        <v>32200000</v>
      </c>
      <c r="O670" s="5">
        <v>35200000</v>
      </c>
      <c r="P670" s="3">
        <v>0.97916666666666663</v>
      </c>
    </row>
    <row r="671" spans="1:16" x14ac:dyDescent="0.25">
      <c r="A671" s="2">
        <v>43199</v>
      </c>
      <c r="B671" s="2">
        <v>43347</v>
      </c>
      <c r="C671" t="str">
        <f>TEXT(B671,"mm")</f>
        <v>09</v>
      </c>
      <c r="D671" t="s">
        <v>18</v>
      </c>
      <c r="E671" t="s">
        <v>1636</v>
      </c>
      <c r="F671" s="5">
        <v>31500000</v>
      </c>
      <c r="G671" s="5">
        <v>34500000</v>
      </c>
      <c r="H671" s="5">
        <f>M671*26000*1.20565</f>
        <v>37387447.630000003</v>
      </c>
      <c r="I671" s="5">
        <f>G671-H671</f>
        <v>-2887447.6300000027</v>
      </c>
      <c r="J671" s="5">
        <v>3000000</v>
      </c>
      <c r="K671" s="5">
        <v>3150000</v>
      </c>
      <c r="L671" s="5">
        <v>3450000</v>
      </c>
      <c r="M671" s="7">
        <v>1192.7</v>
      </c>
      <c r="N671" s="5">
        <v>32000000</v>
      </c>
      <c r="O671" s="5">
        <v>35000000</v>
      </c>
      <c r="P671" s="3">
        <v>0.97916666666666663</v>
      </c>
    </row>
    <row r="672" spans="1:16" x14ac:dyDescent="0.25">
      <c r="A672" s="2">
        <v>43229</v>
      </c>
      <c r="B672" s="2">
        <v>43348</v>
      </c>
      <c r="C672" t="str">
        <f>TEXT(B672,"mm")</f>
        <v>09</v>
      </c>
      <c r="D672" t="s">
        <v>19</v>
      </c>
      <c r="E672" t="s">
        <v>1636</v>
      </c>
      <c r="F672" s="5">
        <v>31600000</v>
      </c>
      <c r="G672" s="5">
        <v>34600000</v>
      </c>
      <c r="H672" s="5">
        <f>M672*26000*1.20565</f>
        <v>37456410.81000001</v>
      </c>
      <c r="I672" s="5">
        <f>G672-H672</f>
        <v>-2856410.8100000098</v>
      </c>
      <c r="J672" s="5">
        <v>3000000</v>
      </c>
      <c r="K672" s="5">
        <v>3160000</v>
      </c>
      <c r="L672" s="5">
        <v>3460000</v>
      </c>
      <c r="M672" s="7">
        <v>1194.9000000000001</v>
      </c>
      <c r="N672" s="5">
        <v>32100000</v>
      </c>
      <c r="O672" s="5">
        <v>35100000</v>
      </c>
      <c r="P672" s="3">
        <v>0.97916666666666663</v>
      </c>
    </row>
    <row r="673" spans="1:16" x14ac:dyDescent="0.25">
      <c r="A673" s="2">
        <v>43260</v>
      </c>
      <c r="B673" s="2">
        <v>43349</v>
      </c>
      <c r="C673" t="str">
        <f>TEXT(B673,"mm")</f>
        <v>09</v>
      </c>
      <c r="D673" t="s">
        <v>20</v>
      </c>
      <c r="E673" t="s">
        <v>1636</v>
      </c>
      <c r="F673" s="5">
        <v>31700000</v>
      </c>
      <c r="G673" s="5">
        <v>34700000</v>
      </c>
      <c r="H673" s="5">
        <f>M673*26000*1.20565</f>
        <v>37550451.510000005</v>
      </c>
      <c r="I673" s="5">
        <f>G673-H673</f>
        <v>-2850451.5100000054</v>
      </c>
      <c r="J673" s="5">
        <v>3000000</v>
      </c>
      <c r="K673" s="5">
        <v>3170000</v>
      </c>
      <c r="L673" s="5">
        <v>3470000</v>
      </c>
      <c r="M673" s="7">
        <v>1197.9000000000001</v>
      </c>
      <c r="N673" s="5">
        <v>32200000</v>
      </c>
      <c r="O673" s="5">
        <v>35200000</v>
      </c>
      <c r="P673" s="3">
        <v>0.97916666666666663</v>
      </c>
    </row>
    <row r="674" spans="1:16" x14ac:dyDescent="0.25">
      <c r="A674" s="2">
        <v>43290</v>
      </c>
      <c r="B674" s="2">
        <v>43350</v>
      </c>
      <c r="C674" t="str">
        <f>TEXT(B674,"mm")</f>
        <v>09</v>
      </c>
      <c r="D674" t="s">
        <v>21</v>
      </c>
      <c r="E674" t="s">
        <v>1636</v>
      </c>
      <c r="F674" s="5">
        <v>31500000</v>
      </c>
      <c r="G674" s="5">
        <v>34500000</v>
      </c>
      <c r="H674" s="5">
        <f>M674*26000*1.20565</f>
        <v>37415659.839999996</v>
      </c>
      <c r="I674" s="5">
        <f>G674-H674</f>
        <v>-2915659.8399999961</v>
      </c>
      <c r="J674" s="5">
        <v>3000000</v>
      </c>
      <c r="K674" s="5">
        <v>3150000</v>
      </c>
      <c r="L674" s="5">
        <v>3450000</v>
      </c>
      <c r="M674" s="7">
        <v>1193.5999999999999</v>
      </c>
      <c r="N674" s="5">
        <v>32000000</v>
      </c>
      <c r="O674" s="5">
        <v>35000000</v>
      </c>
      <c r="P674" s="3">
        <v>0.97916666666666663</v>
      </c>
    </row>
    <row r="675" spans="1:16" x14ac:dyDescent="0.25">
      <c r="A675" s="2">
        <v>43382</v>
      </c>
      <c r="B675" s="2">
        <v>43353</v>
      </c>
      <c r="C675" t="str">
        <f>TEXT(B675,"mm")</f>
        <v>09</v>
      </c>
      <c r="D675" t="s">
        <v>16</v>
      </c>
      <c r="E675" t="s">
        <v>1636</v>
      </c>
      <c r="F675" s="5">
        <v>31500000</v>
      </c>
      <c r="G675" s="5">
        <v>34500000</v>
      </c>
      <c r="H675" s="5">
        <f>M675*26000*1.20565</f>
        <v>37396851.700000003</v>
      </c>
      <c r="I675" s="5">
        <f>G675-H675</f>
        <v>-2896851.700000003</v>
      </c>
      <c r="J675" s="5">
        <v>3000000</v>
      </c>
      <c r="K675" s="5">
        <v>3150000</v>
      </c>
      <c r="L675" s="5">
        <v>3450000</v>
      </c>
      <c r="M675" s="7">
        <v>1193</v>
      </c>
      <c r="N675" s="5">
        <v>32000000</v>
      </c>
      <c r="O675" s="5">
        <v>35000000</v>
      </c>
      <c r="P675" s="3">
        <v>0.97916666666666663</v>
      </c>
    </row>
    <row r="676" spans="1:16" x14ac:dyDescent="0.25">
      <c r="A676" s="2">
        <v>43413</v>
      </c>
      <c r="B676" s="2">
        <v>43354</v>
      </c>
      <c r="C676" t="str">
        <f>TEXT(B676,"mm")</f>
        <v>09</v>
      </c>
      <c r="D676" t="s">
        <v>18</v>
      </c>
      <c r="E676" t="s">
        <v>1636</v>
      </c>
      <c r="F676" s="5">
        <v>31600000</v>
      </c>
      <c r="G676" s="5">
        <v>34600000</v>
      </c>
      <c r="H676" s="5">
        <f>M676*26000*1.20565</f>
        <v>37472084.260000005</v>
      </c>
      <c r="I676" s="5">
        <f>G676-H676</f>
        <v>-2872084.2600000054</v>
      </c>
      <c r="J676" s="5">
        <v>3000000</v>
      </c>
      <c r="K676" s="5">
        <v>3160000</v>
      </c>
      <c r="L676" s="5">
        <v>3460000</v>
      </c>
      <c r="M676" s="7">
        <v>1195.4000000000001</v>
      </c>
      <c r="N676" s="5">
        <v>32100000</v>
      </c>
      <c r="O676" s="5">
        <v>35100000</v>
      </c>
      <c r="P676" s="3">
        <v>0.97916666666666663</v>
      </c>
    </row>
    <row r="677" spans="1:16" x14ac:dyDescent="0.25">
      <c r="A677" s="2">
        <v>43443</v>
      </c>
      <c r="B677" s="2">
        <v>43355</v>
      </c>
      <c r="C677" t="str">
        <f>TEXT(B677,"mm")</f>
        <v>09</v>
      </c>
      <c r="D677" t="s">
        <v>19</v>
      </c>
      <c r="E677" t="s">
        <v>1636</v>
      </c>
      <c r="F677" s="5">
        <v>31800000</v>
      </c>
      <c r="G677" s="5">
        <v>34800000</v>
      </c>
      <c r="H677" s="5">
        <f>M677*26000*1.20565</f>
        <v>37763610.430000007</v>
      </c>
      <c r="I677" s="5">
        <f>G677-H677</f>
        <v>-2963610.4300000072</v>
      </c>
      <c r="J677" s="5">
        <v>3000000</v>
      </c>
      <c r="K677" s="5">
        <v>3180000</v>
      </c>
      <c r="L677" s="5">
        <v>3480000</v>
      </c>
      <c r="M677" s="7">
        <v>1204.7</v>
      </c>
      <c r="N677" s="5">
        <v>32300000</v>
      </c>
      <c r="O677" s="5">
        <v>35300000</v>
      </c>
      <c r="P677" s="3">
        <v>0.97916666666666663</v>
      </c>
    </row>
    <row r="678" spans="1:16" x14ac:dyDescent="0.25">
      <c r="A678" t="s">
        <v>428</v>
      </c>
      <c r="B678" s="2">
        <v>43356</v>
      </c>
      <c r="C678" t="str">
        <f>TEXT(B678,"mm")</f>
        <v>09</v>
      </c>
      <c r="D678" t="s">
        <v>20</v>
      </c>
      <c r="E678" t="s">
        <v>1636</v>
      </c>
      <c r="F678" s="5">
        <v>31800000</v>
      </c>
      <c r="G678" s="5">
        <v>34800000</v>
      </c>
      <c r="H678" s="5">
        <f>M678*26000*1.20565</f>
        <v>37678973.800000004</v>
      </c>
      <c r="I678" s="5">
        <f>G678-H678</f>
        <v>-2878973.8000000045</v>
      </c>
      <c r="J678" s="5">
        <v>3000000</v>
      </c>
      <c r="K678" s="5">
        <v>3180000</v>
      </c>
      <c r="L678" s="5">
        <v>3480000</v>
      </c>
      <c r="M678" s="7">
        <v>1202</v>
      </c>
      <c r="N678" s="5">
        <v>32300000</v>
      </c>
      <c r="O678" s="5">
        <v>35300000</v>
      </c>
      <c r="P678" s="3">
        <v>0.97916666666666663</v>
      </c>
    </row>
    <row r="679" spans="1:16" x14ac:dyDescent="0.25">
      <c r="A679" t="s">
        <v>429</v>
      </c>
      <c r="B679" s="2">
        <v>43357</v>
      </c>
      <c r="C679" t="str">
        <f>TEXT(B679,"mm")</f>
        <v>09</v>
      </c>
      <c r="D679" t="s">
        <v>21</v>
      </c>
      <c r="E679" t="s">
        <v>1636</v>
      </c>
      <c r="F679" s="5">
        <v>31600000</v>
      </c>
      <c r="G679" s="5">
        <v>34600000</v>
      </c>
      <c r="H679" s="5">
        <f>M679*26000*1.20565</f>
        <v>37459545.5</v>
      </c>
      <c r="I679" s="5">
        <f>G679-H679</f>
        <v>-2859545.5</v>
      </c>
      <c r="J679" s="5">
        <v>3000000</v>
      </c>
      <c r="K679" s="5">
        <v>3160000</v>
      </c>
      <c r="L679" s="5">
        <v>3460000</v>
      </c>
      <c r="M679" s="7">
        <v>1195</v>
      </c>
      <c r="N679" s="5">
        <v>32100000</v>
      </c>
      <c r="O679" s="5">
        <v>35100000</v>
      </c>
      <c r="P679" s="3">
        <v>0.97916666666666663</v>
      </c>
    </row>
    <row r="680" spans="1:16" x14ac:dyDescent="0.25">
      <c r="A680" t="s">
        <v>430</v>
      </c>
      <c r="B680" s="2">
        <v>43360</v>
      </c>
      <c r="C680" t="str">
        <f>TEXT(B680,"mm")</f>
        <v>09</v>
      </c>
      <c r="D680" t="s">
        <v>16</v>
      </c>
      <c r="E680" t="s">
        <v>1636</v>
      </c>
      <c r="F680" s="5">
        <v>31700000</v>
      </c>
      <c r="G680" s="5">
        <v>34700000</v>
      </c>
      <c r="H680" s="5">
        <f>M680*26000*1.20565</f>
        <v>37606875.930000007</v>
      </c>
      <c r="I680" s="5">
        <f>G680-H680</f>
        <v>-2906875.9300000072</v>
      </c>
      <c r="J680" s="5">
        <v>3000000</v>
      </c>
      <c r="K680" s="5">
        <v>3170000</v>
      </c>
      <c r="L680" s="5">
        <v>3470000</v>
      </c>
      <c r="M680" s="7">
        <v>1199.7</v>
      </c>
      <c r="N680" s="5">
        <v>32200000</v>
      </c>
      <c r="O680" s="5">
        <v>35200000</v>
      </c>
      <c r="P680" s="3">
        <v>0.97916666666666663</v>
      </c>
    </row>
    <row r="681" spans="1:16" x14ac:dyDescent="0.25">
      <c r="A681" t="s">
        <v>431</v>
      </c>
      <c r="B681" s="2">
        <v>43361</v>
      </c>
      <c r="C681" t="str">
        <f>TEXT(B681,"mm")</f>
        <v>09</v>
      </c>
      <c r="D681" t="s">
        <v>18</v>
      </c>
      <c r="E681" t="s">
        <v>1636</v>
      </c>
      <c r="F681" s="5">
        <v>31600000</v>
      </c>
      <c r="G681" s="5">
        <v>34600000</v>
      </c>
      <c r="H681" s="5">
        <f>M681*26000*1.20565</f>
        <v>37515969.920000002</v>
      </c>
      <c r="I681" s="5">
        <f>G681-H681</f>
        <v>-2915969.9200000018</v>
      </c>
      <c r="J681" s="5">
        <v>3000000</v>
      </c>
      <c r="K681" s="5">
        <v>3160000</v>
      </c>
      <c r="L681" s="5">
        <v>3460000</v>
      </c>
      <c r="M681" s="7">
        <v>1196.8</v>
      </c>
      <c r="N681" s="5">
        <v>32100000</v>
      </c>
      <c r="O681" s="5">
        <v>35100000</v>
      </c>
      <c r="P681" s="3">
        <v>0.97916666666666663</v>
      </c>
    </row>
    <row r="682" spans="1:16" x14ac:dyDescent="0.25">
      <c r="A682" t="s">
        <v>432</v>
      </c>
      <c r="B682" s="2">
        <v>43362</v>
      </c>
      <c r="C682" t="str">
        <f>TEXT(B682,"mm")</f>
        <v>09</v>
      </c>
      <c r="D682" t="s">
        <v>19</v>
      </c>
      <c r="E682" t="s">
        <v>1636</v>
      </c>
      <c r="F682" s="5">
        <v>31800000</v>
      </c>
      <c r="G682" s="5">
        <v>34800000</v>
      </c>
      <c r="H682" s="5">
        <f>M682*26000*1.20565</f>
        <v>37685243.180000007</v>
      </c>
      <c r="I682" s="5">
        <f>G682-H682</f>
        <v>-2885243.1800000072</v>
      </c>
      <c r="J682" s="5">
        <v>3000000</v>
      </c>
      <c r="K682" s="5">
        <v>3180000</v>
      </c>
      <c r="L682" s="5">
        <v>3480000</v>
      </c>
      <c r="M682" s="7">
        <v>1202.2</v>
      </c>
      <c r="N682" s="5">
        <v>32300000</v>
      </c>
      <c r="O682" s="5">
        <v>35300000</v>
      </c>
      <c r="P682" s="3">
        <v>0.97916666666666663</v>
      </c>
    </row>
    <row r="683" spans="1:16" x14ac:dyDescent="0.25">
      <c r="A683" t="s">
        <v>433</v>
      </c>
      <c r="B683" s="2">
        <v>43363</v>
      </c>
      <c r="C683" t="str">
        <f>TEXT(B683,"mm")</f>
        <v>09</v>
      </c>
      <c r="D683" t="s">
        <v>20</v>
      </c>
      <c r="E683" t="s">
        <v>1636</v>
      </c>
      <c r="F683" s="5">
        <v>31900000</v>
      </c>
      <c r="G683" s="5">
        <v>34900000</v>
      </c>
      <c r="H683" s="5">
        <f>M683*26000*1.20565</f>
        <v>37810630.780000001</v>
      </c>
      <c r="I683" s="5">
        <f>G683-H683</f>
        <v>-2910630.7800000012</v>
      </c>
      <c r="J683" s="5">
        <v>3000000</v>
      </c>
      <c r="K683" s="5">
        <v>3190000</v>
      </c>
      <c r="L683" s="5">
        <v>3490000</v>
      </c>
      <c r="M683" s="7">
        <v>1206.2</v>
      </c>
      <c r="N683" s="5">
        <v>32400000</v>
      </c>
      <c r="O683" s="5">
        <v>35400000</v>
      </c>
      <c r="P683" s="3">
        <v>0.97916666666666663</v>
      </c>
    </row>
    <row r="684" spans="1:16" x14ac:dyDescent="0.25">
      <c r="A684" t="s">
        <v>434</v>
      </c>
      <c r="B684" s="2">
        <v>43364</v>
      </c>
      <c r="C684" t="str">
        <f>TEXT(B684,"mm")</f>
        <v>09</v>
      </c>
      <c r="D684" t="s">
        <v>21</v>
      </c>
      <c r="E684" t="s">
        <v>1636</v>
      </c>
      <c r="F684" s="5">
        <v>31600000</v>
      </c>
      <c r="G684" s="5">
        <v>34600000</v>
      </c>
      <c r="H684" s="5">
        <f>M684*26000*1.20565</f>
        <v>37497161.780000001</v>
      </c>
      <c r="I684" s="5">
        <f>G684-H684</f>
        <v>-2897161.7800000012</v>
      </c>
      <c r="J684" s="5">
        <v>3000000</v>
      </c>
      <c r="K684" s="5">
        <v>3160000</v>
      </c>
      <c r="L684" s="5">
        <v>3460000</v>
      </c>
      <c r="M684" s="7">
        <v>1196.2</v>
      </c>
      <c r="N684" s="5">
        <v>32100000</v>
      </c>
      <c r="O684" s="5">
        <v>35100000</v>
      </c>
      <c r="P684" s="3">
        <v>0.97916666666666663</v>
      </c>
    </row>
    <row r="685" spans="1:16" x14ac:dyDescent="0.25">
      <c r="A685" t="s">
        <v>435</v>
      </c>
      <c r="B685" s="2">
        <v>43367</v>
      </c>
      <c r="C685" t="str">
        <f>TEXT(B685,"mm")</f>
        <v>09</v>
      </c>
      <c r="D685" t="s">
        <v>16</v>
      </c>
      <c r="E685" t="s">
        <v>1636</v>
      </c>
      <c r="F685" s="5">
        <v>31700000</v>
      </c>
      <c r="G685" s="5">
        <v>34700000</v>
      </c>
      <c r="H685" s="5">
        <f>M685*26000*1.20565</f>
        <v>37594337.170000002</v>
      </c>
      <c r="I685" s="5">
        <f>G685-H685</f>
        <v>-2894337.1700000018</v>
      </c>
      <c r="J685" s="5">
        <v>3000000</v>
      </c>
      <c r="K685" s="5">
        <v>3170000</v>
      </c>
      <c r="L685" s="5">
        <v>3470000</v>
      </c>
      <c r="M685" s="7">
        <v>1199.3</v>
      </c>
      <c r="N685" s="5">
        <v>32200000</v>
      </c>
      <c r="O685" s="5">
        <v>35200000</v>
      </c>
      <c r="P685" s="3">
        <v>0.97916666666666663</v>
      </c>
    </row>
    <row r="686" spans="1:16" x14ac:dyDescent="0.25">
      <c r="A686" t="s">
        <v>436</v>
      </c>
      <c r="B686" s="2">
        <v>43368</v>
      </c>
      <c r="C686" t="str">
        <f>TEXT(B686,"mm")</f>
        <v>09</v>
      </c>
      <c r="D686" t="s">
        <v>18</v>
      </c>
      <c r="E686" t="s">
        <v>1636</v>
      </c>
      <c r="F686" s="5">
        <v>31700000</v>
      </c>
      <c r="G686" s="5">
        <v>34700000</v>
      </c>
      <c r="H686" s="5">
        <f>M686*26000*1.20565</f>
        <v>37616280</v>
      </c>
      <c r="I686" s="5">
        <f>G686-H686</f>
        <v>-2916280</v>
      </c>
      <c r="J686" s="5">
        <v>3000000</v>
      </c>
      <c r="K686" s="5">
        <v>3170000</v>
      </c>
      <c r="L686" s="5">
        <v>3470000</v>
      </c>
      <c r="M686" s="7">
        <v>1200</v>
      </c>
      <c r="N686" s="5">
        <v>32200000</v>
      </c>
      <c r="O686" s="5">
        <v>35200000</v>
      </c>
      <c r="P686" s="3">
        <v>0.97916666666666663</v>
      </c>
    </row>
    <row r="687" spans="1:16" x14ac:dyDescent="0.25">
      <c r="A687" t="s">
        <v>437</v>
      </c>
      <c r="B687" s="2">
        <v>43369</v>
      </c>
      <c r="C687" t="str">
        <f>TEXT(B687,"mm")</f>
        <v>09</v>
      </c>
      <c r="D687" t="s">
        <v>19</v>
      </c>
      <c r="E687" t="s">
        <v>1636</v>
      </c>
      <c r="F687" s="5">
        <v>31500000</v>
      </c>
      <c r="G687" s="5">
        <v>34500000</v>
      </c>
      <c r="H687" s="5">
        <f>M687*26000*1.20565</f>
        <v>37428198.600000001</v>
      </c>
      <c r="I687" s="5">
        <f>G687-H687</f>
        <v>-2928198.6000000015</v>
      </c>
      <c r="J687" s="5">
        <v>3000000</v>
      </c>
      <c r="K687" s="5">
        <v>3150000</v>
      </c>
      <c r="L687" s="5">
        <v>3450000</v>
      </c>
      <c r="M687" s="7">
        <v>1194</v>
      </c>
      <c r="N687" s="5">
        <v>32000000</v>
      </c>
      <c r="O687" s="5">
        <v>35000000</v>
      </c>
      <c r="P687" s="3">
        <v>0.97916666666666663</v>
      </c>
    </row>
    <row r="688" spans="1:16" x14ac:dyDescent="0.25">
      <c r="A688" t="s">
        <v>438</v>
      </c>
      <c r="B688" s="2">
        <v>43370</v>
      </c>
      <c r="C688" t="str">
        <f>TEXT(B688,"mm")</f>
        <v>09</v>
      </c>
      <c r="D688" t="s">
        <v>20</v>
      </c>
      <c r="E688" t="s">
        <v>1636</v>
      </c>
      <c r="F688" s="5">
        <v>31200000</v>
      </c>
      <c r="G688" s="5">
        <v>34200000</v>
      </c>
      <c r="H688" s="5">
        <f>M688*26000*1.20565</f>
        <v>37061439.870000005</v>
      </c>
      <c r="I688" s="5">
        <f>G688-H688</f>
        <v>-2861439.8700000048</v>
      </c>
      <c r="J688" s="5">
        <v>3000000</v>
      </c>
      <c r="K688" s="5">
        <v>3120000</v>
      </c>
      <c r="L688" s="5">
        <v>3420000</v>
      </c>
      <c r="M688" s="7">
        <v>1182.3</v>
      </c>
      <c r="N688" s="5">
        <v>31700000</v>
      </c>
      <c r="O688" s="5">
        <v>34700000</v>
      </c>
      <c r="P688" s="3">
        <v>0.97916666666666663</v>
      </c>
    </row>
    <row r="689" spans="1:16" x14ac:dyDescent="0.25">
      <c r="A689" t="s">
        <v>439</v>
      </c>
      <c r="B689" s="2">
        <v>43371</v>
      </c>
      <c r="C689" t="str">
        <f>TEXT(B689,"mm")</f>
        <v>09</v>
      </c>
      <c r="D689" t="s">
        <v>21</v>
      </c>
      <c r="E689" t="s">
        <v>1636</v>
      </c>
      <c r="F689" s="5">
        <v>31500000</v>
      </c>
      <c r="G689" s="5">
        <v>34500000</v>
      </c>
      <c r="H689" s="5">
        <f>M689*26000*1.20565</f>
        <v>37349831.350000001</v>
      </c>
      <c r="I689" s="5">
        <f>G689-H689</f>
        <v>-2849831.3500000015</v>
      </c>
      <c r="J689" s="5">
        <v>3000000</v>
      </c>
      <c r="K689" s="5">
        <v>3150000</v>
      </c>
      <c r="L689" s="5">
        <v>3450000</v>
      </c>
      <c r="M689" s="7">
        <v>1191.5</v>
      </c>
      <c r="N689" s="5">
        <v>32000000</v>
      </c>
      <c r="O689" s="5">
        <v>35000000</v>
      </c>
      <c r="P689" s="3">
        <v>0.97916666666666663</v>
      </c>
    </row>
    <row r="690" spans="1:16" x14ac:dyDescent="0.25">
      <c r="A690" s="2">
        <v>43110</v>
      </c>
      <c r="B690" s="2">
        <v>43374</v>
      </c>
      <c r="C690" t="str">
        <f>TEXT(B690,"mm")</f>
        <v>10</v>
      </c>
      <c r="D690" t="s">
        <v>16</v>
      </c>
      <c r="E690" t="s">
        <v>1636</v>
      </c>
      <c r="F690" s="5">
        <v>31300000</v>
      </c>
      <c r="G690" s="5">
        <v>34300000</v>
      </c>
      <c r="H690" s="5">
        <f>M690*26000*1.20565</f>
        <v>37211904.990000002</v>
      </c>
      <c r="I690" s="5">
        <f>G690-H690</f>
        <v>-2911904.9900000021</v>
      </c>
      <c r="J690" s="5">
        <v>3000000</v>
      </c>
      <c r="K690" s="5">
        <v>3130000</v>
      </c>
      <c r="L690" s="5">
        <v>3430000</v>
      </c>
      <c r="M690" s="7">
        <v>1187.0999999999999</v>
      </c>
      <c r="N690" s="5">
        <v>31800000</v>
      </c>
      <c r="O690" s="5">
        <v>34800000</v>
      </c>
      <c r="P690" s="3">
        <v>0.97916666666666663</v>
      </c>
    </row>
    <row r="691" spans="1:16" x14ac:dyDescent="0.25">
      <c r="A691" s="2">
        <v>43141</v>
      </c>
      <c r="B691" s="2">
        <v>43375</v>
      </c>
      <c r="C691" t="str">
        <f>TEXT(B691,"mm")</f>
        <v>10</v>
      </c>
      <c r="D691" t="s">
        <v>18</v>
      </c>
      <c r="E691" t="s">
        <v>1636</v>
      </c>
      <c r="F691" s="5">
        <v>31800000</v>
      </c>
      <c r="G691" s="5">
        <v>34800000</v>
      </c>
      <c r="H691" s="5">
        <f>M691*26000*1.20565</f>
        <v>37691512.56000001</v>
      </c>
      <c r="I691" s="5">
        <f>G691-H691</f>
        <v>-2891512.5600000098</v>
      </c>
      <c r="J691" s="5">
        <v>3000000</v>
      </c>
      <c r="K691" s="5">
        <v>3180000</v>
      </c>
      <c r="L691" s="5">
        <v>3480000</v>
      </c>
      <c r="M691" s="7">
        <v>1202.4000000000001</v>
      </c>
      <c r="N691" s="5">
        <v>32300000</v>
      </c>
      <c r="O691" s="5">
        <v>35300000</v>
      </c>
      <c r="P691" s="3">
        <v>0.97916666666666663</v>
      </c>
    </row>
    <row r="692" spans="1:16" x14ac:dyDescent="0.25">
      <c r="A692" s="2">
        <v>43169</v>
      </c>
      <c r="B692" s="2">
        <v>43376</v>
      </c>
      <c r="C692" t="str">
        <f>TEXT(B692,"mm")</f>
        <v>10</v>
      </c>
      <c r="D692" t="s">
        <v>19</v>
      </c>
      <c r="E692" t="s">
        <v>1636</v>
      </c>
      <c r="F692" s="5">
        <v>31700000</v>
      </c>
      <c r="G692" s="5">
        <v>34700000</v>
      </c>
      <c r="H692" s="5">
        <f>M692*26000*1.20565</f>
        <v>37562990.270000003</v>
      </c>
      <c r="I692" s="5">
        <f>G692-H692</f>
        <v>-2862990.2700000033</v>
      </c>
      <c r="J692" s="5">
        <v>3000000</v>
      </c>
      <c r="K692" s="5">
        <v>3170000</v>
      </c>
      <c r="L692" s="5">
        <v>3470000</v>
      </c>
      <c r="M692" s="7">
        <v>1198.3</v>
      </c>
      <c r="N692" s="5">
        <v>32200000</v>
      </c>
      <c r="O692" s="5">
        <v>35200000</v>
      </c>
      <c r="P692" s="3">
        <v>0.97916666666666663</v>
      </c>
    </row>
    <row r="693" spans="1:16" x14ac:dyDescent="0.25">
      <c r="A693" s="2">
        <v>43200</v>
      </c>
      <c r="B693" s="2">
        <v>43377</v>
      </c>
      <c r="C693" t="str">
        <f>TEXT(B693,"mm")</f>
        <v>10</v>
      </c>
      <c r="D693" t="s">
        <v>20</v>
      </c>
      <c r="E693" t="s">
        <v>1636</v>
      </c>
      <c r="F693" s="5">
        <v>31600000</v>
      </c>
      <c r="G693" s="5">
        <v>34600000</v>
      </c>
      <c r="H693" s="5">
        <f>M693*26000*1.20565</f>
        <v>37528508.680000007</v>
      </c>
      <c r="I693" s="5">
        <f>G693-H693</f>
        <v>-2928508.6800000072</v>
      </c>
      <c r="J693" s="5">
        <v>3000000</v>
      </c>
      <c r="K693" s="5">
        <v>3160000</v>
      </c>
      <c r="L693" s="5">
        <v>3460000</v>
      </c>
      <c r="M693" s="7">
        <v>1197.2</v>
      </c>
      <c r="N693" s="5">
        <v>32100000</v>
      </c>
      <c r="O693" s="5">
        <v>35100000</v>
      </c>
      <c r="P693" s="3">
        <v>0.97916666666666663</v>
      </c>
    </row>
    <row r="694" spans="1:16" x14ac:dyDescent="0.25">
      <c r="A694" s="2">
        <v>43230</v>
      </c>
      <c r="B694" s="2">
        <v>43378</v>
      </c>
      <c r="C694" t="str">
        <f>TEXT(B694,"mm")</f>
        <v>10</v>
      </c>
      <c r="D694" t="s">
        <v>21</v>
      </c>
      <c r="E694" t="s">
        <v>1636</v>
      </c>
      <c r="F694" s="5">
        <v>31700000</v>
      </c>
      <c r="G694" s="5">
        <v>34700000</v>
      </c>
      <c r="H694" s="5">
        <f>M694*26000*1.20565</f>
        <v>37653896.280000001</v>
      </c>
      <c r="I694" s="5">
        <f>G694-H694</f>
        <v>-2953896.2800000012</v>
      </c>
      <c r="J694" s="5">
        <v>3000000</v>
      </c>
      <c r="K694" s="5">
        <v>3170000</v>
      </c>
      <c r="L694" s="5">
        <v>3470000</v>
      </c>
      <c r="M694" s="7">
        <v>1201.2</v>
      </c>
      <c r="N694" s="5">
        <v>32200000</v>
      </c>
      <c r="O694" s="5">
        <v>35200000</v>
      </c>
      <c r="P694" s="3">
        <v>0.97916666666666663</v>
      </c>
    </row>
    <row r="695" spans="1:16" x14ac:dyDescent="0.25">
      <c r="A695" s="2">
        <v>43322</v>
      </c>
      <c r="B695" s="2">
        <v>43381</v>
      </c>
      <c r="C695" t="str">
        <f>TEXT(B695,"mm")</f>
        <v>10</v>
      </c>
      <c r="D695" t="s">
        <v>16</v>
      </c>
      <c r="E695" t="s">
        <v>1636</v>
      </c>
      <c r="F695" s="5">
        <v>31300000</v>
      </c>
      <c r="G695" s="5">
        <v>34300000</v>
      </c>
      <c r="H695" s="5">
        <f>M695*26000*1.20565</f>
        <v>37127268.360000007</v>
      </c>
      <c r="I695" s="5">
        <f>G695-H695</f>
        <v>-2827268.3600000069</v>
      </c>
      <c r="J695" s="5">
        <v>3000000</v>
      </c>
      <c r="K695" s="5">
        <v>3130000</v>
      </c>
      <c r="L695" s="5">
        <v>3430000</v>
      </c>
      <c r="M695" s="7">
        <v>1184.4000000000001</v>
      </c>
      <c r="N695" s="5">
        <v>31800000</v>
      </c>
      <c r="O695" s="5">
        <v>34800000</v>
      </c>
      <c r="P695" s="3">
        <v>0.97916666666666663</v>
      </c>
    </row>
    <row r="696" spans="1:16" x14ac:dyDescent="0.25">
      <c r="A696" s="2">
        <v>43353</v>
      </c>
      <c r="B696" s="2">
        <v>43382</v>
      </c>
      <c r="C696" t="str">
        <f>TEXT(B696,"mm")</f>
        <v>10</v>
      </c>
      <c r="D696" t="s">
        <v>18</v>
      </c>
      <c r="E696" t="s">
        <v>1636</v>
      </c>
      <c r="F696" s="5">
        <v>31300000</v>
      </c>
      <c r="G696" s="5">
        <v>34300000</v>
      </c>
      <c r="H696" s="5">
        <f>M696*26000*1.20565</f>
        <v>37215039.68</v>
      </c>
      <c r="I696" s="5">
        <f>G696-H696</f>
        <v>-2915039.6799999997</v>
      </c>
      <c r="J696" s="5">
        <v>3000000</v>
      </c>
      <c r="K696" s="5">
        <v>3130000</v>
      </c>
      <c r="L696" s="5">
        <v>3430000</v>
      </c>
      <c r="M696" s="7">
        <v>1187.2</v>
      </c>
      <c r="N696" s="5">
        <v>31800000</v>
      </c>
      <c r="O696" s="5">
        <v>34800000</v>
      </c>
      <c r="P696" s="3">
        <v>0.97916666666666663</v>
      </c>
    </row>
    <row r="697" spans="1:16" x14ac:dyDescent="0.25">
      <c r="A697" s="2">
        <v>43383</v>
      </c>
      <c r="B697" s="2">
        <v>43383</v>
      </c>
      <c r="C697" t="str">
        <f>TEXT(B697,"mm")</f>
        <v>10</v>
      </c>
      <c r="D697" t="s">
        <v>19</v>
      </c>
      <c r="E697" t="s">
        <v>1636</v>
      </c>
      <c r="F697" s="5">
        <v>31400000</v>
      </c>
      <c r="G697" s="5">
        <v>34400000</v>
      </c>
      <c r="H697" s="5">
        <f>M697*26000*1.20565</f>
        <v>37280868.170000002</v>
      </c>
      <c r="I697" s="5">
        <f>G697-H697</f>
        <v>-2880868.1700000018</v>
      </c>
      <c r="J697" s="5">
        <v>3000000</v>
      </c>
      <c r="K697" s="5">
        <v>3140000</v>
      </c>
      <c r="L697" s="5">
        <v>3440000</v>
      </c>
      <c r="M697" s="7">
        <v>1189.3</v>
      </c>
      <c r="N697" s="5">
        <v>31900000</v>
      </c>
      <c r="O697" s="5">
        <v>34900000</v>
      </c>
      <c r="P697" s="3">
        <v>0.97916666666666663</v>
      </c>
    </row>
    <row r="698" spans="1:16" x14ac:dyDescent="0.25">
      <c r="A698" s="2">
        <v>43414</v>
      </c>
      <c r="B698" s="2">
        <v>43384</v>
      </c>
      <c r="C698" t="str">
        <f>TEXT(B698,"mm")</f>
        <v>10</v>
      </c>
      <c r="D698" t="s">
        <v>20</v>
      </c>
      <c r="E698" t="s">
        <v>1636</v>
      </c>
      <c r="F698" s="5">
        <v>32400000</v>
      </c>
      <c r="G698" s="5">
        <v>35400000</v>
      </c>
      <c r="H698" s="5">
        <f>M698*26000*1.20565</f>
        <v>38352932.150000006</v>
      </c>
      <c r="I698" s="5">
        <f>G698-H698</f>
        <v>-2952932.150000006</v>
      </c>
      <c r="J698" s="5">
        <v>3000000</v>
      </c>
      <c r="K698" s="5">
        <v>3240000</v>
      </c>
      <c r="L698" s="5">
        <v>3540000</v>
      </c>
      <c r="M698" s="7">
        <v>1223.5</v>
      </c>
      <c r="N698" s="5">
        <v>32900000</v>
      </c>
      <c r="O698" s="5">
        <v>35900000</v>
      </c>
      <c r="P698" s="3">
        <v>0.97916666666666663</v>
      </c>
    </row>
    <row r="699" spans="1:16" x14ac:dyDescent="0.25">
      <c r="A699" s="2">
        <v>43444</v>
      </c>
      <c r="B699" s="2">
        <v>43385</v>
      </c>
      <c r="C699" t="str">
        <f>TEXT(B699,"mm")</f>
        <v>10</v>
      </c>
      <c r="D699" t="s">
        <v>21</v>
      </c>
      <c r="E699" t="s">
        <v>1636</v>
      </c>
      <c r="F699" s="5">
        <v>32200000</v>
      </c>
      <c r="G699" s="5">
        <v>35200000</v>
      </c>
      <c r="H699" s="5">
        <f>M699*26000*1.20565</f>
        <v>38183658.890000001</v>
      </c>
      <c r="I699" s="5">
        <f>G699-H699</f>
        <v>-2983658.8900000006</v>
      </c>
      <c r="J699" s="5">
        <v>3000000</v>
      </c>
      <c r="K699" s="5">
        <v>3220000</v>
      </c>
      <c r="L699" s="5">
        <v>3520000</v>
      </c>
      <c r="M699" s="7">
        <v>1218.0999999999999</v>
      </c>
      <c r="N699" s="5">
        <v>32700000</v>
      </c>
      <c r="O699" s="5">
        <v>35700000</v>
      </c>
      <c r="P699" s="3">
        <v>0.97916666666666663</v>
      </c>
    </row>
    <row r="700" spans="1:16" x14ac:dyDescent="0.25">
      <c r="A700" t="s">
        <v>440</v>
      </c>
      <c r="B700" s="2">
        <v>43388</v>
      </c>
      <c r="C700" t="str">
        <f>TEXT(B700,"mm")</f>
        <v>10</v>
      </c>
      <c r="D700" t="s">
        <v>16</v>
      </c>
      <c r="E700" t="s">
        <v>1636</v>
      </c>
      <c r="F700" s="5">
        <v>32500000</v>
      </c>
      <c r="G700" s="5">
        <v>35500000</v>
      </c>
      <c r="H700" s="5">
        <f>M700*26000*1.20565</f>
        <v>38443838.160000011</v>
      </c>
      <c r="I700" s="5">
        <f>G700-H700</f>
        <v>-2943838.1600000113</v>
      </c>
      <c r="J700" s="5">
        <v>3000000</v>
      </c>
      <c r="K700" s="5">
        <v>3250000</v>
      </c>
      <c r="L700" s="5">
        <v>3550000</v>
      </c>
      <c r="M700" s="7">
        <v>1226.4000000000001</v>
      </c>
      <c r="N700" s="5">
        <v>33000000</v>
      </c>
      <c r="O700" s="5">
        <v>36000000</v>
      </c>
      <c r="P700" s="3">
        <v>0.97916666666666663</v>
      </c>
    </row>
    <row r="701" spans="1:16" x14ac:dyDescent="0.25">
      <c r="A701" t="s">
        <v>441</v>
      </c>
      <c r="B701" s="2">
        <v>43389</v>
      </c>
      <c r="C701" t="str">
        <f>TEXT(B701,"mm")</f>
        <v>10</v>
      </c>
      <c r="D701" t="s">
        <v>18</v>
      </c>
      <c r="E701" t="s">
        <v>1636</v>
      </c>
      <c r="F701" s="5">
        <v>32500000</v>
      </c>
      <c r="G701" s="5">
        <v>35500000</v>
      </c>
      <c r="H701" s="5">
        <f>M701*26000*1.20565</f>
        <v>38472050.370000005</v>
      </c>
      <c r="I701" s="5">
        <f>G701-H701</f>
        <v>-2972050.3700000048</v>
      </c>
      <c r="J701" s="5">
        <v>3000000</v>
      </c>
      <c r="K701" s="5">
        <v>3250000</v>
      </c>
      <c r="L701" s="5">
        <v>3550000</v>
      </c>
      <c r="M701" s="7">
        <v>1227.3</v>
      </c>
      <c r="N701" s="5">
        <v>33000000</v>
      </c>
      <c r="O701" s="5">
        <v>36000000</v>
      </c>
      <c r="P701" s="3">
        <v>0.97916666666666663</v>
      </c>
    </row>
    <row r="702" spans="1:16" x14ac:dyDescent="0.25">
      <c r="A702" t="s">
        <v>442</v>
      </c>
      <c r="B702" s="2">
        <v>43390</v>
      </c>
      <c r="C702" t="str">
        <f>TEXT(B702,"mm")</f>
        <v>10</v>
      </c>
      <c r="D702" t="s">
        <v>19</v>
      </c>
      <c r="E702" t="s">
        <v>1636</v>
      </c>
      <c r="F702" s="5">
        <v>32400000</v>
      </c>
      <c r="G702" s="5">
        <v>35400000</v>
      </c>
      <c r="H702" s="5">
        <f>M702*26000*1.20565</f>
        <v>38359201.530000001</v>
      </c>
      <c r="I702" s="5">
        <f>G702-H702</f>
        <v>-2959201.5300000012</v>
      </c>
      <c r="J702" s="5">
        <v>3000000</v>
      </c>
      <c r="K702" s="5">
        <v>3240000</v>
      </c>
      <c r="L702" s="5">
        <v>3540000</v>
      </c>
      <c r="M702" s="7">
        <v>1223.7</v>
      </c>
      <c r="N702" s="5">
        <v>32900000</v>
      </c>
      <c r="O702" s="5">
        <v>35900000</v>
      </c>
      <c r="P702" s="3">
        <v>0.97916666666666663</v>
      </c>
    </row>
    <row r="703" spans="1:16" x14ac:dyDescent="0.25">
      <c r="A703" t="s">
        <v>443</v>
      </c>
      <c r="B703" s="2">
        <v>43391</v>
      </c>
      <c r="C703" t="str">
        <f>TEXT(B703,"mm")</f>
        <v>10</v>
      </c>
      <c r="D703" t="s">
        <v>20</v>
      </c>
      <c r="E703" t="s">
        <v>1636</v>
      </c>
      <c r="F703" s="5">
        <v>32500000</v>
      </c>
      <c r="G703" s="5">
        <v>35500000</v>
      </c>
      <c r="H703" s="5">
        <f>M703*26000*1.20565</f>
        <v>38446972.850000001</v>
      </c>
      <c r="I703" s="5">
        <f>G703-H703</f>
        <v>-2946972.8500000015</v>
      </c>
      <c r="J703" s="5">
        <v>3000000</v>
      </c>
      <c r="K703" s="5">
        <v>3250000</v>
      </c>
      <c r="L703" s="5">
        <v>3550000</v>
      </c>
      <c r="M703" s="7">
        <v>1226.5</v>
      </c>
      <c r="N703" s="5">
        <v>33000000</v>
      </c>
      <c r="O703" s="5">
        <v>36000000</v>
      </c>
      <c r="P703" s="3">
        <v>0.97916666666666663</v>
      </c>
    </row>
    <row r="704" spans="1:16" x14ac:dyDescent="0.25">
      <c r="A704" t="s">
        <v>444</v>
      </c>
      <c r="B704" s="2">
        <v>43392</v>
      </c>
      <c r="C704" t="str">
        <f>TEXT(B704,"mm")</f>
        <v>10</v>
      </c>
      <c r="D704" t="s">
        <v>21</v>
      </c>
      <c r="E704" t="s">
        <v>1636</v>
      </c>
      <c r="F704" s="5">
        <v>32400000</v>
      </c>
      <c r="G704" s="5">
        <v>35400000</v>
      </c>
      <c r="H704" s="5">
        <f>M704*26000*1.20565</f>
        <v>38409356.57</v>
      </c>
      <c r="I704" s="5">
        <f>G704-H704</f>
        <v>-3009356.5700000003</v>
      </c>
      <c r="J704" s="5">
        <v>3000000</v>
      </c>
      <c r="K704" s="5">
        <v>3240000</v>
      </c>
      <c r="L704" s="5">
        <v>3540000</v>
      </c>
      <c r="M704" s="7">
        <v>1225.3</v>
      </c>
      <c r="N704" s="5">
        <v>32900000</v>
      </c>
      <c r="O704" s="5">
        <v>35900000</v>
      </c>
      <c r="P704" s="3">
        <v>0.97916666666666663</v>
      </c>
    </row>
    <row r="705" spans="1:16" x14ac:dyDescent="0.25">
      <c r="A705" t="s">
        <v>445</v>
      </c>
      <c r="B705" s="2">
        <v>43395</v>
      </c>
      <c r="C705" t="str">
        <f>TEXT(B705,"mm")</f>
        <v>10</v>
      </c>
      <c r="D705" t="s">
        <v>16</v>
      </c>
      <c r="E705" t="s">
        <v>1636</v>
      </c>
      <c r="F705" s="5">
        <v>32300000</v>
      </c>
      <c r="G705" s="5">
        <v>35300000</v>
      </c>
      <c r="H705" s="5">
        <f>M705*26000*1.20565</f>
        <v>38280834.280000001</v>
      </c>
      <c r="I705" s="5">
        <f>G705-H705</f>
        <v>-2980834.2800000012</v>
      </c>
      <c r="J705" s="5">
        <v>3000000</v>
      </c>
      <c r="K705" s="5">
        <v>3230000</v>
      </c>
      <c r="L705" s="5">
        <v>3530000</v>
      </c>
      <c r="M705" s="7">
        <v>1221.2</v>
      </c>
      <c r="N705" s="5">
        <v>32800000</v>
      </c>
      <c r="O705" s="5">
        <v>35800000</v>
      </c>
      <c r="P705" s="3">
        <v>0.97916666666666663</v>
      </c>
    </row>
    <row r="706" spans="1:16" x14ac:dyDescent="0.25">
      <c r="A706" t="s">
        <v>446</v>
      </c>
      <c r="B706" s="2">
        <v>43396</v>
      </c>
      <c r="C706" t="str">
        <f>TEXT(B706,"mm")</f>
        <v>10</v>
      </c>
      <c r="D706" t="s">
        <v>18</v>
      </c>
      <c r="E706" t="s">
        <v>1636</v>
      </c>
      <c r="F706" s="5">
        <v>32700000</v>
      </c>
      <c r="G706" s="5">
        <v>35700000</v>
      </c>
      <c r="H706" s="5">
        <f>M706*26000*1.20565</f>
        <v>38663266.460000008</v>
      </c>
      <c r="I706" s="5">
        <f>G706-H706</f>
        <v>-2963266.4600000083</v>
      </c>
      <c r="J706" s="5">
        <v>3000000</v>
      </c>
      <c r="K706" s="5">
        <v>3270000</v>
      </c>
      <c r="L706" s="5">
        <v>3570000</v>
      </c>
      <c r="M706" s="7">
        <v>1233.4000000000001</v>
      </c>
      <c r="N706" s="5">
        <v>33200000</v>
      </c>
      <c r="O706" s="5">
        <v>36200000</v>
      </c>
      <c r="P706" s="3">
        <v>0.97916666666666663</v>
      </c>
    </row>
    <row r="707" spans="1:16" x14ac:dyDescent="0.25">
      <c r="A707" t="s">
        <v>447</v>
      </c>
      <c r="B707" s="2">
        <v>43397</v>
      </c>
      <c r="C707" t="str">
        <f>TEXT(B707,"mm")</f>
        <v>10</v>
      </c>
      <c r="D707" t="s">
        <v>19</v>
      </c>
      <c r="E707" t="s">
        <v>1636</v>
      </c>
      <c r="F707" s="5">
        <v>32500000</v>
      </c>
      <c r="G707" s="5">
        <v>35500000</v>
      </c>
      <c r="H707" s="5">
        <f>M707*26000*1.20565</f>
        <v>38487723.82</v>
      </c>
      <c r="I707" s="5">
        <f>G707-H707</f>
        <v>-2987723.8200000003</v>
      </c>
      <c r="J707" s="5">
        <v>3000000</v>
      </c>
      <c r="K707" s="5">
        <v>3250000</v>
      </c>
      <c r="L707" s="5">
        <v>3550000</v>
      </c>
      <c r="M707" s="7">
        <v>1227.8</v>
      </c>
      <c r="N707" s="5">
        <v>33000000</v>
      </c>
      <c r="O707" s="5">
        <v>36000000</v>
      </c>
      <c r="P707" s="3">
        <v>0.97916666666666663</v>
      </c>
    </row>
    <row r="708" spans="1:16" x14ac:dyDescent="0.25">
      <c r="A708" t="s">
        <v>448</v>
      </c>
      <c r="B708" s="2">
        <v>43398</v>
      </c>
      <c r="C708" t="str">
        <f>TEXT(B708,"mm")</f>
        <v>10</v>
      </c>
      <c r="D708" t="s">
        <v>20</v>
      </c>
      <c r="E708" t="s">
        <v>1636</v>
      </c>
      <c r="F708" s="5">
        <v>32600000</v>
      </c>
      <c r="G708" s="5">
        <v>35600000</v>
      </c>
      <c r="H708" s="5">
        <f>M708*26000*1.20565</f>
        <v>38528474.789999999</v>
      </c>
      <c r="I708" s="5">
        <f>G708-H708</f>
        <v>-2928474.7899999991</v>
      </c>
      <c r="J708" s="5">
        <v>3000000</v>
      </c>
      <c r="K708" s="5">
        <v>3260000</v>
      </c>
      <c r="L708" s="5">
        <v>3560000</v>
      </c>
      <c r="M708" s="7">
        <v>1229.0999999999999</v>
      </c>
      <c r="N708" s="5">
        <v>33100000</v>
      </c>
      <c r="O708" s="5">
        <v>36100000</v>
      </c>
      <c r="P708" s="3">
        <v>0.97916666666666663</v>
      </c>
    </row>
    <row r="709" spans="1:16" x14ac:dyDescent="0.25">
      <c r="A709" t="s">
        <v>449</v>
      </c>
      <c r="B709" s="2">
        <v>43399</v>
      </c>
      <c r="C709" t="str">
        <f>TEXT(B709,"mm")</f>
        <v>10</v>
      </c>
      <c r="D709" t="s">
        <v>21</v>
      </c>
      <c r="E709" t="s">
        <v>1636</v>
      </c>
      <c r="F709" s="5">
        <v>32700000</v>
      </c>
      <c r="G709" s="5">
        <v>35700000</v>
      </c>
      <c r="H709" s="5">
        <f>M709*26000*1.20565</f>
        <v>38635054.25</v>
      </c>
      <c r="I709" s="5">
        <f>G709-H709</f>
        <v>-2935054.25</v>
      </c>
      <c r="J709" s="5">
        <v>3000000</v>
      </c>
      <c r="K709" s="5">
        <v>3270000</v>
      </c>
      <c r="L709" s="5">
        <v>3570000</v>
      </c>
      <c r="M709" s="7">
        <v>1232.5</v>
      </c>
      <c r="N709" s="5">
        <v>33200000</v>
      </c>
      <c r="O709" s="5">
        <v>36200000</v>
      </c>
      <c r="P709" s="3">
        <v>0.97916666666666663</v>
      </c>
    </row>
    <row r="710" spans="1:16" x14ac:dyDescent="0.25">
      <c r="A710" t="s">
        <v>450</v>
      </c>
      <c r="B710" s="2">
        <v>43402</v>
      </c>
      <c r="C710" t="str">
        <f>TEXT(B710,"mm")</f>
        <v>10</v>
      </c>
      <c r="D710" t="s">
        <v>16</v>
      </c>
      <c r="E710" t="s">
        <v>1636</v>
      </c>
      <c r="F710" s="5">
        <v>32400000</v>
      </c>
      <c r="G710" s="5">
        <v>35400000</v>
      </c>
      <c r="H710" s="5">
        <f>M710*26000*1.20565</f>
        <v>38384279.050000004</v>
      </c>
      <c r="I710" s="5">
        <f>G710-H710</f>
        <v>-2984279.0500000045</v>
      </c>
      <c r="J710" s="5">
        <v>3000000</v>
      </c>
      <c r="K710" s="5">
        <v>3240000</v>
      </c>
      <c r="L710" s="5">
        <v>3540000</v>
      </c>
      <c r="M710" s="7">
        <v>1224.5</v>
      </c>
      <c r="N710" s="5">
        <v>32900000</v>
      </c>
      <c r="O710" s="5">
        <v>35900000</v>
      </c>
      <c r="P710" s="3">
        <v>0.97916666666666663</v>
      </c>
    </row>
    <row r="711" spans="1:16" x14ac:dyDescent="0.25">
      <c r="A711" t="s">
        <v>451</v>
      </c>
      <c r="B711" s="2">
        <v>43403</v>
      </c>
      <c r="C711" t="str">
        <f>TEXT(B711,"mm")</f>
        <v>10</v>
      </c>
      <c r="D711" t="s">
        <v>18</v>
      </c>
      <c r="E711" t="s">
        <v>1636</v>
      </c>
      <c r="F711" s="5">
        <v>32400000</v>
      </c>
      <c r="G711" s="5">
        <v>35400000</v>
      </c>
      <c r="H711" s="5">
        <f>M711*26000*1.20565</f>
        <v>38324719.939999998</v>
      </c>
      <c r="I711" s="5">
        <f>G711-H711</f>
        <v>-2924719.9399999976</v>
      </c>
      <c r="J711" s="5">
        <v>3000000</v>
      </c>
      <c r="K711" s="5">
        <v>3240000</v>
      </c>
      <c r="L711" s="5">
        <v>3540000</v>
      </c>
      <c r="M711" s="7">
        <v>1222.5999999999999</v>
      </c>
      <c r="N711" s="5">
        <v>32900000</v>
      </c>
      <c r="O711" s="5">
        <v>35900000</v>
      </c>
      <c r="P711" s="3">
        <v>0.97916666666666663</v>
      </c>
    </row>
    <row r="712" spans="1:16" x14ac:dyDescent="0.25">
      <c r="A712" t="s">
        <v>452</v>
      </c>
      <c r="B712" s="2">
        <v>43404</v>
      </c>
      <c r="C712" t="str">
        <f>TEXT(B712,"mm")</f>
        <v>10</v>
      </c>
      <c r="D712" t="s">
        <v>19</v>
      </c>
      <c r="E712" t="s">
        <v>1636</v>
      </c>
      <c r="F712" s="5">
        <v>32100000</v>
      </c>
      <c r="G712" s="5">
        <v>35100000</v>
      </c>
      <c r="H712" s="5">
        <f>M712*26000*1.20565</f>
        <v>38001846.870000005</v>
      </c>
      <c r="I712" s="5">
        <f>G712-H712</f>
        <v>-2901846.8700000048</v>
      </c>
      <c r="J712" s="5">
        <v>3000000</v>
      </c>
      <c r="K712" s="5">
        <v>3210000</v>
      </c>
      <c r="L712" s="5">
        <v>3510000</v>
      </c>
      <c r="M712" s="7">
        <v>1212.3</v>
      </c>
      <c r="N712" s="5">
        <v>32600000</v>
      </c>
      <c r="O712" s="5">
        <v>35600000</v>
      </c>
      <c r="P712" s="3">
        <v>0.97916666666666663</v>
      </c>
    </row>
    <row r="713" spans="1:16" x14ac:dyDescent="0.25">
      <c r="A713" s="2">
        <v>43111</v>
      </c>
      <c r="B713" s="2">
        <v>43405</v>
      </c>
      <c r="C713" t="str">
        <f>TEXT(B713,"mm")</f>
        <v>11</v>
      </c>
      <c r="D713" t="s">
        <v>20</v>
      </c>
      <c r="E713" t="s">
        <v>1636</v>
      </c>
      <c r="F713" s="5">
        <v>32800000</v>
      </c>
      <c r="G713" s="5">
        <v>35800000</v>
      </c>
      <c r="H713" s="5">
        <f>M713*26000*1.20565</f>
        <v>38744768.400000006</v>
      </c>
      <c r="I713" s="5">
        <f>G713-H713</f>
        <v>-2944768.400000006</v>
      </c>
      <c r="J713" s="5">
        <v>3000000</v>
      </c>
      <c r="K713" s="5">
        <v>3280000</v>
      </c>
      <c r="L713" s="5">
        <v>3580000</v>
      </c>
      <c r="M713" s="7">
        <v>1236</v>
      </c>
      <c r="N713" s="5">
        <v>33300000</v>
      </c>
      <c r="O713" s="5">
        <v>36300000</v>
      </c>
      <c r="P713" s="3">
        <v>0.97916666666666663</v>
      </c>
    </row>
    <row r="714" spans="1:16" x14ac:dyDescent="0.25">
      <c r="A714" s="2">
        <v>43142</v>
      </c>
      <c r="B714" s="2">
        <v>43406</v>
      </c>
      <c r="C714" t="str">
        <f>TEXT(B714,"mm")</f>
        <v>11</v>
      </c>
      <c r="D714" t="s">
        <v>21</v>
      </c>
      <c r="E714" t="s">
        <v>1636</v>
      </c>
      <c r="F714" s="5">
        <v>32600000</v>
      </c>
      <c r="G714" s="5">
        <v>35600000</v>
      </c>
      <c r="H714" s="5">
        <f>M714*26000*1.20565</f>
        <v>38584899.210000008</v>
      </c>
      <c r="I714" s="5">
        <f>G714-H714</f>
        <v>-2984899.2100000083</v>
      </c>
      <c r="J714" s="5">
        <v>3000000</v>
      </c>
      <c r="K714" s="5">
        <v>3260000</v>
      </c>
      <c r="L714" s="5">
        <v>3560000</v>
      </c>
      <c r="M714" s="7">
        <v>1230.9000000000001</v>
      </c>
      <c r="N714" s="5">
        <v>33100000</v>
      </c>
      <c r="O714" s="5">
        <v>36100000</v>
      </c>
      <c r="P714" s="3">
        <v>0.97916666666666663</v>
      </c>
    </row>
    <row r="715" spans="1:16" x14ac:dyDescent="0.25">
      <c r="A715" s="2">
        <v>43231</v>
      </c>
      <c r="B715" s="2">
        <v>43409</v>
      </c>
      <c r="C715" t="str">
        <f>TEXT(B715,"mm")</f>
        <v>11</v>
      </c>
      <c r="D715" t="s">
        <v>16</v>
      </c>
      <c r="E715" t="s">
        <v>1636</v>
      </c>
      <c r="F715" s="5">
        <v>32600000</v>
      </c>
      <c r="G715" s="5">
        <v>35600000</v>
      </c>
      <c r="H715" s="5">
        <f>M715*26000*1.20565</f>
        <v>38550417.620000005</v>
      </c>
      <c r="I715" s="5">
        <f>G715-H715</f>
        <v>-2950417.6200000048</v>
      </c>
      <c r="J715" s="5">
        <v>3000000</v>
      </c>
      <c r="K715" s="5">
        <v>3260000</v>
      </c>
      <c r="L715" s="5">
        <v>3560000</v>
      </c>
      <c r="M715" s="7">
        <v>1229.8</v>
      </c>
      <c r="N715" s="5">
        <v>33100000</v>
      </c>
      <c r="O715" s="5">
        <v>36100000</v>
      </c>
      <c r="P715" s="3">
        <v>0.97916666666666663</v>
      </c>
    </row>
    <row r="716" spans="1:16" x14ac:dyDescent="0.25">
      <c r="A716" s="2">
        <v>43262</v>
      </c>
      <c r="B716" s="2">
        <v>43410</v>
      </c>
      <c r="C716" t="str">
        <f>TEXT(B716,"mm")</f>
        <v>11</v>
      </c>
      <c r="D716" t="s">
        <v>18</v>
      </c>
      <c r="E716" t="s">
        <v>1636</v>
      </c>
      <c r="F716" s="5">
        <v>32400000</v>
      </c>
      <c r="G716" s="5">
        <v>35400000</v>
      </c>
      <c r="H716" s="5">
        <f>M716*26000*1.20565</f>
        <v>38362336.220000006</v>
      </c>
      <c r="I716" s="5">
        <f>G716-H716</f>
        <v>-2962336.2200000063</v>
      </c>
      <c r="J716" s="5">
        <v>3000000</v>
      </c>
      <c r="K716" s="5">
        <v>3240000</v>
      </c>
      <c r="L716" s="5">
        <v>3540000</v>
      </c>
      <c r="M716" s="7">
        <v>1223.8</v>
      </c>
      <c r="N716" s="5">
        <v>32900000</v>
      </c>
      <c r="O716" s="5">
        <v>35900000</v>
      </c>
      <c r="P716" s="3">
        <v>0.97916666666666663</v>
      </c>
    </row>
    <row r="717" spans="1:16" x14ac:dyDescent="0.25">
      <c r="A717" s="2">
        <v>43292</v>
      </c>
      <c r="B717" s="2">
        <v>43411</v>
      </c>
      <c r="C717" t="str">
        <f>TEXT(B717,"mm")</f>
        <v>11</v>
      </c>
      <c r="D717" t="s">
        <v>19</v>
      </c>
      <c r="E717" t="s">
        <v>1636</v>
      </c>
      <c r="F717" s="5">
        <v>32500000</v>
      </c>
      <c r="G717" s="5">
        <v>35500000</v>
      </c>
      <c r="H717" s="5">
        <f>M717*26000*1.20565</f>
        <v>38437568.780000001</v>
      </c>
      <c r="I717" s="5">
        <f>G717-H717</f>
        <v>-2937568.7800000012</v>
      </c>
      <c r="J717" s="5">
        <v>3000000</v>
      </c>
      <c r="K717" s="5">
        <v>3250000</v>
      </c>
      <c r="L717" s="5">
        <v>3550000</v>
      </c>
      <c r="M717" s="7">
        <v>1226.2</v>
      </c>
      <c r="N717" s="5">
        <v>33000000</v>
      </c>
      <c r="O717" s="5">
        <v>36000000</v>
      </c>
      <c r="P717" s="3">
        <v>0.97916666666666663</v>
      </c>
    </row>
    <row r="718" spans="1:16" x14ac:dyDescent="0.25">
      <c r="A718" s="2">
        <v>43323</v>
      </c>
      <c r="B718" s="2">
        <v>43412</v>
      </c>
      <c r="C718" t="str">
        <f>TEXT(B718,"mm")</f>
        <v>11</v>
      </c>
      <c r="D718" t="s">
        <v>20</v>
      </c>
      <c r="E718" t="s">
        <v>1636</v>
      </c>
      <c r="F718" s="5">
        <v>32400000</v>
      </c>
      <c r="G718" s="5">
        <v>35400000</v>
      </c>
      <c r="H718" s="5">
        <f>M718*26000*1.20565</f>
        <v>38334124.010000005</v>
      </c>
      <c r="I718" s="5">
        <f>G718-H718</f>
        <v>-2934124.0100000054</v>
      </c>
      <c r="J718" s="5">
        <v>3000000</v>
      </c>
      <c r="K718" s="5">
        <v>3240000</v>
      </c>
      <c r="L718" s="5">
        <v>3540000</v>
      </c>
      <c r="M718" s="7">
        <v>1222.9000000000001</v>
      </c>
      <c r="N718" s="5">
        <v>32900000</v>
      </c>
      <c r="O718" s="5">
        <v>35900000</v>
      </c>
      <c r="P718" s="3">
        <v>0.97916666666666663</v>
      </c>
    </row>
    <row r="719" spans="1:16" x14ac:dyDescent="0.25">
      <c r="A719" s="2">
        <v>43354</v>
      </c>
      <c r="B719" s="2">
        <v>43413</v>
      </c>
      <c r="C719" t="str">
        <f>TEXT(B719,"mm")</f>
        <v>11</v>
      </c>
      <c r="D719" t="s">
        <v>21</v>
      </c>
      <c r="E719" t="s">
        <v>1636</v>
      </c>
      <c r="F719" s="5">
        <v>31900000</v>
      </c>
      <c r="G719" s="5">
        <v>34900000</v>
      </c>
      <c r="H719" s="5">
        <f>M719*26000*1.20565</f>
        <v>37816900.160000011</v>
      </c>
      <c r="I719" s="5">
        <f>G719-H719</f>
        <v>-2916900.1600000113</v>
      </c>
      <c r="J719" s="5">
        <v>3000000</v>
      </c>
      <c r="K719" s="5">
        <v>3190000</v>
      </c>
      <c r="L719" s="5">
        <v>3490000</v>
      </c>
      <c r="M719" s="7">
        <v>1206.4000000000001</v>
      </c>
      <c r="N719" s="5">
        <v>32400000</v>
      </c>
      <c r="O719" s="5">
        <v>35400000</v>
      </c>
      <c r="P719" s="3">
        <v>0.97916666666666663</v>
      </c>
    </row>
    <row r="720" spans="1:16" x14ac:dyDescent="0.25">
      <c r="A720" s="2">
        <v>43445</v>
      </c>
      <c r="B720" s="2">
        <v>43416</v>
      </c>
      <c r="C720" t="str">
        <f>TEXT(B720,"mm")</f>
        <v>11</v>
      </c>
      <c r="D720" t="s">
        <v>16</v>
      </c>
      <c r="E720" t="s">
        <v>1636</v>
      </c>
      <c r="F720" s="5">
        <v>31700000</v>
      </c>
      <c r="G720" s="5">
        <v>34700000</v>
      </c>
      <c r="H720" s="5">
        <f>M720*26000*1.20565</f>
        <v>37657030.970000006</v>
      </c>
      <c r="I720" s="5">
        <f>G720-H720</f>
        <v>-2957030.9700000063</v>
      </c>
      <c r="J720" s="5">
        <v>3000000</v>
      </c>
      <c r="K720" s="5">
        <v>3170000</v>
      </c>
      <c r="L720" s="5">
        <v>3470000</v>
      </c>
      <c r="M720" s="7">
        <v>1201.3</v>
      </c>
      <c r="N720" s="5">
        <v>32200000</v>
      </c>
      <c r="O720" s="5">
        <v>35200000</v>
      </c>
      <c r="P720" s="3">
        <v>0.97916666666666663</v>
      </c>
    </row>
    <row r="721" spans="1:16" x14ac:dyDescent="0.25">
      <c r="A721" t="s">
        <v>453</v>
      </c>
      <c r="B721" s="2">
        <v>43417</v>
      </c>
      <c r="C721" t="str">
        <f>TEXT(B721,"mm")</f>
        <v>11</v>
      </c>
      <c r="D721" t="s">
        <v>18</v>
      </c>
      <c r="E721" t="s">
        <v>1636</v>
      </c>
      <c r="F721" s="5">
        <v>31700000</v>
      </c>
      <c r="G721" s="5">
        <v>34700000</v>
      </c>
      <c r="H721" s="5">
        <f>M721*26000*1.20565</f>
        <v>37591202.480000004</v>
      </c>
      <c r="I721" s="5">
        <f>G721-H721</f>
        <v>-2891202.4800000042</v>
      </c>
      <c r="J721" s="5">
        <v>3000000</v>
      </c>
      <c r="K721" s="5">
        <v>3170000</v>
      </c>
      <c r="L721" s="5">
        <v>3470000</v>
      </c>
      <c r="M721" s="7">
        <v>1199.2</v>
      </c>
      <c r="N721" s="5">
        <v>32200000</v>
      </c>
      <c r="O721" s="5">
        <v>35200000</v>
      </c>
      <c r="P721" s="3">
        <v>0.97916666666666663</v>
      </c>
    </row>
    <row r="722" spans="1:16" x14ac:dyDescent="0.25">
      <c r="A722" t="s">
        <v>454</v>
      </c>
      <c r="B722" s="2">
        <v>43418</v>
      </c>
      <c r="C722" t="str">
        <f>TEXT(B722,"mm")</f>
        <v>11</v>
      </c>
      <c r="D722" t="s">
        <v>19</v>
      </c>
      <c r="E722" t="s">
        <v>1636</v>
      </c>
      <c r="F722" s="5">
        <v>31900000</v>
      </c>
      <c r="G722" s="5">
        <v>34900000</v>
      </c>
      <c r="H722" s="5">
        <f>M722*26000*1.20565</f>
        <v>37863920.510000005</v>
      </c>
      <c r="I722" s="5">
        <f>G722-H722</f>
        <v>-2963920.5100000054</v>
      </c>
      <c r="J722" s="5">
        <v>3000000</v>
      </c>
      <c r="K722" s="5">
        <v>3190000</v>
      </c>
      <c r="L722" s="5">
        <v>3490000</v>
      </c>
      <c r="M722" s="7">
        <v>1207.9000000000001</v>
      </c>
      <c r="N722" s="5">
        <v>32400000</v>
      </c>
      <c r="O722" s="5">
        <v>35400000</v>
      </c>
      <c r="P722" s="3">
        <v>0.97916666666666663</v>
      </c>
    </row>
    <row r="723" spans="1:16" x14ac:dyDescent="0.25">
      <c r="A723" t="s">
        <v>455</v>
      </c>
      <c r="B723" s="2">
        <v>43419</v>
      </c>
      <c r="C723" t="str">
        <f>TEXT(B723,"mm")</f>
        <v>11</v>
      </c>
      <c r="D723" t="s">
        <v>20</v>
      </c>
      <c r="E723" t="s">
        <v>1636</v>
      </c>
      <c r="F723" s="5">
        <v>32100000</v>
      </c>
      <c r="G723" s="5">
        <v>35100000</v>
      </c>
      <c r="H723" s="5">
        <f>M723*26000*1.20565</f>
        <v>38017520.32</v>
      </c>
      <c r="I723" s="5">
        <f>G723-H723</f>
        <v>-2917520.3200000003</v>
      </c>
      <c r="J723" s="5">
        <v>3000000</v>
      </c>
      <c r="K723" s="5">
        <v>3210000</v>
      </c>
      <c r="L723" s="5">
        <v>3510000</v>
      </c>
      <c r="M723" s="7">
        <v>1212.8</v>
      </c>
      <c r="N723" s="5">
        <v>32600000</v>
      </c>
      <c r="O723" s="5">
        <v>35600000</v>
      </c>
      <c r="P723" s="3">
        <v>0.97916666666666663</v>
      </c>
    </row>
    <row r="724" spans="1:16" x14ac:dyDescent="0.25">
      <c r="A724" t="s">
        <v>456</v>
      </c>
      <c r="B724" s="2">
        <v>43420</v>
      </c>
      <c r="C724" t="str">
        <f>TEXT(B724,"mm")</f>
        <v>11</v>
      </c>
      <c r="D724" t="s">
        <v>21</v>
      </c>
      <c r="E724" t="s">
        <v>1636</v>
      </c>
      <c r="F724" s="5">
        <v>32300000</v>
      </c>
      <c r="G724" s="5">
        <v>35300000</v>
      </c>
      <c r="H724" s="5">
        <f>M724*26000*1.20565</f>
        <v>38268295.520000003</v>
      </c>
      <c r="I724" s="5">
        <f>G724-H724</f>
        <v>-2968295.5200000033</v>
      </c>
      <c r="J724" s="5">
        <v>3000000</v>
      </c>
      <c r="K724" s="5">
        <v>3230000</v>
      </c>
      <c r="L724" s="5">
        <v>3530000</v>
      </c>
      <c r="M724" s="7">
        <v>1220.8</v>
      </c>
      <c r="N724" s="5">
        <v>32800000</v>
      </c>
      <c r="O724" s="5">
        <v>35800000</v>
      </c>
      <c r="P724" s="3">
        <v>0.97916666666666663</v>
      </c>
    </row>
    <row r="725" spans="1:16" x14ac:dyDescent="0.25">
      <c r="A725" t="s">
        <v>457</v>
      </c>
      <c r="B725" s="2">
        <v>43423</v>
      </c>
      <c r="C725" t="str">
        <f>TEXT(B725,"mm")</f>
        <v>11</v>
      </c>
      <c r="D725" t="s">
        <v>16</v>
      </c>
      <c r="E725" t="s">
        <v>1636</v>
      </c>
      <c r="F725" s="5">
        <v>32400000</v>
      </c>
      <c r="G725" s="5">
        <v>35400000</v>
      </c>
      <c r="H725" s="5">
        <f>M725*26000*1.20565</f>
        <v>38340393.390000001</v>
      </c>
      <c r="I725" s="5">
        <f>G725-H725</f>
        <v>-2940393.3900000006</v>
      </c>
      <c r="J725" s="5">
        <v>3000000</v>
      </c>
      <c r="K725" s="5">
        <v>3240000</v>
      </c>
      <c r="L725" s="5">
        <v>3540000</v>
      </c>
      <c r="M725" s="7">
        <v>1223.0999999999999</v>
      </c>
      <c r="N725" s="5">
        <v>32900000</v>
      </c>
      <c r="O725" s="5">
        <v>35900000</v>
      </c>
      <c r="P725" s="3">
        <v>0.97916666666666663</v>
      </c>
    </row>
    <row r="726" spans="1:16" x14ac:dyDescent="0.25">
      <c r="A726" t="s">
        <v>458</v>
      </c>
      <c r="B726" s="2">
        <v>43424</v>
      </c>
      <c r="C726" t="str">
        <f>TEXT(B726,"mm")</f>
        <v>11</v>
      </c>
      <c r="D726" t="s">
        <v>18</v>
      </c>
      <c r="E726" t="s">
        <v>1636</v>
      </c>
      <c r="F726" s="5">
        <v>32300000</v>
      </c>
      <c r="G726" s="5">
        <v>35300000</v>
      </c>
      <c r="H726" s="5">
        <f>M726*26000*1.20565</f>
        <v>38211871.100000001</v>
      </c>
      <c r="I726" s="5">
        <f>G726-H726</f>
        <v>-2911871.1000000015</v>
      </c>
      <c r="J726" s="5">
        <v>3000000</v>
      </c>
      <c r="K726" s="5">
        <v>3230000</v>
      </c>
      <c r="L726" s="5">
        <v>3530000</v>
      </c>
      <c r="M726" s="7">
        <v>1219</v>
      </c>
      <c r="N726" s="5">
        <v>32800000</v>
      </c>
      <c r="O726" s="5">
        <v>35800000</v>
      </c>
      <c r="P726" s="3">
        <v>0.97916666666666663</v>
      </c>
    </row>
    <row r="727" spans="1:16" x14ac:dyDescent="0.25">
      <c r="A727" t="s">
        <v>459</v>
      </c>
      <c r="B727" s="2">
        <v>43425</v>
      </c>
      <c r="C727" t="str">
        <f>TEXT(B727,"mm")</f>
        <v>11</v>
      </c>
      <c r="D727" t="s">
        <v>19</v>
      </c>
      <c r="E727" t="s">
        <v>1636</v>
      </c>
      <c r="F727" s="5">
        <v>32500000</v>
      </c>
      <c r="G727" s="5">
        <v>35500000</v>
      </c>
      <c r="H727" s="5">
        <f>M727*26000*1.20565</f>
        <v>38425030.020000003</v>
      </c>
      <c r="I727" s="5">
        <f>G727-H727</f>
        <v>-2925030.0200000033</v>
      </c>
      <c r="J727" s="5">
        <v>3000000</v>
      </c>
      <c r="K727" s="5">
        <v>3250000</v>
      </c>
      <c r="L727" s="5">
        <v>3550000</v>
      </c>
      <c r="M727" s="7">
        <v>1225.8</v>
      </c>
      <c r="N727" s="5">
        <v>33000000</v>
      </c>
      <c r="O727" s="5">
        <v>36000000</v>
      </c>
      <c r="P727" s="3">
        <v>0.97916666666666663</v>
      </c>
    </row>
    <row r="728" spans="1:16" x14ac:dyDescent="0.25">
      <c r="A728" t="s">
        <v>460</v>
      </c>
      <c r="B728" s="2">
        <v>43427</v>
      </c>
      <c r="C728" t="str">
        <f>TEXT(B728,"mm")</f>
        <v>11</v>
      </c>
      <c r="D728" t="s">
        <v>21</v>
      </c>
      <c r="E728" t="s">
        <v>1636</v>
      </c>
      <c r="F728" s="5">
        <v>32300000</v>
      </c>
      <c r="G728" s="5">
        <v>35300000</v>
      </c>
      <c r="H728" s="5">
        <f>M728*26000*1.20565</f>
        <v>38274564.900000006</v>
      </c>
      <c r="I728" s="5">
        <f>G728-H728</f>
        <v>-2974564.900000006</v>
      </c>
      <c r="J728" s="5">
        <v>3000000</v>
      </c>
      <c r="K728" s="5">
        <v>3230000</v>
      </c>
      <c r="L728" s="5">
        <v>3530000</v>
      </c>
      <c r="M728" s="7">
        <v>1221</v>
      </c>
      <c r="N728" s="5">
        <v>32800000</v>
      </c>
      <c r="O728" s="5">
        <v>35800000</v>
      </c>
      <c r="P728" s="3">
        <v>0.97916666666666663</v>
      </c>
    </row>
    <row r="729" spans="1:16" x14ac:dyDescent="0.25">
      <c r="A729" t="s">
        <v>461</v>
      </c>
      <c r="B729" s="2">
        <v>43430</v>
      </c>
      <c r="C729" t="str">
        <f>TEXT(B729,"mm")</f>
        <v>11</v>
      </c>
      <c r="D729" t="s">
        <v>16</v>
      </c>
      <c r="E729" t="s">
        <v>1636</v>
      </c>
      <c r="F729" s="5">
        <v>32300000</v>
      </c>
      <c r="G729" s="5">
        <v>35300000</v>
      </c>
      <c r="H729" s="5">
        <f>M729*26000*1.20565</f>
        <v>38249487.380000003</v>
      </c>
      <c r="I729" s="5">
        <f>G729-H729</f>
        <v>-2949487.3800000027</v>
      </c>
      <c r="J729" s="5">
        <v>3000000</v>
      </c>
      <c r="K729" s="5">
        <v>3230000</v>
      </c>
      <c r="L729" s="5">
        <v>3530000</v>
      </c>
      <c r="M729" s="7">
        <v>1220.2</v>
      </c>
      <c r="N729" s="5">
        <v>32800000</v>
      </c>
      <c r="O729" s="5">
        <v>35800000</v>
      </c>
      <c r="P729" s="3">
        <v>0.97916666666666663</v>
      </c>
    </row>
    <row r="730" spans="1:16" x14ac:dyDescent="0.25">
      <c r="A730" t="s">
        <v>462</v>
      </c>
      <c r="B730" s="2">
        <v>43431</v>
      </c>
      <c r="C730" t="str">
        <f>TEXT(B730,"mm")</f>
        <v>11</v>
      </c>
      <c r="D730" t="s">
        <v>18</v>
      </c>
      <c r="E730" t="s">
        <v>1636</v>
      </c>
      <c r="F730" s="5">
        <v>32000000</v>
      </c>
      <c r="G730" s="5">
        <v>35000000</v>
      </c>
      <c r="H730" s="5">
        <f>M730*26000*1.20565</f>
        <v>37967365.280000001</v>
      </c>
      <c r="I730" s="5">
        <f>G730-H730</f>
        <v>-2967365.2800000012</v>
      </c>
      <c r="J730" s="5">
        <v>3000000</v>
      </c>
      <c r="K730" s="5">
        <v>3200000</v>
      </c>
      <c r="L730" s="5">
        <v>3500000</v>
      </c>
      <c r="M730" s="7">
        <v>1211.2</v>
      </c>
      <c r="N730" s="5">
        <v>32500000</v>
      </c>
      <c r="O730" s="5">
        <v>35500000</v>
      </c>
      <c r="P730" s="3">
        <v>0.97916666666666663</v>
      </c>
    </row>
    <row r="731" spans="1:16" x14ac:dyDescent="0.25">
      <c r="A731" t="s">
        <v>463</v>
      </c>
      <c r="B731" s="2">
        <v>43432</v>
      </c>
      <c r="C731" t="str">
        <f>TEXT(B731,"mm")</f>
        <v>11</v>
      </c>
      <c r="D731" t="s">
        <v>19</v>
      </c>
      <c r="E731" t="s">
        <v>1636</v>
      </c>
      <c r="F731" s="5">
        <v>32300000</v>
      </c>
      <c r="G731" s="5">
        <v>35300000</v>
      </c>
      <c r="H731" s="5">
        <f>M731*26000*1.20565</f>
        <v>38287103.660000011</v>
      </c>
      <c r="I731" s="5">
        <f>G731-H731</f>
        <v>-2987103.6600000113</v>
      </c>
      <c r="J731" s="5">
        <v>3000000</v>
      </c>
      <c r="K731" s="5">
        <v>3230000</v>
      </c>
      <c r="L731" s="5">
        <v>3530000</v>
      </c>
      <c r="M731" s="7">
        <v>1221.4000000000001</v>
      </c>
      <c r="N731" s="5">
        <v>32800000</v>
      </c>
      <c r="O731" s="5">
        <v>35800000</v>
      </c>
      <c r="P731" s="3">
        <v>0.97916666666666663</v>
      </c>
    </row>
    <row r="732" spans="1:16" x14ac:dyDescent="0.25">
      <c r="A732" t="s">
        <v>464</v>
      </c>
      <c r="B732" s="2">
        <v>43433</v>
      </c>
      <c r="C732" t="str">
        <f>TEXT(B732,"mm")</f>
        <v>11</v>
      </c>
      <c r="D732" t="s">
        <v>20</v>
      </c>
      <c r="E732" t="s">
        <v>1636</v>
      </c>
      <c r="F732" s="5">
        <v>32400000</v>
      </c>
      <c r="G732" s="5">
        <v>35400000</v>
      </c>
      <c r="H732" s="5">
        <f>M732*26000*1.20565</f>
        <v>38371740.289999999</v>
      </c>
      <c r="I732" s="5">
        <f>G732-H732</f>
        <v>-2971740.2899999991</v>
      </c>
      <c r="J732" s="5">
        <v>3000000</v>
      </c>
      <c r="K732" s="5">
        <v>3240000</v>
      </c>
      <c r="L732" s="5">
        <v>3540000</v>
      </c>
      <c r="M732" s="7">
        <v>1224.0999999999999</v>
      </c>
      <c r="N732" s="5">
        <v>32900000</v>
      </c>
      <c r="O732" s="5">
        <v>35900000</v>
      </c>
      <c r="P732" s="3">
        <v>0.97916666666666663</v>
      </c>
    </row>
    <row r="733" spans="1:16" x14ac:dyDescent="0.25">
      <c r="A733" t="s">
        <v>465</v>
      </c>
      <c r="B733" s="2">
        <v>43434</v>
      </c>
      <c r="C733" t="str">
        <f>TEXT(B733,"mm")</f>
        <v>11</v>
      </c>
      <c r="D733" t="s">
        <v>21</v>
      </c>
      <c r="E733" t="s">
        <v>1636</v>
      </c>
      <c r="F733" s="5">
        <v>32300000</v>
      </c>
      <c r="G733" s="5">
        <v>35300000</v>
      </c>
      <c r="H733" s="5">
        <f>M733*26000*1.20565</f>
        <v>38249487.380000003</v>
      </c>
      <c r="I733" s="5">
        <f>G733-H733</f>
        <v>-2949487.3800000027</v>
      </c>
      <c r="J733" s="5">
        <v>3000000</v>
      </c>
      <c r="K733" s="5">
        <v>3230000</v>
      </c>
      <c r="L733" s="5">
        <v>3530000</v>
      </c>
      <c r="M733" s="7">
        <v>1220.2</v>
      </c>
      <c r="N733" s="5">
        <v>32800000</v>
      </c>
      <c r="O733" s="5">
        <v>35800000</v>
      </c>
      <c r="P733" s="3">
        <v>0.97916666666666663</v>
      </c>
    </row>
    <row r="734" spans="1:16" x14ac:dyDescent="0.25">
      <c r="A734" s="2">
        <v>43171</v>
      </c>
      <c r="B734" s="2">
        <v>43437</v>
      </c>
      <c r="C734" t="str">
        <f>TEXT(B734,"mm")</f>
        <v>12</v>
      </c>
      <c r="D734" t="s">
        <v>16</v>
      </c>
      <c r="E734" t="s">
        <v>1636</v>
      </c>
      <c r="F734" s="5">
        <v>32700000</v>
      </c>
      <c r="G734" s="5">
        <v>35700000</v>
      </c>
      <c r="H734" s="5">
        <f>M734*26000*1.20565</f>
        <v>38678939.910000011</v>
      </c>
      <c r="I734" s="5">
        <f>G734-H734</f>
        <v>-2978939.9100000113</v>
      </c>
      <c r="J734" s="5">
        <v>3000000</v>
      </c>
      <c r="K734" s="5">
        <v>3270000</v>
      </c>
      <c r="L734" s="5">
        <v>3570000</v>
      </c>
      <c r="M734" s="7">
        <v>1233.9000000000001</v>
      </c>
      <c r="N734" s="5">
        <v>33200000</v>
      </c>
      <c r="O734" s="5">
        <v>36200000</v>
      </c>
      <c r="P734" s="3">
        <v>0.97916666666666663</v>
      </c>
    </row>
    <row r="735" spans="1:16" x14ac:dyDescent="0.25">
      <c r="A735" s="2">
        <v>43202</v>
      </c>
      <c r="B735" s="2">
        <v>43438</v>
      </c>
      <c r="C735" t="str">
        <f>TEXT(B735,"mm")</f>
        <v>12</v>
      </c>
      <c r="D735" t="s">
        <v>18</v>
      </c>
      <c r="E735" t="s">
        <v>1636</v>
      </c>
      <c r="F735" s="5">
        <v>32900000</v>
      </c>
      <c r="G735" s="5">
        <v>35900000</v>
      </c>
      <c r="H735" s="5">
        <f>M735*26000*1.20565</f>
        <v>38904637.589999996</v>
      </c>
      <c r="I735" s="5">
        <f>G735-H735</f>
        <v>-3004637.5899999961</v>
      </c>
      <c r="J735" s="5">
        <v>3000000</v>
      </c>
      <c r="K735" s="5">
        <v>3290000</v>
      </c>
      <c r="L735" s="5">
        <v>3590000</v>
      </c>
      <c r="M735" s="7">
        <v>1241.0999999999999</v>
      </c>
      <c r="N735" s="5">
        <v>33400000</v>
      </c>
      <c r="O735" s="5">
        <v>36400000</v>
      </c>
      <c r="P735" s="3">
        <v>0.97916666666666663</v>
      </c>
    </row>
    <row r="736" spans="1:16" x14ac:dyDescent="0.25">
      <c r="A736" s="2">
        <v>43263</v>
      </c>
      <c r="B736" s="2">
        <v>43440</v>
      </c>
      <c r="C736" t="str">
        <f>TEXT(B736,"mm")</f>
        <v>12</v>
      </c>
      <c r="D736" t="s">
        <v>20</v>
      </c>
      <c r="E736" t="s">
        <v>1636</v>
      </c>
      <c r="F736" s="5">
        <v>32800000</v>
      </c>
      <c r="G736" s="5">
        <v>35800000</v>
      </c>
      <c r="H736" s="5">
        <f>M736*26000*1.20565</f>
        <v>38810596.890000001</v>
      </c>
      <c r="I736" s="5">
        <f>G736-H736</f>
        <v>-3010596.8900000006</v>
      </c>
      <c r="J736" s="5">
        <v>3000000</v>
      </c>
      <c r="K736" s="5">
        <v>3280000</v>
      </c>
      <c r="L736" s="5">
        <v>3580000</v>
      </c>
      <c r="M736" s="7">
        <v>1238.0999999999999</v>
      </c>
      <c r="N736" s="5">
        <v>33300000</v>
      </c>
      <c r="O736" s="5">
        <v>36300000</v>
      </c>
      <c r="P736" s="3">
        <v>0.97916666666666663</v>
      </c>
    </row>
    <row r="737" spans="1:16" x14ac:dyDescent="0.25">
      <c r="A737" s="2">
        <v>43293</v>
      </c>
      <c r="B737" s="2">
        <v>43441</v>
      </c>
      <c r="C737" t="str">
        <f>TEXT(B737,"mm")</f>
        <v>12</v>
      </c>
      <c r="D737" t="s">
        <v>21</v>
      </c>
      <c r="E737" t="s">
        <v>1636</v>
      </c>
      <c r="F737" s="5">
        <v>33100000</v>
      </c>
      <c r="G737" s="5">
        <v>36100000</v>
      </c>
      <c r="H737" s="5">
        <f>M737*26000*1.20565</f>
        <v>39083314.920000002</v>
      </c>
      <c r="I737" s="5">
        <f>G737-H737</f>
        <v>-2983314.9200000018</v>
      </c>
      <c r="J737" s="5">
        <v>3000000</v>
      </c>
      <c r="K737" s="5">
        <v>3310000</v>
      </c>
      <c r="L737" s="5">
        <v>3610000</v>
      </c>
      <c r="M737" s="7">
        <v>1246.8</v>
      </c>
      <c r="N737" s="5">
        <v>33600000</v>
      </c>
      <c r="O737" s="5">
        <v>36600000</v>
      </c>
      <c r="P737" s="3">
        <v>0.97916666666666663</v>
      </c>
    </row>
    <row r="738" spans="1:16" x14ac:dyDescent="0.25">
      <c r="A738" s="2">
        <v>43385</v>
      </c>
      <c r="B738" s="2">
        <v>43444</v>
      </c>
      <c r="C738" t="str">
        <f>TEXT(B738,"mm")</f>
        <v>12</v>
      </c>
      <c r="D738" t="s">
        <v>16</v>
      </c>
      <c r="E738" t="s">
        <v>1636</v>
      </c>
      <c r="F738" s="5">
        <v>33000000</v>
      </c>
      <c r="G738" s="5">
        <v>36000000</v>
      </c>
      <c r="H738" s="5">
        <f>M738*26000*1.20565</f>
        <v>38986139.530000001</v>
      </c>
      <c r="I738" s="5">
        <f>G738-H738</f>
        <v>-2986139.5300000012</v>
      </c>
      <c r="J738" s="5">
        <v>3000000</v>
      </c>
      <c r="K738" s="5">
        <v>3300000</v>
      </c>
      <c r="L738" s="5">
        <v>3600000</v>
      </c>
      <c r="M738" s="7">
        <v>1243.7</v>
      </c>
      <c r="N738" s="5">
        <v>33500000</v>
      </c>
      <c r="O738" s="5">
        <v>36500000</v>
      </c>
      <c r="P738" s="3">
        <v>0.97916666666666663</v>
      </c>
    </row>
    <row r="739" spans="1:16" x14ac:dyDescent="0.25">
      <c r="A739" s="2">
        <v>43416</v>
      </c>
      <c r="B739" s="2">
        <v>43445</v>
      </c>
      <c r="C739" t="str">
        <f>TEXT(B739,"mm")</f>
        <v>12</v>
      </c>
      <c r="D739" t="s">
        <v>18</v>
      </c>
      <c r="E739" t="s">
        <v>1636</v>
      </c>
      <c r="F739" s="5">
        <v>32900000</v>
      </c>
      <c r="G739" s="5">
        <v>35900000</v>
      </c>
      <c r="H739" s="5">
        <f>M739*26000*1.20565</f>
        <v>38929715.110000007</v>
      </c>
      <c r="I739" s="5">
        <f>G739-H739</f>
        <v>-3029715.1100000069</v>
      </c>
      <c r="J739" s="5">
        <v>3000000</v>
      </c>
      <c r="K739" s="5">
        <v>3290000</v>
      </c>
      <c r="L739" s="5">
        <v>3590000</v>
      </c>
      <c r="M739" s="7">
        <v>1241.9000000000001</v>
      </c>
      <c r="N739" s="5">
        <v>33400000</v>
      </c>
      <c r="O739" s="5">
        <v>36400000</v>
      </c>
      <c r="P739" s="3">
        <v>0.97916666666666663</v>
      </c>
    </row>
    <row r="740" spans="1:16" x14ac:dyDescent="0.25">
      <c r="A740" s="2">
        <v>43446</v>
      </c>
      <c r="B740" s="2">
        <v>43446</v>
      </c>
      <c r="C740" t="str">
        <f>TEXT(B740,"mm")</f>
        <v>12</v>
      </c>
      <c r="D740" t="s">
        <v>19</v>
      </c>
      <c r="E740" t="s">
        <v>1636</v>
      </c>
      <c r="F740" s="5">
        <v>33000000</v>
      </c>
      <c r="G740" s="5">
        <v>36000000</v>
      </c>
      <c r="H740" s="5">
        <f>M740*26000*1.20565</f>
        <v>39008082.360000007</v>
      </c>
      <c r="I740" s="5">
        <f>G740-H740</f>
        <v>-3008082.3600000069</v>
      </c>
      <c r="J740" s="5">
        <v>3000000</v>
      </c>
      <c r="K740" s="5">
        <v>3300000</v>
      </c>
      <c r="L740" s="5">
        <v>3600000</v>
      </c>
      <c r="M740" s="7">
        <v>1244.4000000000001</v>
      </c>
      <c r="N740" s="5">
        <v>33500000</v>
      </c>
      <c r="O740" s="5">
        <v>36500000</v>
      </c>
      <c r="P740" s="3">
        <v>0.97916666666666663</v>
      </c>
    </row>
    <row r="741" spans="1:16" x14ac:dyDescent="0.25">
      <c r="A741" t="s">
        <v>466</v>
      </c>
      <c r="B741" s="2">
        <v>43447</v>
      </c>
      <c r="C741" t="str">
        <f>TEXT(B741,"mm")</f>
        <v>12</v>
      </c>
      <c r="D741" t="s">
        <v>20</v>
      </c>
      <c r="E741" t="s">
        <v>1636</v>
      </c>
      <c r="F741" s="5">
        <v>32900000</v>
      </c>
      <c r="G741" s="5">
        <v>35900000</v>
      </c>
      <c r="H741" s="5">
        <f>M741*26000*1.20565</f>
        <v>38954792.630000003</v>
      </c>
      <c r="I741" s="5">
        <f>G741-H741</f>
        <v>-3054792.6300000027</v>
      </c>
      <c r="J741" s="5">
        <v>3000000</v>
      </c>
      <c r="K741" s="5">
        <v>3290000</v>
      </c>
      <c r="L741" s="5">
        <v>3590000</v>
      </c>
      <c r="M741" s="7">
        <v>1242.7</v>
      </c>
      <c r="N741" s="5">
        <v>33400000</v>
      </c>
      <c r="O741" s="5">
        <v>36400000</v>
      </c>
      <c r="P741" s="3">
        <v>0.97916666666666663</v>
      </c>
    </row>
    <row r="742" spans="1:16" x14ac:dyDescent="0.25">
      <c r="A742" t="s">
        <v>467</v>
      </c>
      <c r="B742" s="2">
        <v>43448</v>
      </c>
      <c r="C742" t="str">
        <f>TEXT(B742,"mm")</f>
        <v>12</v>
      </c>
      <c r="D742" t="s">
        <v>21</v>
      </c>
      <c r="E742" t="s">
        <v>1636</v>
      </c>
      <c r="F742" s="5">
        <v>32800000</v>
      </c>
      <c r="G742" s="5">
        <v>35800000</v>
      </c>
      <c r="H742" s="5">
        <f>M742*26000*1.20565</f>
        <v>38776115.300000004</v>
      </c>
      <c r="I742" s="5">
        <f>G742-H742</f>
        <v>-2976115.3000000045</v>
      </c>
      <c r="J742" s="5">
        <v>3000000</v>
      </c>
      <c r="K742" s="5">
        <v>3280000</v>
      </c>
      <c r="L742" s="5">
        <v>3580000</v>
      </c>
      <c r="M742" s="7">
        <v>1237</v>
      </c>
      <c r="N742" s="5">
        <v>33300000</v>
      </c>
      <c r="O742" s="5">
        <v>36300000</v>
      </c>
      <c r="P742" s="3">
        <v>0.97916666666666663</v>
      </c>
    </row>
    <row r="743" spans="1:16" x14ac:dyDescent="0.25">
      <c r="A743" t="s">
        <v>468</v>
      </c>
      <c r="B743" s="2">
        <v>43451</v>
      </c>
      <c r="C743" t="str">
        <f>TEXT(B743,"mm")</f>
        <v>12</v>
      </c>
      <c r="D743" t="s">
        <v>16</v>
      </c>
      <c r="E743" t="s">
        <v>1636</v>
      </c>
      <c r="F743" s="5">
        <v>33100000</v>
      </c>
      <c r="G743" s="5">
        <v>36100000</v>
      </c>
      <c r="H743" s="5">
        <f>M743*26000*1.20565</f>
        <v>39102123.06000001</v>
      </c>
      <c r="I743" s="5">
        <f>G743-H743</f>
        <v>-3002123.0600000098</v>
      </c>
      <c r="J743" s="5">
        <v>3000000</v>
      </c>
      <c r="K743" s="5">
        <v>3310000</v>
      </c>
      <c r="L743" s="5">
        <v>3610000</v>
      </c>
      <c r="M743" s="7">
        <v>1247.4000000000001</v>
      </c>
      <c r="N743" s="5">
        <v>33600000</v>
      </c>
      <c r="O743" s="5">
        <v>36600000</v>
      </c>
      <c r="P743" s="3">
        <v>0.97916666666666663</v>
      </c>
    </row>
    <row r="744" spans="1:16" x14ac:dyDescent="0.25">
      <c r="A744" t="s">
        <v>469</v>
      </c>
      <c r="B744" s="2">
        <v>43452</v>
      </c>
      <c r="C744" t="str">
        <f>TEXT(B744,"mm")</f>
        <v>12</v>
      </c>
      <c r="D744" t="s">
        <v>18</v>
      </c>
      <c r="E744" t="s">
        <v>1636</v>
      </c>
      <c r="F744" s="5">
        <v>33100000</v>
      </c>
      <c r="G744" s="5">
        <v>36100000</v>
      </c>
      <c r="H744" s="5">
        <f>M744*26000*1.20565</f>
        <v>39158547.480000004</v>
      </c>
      <c r="I744" s="5">
        <f>G744-H744</f>
        <v>-3058547.4800000042</v>
      </c>
      <c r="J744" s="5">
        <v>3000000</v>
      </c>
      <c r="K744" s="5">
        <v>3310000</v>
      </c>
      <c r="L744" s="5">
        <v>3610000</v>
      </c>
      <c r="M744" s="7">
        <v>1249.2</v>
      </c>
      <c r="N744" s="5">
        <v>33600000</v>
      </c>
      <c r="O744" s="5">
        <v>36600000</v>
      </c>
      <c r="P744" s="3">
        <v>0.97916666666666663</v>
      </c>
    </row>
    <row r="745" spans="1:16" x14ac:dyDescent="0.25">
      <c r="A745" t="s">
        <v>470</v>
      </c>
      <c r="B745" s="2">
        <v>43453</v>
      </c>
      <c r="C745" t="str">
        <f>TEXT(B745,"mm")</f>
        <v>12</v>
      </c>
      <c r="D745" t="s">
        <v>19</v>
      </c>
      <c r="E745" t="s">
        <v>1636</v>
      </c>
      <c r="F745" s="5">
        <v>33200000</v>
      </c>
      <c r="G745" s="5">
        <v>36200000</v>
      </c>
      <c r="H745" s="5">
        <f>M745*26000*1.20565</f>
        <v>39249453.490000002</v>
      </c>
      <c r="I745" s="5">
        <f>G745-H745</f>
        <v>-3049453.4900000021</v>
      </c>
      <c r="J745" s="5">
        <v>3000000</v>
      </c>
      <c r="K745" s="5">
        <v>3320000</v>
      </c>
      <c r="L745" s="5">
        <v>3620000</v>
      </c>
      <c r="M745" s="7">
        <v>1252.0999999999999</v>
      </c>
      <c r="N745" s="5">
        <v>33700000</v>
      </c>
      <c r="O745" s="5">
        <v>36700000</v>
      </c>
      <c r="P745" s="3">
        <v>0.97916666666666663</v>
      </c>
    </row>
    <row r="746" spans="1:16" x14ac:dyDescent="0.25">
      <c r="A746" t="s">
        <v>471</v>
      </c>
      <c r="B746" s="2">
        <v>43454</v>
      </c>
      <c r="C746" t="str">
        <f>TEXT(B746,"mm")</f>
        <v>12</v>
      </c>
      <c r="D746" t="s">
        <v>20</v>
      </c>
      <c r="E746" t="s">
        <v>1636</v>
      </c>
      <c r="F746" s="5">
        <v>33600000</v>
      </c>
      <c r="G746" s="5">
        <v>36600000</v>
      </c>
      <c r="H746" s="5">
        <f>M746*26000*1.20565</f>
        <v>39609942.839999996</v>
      </c>
      <c r="I746" s="5">
        <f>G746-H746</f>
        <v>-3009942.8399999961</v>
      </c>
      <c r="J746" s="5">
        <v>3000000</v>
      </c>
      <c r="K746" s="5">
        <v>3360000</v>
      </c>
      <c r="L746" s="5">
        <v>3660000</v>
      </c>
      <c r="M746" s="7">
        <v>1263.5999999999999</v>
      </c>
      <c r="N746" s="5">
        <v>34100000</v>
      </c>
      <c r="O746" s="5">
        <v>37100000</v>
      </c>
      <c r="P746" s="3">
        <v>0.97916666666666663</v>
      </c>
    </row>
    <row r="747" spans="1:16" x14ac:dyDescent="0.25">
      <c r="A747" t="s">
        <v>472</v>
      </c>
      <c r="B747" s="2">
        <v>43455</v>
      </c>
      <c r="C747" t="str">
        <f>TEXT(B747,"mm")</f>
        <v>12</v>
      </c>
      <c r="D747" t="s">
        <v>21</v>
      </c>
      <c r="E747" t="s">
        <v>1636</v>
      </c>
      <c r="F747" s="5">
        <v>33300000</v>
      </c>
      <c r="G747" s="5">
        <v>36300000</v>
      </c>
      <c r="H747" s="5">
        <f>M747*26000*1.20565</f>
        <v>39302743.220000006</v>
      </c>
      <c r="I747" s="5">
        <f>G747-H747</f>
        <v>-3002743.2200000063</v>
      </c>
      <c r="J747" s="5">
        <v>3000000</v>
      </c>
      <c r="K747" s="5">
        <v>3330000</v>
      </c>
      <c r="L747" s="5">
        <v>3630000</v>
      </c>
      <c r="M747" s="7">
        <v>1253.8</v>
      </c>
      <c r="N747" s="5">
        <v>33800000</v>
      </c>
      <c r="O747" s="5">
        <v>36800000</v>
      </c>
      <c r="P747" s="3">
        <v>0.97916666666666663</v>
      </c>
    </row>
    <row r="748" spans="1:16" x14ac:dyDescent="0.25">
      <c r="A748" t="s">
        <v>473</v>
      </c>
      <c r="B748" s="2">
        <v>43458</v>
      </c>
      <c r="C748" t="str">
        <f>TEXT(B748,"mm")</f>
        <v>12</v>
      </c>
      <c r="D748" t="s">
        <v>16</v>
      </c>
      <c r="E748" t="s">
        <v>1636</v>
      </c>
      <c r="F748" s="5">
        <v>33700000</v>
      </c>
      <c r="G748" s="5">
        <v>36700000</v>
      </c>
      <c r="H748" s="5">
        <f>M748*26000*1.20565</f>
        <v>39732195.75</v>
      </c>
      <c r="I748" s="5">
        <f>G748-H748</f>
        <v>-3032195.75</v>
      </c>
      <c r="J748" s="5">
        <v>3000000</v>
      </c>
      <c r="K748" s="5">
        <v>3370000</v>
      </c>
      <c r="L748" s="5">
        <v>3670000</v>
      </c>
      <c r="M748" s="7">
        <v>1267.5</v>
      </c>
      <c r="N748" s="5">
        <v>34200000</v>
      </c>
      <c r="O748" s="5">
        <v>37200000</v>
      </c>
      <c r="P748" s="3">
        <v>0.97916666666666663</v>
      </c>
    </row>
    <row r="749" spans="1:16" x14ac:dyDescent="0.25">
      <c r="A749" t="s">
        <v>474</v>
      </c>
      <c r="B749" s="2">
        <v>43460</v>
      </c>
      <c r="C749" t="str">
        <f>TEXT(B749,"mm")</f>
        <v>12</v>
      </c>
      <c r="D749" t="s">
        <v>19</v>
      </c>
      <c r="E749" t="s">
        <v>1636</v>
      </c>
      <c r="F749" s="5">
        <v>33700000</v>
      </c>
      <c r="G749" s="5">
        <v>36700000</v>
      </c>
      <c r="H749" s="5">
        <f>M749*26000*1.20565</f>
        <v>39785485.480000004</v>
      </c>
      <c r="I749" s="5">
        <f>G749-H749</f>
        <v>-3085485.4800000042</v>
      </c>
      <c r="J749" s="5">
        <v>3000000</v>
      </c>
      <c r="K749" s="5">
        <v>3370000</v>
      </c>
      <c r="L749" s="5">
        <v>3670000</v>
      </c>
      <c r="M749" s="7">
        <v>1269.2</v>
      </c>
      <c r="N749" s="5">
        <v>34200000</v>
      </c>
      <c r="O749" s="5">
        <v>37200000</v>
      </c>
      <c r="P749" s="3">
        <v>0.97916666666666663</v>
      </c>
    </row>
    <row r="750" spans="1:16" x14ac:dyDescent="0.25">
      <c r="A750" t="s">
        <v>475</v>
      </c>
      <c r="B750" s="2">
        <v>43461</v>
      </c>
      <c r="C750" t="str">
        <f>TEXT(B750,"mm")</f>
        <v>12</v>
      </c>
      <c r="D750" t="s">
        <v>20</v>
      </c>
      <c r="E750" t="s">
        <v>1636</v>
      </c>
      <c r="F750" s="5">
        <v>33900000</v>
      </c>
      <c r="G750" s="5">
        <v>36900000</v>
      </c>
      <c r="H750" s="5">
        <f>M750*26000*1.20565</f>
        <v>40039395.370000005</v>
      </c>
      <c r="I750" s="5">
        <f>G750-H750</f>
        <v>-3139395.3700000048</v>
      </c>
      <c r="J750" s="5">
        <v>3000000</v>
      </c>
      <c r="K750" s="5">
        <v>3390000</v>
      </c>
      <c r="L750" s="5">
        <v>3690000</v>
      </c>
      <c r="M750" s="7">
        <v>1277.3</v>
      </c>
      <c r="N750" s="5">
        <v>34400000</v>
      </c>
      <c r="O750" s="5">
        <v>37400000</v>
      </c>
      <c r="P750" s="3">
        <v>0.97916666666666663</v>
      </c>
    </row>
    <row r="751" spans="1:16" x14ac:dyDescent="0.25">
      <c r="A751" t="s">
        <v>476</v>
      </c>
      <c r="B751" s="2">
        <v>43462</v>
      </c>
      <c r="C751" t="str">
        <f>TEXT(B751,"mm")</f>
        <v>12</v>
      </c>
      <c r="D751" t="s">
        <v>21</v>
      </c>
      <c r="E751" t="s">
        <v>1636</v>
      </c>
      <c r="F751" s="5">
        <v>34000000</v>
      </c>
      <c r="G751" s="5">
        <v>37000000</v>
      </c>
      <c r="H751" s="5">
        <f>M751*26000*1.20565</f>
        <v>40120897.31000001</v>
      </c>
      <c r="I751" s="5">
        <f>G751-H751</f>
        <v>-3120897.3100000098</v>
      </c>
      <c r="J751" s="5">
        <v>3000000</v>
      </c>
      <c r="K751" s="5">
        <v>3400000</v>
      </c>
      <c r="L751" s="5">
        <v>3700000</v>
      </c>
      <c r="M751" s="7">
        <v>1279.9000000000001</v>
      </c>
      <c r="N751" s="5">
        <v>34500000</v>
      </c>
      <c r="O751" s="5">
        <v>37500000</v>
      </c>
      <c r="P751" s="3">
        <v>0.97916666666666663</v>
      </c>
    </row>
    <row r="752" spans="1:16" x14ac:dyDescent="0.25">
      <c r="A752" t="s">
        <v>477</v>
      </c>
      <c r="B752" s="2">
        <v>43465</v>
      </c>
      <c r="C752" t="str">
        <f>TEXT(B752,"mm")</f>
        <v>12</v>
      </c>
      <c r="D752" t="s">
        <v>16</v>
      </c>
      <c r="E752" t="s">
        <v>1636</v>
      </c>
      <c r="F752" s="5">
        <v>34000000</v>
      </c>
      <c r="G752" s="5">
        <v>37000000</v>
      </c>
      <c r="H752" s="5">
        <f>M752*26000*1.20565</f>
        <v>40070742.270000003</v>
      </c>
      <c r="I752" s="5">
        <f>G752-H752</f>
        <v>-3070742.2700000033</v>
      </c>
      <c r="J752" s="5">
        <v>3000000</v>
      </c>
      <c r="K752" s="5">
        <v>3400000</v>
      </c>
      <c r="L752" s="5">
        <v>3700000</v>
      </c>
      <c r="M752" s="7">
        <v>1278.3</v>
      </c>
      <c r="N752" s="5">
        <v>34500000</v>
      </c>
      <c r="O752" s="5">
        <v>37500000</v>
      </c>
      <c r="P752" s="3">
        <v>0.97916666666666663</v>
      </c>
    </row>
    <row r="753" spans="1:16" x14ac:dyDescent="0.25">
      <c r="A753" s="2">
        <v>43497</v>
      </c>
      <c r="B753" s="2">
        <v>43467</v>
      </c>
      <c r="C753" t="str">
        <f>TEXT(B753,"mm")</f>
        <v>01</v>
      </c>
      <c r="D753" t="s">
        <v>19</v>
      </c>
      <c r="E753" t="s">
        <v>1636</v>
      </c>
      <c r="F753" s="5">
        <v>35000000</v>
      </c>
      <c r="G753" s="5">
        <v>38000000</v>
      </c>
      <c r="H753" s="5">
        <f>M753*26000*1.20565</f>
        <v>40155378.900000006</v>
      </c>
      <c r="I753" s="5">
        <f>G753-H753</f>
        <v>-2155378.900000006</v>
      </c>
      <c r="J753" s="5">
        <v>3000000</v>
      </c>
      <c r="K753" s="5">
        <v>3500000</v>
      </c>
      <c r="L753" s="5">
        <v>3800000</v>
      </c>
      <c r="M753" s="7">
        <v>1281</v>
      </c>
      <c r="N753" s="5">
        <v>35500000</v>
      </c>
      <c r="O753" s="5">
        <v>38500000</v>
      </c>
      <c r="P753" s="3">
        <v>0.97916666666666663</v>
      </c>
    </row>
    <row r="754" spans="1:16" x14ac:dyDescent="0.25">
      <c r="A754" s="2">
        <v>43525</v>
      </c>
      <c r="B754" s="2">
        <v>43468</v>
      </c>
      <c r="C754" t="str">
        <f>TEXT(B754,"mm")</f>
        <v>01</v>
      </c>
      <c r="D754" t="s">
        <v>20</v>
      </c>
      <c r="E754" t="s">
        <v>1636</v>
      </c>
      <c r="F754" s="5">
        <v>35300000</v>
      </c>
      <c r="G754" s="5">
        <v>38300000</v>
      </c>
      <c r="H754" s="5">
        <f>M754*26000*1.20565</f>
        <v>40493925.420000002</v>
      </c>
      <c r="I754" s="5">
        <f>G754-H754</f>
        <v>-2193925.4200000018</v>
      </c>
      <c r="J754" s="5">
        <v>3000000</v>
      </c>
      <c r="K754" s="5">
        <v>3530000</v>
      </c>
      <c r="L754" s="5">
        <v>3830000</v>
      </c>
      <c r="M754" s="7">
        <v>1291.8</v>
      </c>
      <c r="N754" s="5">
        <v>35800000</v>
      </c>
      <c r="O754" s="5">
        <v>38800000</v>
      </c>
      <c r="P754" s="3">
        <v>0.97916666666666663</v>
      </c>
    </row>
    <row r="755" spans="1:16" x14ac:dyDescent="0.25">
      <c r="A755" s="2">
        <v>43556</v>
      </c>
      <c r="B755" s="2">
        <v>43469</v>
      </c>
      <c r="C755" t="str">
        <f>TEXT(B755,"mm")</f>
        <v>01</v>
      </c>
      <c r="D755" t="s">
        <v>21</v>
      </c>
      <c r="E755" t="s">
        <v>1636</v>
      </c>
      <c r="F755" s="5">
        <v>35000000</v>
      </c>
      <c r="G755" s="5">
        <v>38000000</v>
      </c>
      <c r="H755" s="5">
        <f>M755*26000*1.20565</f>
        <v>40208668.630000003</v>
      </c>
      <c r="I755" s="5">
        <f>G755-H755</f>
        <v>-2208668.6300000027</v>
      </c>
      <c r="J755" s="5">
        <v>3000000</v>
      </c>
      <c r="K755" s="5">
        <v>3500000</v>
      </c>
      <c r="L755" s="5">
        <v>3800000</v>
      </c>
      <c r="M755" s="7">
        <v>1282.7</v>
      </c>
      <c r="N755" s="5">
        <v>35500000</v>
      </c>
      <c r="O755" s="5">
        <v>38500000</v>
      </c>
      <c r="P755" s="3">
        <v>0.97916666666666663</v>
      </c>
    </row>
    <row r="756" spans="1:16" x14ac:dyDescent="0.25">
      <c r="A756" s="2">
        <v>43647</v>
      </c>
      <c r="B756" s="2">
        <v>43472</v>
      </c>
      <c r="C756" t="str">
        <f>TEXT(B756,"mm")</f>
        <v>01</v>
      </c>
      <c r="D756" t="s">
        <v>16</v>
      </c>
      <c r="E756" t="s">
        <v>1636</v>
      </c>
      <c r="F756" s="5">
        <v>35200000</v>
      </c>
      <c r="G756" s="5">
        <v>38200000</v>
      </c>
      <c r="H756" s="5">
        <f>M756*26000*1.20565</f>
        <v>40337190.920000002</v>
      </c>
      <c r="I756" s="5">
        <f>G756-H756</f>
        <v>-2137190.9200000018</v>
      </c>
      <c r="J756" s="5">
        <v>3000000</v>
      </c>
      <c r="K756" s="5">
        <v>3520000</v>
      </c>
      <c r="L756" s="5">
        <v>3820000</v>
      </c>
      <c r="M756" s="7">
        <v>1286.8</v>
      </c>
      <c r="N756" s="5">
        <v>35700000</v>
      </c>
      <c r="O756" s="5">
        <v>38700000</v>
      </c>
      <c r="P756" s="3">
        <v>0.97916666666666663</v>
      </c>
    </row>
    <row r="757" spans="1:16" x14ac:dyDescent="0.25">
      <c r="A757" s="2">
        <v>43678</v>
      </c>
      <c r="B757" s="2">
        <v>43473</v>
      </c>
      <c r="C757" t="str">
        <f>TEXT(B757,"mm")</f>
        <v>01</v>
      </c>
      <c r="D757" t="s">
        <v>18</v>
      </c>
      <c r="E757" t="s">
        <v>1636</v>
      </c>
      <c r="F757" s="5">
        <v>35000000</v>
      </c>
      <c r="G757" s="5">
        <v>38000000</v>
      </c>
      <c r="H757" s="5">
        <f>M757*26000*1.20565</f>
        <v>40224342.080000006</v>
      </c>
      <c r="I757" s="5">
        <f>G757-H757</f>
        <v>-2224342.0800000057</v>
      </c>
      <c r="J757" s="5">
        <v>3000000</v>
      </c>
      <c r="K757" s="5">
        <v>3500000</v>
      </c>
      <c r="L757" s="5">
        <v>3800000</v>
      </c>
      <c r="M757" s="7">
        <v>1283.2</v>
      </c>
      <c r="N757" s="5">
        <v>35500000</v>
      </c>
      <c r="O757" s="5">
        <v>38500000</v>
      </c>
      <c r="P757" s="3">
        <v>0.97916666666666663</v>
      </c>
    </row>
    <row r="758" spans="1:16" x14ac:dyDescent="0.25">
      <c r="A758" s="2">
        <v>43709</v>
      </c>
      <c r="B758" s="2">
        <v>43474</v>
      </c>
      <c r="C758" t="str">
        <f>TEXT(B758,"mm")</f>
        <v>01</v>
      </c>
      <c r="D758" t="s">
        <v>19</v>
      </c>
      <c r="E758" t="s">
        <v>1636</v>
      </c>
      <c r="F758" s="5">
        <v>35200000</v>
      </c>
      <c r="G758" s="5">
        <v>38200000</v>
      </c>
      <c r="H758" s="5">
        <f>M758*26000*1.20565</f>
        <v>40415558.170000002</v>
      </c>
      <c r="I758" s="5">
        <f>G758-H758</f>
        <v>-2215558.1700000018</v>
      </c>
      <c r="J758" s="5">
        <v>3000000</v>
      </c>
      <c r="K758" s="5">
        <v>3520000</v>
      </c>
      <c r="L758" s="5">
        <v>3820000</v>
      </c>
      <c r="M758" s="7">
        <v>1289.3</v>
      </c>
      <c r="N758" s="5">
        <v>35700000</v>
      </c>
      <c r="O758" s="5">
        <v>38700000</v>
      </c>
      <c r="P758" s="3">
        <v>0.97916666666666663</v>
      </c>
    </row>
    <row r="759" spans="1:16" x14ac:dyDescent="0.25">
      <c r="A759" s="2">
        <v>43739</v>
      </c>
      <c r="B759" s="2">
        <v>43475</v>
      </c>
      <c r="C759" t="str">
        <f>TEXT(B759,"mm")</f>
        <v>01</v>
      </c>
      <c r="D759" t="s">
        <v>20</v>
      </c>
      <c r="E759" t="s">
        <v>1636</v>
      </c>
      <c r="F759" s="5">
        <v>35100000</v>
      </c>
      <c r="G759" s="5">
        <v>38100000</v>
      </c>
      <c r="H759" s="5">
        <f>M759*26000*1.20565</f>
        <v>40271362.430000007</v>
      </c>
      <c r="I759" s="5">
        <f>G759-H759</f>
        <v>-2171362.4300000072</v>
      </c>
      <c r="J759" s="5">
        <v>3000000</v>
      </c>
      <c r="K759" s="5">
        <v>3510000</v>
      </c>
      <c r="L759" s="5">
        <v>3810000</v>
      </c>
      <c r="M759" s="7">
        <v>1284.7</v>
      </c>
      <c r="N759" s="5">
        <v>35600000</v>
      </c>
      <c r="O759" s="5">
        <v>38600000</v>
      </c>
      <c r="P759" s="3">
        <v>0.97916666666666663</v>
      </c>
    </row>
    <row r="760" spans="1:16" x14ac:dyDescent="0.25">
      <c r="A760" s="2">
        <v>43770</v>
      </c>
      <c r="B760" s="2">
        <v>43476</v>
      </c>
      <c r="C760" t="str">
        <f>TEXT(B760,"mm")</f>
        <v>01</v>
      </c>
      <c r="D760" t="s">
        <v>21</v>
      </c>
      <c r="E760" t="s">
        <v>1636</v>
      </c>
      <c r="F760" s="5">
        <v>35200000</v>
      </c>
      <c r="G760" s="5">
        <v>38200000</v>
      </c>
      <c r="H760" s="5">
        <f>M760*26000*1.20565</f>
        <v>40346594.990000002</v>
      </c>
      <c r="I760" s="5">
        <f>G760-H760</f>
        <v>-2146594.9900000021</v>
      </c>
      <c r="J760" s="5">
        <v>3000000</v>
      </c>
      <c r="K760" s="5">
        <v>3520000</v>
      </c>
      <c r="L760" s="5">
        <v>3820000</v>
      </c>
      <c r="M760" s="7">
        <v>1287.0999999999999</v>
      </c>
      <c r="N760" s="5">
        <v>35700000</v>
      </c>
      <c r="O760" s="5">
        <v>38700000</v>
      </c>
      <c r="P760" s="3">
        <v>0.97916666666666663</v>
      </c>
    </row>
    <row r="761" spans="1:16" x14ac:dyDescent="0.25">
      <c r="A761" t="s">
        <v>478</v>
      </c>
      <c r="B761" s="2">
        <v>43479</v>
      </c>
      <c r="C761" t="str">
        <f>TEXT(B761,"mm")</f>
        <v>01</v>
      </c>
      <c r="D761" t="s">
        <v>16</v>
      </c>
      <c r="E761" t="s">
        <v>1636</v>
      </c>
      <c r="F761" s="5">
        <v>35200000</v>
      </c>
      <c r="G761" s="5">
        <v>38200000</v>
      </c>
      <c r="H761" s="5">
        <f>M761*26000*1.20565</f>
        <v>40409288.789999999</v>
      </c>
      <c r="I761" s="5">
        <f>G761-H761</f>
        <v>-2209288.7899999991</v>
      </c>
      <c r="J761" s="5">
        <v>3000000</v>
      </c>
      <c r="K761" s="5">
        <v>3520000</v>
      </c>
      <c r="L761" s="5">
        <v>3820000</v>
      </c>
      <c r="M761" s="7">
        <v>1289.0999999999999</v>
      </c>
      <c r="N761" s="5">
        <v>35700000</v>
      </c>
      <c r="O761" s="5">
        <v>38700000</v>
      </c>
      <c r="P761" s="3">
        <v>0.97916666666666663</v>
      </c>
    </row>
    <row r="762" spans="1:16" x14ac:dyDescent="0.25">
      <c r="A762" t="s">
        <v>479</v>
      </c>
      <c r="B762" s="2">
        <v>43480</v>
      </c>
      <c r="C762" t="str">
        <f>TEXT(B762,"mm")</f>
        <v>01</v>
      </c>
      <c r="D762" t="s">
        <v>18</v>
      </c>
      <c r="E762" t="s">
        <v>1636</v>
      </c>
      <c r="F762" s="5">
        <v>35100000</v>
      </c>
      <c r="G762" s="5">
        <v>38100000</v>
      </c>
      <c r="H762" s="5">
        <f>M762*26000*1.20565</f>
        <v>40318382.780000001</v>
      </c>
      <c r="I762" s="5">
        <f>G762-H762</f>
        <v>-2218382.7800000012</v>
      </c>
      <c r="J762" s="5">
        <v>3000000</v>
      </c>
      <c r="K762" s="5">
        <v>3510000</v>
      </c>
      <c r="L762" s="5">
        <v>3810000</v>
      </c>
      <c r="M762" s="7">
        <v>1286.2</v>
      </c>
      <c r="N762" s="5">
        <v>35600000</v>
      </c>
      <c r="O762" s="5">
        <v>38600000</v>
      </c>
      <c r="P762" s="3">
        <v>0.97916666666666663</v>
      </c>
    </row>
    <row r="763" spans="1:16" x14ac:dyDescent="0.25">
      <c r="A763" t="s">
        <v>480</v>
      </c>
      <c r="B763" s="2">
        <v>43481</v>
      </c>
      <c r="C763" t="str">
        <f>TEXT(B763,"mm")</f>
        <v>01</v>
      </c>
      <c r="D763" t="s">
        <v>19</v>
      </c>
      <c r="E763" t="s">
        <v>1636</v>
      </c>
      <c r="F763" s="5">
        <v>35300000</v>
      </c>
      <c r="G763" s="5">
        <v>38300000</v>
      </c>
      <c r="H763" s="5">
        <f>M763*26000*1.20565</f>
        <v>40487656.040000007</v>
      </c>
      <c r="I763" s="5">
        <f>G763-H763</f>
        <v>-2187656.0400000066</v>
      </c>
      <c r="J763" s="5">
        <v>3000000</v>
      </c>
      <c r="K763" s="5">
        <v>3530000</v>
      </c>
      <c r="L763" s="5">
        <v>3830000</v>
      </c>
      <c r="M763" s="7">
        <v>1291.5999999999999</v>
      </c>
      <c r="N763" s="5">
        <v>35800000</v>
      </c>
      <c r="O763" s="5">
        <v>38800000</v>
      </c>
      <c r="P763" s="3">
        <v>0.97916666666666663</v>
      </c>
    </row>
    <row r="764" spans="1:16" x14ac:dyDescent="0.25">
      <c r="A764" t="s">
        <v>481</v>
      </c>
      <c r="B764" s="2">
        <v>43482</v>
      </c>
      <c r="C764" t="str">
        <f>TEXT(B764,"mm")</f>
        <v>01</v>
      </c>
      <c r="D764" t="s">
        <v>20</v>
      </c>
      <c r="E764" t="s">
        <v>1636</v>
      </c>
      <c r="F764" s="5">
        <v>35300000</v>
      </c>
      <c r="G764" s="5">
        <v>38300000</v>
      </c>
      <c r="H764" s="5">
        <f>M764*26000*1.20565</f>
        <v>40468847.900000006</v>
      </c>
      <c r="I764" s="5">
        <f>G764-H764</f>
        <v>-2168847.900000006</v>
      </c>
      <c r="J764" s="5">
        <v>3000000</v>
      </c>
      <c r="K764" s="5">
        <v>3530000</v>
      </c>
      <c r="L764" s="5">
        <v>3830000</v>
      </c>
      <c r="M764" s="7">
        <v>1291</v>
      </c>
      <c r="N764" s="5">
        <v>35800000</v>
      </c>
      <c r="O764" s="5">
        <v>38800000</v>
      </c>
      <c r="P764" s="3">
        <v>0.97916666666666663</v>
      </c>
    </row>
    <row r="765" spans="1:16" x14ac:dyDescent="0.25">
      <c r="A765" t="s">
        <v>482</v>
      </c>
      <c r="B765" s="2">
        <v>43483</v>
      </c>
      <c r="C765" t="str">
        <f>TEXT(B765,"mm")</f>
        <v>01</v>
      </c>
      <c r="D765" t="s">
        <v>21</v>
      </c>
      <c r="E765" t="s">
        <v>1636</v>
      </c>
      <c r="F765" s="5">
        <v>35000000</v>
      </c>
      <c r="G765" s="5">
        <v>38000000</v>
      </c>
      <c r="H765" s="5">
        <f>M765*26000*1.20565</f>
        <v>40164782.970000006</v>
      </c>
      <c r="I765" s="5">
        <f>G765-H765</f>
        <v>-2164782.9700000063</v>
      </c>
      <c r="J765" s="5">
        <v>3000000</v>
      </c>
      <c r="K765" s="5">
        <v>3500000</v>
      </c>
      <c r="L765" s="5">
        <v>3800000</v>
      </c>
      <c r="M765" s="7">
        <v>1281.3</v>
      </c>
      <c r="N765" s="5">
        <v>35500000</v>
      </c>
      <c r="O765" s="5">
        <v>38500000</v>
      </c>
      <c r="P765" s="3">
        <v>0.97916666666666663</v>
      </c>
    </row>
    <row r="766" spans="1:16" x14ac:dyDescent="0.25">
      <c r="A766" t="s">
        <v>483</v>
      </c>
      <c r="B766" s="2">
        <v>43487</v>
      </c>
      <c r="C766" t="str">
        <f>TEXT(B766,"mm")</f>
        <v>01</v>
      </c>
      <c r="D766" t="s">
        <v>18</v>
      </c>
      <c r="E766" t="s">
        <v>1636</v>
      </c>
      <c r="F766" s="5">
        <v>35000000</v>
      </c>
      <c r="G766" s="5">
        <v>38000000</v>
      </c>
      <c r="H766" s="5">
        <f>M766*26000*1.20565</f>
        <v>40202399.25</v>
      </c>
      <c r="I766" s="5">
        <f>G766-H766</f>
        <v>-2202399.25</v>
      </c>
      <c r="J766" s="5">
        <v>3000000</v>
      </c>
      <c r="K766" s="5">
        <v>3500000</v>
      </c>
      <c r="L766" s="5">
        <v>3800000</v>
      </c>
      <c r="M766" s="7">
        <v>1282.5</v>
      </c>
      <c r="N766" s="5">
        <v>35500000</v>
      </c>
      <c r="O766" s="5">
        <v>38500000</v>
      </c>
      <c r="P766" s="3">
        <v>0.97916666666666663</v>
      </c>
    </row>
    <row r="767" spans="1:16" x14ac:dyDescent="0.25">
      <c r="A767" t="s">
        <v>484</v>
      </c>
      <c r="B767" s="2">
        <v>43488</v>
      </c>
      <c r="C767" t="str">
        <f>TEXT(B767,"mm")</f>
        <v>01</v>
      </c>
      <c r="D767" t="s">
        <v>19</v>
      </c>
      <c r="E767" t="s">
        <v>1636</v>
      </c>
      <c r="F767" s="5">
        <v>35000000</v>
      </c>
      <c r="G767" s="5">
        <v>38000000</v>
      </c>
      <c r="H767" s="5">
        <f>M767*26000*1.20565</f>
        <v>40221207.390000001</v>
      </c>
      <c r="I767" s="5">
        <f>G767-H767</f>
        <v>-2221207.3900000006</v>
      </c>
      <c r="J767" s="5">
        <v>3000000</v>
      </c>
      <c r="K767" s="5">
        <v>3500000</v>
      </c>
      <c r="L767" s="5">
        <v>3800000</v>
      </c>
      <c r="M767" s="7">
        <v>1283.0999999999999</v>
      </c>
      <c r="N767" s="5">
        <v>35500000</v>
      </c>
      <c r="O767" s="5">
        <v>38500000</v>
      </c>
      <c r="P767" s="3">
        <v>0.97916666666666663</v>
      </c>
    </row>
    <row r="768" spans="1:16" x14ac:dyDescent="0.25">
      <c r="A768" t="s">
        <v>485</v>
      </c>
      <c r="B768" s="2">
        <v>43489</v>
      </c>
      <c r="C768" t="str">
        <f>TEXT(B768,"mm")</f>
        <v>01</v>
      </c>
      <c r="D768" t="s">
        <v>20</v>
      </c>
      <c r="E768" t="s">
        <v>1636</v>
      </c>
      <c r="F768" s="5">
        <v>34900000</v>
      </c>
      <c r="G768" s="5">
        <v>37900000</v>
      </c>
      <c r="H768" s="5">
        <f>M768*26000*1.20565</f>
        <v>40095819.789999999</v>
      </c>
      <c r="I768" s="5">
        <f>G768-H768</f>
        <v>-2195819.7899999991</v>
      </c>
      <c r="J768" s="5">
        <v>3000000</v>
      </c>
      <c r="K768" s="5">
        <v>3490000</v>
      </c>
      <c r="L768" s="5">
        <v>3790000</v>
      </c>
      <c r="M768" s="7">
        <v>1279.0999999999999</v>
      </c>
      <c r="N768" s="5">
        <v>35400000</v>
      </c>
      <c r="O768" s="5">
        <v>38400000</v>
      </c>
      <c r="P768" s="3">
        <v>0.97916666666666663</v>
      </c>
    </row>
    <row r="769" spans="1:16" x14ac:dyDescent="0.25">
      <c r="A769" t="s">
        <v>486</v>
      </c>
      <c r="B769" s="2">
        <v>43490</v>
      </c>
      <c r="C769" t="str">
        <f>TEXT(B769,"mm")</f>
        <v>01</v>
      </c>
      <c r="D769" t="s">
        <v>21</v>
      </c>
      <c r="E769" t="s">
        <v>1636</v>
      </c>
      <c r="F769" s="5">
        <v>35500000</v>
      </c>
      <c r="G769" s="5">
        <v>38500000</v>
      </c>
      <c r="H769" s="5">
        <f>M769*26000*1.20565</f>
        <v>40669468.060000002</v>
      </c>
      <c r="I769" s="5">
        <f>G769-H769</f>
        <v>-2169468.0600000024</v>
      </c>
      <c r="J769" s="5">
        <v>3000000</v>
      </c>
      <c r="K769" s="5">
        <v>3550000</v>
      </c>
      <c r="L769" s="5">
        <v>3850000</v>
      </c>
      <c r="M769" s="7">
        <v>1297.4000000000001</v>
      </c>
      <c r="N769" s="5">
        <v>36000000</v>
      </c>
      <c r="O769" s="5">
        <v>39000000</v>
      </c>
      <c r="P769" s="3">
        <v>0.97916666666666663</v>
      </c>
    </row>
    <row r="770" spans="1:16" x14ac:dyDescent="0.25">
      <c r="A770" t="s">
        <v>487</v>
      </c>
      <c r="B770" s="2">
        <v>43493</v>
      </c>
      <c r="C770" t="str">
        <f>TEXT(B770,"mm")</f>
        <v>01</v>
      </c>
      <c r="D770" t="s">
        <v>16</v>
      </c>
      <c r="E770" t="s">
        <v>1636</v>
      </c>
      <c r="F770" s="5">
        <v>35600000</v>
      </c>
      <c r="G770" s="5">
        <v>38600000</v>
      </c>
      <c r="H770" s="5">
        <f>M770*26000*1.20565</f>
        <v>40826202.560000002</v>
      </c>
      <c r="I770" s="5">
        <f>G770-H770</f>
        <v>-2226202.5600000024</v>
      </c>
      <c r="J770" s="5">
        <v>3000000</v>
      </c>
      <c r="K770" s="5">
        <v>3560000</v>
      </c>
      <c r="L770" s="5">
        <v>3860000</v>
      </c>
      <c r="M770" s="7">
        <v>1302.4000000000001</v>
      </c>
      <c r="N770" s="5">
        <v>36100000</v>
      </c>
      <c r="O770" s="5">
        <v>39100000</v>
      </c>
      <c r="P770" s="3">
        <v>0.97916666666666663</v>
      </c>
    </row>
    <row r="771" spans="1:16" x14ac:dyDescent="0.25">
      <c r="A771" t="s">
        <v>488</v>
      </c>
      <c r="B771" s="2">
        <v>43494</v>
      </c>
      <c r="C771" t="str">
        <f>TEXT(B771,"mm")</f>
        <v>01</v>
      </c>
      <c r="D771" t="s">
        <v>18</v>
      </c>
      <c r="E771" t="s">
        <v>1636</v>
      </c>
      <c r="F771" s="5">
        <v>35800000</v>
      </c>
      <c r="G771" s="5">
        <v>38800000</v>
      </c>
      <c r="H771" s="5">
        <f>M771*26000*1.20565</f>
        <v>41008014.580000006</v>
      </c>
      <c r="I771" s="5">
        <f>G771-H771</f>
        <v>-2208014.5800000057</v>
      </c>
      <c r="J771" s="5">
        <v>3000000</v>
      </c>
      <c r="K771" s="5">
        <v>3580000</v>
      </c>
      <c r="L771" s="5">
        <v>3880000</v>
      </c>
      <c r="M771" s="7">
        <v>1308.2</v>
      </c>
      <c r="N771" s="5">
        <v>36300000</v>
      </c>
      <c r="O771" s="5">
        <v>39300000</v>
      </c>
      <c r="P771" s="3">
        <v>0.97916666666666663</v>
      </c>
    </row>
    <row r="772" spans="1:16" x14ac:dyDescent="0.25">
      <c r="A772" t="s">
        <v>489</v>
      </c>
      <c r="B772" s="2">
        <v>43495</v>
      </c>
      <c r="C772" t="str">
        <f>TEXT(B772,"mm")</f>
        <v>01</v>
      </c>
      <c r="D772" t="s">
        <v>19</v>
      </c>
      <c r="E772" t="s">
        <v>1636</v>
      </c>
      <c r="F772" s="5">
        <v>35800000</v>
      </c>
      <c r="G772" s="5">
        <v>38800000</v>
      </c>
      <c r="H772" s="5">
        <f>M772*26000*1.20565</f>
        <v>41061304.310000002</v>
      </c>
      <c r="I772" s="5">
        <f>G772-H772</f>
        <v>-2261304.3100000024</v>
      </c>
      <c r="J772" s="5">
        <v>3000000</v>
      </c>
      <c r="K772" s="5">
        <v>3580000</v>
      </c>
      <c r="L772" s="5">
        <v>3880000</v>
      </c>
      <c r="M772" s="7">
        <v>1309.9000000000001</v>
      </c>
      <c r="N772" s="5">
        <v>36300000</v>
      </c>
      <c r="O772" s="5">
        <v>39300000</v>
      </c>
      <c r="P772" s="3">
        <v>0.97916666666666663</v>
      </c>
    </row>
    <row r="773" spans="1:16" x14ac:dyDescent="0.25">
      <c r="A773" t="s">
        <v>490</v>
      </c>
      <c r="B773" s="2">
        <v>43496</v>
      </c>
      <c r="C773" t="str">
        <f>TEXT(B773,"mm")</f>
        <v>01</v>
      </c>
      <c r="D773" t="s">
        <v>20</v>
      </c>
      <c r="E773" t="s">
        <v>1636</v>
      </c>
      <c r="F773" s="5">
        <v>36100000</v>
      </c>
      <c r="G773" s="5">
        <v>39100000</v>
      </c>
      <c r="H773" s="5">
        <f>M773*26000*1.20565</f>
        <v>41368503.930000007</v>
      </c>
      <c r="I773" s="5">
        <f>G773-H773</f>
        <v>-2268503.9300000072</v>
      </c>
      <c r="J773" s="5">
        <v>3000000</v>
      </c>
      <c r="K773" s="5">
        <v>3610000</v>
      </c>
      <c r="L773" s="5">
        <v>3910000</v>
      </c>
      <c r="M773" s="7">
        <v>1319.7</v>
      </c>
      <c r="N773" s="5">
        <v>36600000</v>
      </c>
      <c r="O773" s="5">
        <v>39600000</v>
      </c>
      <c r="P773" s="3">
        <v>0.97916666666666663</v>
      </c>
    </row>
    <row r="774" spans="1:16" x14ac:dyDescent="0.25">
      <c r="A774" s="2">
        <v>43467</v>
      </c>
      <c r="B774" s="2">
        <v>43497</v>
      </c>
      <c r="C774" t="str">
        <f>TEXT(B774,"mm")</f>
        <v>02</v>
      </c>
      <c r="D774" t="s">
        <v>21</v>
      </c>
      <c r="E774" t="s">
        <v>1636</v>
      </c>
      <c r="F774" s="5">
        <v>36000000</v>
      </c>
      <c r="G774" s="5">
        <v>39000000</v>
      </c>
      <c r="H774" s="5">
        <f>M774*26000*1.20565</f>
        <v>41280732.610000007</v>
      </c>
      <c r="I774" s="5">
        <f>G774-H774</f>
        <v>-2280732.6100000069</v>
      </c>
      <c r="J774" s="5">
        <v>3000000</v>
      </c>
      <c r="K774" s="5">
        <v>3600000</v>
      </c>
      <c r="L774" s="5">
        <v>3900000</v>
      </c>
      <c r="M774" s="7">
        <v>1316.9</v>
      </c>
      <c r="N774" s="5">
        <v>36500000</v>
      </c>
      <c r="O774" s="5">
        <v>39500000</v>
      </c>
      <c r="P774" s="3">
        <v>0.97916666666666663</v>
      </c>
    </row>
    <row r="775" spans="1:16" x14ac:dyDescent="0.25">
      <c r="A775" s="2">
        <v>43557</v>
      </c>
      <c r="B775" s="2">
        <v>43500</v>
      </c>
      <c r="C775" t="str">
        <f>TEXT(B775,"mm")</f>
        <v>02</v>
      </c>
      <c r="D775" t="s">
        <v>16</v>
      </c>
      <c r="E775" t="s">
        <v>1636</v>
      </c>
      <c r="F775" s="5">
        <v>36000000</v>
      </c>
      <c r="G775" s="5">
        <v>39000000</v>
      </c>
      <c r="H775" s="5">
        <f>M775*26000*1.20565</f>
        <v>41199230.670000002</v>
      </c>
      <c r="I775" s="5">
        <f>G775-H775</f>
        <v>-2199230.6700000018</v>
      </c>
      <c r="J775" s="5">
        <v>3000000</v>
      </c>
      <c r="K775" s="5">
        <v>3600000</v>
      </c>
      <c r="L775" s="5">
        <v>3900000</v>
      </c>
      <c r="M775" s="7">
        <v>1314.3</v>
      </c>
      <c r="N775" s="5">
        <v>36500000</v>
      </c>
      <c r="O775" s="5">
        <v>39500000</v>
      </c>
      <c r="P775" s="3">
        <v>0.97916666666666663</v>
      </c>
    </row>
    <row r="776" spans="1:16" x14ac:dyDescent="0.25">
      <c r="A776" s="2">
        <v>43587</v>
      </c>
      <c r="B776" s="2">
        <v>43501</v>
      </c>
      <c r="C776" t="str">
        <f>TEXT(B776,"mm")</f>
        <v>02</v>
      </c>
      <c r="D776" t="s">
        <v>18</v>
      </c>
      <c r="E776" t="s">
        <v>1636</v>
      </c>
      <c r="F776" s="5">
        <v>36000000</v>
      </c>
      <c r="G776" s="5">
        <v>39000000</v>
      </c>
      <c r="H776" s="5">
        <f>M776*26000*1.20565</f>
        <v>41196095.980000004</v>
      </c>
      <c r="I776" s="5">
        <f>G776-H776</f>
        <v>-2196095.9800000042</v>
      </c>
      <c r="J776" s="5">
        <v>3000000</v>
      </c>
      <c r="K776" s="5">
        <v>3600000</v>
      </c>
      <c r="L776" s="5">
        <v>3900000</v>
      </c>
      <c r="M776" s="7">
        <v>1314.2</v>
      </c>
      <c r="N776" s="5">
        <v>36500000</v>
      </c>
      <c r="O776" s="5">
        <v>39500000</v>
      </c>
      <c r="P776" s="3">
        <v>0.97916666666666663</v>
      </c>
    </row>
    <row r="777" spans="1:16" x14ac:dyDescent="0.25">
      <c r="A777" s="2">
        <v>43618</v>
      </c>
      <c r="B777" s="2">
        <v>43502</v>
      </c>
      <c r="C777" t="str">
        <f>TEXT(B777,"mm")</f>
        <v>02</v>
      </c>
      <c r="D777" t="s">
        <v>19</v>
      </c>
      <c r="E777" t="s">
        <v>1636</v>
      </c>
      <c r="F777" s="5">
        <v>35800000</v>
      </c>
      <c r="G777" s="5">
        <v>38800000</v>
      </c>
      <c r="H777" s="5">
        <f>M777*26000*1.20565</f>
        <v>41048765.550000004</v>
      </c>
      <c r="I777" s="5">
        <f>G777-H777</f>
        <v>-2248765.5500000045</v>
      </c>
      <c r="J777" s="5">
        <v>3000000</v>
      </c>
      <c r="K777" s="5">
        <v>3580000</v>
      </c>
      <c r="L777" s="5">
        <v>3880000</v>
      </c>
      <c r="M777" s="7">
        <v>1309.5</v>
      </c>
      <c r="N777" s="5">
        <v>36300000</v>
      </c>
      <c r="O777" s="5">
        <v>39300000</v>
      </c>
      <c r="P777" s="3">
        <v>0.97916666666666663</v>
      </c>
    </row>
    <row r="778" spans="1:16" x14ac:dyDescent="0.25">
      <c r="A778" s="2">
        <v>43648</v>
      </c>
      <c r="B778" s="2">
        <v>43503</v>
      </c>
      <c r="C778" t="str">
        <f>TEXT(B778,"mm")</f>
        <v>02</v>
      </c>
      <c r="D778" t="s">
        <v>20</v>
      </c>
      <c r="E778" t="s">
        <v>1636</v>
      </c>
      <c r="F778" s="5">
        <v>35800000</v>
      </c>
      <c r="G778" s="5">
        <v>38800000</v>
      </c>
      <c r="H778" s="5">
        <f>M778*26000*1.20565</f>
        <v>41045630.860000007</v>
      </c>
      <c r="I778" s="5">
        <f>G778-H778</f>
        <v>-2245630.8600000069</v>
      </c>
      <c r="J778" s="5">
        <v>3000000</v>
      </c>
      <c r="K778" s="5">
        <v>3580000</v>
      </c>
      <c r="L778" s="5">
        <v>3880000</v>
      </c>
      <c r="M778" s="7">
        <v>1309.4000000000001</v>
      </c>
      <c r="N778" s="5">
        <v>36300000</v>
      </c>
      <c r="O778" s="5">
        <v>39300000</v>
      </c>
      <c r="P778" s="3">
        <v>0.97916666666666663</v>
      </c>
    </row>
    <row r="779" spans="1:16" x14ac:dyDescent="0.25">
      <c r="A779" s="2">
        <v>43679</v>
      </c>
      <c r="B779" s="2">
        <v>43504</v>
      </c>
      <c r="C779" t="str">
        <f>TEXT(B779,"mm")</f>
        <v>02</v>
      </c>
      <c r="D779" t="s">
        <v>21</v>
      </c>
      <c r="E779" t="s">
        <v>1636</v>
      </c>
      <c r="F779" s="5">
        <v>36000000</v>
      </c>
      <c r="G779" s="5">
        <v>39000000</v>
      </c>
      <c r="H779" s="5">
        <f>M779*26000*1.20565</f>
        <v>41180422.530000001</v>
      </c>
      <c r="I779" s="5">
        <f>G779-H779</f>
        <v>-2180422.5300000012</v>
      </c>
      <c r="J779" s="5">
        <v>3000000</v>
      </c>
      <c r="K779" s="5">
        <v>3600000</v>
      </c>
      <c r="L779" s="5">
        <v>3900000</v>
      </c>
      <c r="M779" s="7">
        <v>1313.7</v>
      </c>
      <c r="N779" s="5">
        <v>36500000</v>
      </c>
      <c r="O779" s="5">
        <v>39500000</v>
      </c>
      <c r="P779" s="3">
        <v>0.97916666666666663</v>
      </c>
    </row>
    <row r="780" spans="1:16" x14ac:dyDescent="0.25">
      <c r="A780" s="2">
        <v>43771</v>
      </c>
      <c r="B780" s="2">
        <v>43507</v>
      </c>
      <c r="C780" t="str">
        <f>TEXT(B780,"mm")</f>
        <v>02</v>
      </c>
      <c r="D780" t="s">
        <v>16</v>
      </c>
      <c r="E780" t="s">
        <v>1636</v>
      </c>
      <c r="F780" s="5">
        <v>35800000</v>
      </c>
      <c r="G780" s="5">
        <v>38800000</v>
      </c>
      <c r="H780" s="5">
        <f>M780*26000*1.20565</f>
        <v>40970398.300000004</v>
      </c>
      <c r="I780" s="5">
        <f>G780-H780</f>
        <v>-2170398.3000000045</v>
      </c>
      <c r="J780" s="5">
        <v>3000000</v>
      </c>
      <c r="K780" s="5">
        <v>3580000</v>
      </c>
      <c r="L780" s="5">
        <v>3880000</v>
      </c>
      <c r="M780" s="7">
        <v>1307</v>
      </c>
      <c r="N780" s="5">
        <v>36300000</v>
      </c>
      <c r="O780" s="5">
        <v>39300000</v>
      </c>
      <c r="P780" s="3">
        <v>0.97916666666666663</v>
      </c>
    </row>
    <row r="781" spans="1:16" x14ac:dyDescent="0.25">
      <c r="A781" s="2">
        <v>43801</v>
      </c>
      <c r="B781" s="2">
        <v>43508</v>
      </c>
      <c r="C781" t="str">
        <f>TEXT(B781,"mm")</f>
        <v>02</v>
      </c>
      <c r="D781" t="s">
        <v>18</v>
      </c>
      <c r="E781" t="s">
        <v>1636</v>
      </c>
      <c r="F781" s="5">
        <v>35800000</v>
      </c>
      <c r="G781" s="5">
        <v>38800000</v>
      </c>
      <c r="H781" s="5">
        <f>M781*26000*1.20565</f>
        <v>41039361.480000004</v>
      </c>
      <c r="I781" s="5">
        <f>G781-H781</f>
        <v>-2239361.4800000042</v>
      </c>
      <c r="J781" s="5">
        <v>3000000</v>
      </c>
      <c r="K781" s="5">
        <v>3580000</v>
      </c>
      <c r="L781" s="5">
        <v>3880000</v>
      </c>
      <c r="M781" s="7">
        <v>1309.2</v>
      </c>
      <c r="N781" s="5">
        <v>36300000</v>
      </c>
      <c r="O781" s="5">
        <v>39300000</v>
      </c>
      <c r="P781" s="3">
        <v>0.97916666666666663</v>
      </c>
    </row>
    <row r="782" spans="1:16" x14ac:dyDescent="0.25">
      <c r="A782" t="s">
        <v>491</v>
      </c>
      <c r="B782" s="2">
        <v>43509</v>
      </c>
      <c r="C782" t="str">
        <f>TEXT(B782,"mm")</f>
        <v>02</v>
      </c>
      <c r="D782" t="s">
        <v>19</v>
      </c>
      <c r="E782" t="s">
        <v>1636</v>
      </c>
      <c r="F782" s="5">
        <v>35900000</v>
      </c>
      <c r="G782" s="5">
        <v>38900000</v>
      </c>
      <c r="H782" s="5">
        <f>M782*26000*1.20565</f>
        <v>41089516.520000003</v>
      </c>
      <c r="I782" s="5">
        <f>G782-H782</f>
        <v>-2189516.5200000033</v>
      </c>
      <c r="J782" s="5">
        <v>3000000</v>
      </c>
      <c r="K782" s="5">
        <v>3590000</v>
      </c>
      <c r="L782" s="5">
        <v>3890000</v>
      </c>
      <c r="M782" s="7">
        <v>1310.8</v>
      </c>
      <c r="N782" s="5">
        <v>36400000</v>
      </c>
      <c r="O782" s="5">
        <v>39400000</v>
      </c>
      <c r="P782" s="3">
        <v>0.97916666666666663</v>
      </c>
    </row>
    <row r="783" spans="1:16" x14ac:dyDescent="0.25">
      <c r="A783" t="s">
        <v>492</v>
      </c>
      <c r="B783" s="2">
        <v>43510</v>
      </c>
      <c r="C783" t="str">
        <f>TEXT(B783,"mm")</f>
        <v>02</v>
      </c>
      <c r="D783" t="s">
        <v>20</v>
      </c>
      <c r="E783" t="s">
        <v>1636</v>
      </c>
      <c r="F783" s="5">
        <v>35800000</v>
      </c>
      <c r="G783" s="5">
        <v>38800000</v>
      </c>
      <c r="H783" s="5">
        <f>M783*26000*1.20565</f>
        <v>41058169.620000005</v>
      </c>
      <c r="I783" s="5">
        <f>G783-H783</f>
        <v>-2258169.6200000048</v>
      </c>
      <c r="J783" s="5">
        <v>3000000</v>
      </c>
      <c r="K783" s="5">
        <v>3580000</v>
      </c>
      <c r="L783" s="5">
        <v>3880000</v>
      </c>
      <c r="M783" s="7">
        <v>1309.8</v>
      </c>
      <c r="N783" s="5">
        <v>36300000</v>
      </c>
      <c r="O783" s="5">
        <v>39300000</v>
      </c>
      <c r="P783" s="3">
        <v>0.97916666666666663</v>
      </c>
    </row>
    <row r="784" spans="1:16" x14ac:dyDescent="0.25">
      <c r="A784" t="s">
        <v>493</v>
      </c>
      <c r="B784" s="2">
        <v>43511</v>
      </c>
      <c r="C784" t="str">
        <f>TEXT(B784,"mm")</f>
        <v>02</v>
      </c>
      <c r="D784" t="s">
        <v>21</v>
      </c>
      <c r="E784" t="s">
        <v>1636</v>
      </c>
      <c r="F784" s="5">
        <v>36100000</v>
      </c>
      <c r="G784" s="5">
        <v>39100000</v>
      </c>
      <c r="H784" s="5">
        <f>M784*26000*1.20565</f>
        <v>41318348.890000001</v>
      </c>
      <c r="I784" s="5">
        <f>G784-H784</f>
        <v>-2218348.8900000006</v>
      </c>
      <c r="J784" s="5">
        <v>3000000</v>
      </c>
      <c r="K784" s="5">
        <v>3610000</v>
      </c>
      <c r="L784" s="5">
        <v>3910000</v>
      </c>
      <c r="M784" s="7">
        <v>1318.1</v>
      </c>
      <c r="N784" s="5">
        <v>36600000</v>
      </c>
      <c r="O784" s="5">
        <v>39600000</v>
      </c>
      <c r="P784" s="3">
        <v>0.97916666666666663</v>
      </c>
    </row>
    <row r="785" spans="1:16" x14ac:dyDescent="0.25">
      <c r="A785" t="s">
        <v>494</v>
      </c>
      <c r="B785" s="2">
        <v>43515</v>
      </c>
      <c r="C785" t="str">
        <f>TEXT(B785,"mm")</f>
        <v>02</v>
      </c>
      <c r="D785" t="s">
        <v>18</v>
      </c>
      <c r="E785" t="s">
        <v>1636</v>
      </c>
      <c r="F785" s="5">
        <v>36700000</v>
      </c>
      <c r="G785" s="5">
        <v>39700000</v>
      </c>
      <c r="H785" s="5">
        <f>M785*26000*1.20565</f>
        <v>42007980.690000005</v>
      </c>
      <c r="I785" s="5">
        <f>G785-H785</f>
        <v>-2307980.6900000051</v>
      </c>
      <c r="J785" s="5">
        <v>3000000</v>
      </c>
      <c r="K785" s="5">
        <v>3670000</v>
      </c>
      <c r="L785" s="5">
        <v>3970000</v>
      </c>
      <c r="M785" s="7">
        <v>1340.1</v>
      </c>
      <c r="N785" s="5">
        <v>37200000</v>
      </c>
      <c r="O785" s="5">
        <v>40200000</v>
      </c>
      <c r="P785" s="3">
        <v>0.97916666666666663</v>
      </c>
    </row>
    <row r="786" spans="1:16" x14ac:dyDescent="0.25">
      <c r="A786" t="s">
        <v>495</v>
      </c>
      <c r="B786" s="2">
        <v>43516</v>
      </c>
      <c r="C786" t="str">
        <f>TEXT(B786,"mm")</f>
        <v>02</v>
      </c>
      <c r="D786" t="s">
        <v>19</v>
      </c>
      <c r="E786" t="s">
        <v>1636</v>
      </c>
      <c r="F786" s="5">
        <v>36800000</v>
      </c>
      <c r="G786" s="5">
        <v>39800000</v>
      </c>
      <c r="H786" s="5">
        <f>M786*26000*1.20565</f>
        <v>42108290.770000003</v>
      </c>
      <c r="I786" s="5">
        <f>G786-H786</f>
        <v>-2308290.7700000033</v>
      </c>
      <c r="J786" s="5">
        <v>3000000</v>
      </c>
      <c r="K786" s="5">
        <v>3680000</v>
      </c>
      <c r="L786" s="5">
        <v>3980000</v>
      </c>
      <c r="M786" s="7">
        <v>1343.3</v>
      </c>
      <c r="N786" s="5">
        <v>37300000</v>
      </c>
      <c r="O786" s="5">
        <v>40300000</v>
      </c>
      <c r="P786" s="3">
        <v>0.97916666666666663</v>
      </c>
    </row>
    <row r="787" spans="1:16" x14ac:dyDescent="0.25">
      <c r="A787" t="s">
        <v>496</v>
      </c>
      <c r="B787" s="2">
        <v>43517</v>
      </c>
      <c r="C787" t="str">
        <f>TEXT(B787,"mm")</f>
        <v>02</v>
      </c>
      <c r="D787" t="s">
        <v>20</v>
      </c>
      <c r="E787" t="s">
        <v>1636</v>
      </c>
      <c r="F787" s="5">
        <v>36200000</v>
      </c>
      <c r="G787" s="5">
        <v>39200000</v>
      </c>
      <c r="H787" s="5">
        <f>M787*26000*1.20565</f>
        <v>41487622.150000006</v>
      </c>
      <c r="I787" s="5">
        <f>G787-H787</f>
        <v>-2287622.150000006</v>
      </c>
      <c r="J787" s="5">
        <v>3000000</v>
      </c>
      <c r="K787" s="5">
        <v>3620000</v>
      </c>
      <c r="L787" s="5">
        <v>3920000</v>
      </c>
      <c r="M787" s="7">
        <v>1323.5</v>
      </c>
      <c r="N787" s="5">
        <v>36700000</v>
      </c>
      <c r="O787" s="5">
        <v>39700000</v>
      </c>
      <c r="P787" s="3">
        <v>0.97916666666666663</v>
      </c>
    </row>
    <row r="788" spans="1:16" x14ac:dyDescent="0.25">
      <c r="A788" t="s">
        <v>497</v>
      </c>
      <c r="B788" s="2">
        <v>43518</v>
      </c>
      <c r="C788" t="str">
        <f>TEXT(B788,"mm")</f>
        <v>02</v>
      </c>
      <c r="D788" t="s">
        <v>21</v>
      </c>
      <c r="E788" t="s">
        <v>1636</v>
      </c>
      <c r="F788" s="5">
        <v>36400000</v>
      </c>
      <c r="G788" s="5">
        <v>39400000</v>
      </c>
      <c r="H788" s="5">
        <f>M788*26000*1.20565</f>
        <v>41666299.480000004</v>
      </c>
      <c r="I788" s="5">
        <f>G788-H788</f>
        <v>-2266299.4800000042</v>
      </c>
      <c r="J788" s="5">
        <v>3000000</v>
      </c>
      <c r="K788" s="5">
        <v>3640000</v>
      </c>
      <c r="L788" s="5">
        <v>3940000</v>
      </c>
      <c r="M788" s="7">
        <v>1329.2</v>
      </c>
      <c r="N788" s="5">
        <v>36900000</v>
      </c>
      <c r="O788" s="5">
        <v>39900000</v>
      </c>
      <c r="P788" s="3">
        <v>0.97916666666666663</v>
      </c>
    </row>
    <row r="789" spans="1:16" x14ac:dyDescent="0.25">
      <c r="A789" t="s">
        <v>498</v>
      </c>
      <c r="B789" s="2">
        <v>43521</v>
      </c>
      <c r="C789" t="str">
        <f>TEXT(B789,"mm")</f>
        <v>02</v>
      </c>
      <c r="D789" t="s">
        <v>16</v>
      </c>
      <c r="E789" t="s">
        <v>1636</v>
      </c>
      <c r="F789" s="5">
        <v>36300000</v>
      </c>
      <c r="G789" s="5">
        <v>39300000</v>
      </c>
      <c r="H789" s="5">
        <f>M789*26000*1.20565</f>
        <v>41562854.710000001</v>
      </c>
      <c r="I789" s="5">
        <f>G789-H789</f>
        <v>-2262854.7100000009</v>
      </c>
      <c r="J789" s="5">
        <v>3000000</v>
      </c>
      <c r="K789" s="5">
        <v>3630000</v>
      </c>
      <c r="L789" s="5">
        <v>3930000</v>
      </c>
      <c r="M789" s="7">
        <v>1325.9</v>
      </c>
      <c r="N789" s="5">
        <v>36800000</v>
      </c>
      <c r="O789" s="5">
        <v>39800000</v>
      </c>
      <c r="P789" s="3">
        <v>0.97916666666666663</v>
      </c>
    </row>
    <row r="790" spans="1:16" x14ac:dyDescent="0.25">
      <c r="A790" t="s">
        <v>499</v>
      </c>
      <c r="B790" s="2">
        <v>43522</v>
      </c>
      <c r="C790" t="str">
        <f>TEXT(B790,"mm")</f>
        <v>02</v>
      </c>
      <c r="D790" t="s">
        <v>18</v>
      </c>
      <c r="E790" t="s">
        <v>1636</v>
      </c>
      <c r="F790" s="5">
        <v>36300000</v>
      </c>
      <c r="G790" s="5">
        <v>39300000</v>
      </c>
      <c r="H790" s="5">
        <f>M790*26000*1.20565</f>
        <v>41537777.190000005</v>
      </c>
      <c r="I790" s="5">
        <f>G790-H790</f>
        <v>-2237777.1900000051</v>
      </c>
      <c r="J790" s="5">
        <v>3000000</v>
      </c>
      <c r="K790" s="5">
        <v>3630000</v>
      </c>
      <c r="L790" s="5">
        <v>3930000</v>
      </c>
      <c r="M790" s="7">
        <v>1325.1</v>
      </c>
      <c r="N790" s="5">
        <v>36800000</v>
      </c>
      <c r="O790" s="5">
        <v>39800000</v>
      </c>
      <c r="P790" s="3">
        <v>0.97916666666666663</v>
      </c>
    </row>
    <row r="791" spans="1:16" x14ac:dyDescent="0.25">
      <c r="A791" t="s">
        <v>500</v>
      </c>
      <c r="B791" s="2">
        <v>43523</v>
      </c>
      <c r="C791" t="str">
        <f>TEXT(B791,"mm")</f>
        <v>02</v>
      </c>
      <c r="D791" t="s">
        <v>19</v>
      </c>
      <c r="E791" t="s">
        <v>1636</v>
      </c>
      <c r="F791" s="5">
        <v>36100000</v>
      </c>
      <c r="G791" s="5">
        <v>39100000</v>
      </c>
      <c r="H791" s="5">
        <f>M791*26000*1.20565</f>
        <v>41305810.130000003</v>
      </c>
      <c r="I791" s="5">
        <f>G791-H791</f>
        <v>-2205810.1300000027</v>
      </c>
      <c r="J791" s="5">
        <v>3000000</v>
      </c>
      <c r="K791" s="5">
        <v>3610000</v>
      </c>
      <c r="L791" s="5">
        <v>3910000</v>
      </c>
      <c r="M791" s="7">
        <v>1317.7</v>
      </c>
      <c r="N791" s="5">
        <v>36600000</v>
      </c>
      <c r="O791" s="5">
        <v>39600000</v>
      </c>
      <c r="P791" s="3">
        <v>0.97916666666666663</v>
      </c>
    </row>
    <row r="792" spans="1:16" x14ac:dyDescent="0.25">
      <c r="A792" t="s">
        <v>501</v>
      </c>
      <c r="B792" s="2">
        <v>43524</v>
      </c>
      <c r="C792" t="str">
        <f>TEXT(B792,"mm")</f>
        <v>02</v>
      </c>
      <c r="D792" t="s">
        <v>20</v>
      </c>
      <c r="E792" t="s">
        <v>1636</v>
      </c>
      <c r="F792" s="5">
        <v>35900000</v>
      </c>
      <c r="G792" s="5">
        <v>38900000</v>
      </c>
      <c r="H792" s="5">
        <f>M792*26000*1.20565</f>
        <v>41152210.32</v>
      </c>
      <c r="I792" s="5">
        <f>G792-H792</f>
        <v>-2252210.3200000003</v>
      </c>
      <c r="J792" s="5">
        <v>3000000</v>
      </c>
      <c r="K792" s="5">
        <v>3590000</v>
      </c>
      <c r="L792" s="5">
        <v>3890000</v>
      </c>
      <c r="M792" s="7">
        <v>1312.8</v>
      </c>
      <c r="N792" s="5">
        <v>36400000</v>
      </c>
      <c r="O792" s="5">
        <v>39400000</v>
      </c>
      <c r="P792" s="3">
        <v>0.97916666666666663</v>
      </c>
    </row>
    <row r="793" spans="1:16" x14ac:dyDescent="0.25">
      <c r="A793" s="2">
        <v>43468</v>
      </c>
      <c r="B793" s="2">
        <v>43525</v>
      </c>
      <c r="C793" t="str">
        <f>TEXT(B793,"mm")</f>
        <v>03</v>
      </c>
      <c r="D793" t="s">
        <v>21</v>
      </c>
      <c r="E793" t="s">
        <v>1636</v>
      </c>
      <c r="F793" s="5">
        <v>35400000</v>
      </c>
      <c r="G793" s="5">
        <v>38400000</v>
      </c>
      <c r="H793" s="5">
        <f>M793*26000*1.20565</f>
        <v>40638121.160000004</v>
      </c>
      <c r="I793" s="5">
        <f>G793-H793</f>
        <v>-2238121.1600000039</v>
      </c>
      <c r="J793" s="5">
        <v>3000000</v>
      </c>
      <c r="K793" s="5">
        <v>3540000</v>
      </c>
      <c r="L793" s="5">
        <v>3840000</v>
      </c>
      <c r="M793" s="7">
        <v>1296.4000000000001</v>
      </c>
      <c r="N793" s="5">
        <v>35900000</v>
      </c>
      <c r="O793" s="5">
        <v>38900000</v>
      </c>
      <c r="P793" s="3">
        <v>0.97916666666666663</v>
      </c>
    </row>
    <row r="794" spans="1:16" x14ac:dyDescent="0.25">
      <c r="A794" s="2">
        <v>43558</v>
      </c>
      <c r="B794" s="2">
        <v>43528</v>
      </c>
      <c r="C794" t="str">
        <f>TEXT(B794,"mm")</f>
        <v>03</v>
      </c>
      <c r="D794" t="s">
        <v>16</v>
      </c>
      <c r="E794" t="s">
        <v>1636</v>
      </c>
      <c r="F794" s="5">
        <v>35100000</v>
      </c>
      <c r="G794" s="5">
        <v>38100000</v>
      </c>
      <c r="H794" s="5">
        <f>M794*26000*1.20565</f>
        <v>40274497.120000005</v>
      </c>
      <c r="I794" s="5">
        <f>G794-H794</f>
        <v>-2174497.1200000048</v>
      </c>
      <c r="J794" s="5">
        <v>3000000</v>
      </c>
      <c r="K794" s="5">
        <v>3510000</v>
      </c>
      <c r="L794" s="5">
        <v>3810000</v>
      </c>
      <c r="M794" s="7">
        <v>1284.8</v>
      </c>
      <c r="N794" s="5">
        <v>35600000</v>
      </c>
      <c r="O794" s="5">
        <v>38600000</v>
      </c>
      <c r="P794" s="3">
        <v>0.97916666666666663</v>
      </c>
    </row>
    <row r="795" spans="1:16" x14ac:dyDescent="0.25">
      <c r="A795" s="2">
        <v>43588</v>
      </c>
      <c r="B795" s="2">
        <v>43529</v>
      </c>
      <c r="C795" t="str">
        <f>TEXT(B795,"mm")</f>
        <v>03</v>
      </c>
      <c r="D795" t="s">
        <v>18</v>
      </c>
      <c r="E795" t="s">
        <v>1636</v>
      </c>
      <c r="F795" s="5">
        <v>35000000</v>
      </c>
      <c r="G795" s="5">
        <v>38000000</v>
      </c>
      <c r="H795" s="5">
        <f>M795*26000*1.20565</f>
        <v>40186725.800000004</v>
      </c>
      <c r="I795" s="5">
        <f>G795-H795</f>
        <v>-2186725.8000000045</v>
      </c>
      <c r="J795" s="5">
        <v>3000000</v>
      </c>
      <c r="K795" s="5">
        <v>3500000</v>
      </c>
      <c r="L795" s="5">
        <v>3800000</v>
      </c>
      <c r="M795" s="7">
        <v>1282</v>
      </c>
      <c r="N795" s="5">
        <v>35500000</v>
      </c>
      <c r="O795" s="5">
        <v>38500000</v>
      </c>
      <c r="P795" s="3">
        <v>0.97916666666666663</v>
      </c>
    </row>
    <row r="796" spans="1:16" x14ac:dyDescent="0.25">
      <c r="A796" s="2">
        <v>43619</v>
      </c>
      <c r="B796" s="2">
        <v>43530</v>
      </c>
      <c r="C796" t="str">
        <f>TEXT(B796,"mm")</f>
        <v>03</v>
      </c>
      <c r="D796" t="s">
        <v>19</v>
      </c>
      <c r="E796" t="s">
        <v>1636</v>
      </c>
      <c r="F796" s="5">
        <v>35100000</v>
      </c>
      <c r="G796" s="5">
        <v>38100000</v>
      </c>
      <c r="H796" s="5">
        <f>M796*26000*1.20565</f>
        <v>40277631.81000001</v>
      </c>
      <c r="I796" s="5">
        <f>G796-H796</f>
        <v>-2177631.8100000098</v>
      </c>
      <c r="J796" s="5">
        <v>3000000</v>
      </c>
      <c r="K796" s="5">
        <v>3510000</v>
      </c>
      <c r="L796" s="5">
        <v>3810000</v>
      </c>
      <c r="M796" s="7">
        <v>1284.9000000000001</v>
      </c>
      <c r="N796" s="5">
        <v>35600000</v>
      </c>
      <c r="O796" s="5">
        <v>38600000</v>
      </c>
      <c r="P796" s="3">
        <v>0.97916666666666663</v>
      </c>
    </row>
    <row r="797" spans="1:16" x14ac:dyDescent="0.25">
      <c r="A797" s="2">
        <v>43649</v>
      </c>
      <c r="B797" s="2">
        <v>43531</v>
      </c>
      <c r="C797" t="str">
        <f>TEXT(B797,"mm")</f>
        <v>03</v>
      </c>
      <c r="D797" t="s">
        <v>20</v>
      </c>
      <c r="E797" t="s">
        <v>1636</v>
      </c>
      <c r="F797" s="5">
        <v>35100000</v>
      </c>
      <c r="G797" s="5">
        <v>38100000</v>
      </c>
      <c r="H797" s="5">
        <f>M797*26000*1.20565</f>
        <v>40243150.220000006</v>
      </c>
      <c r="I797" s="5">
        <f>G797-H797</f>
        <v>-2143150.2200000063</v>
      </c>
      <c r="J797" s="5">
        <v>3000000</v>
      </c>
      <c r="K797" s="5">
        <v>3510000</v>
      </c>
      <c r="L797" s="5">
        <v>3810000</v>
      </c>
      <c r="M797" s="7">
        <v>1283.8</v>
      </c>
      <c r="N797" s="5">
        <v>35600000</v>
      </c>
      <c r="O797" s="5">
        <v>38600000</v>
      </c>
      <c r="P797" s="3">
        <v>0.97916666666666663</v>
      </c>
    </row>
    <row r="798" spans="1:16" x14ac:dyDescent="0.25">
      <c r="A798" s="2">
        <v>43680</v>
      </c>
      <c r="B798" s="2">
        <v>43532</v>
      </c>
      <c r="C798" t="str">
        <f>TEXT(B798,"mm")</f>
        <v>03</v>
      </c>
      <c r="D798" t="s">
        <v>21</v>
      </c>
      <c r="E798" t="s">
        <v>1636</v>
      </c>
      <c r="F798" s="5">
        <v>35500000</v>
      </c>
      <c r="G798" s="5">
        <v>38500000</v>
      </c>
      <c r="H798" s="5">
        <f>M798*26000*1.20565</f>
        <v>40656929.300000004</v>
      </c>
      <c r="I798" s="5">
        <f>G798-H798</f>
        <v>-2156929.3000000045</v>
      </c>
      <c r="J798" s="5">
        <v>3000000</v>
      </c>
      <c r="K798" s="5">
        <v>3550000</v>
      </c>
      <c r="L798" s="5">
        <v>3850000</v>
      </c>
      <c r="M798" s="7">
        <v>1297</v>
      </c>
      <c r="N798" s="5">
        <v>36000000</v>
      </c>
      <c r="O798" s="5">
        <v>39000000</v>
      </c>
      <c r="P798" s="3">
        <v>0.97916666666666663</v>
      </c>
    </row>
    <row r="799" spans="1:16" x14ac:dyDescent="0.25">
      <c r="A799" s="2">
        <v>43772</v>
      </c>
      <c r="B799" s="2">
        <v>43535</v>
      </c>
      <c r="C799" t="str">
        <f>TEXT(B799,"mm")</f>
        <v>03</v>
      </c>
      <c r="D799" t="s">
        <v>16</v>
      </c>
      <c r="E799" t="s">
        <v>1636</v>
      </c>
      <c r="F799" s="5">
        <v>35200000</v>
      </c>
      <c r="G799" s="5">
        <v>38200000</v>
      </c>
      <c r="H799" s="5">
        <f>M799*26000*1.20565</f>
        <v>40399884.720000006</v>
      </c>
      <c r="I799" s="5">
        <f>G799-H799</f>
        <v>-2199884.7200000063</v>
      </c>
      <c r="J799" s="5">
        <v>3000000</v>
      </c>
      <c r="K799" s="5">
        <v>3520000</v>
      </c>
      <c r="L799" s="5">
        <v>3820000</v>
      </c>
      <c r="M799" s="7">
        <v>1288.8</v>
      </c>
      <c r="N799" s="5">
        <v>35700000</v>
      </c>
      <c r="O799" s="5">
        <v>38700000</v>
      </c>
      <c r="P799" s="3">
        <v>0.97916666666666663</v>
      </c>
    </row>
    <row r="800" spans="1:16" x14ac:dyDescent="0.25">
      <c r="A800" s="2">
        <v>43802</v>
      </c>
      <c r="B800" s="2">
        <v>43536</v>
      </c>
      <c r="C800" t="str">
        <f>TEXT(B800,"mm")</f>
        <v>03</v>
      </c>
      <c r="D800" t="s">
        <v>18</v>
      </c>
      <c r="E800" t="s">
        <v>1636</v>
      </c>
      <c r="F800" s="5">
        <v>35400000</v>
      </c>
      <c r="G800" s="5">
        <v>38400000</v>
      </c>
      <c r="H800" s="5">
        <f>M800*26000*1.20565</f>
        <v>40634986.470000006</v>
      </c>
      <c r="I800" s="5">
        <f>G800-H800</f>
        <v>-2234986.4700000063</v>
      </c>
      <c r="J800" s="5">
        <v>3000000</v>
      </c>
      <c r="K800" s="5">
        <v>3540000</v>
      </c>
      <c r="L800" s="5">
        <v>3840000</v>
      </c>
      <c r="M800" s="7">
        <v>1296.3</v>
      </c>
      <c r="N800" s="5">
        <v>35900000</v>
      </c>
      <c r="O800" s="5">
        <v>38900000</v>
      </c>
      <c r="P800" s="3">
        <v>0.97916666666666663</v>
      </c>
    </row>
    <row r="801" spans="1:16" x14ac:dyDescent="0.25">
      <c r="A801" t="s">
        <v>502</v>
      </c>
      <c r="B801" s="2">
        <v>43537</v>
      </c>
      <c r="C801" t="str">
        <f>TEXT(B801,"mm")</f>
        <v>03</v>
      </c>
      <c r="D801" t="s">
        <v>19</v>
      </c>
      <c r="E801" t="s">
        <v>1636</v>
      </c>
      <c r="F801" s="5">
        <v>35800000</v>
      </c>
      <c r="G801" s="5">
        <v>38800000</v>
      </c>
      <c r="H801" s="5">
        <f>M801*26000*1.20565</f>
        <v>40986071.750000007</v>
      </c>
      <c r="I801" s="5">
        <f>G801-H801</f>
        <v>-2186071.7500000075</v>
      </c>
      <c r="J801" s="5">
        <v>3000000</v>
      </c>
      <c r="K801" s="5">
        <v>3580000</v>
      </c>
      <c r="L801" s="5">
        <v>3880000</v>
      </c>
      <c r="M801" s="7">
        <v>1307.5</v>
      </c>
      <c r="N801" s="5">
        <v>36300000</v>
      </c>
      <c r="O801" s="5">
        <v>39300000</v>
      </c>
      <c r="P801" s="3">
        <v>0.97916666666666663</v>
      </c>
    </row>
    <row r="802" spans="1:16" x14ac:dyDescent="0.25">
      <c r="A802" t="s">
        <v>503</v>
      </c>
      <c r="B802" s="2">
        <v>43538</v>
      </c>
      <c r="C802" t="str">
        <f>TEXT(B802,"mm")</f>
        <v>03</v>
      </c>
      <c r="D802" t="s">
        <v>20</v>
      </c>
      <c r="E802" t="s">
        <v>1636</v>
      </c>
      <c r="F802" s="5">
        <v>35300000</v>
      </c>
      <c r="G802" s="5">
        <v>38300000</v>
      </c>
      <c r="H802" s="5">
        <f>M802*26000*1.20565</f>
        <v>40544080.460000001</v>
      </c>
      <c r="I802" s="5">
        <f>G802-H802</f>
        <v>-2244080.4600000009</v>
      </c>
      <c r="J802" s="5">
        <v>3000000</v>
      </c>
      <c r="K802" s="5">
        <v>3530000</v>
      </c>
      <c r="L802" s="5">
        <v>3830000</v>
      </c>
      <c r="M802" s="7">
        <v>1293.4000000000001</v>
      </c>
      <c r="N802" s="5">
        <v>35800000</v>
      </c>
      <c r="O802" s="5">
        <v>38800000</v>
      </c>
      <c r="P802" s="3">
        <v>0.97916666666666663</v>
      </c>
    </row>
    <row r="803" spans="1:16" x14ac:dyDescent="0.25">
      <c r="A803" t="s">
        <v>504</v>
      </c>
      <c r="B803" s="2">
        <v>43539</v>
      </c>
      <c r="C803" t="str">
        <f>TEXT(B803,"mm")</f>
        <v>03</v>
      </c>
      <c r="D803" t="s">
        <v>21</v>
      </c>
      <c r="E803" t="s">
        <v>1636</v>
      </c>
      <c r="F803" s="5">
        <v>35600000</v>
      </c>
      <c r="G803" s="5">
        <v>38600000</v>
      </c>
      <c r="H803" s="5">
        <f>M803*26000*1.20565</f>
        <v>40807394.420000002</v>
      </c>
      <c r="I803" s="5">
        <f>G803-H803</f>
        <v>-2207394.4200000018</v>
      </c>
      <c r="J803" s="5">
        <v>3000000</v>
      </c>
      <c r="K803" s="5">
        <v>3560000</v>
      </c>
      <c r="L803" s="5">
        <v>3860000</v>
      </c>
      <c r="M803" s="7">
        <v>1301.8</v>
      </c>
      <c r="N803" s="5">
        <v>36100000</v>
      </c>
      <c r="O803" s="5">
        <v>39100000</v>
      </c>
      <c r="P803" s="3">
        <v>0.97916666666666663</v>
      </c>
    </row>
    <row r="804" spans="1:16" x14ac:dyDescent="0.25">
      <c r="A804" t="s">
        <v>505</v>
      </c>
      <c r="B804" s="2">
        <v>43542</v>
      </c>
      <c r="C804" t="str">
        <f>TEXT(B804,"mm")</f>
        <v>03</v>
      </c>
      <c r="D804" t="s">
        <v>16</v>
      </c>
      <c r="E804" t="s">
        <v>1636</v>
      </c>
      <c r="F804" s="5">
        <v>35600000</v>
      </c>
      <c r="G804" s="5">
        <v>38600000</v>
      </c>
      <c r="H804" s="5">
        <f>M804*26000*1.20565</f>
        <v>40760374.07</v>
      </c>
      <c r="I804" s="5">
        <f>G804-H804</f>
        <v>-2160374.0700000003</v>
      </c>
      <c r="J804" s="5">
        <v>3000000</v>
      </c>
      <c r="K804" s="5">
        <v>3560000</v>
      </c>
      <c r="L804" s="5">
        <v>3860000</v>
      </c>
      <c r="M804" s="7">
        <v>1300.3</v>
      </c>
      <c r="N804" s="5">
        <v>36100000</v>
      </c>
      <c r="O804" s="5">
        <v>39100000</v>
      </c>
      <c r="P804" s="3">
        <v>0.97916666666666663</v>
      </c>
    </row>
    <row r="805" spans="1:16" x14ac:dyDescent="0.25">
      <c r="A805" t="s">
        <v>506</v>
      </c>
      <c r="B805" s="2">
        <v>43543</v>
      </c>
      <c r="C805" t="str">
        <f>TEXT(B805,"mm")</f>
        <v>03</v>
      </c>
      <c r="D805" t="s">
        <v>18</v>
      </c>
      <c r="E805" t="s">
        <v>1636</v>
      </c>
      <c r="F805" s="5">
        <v>35700000</v>
      </c>
      <c r="G805" s="5">
        <v>38700000</v>
      </c>
      <c r="H805" s="5">
        <f>M805*26000*1.20565</f>
        <v>40907704.500000007</v>
      </c>
      <c r="I805" s="5">
        <f>G805-H805</f>
        <v>-2207704.5000000075</v>
      </c>
      <c r="J805" s="5">
        <v>3000000</v>
      </c>
      <c r="K805" s="5">
        <v>3570000</v>
      </c>
      <c r="L805" s="5">
        <v>3870000</v>
      </c>
      <c r="M805" s="7">
        <v>1305</v>
      </c>
      <c r="N805" s="5">
        <v>36200000</v>
      </c>
      <c r="O805" s="5">
        <v>39200000</v>
      </c>
      <c r="P805" s="3">
        <v>0.97916666666666663</v>
      </c>
    </row>
    <row r="806" spans="1:16" x14ac:dyDescent="0.25">
      <c r="A806" t="s">
        <v>507</v>
      </c>
      <c r="B806" s="2">
        <v>43544</v>
      </c>
      <c r="C806" t="str">
        <f>TEXT(B806,"mm")</f>
        <v>03</v>
      </c>
      <c r="D806" t="s">
        <v>19</v>
      </c>
      <c r="E806" t="s">
        <v>1636</v>
      </c>
      <c r="F806" s="5">
        <v>35600000</v>
      </c>
      <c r="G806" s="5">
        <v>38600000</v>
      </c>
      <c r="H806" s="5">
        <f>M806*26000*1.20565</f>
        <v>40766643.450000003</v>
      </c>
      <c r="I806" s="5">
        <f>G806-H806</f>
        <v>-2166643.450000003</v>
      </c>
      <c r="J806" s="5">
        <v>3000000</v>
      </c>
      <c r="K806" s="5">
        <v>3560000</v>
      </c>
      <c r="L806" s="5">
        <v>3860000</v>
      </c>
      <c r="M806" s="7">
        <v>1300.5</v>
      </c>
      <c r="N806" s="5">
        <v>36100000</v>
      </c>
      <c r="O806" s="5">
        <v>39100000</v>
      </c>
      <c r="P806" s="3">
        <v>0.97916666666666663</v>
      </c>
    </row>
    <row r="807" spans="1:16" x14ac:dyDescent="0.25">
      <c r="A807" t="s">
        <v>508</v>
      </c>
      <c r="B807" s="2">
        <v>43545</v>
      </c>
      <c r="C807" t="str">
        <f>TEXT(B807,"mm")</f>
        <v>03</v>
      </c>
      <c r="D807" t="s">
        <v>20</v>
      </c>
      <c r="E807" t="s">
        <v>1636</v>
      </c>
      <c r="F807" s="5">
        <v>35700000</v>
      </c>
      <c r="G807" s="5">
        <v>38700000</v>
      </c>
      <c r="H807" s="5">
        <f>M807*26000*1.20565</f>
        <v>40942186.090000004</v>
      </c>
      <c r="I807" s="5">
        <f>G807-H807</f>
        <v>-2242186.0900000036</v>
      </c>
      <c r="J807" s="5">
        <v>3000000</v>
      </c>
      <c r="K807" s="5">
        <v>3570000</v>
      </c>
      <c r="L807" s="5">
        <v>3870000</v>
      </c>
      <c r="M807" s="7">
        <v>1306.0999999999999</v>
      </c>
      <c r="N807" s="5">
        <v>36200000</v>
      </c>
      <c r="O807" s="5">
        <v>39200000</v>
      </c>
      <c r="P807" s="3">
        <v>0.97916666666666663</v>
      </c>
    </row>
    <row r="808" spans="1:16" x14ac:dyDescent="0.25">
      <c r="A808" t="s">
        <v>509</v>
      </c>
      <c r="B808" s="2">
        <v>43546</v>
      </c>
      <c r="C808" t="str">
        <f>TEXT(B808,"mm")</f>
        <v>03</v>
      </c>
      <c r="D808" t="s">
        <v>21</v>
      </c>
      <c r="E808" t="s">
        <v>1636</v>
      </c>
      <c r="F808" s="5">
        <v>35900000</v>
      </c>
      <c r="G808" s="5">
        <v>38900000</v>
      </c>
      <c r="H808" s="5">
        <f>M808*26000*1.20565</f>
        <v>41114594.040000007</v>
      </c>
      <c r="I808" s="5">
        <f>G808-H808</f>
        <v>-2214594.0400000066</v>
      </c>
      <c r="J808" s="5">
        <v>3000000</v>
      </c>
      <c r="K808" s="5">
        <v>3590000</v>
      </c>
      <c r="L808" s="5">
        <v>3890000</v>
      </c>
      <c r="M808" s="7">
        <v>1311.6</v>
      </c>
      <c r="N808" s="5">
        <v>36400000</v>
      </c>
      <c r="O808" s="5">
        <v>39400000</v>
      </c>
      <c r="P808" s="3">
        <v>0.97916666666666663</v>
      </c>
    </row>
    <row r="809" spans="1:16" x14ac:dyDescent="0.25">
      <c r="A809" t="s">
        <v>510</v>
      </c>
      <c r="B809" s="2">
        <v>43549</v>
      </c>
      <c r="C809" t="str">
        <f>TEXT(B809,"mm")</f>
        <v>03</v>
      </c>
      <c r="D809" t="s">
        <v>16</v>
      </c>
      <c r="E809" t="s">
        <v>1636</v>
      </c>
      <c r="F809" s="5">
        <v>36200000</v>
      </c>
      <c r="G809" s="5">
        <v>39200000</v>
      </c>
      <c r="H809" s="5">
        <f>M809*26000*1.20565</f>
        <v>41437467.110000007</v>
      </c>
      <c r="I809" s="5">
        <f>G809-H809</f>
        <v>-2237467.1100000069</v>
      </c>
      <c r="J809" s="5">
        <v>3000000</v>
      </c>
      <c r="K809" s="5">
        <v>3620000</v>
      </c>
      <c r="L809" s="5">
        <v>3920000</v>
      </c>
      <c r="M809" s="7">
        <v>1321.9</v>
      </c>
      <c r="N809" s="5">
        <v>36700000</v>
      </c>
      <c r="O809" s="5">
        <v>39700000</v>
      </c>
      <c r="P809" s="3">
        <v>0.97916666666666663</v>
      </c>
    </row>
    <row r="810" spans="1:16" x14ac:dyDescent="0.25">
      <c r="A810" t="s">
        <v>511</v>
      </c>
      <c r="B810" s="2">
        <v>43550</v>
      </c>
      <c r="C810" t="str">
        <f>TEXT(B810,"mm")</f>
        <v>03</v>
      </c>
      <c r="D810" t="s">
        <v>18</v>
      </c>
      <c r="E810" t="s">
        <v>1636</v>
      </c>
      <c r="F810" s="5">
        <v>36000000</v>
      </c>
      <c r="G810" s="5">
        <v>39000000</v>
      </c>
      <c r="H810" s="5">
        <f>M810*26000*1.20565</f>
        <v>41199230.670000002</v>
      </c>
      <c r="I810" s="5">
        <f>G810-H810</f>
        <v>-2199230.6700000018</v>
      </c>
      <c r="J810" s="5">
        <v>3000000</v>
      </c>
      <c r="K810" s="5">
        <v>3600000</v>
      </c>
      <c r="L810" s="5">
        <v>3900000</v>
      </c>
      <c r="M810" s="7">
        <v>1314.3</v>
      </c>
      <c r="N810" s="5">
        <v>36500000</v>
      </c>
      <c r="O810" s="5">
        <v>39500000</v>
      </c>
      <c r="P810" s="3">
        <v>0.97916666666666663</v>
      </c>
    </row>
    <row r="811" spans="1:16" x14ac:dyDescent="0.25">
      <c r="A811" t="s">
        <v>512</v>
      </c>
      <c r="B811" s="2">
        <v>43551</v>
      </c>
      <c r="C811" t="str">
        <f>TEXT(B811,"mm")</f>
        <v>03</v>
      </c>
      <c r="D811" t="s">
        <v>19</v>
      </c>
      <c r="E811" t="s">
        <v>1636</v>
      </c>
      <c r="F811" s="5">
        <v>35800000</v>
      </c>
      <c r="G811" s="5">
        <v>38800000</v>
      </c>
      <c r="H811" s="5">
        <f>M811*26000*1.20565</f>
        <v>41061304.310000002</v>
      </c>
      <c r="I811" s="5">
        <f>G811-H811</f>
        <v>-2261304.3100000024</v>
      </c>
      <c r="J811" s="5">
        <v>3000000</v>
      </c>
      <c r="K811" s="5">
        <v>3580000</v>
      </c>
      <c r="L811" s="5">
        <v>3880000</v>
      </c>
      <c r="M811" s="7">
        <v>1309.9000000000001</v>
      </c>
      <c r="N811" s="5">
        <v>36300000</v>
      </c>
      <c r="O811" s="5">
        <v>39300000</v>
      </c>
      <c r="P811" s="3">
        <v>0.97916666666666663</v>
      </c>
    </row>
    <row r="812" spans="1:16" x14ac:dyDescent="0.25">
      <c r="A812" t="s">
        <v>513</v>
      </c>
      <c r="B812" s="2">
        <v>43552</v>
      </c>
      <c r="C812" t="str">
        <f>TEXT(B812,"mm")</f>
        <v>03</v>
      </c>
      <c r="D812" t="s">
        <v>20</v>
      </c>
      <c r="E812" t="s">
        <v>1636</v>
      </c>
      <c r="F812" s="5">
        <v>35200000</v>
      </c>
      <c r="G812" s="5">
        <v>38200000</v>
      </c>
      <c r="H812" s="5">
        <f>M812*26000*1.20565</f>
        <v>40431231.620000005</v>
      </c>
      <c r="I812" s="5">
        <f>G812-H812</f>
        <v>-2231231.6200000048</v>
      </c>
      <c r="J812" s="5">
        <v>3000000</v>
      </c>
      <c r="K812" s="5">
        <v>3520000</v>
      </c>
      <c r="L812" s="5">
        <v>3820000</v>
      </c>
      <c r="M812" s="7">
        <v>1289.8</v>
      </c>
      <c r="N812" s="5">
        <v>35700000</v>
      </c>
      <c r="O812" s="5">
        <v>38700000</v>
      </c>
      <c r="P812" s="3">
        <v>0.97916666666666663</v>
      </c>
    </row>
    <row r="813" spans="1:16" x14ac:dyDescent="0.25">
      <c r="A813" t="s">
        <v>514</v>
      </c>
      <c r="B813" s="2">
        <v>43553</v>
      </c>
      <c r="C813" t="str">
        <f>TEXT(B813,"mm")</f>
        <v>03</v>
      </c>
      <c r="D813" t="s">
        <v>21</v>
      </c>
      <c r="E813" t="s">
        <v>1636</v>
      </c>
      <c r="F813" s="5">
        <v>35300000</v>
      </c>
      <c r="G813" s="5">
        <v>38300000</v>
      </c>
      <c r="H813" s="5">
        <f>M813*26000*1.20565</f>
        <v>40531541.700000003</v>
      </c>
      <c r="I813" s="5">
        <f>G813-H813</f>
        <v>-2231541.700000003</v>
      </c>
      <c r="J813" s="5">
        <v>3000000</v>
      </c>
      <c r="K813" s="5">
        <v>3530000</v>
      </c>
      <c r="L813" s="5">
        <v>3830000</v>
      </c>
      <c r="M813" s="7">
        <v>1293</v>
      </c>
      <c r="N813" s="5">
        <v>35800000</v>
      </c>
      <c r="O813" s="5">
        <v>38800000</v>
      </c>
      <c r="P813" s="3">
        <v>0.97916666666666663</v>
      </c>
    </row>
    <row r="814" spans="1:16" x14ac:dyDescent="0.25">
      <c r="A814" s="2">
        <v>43469</v>
      </c>
      <c r="B814" s="2">
        <v>43556</v>
      </c>
      <c r="C814" t="str">
        <f>TEXT(B814,"mm")</f>
        <v>04</v>
      </c>
      <c r="D814" t="s">
        <v>16</v>
      </c>
      <c r="E814" t="s">
        <v>1636</v>
      </c>
      <c r="F814" s="5">
        <v>35200000</v>
      </c>
      <c r="G814" s="5">
        <v>38200000</v>
      </c>
      <c r="H814" s="5">
        <f>M814*26000*1.20565</f>
        <v>40387345.960000008</v>
      </c>
      <c r="I814" s="5">
        <f>G814-H814</f>
        <v>-2187345.9600000083</v>
      </c>
      <c r="J814" s="5">
        <v>3000000</v>
      </c>
      <c r="K814" s="5">
        <v>3520000</v>
      </c>
      <c r="L814" s="5">
        <v>3820000</v>
      </c>
      <c r="M814" s="7">
        <v>1288.4000000000001</v>
      </c>
      <c r="N814" s="5">
        <v>35700000</v>
      </c>
      <c r="O814" s="5">
        <v>38700000</v>
      </c>
      <c r="P814" s="3">
        <v>0.97916666666666663</v>
      </c>
    </row>
    <row r="815" spans="1:16" x14ac:dyDescent="0.25">
      <c r="A815" s="2">
        <v>43500</v>
      </c>
      <c r="B815" s="2">
        <v>43557</v>
      </c>
      <c r="C815" t="str">
        <f>TEXT(B815,"mm")</f>
        <v>04</v>
      </c>
      <c r="D815" t="s">
        <v>18</v>
      </c>
      <c r="E815" t="s">
        <v>1636</v>
      </c>
      <c r="F815" s="5">
        <v>35200000</v>
      </c>
      <c r="G815" s="5">
        <v>38200000</v>
      </c>
      <c r="H815" s="5">
        <f>M815*26000*1.20565</f>
        <v>40437501</v>
      </c>
      <c r="I815" s="5">
        <f>G815-H815</f>
        <v>-2237501</v>
      </c>
      <c r="J815" s="5">
        <v>3000000</v>
      </c>
      <c r="K815" s="5">
        <v>3520000</v>
      </c>
      <c r="L815" s="5">
        <v>3820000</v>
      </c>
      <c r="M815" s="7">
        <v>1290</v>
      </c>
      <c r="N815" s="5">
        <v>35700000</v>
      </c>
      <c r="O815" s="5">
        <v>38700000</v>
      </c>
      <c r="P815" s="3">
        <v>0.97916666666666663</v>
      </c>
    </row>
    <row r="816" spans="1:16" x14ac:dyDescent="0.25">
      <c r="A816" s="2">
        <v>43528</v>
      </c>
      <c r="B816" s="2">
        <v>43558</v>
      </c>
      <c r="C816" t="str">
        <f>TEXT(B816,"mm")</f>
        <v>04</v>
      </c>
      <c r="D816" t="s">
        <v>19</v>
      </c>
      <c r="E816" t="s">
        <v>1636</v>
      </c>
      <c r="F816" s="5">
        <v>35200000</v>
      </c>
      <c r="G816" s="5">
        <v>38200000</v>
      </c>
      <c r="H816" s="5">
        <f>M816*26000*1.20565</f>
        <v>40434366.31000001</v>
      </c>
      <c r="I816" s="5">
        <f>G816-H816</f>
        <v>-2234366.3100000098</v>
      </c>
      <c r="J816" s="5">
        <v>3000000</v>
      </c>
      <c r="K816" s="5">
        <v>3520000</v>
      </c>
      <c r="L816" s="5">
        <v>3820000</v>
      </c>
      <c r="M816" s="7">
        <v>1289.9000000000001</v>
      </c>
      <c r="N816" s="5">
        <v>35700000</v>
      </c>
      <c r="O816" s="5">
        <v>38700000</v>
      </c>
      <c r="P816" s="3">
        <v>0.97916666666666663</v>
      </c>
    </row>
    <row r="817" spans="1:16" x14ac:dyDescent="0.25">
      <c r="A817" s="2">
        <v>43559</v>
      </c>
      <c r="B817" s="2">
        <v>43559</v>
      </c>
      <c r="C817" t="str">
        <f>TEXT(B817,"mm")</f>
        <v>04</v>
      </c>
      <c r="D817" t="s">
        <v>20</v>
      </c>
      <c r="E817" t="s">
        <v>1636</v>
      </c>
      <c r="F817" s="5">
        <v>35200000</v>
      </c>
      <c r="G817" s="5">
        <v>38200000</v>
      </c>
      <c r="H817" s="5">
        <f>M817*26000*1.20565</f>
        <v>40406154.100000001</v>
      </c>
      <c r="I817" s="5">
        <f>G817-H817</f>
        <v>-2206154.1000000015</v>
      </c>
      <c r="J817" s="5">
        <v>3000000</v>
      </c>
      <c r="K817" s="5">
        <v>3520000</v>
      </c>
      <c r="L817" s="5">
        <v>3820000</v>
      </c>
      <c r="M817" s="7">
        <v>1289</v>
      </c>
      <c r="N817" s="5">
        <v>35700000</v>
      </c>
      <c r="O817" s="5">
        <v>38700000</v>
      </c>
      <c r="P817" s="3">
        <v>0.97916666666666663</v>
      </c>
    </row>
    <row r="818" spans="1:16" x14ac:dyDescent="0.25">
      <c r="A818" s="2">
        <v>43589</v>
      </c>
      <c r="B818" s="2">
        <v>43560</v>
      </c>
      <c r="C818" t="str">
        <f>TEXT(B818,"mm")</f>
        <v>04</v>
      </c>
      <c r="D818" t="s">
        <v>21</v>
      </c>
      <c r="E818" t="s">
        <v>1636</v>
      </c>
      <c r="F818" s="5">
        <v>35300000</v>
      </c>
      <c r="G818" s="5">
        <v>38300000</v>
      </c>
      <c r="H818" s="5">
        <f>M818*26000*1.20565</f>
        <v>40450039.760000005</v>
      </c>
      <c r="I818" s="5">
        <f>G818-H818</f>
        <v>-2150039.7600000054</v>
      </c>
      <c r="J818" s="5">
        <v>3000000</v>
      </c>
      <c r="K818" s="5">
        <v>3530000</v>
      </c>
      <c r="L818" s="5">
        <v>3830000</v>
      </c>
      <c r="M818" s="7">
        <v>1290.4000000000001</v>
      </c>
      <c r="N818" s="5">
        <v>35800000</v>
      </c>
      <c r="O818" s="5">
        <v>38800000</v>
      </c>
      <c r="P818" s="3">
        <v>0.97916666666666663</v>
      </c>
    </row>
    <row r="819" spans="1:16" x14ac:dyDescent="0.25">
      <c r="A819" s="2">
        <v>43681</v>
      </c>
      <c r="B819" s="2">
        <v>43563</v>
      </c>
      <c r="C819" t="str">
        <f>TEXT(B819,"mm")</f>
        <v>04</v>
      </c>
      <c r="D819" t="s">
        <v>16</v>
      </c>
      <c r="E819" t="s">
        <v>1636</v>
      </c>
      <c r="F819" s="5">
        <v>35500000</v>
      </c>
      <c r="G819" s="5">
        <v>38500000</v>
      </c>
      <c r="H819" s="5">
        <f>M819*26000*1.20565</f>
        <v>40660063.990000002</v>
      </c>
      <c r="I819" s="5">
        <f>G819-H819</f>
        <v>-2160063.9900000021</v>
      </c>
      <c r="J819" s="5">
        <v>3000000</v>
      </c>
      <c r="K819" s="5">
        <v>3550000</v>
      </c>
      <c r="L819" s="5">
        <v>3850000</v>
      </c>
      <c r="M819" s="7">
        <v>1297.0999999999999</v>
      </c>
      <c r="N819" s="5">
        <v>36000000</v>
      </c>
      <c r="O819" s="5">
        <v>39000000</v>
      </c>
      <c r="P819" s="3">
        <v>0.97916666666666663</v>
      </c>
    </row>
    <row r="820" spans="1:16" x14ac:dyDescent="0.25">
      <c r="A820" s="2">
        <v>43712</v>
      </c>
      <c r="B820" s="2">
        <v>43564</v>
      </c>
      <c r="C820" t="str">
        <f>TEXT(B820,"mm")</f>
        <v>04</v>
      </c>
      <c r="D820" t="s">
        <v>18</v>
      </c>
      <c r="E820" t="s">
        <v>1636</v>
      </c>
      <c r="F820" s="5">
        <v>35600000</v>
      </c>
      <c r="G820" s="5">
        <v>38600000</v>
      </c>
      <c r="H820" s="5">
        <f>M820*26000*1.20565</f>
        <v>40860684.150000006</v>
      </c>
      <c r="I820" s="5">
        <f>G820-H820</f>
        <v>-2260684.150000006</v>
      </c>
      <c r="J820" s="5">
        <v>3000000</v>
      </c>
      <c r="K820" s="5">
        <v>3560000</v>
      </c>
      <c r="L820" s="5">
        <v>3860000</v>
      </c>
      <c r="M820" s="7">
        <v>1303.5</v>
      </c>
      <c r="N820" s="5">
        <v>36100000</v>
      </c>
      <c r="O820" s="5">
        <v>39100000</v>
      </c>
      <c r="P820" s="3">
        <v>0.97916666666666663</v>
      </c>
    </row>
    <row r="821" spans="1:16" x14ac:dyDescent="0.25">
      <c r="A821" s="2">
        <v>43742</v>
      </c>
      <c r="B821" s="2">
        <v>43565</v>
      </c>
      <c r="C821" t="str">
        <f>TEXT(B821,"mm")</f>
        <v>04</v>
      </c>
      <c r="D821" t="s">
        <v>19</v>
      </c>
      <c r="E821" t="s">
        <v>1636</v>
      </c>
      <c r="F821" s="5">
        <v>35800000</v>
      </c>
      <c r="G821" s="5">
        <v>38800000</v>
      </c>
      <c r="H821" s="5">
        <f>M821*26000*1.20565</f>
        <v>41036226.790000007</v>
      </c>
      <c r="I821" s="5">
        <f>G821-H821</f>
        <v>-2236226.7900000066</v>
      </c>
      <c r="J821" s="5">
        <v>3000000</v>
      </c>
      <c r="K821" s="5">
        <v>3580000</v>
      </c>
      <c r="L821" s="5">
        <v>3880000</v>
      </c>
      <c r="M821" s="7">
        <v>1309.0999999999999</v>
      </c>
      <c r="N821" s="5">
        <v>36300000</v>
      </c>
      <c r="O821" s="5">
        <v>39300000</v>
      </c>
      <c r="P821" s="3">
        <v>0.97916666666666663</v>
      </c>
    </row>
    <row r="822" spans="1:16" x14ac:dyDescent="0.25">
      <c r="A822" s="2">
        <v>43773</v>
      </c>
      <c r="B822" s="2">
        <v>43566</v>
      </c>
      <c r="C822" t="str">
        <f>TEXT(B822,"mm")</f>
        <v>04</v>
      </c>
      <c r="D822" t="s">
        <v>20</v>
      </c>
      <c r="E822" t="s">
        <v>1636</v>
      </c>
      <c r="F822" s="5">
        <v>35200000</v>
      </c>
      <c r="G822" s="5">
        <v>38200000</v>
      </c>
      <c r="H822" s="5">
        <f>M822*26000*1.20565</f>
        <v>40393615.339999996</v>
      </c>
      <c r="I822" s="5">
        <f>G822-H822</f>
        <v>-2193615.3399999961</v>
      </c>
      <c r="J822" s="5">
        <v>3000000</v>
      </c>
      <c r="K822" s="5">
        <v>3520000</v>
      </c>
      <c r="L822" s="5">
        <v>3820000</v>
      </c>
      <c r="M822" s="7">
        <v>1288.5999999999999</v>
      </c>
      <c r="N822" s="5">
        <v>35700000</v>
      </c>
      <c r="O822" s="5">
        <v>38700000</v>
      </c>
      <c r="P822" s="3">
        <v>0.97916666666666663</v>
      </c>
    </row>
    <row r="823" spans="1:16" x14ac:dyDescent="0.25">
      <c r="A823" s="2">
        <v>43803</v>
      </c>
      <c r="B823" s="2">
        <v>43567</v>
      </c>
      <c r="C823" t="str">
        <f>TEXT(B823,"mm")</f>
        <v>04</v>
      </c>
      <c r="D823" t="s">
        <v>21</v>
      </c>
      <c r="E823" t="s">
        <v>1636</v>
      </c>
      <c r="F823" s="5">
        <v>35300000</v>
      </c>
      <c r="G823" s="5">
        <v>38300000</v>
      </c>
      <c r="H823" s="5">
        <f>M823*26000*1.20565</f>
        <v>40456309.140000001</v>
      </c>
      <c r="I823" s="5">
        <f>G823-H823</f>
        <v>-2156309.1400000006</v>
      </c>
      <c r="J823" s="5">
        <v>3000000</v>
      </c>
      <c r="K823" s="5">
        <v>3530000</v>
      </c>
      <c r="L823" s="5">
        <v>3830000</v>
      </c>
      <c r="M823" s="7">
        <v>1290.5999999999999</v>
      </c>
      <c r="N823" s="5">
        <v>35800000</v>
      </c>
      <c r="O823" s="5">
        <v>38800000</v>
      </c>
      <c r="P823" s="3">
        <v>0.97916666666666663</v>
      </c>
    </row>
    <row r="824" spans="1:16" x14ac:dyDescent="0.25">
      <c r="A824" t="s">
        <v>515</v>
      </c>
      <c r="B824" s="2">
        <v>43570</v>
      </c>
      <c r="C824" t="str">
        <f>TEXT(B824,"mm")</f>
        <v>04</v>
      </c>
      <c r="D824" t="s">
        <v>16</v>
      </c>
      <c r="E824" t="s">
        <v>1636</v>
      </c>
      <c r="F824" s="5">
        <v>35200000</v>
      </c>
      <c r="G824" s="5">
        <v>38200000</v>
      </c>
      <c r="H824" s="5">
        <f>M824*26000*1.20565</f>
        <v>40337190.920000002</v>
      </c>
      <c r="I824" s="5">
        <f>G824-H824</f>
        <v>-2137190.9200000018</v>
      </c>
      <c r="J824" s="5">
        <v>3000000</v>
      </c>
      <c r="K824" s="5">
        <v>3520000</v>
      </c>
      <c r="L824" s="5">
        <v>3820000</v>
      </c>
      <c r="M824" s="7">
        <v>1286.8</v>
      </c>
      <c r="N824" s="5">
        <v>35700000</v>
      </c>
      <c r="O824" s="5">
        <v>38700000</v>
      </c>
      <c r="P824" s="3">
        <v>0.97916666666666663</v>
      </c>
    </row>
    <row r="825" spans="1:16" x14ac:dyDescent="0.25">
      <c r="A825" t="s">
        <v>516</v>
      </c>
      <c r="B825" s="2">
        <v>43571</v>
      </c>
      <c r="C825" t="str">
        <f>TEXT(B825,"mm")</f>
        <v>04</v>
      </c>
      <c r="D825" t="s">
        <v>18</v>
      </c>
      <c r="E825" t="s">
        <v>1636</v>
      </c>
      <c r="F825" s="5">
        <v>34700000</v>
      </c>
      <c r="G825" s="5">
        <v>37700000</v>
      </c>
      <c r="H825" s="5">
        <f>M825*26000*1.20565</f>
        <v>39892064.939999998</v>
      </c>
      <c r="I825" s="5">
        <f>G825-H825</f>
        <v>-2192064.9399999976</v>
      </c>
      <c r="J825" s="5">
        <v>3000000</v>
      </c>
      <c r="K825" s="5">
        <v>3470000</v>
      </c>
      <c r="L825" s="5">
        <v>3770000</v>
      </c>
      <c r="M825" s="7">
        <v>1272.5999999999999</v>
      </c>
      <c r="N825" s="5">
        <v>35200000</v>
      </c>
      <c r="O825" s="5">
        <v>38200000</v>
      </c>
      <c r="P825" s="3">
        <v>0.97916666666666663</v>
      </c>
    </row>
    <row r="826" spans="1:16" x14ac:dyDescent="0.25">
      <c r="A826" t="s">
        <v>517</v>
      </c>
      <c r="B826" s="2">
        <v>43572</v>
      </c>
      <c r="C826" t="str">
        <f>TEXT(B826,"mm")</f>
        <v>04</v>
      </c>
      <c r="D826" t="s">
        <v>19</v>
      </c>
      <c r="E826" t="s">
        <v>1636</v>
      </c>
      <c r="F826" s="5">
        <v>34700000</v>
      </c>
      <c r="G826" s="5">
        <v>37700000</v>
      </c>
      <c r="H826" s="5">
        <f>M826*26000*1.20565</f>
        <v>39879526.180000007</v>
      </c>
      <c r="I826" s="5">
        <f>G826-H826</f>
        <v>-2179526.1800000072</v>
      </c>
      <c r="J826" s="5">
        <v>3000000</v>
      </c>
      <c r="K826" s="5">
        <v>3470000</v>
      </c>
      <c r="L826" s="5">
        <v>3770000</v>
      </c>
      <c r="M826" s="7">
        <v>1272.2</v>
      </c>
      <c r="N826" s="5">
        <v>35200000</v>
      </c>
      <c r="O826" s="5">
        <v>38200000</v>
      </c>
      <c r="P826" s="3">
        <v>0.97916666666666663</v>
      </c>
    </row>
    <row r="827" spans="1:16" x14ac:dyDescent="0.25">
      <c r="A827" t="s">
        <v>518</v>
      </c>
      <c r="B827" s="2">
        <v>43573</v>
      </c>
      <c r="C827" t="str">
        <f>TEXT(B827,"mm")</f>
        <v>04</v>
      </c>
      <c r="D827" t="s">
        <v>20</v>
      </c>
      <c r="E827" t="s">
        <v>1636</v>
      </c>
      <c r="F827" s="5">
        <v>34700000</v>
      </c>
      <c r="G827" s="5">
        <v>37700000</v>
      </c>
      <c r="H827" s="5">
        <f>M827*26000*1.20565</f>
        <v>39870122.110000007</v>
      </c>
      <c r="I827" s="5">
        <f>G827-H827</f>
        <v>-2170122.1100000069</v>
      </c>
      <c r="J827" s="5">
        <v>3000000</v>
      </c>
      <c r="K827" s="5">
        <v>3470000</v>
      </c>
      <c r="L827" s="5">
        <v>3770000</v>
      </c>
      <c r="M827" s="7">
        <v>1271.9000000000001</v>
      </c>
      <c r="N827" s="5">
        <v>35200000</v>
      </c>
      <c r="O827" s="5">
        <v>38200000</v>
      </c>
      <c r="P827" s="3">
        <v>0.97916666666666663</v>
      </c>
    </row>
    <row r="828" spans="1:16" x14ac:dyDescent="0.25">
      <c r="A828" t="s">
        <v>519</v>
      </c>
      <c r="B828" s="2">
        <v>43577</v>
      </c>
      <c r="C828" t="str">
        <f>TEXT(B828,"mm")</f>
        <v>04</v>
      </c>
      <c r="D828" t="s">
        <v>16</v>
      </c>
      <c r="E828" t="s">
        <v>1636</v>
      </c>
      <c r="F828" s="5">
        <v>34800000</v>
      </c>
      <c r="G828" s="5">
        <v>37800000</v>
      </c>
      <c r="H828" s="5">
        <f>M828*26000*1.20565</f>
        <v>39920277.150000006</v>
      </c>
      <c r="I828" s="5">
        <f>G828-H828</f>
        <v>-2120277.150000006</v>
      </c>
      <c r="J828" s="5">
        <v>3000000</v>
      </c>
      <c r="K828" s="5">
        <v>3480000</v>
      </c>
      <c r="L828" s="5">
        <v>3780000</v>
      </c>
      <c r="M828" s="7">
        <v>1273.5</v>
      </c>
      <c r="N828" s="5">
        <v>35300000</v>
      </c>
      <c r="O828" s="5">
        <v>38300000</v>
      </c>
      <c r="P828" s="3">
        <v>0.97916666666666663</v>
      </c>
    </row>
    <row r="829" spans="1:16" x14ac:dyDescent="0.25">
      <c r="A829" t="s">
        <v>520</v>
      </c>
      <c r="B829" s="2">
        <v>43578</v>
      </c>
      <c r="C829" t="str">
        <f>TEXT(B829,"mm")</f>
        <v>04</v>
      </c>
      <c r="D829" t="s">
        <v>18</v>
      </c>
      <c r="E829" t="s">
        <v>1636</v>
      </c>
      <c r="F829" s="5">
        <v>34600000</v>
      </c>
      <c r="G829" s="5">
        <v>37600000</v>
      </c>
      <c r="H829" s="5">
        <f>M829*26000*1.20565</f>
        <v>39788620.170000002</v>
      </c>
      <c r="I829" s="5">
        <f>G829-H829</f>
        <v>-2188620.1700000018</v>
      </c>
      <c r="J829" s="5">
        <v>3000000</v>
      </c>
      <c r="K829" s="5">
        <v>3460000</v>
      </c>
      <c r="L829" s="5">
        <v>3760000</v>
      </c>
      <c r="M829" s="7">
        <v>1269.3</v>
      </c>
      <c r="N829" s="5">
        <v>35100000</v>
      </c>
      <c r="O829" s="5">
        <v>38100000</v>
      </c>
      <c r="P829" s="3">
        <v>0.97916666666666663</v>
      </c>
    </row>
    <row r="830" spans="1:16" x14ac:dyDescent="0.25">
      <c r="A830" t="s">
        <v>521</v>
      </c>
      <c r="B830" s="2">
        <v>43579</v>
      </c>
      <c r="C830" t="str">
        <f>TEXT(B830,"mm")</f>
        <v>04</v>
      </c>
      <c r="D830" t="s">
        <v>19</v>
      </c>
      <c r="E830" t="s">
        <v>1636</v>
      </c>
      <c r="F830" s="5">
        <v>34800000</v>
      </c>
      <c r="G830" s="5">
        <v>37800000</v>
      </c>
      <c r="H830" s="5">
        <f>M830*26000*1.20565</f>
        <v>39982970.950000003</v>
      </c>
      <c r="I830" s="5">
        <f>G830-H830</f>
        <v>-2182970.950000003</v>
      </c>
      <c r="J830" s="5">
        <v>3000000</v>
      </c>
      <c r="K830" s="5">
        <v>3480000</v>
      </c>
      <c r="L830" s="5">
        <v>3780000</v>
      </c>
      <c r="M830" s="7">
        <v>1275.5</v>
      </c>
      <c r="N830" s="5">
        <v>35300000</v>
      </c>
      <c r="O830" s="5">
        <v>38300000</v>
      </c>
      <c r="P830" s="3">
        <v>0.97916666666666663</v>
      </c>
    </row>
    <row r="831" spans="1:16" x14ac:dyDescent="0.25">
      <c r="A831" t="s">
        <v>522</v>
      </c>
      <c r="B831" s="2">
        <v>43580</v>
      </c>
      <c r="C831" t="str">
        <f>TEXT(B831,"mm")</f>
        <v>04</v>
      </c>
      <c r="D831" t="s">
        <v>20</v>
      </c>
      <c r="E831" t="s">
        <v>1636</v>
      </c>
      <c r="F831" s="5">
        <v>34800000</v>
      </c>
      <c r="G831" s="5">
        <v>37800000</v>
      </c>
      <c r="H831" s="5">
        <f>M831*26000*1.20565</f>
        <v>39992375.020000003</v>
      </c>
      <c r="I831" s="5">
        <f>G831-H831</f>
        <v>-2192375.0200000033</v>
      </c>
      <c r="J831" s="5">
        <v>3000000</v>
      </c>
      <c r="K831" s="5">
        <v>3480000</v>
      </c>
      <c r="L831" s="5">
        <v>3780000</v>
      </c>
      <c r="M831" s="7">
        <v>1275.8</v>
      </c>
      <c r="N831" s="5">
        <v>35300000</v>
      </c>
      <c r="O831" s="5">
        <v>38300000</v>
      </c>
      <c r="P831" s="3">
        <v>0.97916666666666663</v>
      </c>
    </row>
    <row r="832" spans="1:16" x14ac:dyDescent="0.25">
      <c r="A832" t="s">
        <v>523</v>
      </c>
      <c r="B832" s="2">
        <v>43581</v>
      </c>
      <c r="C832" t="str">
        <f>TEXT(B832,"mm")</f>
        <v>04</v>
      </c>
      <c r="D832" t="s">
        <v>21</v>
      </c>
      <c r="E832" t="s">
        <v>1636</v>
      </c>
      <c r="F832" s="5">
        <v>35100000</v>
      </c>
      <c r="G832" s="5">
        <v>38100000</v>
      </c>
      <c r="H832" s="5">
        <f>M832*26000*1.20565</f>
        <v>40277631.81000001</v>
      </c>
      <c r="I832" s="5">
        <f>G832-H832</f>
        <v>-2177631.8100000098</v>
      </c>
      <c r="J832" s="5">
        <v>3000000</v>
      </c>
      <c r="K832" s="5">
        <v>3510000</v>
      </c>
      <c r="L832" s="5">
        <v>3810000</v>
      </c>
      <c r="M832" s="7">
        <v>1284.9000000000001</v>
      </c>
      <c r="N832" s="5">
        <v>35600000</v>
      </c>
      <c r="O832" s="5">
        <v>38600000</v>
      </c>
      <c r="P832" s="3">
        <v>0.97916666666666663</v>
      </c>
    </row>
    <row r="833" spans="1:16" x14ac:dyDescent="0.25">
      <c r="A833" t="s">
        <v>524</v>
      </c>
      <c r="B833" s="2">
        <v>43584</v>
      </c>
      <c r="C833" t="str">
        <f>TEXT(B833,"mm")</f>
        <v>04</v>
      </c>
      <c r="D833" t="s">
        <v>16</v>
      </c>
      <c r="E833" t="s">
        <v>1636</v>
      </c>
      <c r="F833" s="5">
        <v>34900000</v>
      </c>
      <c r="G833" s="5">
        <v>37900000</v>
      </c>
      <c r="H833" s="5">
        <f>M833*26000*1.20565</f>
        <v>40080146.339999996</v>
      </c>
      <c r="I833" s="5">
        <f>G833-H833</f>
        <v>-2180146.3399999961</v>
      </c>
      <c r="J833" s="5">
        <v>3000000</v>
      </c>
      <c r="K833" s="5">
        <v>3490000</v>
      </c>
      <c r="L833" s="5">
        <v>3790000</v>
      </c>
      <c r="M833" s="7">
        <v>1278.5999999999999</v>
      </c>
      <c r="N833" s="5">
        <v>35400000</v>
      </c>
      <c r="O833" s="5">
        <v>38400000</v>
      </c>
      <c r="P833" s="3">
        <v>0.97916666666666663</v>
      </c>
    </row>
    <row r="834" spans="1:16" x14ac:dyDescent="0.25">
      <c r="A834" t="s">
        <v>525</v>
      </c>
      <c r="B834" s="2">
        <v>43585</v>
      </c>
      <c r="C834" t="str">
        <f>TEXT(B834,"mm")</f>
        <v>04</v>
      </c>
      <c r="D834" t="s">
        <v>18</v>
      </c>
      <c r="E834" t="s">
        <v>1636</v>
      </c>
      <c r="F834" s="5">
        <v>35000000</v>
      </c>
      <c r="G834" s="5">
        <v>38000000</v>
      </c>
      <c r="H834" s="5">
        <f>M834*26000*1.20565</f>
        <v>40211803.32</v>
      </c>
      <c r="I834" s="5">
        <f>G834-H834</f>
        <v>-2211803.3200000003</v>
      </c>
      <c r="J834" s="5">
        <v>3000000</v>
      </c>
      <c r="K834" s="5">
        <v>3500000</v>
      </c>
      <c r="L834" s="5">
        <v>3800000</v>
      </c>
      <c r="M834" s="7">
        <v>1282.8</v>
      </c>
      <c r="N834" s="5">
        <v>35500000</v>
      </c>
      <c r="O834" s="5">
        <v>38500000</v>
      </c>
      <c r="P834" s="3">
        <v>0.97916666666666663</v>
      </c>
    </row>
    <row r="835" spans="1:16" x14ac:dyDescent="0.25">
      <c r="A835" s="2">
        <v>43470</v>
      </c>
      <c r="B835" s="2">
        <v>43586</v>
      </c>
      <c r="C835" t="str">
        <f>TEXT(B835,"mm")</f>
        <v>05</v>
      </c>
      <c r="D835" t="s">
        <v>19</v>
      </c>
      <c r="E835" t="s">
        <v>1636</v>
      </c>
      <c r="F835" s="5">
        <v>35000000</v>
      </c>
      <c r="G835" s="5">
        <v>38000000</v>
      </c>
      <c r="H835" s="5">
        <f>M835*26000*1.20565</f>
        <v>40167917.660000011</v>
      </c>
      <c r="I835" s="5">
        <f>G835-H835</f>
        <v>-2167917.6600000113</v>
      </c>
      <c r="J835" s="5">
        <v>3000000</v>
      </c>
      <c r="K835" s="5">
        <v>3500000</v>
      </c>
      <c r="L835" s="5">
        <v>3800000</v>
      </c>
      <c r="M835" s="7">
        <v>1281.4000000000001</v>
      </c>
      <c r="N835" s="5">
        <v>35500000</v>
      </c>
      <c r="O835" s="5">
        <v>38500000</v>
      </c>
      <c r="P835" s="3">
        <v>0.97916666666666663</v>
      </c>
    </row>
    <row r="836" spans="1:16" x14ac:dyDescent="0.25">
      <c r="A836" s="2">
        <v>43501</v>
      </c>
      <c r="B836" s="2">
        <v>43587</v>
      </c>
      <c r="C836" t="str">
        <f>TEXT(B836,"mm")</f>
        <v>05</v>
      </c>
      <c r="D836" t="s">
        <v>20</v>
      </c>
      <c r="E836" t="s">
        <v>1636</v>
      </c>
      <c r="F836" s="5">
        <v>34600000</v>
      </c>
      <c r="G836" s="5">
        <v>37600000</v>
      </c>
      <c r="H836" s="5">
        <f>M836*26000*1.20565</f>
        <v>39801158.930000007</v>
      </c>
      <c r="I836" s="5">
        <f>G836-H836</f>
        <v>-2201158.9300000072</v>
      </c>
      <c r="J836" s="5">
        <v>3000000</v>
      </c>
      <c r="K836" s="5">
        <v>3460000</v>
      </c>
      <c r="L836" s="5">
        <v>3760000</v>
      </c>
      <c r="M836" s="7">
        <v>1269.7</v>
      </c>
      <c r="N836" s="5">
        <v>35100000</v>
      </c>
      <c r="O836" s="5">
        <v>38100000</v>
      </c>
      <c r="P836" s="3">
        <v>0.97916666666666663</v>
      </c>
    </row>
    <row r="837" spans="1:16" x14ac:dyDescent="0.25">
      <c r="A837" s="2">
        <v>43529</v>
      </c>
      <c r="B837" s="2">
        <v>43588</v>
      </c>
      <c r="C837" t="str">
        <f>TEXT(B837,"mm")</f>
        <v>05</v>
      </c>
      <c r="D837" t="s">
        <v>21</v>
      </c>
      <c r="E837" t="s">
        <v>1636</v>
      </c>
      <c r="F837" s="5">
        <v>34900000</v>
      </c>
      <c r="G837" s="5">
        <v>37900000</v>
      </c>
      <c r="H837" s="5">
        <f>M837*26000*1.20565</f>
        <v>40098954.480000004</v>
      </c>
      <c r="I837" s="5">
        <f>G837-H837</f>
        <v>-2198954.4800000042</v>
      </c>
      <c r="J837" s="5">
        <v>3000000</v>
      </c>
      <c r="K837" s="5">
        <v>3490000</v>
      </c>
      <c r="L837" s="5">
        <v>3790000</v>
      </c>
      <c r="M837" s="7">
        <v>1279.2</v>
      </c>
      <c r="N837" s="5">
        <v>35400000</v>
      </c>
      <c r="O837" s="5">
        <v>38400000</v>
      </c>
      <c r="P837" s="3">
        <v>0.97916666666666663</v>
      </c>
    </row>
    <row r="838" spans="1:16" x14ac:dyDescent="0.25">
      <c r="A838" s="2">
        <v>43621</v>
      </c>
      <c r="B838" s="2">
        <v>43591</v>
      </c>
      <c r="C838" t="str">
        <f>TEXT(B838,"mm")</f>
        <v>05</v>
      </c>
      <c r="D838" t="s">
        <v>16</v>
      </c>
      <c r="E838" t="s">
        <v>1636</v>
      </c>
      <c r="F838" s="5">
        <v>35000000</v>
      </c>
      <c r="G838" s="5">
        <v>38000000</v>
      </c>
      <c r="H838" s="5">
        <f>M838*26000*1.20565</f>
        <v>40177321.730000004</v>
      </c>
      <c r="I838" s="5">
        <f>G838-H838</f>
        <v>-2177321.7300000042</v>
      </c>
      <c r="J838" s="5">
        <v>3000000</v>
      </c>
      <c r="K838" s="5">
        <v>3500000</v>
      </c>
      <c r="L838" s="5">
        <v>3800000</v>
      </c>
      <c r="M838" s="7">
        <v>1281.7</v>
      </c>
      <c r="N838" s="5">
        <v>35500000</v>
      </c>
      <c r="O838" s="5">
        <v>38500000</v>
      </c>
      <c r="P838" s="3">
        <v>0.97916666666666663</v>
      </c>
    </row>
    <row r="839" spans="1:16" x14ac:dyDescent="0.25">
      <c r="A839" s="2">
        <v>43651</v>
      </c>
      <c r="B839" s="2">
        <v>43592</v>
      </c>
      <c r="C839" t="str">
        <f>TEXT(B839,"mm")</f>
        <v>05</v>
      </c>
      <c r="D839" t="s">
        <v>18</v>
      </c>
      <c r="E839" t="s">
        <v>1636</v>
      </c>
      <c r="F839" s="5">
        <v>35100000</v>
      </c>
      <c r="G839" s="5">
        <v>38100000</v>
      </c>
      <c r="H839" s="5">
        <f>M839*26000*1.20565</f>
        <v>40233746.150000006</v>
      </c>
      <c r="I839" s="5">
        <f>G839-H839</f>
        <v>-2133746.150000006</v>
      </c>
      <c r="J839" s="5">
        <v>3000000</v>
      </c>
      <c r="K839" s="5">
        <v>3510000</v>
      </c>
      <c r="L839" s="5">
        <v>3810000</v>
      </c>
      <c r="M839" s="7">
        <v>1283.5</v>
      </c>
      <c r="N839" s="5">
        <v>35600000</v>
      </c>
      <c r="O839" s="5">
        <v>38600000</v>
      </c>
      <c r="P839" s="3">
        <v>0.97916666666666663</v>
      </c>
    </row>
    <row r="840" spans="1:16" x14ac:dyDescent="0.25">
      <c r="A840" s="2">
        <v>43682</v>
      </c>
      <c r="B840" s="2">
        <v>43593</v>
      </c>
      <c r="C840" t="str">
        <f>TEXT(B840,"mm")</f>
        <v>05</v>
      </c>
      <c r="D840" t="s">
        <v>19</v>
      </c>
      <c r="E840" t="s">
        <v>1636</v>
      </c>
      <c r="F840" s="5">
        <v>34900000</v>
      </c>
      <c r="G840" s="5">
        <v>37900000</v>
      </c>
      <c r="H840" s="5">
        <f>M840*26000*1.20565</f>
        <v>40105223.860000007</v>
      </c>
      <c r="I840" s="5">
        <f>G840-H840</f>
        <v>-2205223.8600000069</v>
      </c>
      <c r="J840" s="5">
        <v>3000000</v>
      </c>
      <c r="K840" s="5">
        <v>3490000</v>
      </c>
      <c r="L840" s="5">
        <v>3790000</v>
      </c>
      <c r="M840" s="7">
        <v>1279.4000000000001</v>
      </c>
      <c r="N840" s="5">
        <v>35400000</v>
      </c>
      <c r="O840" s="5">
        <v>38400000</v>
      </c>
      <c r="P840" s="3">
        <v>0.97916666666666663</v>
      </c>
    </row>
    <row r="841" spans="1:16" x14ac:dyDescent="0.25">
      <c r="A841" s="2">
        <v>43713</v>
      </c>
      <c r="B841" s="2">
        <v>43594</v>
      </c>
      <c r="C841" t="str">
        <f>TEXT(B841,"mm")</f>
        <v>05</v>
      </c>
      <c r="D841" t="s">
        <v>20</v>
      </c>
      <c r="E841" t="s">
        <v>1636</v>
      </c>
      <c r="F841" s="5">
        <v>35100000</v>
      </c>
      <c r="G841" s="5">
        <v>38100000</v>
      </c>
      <c r="H841" s="5">
        <f>M841*26000*1.20565</f>
        <v>40233746.150000006</v>
      </c>
      <c r="I841" s="5">
        <f>G841-H841</f>
        <v>-2133746.150000006</v>
      </c>
      <c r="J841" s="5">
        <v>3000000</v>
      </c>
      <c r="K841" s="5">
        <v>3510000</v>
      </c>
      <c r="L841" s="5">
        <v>3810000</v>
      </c>
      <c r="M841" s="7">
        <v>1283.5</v>
      </c>
      <c r="N841" s="5">
        <v>35600000</v>
      </c>
      <c r="O841" s="5">
        <v>38600000</v>
      </c>
      <c r="P841" s="3">
        <v>0.97916666666666663</v>
      </c>
    </row>
    <row r="842" spans="1:16" x14ac:dyDescent="0.25">
      <c r="A842" s="2">
        <v>43743</v>
      </c>
      <c r="B842" s="2">
        <v>43595</v>
      </c>
      <c r="C842" t="str">
        <f>TEXT(B842,"mm")</f>
        <v>05</v>
      </c>
      <c r="D842" t="s">
        <v>21</v>
      </c>
      <c r="E842" t="s">
        <v>1636</v>
      </c>
      <c r="F842" s="5">
        <v>35100000</v>
      </c>
      <c r="G842" s="5">
        <v>38100000</v>
      </c>
      <c r="H842" s="5">
        <f>M842*26000*1.20565</f>
        <v>40302709.330000006</v>
      </c>
      <c r="I842" s="5">
        <f>G842-H842</f>
        <v>-2202709.3300000057</v>
      </c>
      <c r="J842" s="5">
        <v>3000000</v>
      </c>
      <c r="K842" s="5">
        <v>3510000</v>
      </c>
      <c r="L842" s="5">
        <v>3810000</v>
      </c>
      <c r="M842" s="7">
        <v>1285.7</v>
      </c>
      <c r="N842" s="5">
        <v>35600000</v>
      </c>
      <c r="O842" s="5">
        <v>38600000</v>
      </c>
      <c r="P842" s="3">
        <v>0.97916666666666663</v>
      </c>
    </row>
    <row r="843" spans="1:16" x14ac:dyDescent="0.25">
      <c r="A843" t="s">
        <v>526</v>
      </c>
      <c r="B843" s="2">
        <v>43598</v>
      </c>
      <c r="C843" t="str">
        <f>TEXT(B843,"mm")</f>
        <v>05</v>
      </c>
      <c r="D843" t="s">
        <v>16</v>
      </c>
      <c r="E843" t="s">
        <v>1636</v>
      </c>
      <c r="F843" s="5">
        <v>35500000</v>
      </c>
      <c r="G843" s="5">
        <v>38500000</v>
      </c>
      <c r="H843" s="5">
        <f>M843*26000*1.20565</f>
        <v>40754104.690000005</v>
      </c>
      <c r="I843" s="5">
        <f>G843-H843</f>
        <v>-2254104.6900000051</v>
      </c>
      <c r="J843" s="5">
        <v>3000000</v>
      </c>
      <c r="K843" s="5">
        <v>3550000</v>
      </c>
      <c r="L843" s="5">
        <v>3850000</v>
      </c>
      <c r="M843" s="7">
        <v>1300.0999999999999</v>
      </c>
      <c r="N843" s="5">
        <v>36000000</v>
      </c>
      <c r="O843" s="5">
        <v>39000000</v>
      </c>
      <c r="P843" s="3">
        <v>0.97916666666666663</v>
      </c>
    </row>
    <row r="844" spans="1:16" x14ac:dyDescent="0.25">
      <c r="A844" t="s">
        <v>527</v>
      </c>
      <c r="B844" s="2">
        <v>43599</v>
      </c>
      <c r="C844" t="str">
        <f>TEXT(B844,"mm")</f>
        <v>05</v>
      </c>
      <c r="D844" t="s">
        <v>18</v>
      </c>
      <c r="E844" t="s">
        <v>1636</v>
      </c>
      <c r="F844" s="5">
        <v>35400000</v>
      </c>
      <c r="G844" s="5">
        <v>38400000</v>
      </c>
      <c r="H844" s="5">
        <f>M844*26000*1.20565</f>
        <v>40584831.430000007</v>
      </c>
      <c r="I844" s="5">
        <f>G844-H844</f>
        <v>-2184831.4300000072</v>
      </c>
      <c r="J844" s="5">
        <v>3000000</v>
      </c>
      <c r="K844" s="5">
        <v>3540000</v>
      </c>
      <c r="L844" s="5">
        <v>3840000</v>
      </c>
      <c r="M844" s="7">
        <v>1294.7</v>
      </c>
      <c r="N844" s="5">
        <v>35900000</v>
      </c>
      <c r="O844" s="5">
        <v>38900000</v>
      </c>
      <c r="P844" s="3">
        <v>0.97916666666666663</v>
      </c>
    </row>
    <row r="845" spans="1:16" x14ac:dyDescent="0.25">
      <c r="A845" t="s">
        <v>528</v>
      </c>
      <c r="B845" s="2">
        <v>43600</v>
      </c>
      <c r="C845" t="str">
        <f>TEXT(B845,"mm")</f>
        <v>05</v>
      </c>
      <c r="D845" t="s">
        <v>19</v>
      </c>
      <c r="E845" t="s">
        <v>1636</v>
      </c>
      <c r="F845" s="5">
        <v>35400000</v>
      </c>
      <c r="G845" s="5">
        <v>38400000</v>
      </c>
      <c r="H845" s="5">
        <f>M845*26000*1.20565</f>
        <v>40634986.470000006</v>
      </c>
      <c r="I845" s="5">
        <f>G845-H845</f>
        <v>-2234986.4700000063</v>
      </c>
      <c r="J845" s="5">
        <v>3000000</v>
      </c>
      <c r="K845" s="5">
        <v>3540000</v>
      </c>
      <c r="L845" s="5">
        <v>3840000</v>
      </c>
      <c r="M845" s="7">
        <v>1296.3</v>
      </c>
      <c r="N845" s="5">
        <v>35900000</v>
      </c>
      <c r="O845" s="5">
        <v>38900000</v>
      </c>
      <c r="P845" s="3">
        <v>0.97916666666666663</v>
      </c>
    </row>
    <row r="846" spans="1:16" x14ac:dyDescent="0.25">
      <c r="A846" t="s">
        <v>529</v>
      </c>
      <c r="B846" s="2">
        <v>43601</v>
      </c>
      <c r="C846" t="str">
        <f>TEXT(B846,"mm")</f>
        <v>05</v>
      </c>
      <c r="D846" t="s">
        <v>20</v>
      </c>
      <c r="E846" t="s">
        <v>1636</v>
      </c>
      <c r="F846" s="5">
        <v>35100000</v>
      </c>
      <c r="G846" s="5">
        <v>38100000</v>
      </c>
      <c r="H846" s="5">
        <f>M846*26000*1.20565</f>
        <v>40280766.5</v>
      </c>
      <c r="I846" s="5">
        <f>G846-H846</f>
        <v>-2180766.5</v>
      </c>
      <c r="J846" s="5">
        <v>3000000</v>
      </c>
      <c r="K846" s="5">
        <v>3510000</v>
      </c>
      <c r="L846" s="5">
        <v>3810000</v>
      </c>
      <c r="M846" s="7">
        <v>1285</v>
      </c>
      <c r="N846" s="5">
        <v>35600000</v>
      </c>
      <c r="O846" s="5">
        <v>38600000</v>
      </c>
      <c r="P846" s="3">
        <v>0.97916666666666663</v>
      </c>
    </row>
    <row r="847" spans="1:16" x14ac:dyDescent="0.25">
      <c r="A847" t="s">
        <v>530</v>
      </c>
      <c r="B847" s="2">
        <v>43602</v>
      </c>
      <c r="C847" t="str">
        <f>TEXT(B847,"mm")</f>
        <v>05</v>
      </c>
      <c r="D847" t="s">
        <v>21</v>
      </c>
      <c r="E847" t="s">
        <v>1636</v>
      </c>
      <c r="F847" s="5">
        <v>34800000</v>
      </c>
      <c r="G847" s="5">
        <v>37800000</v>
      </c>
      <c r="H847" s="5">
        <f>M847*26000*1.20565</f>
        <v>39951624.050000004</v>
      </c>
      <c r="I847" s="5">
        <f>G847-H847</f>
        <v>-2151624.0500000045</v>
      </c>
      <c r="J847" s="5">
        <v>3000000</v>
      </c>
      <c r="K847" s="5">
        <v>3480000</v>
      </c>
      <c r="L847" s="5">
        <v>3780000</v>
      </c>
      <c r="M847" s="7">
        <v>1274.5</v>
      </c>
      <c r="N847" s="5">
        <v>35300000</v>
      </c>
      <c r="O847" s="5">
        <v>38300000</v>
      </c>
      <c r="P847" s="3">
        <v>0.97916666666666663</v>
      </c>
    </row>
    <row r="848" spans="1:16" x14ac:dyDescent="0.25">
      <c r="A848" t="s">
        <v>531</v>
      </c>
      <c r="B848" s="2">
        <v>43605</v>
      </c>
      <c r="C848" t="str">
        <f>TEXT(B848,"mm")</f>
        <v>05</v>
      </c>
      <c r="D848" t="s">
        <v>16</v>
      </c>
      <c r="E848" t="s">
        <v>1636</v>
      </c>
      <c r="F848" s="5">
        <v>34800000</v>
      </c>
      <c r="G848" s="5">
        <v>37800000</v>
      </c>
      <c r="H848" s="5">
        <f>M848*26000*1.20565</f>
        <v>40001779.089999996</v>
      </c>
      <c r="I848" s="5">
        <f>G848-H848</f>
        <v>-2201779.0899999961</v>
      </c>
      <c r="J848" s="5">
        <v>3000000</v>
      </c>
      <c r="K848" s="5">
        <v>3480000</v>
      </c>
      <c r="L848" s="5">
        <v>3780000</v>
      </c>
      <c r="M848" s="7">
        <v>1276.0999999999999</v>
      </c>
      <c r="N848" s="5">
        <v>35300000</v>
      </c>
      <c r="O848" s="5">
        <v>38300000</v>
      </c>
      <c r="P848" s="3">
        <v>0.97916666666666663</v>
      </c>
    </row>
    <row r="849" spans="1:16" x14ac:dyDescent="0.25">
      <c r="A849" t="s">
        <v>532</v>
      </c>
      <c r="B849" s="2">
        <v>43606</v>
      </c>
      <c r="C849" t="str">
        <f>TEXT(B849,"mm")</f>
        <v>05</v>
      </c>
      <c r="D849" t="s">
        <v>18</v>
      </c>
      <c r="E849" t="s">
        <v>1636</v>
      </c>
      <c r="F849" s="5">
        <v>34700000</v>
      </c>
      <c r="G849" s="5">
        <v>37700000</v>
      </c>
      <c r="H849" s="5">
        <f>M849*26000*1.20565</f>
        <v>39873256.800000004</v>
      </c>
      <c r="I849" s="5">
        <f>G849-H849</f>
        <v>-2173256.8000000045</v>
      </c>
      <c r="J849" s="5">
        <v>3000000</v>
      </c>
      <c r="K849" s="5">
        <v>3470000</v>
      </c>
      <c r="L849" s="5">
        <v>3770000</v>
      </c>
      <c r="M849" s="7">
        <v>1272</v>
      </c>
      <c r="N849" s="5">
        <v>35200000</v>
      </c>
      <c r="O849" s="5">
        <v>38200000</v>
      </c>
      <c r="P849" s="3">
        <v>0.97916666666666663</v>
      </c>
    </row>
    <row r="850" spans="1:16" x14ac:dyDescent="0.25">
      <c r="A850" t="s">
        <v>533</v>
      </c>
      <c r="B850" s="2">
        <v>43607</v>
      </c>
      <c r="C850" t="str">
        <f>TEXT(B850,"mm")</f>
        <v>05</v>
      </c>
      <c r="D850" t="s">
        <v>19</v>
      </c>
      <c r="E850" t="s">
        <v>1636</v>
      </c>
      <c r="F850" s="5">
        <v>34800000</v>
      </c>
      <c r="G850" s="5">
        <v>37800000</v>
      </c>
      <c r="H850" s="5">
        <f>M850*26000*1.20565</f>
        <v>39923411.839999996</v>
      </c>
      <c r="I850" s="5">
        <f>G850-H850</f>
        <v>-2123411.8399999961</v>
      </c>
      <c r="J850" s="5">
        <v>3000000</v>
      </c>
      <c r="K850" s="5">
        <v>3480000</v>
      </c>
      <c r="L850" s="5">
        <v>3780000</v>
      </c>
      <c r="M850" s="7">
        <v>1273.5999999999999</v>
      </c>
      <c r="N850" s="5">
        <v>35300000</v>
      </c>
      <c r="O850" s="5">
        <v>38300000</v>
      </c>
      <c r="P850" s="3">
        <v>0.97916666666666663</v>
      </c>
    </row>
    <row r="851" spans="1:16" x14ac:dyDescent="0.25">
      <c r="A851" t="s">
        <v>534</v>
      </c>
      <c r="B851" s="2">
        <v>43608</v>
      </c>
      <c r="C851" t="str">
        <f>TEXT(B851,"mm")</f>
        <v>05</v>
      </c>
      <c r="D851" t="s">
        <v>20</v>
      </c>
      <c r="E851" t="s">
        <v>1636</v>
      </c>
      <c r="F851" s="5">
        <v>35100000</v>
      </c>
      <c r="G851" s="5">
        <v>38100000</v>
      </c>
      <c r="H851" s="5">
        <f>M851*26000*1.20565</f>
        <v>40274497.120000005</v>
      </c>
      <c r="I851" s="5">
        <f>G851-H851</f>
        <v>-2174497.1200000048</v>
      </c>
      <c r="J851" s="5">
        <v>3000000</v>
      </c>
      <c r="K851" s="5">
        <v>3510000</v>
      </c>
      <c r="L851" s="5">
        <v>3810000</v>
      </c>
      <c r="M851" s="7">
        <v>1284.8</v>
      </c>
      <c r="N851" s="5">
        <v>35600000</v>
      </c>
      <c r="O851" s="5">
        <v>38600000</v>
      </c>
      <c r="P851" s="3">
        <v>0.97916666666666663</v>
      </c>
    </row>
    <row r="852" spans="1:16" x14ac:dyDescent="0.25">
      <c r="A852" t="s">
        <v>535</v>
      </c>
      <c r="B852" s="2">
        <v>43609</v>
      </c>
      <c r="C852" t="str">
        <f>TEXT(B852,"mm")</f>
        <v>05</v>
      </c>
      <c r="D852" t="s">
        <v>21</v>
      </c>
      <c r="E852" t="s">
        <v>1636</v>
      </c>
      <c r="F852" s="5">
        <v>35000000</v>
      </c>
      <c r="G852" s="5">
        <v>38000000</v>
      </c>
      <c r="H852" s="5">
        <f>M852*26000*1.20565</f>
        <v>40218072.700000003</v>
      </c>
      <c r="I852" s="5">
        <f>G852-H852</f>
        <v>-2218072.700000003</v>
      </c>
      <c r="J852" s="5">
        <v>3000000</v>
      </c>
      <c r="K852" s="5">
        <v>3500000</v>
      </c>
      <c r="L852" s="5">
        <v>3800000</v>
      </c>
      <c r="M852" s="7">
        <v>1283</v>
      </c>
      <c r="N852" s="5">
        <v>35500000</v>
      </c>
      <c r="O852" s="5">
        <v>38500000</v>
      </c>
      <c r="P852" s="3">
        <v>0.97916666666666663</v>
      </c>
    </row>
    <row r="853" spans="1:16" x14ac:dyDescent="0.25">
      <c r="A853" t="s">
        <v>536</v>
      </c>
      <c r="B853" s="2">
        <v>43613</v>
      </c>
      <c r="C853" t="str">
        <f>TEXT(B853,"mm")</f>
        <v>05</v>
      </c>
      <c r="D853" t="s">
        <v>18</v>
      </c>
      <c r="E853" t="s">
        <v>1636</v>
      </c>
      <c r="F853" s="5">
        <v>34800000</v>
      </c>
      <c r="G853" s="5">
        <v>37800000</v>
      </c>
      <c r="H853" s="5">
        <f>M853*26000*1.20565</f>
        <v>40014317.850000001</v>
      </c>
      <c r="I853" s="5">
        <f>G853-H853</f>
        <v>-2214317.8500000015</v>
      </c>
      <c r="J853" s="5">
        <v>3000000</v>
      </c>
      <c r="K853" s="5">
        <v>3480000</v>
      </c>
      <c r="L853" s="5">
        <v>3780000</v>
      </c>
      <c r="M853" s="7">
        <v>1276.5</v>
      </c>
      <c r="N853" s="5">
        <v>35300000</v>
      </c>
      <c r="O853" s="5">
        <v>38300000</v>
      </c>
      <c r="P853" s="3">
        <v>0.97916666666666663</v>
      </c>
    </row>
    <row r="854" spans="1:16" x14ac:dyDescent="0.25">
      <c r="A854" t="s">
        <v>537</v>
      </c>
      <c r="B854" s="2">
        <v>43614</v>
      </c>
      <c r="C854" t="str">
        <f>TEXT(B854,"mm")</f>
        <v>05</v>
      </c>
      <c r="D854" t="s">
        <v>19</v>
      </c>
      <c r="E854" t="s">
        <v>1636</v>
      </c>
      <c r="F854" s="5">
        <v>35000000</v>
      </c>
      <c r="G854" s="5">
        <v>38000000</v>
      </c>
      <c r="H854" s="5">
        <f>M854*26000*1.20565</f>
        <v>40142840.140000001</v>
      </c>
      <c r="I854" s="5">
        <f>G854-H854</f>
        <v>-2142840.1400000006</v>
      </c>
      <c r="J854" s="5">
        <v>3000000</v>
      </c>
      <c r="K854" s="5">
        <v>3500000</v>
      </c>
      <c r="L854" s="5">
        <v>3800000</v>
      </c>
      <c r="M854" s="7">
        <v>1280.5999999999999</v>
      </c>
      <c r="N854" s="5">
        <v>35500000</v>
      </c>
      <c r="O854" s="5">
        <v>38500000</v>
      </c>
      <c r="P854" s="3">
        <v>0.97916666666666663</v>
      </c>
    </row>
    <row r="855" spans="1:16" x14ac:dyDescent="0.25">
      <c r="A855" t="s">
        <v>538</v>
      </c>
      <c r="B855" s="2">
        <v>43615</v>
      </c>
      <c r="C855" t="str">
        <f>TEXT(B855,"mm")</f>
        <v>05</v>
      </c>
      <c r="D855" t="s">
        <v>20</v>
      </c>
      <c r="E855" t="s">
        <v>1636</v>
      </c>
      <c r="F855" s="5">
        <v>35200000</v>
      </c>
      <c r="G855" s="5">
        <v>38200000</v>
      </c>
      <c r="H855" s="5">
        <f>M855*26000*1.20565</f>
        <v>40346594.990000002</v>
      </c>
      <c r="I855" s="5">
        <f>G855-H855</f>
        <v>-2146594.9900000021</v>
      </c>
      <c r="J855" s="5">
        <v>3000000</v>
      </c>
      <c r="K855" s="5">
        <v>3520000</v>
      </c>
      <c r="L855" s="5">
        <v>3820000</v>
      </c>
      <c r="M855" s="7">
        <v>1287.0999999999999</v>
      </c>
      <c r="N855" s="5">
        <v>35700000</v>
      </c>
      <c r="O855" s="5">
        <v>38700000</v>
      </c>
      <c r="P855" s="3">
        <v>0.97916666666666663</v>
      </c>
    </row>
    <row r="856" spans="1:16" x14ac:dyDescent="0.25">
      <c r="A856" t="s">
        <v>539</v>
      </c>
      <c r="B856" s="2">
        <v>43616</v>
      </c>
      <c r="C856" t="str">
        <f>TEXT(B856,"mm")</f>
        <v>05</v>
      </c>
      <c r="D856" t="s">
        <v>21</v>
      </c>
      <c r="E856" t="s">
        <v>1636</v>
      </c>
      <c r="F856" s="5">
        <v>35700000</v>
      </c>
      <c r="G856" s="5">
        <v>38700000</v>
      </c>
      <c r="H856" s="5">
        <f>M856*26000*1.20565</f>
        <v>40932782.020000003</v>
      </c>
      <c r="I856" s="5">
        <f>G856-H856</f>
        <v>-2232782.0200000033</v>
      </c>
      <c r="J856" s="5">
        <v>3000000</v>
      </c>
      <c r="K856" s="5">
        <v>3570000</v>
      </c>
      <c r="L856" s="5">
        <v>3870000</v>
      </c>
      <c r="M856" s="7">
        <v>1305.8</v>
      </c>
      <c r="N856" s="5">
        <v>36200000</v>
      </c>
      <c r="O856" s="5">
        <v>39200000</v>
      </c>
      <c r="P856" s="3">
        <v>0.97916666666666663</v>
      </c>
    </row>
    <row r="857" spans="1:16" x14ac:dyDescent="0.25">
      <c r="A857" s="2">
        <v>43530</v>
      </c>
      <c r="B857" s="2">
        <v>43619</v>
      </c>
      <c r="C857" t="str">
        <f>TEXT(B857,"mm")</f>
        <v>06</v>
      </c>
      <c r="D857" t="s">
        <v>16</v>
      </c>
      <c r="E857" t="s">
        <v>1636</v>
      </c>
      <c r="F857" s="5">
        <v>36200000</v>
      </c>
      <c r="G857" s="5">
        <v>39200000</v>
      </c>
      <c r="H857" s="5">
        <f>M857*26000*1.20565</f>
        <v>41462544.630000003</v>
      </c>
      <c r="I857" s="5">
        <f>G857-H857</f>
        <v>-2262544.6300000027</v>
      </c>
      <c r="J857" s="5">
        <v>3000000</v>
      </c>
      <c r="K857" s="5">
        <v>3620000</v>
      </c>
      <c r="L857" s="5">
        <v>3920000</v>
      </c>
      <c r="M857" s="7">
        <v>1322.7</v>
      </c>
      <c r="N857" s="5">
        <v>36700000</v>
      </c>
      <c r="O857" s="5">
        <v>39700000</v>
      </c>
      <c r="P857" s="3">
        <v>0.97916666666666663</v>
      </c>
    </row>
    <row r="858" spans="1:16" x14ac:dyDescent="0.25">
      <c r="A858" s="2">
        <v>43561</v>
      </c>
      <c r="B858" s="2">
        <v>43620</v>
      </c>
      <c r="C858" t="str">
        <f>TEXT(B858,"mm")</f>
        <v>06</v>
      </c>
      <c r="D858" t="s">
        <v>18</v>
      </c>
      <c r="E858" t="s">
        <v>1636</v>
      </c>
      <c r="F858" s="5">
        <v>36200000</v>
      </c>
      <c r="G858" s="5">
        <v>39200000</v>
      </c>
      <c r="H858" s="5">
        <f>M858*26000*1.20565</f>
        <v>41484487.460000001</v>
      </c>
      <c r="I858" s="5">
        <f>G858-H858</f>
        <v>-2284487.4600000009</v>
      </c>
      <c r="J858" s="5">
        <v>3000000</v>
      </c>
      <c r="K858" s="5">
        <v>3620000</v>
      </c>
      <c r="L858" s="5">
        <v>3920000</v>
      </c>
      <c r="M858" s="7">
        <v>1323.4</v>
      </c>
      <c r="N858" s="5">
        <v>36700000</v>
      </c>
      <c r="O858" s="5">
        <v>39700000</v>
      </c>
      <c r="P858" s="3">
        <v>0.97916666666666663</v>
      </c>
    </row>
    <row r="859" spans="1:16" x14ac:dyDescent="0.25">
      <c r="A859" s="2">
        <v>43591</v>
      </c>
      <c r="B859" s="2">
        <v>43621</v>
      </c>
      <c r="C859" t="str">
        <f>TEXT(B859,"mm")</f>
        <v>06</v>
      </c>
      <c r="D859" t="s">
        <v>19</v>
      </c>
      <c r="E859" t="s">
        <v>1636</v>
      </c>
      <c r="F859" s="5">
        <v>36400000</v>
      </c>
      <c r="G859" s="5">
        <v>39400000</v>
      </c>
      <c r="H859" s="5">
        <f>M859*26000*1.20565</f>
        <v>41638087.270000003</v>
      </c>
      <c r="I859" s="5">
        <f>G859-H859</f>
        <v>-2238087.2700000033</v>
      </c>
      <c r="J859" s="5">
        <v>3000000</v>
      </c>
      <c r="K859" s="5">
        <v>3640000</v>
      </c>
      <c r="L859" s="5">
        <v>3940000</v>
      </c>
      <c r="M859" s="7">
        <v>1328.3</v>
      </c>
      <c r="N859" s="5">
        <v>36900000</v>
      </c>
      <c r="O859" s="5">
        <v>39900000</v>
      </c>
      <c r="P859" s="3">
        <v>0.97916666666666663</v>
      </c>
    </row>
    <row r="860" spans="1:16" x14ac:dyDescent="0.25">
      <c r="A860" s="2">
        <v>43622</v>
      </c>
      <c r="B860" s="2">
        <v>43622</v>
      </c>
      <c r="C860" t="str">
        <f>TEXT(B860,"mm")</f>
        <v>06</v>
      </c>
      <c r="D860" t="s">
        <v>20</v>
      </c>
      <c r="E860" t="s">
        <v>1636</v>
      </c>
      <c r="F860" s="5">
        <v>36700000</v>
      </c>
      <c r="G860" s="5">
        <v>39700000</v>
      </c>
      <c r="H860" s="5">
        <f>M860*26000*1.20565</f>
        <v>41929613.440000005</v>
      </c>
      <c r="I860" s="5">
        <f>G860-H860</f>
        <v>-2229613.4400000051</v>
      </c>
      <c r="J860" s="5">
        <v>3000000</v>
      </c>
      <c r="K860" s="5">
        <v>3670000</v>
      </c>
      <c r="L860" s="5">
        <v>3970000</v>
      </c>
      <c r="M860" s="7">
        <v>1337.6</v>
      </c>
      <c r="N860" s="5">
        <v>37200000</v>
      </c>
      <c r="O860" s="5">
        <v>40200000</v>
      </c>
      <c r="P860" s="3">
        <v>0.97916666666666663</v>
      </c>
    </row>
    <row r="861" spans="1:16" x14ac:dyDescent="0.25">
      <c r="A861" s="2">
        <v>43652</v>
      </c>
      <c r="B861" s="2">
        <v>43623</v>
      </c>
      <c r="C861" t="str">
        <f>TEXT(B861,"mm")</f>
        <v>06</v>
      </c>
      <c r="D861" t="s">
        <v>21</v>
      </c>
      <c r="E861" t="s">
        <v>1636</v>
      </c>
      <c r="F861" s="5">
        <v>36800000</v>
      </c>
      <c r="G861" s="5">
        <v>39800000</v>
      </c>
      <c r="H861" s="5">
        <f>M861*26000*1.20565</f>
        <v>42042462.280000001</v>
      </c>
      <c r="I861" s="5">
        <f>G861-H861</f>
        <v>-2242462.2800000012</v>
      </c>
      <c r="J861" s="5">
        <v>3000000</v>
      </c>
      <c r="K861" s="5">
        <v>3680000</v>
      </c>
      <c r="L861" s="5">
        <v>3980000</v>
      </c>
      <c r="M861" s="7">
        <v>1341.2</v>
      </c>
      <c r="N861" s="5">
        <v>37300000</v>
      </c>
      <c r="O861" s="5">
        <v>40300000</v>
      </c>
      <c r="P861" s="3">
        <v>0.97916666666666663</v>
      </c>
    </row>
    <row r="862" spans="1:16" x14ac:dyDescent="0.25">
      <c r="A862" s="2">
        <v>43744</v>
      </c>
      <c r="B862" s="2">
        <v>43626</v>
      </c>
      <c r="C862" t="str">
        <f>TEXT(B862,"mm")</f>
        <v>06</v>
      </c>
      <c r="D862" t="s">
        <v>16</v>
      </c>
      <c r="E862" t="s">
        <v>1636</v>
      </c>
      <c r="F862" s="5">
        <v>36300000</v>
      </c>
      <c r="G862" s="5">
        <v>39300000</v>
      </c>
      <c r="H862" s="5">
        <f>M862*26000*1.20565</f>
        <v>41525238.430000007</v>
      </c>
      <c r="I862" s="5">
        <f>G862-H862</f>
        <v>-2225238.4300000072</v>
      </c>
      <c r="J862" s="5">
        <v>3000000</v>
      </c>
      <c r="K862" s="5">
        <v>3630000</v>
      </c>
      <c r="L862" s="5">
        <v>3930000</v>
      </c>
      <c r="M862" s="7">
        <v>1324.7</v>
      </c>
      <c r="N862" s="5">
        <v>36800000</v>
      </c>
      <c r="O862" s="5">
        <v>39800000</v>
      </c>
      <c r="P862" s="3">
        <v>0.97916666666666663</v>
      </c>
    </row>
    <row r="863" spans="1:16" x14ac:dyDescent="0.25">
      <c r="A863" s="2">
        <v>43775</v>
      </c>
      <c r="B863" s="2">
        <v>43627</v>
      </c>
      <c r="C863" t="str">
        <f>TEXT(B863,"mm")</f>
        <v>06</v>
      </c>
      <c r="D863" t="s">
        <v>18</v>
      </c>
      <c r="E863" t="s">
        <v>1636</v>
      </c>
      <c r="F863" s="5">
        <v>36300000</v>
      </c>
      <c r="G863" s="5">
        <v>39300000</v>
      </c>
      <c r="H863" s="5">
        <f>M863*26000*1.20565</f>
        <v>41578528.160000004</v>
      </c>
      <c r="I863" s="5">
        <f>G863-H863</f>
        <v>-2278528.1600000039</v>
      </c>
      <c r="J863" s="5">
        <v>3000000</v>
      </c>
      <c r="K863" s="5">
        <v>3630000</v>
      </c>
      <c r="L863" s="5">
        <v>3930000</v>
      </c>
      <c r="M863" s="7">
        <v>1326.4</v>
      </c>
      <c r="N863" s="5">
        <v>36800000</v>
      </c>
      <c r="O863" s="5">
        <v>39800000</v>
      </c>
      <c r="P863" s="3">
        <v>0.97916666666666663</v>
      </c>
    </row>
    <row r="864" spans="1:16" x14ac:dyDescent="0.25">
      <c r="A864" s="2">
        <v>43805</v>
      </c>
      <c r="B864" s="2">
        <v>43628</v>
      </c>
      <c r="C864" t="str">
        <f>TEXT(B864,"mm")</f>
        <v>06</v>
      </c>
      <c r="D864" t="s">
        <v>19</v>
      </c>
      <c r="E864" t="s">
        <v>1636</v>
      </c>
      <c r="F864" s="5">
        <v>36500000</v>
      </c>
      <c r="G864" s="5">
        <v>39500000</v>
      </c>
      <c r="H864" s="5">
        <f>M864*26000*1.20565</f>
        <v>41750936.110000007</v>
      </c>
      <c r="I864" s="5">
        <f>G864-H864</f>
        <v>-2250936.1100000069</v>
      </c>
      <c r="J864" s="5">
        <v>3000000</v>
      </c>
      <c r="K864" s="5">
        <v>3650000</v>
      </c>
      <c r="L864" s="5">
        <v>3950000</v>
      </c>
      <c r="M864" s="7">
        <v>1331.9</v>
      </c>
      <c r="N864" s="5">
        <v>37000000</v>
      </c>
      <c r="O864" s="5">
        <v>40000000</v>
      </c>
      <c r="P864" s="3">
        <v>0.97916666666666663</v>
      </c>
    </row>
    <row r="865" spans="1:16" x14ac:dyDescent="0.25">
      <c r="A865" t="s">
        <v>540</v>
      </c>
      <c r="B865" s="2">
        <v>43629</v>
      </c>
      <c r="C865" t="str">
        <f>TEXT(B865,"mm")</f>
        <v>06</v>
      </c>
      <c r="D865" t="s">
        <v>20</v>
      </c>
      <c r="E865" t="s">
        <v>1636</v>
      </c>
      <c r="F865" s="5">
        <v>36700000</v>
      </c>
      <c r="G865" s="5">
        <v>39700000</v>
      </c>
      <c r="H865" s="5">
        <f>M865*26000*1.20565</f>
        <v>41979768.480000004</v>
      </c>
      <c r="I865" s="5">
        <f>G865-H865</f>
        <v>-2279768.4800000042</v>
      </c>
      <c r="J865" s="5">
        <v>3000000</v>
      </c>
      <c r="K865" s="5">
        <v>3670000</v>
      </c>
      <c r="L865" s="5">
        <v>3970000</v>
      </c>
      <c r="M865" s="7">
        <v>1339.2</v>
      </c>
      <c r="N865" s="5">
        <v>37200000</v>
      </c>
      <c r="O865" s="5">
        <v>40200000</v>
      </c>
      <c r="P865" s="3">
        <v>0.97916666666666663</v>
      </c>
    </row>
    <row r="866" spans="1:16" x14ac:dyDescent="0.25">
      <c r="A866" t="s">
        <v>541</v>
      </c>
      <c r="B866" s="2">
        <v>43630</v>
      </c>
      <c r="C866" t="str">
        <f>TEXT(B866,"mm")</f>
        <v>06</v>
      </c>
      <c r="D866" t="s">
        <v>21</v>
      </c>
      <c r="E866" t="s">
        <v>1636</v>
      </c>
      <c r="F866" s="5">
        <v>36700000</v>
      </c>
      <c r="G866" s="5">
        <v>39700000</v>
      </c>
      <c r="H866" s="5">
        <f>M866*26000*1.20565</f>
        <v>42007980.690000005</v>
      </c>
      <c r="I866" s="5">
        <f>G866-H866</f>
        <v>-2307980.6900000051</v>
      </c>
      <c r="J866" s="5">
        <v>3000000</v>
      </c>
      <c r="K866" s="5">
        <v>3670000</v>
      </c>
      <c r="L866" s="5">
        <v>3970000</v>
      </c>
      <c r="M866" s="7">
        <v>1340.1</v>
      </c>
      <c r="N866" s="5">
        <v>37200000</v>
      </c>
      <c r="O866" s="5">
        <v>40200000</v>
      </c>
      <c r="P866" s="3">
        <v>0.97916666666666663</v>
      </c>
    </row>
    <row r="867" spans="1:16" x14ac:dyDescent="0.25">
      <c r="A867" t="s">
        <v>542</v>
      </c>
      <c r="B867" s="2">
        <v>43633</v>
      </c>
      <c r="C867" t="str">
        <f>TEXT(B867,"mm")</f>
        <v>06</v>
      </c>
      <c r="D867" t="s">
        <v>16</v>
      </c>
      <c r="E867" t="s">
        <v>1636</v>
      </c>
      <c r="F867" s="5">
        <v>36700000</v>
      </c>
      <c r="G867" s="5">
        <v>39700000</v>
      </c>
      <c r="H867" s="5">
        <f>M867*26000*1.20565</f>
        <v>41964095.030000001</v>
      </c>
      <c r="I867" s="5">
        <f>G867-H867</f>
        <v>-2264095.0300000012</v>
      </c>
      <c r="J867" s="5">
        <v>3000000</v>
      </c>
      <c r="K867" s="5">
        <v>3670000</v>
      </c>
      <c r="L867" s="5">
        <v>3970000</v>
      </c>
      <c r="M867" s="7">
        <v>1338.7</v>
      </c>
      <c r="N867" s="5">
        <v>37200000</v>
      </c>
      <c r="O867" s="5">
        <v>40200000</v>
      </c>
      <c r="P867" s="3">
        <v>0.97916666666666663</v>
      </c>
    </row>
    <row r="868" spans="1:16" x14ac:dyDescent="0.25">
      <c r="A868" t="s">
        <v>543</v>
      </c>
      <c r="B868" s="2">
        <v>43634</v>
      </c>
      <c r="C868" t="str">
        <f>TEXT(B868,"mm")</f>
        <v>06</v>
      </c>
      <c r="D868" t="s">
        <v>18</v>
      </c>
      <c r="E868" t="s">
        <v>1636</v>
      </c>
      <c r="F868" s="5">
        <v>36900000</v>
      </c>
      <c r="G868" s="5">
        <v>39900000</v>
      </c>
      <c r="H868" s="5">
        <f>M868*26000*1.20565</f>
        <v>42211735.540000007</v>
      </c>
      <c r="I868" s="5">
        <f>G868-H868</f>
        <v>-2311735.5400000066</v>
      </c>
      <c r="J868" s="5">
        <v>3000000</v>
      </c>
      <c r="K868" s="5">
        <v>3690000</v>
      </c>
      <c r="L868" s="5">
        <v>3990000</v>
      </c>
      <c r="M868" s="7">
        <v>1346.6</v>
      </c>
      <c r="N868" s="5">
        <v>37400000</v>
      </c>
      <c r="O868" s="5">
        <v>40400000</v>
      </c>
      <c r="P868" s="3">
        <v>0.97916666666666663</v>
      </c>
    </row>
    <row r="869" spans="1:16" x14ac:dyDescent="0.25">
      <c r="A869" t="s">
        <v>544</v>
      </c>
      <c r="B869" s="2">
        <v>43635</v>
      </c>
      <c r="C869" t="str">
        <f>TEXT(B869,"mm")</f>
        <v>06</v>
      </c>
      <c r="D869" t="s">
        <v>19</v>
      </c>
      <c r="E869" t="s">
        <v>1636</v>
      </c>
      <c r="F869" s="5">
        <v>36900000</v>
      </c>
      <c r="G869" s="5">
        <v>39900000</v>
      </c>
      <c r="H869" s="5">
        <f>M869*26000*1.20565</f>
        <v>42149041.740000002</v>
      </c>
      <c r="I869" s="5">
        <f>G869-H869</f>
        <v>-2249041.7400000021</v>
      </c>
      <c r="J869" s="5">
        <v>3000000</v>
      </c>
      <c r="K869" s="5">
        <v>3690000</v>
      </c>
      <c r="L869" s="5">
        <v>3990000</v>
      </c>
      <c r="M869" s="7">
        <v>1344.6</v>
      </c>
      <c r="N869" s="5">
        <v>37400000</v>
      </c>
      <c r="O869" s="5">
        <v>40400000</v>
      </c>
      <c r="P869" s="3">
        <v>0.97916666666666663</v>
      </c>
    </row>
    <row r="870" spans="1:16" x14ac:dyDescent="0.25">
      <c r="A870" t="s">
        <v>545</v>
      </c>
      <c r="B870" s="2">
        <v>43636</v>
      </c>
      <c r="C870" t="str">
        <f>TEXT(B870,"mm")</f>
        <v>06</v>
      </c>
      <c r="D870" t="s">
        <v>20</v>
      </c>
      <c r="E870" t="s">
        <v>1636</v>
      </c>
      <c r="F870" s="5">
        <v>38300000</v>
      </c>
      <c r="G870" s="5">
        <v>41300000</v>
      </c>
      <c r="H870" s="5">
        <f>M870*26000*1.20565</f>
        <v>43663097.010000005</v>
      </c>
      <c r="I870" s="5">
        <f>G870-H870</f>
        <v>-2363097.0100000054</v>
      </c>
      <c r="J870" s="5">
        <v>3000000</v>
      </c>
      <c r="K870" s="5">
        <v>3830000</v>
      </c>
      <c r="L870" s="5">
        <v>4130000</v>
      </c>
      <c r="M870" s="7">
        <v>1392.9</v>
      </c>
      <c r="N870" s="5">
        <v>38800000</v>
      </c>
      <c r="O870" s="5">
        <v>41800000</v>
      </c>
      <c r="P870" s="3">
        <v>0.97916666666666663</v>
      </c>
    </row>
    <row r="871" spans="1:16" x14ac:dyDescent="0.25">
      <c r="A871" t="s">
        <v>546</v>
      </c>
      <c r="B871" s="2">
        <v>43637</v>
      </c>
      <c r="C871" t="str">
        <f>TEXT(B871,"mm")</f>
        <v>06</v>
      </c>
      <c r="D871" t="s">
        <v>21</v>
      </c>
      <c r="E871" t="s">
        <v>1636</v>
      </c>
      <c r="F871" s="5">
        <v>38400000</v>
      </c>
      <c r="G871" s="5">
        <v>41400000</v>
      </c>
      <c r="H871" s="5">
        <f>M871*26000*1.20565</f>
        <v>43766541.780000001</v>
      </c>
      <c r="I871" s="5">
        <f>G871-H871</f>
        <v>-2366541.7800000012</v>
      </c>
      <c r="J871" s="5">
        <v>3000000</v>
      </c>
      <c r="K871" s="5">
        <v>3840000</v>
      </c>
      <c r="L871" s="5">
        <v>4140000</v>
      </c>
      <c r="M871" s="7">
        <v>1396.2</v>
      </c>
      <c r="N871" s="5">
        <v>38900000</v>
      </c>
      <c r="O871" s="5">
        <v>41900000</v>
      </c>
      <c r="P871" s="3">
        <v>0.97916666666666663</v>
      </c>
    </row>
    <row r="872" spans="1:16" x14ac:dyDescent="0.25">
      <c r="A872" t="s">
        <v>547</v>
      </c>
      <c r="B872" s="2">
        <v>43640</v>
      </c>
      <c r="C872" t="str">
        <f>TEXT(B872,"mm")</f>
        <v>06</v>
      </c>
      <c r="D872" t="s">
        <v>16</v>
      </c>
      <c r="E872" t="s">
        <v>1636</v>
      </c>
      <c r="F872" s="5">
        <v>38900000</v>
      </c>
      <c r="G872" s="5">
        <v>41900000</v>
      </c>
      <c r="H872" s="5">
        <f>M872*26000*1.20565</f>
        <v>44333920.670000002</v>
      </c>
      <c r="I872" s="5">
        <f>G872-H872</f>
        <v>-2433920.6700000018</v>
      </c>
      <c r="J872" s="5">
        <v>3000000</v>
      </c>
      <c r="K872" s="5">
        <v>3890000</v>
      </c>
      <c r="L872" s="5">
        <v>4190000</v>
      </c>
      <c r="M872" s="7">
        <v>1414.3</v>
      </c>
      <c r="N872" s="5">
        <v>39400000</v>
      </c>
      <c r="O872" s="5">
        <v>42400000</v>
      </c>
      <c r="P872" s="3">
        <v>0.97916666666666663</v>
      </c>
    </row>
    <row r="873" spans="1:16" x14ac:dyDescent="0.25">
      <c r="A873" t="s">
        <v>548</v>
      </c>
      <c r="B873" s="2">
        <v>43641</v>
      </c>
      <c r="C873" t="str">
        <f>TEXT(B873,"mm")</f>
        <v>06</v>
      </c>
      <c r="D873" t="s">
        <v>18</v>
      </c>
      <c r="E873" t="s">
        <v>1636</v>
      </c>
      <c r="F873" s="5">
        <v>39000000</v>
      </c>
      <c r="G873" s="5">
        <v>42000000</v>
      </c>
      <c r="H873" s="5">
        <f>M873*26000*1.20565</f>
        <v>44352728.810000002</v>
      </c>
      <c r="I873" s="5">
        <f>G873-H873</f>
        <v>-2352728.8100000024</v>
      </c>
      <c r="J873" s="5">
        <v>3000000</v>
      </c>
      <c r="K873" s="5">
        <v>3900000</v>
      </c>
      <c r="L873" s="5">
        <v>4200000</v>
      </c>
      <c r="M873" s="7">
        <v>1414.9</v>
      </c>
      <c r="N873" s="5">
        <v>39500000</v>
      </c>
      <c r="O873" s="5">
        <v>42500000</v>
      </c>
      <c r="P873" s="3">
        <v>0.97916666666666663</v>
      </c>
    </row>
    <row r="874" spans="1:16" x14ac:dyDescent="0.25">
      <c r="A874" t="s">
        <v>549</v>
      </c>
      <c r="B874" s="2">
        <v>43642</v>
      </c>
      <c r="C874" t="str">
        <f>TEXT(B874,"mm")</f>
        <v>06</v>
      </c>
      <c r="D874" t="s">
        <v>19</v>
      </c>
      <c r="E874" t="s">
        <v>1636</v>
      </c>
      <c r="F874" s="5">
        <v>38900000</v>
      </c>
      <c r="G874" s="5">
        <v>41900000</v>
      </c>
      <c r="H874" s="5">
        <f>M874*26000*1.20565</f>
        <v>44249284.040000007</v>
      </c>
      <c r="I874" s="5">
        <f>G874-H874</f>
        <v>-2349284.0400000066</v>
      </c>
      <c r="J874" s="5">
        <v>3000000</v>
      </c>
      <c r="K874" s="5">
        <v>3890000</v>
      </c>
      <c r="L874" s="5">
        <v>4190000</v>
      </c>
      <c r="M874" s="7">
        <v>1411.6</v>
      </c>
      <c r="N874" s="5">
        <v>39400000</v>
      </c>
      <c r="O874" s="5">
        <v>42400000</v>
      </c>
      <c r="P874" s="3">
        <v>0.97916666666666663</v>
      </c>
    </row>
    <row r="875" spans="1:16" x14ac:dyDescent="0.25">
      <c r="A875" t="s">
        <v>550</v>
      </c>
      <c r="B875" s="2">
        <v>43643</v>
      </c>
      <c r="C875" t="str">
        <f>TEXT(B875,"mm")</f>
        <v>06</v>
      </c>
      <c r="D875" t="s">
        <v>20</v>
      </c>
      <c r="E875" t="s">
        <v>1636</v>
      </c>
      <c r="F875" s="5">
        <v>38800000</v>
      </c>
      <c r="G875" s="5">
        <v>41800000</v>
      </c>
      <c r="H875" s="5">
        <f>M875*26000*1.20565</f>
        <v>44148973.960000001</v>
      </c>
      <c r="I875" s="5">
        <f>G875-H875</f>
        <v>-2348973.9600000009</v>
      </c>
      <c r="J875" s="5">
        <v>3000000</v>
      </c>
      <c r="K875" s="5">
        <v>3880000</v>
      </c>
      <c r="L875" s="5">
        <v>4180000</v>
      </c>
      <c r="M875" s="7">
        <v>1408.4</v>
      </c>
      <c r="N875" s="5">
        <v>39300000</v>
      </c>
      <c r="O875" s="5">
        <v>42300000</v>
      </c>
      <c r="P875" s="3">
        <v>0.97916666666666663</v>
      </c>
    </row>
    <row r="876" spans="1:16" x14ac:dyDescent="0.25">
      <c r="A876" t="s">
        <v>551</v>
      </c>
      <c r="B876" s="2">
        <v>43644</v>
      </c>
      <c r="C876" t="str">
        <f>TEXT(B876,"mm")</f>
        <v>06</v>
      </c>
      <c r="D876" t="s">
        <v>21</v>
      </c>
      <c r="E876" t="s">
        <v>1636</v>
      </c>
      <c r="F876" s="5">
        <v>38800000</v>
      </c>
      <c r="G876" s="5">
        <v>41800000</v>
      </c>
      <c r="H876" s="5">
        <f>M876*26000*1.20565</f>
        <v>44189724.930000007</v>
      </c>
      <c r="I876" s="5">
        <f>G876-H876</f>
        <v>-2389724.9300000072</v>
      </c>
      <c r="J876" s="5">
        <v>3000000</v>
      </c>
      <c r="K876" s="5">
        <v>3880000</v>
      </c>
      <c r="L876" s="5">
        <v>4180000</v>
      </c>
      <c r="M876" s="7">
        <v>1409.7</v>
      </c>
      <c r="N876" s="5">
        <v>39300000</v>
      </c>
      <c r="O876" s="5">
        <v>42300000</v>
      </c>
      <c r="P876" s="3">
        <v>0.97916666666666663</v>
      </c>
    </row>
    <row r="877" spans="1:16" x14ac:dyDescent="0.25">
      <c r="A877" s="2">
        <v>43472</v>
      </c>
      <c r="B877" s="2">
        <v>43647</v>
      </c>
      <c r="C877" t="str">
        <f>TEXT(B877,"mm")</f>
        <v>07</v>
      </c>
      <c r="D877" t="s">
        <v>16</v>
      </c>
      <c r="E877" t="s">
        <v>1636</v>
      </c>
      <c r="F877" s="5">
        <v>38100000</v>
      </c>
      <c r="G877" s="5">
        <v>41100000</v>
      </c>
      <c r="H877" s="5">
        <f>M877*26000*1.20565</f>
        <v>43434264.640000001</v>
      </c>
      <c r="I877" s="5">
        <f>G877-H877</f>
        <v>-2334264.6400000006</v>
      </c>
      <c r="J877" s="5">
        <v>3000000</v>
      </c>
      <c r="K877" s="5">
        <v>3810000</v>
      </c>
      <c r="L877" s="5">
        <v>4110000</v>
      </c>
      <c r="M877" s="7">
        <v>1385.6</v>
      </c>
      <c r="N877" s="5">
        <v>38600000</v>
      </c>
      <c r="O877" s="5">
        <v>41600000</v>
      </c>
      <c r="P877" s="3">
        <v>0.97916666666666663</v>
      </c>
    </row>
    <row r="878" spans="1:16" x14ac:dyDescent="0.25">
      <c r="A878" s="2">
        <v>43503</v>
      </c>
      <c r="B878" s="2">
        <v>43648</v>
      </c>
      <c r="C878" t="str">
        <f>TEXT(B878,"mm")</f>
        <v>07</v>
      </c>
      <c r="D878" t="s">
        <v>18</v>
      </c>
      <c r="E878" t="s">
        <v>1636</v>
      </c>
      <c r="F878" s="5">
        <v>38600000</v>
      </c>
      <c r="G878" s="5">
        <v>41600000</v>
      </c>
      <c r="H878" s="5">
        <f>M878*26000*1.20565</f>
        <v>44029855.740000002</v>
      </c>
      <c r="I878" s="5">
        <f>G878-H878</f>
        <v>-2429855.7400000021</v>
      </c>
      <c r="J878" s="5">
        <v>3000000</v>
      </c>
      <c r="K878" s="5">
        <v>3860000</v>
      </c>
      <c r="L878" s="5">
        <v>4160000</v>
      </c>
      <c r="M878" s="7">
        <v>1404.6</v>
      </c>
      <c r="N878" s="5">
        <v>39100000</v>
      </c>
      <c r="O878" s="5">
        <v>42100000</v>
      </c>
      <c r="P878" s="3">
        <v>0.97916666666666663</v>
      </c>
    </row>
    <row r="879" spans="1:16" x14ac:dyDescent="0.25">
      <c r="A879" s="2">
        <v>43531</v>
      </c>
      <c r="B879" s="2">
        <v>43649</v>
      </c>
      <c r="C879" t="str">
        <f>TEXT(B879,"mm")</f>
        <v>07</v>
      </c>
      <c r="D879" t="s">
        <v>19</v>
      </c>
      <c r="E879" t="s">
        <v>1636</v>
      </c>
      <c r="F879" s="5">
        <v>39000000</v>
      </c>
      <c r="G879" s="5">
        <v>42000000</v>
      </c>
      <c r="H879" s="5">
        <f>M879*26000*1.20565</f>
        <v>44440500.130000003</v>
      </c>
      <c r="I879" s="5">
        <f>G879-H879</f>
        <v>-2440500.1300000027</v>
      </c>
      <c r="J879" s="5">
        <v>3000000</v>
      </c>
      <c r="K879" s="5">
        <v>3900000</v>
      </c>
      <c r="L879" s="5">
        <v>4200000</v>
      </c>
      <c r="M879" s="7">
        <v>1417.7</v>
      </c>
      <c r="N879" s="5">
        <v>39500000</v>
      </c>
      <c r="O879" s="5">
        <v>42500000</v>
      </c>
      <c r="P879" s="3">
        <v>0.97916666666666663</v>
      </c>
    </row>
    <row r="880" spans="1:16" x14ac:dyDescent="0.25">
      <c r="A880" s="2">
        <v>43592</v>
      </c>
      <c r="B880" s="2">
        <v>43651</v>
      </c>
      <c r="C880" t="str">
        <f>TEXT(B880,"mm")</f>
        <v>07</v>
      </c>
      <c r="D880" t="s">
        <v>21</v>
      </c>
      <c r="E880" t="s">
        <v>1636</v>
      </c>
      <c r="F880" s="5">
        <v>38400000</v>
      </c>
      <c r="G880" s="5">
        <v>41400000</v>
      </c>
      <c r="H880" s="5">
        <f>M880*26000*1.20565</f>
        <v>43782215.230000004</v>
      </c>
      <c r="I880" s="5">
        <f>G880-H880</f>
        <v>-2382215.2300000042</v>
      </c>
      <c r="J880" s="5">
        <v>3000000</v>
      </c>
      <c r="K880" s="5">
        <v>3840000</v>
      </c>
      <c r="L880" s="5">
        <v>4140000</v>
      </c>
      <c r="M880" s="7">
        <v>1396.7</v>
      </c>
      <c r="N880" s="5">
        <v>38900000</v>
      </c>
      <c r="O880" s="5">
        <v>41900000</v>
      </c>
      <c r="P880" s="3">
        <v>0.97916666666666663</v>
      </c>
    </row>
    <row r="881" spans="1:16" x14ac:dyDescent="0.25">
      <c r="A881" s="2">
        <v>43684</v>
      </c>
      <c r="B881" s="2">
        <v>43654</v>
      </c>
      <c r="C881" t="str">
        <f>TEXT(B881,"mm")</f>
        <v>07</v>
      </c>
      <c r="D881" t="s">
        <v>16</v>
      </c>
      <c r="E881" t="s">
        <v>1636</v>
      </c>
      <c r="F881" s="5">
        <v>38400000</v>
      </c>
      <c r="G881" s="5">
        <v>41400000</v>
      </c>
      <c r="H881" s="5">
        <f>M881*26000*1.20565</f>
        <v>43791619.300000004</v>
      </c>
      <c r="I881" s="5">
        <f>G881-H881</f>
        <v>-2391619.3000000045</v>
      </c>
      <c r="J881" s="5">
        <v>3000000</v>
      </c>
      <c r="K881" s="5">
        <v>3840000</v>
      </c>
      <c r="L881" s="5">
        <v>4140000</v>
      </c>
      <c r="M881" s="7">
        <v>1397</v>
      </c>
      <c r="N881" s="5">
        <v>38900000</v>
      </c>
      <c r="O881" s="5">
        <v>41900000</v>
      </c>
      <c r="P881" s="3">
        <v>0.97916666666666663</v>
      </c>
    </row>
    <row r="882" spans="1:16" x14ac:dyDescent="0.25">
      <c r="A882" s="2">
        <v>43715</v>
      </c>
      <c r="B882" s="2">
        <v>43655</v>
      </c>
      <c r="C882" t="str">
        <f>TEXT(B882,"mm")</f>
        <v>07</v>
      </c>
      <c r="D882" t="s">
        <v>18</v>
      </c>
      <c r="E882" t="s">
        <v>1636</v>
      </c>
      <c r="F882" s="5">
        <v>38400000</v>
      </c>
      <c r="G882" s="5">
        <v>41400000</v>
      </c>
      <c r="H882" s="5">
        <f>M882*26000*1.20565</f>
        <v>43807292.750000007</v>
      </c>
      <c r="I882" s="5">
        <f>G882-H882</f>
        <v>-2407292.7500000075</v>
      </c>
      <c r="J882" s="5">
        <v>3000000</v>
      </c>
      <c r="K882" s="5">
        <v>3840000</v>
      </c>
      <c r="L882" s="5">
        <v>4140000</v>
      </c>
      <c r="M882" s="7">
        <v>1397.5</v>
      </c>
      <c r="N882" s="5">
        <v>38900000</v>
      </c>
      <c r="O882" s="5">
        <v>41900000</v>
      </c>
      <c r="P882" s="3">
        <v>0.97916666666666663</v>
      </c>
    </row>
    <row r="883" spans="1:16" x14ac:dyDescent="0.25">
      <c r="A883" s="2">
        <v>43745</v>
      </c>
      <c r="B883" s="2">
        <v>43656</v>
      </c>
      <c r="C883" t="str">
        <f>TEXT(B883,"mm")</f>
        <v>07</v>
      </c>
      <c r="D883" t="s">
        <v>19</v>
      </c>
      <c r="E883" t="s">
        <v>1636</v>
      </c>
      <c r="F883" s="5">
        <v>38800000</v>
      </c>
      <c r="G883" s="5">
        <v>41800000</v>
      </c>
      <c r="H883" s="5">
        <f>M883*26000*1.20565</f>
        <v>44202263.690000005</v>
      </c>
      <c r="I883" s="5">
        <f>G883-H883</f>
        <v>-2402263.6900000051</v>
      </c>
      <c r="J883" s="5">
        <v>3000000</v>
      </c>
      <c r="K883" s="5">
        <v>3880000</v>
      </c>
      <c r="L883" s="5">
        <v>4180000</v>
      </c>
      <c r="M883" s="7">
        <v>1410.1</v>
      </c>
      <c r="N883" s="5">
        <v>39300000</v>
      </c>
      <c r="O883" s="5">
        <v>42300000</v>
      </c>
      <c r="P883" s="3">
        <v>0.97916666666666663</v>
      </c>
    </row>
    <row r="884" spans="1:16" x14ac:dyDescent="0.25">
      <c r="A884" s="2">
        <v>43776</v>
      </c>
      <c r="B884" s="2">
        <v>43657</v>
      </c>
      <c r="C884" t="str">
        <f>TEXT(B884,"mm")</f>
        <v>07</v>
      </c>
      <c r="D884" t="s">
        <v>20</v>
      </c>
      <c r="E884" t="s">
        <v>1636</v>
      </c>
      <c r="F884" s="5">
        <v>38600000</v>
      </c>
      <c r="G884" s="5">
        <v>41600000</v>
      </c>
      <c r="H884" s="5">
        <f>M884*26000*1.20565</f>
        <v>44020451.670000002</v>
      </c>
      <c r="I884" s="5">
        <f>G884-H884</f>
        <v>-2420451.6700000018</v>
      </c>
      <c r="J884" s="5">
        <v>3000000</v>
      </c>
      <c r="K884" s="5">
        <v>3860000</v>
      </c>
      <c r="L884" s="5">
        <v>4160000</v>
      </c>
      <c r="M884" s="7">
        <v>1404.3</v>
      </c>
      <c r="N884" s="5">
        <v>39100000</v>
      </c>
      <c r="O884" s="5">
        <v>42100000</v>
      </c>
      <c r="P884" s="3">
        <v>0.97916666666666663</v>
      </c>
    </row>
    <row r="885" spans="1:16" x14ac:dyDescent="0.25">
      <c r="A885" s="2">
        <v>43806</v>
      </c>
      <c r="B885" s="2">
        <v>43658</v>
      </c>
      <c r="C885" t="str">
        <f>TEXT(B885,"mm")</f>
        <v>07</v>
      </c>
      <c r="D885" t="s">
        <v>21</v>
      </c>
      <c r="E885" t="s">
        <v>1636</v>
      </c>
      <c r="F885" s="5">
        <v>38800000</v>
      </c>
      <c r="G885" s="5">
        <v>41800000</v>
      </c>
      <c r="H885" s="5">
        <f>M885*26000*1.20565</f>
        <v>44195994.310000002</v>
      </c>
      <c r="I885" s="5">
        <f>G885-H885</f>
        <v>-2395994.3100000024</v>
      </c>
      <c r="J885" s="5">
        <v>3000000</v>
      </c>
      <c r="K885" s="5">
        <v>3880000</v>
      </c>
      <c r="L885" s="5">
        <v>4180000</v>
      </c>
      <c r="M885" s="7">
        <v>1409.9</v>
      </c>
      <c r="N885" s="5">
        <v>39300000</v>
      </c>
      <c r="O885" s="5">
        <v>42300000</v>
      </c>
      <c r="P885" s="3">
        <v>0.97916666666666663</v>
      </c>
    </row>
    <row r="886" spans="1:16" x14ac:dyDescent="0.25">
      <c r="A886" t="s">
        <v>552</v>
      </c>
      <c r="B886" s="2">
        <v>43661</v>
      </c>
      <c r="C886" t="str">
        <f>TEXT(B886,"mm")</f>
        <v>07</v>
      </c>
      <c r="D886" t="s">
        <v>16</v>
      </c>
      <c r="E886" t="s">
        <v>1636</v>
      </c>
      <c r="F886" s="5">
        <v>38800000</v>
      </c>
      <c r="G886" s="5">
        <v>41800000</v>
      </c>
      <c r="H886" s="5">
        <f>M886*26000*1.20565</f>
        <v>44243014.660000004</v>
      </c>
      <c r="I886" s="5">
        <f>G886-H886</f>
        <v>-2443014.6600000039</v>
      </c>
      <c r="J886" s="5">
        <v>3000000</v>
      </c>
      <c r="K886" s="5">
        <v>3880000</v>
      </c>
      <c r="L886" s="5">
        <v>4180000</v>
      </c>
      <c r="M886" s="7">
        <v>1411.4</v>
      </c>
      <c r="N886" s="5">
        <v>39300000</v>
      </c>
      <c r="O886" s="5">
        <v>42300000</v>
      </c>
      <c r="P886" s="3">
        <v>0.97916666666666663</v>
      </c>
    </row>
    <row r="887" spans="1:16" x14ac:dyDescent="0.25">
      <c r="A887" t="s">
        <v>553</v>
      </c>
      <c r="B887" s="2">
        <v>43662</v>
      </c>
      <c r="C887" t="str">
        <f>TEXT(B887,"mm")</f>
        <v>07</v>
      </c>
      <c r="D887" t="s">
        <v>18</v>
      </c>
      <c r="E887" t="s">
        <v>1636</v>
      </c>
      <c r="F887" s="5">
        <v>38800000</v>
      </c>
      <c r="G887" s="5">
        <v>41800000</v>
      </c>
      <c r="H887" s="5">
        <f>M887*26000*1.20565</f>
        <v>44174051.480000004</v>
      </c>
      <c r="I887" s="5">
        <f>G887-H887</f>
        <v>-2374051.4800000042</v>
      </c>
      <c r="J887" s="5">
        <v>3000000</v>
      </c>
      <c r="K887" s="5">
        <v>3880000</v>
      </c>
      <c r="L887" s="5">
        <v>4180000</v>
      </c>
      <c r="M887" s="7">
        <v>1409.2</v>
      </c>
      <c r="N887" s="5">
        <v>39300000</v>
      </c>
      <c r="O887" s="5">
        <v>42300000</v>
      </c>
      <c r="P887" s="3">
        <v>0.97916666666666663</v>
      </c>
    </row>
    <row r="888" spans="1:16" x14ac:dyDescent="0.25">
      <c r="A888" t="s">
        <v>554</v>
      </c>
      <c r="B888" s="2">
        <v>43663</v>
      </c>
      <c r="C888" t="str">
        <f>TEXT(B888,"mm")</f>
        <v>07</v>
      </c>
      <c r="D888" t="s">
        <v>19</v>
      </c>
      <c r="E888" t="s">
        <v>1636</v>
      </c>
      <c r="F888" s="5">
        <v>39100000</v>
      </c>
      <c r="G888" s="5">
        <v>42100000</v>
      </c>
      <c r="H888" s="5">
        <f>M888*26000*1.20565</f>
        <v>44553348.970000006</v>
      </c>
      <c r="I888" s="5">
        <f>G888-H888</f>
        <v>-2453348.9700000063</v>
      </c>
      <c r="J888" s="5">
        <v>3000000</v>
      </c>
      <c r="K888" s="5">
        <v>3910000</v>
      </c>
      <c r="L888" s="5">
        <v>4210000</v>
      </c>
      <c r="M888" s="7">
        <v>1421.3</v>
      </c>
      <c r="N888" s="5">
        <v>39600000</v>
      </c>
      <c r="O888" s="5">
        <v>42600000</v>
      </c>
      <c r="P888" s="3">
        <v>0.97916666666666663</v>
      </c>
    </row>
    <row r="889" spans="1:16" x14ac:dyDescent="0.25">
      <c r="A889" t="s">
        <v>555</v>
      </c>
      <c r="B889" s="2">
        <v>43664</v>
      </c>
      <c r="C889" t="str">
        <f>TEXT(B889,"mm")</f>
        <v>07</v>
      </c>
      <c r="D889" t="s">
        <v>20</v>
      </c>
      <c r="E889" t="s">
        <v>1636</v>
      </c>
      <c r="F889" s="5">
        <v>39300000</v>
      </c>
      <c r="G889" s="5">
        <v>42300000</v>
      </c>
      <c r="H889" s="5">
        <f>M889*26000*1.20565</f>
        <v>44703814.090000004</v>
      </c>
      <c r="I889" s="5">
        <f>G889-H889</f>
        <v>-2403814.0900000036</v>
      </c>
      <c r="J889" s="5">
        <v>3000000</v>
      </c>
      <c r="K889" s="5">
        <v>3930000</v>
      </c>
      <c r="L889" s="5">
        <v>4230000</v>
      </c>
      <c r="M889" s="7">
        <v>1426.1</v>
      </c>
      <c r="N889" s="5">
        <v>39800000</v>
      </c>
      <c r="O889" s="5">
        <v>42800000</v>
      </c>
      <c r="P889" s="3">
        <v>0.97916666666666663</v>
      </c>
    </row>
    <row r="890" spans="1:16" x14ac:dyDescent="0.25">
      <c r="A890" t="s">
        <v>556</v>
      </c>
      <c r="B890" s="2">
        <v>43665</v>
      </c>
      <c r="C890" t="str">
        <f>TEXT(B890,"mm")</f>
        <v>07</v>
      </c>
      <c r="D890" t="s">
        <v>21</v>
      </c>
      <c r="E890" t="s">
        <v>1636</v>
      </c>
      <c r="F890" s="5">
        <v>39300000</v>
      </c>
      <c r="G890" s="5">
        <v>42300000</v>
      </c>
      <c r="H890" s="5">
        <f>M890*26000*1.20565</f>
        <v>44672467.190000005</v>
      </c>
      <c r="I890" s="5">
        <f>G890-H890</f>
        <v>-2372467.1900000051</v>
      </c>
      <c r="J890" s="5">
        <v>3000000</v>
      </c>
      <c r="K890" s="5">
        <v>3930000</v>
      </c>
      <c r="L890" s="5">
        <v>4230000</v>
      </c>
      <c r="M890" s="7">
        <v>1425.1</v>
      </c>
      <c r="N890" s="5">
        <v>39800000</v>
      </c>
      <c r="O890" s="5">
        <v>42800000</v>
      </c>
      <c r="P890" s="3">
        <v>0.97916666666666663</v>
      </c>
    </row>
    <row r="891" spans="1:16" x14ac:dyDescent="0.25">
      <c r="A891" t="s">
        <v>557</v>
      </c>
      <c r="B891" s="2">
        <v>43668</v>
      </c>
      <c r="C891" t="str">
        <f>TEXT(B891,"mm")</f>
        <v>07</v>
      </c>
      <c r="D891" t="s">
        <v>16</v>
      </c>
      <c r="E891" t="s">
        <v>1636</v>
      </c>
      <c r="F891" s="5">
        <v>39300000</v>
      </c>
      <c r="G891" s="5">
        <v>42300000</v>
      </c>
      <c r="H891" s="5">
        <f>M891*26000*1.20565</f>
        <v>44678736.570000008</v>
      </c>
      <c r="I891" s="5">
        <f>G891-H891</f>
        <v>-2378736.5700000077</v>
      </c>
      <c r="J891" s="5">
        <v>3000000</v>
      </c>
      <c r="K891" s="5">
        <v>3930000</v>
      </c>
      <c r="L891" s="5">
        <v>4230000</v>
      </c>
      <c r="M891" s="7">
        <v>1425.3</v>
      </c>
      <c r="N891" s="5">
        <v>39800000</v>
      </c>
      <c r="O891" s="5">
        <v>42800000</v>
      </c>
      <c r="P891" s="3">
        <v>0.97916666666666663</v>
      </c>
    </row>
    <row r="892" spans="1:16" x14ac:dyDescent="0.25">
      <c r="A892" t="s">
        <v>558</v>
      </c>
      <c r="B892" s="2">
        <v>43669</v>
      </c>
      <c r="C892" t="str">
        <f>TEXT(B892,"mm")</f>
        <v>07</v>
      </c>
      <c r="D892" t="s">
        <v>18</v>
      </c>
      <c r="E892" t="s">
        <v>1636</v>
      </c>
      <c r="F892" s="5">
        <v>39100000</v>
      </c>
      <c r="G892" s="5">
        <v>42100000</v>
      </c>
      <c r="H892" s="5">
        <f>M892*26000*1.20565</f>
        <v>44515732.690000005</v>
      </c>
      <c r="I892" s="5">
        <f>G892-H892</f>
        <v>-2415732.6900000051</v>
      </c>
      <c r="J892" s="5">
        <v>3000000</v>
      </c>
      <c r="K892" s="5">
        <v>3910000</v>
      </c>
      <c r="L892" s="5">
        <v>4210000</v>
      </c>
      <c r="M892" s="7">
        <v>1420.1</v>
      </c>
      <c r="N892" s="5">
        <v>39600000</v>
      </c>
      <c r="O892" s="5">
        <v>42600000</v>
      </c>
      <c r="P892" s="3">
        <v>0.97916666666666663</v>
      </c>
    </row>
    <row r="893" spans="1:16" x14ac:dyDescent="0.25">
      <c r="A893" t="s">
        <v>559</v>
      </c>
      <c r="B893" s="2">
        <v>43670</v>
      </c>
      <c r="C893" t="str">
        <f>TEXT(B893,"mm")</f>
        <v>07</v>
      </c>
      <c r="D893" t="s">
        <v>19</v>
      </c>
      <c r="E893" t="s">
        <v>1636</v>
      </c>
      <c r="F893" s="5">
        <v>39200000</v>
      </c>
      <c r="G893" s="5">
        <v>42200000</v>
      </c>
      <c r="H893" s="5">
        <f>M893*26000*1.20565</f>
        <v>44600369.320000008</v>
      </c>
      <c r="I893" s="5">
        <f>G893-H893</f>
        <v>-2400369.3200000077</v>
      </c>
      <c r="J893" s="5">
        <v>3000000</v>
      </c>
      <c r="K893" s="5">
        <v>3920000</v>
      </c>
      <c r="L893" s="5">
        <v>4220000</v>
      </c>
      <c r="M893" s="7">
        <v>1422.8</v>
      </c>
      <c r="N893" s="5">
        <v>39700000</v>
      </c>
      <c r="O893" s="5">
        <v>42700000</v>
      </c>
      <c r="P893" s="3">
        <v>0.97916666666666663</v>
      </c>
    </row>
    <row r="894" spans="1:16" x14ac:dyDescent="0.25">
      <c r="A894" t="s">
        <v>560</v>
      </c>
      <c r="B894" s="2">
        <v>43671</v>
      </c>
      <c r="C894" t="str">
        <f>TEXT(B894,"mm")</f>
        <v>07</v>
      </c>
      <c r="D894" t="s">
        <v>20</v>
      </c>
      <c r="E894" t="s">
        <v>1636</v>
      </c>
      <c r="F894" s="5">
        <v>38900000</v>
      </c>
      <c r="G894" s="5">
        <v>41900000</v>
      </c>
      <c r="H894" s="5">
        <f>M894*26000*1.20565</f>
        <v>44321381.910000004</v>
      </c>
      <c r="I894" s="5">
        <f>G894-H894</f>
        <v>-2421381.9100000039</v>
      </c>
      <c r="J894" s="5">
        <v>3000000</v>
      </c>
      <c r="K894" s="5">
        <v>3890000</v>
      </c>
      <c r="L894" s="5">
        <v>4190000</v>
      </c>
      <c r="M894" s="7">
        <v>1413.9</v>
      </c>
      <c r="N894" s="5">
        <v>39400000</v>
      </c>
      <c r="O894" s="5">
        <v>42400000</v>
      </c>
      <c r="P894" s="3">
        <v>0.97916666666666663</v>
      </c>
    </row>
    <row r="895" spans="1:16" x14ac:dyDescent="0.25">
      <c r="A895" t="s">
        <v>561</v>
      </c>
      <c r="B895" s="2">
        <v>43672</v>
      </c>
      <c r="C895" t="str">
        <f>TEXT(B895,"mm")</f>
        <v>07</v>
      </c>
      <c r="D895" t="s">
        <v>21</v>
      </c>
      <c r="E895" t="s">
        <v>1636</v>
      </c>
      <c r="F895" s="5">
        <v>39100000</v>
      </c>
      <c r="G895" s="5">
        <v>42100000</v>
      </c>
      <c r="H895" s="5">
        <f>M895*26000*1.20565</f>
        <v>44465577.650000006</v>
      </c>
      <c r="I895" s="5">
        <f>G895-H895</f>
        <v>-2365577.650000006</v>
      </c>
      <c r="J895" s="5">
        <v>3000000</v>
      </c>
      <c r="K895" s="5">
        <v>3910000</v>
      </c>
      <c r="L895" s="5">
        <v>4210000</v>
      </c>
      <c r="M895" s="7">
        <v>1418.5</v>
      </c>
      <c r="N895" s="5">
        <v>39600000</v>
      </c>
      <c r="O895" s="5">
        <v>42600000</v>
      </c>
      <c r="P895" s="3">
        <v>0.97916666666666663</v>
      </c>
    </row>
    <row r="896" spans="1:16" x14ac:dyDescent="0.25">
      <c r="A896" t="s">
        <v>562</v>
      </c>
      <c r="B896" s="2">
        <v>43675</v>
      </c>
      <c r="C896" t="str">
        <f>TEXT(B896,"mm")</f>
        <v>07</v>
      </c>
      <c r="D896" t="s">
        <v>16</v>
      </c>
      <c r="E896" t="s">
        <v>1636</v>
      </c>
      <c r="F896" s="5">
        <v>39100000</v>
      </c>
      <c r="G896" s="5">
        <v>42100000</v>
      </c>
      <c r="H896" s="5">
        <f>M896*26000*1.20565</f>
        <v>44500059.240000002</v>
      </c>
      <c r="I896" s="5">
        <f>G896-H896</f>
        <v>-2400059.2400000021</v>
      </c>
      <c r="J896" s="5">
        <v>3000000</v>
      </c>
      <c r="K896" s="5">
        <v>3910000</v>
      </c>
      <c r="L896" s="5">
        <v>4210000</v>
      </c>
      <c r="M896" s="7">
        <v>1419.6</v>
      </c>
      <c r="N896" s="5">
        <v>39600000</v>
      </c>
      <c r="O896" s="5">
        <v>42600000</v>
      </c>
      <c r="P896" s="3">
        <v>0.97916666666666663</v>
      </c>
    </row>
    <row r="897" spans="1:16" x14ac:dyDescent="0.25">
      <c r="A897" t="s">
        <v>563</v>
      </c>
      <c r="B897" s="2">
        <v>43676</v>
      </c>
      <c r="C897" t="str">
        <f>TEXT(B897,"mm")</f>
        <v>07</v>
      </c>
      <c r="D897" t="s">
        <v>18</v>
      </c>
      <c r="E897" t="s">
        <v>1636</v>
      </c>
      <c r="F897" s="5">
        <v>39400000</v>
      </c>
      <c r="G897" s="5">
        <v>42400000</v>
      </c>
      <c r="H897" s="5">
        <f>M897*26000*1.20565</f>
        <v>44816662.930000007</v>
      </c>
      <c r="I897" s="5">
        <f>G897-H897</f>
        <v>-2416662.9300000072</v>
      </c>
      <c r="J897" s="5">
        <v>3000000</v>
      </c>
      <c r="K897" s="5">
        <v>3940000</v>
      </c>
      <c r="L897" s="5">
        <v>4240000</v>
      </c>
      <c r="M897" s="7">
        <v>1429.7</v>
      </c>
      <c r="N897" s="5">
        <v>39900000</v>
      </c>
      <c r="O897" s="5">
        <v>42900000</v>
      </c>
      <c r="P897" s="3">
        <v>0.97916666666666663</v>
      </c>
    </row>
    <row r="898" spans="1:16" x14ac:dyDescent="0.25">
      <c r="A898" t="s">
        <v>564</v>
      </c>
      <c r="B898" s="2">
        <v>43677</v>
      </c>
      <c r="C898" t="str">
        <f>TEXT(B898,"mm")</f>
        <v>07</v>
      </c>
      <c r="D898" t="s">
        <v>19</v>
      </c>
      <c r="E898" t="s">
        <v>1636</v>
      </c>
      <c r="F898" s="5">
        <v>39300000</v>
      </c>
      <c r="G898" s="5">
        <v>42300000</v>
      </c>
      <c r="H898" s="5">
        <f>M898*26000*1.20565</f>
        <v>44703814.090000004</v>
      </c>
      <c r="I898" s="5">
        <f>G898-H898</f>
        <v>-2403814.0900000036</v>
      </c>
      <c r="J898" s="5">
        <v>3000000</v>
      </c>
      <c r="K898" s="5">
        <v>3930000</v>
      </c>
      <c r="L898" s="5">
        <v>4230000</v>
      </c>
      <c r="M898" s="7">
        <v>1426.1</v>
      </c>
      <c r="N898" s="5">
        <v>39800000</v>
      </c>
      <c r="O898" s="5">
        <v>42800000</v>
      </c>
      <c r="P898" s="3">
        <v>0.97916666666666663</v>
      </c>
    </row>
    <row r="899" spans="1:16" x14ac:dyDescent="0.25">
      <c r="A899" s="2">
        <v>43473</v>
      </c>
      <c r="B899" s="2">
        <v>43678</v>
      </c>
      <c r="C899" t="str">
        <f>TEXT(B899,"mm")</f>
        <v>08</v>
      </c>
      <c r="D899" t="s">
        <v>20</v>
      </c>
      <c r="E899" t="s">
        <v>1636</v>
      </c>
      <c r="F899" s="5">
        <v>39100000</v>
      </c>
      <c r="G899" s="5">
        <v>42100000</v>
      </c>
      <c r="H899" s="5">
        <f>M899*26000*1.20565</f>
        <v>44540810.210000001</v>
      </c>
      <c r="I899" s="5">
        <f>G899-H899</f>
        <v>-2440810.2100000009</v>
      </c>
      <c r="J899" s="5">
        <v>3000000</v>
      </c>
      <c r="K899" s="5">
        <v>3910000</v>
      </c>
      <c r="L899" s="5">
        <v>4210000</v>
      </c>
      <c r="M899" s="7">
        <v>1420.9</v>
      </c>
      <c r="N899" s="5">
        <v>39600000</v>
      </c>
      <c r="O899" s="5">
        <v>42600000</v>
      </c>
      <c r="P899" s="3">
        <v>0.97916666666666663</v>
      </c>
    </row>
    <row r="900" spans="1:16" x14ac:dyDescent="0.25">
      <c r="A900" s="2">
        <v>43504</v>
      </c>
      <c r="B900" s="2">
        <v>43679</v>
      </c>
      <c r="C900" t="str">
        <f>TEXT(B900,"mm")</f>
        <v>08</v>
      </c>
      <c r="D900" t="s">
        <v>21</v>
      </c>
      <c r="E900" t="s">
        <v>1636</v>
      </c>
      <c r="F900" s="5">
        <v>39900000</v>
      </c>
      <c r="G900" s="5">
        <v>42900000</v>
      </c>
      <c r="H900" s="5">
        <f>M900*26000*1.20565</f>
        <v>45315078.640000001</v>
      </c>
      <c r="I900" s="5">
        <f>G900-H900</f>
        <v>-2415078.6400000006</v>
      </c>
      <c r="J900" s="5">
        <v>3000000</v>
      </c>
      <c r="K900" s="5">
        <v>3990000</v>
      </c>
      <c r="L900" s="5">
        <v>4290000</v>
      </c>
      <c r="M900" s="7">
        <v>1445.6</v>
      </c>
      <c r="N900" s="5">
        <v>40400000</v>
      </c>
      <c r="O900" s="5">
        <v>43400000</v>
      </c>
      <c r="P900" s="3">
        <v>0.97916666666666663</v>
      </c>
    </row>
    <row r="901" spans="1:16" x14ac:dyDescent="0.25">
      <c r="A901" s="2">
        <v>43593</v>
      </c>
      <c r="B901" s="2">
        <v>43682</v>
      </c>
      <c r="C901" t="str">
        <f>TEXT(B901,"mm")</f>
        <v>08</v>
      </c>
      <c r="D901" t="s">
        <v>16</v>
      </c>
      <c r="E901" t="s">
        <v>1636</v>
      </c>
      <c r="F901" s="5">
        <v>40400000</v>
      </c>
      <c r="G901" s="5">
        <v>43400000</v>
      </c>
      <c r="H901" s="5">
        <f>M901*26000*1.20565</f>
        <v>45910669.740000002</v>
      </c>
      <c r="I901" s="5">
        <f>G901-H901</f>
        <v>-2510669.7400000021</v>
      </c>
      <c r="J901" s="5">
        <v>3000000</v>
      </c>
      <c r="K901" s="5">
        <v>4040000</v>
      </c>
      <c r="L901" s="5">
        <v>4340000</v>
      </c>
      <c r="M901" s="7">
        <v>1464.6</v>
      </c>
      <c r="N901" s="5">
        <v>40900000</v>
      </c>
      <c r="O901" s="5">
        <v>43900000</v>
      </c>
      <c r="P901" s="3">
        <v>0.97916666666666663</v>
      </c>
    </row>
    <row r="902" spans="1:16" x14ac:dyDescent="0.25">
      <c r="A902" s="2">
        <v>43624</v>
      </c>
      <c r="B902" s="2">
        <v>43683</v>
      </c>
      <c r="C902" t="str">
        <f>TEXT(B902,"mm")</f>
        <v>08</v>
      </c>
      <c r="D902" t="s">
        <v>18</v>
      </c>
      <c r="E902" t="s">
        <v>1636</v>
      </c>
      <c r="F902" s="5">
        <v>40700000</v>
      </c>
      <c r="G902" s="5">
        <v>43700000</v>
      </c>
      <c r="H902" s="5">
        <f>M902*26000*1.20565</f>
        <v>46155175.560000002</v>
      </c>
      <c r="I902" s="5">
        <f>G902-H902</f>
        <v>-2455175.5600000024</v>
      </c>
      <c r="J902" s="5">
        <v>3000000</v>
      </c>
      <c r="K902" s="5">
        <v>4070000</v>
      </c>
      <c r="L902" s="5">
        <v>4370000</v>
      </c>
      <c r="M902" s="7">
        <v>1472.4</v>
      </c>
      <c r="N902" s="5">
        <v>41200000</v>
      </c>
      <c r="O902" s="5">
        <v>44200000</v>
      </c>
      <c r="P902" s="3">
        <v>0.97916666666666663</v>
      </c>
    </row>
    <row r="903" spans="1:16" x14ac:dyDescent="0.25">
      <c r="A903" s="2">
        <v>43654</v>
      </c>
      <c r="B903" s="2">
        <v>43684</v>
      </c>
      <c r="C903" t="str">
        <f>TEXT(B903,"mm")</f>
        <v>08</v>
      </c>
      <c r="D903" t="s">
        <v>19</v>
      </c>
      <c r="E903" t="s">
        <v>1636</v>
      </c>
      <c r="F903" s="5">
        <v>41700000</v>
      </c>
      <c r="G903" s="5">
        <v>44700000</v>
      </c>
      <c r="H903" s="5">
        <f>M903*26000*1.20565</f>
        <v>47249182.370000005</v>
      </c>
      <c r="I903" s="5">
        <f>G903-H903</f>
        <v>-2549182.3700000048</v>
      </c>
      <c r="J903" s="5">
        <v>3000000</v>
      </c>
      <c r="K903" s="5">
        <v>4170000</v>
      </c>
      <c r="L903" s="5">
        <v>4470000</v>
      </c>
      <c r="M903" s="7">
        <v>1507.3</v>
      </c>
      <c r="N903" s="5">
        <v>42200000</v>
      </c>
      <c r="O903" s="5">
        <v>45200000</v>
      </c>
      <c r="P903" s="3">
        <v>0.97916666666666663</v>
      </c>
    </row>
    <row r="904" spans="1:16" x14ac:dyDescent="0.25">
      <c r="A904" s="2">
        <v>43685</v>
      </c>
      <c r="B904" s="2">
        <v>43685</v>
      </c>
      <c r="C904" t="str">
        <f>TEXT(B904,"mm")</f>
        <v>08</v>
      </c>
      <c r="D904" t="s">
        <v>20</v>
      </c>
      <c r="E904" t="s">
        <v>1636</v>
      </c>
      <c r="F904" s="5">
        <v>41400000</v>
      </c>
      <c r="G904" s="5">
        <v>44400000</v>
      </c>
      <c r="H904" s="5">
        <f>M904*26000*1.20565</f>
        <v>46948252.130000003</v>
      </c>
      <c r="I904" s="5">
        <f>G904-H904</f>
        <v>-2548252.1300000027</v>
      </c>
      <c r="J904" s="5">
        <v>3000000</v>
      </c>
      <c r="K904" s="5">
        <v>4140000</v>
      </c>
      <c r="L904" s="5">
        <v>4440000</v>
      </c>
      <c r="M904" s="7">
        <v>1497.7</v>
      </c>
      <c r="N904" s="5">
        <v>41900000</v>
      </c>
      <c r="O904" s="5">
        <v>44900000</v>
      </c>
      <c r="P904" s="3">
        <v>0.97916666666666663</v>
      </c>
    </row>
    <row r="905" spans="1:16" x14ac:dyDescent="0.25">
      <c r="A905" s="2">
        <v>43716</v>
      </c>
      <c r="B905" s="2">
        <v>43686</v>
      </c>
      <c r="C905" t="str">
        <f>TEXT(B905,"mm")</f>
        <v>08</v>
      </c>
      <c r="D905" t="s">
        <v>21</v>
      </c>
      <c r="E905" t="s">
        <v>1636</v>
      </c>
      <c r="F905" s="5">
        <v>41400000</v>
      </c>
      <c r="G905" s="5">
        <v>44400000</v>
      </c>
      <c r="H905" s="5">
        <f>M905*26000*1.20565</f>
        <v>46913770.540000007</v>
      </c>
      <c r="I905" s="5">
        <f>G905-H905</f>
        <v>-2513770.5400000066</v>
      </c>
      <c r="J905" s="5">
        <v>3000000</v>
      </c>
      <c r="K905" s="5">
        <v>4140000</v>
      </c>
      <c r="L905" s="5">
        <v>4440000</v>
      </c>
      <c r="M905" s="7">
        <v>1496.6</v>
      </c>
      <c r="N905" s="5">
        <v>41900000</v>
      </c>
      <c r="O905" s="5">
        <v>44900000</v>
      </c>
      <c r="P905" s="3">
        <v>0.97916666666666663</v>
      </c>
    </row>
    <row r="906" spans="1:16" x14ac:dyDescent="0.25">
      <c r="A906" s="2">
        <v>43807</v>
      </c>
      <c r="B906" s="2">
        <v>43689</v>
      </c>
      <c r="C906" t="str">
        <f>TEXT(B906,"mm")</f>
        <v>08</v>
      </c>
      <c r="D906" t="s">
        <v>16</v>
      </c>
      <c r="E906" t="s">
        <v>1636</v>
      </c>
      <c r="F906" s="5">
        <v>41600000</v>
      </c>
      <c r="G906" s="5">
        <v>44600000</v>
      </c>
      <c r="H906" s="5">
        <f>M906*26000*1.20565</f>
        <v>47186488.570000008</v>
      </c>
      <c r="I906" s="5">
        <f>G906-H906</f>
        <v>-2586488.5700000077</v>
      </c>
      <c r="J906" s="5">
        <v>3000000</v>
      </c>
      <c r="K906" s="5">
        <v>4160000</v>
      </c>
      <c r="L906" s="5">
        <v>4460000</v>
      </c>
      <c r="M906" s="7">
        <v>1505.3</v>
      </c>
      <c r="N906" s="5">
        <v>42100000</v>
      </c>
      <c r="O906" s="5">
        <v>45100000</v>
      </c>
      <c r="P906" s="3">
        <v>0.97916666666666663</v>
      </c>
    </row>
    <row r="907" spans="1:16" x14ac:dyDescent="0.25">
      <c r="A907" t="s">
        <v>565</v>
      </c>
      <c r="B907" s="2">
        <v>43690</v>
      </c>
      <c r="C907" t="str">
        <f>TEXT(B907,"mm")</f>
        <v>08</v>
      </c>
      <c r="D907" t="s">
        <v>18</v>
      </c>
      <c r="E907" t="s">
        <v>1636</v>
      </c>
      <c r="F907" s="5">
        <v>41500000</v>
      </c>
      <c r="G907" s="5">
        <v>44500000</v>
      </c>
      <c r="H907" s="5">
        <f>M907*26000*1.20565</f>
        <v>47089313.180000007</v>
      </c>
      <c r="I907" s="5">
        <f>G907-H907</f>
        <v>-2589313.1800000072</v>
      </c>
      <c r="J907" s="5">
        <v>3000000</v>
      </c>
      <c r="K907" s="5">
        <v>4150000</v>
      </c>
      <c r="L907" s="5">
        <v>4450000</v>
      </c>
      <c r="M907" s="7">
        <v>1502.2</v>
      </c>
      <c r="N907" s="5">
        <v>42000000</v>
      </c>
      <c r="O907" s="5">
        <v>45000000</v>
      </c>
      <c r="P907" s="3">
        <v>0.97916666666666663</v>
      </c>
    </row>
    <row r="908" spans="1:16" x14ac:dyDescent="0.25">
      <c r="A908" t="s">
        <v>566</v>
      </c>
      <c r="B908" s="2">
        <v>43691</v>
      </c>
      <c r="C908" t="str">
        <f>TEXT(B908,"mm")</f>
        <v>08</v>
      </c>
      <c r="D908" t="s">
        <v>19</v>
      </c>
      <c r="E908" t="s">
        <v>1636</v>
      </c>
      <c r="F908" s="5">
        <v>41900000</v>
      </c>
      <c r="G908" s="5">
        <v>44900000</v>
      </c>
      <c r="H908" s="5">
        <f>M908*26000*1.20565</f>
        <v>47518765.710000001</v>
      </c>
      <c r="I908" s="5">
        <f>G908-H908</f>
        <v>-2618765.7100000009</v>
      </c>
      <c r="J908" s="5">
        <v>3000000</v>
      </c>
      <c r="K908" s="5">
        <v>4190000</v>
      </c>
      <c r="L908" s="5">
        <v>4490000</v>
      </c>
      <c r="M908" s="7">
        <v>1515.9</v>
      </c>
      <c r="N908" s="5">
        <v>42400000</v>
      </c>
      <c r="O908" s="5">
        <v>45400000</v>
      </c>
      <c r="P908" s="3">
        <v>0.97916666666666663</v>
      </c>
    </row>
    <row r="909" spans="1:16" x14ac:dyDescent="0.25">
      <c r="A909" t="s">
        <v>567</v>
      </c>
      <c r="B909" s="2">
        <v>43692</v>
      </c>
      <c r="C909" t="str">
        <f>TEXT(B909,"mm")</f>
        <v>08</v>
      </c>
      <c r="D909" t="s">
        <v>20</v>
      </c>
      <c r="E909" t="s">
        <v>1636</v>
      </c>
      <c r="F909" s="5">
        <v>42100000</v>
      </c>
      <c r="G909" s="5">
        <v>45100000</v>
      </c>
      <c r="H909" s="5">
        <f>M909*26000*1.20565</f>
        <v>47634749.240000002</v>
      </c>
      <c r="I909" s="5">
        <f>G909-H909</f>
        <v>-2534749.2400000021</v>
      </c>
      <c r="J909" s="5">
        <v>3000000</v>
      </c>
      <c r="K909" s="5">
        <v>4210000</v>
      </c>
      <c r="L909" s="5">
        <v>4510000</v>
      </c>
      <c r="M909" s="7">
        <v>1519.6</v>
      </c>
      <c r="N909" s="5">
        <v>42600000</v>
      </c>
      <c r="O909" s="5">
        <v>45600000</v>
      </c>
      <c r="P909" s="3">
        <v>0.97916666666666663</v>
      </c>
    </row>
    <row r="910" spans="1:16" x14ac:dyDescent="0.25">
      <c r="A910" t="s">
        <v>568</v>
      </c>
      <c r="B910" s="2">
        <v>43693</v>
      </c>
      <c r="C910" t="str">
        <f>TEXT(B910,"mm")</f>
        <v>08</v>
      </c>
      <c r="D910" t="s">
        <v>21</v>
      </c>
      <c r="E910" t="s">
        <v>1636</v>
      </c>
      <c r="F910" s="5">
        <v>41800000</v>
      </c>
      <c r="G910" s="5">
        <v>44800000</v>
      </c>
      <c r="H910" s="5">
        <f>M910*26000*1.20565</f>
        <v>47412186.250000007</v>
      </c>
      <c r="I910" s="5">
        <f>G910-H910</f>
        <v>-2612186.2500000075</v>
      </c>
      <c r="J910" s="5">
        <v>3000000</v>
      </c>
      <c r="K910" s="5">
        <v>4180000</v>
      </c>
      <c r="L910" s="5">
        <v>4480000</v>
      </c>
      <c r="M910" s="7">
        <v>1512.5</v>
      </c>
      <c r="N910" s="5">
        <v>42300000</v>
      </c>
      <c r="O910" s="5">
        <v>45300000</v>
      </c>
      <c r="P910" s="3">
        <v>0.97916666666666663</v>
      </c>
    </row>
    <row r="911" spans="1:16" x14ac:dyDescent="0.25">
      <c r="A911" t="s">
        <v>569</v>
      </c>
      <c r="B911" s="2">
        <v>43696</v>
      </c>
      <c r="C911" t="str">
        <f>TEXT(B911,"mm")</f>
        <v>08</v>
      </c>
      <c r="D911" t="s">
        <v>16</v>
      </c>
      <c r="E911" t="s">
        <v>1636</v>
      </c>
      <c r="F911" s="5">
        <v>41500000</v>
      </c>
      <c r="G911" s="5">
        <v>44500000</v>
      </c>
      <c r="H911" s="5">
        <f>M911*26000*1.20565</f>
        <v>47032888.760000005</v>
      </c>
      <c r="I911" s="5">
        <f>G911-H911</f>
        <v>-2532888.7600000054</v>
      </c>
      <c r="J911" s="5">
        <v>3000000</v>
      </c>
      <c r="K911" s="5">
        <v>4150000</v>
      </c>
      <c r="L911" s="5">
        <v>4450000</v>
      </c>
      <c r="M911" s="7">
        <v>1500.4</v>
      </c>
      <c r="N911" s="5">
        <v>42000000</v>
      </c>
      <c r="O911" s="5">
        <v>45000000</v>
      </c>
      <c r="P911" s="3">
        <v>0.97916666666666663</v>
      </c>
    </row>
    <row r="912" spans="1:16" x14ac:dyDescent="0.25">
      <c r="A912" t="s">
        <v>570</v>
      </c>
      <c r="B912" s="2">
        <v>43697</v>
      </c>
      <c r="C912" t="str">
        <f>TEXT(B912,"mm")</f>
        <v>08</v>
      </c>
      <c r="D912" t="s">
        <v>18</v>
      </c>
      <c r="E912" t="s">
        <v>1636</v>
      </c>
      <c r="F912" s="5">
        <v>41600000</v>
      </c>
      <c r="G912" s="5">
        <v>44600000</v>
      </c>
      <c r="H912" s="5">
        <f>M912*26000*1.20565</f>
        <v>47164545.740000002</v>
      </c>
      <c r="I912" s="5">
        <f>G912-H912</f>
        <v>-2564545.7400000021</v>
      </c>
      <c r="J912" s="5">
        <v>3000000</v>
      </c>
      <c r="K912" s="5">
        <v>4160000</v>
      </c>
      <c r="L912" s="5">
        <v>4460000</v>
      </c>
      <c r="M912" s="7">
        <v>1504.6</v>
      </c>
      <c r="N912" s="5">
        <v>42100000</v>
      </c>
      <c r="O912" s="5">
        <v>45100000</v>
      </c>
      <c r="P912" s="3">
        <v>0.97916666666666663</v>
      </c>
    </row>
    <row r="913" spans="1:16" x14ac:dyDescent="0.25">
      <c r="A913" t="s">
        <v>571</v>
      </c>
      <c r="B913" s="2">
        <v>43698</v>
      </c>
      <c r="C913" t="str">
        <f>TEXT(B913,"mm")</f>
        <v>08</v>
      </c>
      <c r="D913" t="s">
        <v>19</v>
      </c>
      <c r="E913" t="s">
        <v>1636</v>
      </c>
      <c r="F913" s="5">
        <v>41600000</v>
      </c>
      <c r="G913" s="5">
        <v>44600000</v>
      </c>
      <c r="H913" s="5">
        <f>M913*26000*1.20565</f>
        <v>47164545.740000002</v>
      </c>
      <c r="I913" s="5">
        <f>G913-H913</f>
        <v>-2564545.7400000021</v>
      </c>
      <c r="J913" s="5">
        <v>3000000</v>
      </c>
      <c r="K913" s="5">
        <v>4160000</v>
      </c>
      <c r="L913" s="5">
        <v>4460000</v>
      </c>
      <c r="M913" s="7">
        <v>1504.6</v>
      </c>
      <c r="N913" s="5">
        <v>42100000</v>
      </c>
      <c r="O913" s="5">
        <v>45100000</v>
      </c>
      <c r="P913" s="3">
        <v>0.97916666666666663</v>
      </c>
    </row>
    <row r="914" spans="1:16" x14ac:dyDescent="0.25">
      <c r="A914" t="s">
        <v>572</v>
      </c>
      <c r="B914" s="2">
        <v>43699</v>
      </c>
      <c r="C914" t="str">
        <f>TEXT(B914,"mm")</f>
        <v>08</v>
      </c>
      <c r="D914" t="s">
        <v>20</v>
      </c>
      <c r="E914" t="s">
        <v>1636</v>
      </c>
      <c r="F914" s="5">
        <v>41400000</v>
      </c>
      <c r="G914" s="5">
        <v>44400000</v>
      </c>
      <c r="H914" s="5">
        <f>M914*26000*1.20565</f>
        <v>46935713.370000005</v>
      </c>
      <c r="I914" s="5">
        <f>G914-H914</f>
        <v>-2535713.3700000048</v>
      </c>
      <c r="J914" s="5">
        <v>3000000</v>
      </c>
      <c r="K914" s="5">
        <v>4140000</v>
      </c>
      <c r="L914" s="5">
        <v>4440000</v>
      </c>
      <c r="M914" s="7">
        <v>1497.3</v>
      </c>
      <c r="N914" s="5">
        <v>41900000</v>
      </c>
      <c r="O914" s="5">
        <v>44900000</v>
      </c>
      <c r="P914" s="3">
        <v>0.97916666666666663</v>
      </c>
    </row>
    <row r="915" spans="1:16" x14ac:dyDescent="0.25">
      <c r="A915" t="s">
        <v>573</v>
      </c>
      <c r="B915" s="2">
        <v>43700</v>
      </c>
      <c r="C915" t="str">
        <f>TEXT(B915,"mm")</f>
        <v>08</v>
      </c>
      <c r="D915" t="s">
        <v>21</v>
      </c>
      <c r="E915" t="s">
        <v>1636</v>
      </c>
      <c r="F915" s="5">
        <v>42300000</v>
      </c>
      <c r="G915" s="5">
        <v>45300000</v>
      </c>
      <c r="H915" s="5">
        <f>M915*26000*1.20565</f>
        <v>47854177.540000007</v>
      </c>
      <c r="I915" s="5">
        <f>G915-H915</f>
        <v>-2554177.5400000066</v>
      </c>
      <c r="J915" s="5">
        <v>3000000</v>
      </c>
      <c r="K915" s="5">
        <v>4230000</v>
      </c>
      <c r="L915" s="5">
        <v>4530000</v>
      </c>
      <c r="M915" s="7">
        <v>1526.6</v>
      </c>
      <c r="N915" s="5">
        <v>42800000</v>
      </c>
      <c r="O915" s="5">
        <v>45800000</v>
      </c>
      <c r="P915" s="3">
        <v>0.97916666666666663</v>
      </c>
    </row>
    <row r="916" spans="1:16" x14ac:dyDescent="0.25">
      <c r="A916" t="s">
        <v>574</v>
      </c>
      <c r="B916" s="2">
        <v>43703</v>
      </c>
      <c r="C916" t="str">
        <f>TEXT(B916,"mm")</f>
        <v>08</v>
      </c>
      <c r="D916" t="s">
        <v>16</v>
      </c>
      <c r="E916" t="s">
        <v>1636</v>
      </c>
      <c r="F916" s="5">
        <v>42300000</v>
      </c>
      <c r="G916" s="5">
        <v>45300000</v>
      </c>
      <c r="H916" s="5">
        <f>M916*26000*1.20565</f>
        <v>47844773.470000006</v>
      </c>
      <c r="I916" s="5">
        <f>G916-H916</f>
        <v>-2544773.4700000063</v>
      </c>
      <c r="J916" s="5">
        <v>3000000</v>
      </c>
      <c r="K916" s="5">
        <v>4230000</v>
      </c>
      <c r="L916" s="5">
        <v>4530000</v>
      </c>
      <c r="M916" s="7">
        <v>1526.3</v>
      </c>
      <c r="N916" s="5">
        <v>42800000</v>
      </c>
      <c r="O916" s="5">
        <v>45800000</v>
      </c>
      <c r="P916" s="3">
        <v>0.97916666666666663</v>
      </c>
    </row>
    <row r="917" spans="1:16" x14ac:dyDescent="0.25">
      <c r="A917" t="s">
        <v>575</v>
      </c>
      <c r="B917" s="2">
        <v>43704</v>
      </c>
      <c r="C917" t="str">
        <f>TEXT(B917,"mm")</f>
        <v>08</v>
      </c>
      <c r="D917" t="s">
        <v>18</v>
      </c>
      <c r="E917" t="s">
        <v>1636</v>
      </c>
      <c r="F917" s="5">
        <v>42700000</v>
      </c>
      <c r="G917" s="5">
        <v>45700000</v>
      </c>
      <c r="H917" s="5">
        <f>M917*26000*1.20565</f>
        <v>48305572.900000006</v>
      </c>
      <c r="I917" s="5">
        <f>G917-H917</f>
        <v>-2605572.900000006</v>
      </c>
      <c r="J917" s="5">
        <v>3000000</v>
      </c>
      <c r="K917" s="5">
        <v>4270000</v>
      </c>
      <c r="L917" s="5">
        <v>4570000</v>
      </c>
      <c r="M917" s="7">
        <v>1541</v>
      </c>
      <c r="N917" s="5">
        <v>43200000</v>
      </c>
      <c r="O917" s="5">
        <v>46200000</v>
      </c>
      <c r="P917" s="3">
        <v>0.97916666666666663</v>
      </c>
    </row>
    <row r="918" spans="1:16" x14ac:dyDescent="0.25">
      <c r="A918" t="s">
        <v>576</v>
      </c>
      <c r="B918" s="2">
        <v>43705</v>
      </c>
      <c r="C918" t="str">
        <f>TEXT(B918,"mm")</f>
        <v>08</v>
      </c>
      <c r="D918" t="s">
        <v>19</v>
      </c>
      <c r="E918" t="s">
        <v>1636</v>
      </c>
      <c r="F918" s="5">
        <v>42600000</v>
      </c>
      <c r="G918" s="5">
        <v>45600000</v>
      </c>
      <c r="H918" s="5">
        <f>M918*26000*1.20565</f>
        <v>48205262.820000008</v>
      </c>
      <c r="I918" s="5">
        <f>G918-H918</f>
        <v>-2605262.8200000077</v>
      </c>
      <c r="J918" s="5">
        <v>3000000</v>
      </c>
      <c r="K918" s="5">
        <v>4260000</v>
      </c>
      <c r="L918" s="5">
        <v>4560000</v>
      </c>
      <c r="M918" s="7">
        <v>1537.8</v>
      </c>
      <c r="N918" s="5">
        <v>43100000</v>
      </c>
      <c r="O918" s="5">
        <v>46100000</v>
      </c>
      <c r="P918" s="3">
        <v>0.97916666666666663</v>
      </c>
    </row>
    <row r="919" spans="1:16" x14ac:dyDescent="0.25">
      <c r="A919" t="s">
        <v>577</v>
      </c>
      <c r="B919" s="2">
        <v>43706</v>
      </c>
      <c r="C919" t="str">
        <f>TEXT(B919,"mm")</f>
        <v>08</v>
      </c>
      <c r="D919" t="s">
        <v>20</v>
      </c>
      <c r="E919" t="s">
        <v>1636</v>
      </c>
      <c r="F919" s="5">
        <v>42300000</v>
      </c>
      <c r="G919" s="5">
        <v>45300000</v>
      </c>
      <c r="H919" s="5">
        <f>M919*26000*1.20565</f>
        <v>47851042.850000001</v>
      </c>
      <c r="I919" s="5">
        <f>G919-H919</f>
        <v>-2551042.8500000015</v>
      </c>
      <c r="J919" s="5">
        <v>3000000</v>
      </c>
      <c r="K919" s="5">
        <v>4230000</v>
      </c>
      <c r="L919" s="5">
        <v>4530000</v>
      </c>
      <c r="M919" s="7">
        <v>1526.5</v>
      </c>
      <c r="N919" s="5">
        <v>42800000</v>
      </c>
      <c r="O919" s="5">
        <v>45800000</v>
      </c>
      <c r="P919" s="3">
        <v>0.97916666666666663</v>
      </c>
    </row>
    <row r="920" spans="1:16" x14ac:dyDescent="0.25">
      <c r="A920" t="s">
        <v>578</v>
      </c>
      <c r="B920" s="2">
        <v>43707</v>
      </c>
      <c r="C920" t="str">
        <f>TEXT(B920,"mm")</f>
        <v>08</v>
      </c>
      <c r="D920" t="s">
        <v>21</v>
      </c>
      <c r="E920" t="s">
        <v>1636</v>
      </c>
      <c r="F920" s="5">
        <v>42000000</v>
      </c>
      <c r="G920" s="5">
        <v>45000000</v>
      </c>
      <c r="H920" s="5">
        <f>M920*26000*1.20565</f>
        <v>47619075.790000007</v>
      </c>
      <c r="I920" s="5">
        <f>G920-H920</f>
        <v>-2619075.7900000066</v>
      </c>
      <c r="J920" s="5">
        <v>3000000</v>
      </c>
      <c r="K920" s="5">
        <v>4200000</v>
      </c>
      <c r="L920" s="5">
        <v>4500000</v>
      </c>
      <c r="M920" s="7">
        <v>1519.1</v>
      </c>
      <c r="N920" s="5">
        <v>42500000</v>
      </c>
      <c r="O920" s="5">
        <v>45500000</v>
      </c>
      <c r="P920" s="3">
        <v>0.97916666666666663</v>
      </c>
    </row>
    <row r="921" spans="1:16" x14ac:dyDescent="0.25">
      <c r="A921" s="2">
        <v>43533</v>
      </c>
      <c r="B921" s="2">
        <v>43711</v>
      </c>
      <c r="C921" t="str">
        <f>TEXT(B921,"mm")</f>
        <v>09</v>
      </c>
      <c r="D921" t="s">
        <v>18</v>
      </c>
      <c r="E921" t="s">
        <v>1636</v>
      </c>
      <c r="F921" s="5">
        <v>42800000</v>
      </c>
      <c r="G921" s="5">
        <v>45800000</v>
      </c>
      <c r="H921" s="5">
        <f>M921*26000*1.20565</f>
        <v>48459172.710000001</v>
      </c>
      <c r="I921" s="5">
        <f>G921-H921</f>
        <v>-2659172.7100000009</v>
      </c>
      <c r="J921" s="5">
        <v>3000000</v>
      </c>
      <c r="K921" s="5">
        <v>4280000</v>
      </c>
      <c r="L921" s="5">
        <v>4580000</v>
      </c>
      <c r="M921" s="7">
        <v>1545.9</v>
      </c>
      <c r="N921" s="5">
        <v>43300000</v>
      </c>
      <c r="O921" s="5">
        <v>46300000</v>
      </c>
      <c r="P921" s="3">
        <v>0.97916666666666663</v>
      </c>
    </row>
    <row r="922" spans="1:16" x14ac:dyDescent="0.25">
      <c r="A922" s="2">
        <v>43564</v>
      </c>
      <c r="B922" s="2">
        <v>43712</v>
      </c>
      <c r="C922" t="str">
        <f>TEXT(B922,"mm")</f>
        <v>09</v>
      </c>
      <c r="D922" t="s">
        <v>19</v>
      </c>
      <c r="E922" t="s">
        <v>1636</v>
      </c>
      <c r="F922" s="5">
        <v>43000000</v>
      </c>
      <c r="G922" s="5">
        <v>46000000</v>
      </c>
      <c r="H922" s="5">
        <f>M922*26000*1.20565</f>
        <v>48597099.070000008</v>
      </c>
      <c r="I922" s="5">
        <f>G922-H922</f>
        <v>-2597099.0700000077</v>
      </c>
      <c r="J922" s="5">
        <v>3000000</v>
      </c>
      <c r="K922" s="5">
        <v>4300000</v>
      </c>
      <c r="L922" s="5">
        <v>4600000</v>
      </c>
      <c r="M922" s="7">
        <v>1550.3</v>
      </c>
      <c r="N922" s="5">
        <v>43500000</v>
      </c>
      <c r="O922" s="5">
        <v>46500000</v>
      </c>
      <c r="P922" s="3">
        <v>0.97916666666666663</v>
      </c>
    </row>
    <row r="923" spans="1:16" x14ac:dyDescent="0.25">
      <c r="A923" s="2">
        <v>43594</v>
      </c>
      <c r="B923" s="2">
        <v>43713</v>
      </c>
      <c r="C923" t="str">
        <f>TEXT(B923,"mm")</f>
        <v>09</v>
      </c>
      <c r="D923" t="s">
        <v>20</v>
      </c>
      <c r="E923" t="s">
        <v>1636</v>
      </c>
      <c r="F923" s="5">
        <v>41900000</v>
      </c>
      <c r="G923" s="5">
        <v>44900000</v>
      </c>
      <c r="H923" s="5">
        <f>M923*26000*1.20565</f>
        <v>47503092.260000005</v>
      </c>
      <c r="I923" s="5">
        <f>G923-H923</f>
        <v>-2603092.2600000054</v>
      </c>
      <c r="J923" s="5">
        <v>3000000</v>
      </c>
      <c r="K923" s="5">
        <v>4190000</v>
      </c>
      <c r="L923" s="5">
        <v>4490000</v>
      </c>
      <c r="M923" s="7">
        <v>1515.4</v>
      </c>
      <c r="N923" s="5">
        <v>42400000</v>
      </c>
      <c r="O923" s="5">
        <v>45400000</v>
      </c>
      <c r="P923" s="3">
        <v>0.97916666666666663</v>
      </c>
    </row>
    <row r="924" spans="1:16" x14ac:dyDescent="0.25">
      <c r="A924" s="2">
        <v>43625</v>
      </c>
      <c r="B924" s="2">
        <v>43714</v>
      </c>
      <c r="C924" t="str">
        <f>TEXT(B924,"mm")</f>
        <v>09</v>
      </c>
      <c r="D924" t="s">
        <v>21</v>
      </c>
      <c r="E924" t="s">
        <v>1636</v>
      </c>
      <c r="F924" s="5">
        <v>41700000</v>
      </c>
      <c r="G924" s="5">
        <v>44700000</v>
      </c>
      <c r="H924" s="5">
        <f>M924*26000*1.20565</f>
        <v>47214700.780000001</v>
      </c>
      <c r="I924" s="5">
        <f>G924-H924</f>
        <v>-2514700.7800000012</v>
      </c>
      <c r="J924" s="5">
        <v>3000000</v>
      </c>
      <c r="K924" s="5">
        <v>4170000</v>
      </c>
      <c r="L924" s="5">
        <v>4470000</v>
      </c>
      <c r="M924" s="7">
        <v>1506.2</v>
      </c>
      <c r="N924" s="5">
        <v>42200000</v>
      </c>
      <c r="O924" s="5">
        <v>45200000</v>
      </c>
      <c r="P924" s="3">
        <v>0.97916666666666663</v>
      </c>
    </row>
    <row r="925" spans="1:16" x14ac:dyDescent="0.25">
      <c r="A925" s="2">
        <v>43717</v>
      </c>
      <c r="B925" s="2">
        <v>43717</v>
      </c>
      <c r="C925" t="str">
        <f>TEXT(B925,"mm")</f>
        <v>09</v>
      </c>
      <c r="D925" t="s">
        <v>16</v>
      </c>
      <c r="E925" t="s">
        <v>1636</v>
      </c>
      <c r="F925" s="5">
        <v>41500000</v>
      </c>
      <c r="G925" s="5">
        <v>44500000</v>
      </c>
      <c r="H925" s="5">
        <f>M925*26000*1.20565</f>
        <v>47089313.180000007</v>
      </c>
      <c r="I925" s="5">
        <f>G925-H925</f>
        <v>-2589313.1800000072</v>
      </c>
      <c r="J925" s="5">
        <v>3000000</v>
      </c>
      <c r="K925" s="5">
        <v>4150000</v>
      </c>
      <c r="L925" s="5">
        <v>4450000</v>
      </c>
      <c r="M925" s="7">
        <v>1502.2</v>
      </c>
      <c r="N925" s="5">
        <v>42000000</v>
      </c>
      <c r="O925" s="5">
        <v>45000000</v>
      </c>
      <c r="P925" s="3">
        <v>0.97916666666666663</v>
      </c>
    </row>
    <row r="926" spans="1:16" x14ac:dyDescent="0.25">
      <c r="A926" s="2">
        <v>43747</v>
      </c>
      <c r="B926" s="2">
        <v>43718</v>
      </c>
      <c r="C926" t="str">
        <f>TEXT(B926,"mm")</f>
        <v>09</v>
      </c>
      <c r="D926" t="s">
        <v>18</v>
      </c>
      <c r="E926" t="s">
        <v>1636</v>
      </c>
      <c r="F926" s="5">
        <v>41200000</v>
      </c>
      <c r="G926" s="5">
        <v>44200000</v>
      </c>
      <c r="H926" s="5">
        <f>M926*26000*1.20565</f>
        <v>46716285.070000008</v>
      </c>
      <c r="I926" s="5">
        <f>G926-H926</f>
        <v>-2516285.0700000077</v>
      </c>
      <c r="J926" s="5">
        <v>3000000</v>
      </c>
      <c r="K926" s="5">
        <v>4120000</v>
      </c>
      <c r="L926" s="5">
        <v>4420000</v>
      </c>
      <c r="M926" s="7">
        <v>1490.3</v>
      </c>
      <c r="N926" s="5">
        <v>41700000</v>
      </c>
      <c r="O926" s="5">
        <v>44700000</v>
      </c>
      <c r="P926" s="3">
        <v>0.97916666666666663</v>
      </c>
    </row>
    <row r="927" spans="1:16" x14ac:dyDescent="0.25">
      <c r="A927" s="2">
        <v>43778</v>
      </c>
      <c r="B927" s="2">
        <v>43719</v>
      </c>
      <c r="C927" t="str">
        <f>TEXT(B927,"mm")</f>
        <v>09</v>
      </c>
      <c r="D927" t="s">
        <v>19</v>
      </c>
      <c r="E927" t="s">
        <v>1636</v>
      </c>
      <c r="F927" s="5">
        <v>41300000</v>
      </c>
      <c r="G927" s="5">
        <v>44300000</v>
      </c>
      <c r="H927" s="5">
        <f>M927*26000*1.20565</f>
        <v>46844807.360000007</v>
      </c>
      <c r="I927" s="5">
        <f>G927-H927</f>
        <v>-2544807.3600000069</v>
      </c>
      <c r="J927" s="5">
        <v>3000000</v>
      </c>
      <c r="K927" s="5">
        <v>4130000</v>
      </c>
      <c r="L927" s="5">
        <v>4430000</v>
      </c>
      <c r="M927" s="7">
        <v>1494.4</v>
      </c>
      <c r="N927" s="5">
        <v>41800000</v>
      </c>
      <c r="O927" s="5">
        <v>44800000</v>
      </c>
      <c r="P927" s="3">
        <v>0.97916666666666663</v>
      </c>
    </row>
    <row r="928" spans="1:16" x14ac:dyDescent="0.25">
      <c r="A928" s="2">
        <v>43808</v>
      </c>
      <c r="B928" s="2">
        <v>43720</v>
      </c>
      <c r="C928" t="str">
        <f>TEXT(B928,"mm")</f>
        <v>09</v>
      </c>
      <c r="D928" t="s">
        <v>20</v>
      </c>
      <c r="E928" t="s">
        <v>1636</v>
      </c>
      <c r="F928" s="5">
        <v>41400000</v>
      </c>
      <c r="G928" s="5">
        <v>44400000</v>
      </c>
      <c r="H928" s="5">
        <f>M928*26000*1.20565</f>
        <v>46979599.030000001</v>
      </c>
      <c r="I928" s="5">
        <f>G928-H928</f>
        <v>-2579599.0300000012</v>
      </c>
      <c r="J928" s="5">
        <v>3000000</v>
      </c>
      <c r="K928" s="5">
        <v>4140000</v>
      </c>
      <c r="L928" s="5">
        <v>4440000</v>
      </c>
      <c r="M928" s="7">
        <v>1498.7</v>
      </c>
      <c r="N928" s="5">
        <v>41900000</v>
      </c>
      <c r="O928" s="5">
        <v>44900000</v>
      </c>
      <c r="P928" s="3">
        <v>0.97916666666666663</v>
      </c>
    </row>
    <row r="929" spans="1:16" x14ac:dyDescent="0.25">
      <c r="A929" t="s">
        <v>579</v>
      </c>
      <c r="B929" s="2">
        <v>43721</v>
      </c>
      <c r="C929" t="str">
        <f>TEXT(B929,"mm")</f>
        <v>09</v>
      </c>
      <c r="D929" t="s">
        <v>21</v>
      </c>
      <c r="E929" t="s">
        <v>1636</v>
      </c>
      <c r="F929" s="5">
        <v>41200000</v>
      </c>
      <c r="G929" s="5">
        <v>44200000</v>
      </c>
      <c r="H929" s="5">
        <f>M929*26000*1.20565</f>
        <v>46735093.210000001</v>
      </c>
      <c r="I929" s="5">
        <f>G929-H929</f>
        <v>-2535093.2100000009</v>
      </c>
      <c r="J929" s="5">
        <v>3000000</v>
      </c>
      <c r="K929" s="5">
        <v>4120000</v>
      </c>
      <c r="L929" s="5">
        <v>4420000</v>
      </c>
      <c r="M929" s="7">
        <v>1490.9</v>
      </c>
      <c r="N929" s="5">
        <v>41700000</v>
      </c>
      <c r="O929" s="5">
        <v>44700000</v>
      </c>
      <c r="P929" s="3">
        <v>0.97916666666666663</v>
      </c>
    </row>
    <row r="930" spans="1:16" x14ac:dyDescent="0.25">
      <c r="A930" t="s">
        <v>580</v>
      </c>
      <c r="B930" s="2">
        <v>43724</v>
      </c>
      <c r="C930" t="str">
        <f>TEXT(B930,"mm")</f>
        <v>09</v>
      </c>
      <c r="D930" t="s">
        <v>16</v>
      </c>
      <c r="E930" t="s">
        <v>1636</v>
      </c>
      <c r="F930" s="5">
        <v>41600000</v>
      </c>
      <c r="G930" s="5">
        <v>44600000</v>
      </c>
      <c r="H930" s="5">
        <f>M930*26000*1.20565</f>
        <v>47117525.390000001</v>
      </c>
      <c r="I930" s="5">
        <f>G930-H930</f>
        <v>-2517525.3900000006</v>
      </c>
      <c r="J930" s="5">
        <v>3000000</v>
      </c>
      <c r="K930" s="5">
        <v>4160000</v>
      </c>
      <c r="L930" s="5">
        <v>4460000</v>
      </c>
      <c r="M930" s="7">
        <v>1503.1</v>
      </c>
      <c r="N930" s="5">
        <v>42100000</v>
      </c>
      <c r="O930" s="5">
        <v>45100000</v>
      </c>
      <c r="P930" s="3">
        <v>0.97916666666666663</v>
      </c>
    </row>
    <row r="931" spans="1:16" x14ac:dyDescent="0.25">
      <c r="A931" t="s">
        <v>581</v>
      </c>
      <c r="B931" s="2">
        <v>43725</v>
      </c>
      <c r="C931" t="str">
        <f>TEXT(B931,"mm")</f>
        <v>09</v>
      </c>
      <c r="D931" t="s">
        <v>18</v>
      </c>
      <c r="E931" t="s">
        <v>1636</v>
      </c>
      <c r="F931" s="5">
        <v>41600000</v>
      </c>
      <c r="G931" s="5">
        <v>44600000</v>
      </c>
      <c r="H931" s="5">
        <f>M931*26000*1.20565</f>
        <v>47180219.190000005</v>
      </c>
      <c r="I931" s="5">
        <f>G931-H931</f>
        <v>-2580219.1900000051</v>
      </c>
      <c r="J931" s="5">
        <v>3000000</v>
      </c>
      <c r="K931" s="5">
        <v>4160000</v>
      </c>
      <c r="L931" s="5">
        <v>4460000</v>
      </c>
      <c r="M931" s="7">
        <v>1505.1</v>
      </c>
      <c r="N931" s="5">
        <v>42100000</v>
      </c>
      <c r="O931" s="5">
        <v>45100000</v>
      </c>
      <c r="P931" s="3">
        <v>0.97916666666666663</v>
      </c>
    </row>
    <row r="932" spans="1:16" x14ac:dyDescent="0.25">
      <c r="A932" t="s">
        <v>582</v>
      </c>
      <c r="B932" s="2">
        <v>43726</v>
      </c>
      <c r="C932" t="str">
        <f>TEXT(B932,"mm")</f>
        <v>09</v>
      </c>
      <c r="D932" t="s">
        <v>19</v>
      </c>
      <c r="E932" t="s">
        <v>1636</v>
      </c>
      <c r="F932" s="5">
        <v>41700000</v>
      </c>
      <c r="G932" s="5">
        <v>44700000</v>
      </c>
      <c r="H932" s="5">
        <f>M932*26000*1.20565</f>
        <v>47255451.750000007</v>
      </c>
      <c r="I932" s="5">
        <f>G932-H932</f>
        <v>-2555451.7500000075</v>
      </c>
      <c r="J932" s="5">
        <v>3000000</v>
      </c>
      <c r="K932" s="5">
        <v>4170000</v>
      </c>
      <c r="L932" s="5">
        <v>4470000</v>
      </c>
      <c r="M932" s="7">
        <v>1507.5</v>
      </c>
      <c r="N932" s="5">
        <v>42200000</v>
      </c>
      <c r="O932" s="5">
        <v>45200000</v>
      </c>
      <c r="P932" s="3">
        <v>0.97916666666666663</v>
      </c>
    </row>
    <row r="933" spans="1:16" x14ac:dyDescent="0.25">
      <c r="A933" t="s">
        <v>583</v>
      </c>
      <c r="B933" s="2">
        <v>43727</v>
      </c>
      <c r="C933" t="str">
        <f>TEXT(B933,"mm")</f>
        <v>09</v>
      </c>
      <c r="D933" t="s">
        <v>20</v>
      </c>
      <c r="E933" t="s">
        <v>1636</v>
      </c>
      <c r="F933" s="5">
        <v>41400000</v>
      </c>
      <c r="G933" s="5">
        <v>44400000</v>
      </c>
      <c r="H933" s="5">
        <f>M933*26000*1.20565</f>
        <v>46970194.960000001</v>
      </c>
      <c r="I933" s="5">
        <f>G933-H933</f>
        <v>-2570194.9600000009</v>
      </c>
      <c r="J933" s="5">
        <v>3000000</v>
      </c>
      <c r="K933" s="5">
        <v>4140000</v>
      </c>
      <c r="L933" s="5">
        <v>4440000</v>
      </c>
      <c r="M933" s="7">
        <v>1498.4</v>
      </c>
      <c r="N933" s="5">
        <v>41900000</v>
      </c>
      <c r="O933" s="5">
        <v>44900000</v>
      </c>
      <c r="P933" s="3">
        <v>0.97916666666666663</v>
      </c>
    </row>
    <row r="934" spans="1:16" x14ac:dyDescent="0.25">
      <c r="A934" t="s">
        <v>584</v>
      </c>
      <c r="B934" s="2">
        <v>43728</v>
      </c>
      <c r="C934" t="str">
        <f>TEXT(B934,"mm")</f>
        <v>09</v>
      </c>
      <c r="D934" t="s">
        <v>21</v>
      </c>
      <c r="E934" t="s">
        <v>1636</v>
      </c>
      <c r="F934" s="5">
        <v>41700000</v>
      </c>
      <c r="G934" s="5">
        <v>44700000</v>
      </c>
      <c r="H934" s="5">
        <f>M934*26000*1.20565</f>
        <v>47249182.370000005</v>
      </c>
      <c r="I934" s="5">
        <f>G934-H934</f>
        <v>-2549182.3700000048</v>
      </c>
      <c r="J934" s="5">
        <v>3000000</v>
      </c>
      <c r="K934" s="5">
        <v>4170000</v>
      </c>
      <c r="L934" s="5">
        <v>4470000</v>
      </c>
      <c r="M934" s="7">
        <v>1507.3</v>
      </c>
      <c r="N934" s="5">
        <v>42200000</v>
      </c>
      <c r="O934" s="5">
        <v>45200000</v>
      </c>
      <c r="P934" s="3">
        <v>0.97916666666666663</v>
      </c>
    </row>
    <row r="935" spans="1:16" x14ac:dyDescent="0.25">
      <c r="A935" t="s">
        <v>585</v>
      </c>
      <c r="B935" s="2">
        <v>43731</v>
      </c>
      <c r="C935" t="str">
        <f>TEXT(B935,"mm")</f>
        <v>09</v>
      </c>
      <c r="D935" t="s">
        <v>16</v>
      </c>
      <c r="E935" t="s">
        <v>1636</v>
      </c>
      <c r="F935" s="5">
        <v>42200000</v>
      </c>
      <c r="G935" s="5">
        <v>45200000</v>
      </c>
      <c r="H935" s="5">
        <f>M935*26000*1.20565</f>
        <v>47763271.530000001</v>
      </c>
      <c r="I935" s="5">
        <f>G935-H935</f>
        <v>-2563271.5300000012</v>
      </c>
      <c r="J935" s="5">
        <v>3000000</v>
      </c>
      <c r="K935" s="5">
        <v>4220000</v>
      </c>
      <c r="L935" s="5">
        <v>4520000</v>
      </c>
      <c r="M935" s="7">
        <v>1523.7</v>
      </c>
      <c r="N935" s="5">
        <v>42700000</v>
      </c>
      <c r="O935" s="5">
        <v>45700000</v>
      </c>
      <c r="P935" s="3">
        <v>0.97916666666666663</v>
      </c>
    </row>
    <row r="936" spans="1:16" x14ac:dyDescent="0.25">
      <c r="A936" t="s">
        <v>586</v>
      </c>
      <c r="B936" s="2">
        <v>43732</v>
      </c>
      <c r="C936" t="str">
        <f>TEXT(B936,"mm")</f>
        <v>09</v>
      </c>
      <c r="D936" t="s">
        <v>18</v>
      </c>
      <c r="E936" t="s">
        <v>1636</v>
      </c>
      <c r="F936" s="5">
        <v>42400000</v>
      </c>
      <c r="G936" s="5">
        <v>45400000</v>
      </c>
      <c r="H936" s="5">
        <f>M936*26000*1.20565</f>
        <v>48026585.490000002</v>
      </c>
      <c r="I936" s="5">
        <f>G936-H936</f>
        <v>-2626585.4900000021</v>
      </c>
      <c r="J936" s="5">
        <v>3000000</v>
      </c>
      <c r="K936" s="5">
        <v>4240000</v>
      </c>
      <c r="L936" s="5">
        <v>4540000</v>
      </c>
      <c r="M936" s="7">
        <v>1532.1</v>
      </c>
      <c r="N936" s="5">
        <v>42900000</v>
      </c>
      <c r="O936" s="5">
        <v>45900000</v>
      </c>
      <c r="P936" s="3">
        <v>0.97916666666666663</v>
      </c>
    </row>
    <row r="937" spans="1:16" x14ac:dyDescent="0.25">
      <c r="A937" t="s">
        <v>587</v>
      </c>
      <c r="B937" s="2">
        <v>43733</v>
      </c>
      <c r="C937" t="str">
        <f>TEXT(B937,"mm")</f>
        <v>09</v>
      </c>
      <c r="D937" t="s">
        <v>19</v>
      </c>
      <c r="E937" t="s">
        <v>1636</v>
      </c>
      <c r="F937" s="5">
        <v>41600000</v>
      </c>
      <c r="G937" s="5">
        <v>44600000</v>
      </c>
      <c r="H937" s="5">
        <f>M937*26000*1.20565</f>
        <v>47164545.740000002</v>
      </c>
      <c r="I937" s="5">
        <f>G937-H937</f>
        <v>-2564545.7400000021</v>
      </c>
      <c r="J937" s="5">
        <v>3000000</v>
      </c>
      <c r="K937" s="5">
        <v>4160000</v>
      </c>
      <c r="L937" s="5">
        <v>4460000</v>
      </c>
      <c r="M937" s="7">
        <v>1504.6</v>
      </c>
      <c r="N937" s="5">
        <v>42100000</v>
      </c>
      <c r="O937" s="5">
        <v>45100000</v>
      </c>
      <c r="P937" s="3">
        <v>0.97916666666666663</v>
      </c>
    </row>
    <row r="938" spans="1:16" x14ac:dyDescent="0.25">
      <c r="A938" t="s">
        <v>588</v>
      </c>
      <c r="B938" s="2">
        <v>43734</v>
      </c>
      <c r="C938" t="str">
        <f>TEXT(B938,"mm")</f>
        <v>09</v>
      </c>
      <c r="D938" t="s">
        <v>20</v>
      </c>
      <c r="E938" t="s">
        <v>1636</v>
      </c>
      <c r="F938" s="5">
        <v>41700000</v>
      </c>
      <c r="G938" s="5">
        <v>44700000</v>
      </c>
      <c r="H938" s="5">
        <f>M938*26000*1.20565</f>
        <v>47255451.750000007</v>
      </c>
      <c r="I938" s="5">
        <f>G938-H938</f>
        <v>-2555451.7500000075</v>
      </c>
      <c r="J938" s="5">
        <v>3000000</v>
      </c>
      <c r="K938" s="5">
        <v>4170000</v>
      </c>
      <c r="L938" s="5">
        <v>4470000</v>
      </c>
      <c r="M938" s="7">
        <v>1507.5</v>
      </c>
      <c r="N938" s="5">
        <v>42200000</v>
      </c>
      <c r="O938" s="5">
        <v>45200000</v>
      </c>
      <c r="P938" s="3">
        <v>0.97916666666666663</v>
      </c>
    </row>
    <row r="939" spans="1:16" x14ac:dyDescent="0.25">
      <c r="A939" t="s">
        <v>589</v>
      </c>
      <c r="B939" s="2">
        <v>43735</v>
      </c>
      <c r="C939" t="str">
        <f>TEXT(B939,"mm")</f>
        <v>09</v>
      </c>
      <c r="D939" t="s">
        <v>21</v>
      </c>
      <c r="E939" t="s">
        <v>1636</v>
      </c>
      <c r="F939" s="5">
        <v>41400000</v>
      </c>
      <c r="G939" s="5">
        <v>44400000</v>
      </c>
      <c r="H939" s="5">
        <f>M939*26000*1.20565</f>
        <v>46992137.790000007</v>
      </c>
      <c r="I939" s="5">
        <f>G939-H939</f>
        <v>-2592137.7900000066</v>
      </c>
      <c r="J939" s="5">
        <v>3000000</v>
      </c>
      <c r="K939" s="5">
        <v>4140000</v>
      </c>
      <c r="L939" s="5">
        <v>4440000</v>
      </c>
      <c r="M939" s="7">
        <v>1499.1</v>
      </c>
      <c r="N939" s="5">
        <v>41900000</v>
      </c>
      <c r="O939" s="5">
        <v>44900000</v>
      </c>
      <c r="P939" s="3">
        <v>0.97916666666666663</v>
      </c>
    </row>
    <row r="940" spans="1:16" x14ac:dyDescent="0.25">
      <c r="A940" t="s">
        <v>590</v>
      </c>
      <c r="B940" s="2">
        <v>43738</v>
      </c>
      <c r="C940" t="str">
        <f>TEXT(B940,"mm")</f>
        <v>09</v>
      </c>
      <c r="D940" t="s">
        <v>16</v>
      </c>
      <c r="E940" t="s">
        <v>1636</v>
      </c>
      <c r="F940" s="5">
        <v>40500000</v>
      </c>
      <c r="G940" s="5">
        <v>43500000</v>
      </c>
      <c r="H940" s="5">
        <f>M940*26000*1.20565</f>
        <v>45945151.330000006</v>
      </c>
      <c r="I940" s="5">
        <f>G940-H940</f>
        <v>-2445151.3300000057</v>
      </c>
      <c r="J940" s="5">
        <v>3000000</v>
      </c>
      <c r="K940" s="5">
        <v>4050000</v>
      </c>
      <c r="L940" s="5">
        <v>4350000</v>
      </c>
      <c r="M940" s="7">
        <v>1465.7</v>
      </c>
      <c r="N940" s="5">
        <v>41000000</v>
      </c>
      <c r="O940" s="5">
        <v>44000000</v>
      </c>
      <c r="P940" s="3">
        <v>0.97916666666666663</v>
      </c>
    </row>
    <row r="941" spans="1:16" x14ac:dyDescent="0.25">
      <c r="A941" s="2">
        <v>43475</v>
      </c>
      <c r="B941" s="2">
        <v>43739</v>
      </c>
      <c r="C941" t="str">
        <f>TEXT(B941,"mm")</f>
        <v>10</v>
      </c>
      <c r="D941" t="s">
        <v>18</v>
      </c>
      <c r="E941" t="s">
        <v>1636</v>
      </c>
      <c r="F941" s="5">
        <v>40900000</v>
      </c>
      <c r="G941" s="5">
        <v>43900000</v>
      </c>
      <c r="H941" s="5">
        <f>M941*26000*1.20565</f>
        <v>46456105.800000004</v>
      </c>
      <c r="I941" s="5">
        <f>G941-H941</f>
        <v>-2556105.8000000045</v>
      </c>
      <c r="J941" s="5">
        <v>3000000</v>
      </c>
      <c r="K941" s="5">
        <v>4090000</v>
      </c>
      <c r="L941" s="5">
        <v>4390000</v>
      </c>
      <c r="M941" s="7">
        <v>1482</v>
      </c>
      <c r="N941" s="5">
        <v>41400000</v>
      </c>
      <c r="O941" s="5">
        <v>44400000</v>
      </c>
      <c r="P941" s="3">
        <v>0.97916666666666663</v>
      </c>
    </row>
    <row r="942" spans="1:16" x14ac:dyDescent="0.25">
      <c r="A942" s="2">
        <v>43506</v>
      </c>
      <c r="B942" s="2">
        <v>43740</v>
      </c>
      <c r="C942" t="str">
        <f>TEXT(B942,"mm")</f>
        <v>10</v>
      </c>
      <c r="D942" t="s">
        <v>19</v>
      </c>
      <c r="E942" t="s">
        <v>1636</v>
      </c>
      <c r="F942" s="5">
        <v>41500000</v>
      </c>
      <c r="G942" s="5">
        <v>44500000</v>
      </c>
      <c r="H942" s="5">
        <f>M942*26000*1.20565</f>
        <v>47051696.900000006</v>
      </c>
      <c r="I942" s="5">
        <f>G942-H942</f>
        <v>-2551696.900000006</v>
      </c>
      <c r="J942" s="5">
        <v>3000000</v>
      </c>
      <c r="K942" s="5">
        <v>4150000</v>
      </c>
      <c r="L942" s="5">
        <v>4450000</v>
      </c>
      <c r="M942" s="7">
        <v>1501</v>
      </c>
      <c r="N942" s="5">
        <v>42000000</v>
      </c>
      <c r="O942" s="5">
        <v>45000000</v>
      </c>
      <c r="P942" s="3">
        <v>0.97916666666666663</v>
      </c>
    </row>
    <row r="943" spans="1:16" x14ac:dyDescent="0.25">
      <c r="A943" s="2">
        <v>43534</v>
      </c>
      <c r="B943" s="2">
        <v>43741</v>
      </c>
      <c r="C943" t="str">
        <f>TEXT(B943,"mm")</f>
        <v>10</v>
      </c>
      <c r="D943" t="s">
        <v>20</v>
      </c>
      <c r="E943" t="s">
        <v>1636</v>
      </c>
      <c r="F943" s="5">
        <v>41700000</v>
      </c>
      <c r="G943" s="5">
        <v>44700000</v>
      </c>
      <c r="H943" s="5">
        <f>M943*26000*1.20565</f>
        <v>47242912.990000002</v>
      </c>
      <c r="I943" s="5">
        <f>G943-H943</f>
        <v>-2542912.9900000021</v>
      </c>
      <c r="J943" s="5">
        <v>3000000</v>
      </c>
      <c r="K943" s="5">
        <v>4170000</v>
      </c>
      <c r="L943" s="5">
        <v>4470000</v>
      </c>
      <c r="M943" s="7">
        <v>1507.1</v>
      </c>
      <c r="N943" s="5">
        <v>42200000</v>
      </c>
      <c r="O943" s="5">
        <v>45200000</v>
      </c>
      <c r="P943" s="3">
        <v>0.97916666666666663</v>
      </c>
    </row>
    <row r="944" spans="1:16" x14ac:dyDescent="0.25">
      <c r="A944" s="2">
        <v>43565</v>
      </c>
      <c r="B944" s="2">
        <v>43742</v>
      </c>
      <c r="C944" t="str">
        <f>TEXT(B944,"mm")</f>
        <v>10</v>
      </c>
      <c r="D944" t="s">
        <v>21</v>
      </c>
      <c r="E944" t="s">
        <v>1636</v>
      </c>
      <c r="F944" s="5">
        <v>41700000</v>
      </c>
      <c r="G944" s="5">
        <v>44700000</v>
      </c>
      <c r="H944" s="5">
        <f>M944*26000*1.20565</f>
        <v>47214700.780000001</v>
      </c>
      <c r="I944" s="5">
        <f>G944-H944</f>
        <v>-2514700.7800000012</v>
      </c>
      <c r="J944" s="5">
        <v>3000000</v>
      </c>
      <c r="K944" s="5">
        <v>4170000</v>
      </c>
      <c r="L944" s="5">
        <v>4470000</v>
      </c>
      <c r="M944" s="7">
        <v>1506.2</v>
      </c>
      <c r="N944" s="5">
        <v>42200000</v>
      </c>
      <c r="O944" s="5">
        <v>45200000</v>
      </c>
      <c r="P944" s="3">
        <v>0.97916666666666663</v>
      </c>
    </row>
    <row r="945" spans="1:16" x14ac:dyDescent="0.25">
      <c r="A945" s="2">
        <v>43656</v>
      </c>
      <c r="B945" s="2">
        <v>43745</v>
      </c>
      <c r="C945" t="str">
        <f>TEXT(B945,"mm")</f>
        <v>10</v>
      </c>
      <c r="D945" t="s">
        <v>16</v>
      </c>
      <c r="E945" t="s">
        <v>1636</v>
      </c>
      <c r="F945" s="5">
        <v>41400000</v>
      </c>
      <c r="G945" s="5">
        <v>44400000</v>
      </c>
      <c r="H945" s="5">
        <f>M945*26000*1.20565</f>
        <v>46948252.130000003</v>
      </c>
      <c r="I945" s="5">
        <f>G945-H945</f>
        <v>-2548252.1300000027</v>
      </c>
      <c r="J945" s="5">
        <v>3000000</v>
      </c>
      <c r="K945" s="5">
        <v>4140000</v>
      </c>
      <c r="L945" s="5">
        <v>4440000</v>
      </c>
      <c r="M945" s="7">
        <v>1497.7</v>
      </c>
      <c r="N945" s="5">
        <v>41900000</v>
      </c>
      <c r="O945" s="5">
        <v>44900000</v>
      </c>
      <c r="P945" s="3">
        <v>0.97916666666666663</v>
      </c>
    </row>
    <row r="946" spans="1:16" x14ac:dyDescent="0.25">
      <c r="A946" s="2">
        <v>43687</v>
      </c>
      <c r="B946" s="2">
        <v>43746</v>
      </c>
      <c r="C946" t="str">
        <f>TEXT(B946,"mm")</f>
        <v>10</v>
      </c>
      <c r="D946" t="s">
        <v>18</v>
      </c>
      <c r="E946" t="s">
        <v>1636</v>
      </c>
      <c r="F946" s="5">
        <v>41400000</v>
      </c>
      <c r="G946" s="5">
        <v>44400000</v>
      </c>
      <c r="H946" s="5">
        <f>M946*26000*1.20565</f>
        <v>46932578.680000007</v>
      </c>
      <c r="I946" s="5">
        <f>G946-H946</f>
        <v>-2532578.6800000072</v>
      </c>
      <c r="J946" s="5">
        <v>3000000</v>
      </c>
      <c r="K946" s="5">
        <v>4140000</v>
      </c>
      <c r="L946" s="5">
        <v>4440000</v>
      </c>
      <c r="M946" s="7">
        <v>1497.2</v>
      </c>
      <c r="N946" s="5">
        <v>41900000</v>
      </c>
      <c r="O946" s="5">
        <v>44900000</v>
      </c>
      <c r="P946" s="3">
        <v>0.97916666666666663</v>
      </c>
    </row>
    <row r="947" spans="1:16" x14ac:dyDescent="0.25">
      <c r="A947" s="2">
        <v>43718</v>
      </c>
      <c r="B947" s="2">
        <v>43747</v>
      </c>
      <c r="C947" t="str">
        <f>TEXT(B947,"mm")</f>
        <v>10</v>
      </c>
      <c r="D947" t="s">
        <v>19</v>
      </c>
      <c r="E947" t="s">
        <v>1636</v>
      </c>
      <c r="F947" s="5">
        <v>41700000</v>
      </c>
      <c r="G947" s="5">
        <v>44700000</v>
      </c>
      <c r="H947" s="5">
        <f>M947*26000*1.20565</f>
        <v>47211566.090000004</v>
      </c>
      <c r="I947" s="5">
        <f>G947-H947</f>
        <v>-2511566.0900000036</v>
      </c>
      <c r="J947" s="5">
        <v>3000000</v>
      </c>
      <c r="K947" s="5">
        <v>4170000</v>
      </c>
      <c r="L947" s="5">
        <v>4470000</v>
      </c>
      <c r="M947" s="7">
        <v>1506.1</v>
      </c>
      <c r="N947" s="5">
        <v>42200000</v>
      </c>
      <c r="O947" s="5">
        <v>45200000</v>
      </c>
      <c r="P947" s="3">
        <v>0.97916666666666663</v>
      </c>
    </row>
    <row r="948" spans="1:16" x14ac:dyDescent="0.25">
      <c r="A948" s="2">
        <v>43748</v>
      </c>
      <c r="B948" s="2">
        <v>43748</v>
      </c>
      <c r="C948" t="str">
        <f>TEXT(B948,"mm")</f>
        <v>10</v>
      </c>
      <c r="D948" t="s">
        <v>20</v>
      </c>
      <c r="E948" t="s">
        <v>1636</v>
      </c>
      <c r="F948" s="5">
        <v>41300000</v>
      </c>
      <c r="G948" s="5">
        <v>44300000</v>
      </c>
      <c r="H948" s="5">
        <f>M948*26000*1.20565</f>
        <v>46857346.120000005</v>
      </c>
      <c r="I948" s="5">
        <f>G948-H948</f>
        <v>-2557346.1200000048</v>
      </c>
      <c r="J948" s="5">
        <v>3000000</v>
      </c>
      <c r="K948" s="5">
        <v>4130000</v>
      </c>
      <c r="L948" s="5">
        <v>4430000</v>
      </c>
      <c r="M948" s="7">
        <v>1494.8</v>
      </c>
      <c r="N948" s="5">
        <v>41800000</v>
      </c>
      <c r="O948" s="5">
        <v>44800000</v>
      </c>
      <c r="P948" s="3">
        <v>0.97916666666666663</v>
      </c>
    </row>
    <row r="949" spans="1:16" x14ac:dyDescent="0.25">
      <c r="A949" s="2">
        <v>43779</v>
      </c>
      <c r="B949" s="2">
        <v>43749</v>
      </c>
      <c r="C949" t="str">
        <f>TEXT(B949,"mm")</f>
        <v>10</v>
      </c>
      <c r="D949" t="s">
        <v>21</v>
      </c>
      <c r="E949" t="s">
        <v>1636</v>
      </c>
      <c r="F949" s="5">
        <v>41000000</v>
      </c>
      <c r="G949" s="5">
        <v>44000000</v>
      </c>
      <c r="H949" s="5">
        <f>M949*26000*1.20565</f>
        <v>46478048.630000003</v>
      </c>
      <c r="I949" s="5">
        <f>G949-H949</f>
        <v>-2478048.6300000027</v>
      </c>
      <c r="J949" s="5">
        <v>3000000</v>
      </c>
      <c r="K949" s="5">
        <v>4100000</v>
      </c>
      <c r="L949" s="5">
        <v>4400000</v>
      </c>
      <c r="M949" s="7">
        <v>1482.7</v>
      </c>
      <c r="N949" s="5">
        <v>41500000</v>
      </c>
      <c r="O949" s="5">
        <v>44500000</v>
      </c>
      <c r="P949" s="3">
        <v>0.97916666666666663</v>
      </c>
    </row>
    <row r="950" spans="1:16" x14ac:dyDescent="0.25">
      <c r="A950" t="s">
        <v>591</v>
      </c>
      <c r="B950" s="2">
        <v>43752</v>
      </c>
      <c r="C950" t="str">
        <f>TEXT(B950,"mm")</f>
        <v>10</v>
      </c>
      <c r="D950" t="s">
        <v>16</v>
      </c>
      <c r="E950" t="s">
        <v>1636</v>
      </c>
      <c r="F950" s="5">
        <v>41200000</v>
      </c>
      <c r="G950" s="5">
        <v>44200000</v>
      </c>
      <c r="H950" s="5">
        <f>M950*26000*1.20565</f>
        <v>46760170.730000004</v>
      </c>
      <c r="I950" s="5">
        <f>G950-H950</f>
        <v>-2560170.7300000042</v>
      </c>
      <c r="J950" s="5">
        <v>3000000</v>
      </c>
      <c r="K950" s="5">
        <v>4120000</v>
      </c>
      <c r="L950" s="5">
        <v>4420000</v>
      </c>
      <c r="M950" s="7">
        <v>1491.7</v>
      </c>
      <c r="N950" s="5">
        <v>41700000</v>
      </c>
      <c r="O950" s="5">
        <v>44700000</v>
      </c>
      <c r="P950" s="3">
        <v>0.97916666666666663</v>
      </c>
    </row>
    <row r="951" spans="1:16" x14ac:dyDescent="0.25">
      <c r="A951" t="s">
        <v>592</v>
      </c>
      <c r="B951" s="2">
        <v>43753</v>
      </c>
      <c r="C951" t="str">
        <f>TEXT(B951,"mm")</f>
        <v>10</v>
      </c>
      <c r="D951" t="s">
        <v>18</v>
      </c>
      <c r="E951" t="s">
        <v>1636</v>
      </c>
      <c r="F951" s="5">
        <v>40800000</v>
      </c>
      <c r="G951" s="5">
        <v>43800000</v>
      </c>
      <c r="H951" s="5">
        <f>M951*26000*1.20565</f>
        <v>46318179.440000005</v>
      </c>
      <c r="I951" s="5">
        <f>G951-H951</f>
        <v>-2518179.4400000051</v>
      </c>
      <c r="J951" s="5">
        <v>3000000</v>
      </c>
      <c r="K951" s="5">
        <v>4080000</v>
      </c>
      <c r="L951" s="5">
        <v>4380000</v>
      </c>
      <c r="M951" s="7">
        <v>1477.6</v>
      </c>
      <c r="N951" s="5">
        <v>41300000</v>
      </c>
      <c r="O951" s="5">
        <v>44300000</v>
      </c>
      <c r="P951" s="3">
        <v>0.97916666666666663</v>
      </c>
    </row>
    <row r="952" spans="1:16" x14ac:dyDescent="0.25">
      <c r="A952" t="s">
        <v>593</v>
      </c>
      <c r="B952" s="2">
        <v>43754</v>
      </c>
      <c r="C952" t="str">
        <f>TEXT(B952,"mm")</f>
        <v>10</v>
      </c>
      <c r="D952" t="s">
        <v>19</v>
      </c>
      <c r="E952" t="s">
        <v>1636</v>
      </c>
      <c r="F952" s="5">
        <v>41100000</v>
      </c>
      <c r="G952" s="5">
        <v>44100000</v>
      </c>
      <c r="H952" s="5">
        <f>M952*26000*1.20565</f>
        <v>46644187.200000003</v>
      </c>
      <c r="I952" s="5">
        <f>G952-H952</f>
        <v>-2544187.200000003</v>
      </c>
      <c r="J952" s="5">
        <v>3000000</v>
      </c>
      <c r="K952" s="5">
        <v>4110000</v>
      </c>
      <c r="L952" s="5">
        <v>4410000</v>
      </c>
      <c r="M952" s="7">
        <v>1488</v>
      </c>
      <c r="N952" s="5">
        <v>41600000</v>
      </c>
      <c r="O952" s="5">
        <v>44600000</v>
      </c>
      <c r="P952" s="3">
        <v>0.97916666666666663</v>
      </c>
    </row>
    <row r="953" spans="1:16" x14ac:dyDescent="0.25">
      <c r="A953" t="s">
        <v>594</v>
      </c>
      <c r="B953" s="2">
        <v>43755</v>
      </c>
      <c r="C953" t="str">
        <f>TEXT(B953,"mm")</f>
        <v>10</v>
      </c>
      <c r="D953" t="s">
        <v>20</v>
      </c>
      <c r="E953" t="s">
        <v>1636</v>
      </c>
      <c r="F953" s="5">
        <v>41200000</v>
      </c>
      <c r="G953" s="5">
        <v>44200000</v>
      </c>
      <c r="H953" s="5">
        <f>M953*26000*1.20565</f>
        <v>46778978.870000005</v>
      </c>
      <c r="I953" s="5">
        <f>G953-H953</f>
        <v>-2578978.8700000048</v>
      </c>
      <c r="J953" s="5">
        <v>3000000</v>
      </c>
      <c r="K953" s="5">
        <v>4120000</v>
      </c>
      <c r="L953" s="5">
        <v>4420000</v>
      </c>
      <c r="M953" s="7">
        <v>1492.3</v>
      </c>
      <c r="N953" s="5">
        <v>41700000</v>
      </c>
      <c r="O953" s="5">
        <v>44700000</v>
      </c>
      <c r="P953" s="3">
        <v>0.97916666666666663</v>
      </c>
    </row>
    <row r="954" spans="1:16" x14ac:dyDescent="0.25">
      <c r="A954" t="s">
        <v>595</v>
      </c>
      <c r="B954" s="2">
        <v>43756</v>
      </c>
      <c r="C954" t="str">
        <f>TEXT(B954,"mm")</f>
        <v>10</v>
      </c>
      <c r="D954" t="s">
        <v>21</v>
      </c>
      <c r="E954" t="s">
        <v>1636</v>
      </c>
      <c r="F954" s="5">
        <v>41100000</v>
      </c>
      <c r="G954" s="5">
        <v>44100000</v>
      </c>
      <c r="H954" s="5">
        <f>M954*26000*1.20565</f>
        <v>46650456.580000006</v>
      </c>
      <c r="I954" s="5">
        <f>G954-H954</f>
        <v>-2550456.5800000057</v>
      </c>
      <c r="J954" s="5">
        <v>3000000</v>
      </c>
      <c r="K954" s="5">
        <v>4110000</v>
      </c>
      <c r="L954" s="5">
        <v>4410000</v>
      </c>
      <c r="M954" s="7">
        <v>1488.2</v>
      </c>
      <c r="N954" s="5">
        <v>41600000</v>
      </c>
      <c r="O954" s="5">
        <v>44600000</v>
      </c>
      <c r="P954" s="3">
        <v>0.97916666666666663</v>
      </c>
    </row>
    <row r="955" spans="1:16" x14ac:dyDescent="0.25">
      <c r="A955" t="s">
        <v>596</v>
      </c>
      <c r="B955" s="2">
        <v>43759</v>
      </c>
      <c r="C955" t="str">
        <f>TEXT(B955,"mm")</f>
        <v>10</v>
      </c>
      <c r="D955" t="s">
        <v>16</v>
      </c>
      <c r="E955" t="s">
        <v>1636</v>
      </c>
      <c r="F955" s="5">
        <v>41000000</v>
      </c>
      <c r="G955" s="5">
        <v>44000000</v>
      </c>
      <c r="H955" s="5">
        <f>M955*26000*1.20565</f>
        <v>46468644.560000002</v>
      </c>
      <c r="I955" s="5">
        <f>G955-H955</f>
        <v>-2468644.5600000024</v>
      </c>
      <c r="J955" s="5">
        <v>3000000</v>
      </c>
      <c r="K955" s="5">
        <v>4100000</v>
      </c>
      <c r="L955" s="5">
        <v>4400000</v>
      </c>
      <c r="M955" s="7">
        <v>1482.4</v>
      </c>
      <c r="N955" s="5">
        <v>41500000</v>
      </c>
      <c r="O955" s="5">
        <v>44500000</v>
      </c>
      <c r="P955" s="3">
        <v>0.97916666666666663</v>
      </c>
    </row>
    <row r="956" spans="1:16" x14ac:dyDescent="0.25">
      <c r="A956" t="s">
        <v>597</v>
      </c>
      <c r="B956" s="2">
        <v>43760</v>
      </c>
      <c r="C956" t="str">
        <f>TEXT(B956,"mm")</f>
        <v>10</v>
      </c>
      <c r="D956" t="s">
        <v>18</v>
      </c>
      <c r="E956" t="s">
        <v>1636</v>
      </c>
      <c r="F956" s="5">
        <v>40900000</v>
      </c>
      <c r="G956" s="5">
        <v>43900000</v>
      </c>
      <c r="H956" s="5">
        <f>M956*26000*1.20565</f>
        <v>46446701.730000004</v>
      </c>
      <c r="I956" s="5">
        <f>G956-H956</f>
        <v>-2546701.7300000042</v>
      </c>
      <c r="J956" s="5">
        <v>3000000</v>
      </c>
      <c r="K956" s="5">
        <v>4090000</v>
      </c>
      <c r="L956" s="5">
        <v>4390000</v>
      </c>
      <c r="M956" s="7">
        <v>1481.7</v>
      </c>
      <c r="N956" s="5">
        <v>41400000</v>
      </c>
      <c r="O956" s="5">
        <v>44400000</v>
      </c>
      <c r="P956" s="3">
        <v>0.97916666666666663</v>
      </c>
    </row>
    <row r="957" spans="1:16" x14ac:dyDescent="0.25">
      <c r="A957" t="s">
        <v>598</v>
      </c>
      <c r="B957" s="2">
        <v>43761</v>
      </c>
      <c r="C957" t="str">
        <f>TEXT(B957,"mm")</f>
        <v>10</v>
      </c>
      <c r="D957" t="s">
        <v>19</v>
      </c>
      <c r="E957" t="s">
        <v>1636</v>
      </c>
      <c r="F957" s="5">
        <v>41200000</v>
      </c>
      <c r="G957" s="5">
        <v>44200000</v>
      </c>
      <c r="H957" s="5">
        <f>M957*26000*1.20565</f>
        <v>46703746.310000002</v>
      </c>
      <c r="I957" s="5">
        <f>G957-H957</f>
        <v>-2503746.3100000024</v>
      </c>
      <c r="J957" s="5">
        <v>3000000</v>
      </c>
      <c r="K957" s="5">
        <v>4120000</v>
      </c>
      <c r="L957" s="5">
        <v>4420000</v>
      </c>
      <c r="M957" s="7">
        <v>1489.9</v>
      </c>
      <c r="N957" s="5">
        <v>41700000</v>
      </c>
      <c r="O957" s="5">
        <v>44700000</v>
      </c>
      <c r="P957" s="3">
        <v>0.97916666666666663</v>
      </c>
    </row>
    <row r="958" spans="1:16" x14ac:dyDescent="0.25">
      <c r="A958" t="s">
        <v>599</v>
      </c>
      <c r="B958" s="2">
        <v>43762</v>
      </c>
      <c r="C958" t="str">
        <f>TEXT(B958,"mm")</f>
        <v>10</v>
      </c>
      <c r="D958" t="s">
        <v>20</v>
      </c>
      <c r="E958" t="s">
        <v>1636</v>
      </c>
      <c r="F958" s="5">
        <v>41400000</v>
      </c>
      <c r="G958" s="5">
        <v>44400000</v>
      </c>
      <c r="H958" s="5">
        <f>M958*26000*1.20565</f>
        <v>46985868.410000004</v>
      </c>
      <c r="I958" s="5">
        <f>G958-H958</f>
        <v>-2585868.4100000039</v>
      </c>
      <c r="J958" s="5">
        <v>3000000</v>
      </c>
      <c r="K958" s="5">
        <v>4140000</v>
      </c>
      <c r="L958" s="5">
        <v>4440000</v>
      </c>
      <c r="M958" s="7">
        <v>1498.9</v>
      </c>
      <c r="N958" s="5">
        <v>41900000</v>
      </c>
      <c r="O958" s="5">
        <v>44900000</v>
      </c>
      <c r="P958" s="3">
        <v>0.97916666666666663</v>
      </c>
    </row>
    <row r="959" spans="1:16" x14ac:dyDescent="0.25">
      <c r="A959" t="s">
        <v>600</v>
      </c>
      <c r="B959" s="2">
        <v>43763</v>
      </c>
      <c r="C959" t="str">
        <f>TEXT(B959,"mm")</f>
        <v>10</v>
      </c>
      <c r="D959" t="s">
        <v>21</v>
      </c>
      <c r="E959" t="s">
        <v>1636</v>
      </c>
      <c r="F959" s="5">
        <v>41500000</v>
      </c>
      <c r="G959" s="5">
        <v>44500000</v>
      </c>
      <c r="H959" s="5">
        <f>M959*26000*1.20565</f>
        <v>47004676.550000004</v>
      </c>
      <c r="I959" s="5">
        <f>G959-H959</f>
        <v>-2504676.5500000045</v>
      </c>
      <c r="J959" s="5">
        <v>3000000</v>
      </c>
      <c r="K959" s="5">
        <v>4150000</v>
      </c>
      <c r="L959" s="5">
        <v>4450000</v>
      </c>
      <c r="M959" s="7">
        <v>1499.5</v>
      </c>
      <c r="N959" s="5">
        <v>42000000</v>
      </c>
      <c r="O959" s="5">
        <v>45000000</v>
      </c>
      <c r="P959" s="3">
        <v>0.97916666666666663</v>
      </c>
    </row>
    <row r="960" spans="1:16" x14ac:dyDescent="0.25">
      <c r="A960" t="s">
        <v>601</v>
      </c>
      <c r="B960" s="2">
        <v>43766</v>
      </c>
      <c r="C960" t="str">
        <f>TEXT(B960,"mm")</f>
        <v>10</v>
      </c>
      <c r="D960" t="s">
        <v>16</v>
      </c>
      <c r="E960" t="s">
        <v>1636</v>
      </c>
      <c r="F960" s="5">
        <v>41200000</v>
      </c>
      <c r="G960" s="5">
        <v>44200000</v>
      </c>
      <c r="H960" s="5">
        <f>M960*26000*1.20565</f>
        <v>46706881.000000007</v>
      </c>
      <c r="I960" s="5">
        <f>G960-H960</f>
        <v>-2506881.0000000075</v>
      </c>
      <c r="J960" s="5">
        <v>3000000</v>
      </c>
      <c r="K960" s="5">
        <v>4120000</v>
      </c>
      <c r="L960" s="5">
        <v>4420000</v>
      </c>
      <c r="M960" s="7">
        <v>1490</v>
      </c>
      <c r="N960" s="5">
        <v>41700000</v>
      </c>
      <c r="O960" s="5">
        <v>44700000</v>
      </c>
      <c r="P960" s="3">
        <v>0.97916666666666663</v>
      </c>
    </row>
    <row r="961" spans="1:16" x14ac:dyDescent="0.25">
      <c r="A961" t="s">
        <v>602</v>
      </c>
      <c r="B961" s="2">
        <v>43767</v>
      </c>
      <c r="C961" t="str">
        <f>TEXT(B961,"mm")</f>
        <v>10</v>
      </c>
      <c r="D961" t="s">
        <v>18</v>
      </c>
      <c r="E961" t="s">
        <v>1636</v>
      </c>
      <c r="F961" s="5">
        <v>41100000</v>
      </c>
      <c r="G961" s="5">
        <v>44100000</v>
      </c>
      <c r="H961" s="5">
        <f>M961*26000*1.20565</f>
        <v>46612840.300000004</v>
      </c>
      <c r="I961" s="5">
        <f>G961-H961</f>
        <v>-2512840.3000000045</v>
      </c>
      <c r="J961" s="5">
        <v>3000000</v>
      </c>
      <c r="K961" s="5">
        <v>4110000</v>
      </c>
      <c r="L961" s="5">
        <v>4410000</v>
      </c>
      <c r="M961" s="7">
        <v>1487</v>
      </c>
      <c r="N961" s="5">
        <v>41600000</v>
      </c>
      <c r="O961" s="5">
        <v>44600000</v>
      </c>
      <c r="P961" s="3">
        <v>0.97916666666666663</v>
      </c>
    </row>
    <row r="962" spans="1:16" x14ac:dyDescent="0.25">
      <c r="A962" t="s">
        <v>603</v>
      </c>
      <c r="B962" s="2">
        <v>43768</v>
      </c>
      <c r="C962" t="str">
        <f>TEXT(B962,"mm")</f>
        <v>10</v>
      </c>
      <c r="D962" t="s">
        <v>19</v>
      </c>
      <c r="E962" t="s">
        <v>1636</v>
      </c>
      <c r="F962" s="5">
        <v>41300000</v>
      </c>
      <c r="G962" s="5">
        <v>44300000</v>
      </c>
      <c r="H962" s="5">
        <f>M962*26000*1.20565</f>
        <v>46807191.080000006</v>
      </c>
      <c r="I962" s="5">
        <f>G962-H962</f>
        <v>-2507191.0800000057</v>
      </c>
      <c r="J962" s="5">
        <v>3000000</v>
      </c>
      <c r="K962" s="5">
        <v>4130000</v>
      </c>
      <c r="L962" s="5">
        <v>4430000</v>
      </c>
      <c r="M962" s="7">
        <v>1493.2</v>
      </c>
      <c r="N962" s="5">
        <v>41800000</v>
      </c>
      <c r="O962" s="5">
        <v>44800000</v>
      </c>
      <c r="P962" s="3">
        <v>0.97916666666666663</v>
      </c>
    </row>
    <row r="963" spans="1:16" x14ac:dyDescent="0.25">
      <c r="A963" t="s">
        <v>604</v>
      </c>
      <c r="B963" s="2">
        <v>43769</v>
      </c>
      <c r="C963" t="str">
        <f>TEXT(B963,"mm")</f>
        <v>10</v>
      </c>
      <c r="D963" t="s">
        <v>20</v>
      </c>
      <c r="E963" t="s">
        <v>1636</v>
      </c>
      <c r="F963" s="5">
        <v>41800000</v>
      </c>
      <c r="G963" s="5">
        <v>44800000</v>
      </c>
      <c r="H963" s="5">
        <f>M963*26000*1.20565</f>
        <v>47377704.660000004</v>
      </c>
      <c r="I963" s="5">
        <f>G963-H963</f>
        <v>-2577704.6600000039</v>
      </c>
      <c r="J963" s="5">
        <v>3000000</v>
      </c>
      <c r="K963" s="5">
        <v>4180000</v>
      </c>
      <c r="L963" s="5">
        <v>4480000</v>
      </c>
      <c r="M963" s="7">
        <v>1511.4</v>
      </c>
      <c r="N963" s="5">
        <v>42300000</v>
      </c>
      <c r="O963" s="5">
        <v>45300000</v>
      </c>
      <c r="P963" s="3">
        <v>0.97916666666666663</v>
      </c>
    </row>
    <row r="964" spans="1:16" x14ac:dyDescent="0.25">
      <c r="A964" s="2">
        <v>43476</v>
      </c>
      <c r="B964" s="2">
        <v>43770</v>
      </c>
      <c r="C964" t="str">
        <f>TEXT(B964,"mm")</f>
        <v>11</v>
      </c>
      <c r="D964" t="s">
        <v>21</v>
      </c>
      <c r="E964" t="s">
        <v>1636</v>
      </c>
      <c r="F964" s="5">
        <v>41700000</v>
      </c>
      <c r="G964" s="5">
        <v>44700000</v>
      </c>
      <c r="H964" s="5">
        <f>M964*26000*1.20565</f>
        <v>47271125.200000003</v>
      </c>
      <c r="I964" s="5">
        <f>G964-H964</f>
        <v>-2571125.200000003</v>
      </c>
      <c r="J964" s="5">
        <v>3000000</v>
      </c>
      <c r="K964" s="5">
        <v>4170000</v>
      </c>
      <c r="L964" s="5">
        <v>4470000</v>
      </c>
      <c r="M964" s="7">
        <v>1508</v>
      </c>
      <c r="N964" s="5">
        <v>42200000</v>
      </c>
      <c r="O964" s="5">
        <v>45200000</v>
      </c>
      <c r="P964" s="3">
        <v>0.97916666666666663</v>
      </c>
    </row>
    <row r="965" spans="1:16" x14ac:dyDescent="0.25">
      <c r="A965" s="2">
        <v>43566</v>
      </c>
      <c r="B965" s="2">
        <v>43773</v>
      </c>
      <c r="C965" t="str">
        <f>TEXT(B965,"mm")</f>
        <v>11</v>
      </c>
      <c r="D965" t="s">
        <v>16</v>
      </c>
      <c r="E965" t="s">
        <v>1636</v>
      </c>
      <c r="F965" s="5">
        <v>41700000</v>
      </c>
      <c r="G965" s="5">
        <v>44700000</v>
      </c>
      <c r="H965" s="5">
        <f>M965*26000*1.20565</f>
        <v>47271125.200000003</v>
      </c>
      <c r="I965" s="5">
        <f>G965-H965</f>
        <v>-2571125.200000003</v>
      </c>
      <c r="J965" s="5">
        <v>3000000</v>
      </c>
      <c r="K965" s="5">
        <v>4170000</v>
      </c>
      <c r="L965" s="5">
        <v>4470000</v>
      </c>
      <c r="M965" s="7">
        <v>1508</v>
      </c>
      <c r="N965" s="5">
        <v>42200000</v>
      </c>
      <c r="O965" s="5">
        <v>45200000</v>
      </c>
      <c r="P965" s="3">
        <v>0.97916666666666663</v>
      </c>
    </row>
    <row r="966" spans="1:16" x14ac:dyDescent="0.25">
      <c r="A966" s="2">
        <v>43596</v>
      </c>
      <c r="B966" s="2">
        <v>43774</v>
      </c>
      <c r="C966" t="str">
        <f>TEXT(B966,"mm")</f>
        <v>11</v>
      </c>
      <c r="D966" t="s">
        <v>18</v>
      </c>
      <c r="E966" t="s">
        <v>1636</v>
      </c>
      <c r="F966" s="5">
        <v>40900000</v>
      </c>
      <c r="G966" s="5">
        <v>43900000</v>
      </c>
      <c r="H966" s="5">
        <f>M966*26000*1.20565</f>
        <v>46418489.520000003</v>
      </c>
      <c r="I966" s="5">
        <f>G966-H966</f>
        <v>-2518489.5200000033</v>
      </c>
      <c r="J966" s="5">
        <v>3000000</v>
      </c>
      <c r="K966" s="5">
        <v>4090000</v>
      </c>
      <c r="L966" s="5">
        <v>4390000</v>
      </c>
      <c r="M966" s="7">
        <v>1480.8</v>
      </c>
      <c r="N966" s="5">
        <v>41400000</v>
      </c>
      <c r="O966" s="5">
        <v>44400000</v>
      </c>
      <c r="P966" s="3">
        <v>0.97916666666666663</v>
      </c>
    </row>
    <row r="967" spans="1:16" x14ac:dyDescent="0.25">
      <c r="A967" s="2">
        <v>43627</v>
      </c>
      <c r="B967" s="2">
        <v>43775</v>
      </c>
      <c r="C967" t="str">
        <f>TEXT(B967,"mm")</f>
        <v>11</v>
      </c>
      <c r="D967" t="s">
        <v>19</v>
      </c>
      <c r="E967" t="s">
        <v>1636</v>
      </c>
      <c r="F967" s="5">
        <v>41200000</v>
      </c>
      <c r="G967" s="5">
        <v>44200000</v>
      </c>
      <c r="H967" s="5">
        <f>M967*26000*1.20565</f>
        <v>46713150.380000003</v>
      </c>
      <c r="I967" s="5">
        <f>G967-H967</f>
        <v>-2513150.3800000027</v>
      </c>
      <c r="J967" s="5">
        <v>3000000</v>
      </c>
      <c r="K967" s="5">
        <v>4120000</v>
      </c>
      <c r="L967" s="5">
        <v>4420000</v>
      </c>
      <c r="M967" s="7">
        <v>1490.2</v>
      </c>
      <c r="N967" s="5">
        <v>41700000</v>
      </c>
      <c r="O967" s="5">
        <v>44700000</v>
      </c>
      <c r="P967" s="3">
        <v>0.97916666666666663</v>
      </c>
    </row>
    <row r="968" spans="1:16" x14ac:dyDescent="0.25">
      <c r="A968" s="2">
        <v>43657</v>
      </c>
      <c r="B968" s="2">
        <v>43776</v>
      </c>
      <c r="C968" t="str">
        <f>TEXT(B968,"mm")</f>
        <v>11</v>
      </c>
      <c r="D968" t="s">
        <v>20</v>
      </c>
      <c r="E968" t="s">
        <v>1636</v>
      </c>
      <c r="F968" s="5">
        <v>40400000</v>
      </c>
      <c r="G968" s="5">
        <v>43400000</v>
      </c>
      <c r="H968" s="5">
        <f>M968*26000*1.20565</f>
        <v>45898130.980000004</v>
      </c>
      <c r="I968" s="5">
        <f>G968-H968</f>
        <v>-2498130.9800000042</v>
      </c>
      <c r="J968" s="5">
        <v>3000000</v>
      </c>
      <c r="K968" s="5">
        <v>4040000</v>
      </c>
      <c r="L968" s="5">
        <v>4340000</v>
      </c>
      <c r="M968" s="7">
        <v>1464.2</v>
      </c>
      <c r="N968" s="5">
        <v>40900000</v>
      </c>
      <c r="O968" s="5">
        <v>43900000</v>
      </c>
      <c r="P968" s="3">
        <v>0.97916666666666663</v>
      </c>
    </row>
    <row r="969" spans="1:16" x14ac:dyDescent="0.25">
      <c r="A969" s="2">
        <v>43688</v>
      </c>
      <c r="B969" s="2">
        <v>43777</v>
      </c>
      <c r="C969" t="str">
        <f>TEXT(B969,"mm")</f>
        <v>11</v>
      </c>
      <c r="D969" t="s">
        <v>21</v>
      </c>
      <c r="E969" t="s">
        <v>1636</v>
      </c>
      <c r="F969" s="5">
        <v>40300000</v>
      </c>
      <c r="G969" s="5">
        <v>43300000</v>
      </c>
      <c r="H969" s="5">
        <f>M969*26000*1.20565</f>
        <v>45807224.970000006</v>
      </c>
      <c r="I969" s="5">
        <f>G969-H969</f>
        <v>-2507224.9700000063</v>
      </c>
      <c r="J969" s="5">
        <v>3000000</v>
      </c>
      <c r="K969" s="5">
        <v>4030000</v>
      </c>
      <c r="L969" s="5">
        <v>4330000</v>
      </c>
      <c r="M969" s="7">
        <v>1461.3</v>
      </c>
      <c r="N969" s="5">
        <v>40800000</v>
      </c>
      <c r="O969" s="5">
        <v>43800000</v>
      </c>
      <c r="P969" s="3">
        <v>0.97916666666666663</v>
      </c>
    </row>
    <row r="970" spans="1:16" x14ac:dyDescent="0.25">
      <c r="A970" s="2">
        <v>43780</v>
      </c>
      <c r="B970" s="2">
        <v>43780</v>
      </c>
      <c r="C970" t="str">
        <f>TEXT(B970,"mm")</f>
        <v>11</v>
      </c>
      <c r="D970" t="s">
        <v>16</v>
      </c>
      <c r="E970" t="s">
        <v>1636</v>
      </c>
      <c r="F970" s="5">
        <v>40200000</v>
      </c>
      <c r="G970" s="5">
        <v>43200000</v>
      </c>
      <c r="H970" s="5">
        <f>M970*26000*1.20565</f>
        <v>45625412.950000003</v>
      </c>
      <c r="I970" s="5">
        <f>G970-H970</f>
        <v>-2425412.950000003</v>
      </c>
      <c r="J970" s="5">
        <v>3000000</v>
      </c>
      <c r="K970" s="5">
        <v>4020000</v>
      </c>
      <c r="L970" s="5">
        <v>4320000</v>
      </c>
      <c r="M970" s="7">
        <v>1455.5</v>
      </c>
      <c r="N970" s="5">
        <v>40700000</v>
      </c>
      <c r="O970" s="5">
        <v>43700000</v>
      </c>
      <c r="P970" s="3">
        <v>0.97916666666666663</v>
      </c>
    </row>
    <row r="971" spans="1:16" x14ac:dyDescent="0.25">
      <c r="A971" s="2">
        <v>43810</v>
      </c>
      <c r="B971" s="2">
        <v>43781</v>
      </c>
      <c r="C971" t="str">
        <f>TEXT(B971,"mm")</f>
        <v>11</v>
      </c>
      <c r="D971" t="s">
        <v>18</v>
      </c>
      <c r="E971" t="s">
        <v>1636</v>
      </c>
      <c r="F971" s="5">
        <v>40100000</v>
      </c>
      <c r="G971" s="5">
        <v>43100000</v>
      </c>
      <c r="H971" s="5">
        <f>M971*26000*1.20565</f>
        <v>45518833.490000002</v>
      </c>
      <c r="I971" s="5">
        <f>G971-H971</f>
        <v>-2418833.4900000021</v>
      </c>
      <c r="J971" s="5">
        <v>3000000</v>
      </c>
      <c r="K971" s="5">
        <v>4010000</v>
      </c>
      <c r="L971" s="5">
        <v>4310000</v>
      </c>
      <c r="M971" s="7">
        <v>1452.1</v>
      </c>
      <c r="N971" s="5">
        <v>40600000</v>
      </c>
      <c r="O971" s="5">
        <v>43600000</v>
      </c>
      <c r="P971" s="3">
        <v>0.97916666666666663</v>
      </c>
    </row>
    <row r="972" spans="1:16" x14ac:dyDescent="0.25">
      <c r="A972" t="s">
        <v>605</v>
      </c>
      <c r="B972" s="2">
        <v>43782</v>
      </c>
      <c r="C972" t="str">
        <f>TEXT(B972,"mm")</f>
        <v>11</v>
      </c>
      <c r="D972" t="s">
        <v>19</v>
      </c>
      <c r="E972" t="s">
        <v>1636</v>
      </c>
      <c r="F972" s="5">
        <v>40300000</v>
      </c>
      <c r="G972" s="5">
        <v>43300000</v>
      </c>
      <c r="H972" s="5">
        <f>M972*26000*1.20565</f>
        <v>45819763.730000004</v>
      </c>
      <c r="I972" s="5">
        <f>G972-H972</f>
        <v>-2519763.7300000042</v>
      </c>
      <c r="J972" s="5">
        <v>3000000</v>
      </c>
      <c r="K972" s="5">
        <v>4030000</v>
      </c>
      <c r="L972" s="5">
        <v>4330000</v>
      </c>
      <c r="M972" s="7">
        <v>1461.7</v>
      </c>
      <c r="N972" s="5">
        <v>40800000</v>
      </c>
      <c r="O972" s="5">
        <v>43800000</v>
      </c>
      <c r="P972" s="3">
        <v>0.97916666666666663</v>
      </c>
    </row>
    <row r="973" spans="1:16" x14ac:dyDescent="0.25">
      <c r="A973" t="s">
        <v>606</v>
      </c>
      <c r="B973" s="2">
        <v>43783</v>
      </c>
      <c r="C973" t="str">
        <f>TEXT(B973,"mm")</f>
        <v>11</v>
      </c>
      <c r="D973" t="s">
        <v>20</v>
      </c>
      <c r="E973" t="s">
        <v>1636</v>
      </c>
      <c r="F973" s="5">
        <v>40600000</v>
      </c>
      <c r="G973" s="5">
        <v>43600000</v>
      </c>
      <c r="H973" s="5">
        <f>M973*26000*1.20565</f>
        <v>46136367.420000002</v>
      </c>
      <c r="I973" s="5">
        <f>G973-H973</f>
        <v>-2536367.4200000018</v>
      </c>
      <c r="J973" s="5">
        <v>3000000</v>
      </c>
      <c r="K973" s="5">
        <v>4060000</v>
      </c>
      <c r="L973" s="5">
        <v>4360000</v>
      </c>
      <c r="M973" s="7">
        <v>1471.8</v>
      </c>
      <c r="N973" s="5">
        <v>41100000</v>
      </c>
      <c r="O973" s="5">
        <v>44100000</v>
      </c>
      <c r="P973" s="3">
        <v>0.97916666666666663</v>
      </c>
    </row>
    <row r="974" spans="1:16" x14ac:dyDescent="0.25">
      <c r="A974" t="s">
        <v>607</v>
      </c>
      <c r="B974" s="2">
        <v>43784</v>
      </c>
      <c r="C974" t="str">
        <f>TEXT(B974,"mm")</f>
        <v>11</v>
      </c>
      <c r="D974" t="s">
        <v>21</v>
      </c>
      <c r="E974" t="s">
        <v>1636</v>
      </c>
      <c r="F974" s="5">
        <v>40500000</v>
      </c>
      <c r="G974" s="5">
        <v>43500000</v>
      </c>
      <c r="H974" s="5">
        <f>M974*26000*1.20565</f>
        <v>45995306.370000005</v>
      </c>
      <c r="I974" s="5">
        <f>G974-H974</f>
        <v>-2495306.3700000048</v>
      </c>
      <c r="J974" s="5">
        <v>3000000</v>
      </c>
      <c r="K974" s="5">
        <v>4050000</v>
      </c>
      <c r="L974" s="5">
        <v>4350000</v>
      </c>
      <c r="M974" s="7">
        <v>1467.3</v>
      </c>
      <c r="N974" s="5">
        <v>41000000</v>
      </c>
      <c r="O974" s="5">
        <v>44000000</v>
      </c>
      <c r="P974" s="3">
        <v>0.97916666666666663</v>
      </c>
    </row>
    <row r="975" spans="1:16" x14ac:dyDescent="0.25">
      <c r="A975" t="s">
        <v>608</v>
      </c>
      <c r="B975" s="2">
        <v>43787</v>
      </c>
      <c r="C975" t="str">
        <f>TEXT(B975,"mm")</f>
        <v>11</v>
      </c>
      <c r="D975" t="s">
        <v>16</v>
      </c>
      <c r="E975" t="s">
        <v>1636</v>
      </c>
      <c r="F975" s="5">
        <v>40600000</v>
      </c>
      <c r="G975" s="5">
        <v>43600000</v>
      </c>
      <c r="H975" s="5">
        <f>M975*26000*1.20565</f>
        <v>46108155.210000001</v>
      </c>
      <c r="I975" s="5">
        <f>G975-H975</f>
        <v>-2508155.2100000009</v>
      </c>
      <c r="J975" s="5">
        <v>3000000</v>
      </c>
      <c r="K975" s="5">
        <v>4060000</v>
      </c>
      <c r="L975" s="5">
        <v>4360000</v>
      </c>
      <c r="M975" s="7">
        <v>1470.9</v>
      </c>
      <c r="N975" s="5">
        <v>41100000</v>
      </c>
      <c r="O975" s="5">
        <v>44100000</v>
      </c>
      <c r="P975" s="3">
        <v>0.97916666666666663</v>
      </c>
    </row>
    <row r="976" spans="1:16" x14ac:dyDescent="0.25">
      <c r="A976" t="s">
        <v>609</v>
      </c>
      <c r="B976" s="2">
        <v>43788</v>
      </c>
      <c r="C976" t="str">
        <f>TEXT(B976,"mm")</f>
        <v>11</v>
      </c>
      <c r="D976" t="s">
        <v>18</v>
      </c>
      <c r="E976" t="s">
        <v>1636</v>
      </c>
      <c r="F976" s="5">
        <v>40700000</v>
      </c>
      <c r="G976" s="5">
        <v>43700000</v>
      </c>
      <c r="H976" s="5">
        <f>M976*26000*1.20565</f>
        <v>46183387.770000003</v>
      </c>
      <c r="I976" s="5">
        <f>G976-H976</f>
        <v>-2483387.7700000033</v>
      </c>
      <c r="J976" s="5">
        <v>3000000</v>
      </c>
      <c r="K976" s="5">
        <v>4070000</v>
      </c>
      <c r="L976" s="5">
        <v>4370000</v>
      </c>
      <c r="M976" s="7">
        <v>1473.3</v>
      </c>
      <c r="N976" s="5">
        <v>41200000</v>
      </c>
      <c r="O976" s="5">
        <v>44200000</v>
      </c>
      <c r="P976" s="3">
        <v>0.97916666666666663</v>
      </c>
    </row>
    <row r="977" spans="1:16" x14ac:dyDescent="0.25">
      <c r="A977" t="s">
        <v>610</v>
      </c>
      <c r="B977" s="2">
        <v>43789</v>
      </c>
      <c r="C977" t="str">
        <f>TEXT(B977,"mm")</f>
        <v>11</v>
      </c>
      <c r="D977" t="s">
        <v>19</v>
      </c>
      <c r="E977" t="s">
        <v>1636</v>
      </c>
      <c r="F977" s="5">
        <v>40700000</v>
      </c>
      <c r="G977" s="5">
        <v>43700000</v>
      </c>
      <c r="H977" s="5">
        <f>M977*26000*1.20565</f>
        <v>46183387.770000003</v>
      </c>
      <c r="I977" s="5">
        <f>G977-H977</f>
        <v>-2483387.7700000033</v>
      </c>
      <c r="J977" s="5">
        <v>3000000</v>
      </c>
      <c r="K977" s="5">
        <v>4070000</v>
      </c>
      <c r="L977" s="5">
        <v>4370000</v>
      </c>
      <c r="M977" s="7">
        <v>1473.3</v>
      </c>
      <c r="N977" s="5">
        <v>41200000</v>
      </c>
      <c r="O977" s="5">
        <v>44200000</v>
      </c>
      <c r="P977" s="3">
        <v>0.97916666666666663</v>
      </c>
    </row>
    <row r="978" spans="1:16" x14ac:dyDescent="0.25">
      <c r="A978" t="s">
        <v>611</v>
      </c>
      <c r="B978" s="2">
        <v>43790</v>
      </c>
      <c r="C978" t="str">
        <f>TEXT(B978,"mm")</f>
        <v>11</v>
      </c>
      <c r="D978" t="s">
        <v>20</v>
      </c>
      <c r="E978" t="s">
        <v>1636</v>
      </c>
      <c r="F978" s="5">
        <v>40400000</v>
      </c>
      <c r="G978" s="5">
        <v>43400000</v>
      </c>
      <c r="H978" s="5">
        <f>M978*26000*1.20565</f>
        <v>45863649.390000001</v>
      </c>
      <c r="I978" s="5">
        <f>G978-H978</f>
        <v>-2463649.3900000006</v>
      </c>
      <c r="J978" s="5">
        <v>3000000</v>
      </c>
      <c r="K978" s="5">
        <v>4040000</v>
      </c>
      <c r="L978" s="5">
        <v>4340000</v>
      </c>
      <c r="M978" s="7">
        <v>1463.1</v>
      </c>
      <c r="N978" s="5">
        <v>40900000</v>
      </c>
      <c r="O978" s="5">
        <v>43900000</v>
      </c>
      <c r="P978" s="3">
        <v>0.97916666666666663</v>
      </c>
    </row>
    <row r="979" spans="1:16" x14ac:dyDescent="0.25">
      <c r="A979" t="s">
        <v>612</v>
      </c>
      <c r="B979" s="2">
        <v>43791</v>
      </c>
      <c r="C979" t="str">
        <f>TEXT(B979,"mm")</f>
        <v>11</v>
      </c>
      <c r="D979" t="s">
        <v>21</v>
      </c>
      <c r="E979" t="s">
        <v>1636</v>
      </c>
      <c r="F979" s="5">
        <v>40400000</v>
      </c>
      <c r="G979" s="5">
        <v>43400000</v>
      </c>
      <c r="H979" s="5">
        <f>M979*26000*1.20565</f>
        <v>45863649.390000001</v>
      </c>
      <c r="I979" s="5">
        <f>G979-H979</f>
        <v>-2463649.3900000006</v>
      </c>
      <c r="J979" s="5">
        <v>3000000</v>
      </c>
      <c r="K979" s="5">
        <v>4040000</v>
      </c>
      <c r="L979" s="5">
        <v>4340000</v>
      </c>
      <c r="M979" s="7">
        <v>1463.1</v>
      </c>
      <c r="N979" s="5">
        <v>40900000</v>
      </c>
      <c r="O979" s="5">
        <v>43900000</v>
      </c>
      <c r="P979" s="3">
        <v>0.97916666666666663</v>
      </c>
    </row>
    <row r="980" spans="1:16" x14ac:dyDescent="0.25">
      <c r="A980" t="s">
        <v>613</v>
      </c>
      <c r="B980" s="2">
        <v>43794</v>
      </c>
      <c r="C980" t="str">
        <f>TEXT(B980,"mm")</f>
        <v>11</v>
      </c>
      <c r="D980" t="s">
        <v>16</v>
      </c>
      <c r="E980" t="s">
        <v>1636</v>
      </c>
      <c r="F980" s="5">
        <v>40200000</v>
      </c>
      <c r="G980" s="5">
        <v>43200000</v>
      </c>
      <c r="H980" s="5">
        <f>M980*26000*1.20565</f>
        <v>45659894.540000007</v>
      </c>
      <c r="I980" s="5">
        <f>G980-H980</f>
        <v>-2459894.5400000066</v>
      </c>
      <c r="J980" s="5">
        <v>3000000</v>
      </c>
      <c r="K980" s="5">
        <v>4020000</v>
      </c>
      <c r="L980" s="5">
        <v>4320000</v>
      </c>
      <c r="M980" s="7">
        <v>1456.6</v>
      </c>
      <c r="N980" s="5">
        <v>40700000</v>
      </c>
      <c r="O980" s="5">
        <v>43700000</v>
      </c>
      <c r="P980" s="3">
        <v>0.97916666666666663</v>
      </c>
    </row>
    <row r="981" spans="1:16" x14ac:dyDescent="0.25">
      <c r="A981" t="s">
        <v>614</v>
      </c>
      <c r="B981" s="2">
        <v>43795</v>
      </c>
      <c r="C981" t="str">
        <f>TEXT(B981,"mm")</f>
        <v>11</v>
      </c>
      <c r="D981" t="s">
        <v>18</v>
      </c>
      <c r="E981" t="s">
        <v>1636</v>
      </c>
      <c r="F981" s="5">
        <v>40300000</v>
      </c>
      <c r="G981" s="5">
        <v>43300000</v>
      </c>
      <c r="H981" s="5">
        <f>M981*26000*1.20565</f>
        <v>45760204.620000005</v>
      </c>
      <c r="I981" s="5">
        <f>G981-H981</f>
        <v>-2460204.6200000048</v>
      </c>
      <c r="J981" s="5">
        <v>3000000</v>
      </c>
      <c r="K981" s="5">
        <v>4030000</v>
      </c>
      <c r="L981" s="5">
        <v>4330000</v>
      </c>
      <c r="M981" s="7">
        <v>1459.8</v>
      </c>
      <c r="N981" s="5">
        <v>40800000</v>
      </c>
      <c r="O981" s="5">
        <v>43800000</v>
      </c>
      <c r="P981" s="3">
        <v>0.97916666666666663</v>
      </c>
    </row>
    <row r="982" spans="1:16" x14ac:dyDescent="0.25">
      <c r="A982" t="s">
        <v>615</v>
      </c>
      <c r="B982" s="2">
        <v>43796</v>
      </c>
      <c r="C982" t="str">
        <f>TEXT(B982,"mm")</f>
        <v>11</v>
      </c>
      <c r="D982" t="s">
        <v>19</v>
      </c>
      <c r="E982" t="s">
        <v>1636</v>
      </c>
      <c r="F982" s="5">
        <v>40100000</v>
      </c>
      <c r="G982" s="5">
        <v>43100000</v>
      </c>
      <c r="H982" s="5">
        <f>M982*26000*1.20565</f>
        <v>45559584.460000001</v>
      </c>
      <c r="I982" s="5">
        <f>G982-H982</f>
        <v>-2459584.4600000009</v>
      </c>
      <c r="J982" s="5">
        <v>3000000</v>
      </c>
      <c r="K982" s="5">
        <v>4010000</v>
      </c>
      <c r="L982" s="5">
        <v>4310000</v>
      </c>
      <c r="M982" s="7">
        <v>1453.4</v>
      </c>
      <c r="N982" s="5">
        <v>40600000</v>
      </c>
      <c r="O982" s="5">
        <v>43600000</v>
      </c>
      <c r="P982" s="3">
        <v>0.97916666666666663</v>
      </c>
    </row>
    <row r="983" spans="1:16" x14ac:dyDescent="0.25">
      <c r="A983" t="s">
        <v>616</v>
      </c>
      <c r="B983" s="2">
        <v>43798</v>
      </c>
      <c r="C983" t="str">
        <f>TEXT(B983,"mm")</f>
        <v>11</v>
      </c>
      <c r="D983" t="s">
        <v>21</v>
      </c>
      <c r="E983" t="s">
        <v>1636</v>
      </c>
      <c r="F983" s="5">
        <v>40500000</v>
      </c>
      <c r="G983" s="5">
        <v>43500000</v>
      </c>
      <c r="H983" s="5">
        <f>M983*26000*1.20565</f>
        <v>45942016.640000001</v>
      </c>
      <c r="I983" s="5">
        <f>G983-H983</f>
        <v>-2442016.6400000006</v>
      </c>
      <c r="J983" s="5">
        <v>3000000</v>
      </c>
      <c r="K983" s="5">
        <v>4050000</v>
      </c>
      <c r="L983" s="5">
        <v>4350000</v>
      </c>
      <c r="M983" s="7">
        <v>1465.6</v>
      </c>
      <c r="N983" s="5">
        <v>41000000</v>
      </c>
      <c r="O983" s="5">
        <v>44000000</v>
      </c>
      <c r="P983" s="3">
        <v>0.97916666666666663</v>
      </c>
    </row>
    <row r="984" spans="1:16" x14ac:dyDescent="0.25">
      <c r="A984" s="2">
        <v>43508</v>
      </c>
      <c r="B984" s="2">
        <v>43801</v>
      </c>
      <c r="C984" t="str">
        <f>TEXT(B984,"mm")</f>
        <v>12</v>
      </c>
      <c r="D984" t="s">
        <v>16</v>
      </c>
      <c r="E984" t="s">
        <v>1636</v>
      </c>
      <c r="F984" s="5">
        <v>40400000</v>
      </c>
      <c r="G984" s="5">
        <v>43400000</v>
      </c>
      <c r="H984" s="5">
        <f>M984*26000*1.20565</f>
        <v>45838571.870000005</v>
      </c>
      <c r="I984" s="5">
        <f>G984-H984</f>
        <v>-2438571.8700000048</v>
      </c>
      <c r="J984" s="5">
        <v>3000000</v>
      </c>
      <c r="K984" s="5">
        <v>4040000</v>
      </c>
      <c r="L984" s="5">
        <v>4340000</v>
      </c>
      <c r="M984" s="7">
        <v>1462.3</v>
      </c>
      <c r="N984" s="5">
        <v>40900000</v>
      </c>
      <c r="O984" s="5">
        <v>43900000</v>
      </c>
      <c r="P984" s="3">
        <v>0.97916666666666663</v>
      </c>
    </row>
    <row r="985" spans="1:16" x14ac:dyDescent="0.25">
      <c r="A985" s="2">
        <v>43536</v>
      </c>
      <c r="B985" s="2">
        <v>43802</v>
      </c>
      <c r="C985" t="str">
        <f>TEXT(B985,"mm")</f>
        <v>12</v>
      </c>
      <c r="D985" t="s">
        <v>18</v>
      </c>
      <c r="E985" t="s">
        <v>1636</v>
      </c>
      <c r="F985" s="5">
        <v>40800000</v>
      </c>
      <c r="G985" s="5">
        <v>43800000</v>
      </c>
      <c r="H985" s="5">
        <f>M985*26000*1.20565</f>
        <v>46336987.580000006</v>
      </c>
      <c r="I985" s="5">
        <f>G985-H985</f>
        <v>-2536987.5800000057</v>
      </c>
      <c r="J985" s="5">
        <v>3000000</v>
      </c>
      <c r="K985" s="5">
        <v>4080000</v>
      </c>
      <c r="L985" s="5">
        <v>4380000</v>
      </c>
      <c r="M985" s="7">
        <v>1478.2</v>
      </c>
      <c r="N985" s="5">
        <v>41300000</v>
      </c>
      <c r="O985" s="5">
        <v>44300000</v>
      </c>
      <c r="P985" s="3">
        <v>0.97916666666666663</v>
      </c>
    </row>
    <row r="986" spans="1:16" x14ac:dyDescent="0.25">
      <c r="A986" s="2">
        <v>43567</v>
      </c>
      <c r="B986" s="2">
        <v>43803</v>
      </c>
      <c r="C986" t="str">
        <f>TEXT(B986,"mm")</f>
        <v>12</v>
      </c>
      <c r="D986" t="s">
        <v>19</v>
      </c>
      <c r="E986" t="s">
        <v>1636</v>
      </c>
      <c r="F986" s="5">
        <v>40700000</v>
      </c>
      <c r="G986" s="5">
        <v>43700000</v>
      </c>
      <c r="H986" s="5">
        <f>M986*26000*1.20565</f>
        <v>46205330.600000001</v>
      </c>
      <c r="I986" s="5">
        <f>G986-H986</f>
        <v>-2505330.6000000015</v>
      </c>
      <c r="J986" s="5">
        <v>3000000</v>
      </c>
      <c r="K986" s="5">
        <v>4070000</v>
      </c>
      <c r="L986" s="5">
        <v>4370000</v>
      </c>
      <c r="M986" s="7">
        <v>1474</v>
      </c>
      <c r="N986" s="5">
        <v>41200000</v>
      </c>
      <c r="O986" s="5">
        <v>44200000</v>
      </c>
      <c r="P986" s="3">
        <v>0.97916666666666663</v>
      </c>
    </row>
    <row r="987" spans="1:16" x14ac:dyDescent="0.25">
      <c r="A987" s="2">
        <v>43597</v>
      </c>
      <c r="B987" s="2">
        <v>43804</v>
      </c>
      <c r="C987" t="str">
        <f>TEXT(B987,"mm")</f>
        <v>12</v>
      </c>
      <c r="D987" t="s">
        <v>20</v>
      </c>
      <c r="E987" t="s">
        <v>1636</v>
      </c>
      <c r="F987" s="5">
        <v>40800000</v>
      </c>
      <c r="G987" s="5">
        <v>43800000</v>
      </c>
      <c r="H987" s="5">
        <f>M987*26000*1.20565</f>
        <v>46296236.610000007</v>
      </c>
      <c r="I987" s="5">
        <f>G987-H987</f>
        <v>-2496236.6100000069</v>
      </c>
      <c r="J987" s="5">
        <v>3000000</v>
      </c>
      <c r="K987" s="5">
        <v>4080000</v>
      </c>
      <c r="L987" s="5">
        <v>4380000</v>
      </c>
      <c r="M987" s="7">
        <v>1476.9</v>
      </c>
      <c r="N987" s="5">
        <v>41300000</v>
      </c>
      <c r="O987" s="5">
        <v>44300000</v>
      </c>
      <c r="P987" s="3">
        <v>0.97916666666666663</v>
      </c>
    </row>
    <row r="988" spans="1:16" x14ac:dyDescent="0.25">
      <c r="A988" s="2">
        <v>43628</v>
      </c>
      <c r="B988" s="2">
        <v>43805</v>
      </c>
      <c r="C988" t="str">
        <f>TEXT(B988,"mm")</f>
        <v>12</v>
      </c>
      <c r="D988" t="s">
        <v>21</v>
      </c>
      <c r="E988" t="s">
        <v>1636</v>
      </c>
      <c r="F988" s="5">
        <v>40300000</v>
      </c>
      <c r="G988" s="5">
        <v>43300000</v>
      </c>
      <c r="H988" s="5">
        <f>M988*26000*1.20565</f>
        <v>45738261.790000007</v>
      </c>
      <c r="I988" s="5">
        <f>G988-H988</f>
        <v>-2438261.7900000066</v>
      </c>
      <c r="J988" s="5">
        <v>3000000</v>
      </c>
      <c r="K988" s="5">
        <v>4030000</v>
      </c>
      <c r="L988" s="5">
        <v>4330000</v>
      </c>
      <c r="M988" s="7">
        <v>1459.1</v>
      </c>
      <c r="N988" s="5">
        <v>40800000</v>
      </c>
      <c r="O988" s="5">
        <v>43800000</v>
      </c>
      <c r="P988" s="3">
        <v>0.97916666666666663</v>
      </c>
    </row>
    <row r="989" spans="1:16" x14ac:dyDescent="0.25">
      <c r="A989" s="2">
        <v>43720</v>
      </c>
      <c r="B989" s="2">
        <v>43808</v>
      </c>
      <c r="C989" t="str">
        <f>TEXT(B989,"mm")</f>
        <v>12</v>
      </c>
      <c r="D989" t="s">
        <v>16</v>
      </c>
      <c r="E989" t="s">
        <v>1636</v>
      </c>
      <c r="F989" s="5">
        <v>40300000</v>
      </c>
      <c r="G989" s="5">
        <v>43300000</v>
      </c>
      <c r="H989" s="5">
        <f>M989*26000*1.20565</f>
        <v>45744531.170000002</v>
      </c>
      <c r="I989" s="5">
        <f>G989-H989</f>
        <v>-2444531.1700000018</v>
      </c>
      <c r="J989" s="5">
        <v>3000000</v>
      </c>
      <c r="K989" s="5">
        <v>4030000</v>
      </c>
      <c r="L989" s="5">
        <v>4330000</v>
      </c>
      <c r="M989" s="7">
        <v>1459.3</v>
      </c>
      <c r="N989" s="5">
        <v>40800000</v>
      </c>
      <c r="O989" s="5">
        <v>43800000</v>
      </c>
      <c r="P989" s="3">
        <v>0.97916666666666663</v>
      </c>
    </row>
    <row r="990" spans="1:16" x14ac:dyDescent="0.25">
      <c r="A990" s="2">
        <v>43750</v>
      </c>
      <c r="B990" s="2">
        <v>43809</v>
      </c>
      <c r="C990" t="str">
        <f>TEXT(B990,"mm")</f>
        <v>12</v>
      </c>
      <c r="D990" t="s">
        <v>18</v>
      </c>
      <c r="E990" t="s">
        <v>1636</v>
      </c>
      <c r="F990" s="5">
        <v>40400000</v>
      </c>
      <c r="G990" s="5">
        <v>43400000</v>
      </c>
      <c r="H990" s="5">
        <f>M990*26000*1.20565</f>
        <v>45847975.940000005</v>
      </c>
      <c r="I990" s="5">
        <f>G990-H990</f>
        <v>-2447975.9400000051</v>
      </c>
      <c r="J990" s="5">
        <v>3000000</v>
      </c>
      <c r="K990" s="5">
        <v>4040000</v>
      </c>
      <c r="L990" s="5">
        <v>4340000</v>
      </c>
      <c r="M990" s="7">
        <v>1462.6</v>
      </c>
      <c r="N990" s="5">
        <v>40900000</v>
      </c>
      <c r="O990" s="5">
        <v>43900000</v>
      </c>
      <c r="P990" s="3">
        <v>0.97916666666666663</v>
      </c>
    </row>
    <row r="991" spans="1:16" x14ac:dyDescent="0.25">
      <c r="A991" s="2">
        <v>43781</v>
      </c>
      <c r="B991" s="2">
        <v>43810</v>
      </c>
      <c r="C991" t="str">
        <f>TEXT(B991,"mm")</f>
        <v>12</v>
      </c>
      <c r="D991" t="s">
        <v>19</v>
      </c>
      <c r="E991" t="s">
        <v>1636</v>
      </c>
      <c r="F991" s="5">
        <v>40600000</v>
      </c>
      <c r="G991" s="5">
        <v>43600000</v>
      </c>
      <c r="H991" s="5">
        <f>M991*26000*1.20565</f>
        <v>46061134.860000007</v>
      </c>
      <c r="I991" s="5">
        <f>G991-H991</f>
        <v>-2461134.8600000069</v>
      </c>
      <c r="J991" s="5">
        <v>3000000</v>
      </c>
      <c r="K991" s="5">
        <v>4060000</v>
      </c>
      <c r="L991" s="5">
        <v>4360000</v>
      </c>
      <c r="M991" s="7">
        <v>1469.4</v>
      </c>
      <c r="N991" s="5">
        <v>41100000</v>
      </c>
      <c r="O991" s="5">
        <v>44100000</v>
      </c>
      <c r="P991" s="3">
        <v>0.97916666666666663</v>
      </c>
    </row>
    <row r="992" spans="1:16" x14ac:dyDescent="0.25">
      <c r="A992" s="2">
        <v>43811</v>
      </c>
      <c r="B992" s="2">
        <v>43811</v>
      </c>
      <c r="C992" t="str">
        <f>TEXT(B992,"mm")</f>
        <v>12</v>
      </c>
      <c r="D992" t="s">
        <v>20</v>
      </c>
      <c r="E992" t="s">
        <v>1636</v>
      </c>
      <c r="F992" s="5">
        <v>40500000</v>
      </c>
      <c r="G992" s="5">
        <v>43500000</v>
      </c>
      <c r="H992" s="5">
        <f>M992*26000*1.20565</f>
        <v>45976498.230000004</v>
      </c>
      <c r="I992" s="5">
        <f>G992-H992</f>
        <v>-2476498.2300000042</v>
      </c>
      <c r="J992" s="5">
        <v>3000000</v>
      </c>
      <c r="K992" s="5">
        <v>4050000</v>
      </c>
      <c r="L992" s="5">
        <v>4350000</v>
      </c>
      <c r="M992" s="7">
        <v>1466.7</v>
      </c>
      <c r="N992" s="5">
        <v>41000000</v>
      </c>
      <c r="O992" s="5">
        <v>44000000</v>
      </c>
      <c r="P992" s="3">
        <v>0.97916666666666663</v>
      </c>
    </row>
    <row r="993" spans="1:16" x14ac:dyDescent="0.25">
      <c r="A993" t="s">
        <v>617</v>
      </c>
      <c r="B993" s="2">
        <v>43812</v>
      </c>
      <c r="C993" t="str">
        <f>TEXT(B993,"mm")</f>
        <v>12</v>
      </c>
      <c r="D993" t="s">
        <v>21</v>
      </c>
      <c r="E993" t="s">
        <v>1636</v>
      </c>
      <c r="F993" s="5">
        <v>40800000</v>
      </c>
      <c r="G993" s="5">
        <v>43800000</v>
      </c>
      <c r="H993" s="5">
        <f>M993*26000*1.20565</f>
        <v>46255485.640000001</v>
      </c>
      <c r="I993" s="5">
        <f>G993-H993</f>
        <v>-2455485.6400000006</v>
      </c>
      <c r="J993" s="5">
        <v>3000000</v>
      </c>
      <c r="K993" s="5">
        <v>4080000</v>
      </c>
      <c r="L993" s="5">
        <v>4380000</v>
      </c>
      <c r="M993" s="7">
        <v>1475.6</v>
      </c>
      <c r="N993" s="5">
        <v>41300000</v>
      </c>
      <c r="O993" s="5">
        <v>44300000</v>
      </c>
      <c r="P993" s="3">
        <v>0.97916666666666663</v>
      </c>
    </row>
    <row r="994" spans="1:16" x14ac:dyDescent="0.25">
      <c r="A994" t="s">
        <v>618</v>
      </c>
      <c r="B994" s="2">
        <v>43815</v>
      </c>
      <c r="C994" t="str">
        <f>TEXT(B994,"mm")</f>
        <v>12</v>
      </c>
      <c r="D994" t="s">
        <v>16</v>
      </c>
      <c r="E994" t="s">
        <v>1636</v>
      </c>
      <c r="F994" s="5">
        <v>40700000</v>
      </c>
      <c r="G994" s="5">
        <v>43700000</v>
      </c>
      <c r="H994" s="5">
        <f>M994*26000*1.20565</f>
        <v>46236677.500000007</v>
      </c>
      <c r="I994" s="5">
        <f>G994-H994</f>
        <v>-2536677.5000000075</v>
      </c>
      <c r="J994" s="5">
        <v>3000000</v>
      </c>
      <c r="K994" s="5">
        <v>4070000</v>
      </c>
      <c r="L994" s="5">
        <v>4370000</v>
      </c>
      <c r="M994" s="7">
        <v>1475</v>
      </c>
      <c r="N994" s="5">
        <v>41200000</v>
      </c>
      <c r="O994" s="5">
        <v>44200000</v>
      </c>
      <c r="P994" s="3">
        <v>0.97916666666666663</v>
      </c>
    </row>
    <row r="995" spans="1:16" x14ac:dyDescent="0.25">
      <c r="A995" t="s">
        <v>619</v>
      </c>
      <c r="B995" s="2">
        <v>43816</v>
      </c>
      <c r="C995" t="str">
        <f>TEXT(B995,"mm")</f>
        <v>12</v>
      </c>
      <c r="D995" t="s">
        <v>18</v>
      </c>
      <c r="E995" t="s">
        <v>1636</v>
      </c>
      <c r="F995" s="5">
        <v>40700000</v>
      </c>
      <c r="G995" s="5">
        <v>43700000</v>
      </c>
      <c r="H995" s="5">
        <f>M995*26000*1.20565</f>
        <v>46224138.740000002</v>
      </c>
      <c r="I995" s="5">
        <f>G995-H995</f>
        <v>-2524138.7400000021</v>
      </c>
      <c r="J995" s="5">
        <v>3000000</v>
      </c>
      <c r="K995" s="5">
        <v>4070000</v>
      </c>
      <c r="L995" s="5">
        <v>4370000</v>
      </c>
      <c r="M995" s="7">
        <v>1474.6</v>
      </c>
      <c r="N995" s="5">
        <v>41200000</v>
      </c>
      <c r="O995" s="5">
        <v>44200000</v>
      </c>
      <c r="P995" s="3">
        <v>0.97916666666666663</v>
      </c>
    </row>
    <row r="996" spans="1:16" x14ac:dyDescent="0.25">
      <c r="A996" t="s">
        <v>620</v>
      </c>
      <c r="B996" s="2">
        <v>43817</v>
      </c>
      <c r="C996" t="str">
        <f>TEXT(B996,"mm")</f>
        <v>12</v>
      </c>
      <c r="D996" t="s">
        <v>19</v>
      </c>
      <c r="E996" t="s">
        <v>1636</v>
      </c>
      <c r="F996" s="5">
        <v>40700000</v>
      </c>
      <c r="G996" s="5">
        <v>43700000</v>
      </c>
      <c r="H996" s="5">
        <f>M996*26000*1.20565</f>
        <v>46161444.940000005</v>
      </c>
      <c r="I996" s="5">
        <f>G996-H996</f>
        <v>-2461444.9400000051</v>
      </c>
      <c r="J996" s="5">
        <v>3000000</v>
      </c>
      <c r="K996" s="5">
        <v>4070000</v>
      </c>
      <c r="L996" s="5">
        <v>4370000</v>
      </c>
      <c r="M996" s="7">
        <v>1472.6</v>
      </c>
      <c r="N996" s="5">
        <v>41200000</v>
      </c>
      <c r="O996" s="5">
        <v>44200000</v>
      </c>
      <c r="P996" s="3">
        <v>0.97916666666666663</v>
      </c>
    </row>
    <row r="997" spans="1:16" x14ac:dyDescent="0.25">
      <c r="A997" t="s">
        <v>621</v>
      </c>
      <c r="B997" s="2">
        <v>43818</v>
      </c>
      <c r="C997" t="str">
        <f>TEXT(B997,"mm")</f>
        <v>12</v>
      </c>
      <c r="D997" t="s">
        <v>20</v>
      </c>
      <c r="E997" t="s">
        <v>1636</v>
      </c>
      <c r="F997" s="5">
        <v>40800000</v>
      </c>
      <c r="G997" s="5">
        <v>43800000</v>
      </c>
      <c r="H997" s="5">
        <f>M997*26000*1.20565</f>
        <v>46336987.580000006</v>
      </c>
      <c r="I997" s="5">
        <f>G997-H997</f>
        <v>-2536987.5800000057</v>
      </c>
      <c r="J997" s="5">
        <v>3000000</v>
      </c>
      <c r="K997" s="5">
        <v>4080000</v>
      </c>
      <c r="L997" s="5">
        <v>4380000</v>
      </c>
      <c r="M997" s="7">
        <v>1478.2</v>
      </c>
      <c r="N997" s="5">
        <v>41300000</v>
      </c>
      <c r="O997" s="5">
        <v>44300000</v>
      </c>
      <c r="P997" s="3">
        <v>0.97916666666666663</v>
      </c>
    </row>
    <row r="998" spans="1:16" x14ac:dyDescent="0.25">
      <c r="A998" t="s">
        <v>622</v>
      </c>
      <c r="B998" s="2">
        <v>43819</v>
      </c>
      <c r="C998" t="str">
        <f>TEXT(B998,"mm")</f>
        <v>12</v>
      </c>
      <c r="D998" t="s">
        <v>21</v>
      </c>
      <c r="E998" t="s">
        <v>1636</v>
      </c>
      <c r="F998" s="5">
        <v>40700000</v>
      </c>
      <c r="G998" s="5">
        <v>43700000</v>
      </c>
      <c r="H998" s="5">
        <f>M998*26000*1.20565</f>
        <v>46227273.430000007</v>
      </c>
      <c r="I998" s="5">
        <f>G998-H998</f>
        <v>-2527273.4300000072</v>
      </c>
      <c r="J998" s="5">
        <v>3000000</v>
      </c>
      <c r="K998" s="5">
        <v>4070000</v>
      </c>
      <c r="L998" s="5">
        <v>4370000</v>
      </c>
      <c r="M998" s="7">
        <v>1474.7</v>
      </c>
      <c r="N998" s="5">
        <v>41200000</v>
      </c>
      <c r="O998" s="5">
        <v>44200000</v>
      </c>
      <c r="P998" s="3">
        <v>0.97916666666666663</v>
      </c>
    </row>
    <row r="999" spans="1:16" x14ac:dyDescent="0.25">
      <c r="A999" t="s">
        <v>623</v>
      </c>
      <c r="B999" s="2">
        <v>43822</v>
      </c>
      <c r="C999" t="str">
        <f>TEXT(B999,"mm")</f>
        <v>12</v>
      </c>
      <c r="D999" t="s">
        <v>16</v>
      </c>
      <c r="E999" t="s">
        <v>1636</v>
      </c>
      <c r="F999" s="5">
        <v>41000000</v>
      </c>
      <c r="G999" s="5">
        <v>44000000</v>
      </c>
      <c r="H999" s="5">
        <f>M999*26000*1.20565</f>
        <v>46471779.250000007</v>
      </c>
      <c r="I999" s="5">
        <f>G999-H999</f>
        <v>-2471779.2500000075</v>
      </c>
      <c r="J999" s="5">
        <v>3000000</v>
      </c>
      <c r="K999" s="5">
        <v>4100000</v>
      </c>
      <c r="L999" s="5">
        <v>4400000</v>
      </c>
      <c r="M999" s="7">
        <v>1482.5</v>
      </c>
      <c r="N999" s="5">
        <v>41500000</v>
      </c>
      <c r="O999" s="5">
        <v>44500000</v>
      </c>
      <c r="P999" s="3">
        <v>0.97916666666666663</v>
      </c>
    </row>
    <row r="1000" spans="1:16" x14ac:dyDescent="0.25">
      <c r="A1000" t="s">
        <v>624</v>
      </c>
      <c r="B1000" s="2">
        <v>43823</v>
      </c>
      <c r="C1000" t="str">
        <f>TEXT(B1000,"mm")</f>
        <v>12</v>
      </c>
      <c r="D1000" t="s">
        <v>18</v>
      </c>
      <c r="E1000" t="s">
        <v>1636</v>
      </c>
      <c r="F1000" s="5">
        <v>41400000</v>
      </c>
      <c r="G1000" s="5">
        <v>44400000</v>
      </c>
      <c r="H1000" s="5">
        <f>M1000*26000*1.20565</f>
        <v>46992137.790000007</v>
      </c>
      <c r="I1000" s="5">
        <f>G1000-H1000</f>
        <v>-2592137.7900000066</v>
      </c>
      <c r="J1000" s="5">
        <v>3000000</v>
      </c>
      <c r="K1000" s="5">
        <v>4140000</v>
      </c>
      <c r="L1000" s="5">
        <v>4440000</v>
      </c>
      <c r="M1000" s="7">
        <v>1499.1</v>
      </c>
      <c r="N1000" s="5">
        <v>41900000</v>
      </c>
      <c r="O1000" s="5">
        <v>44900000</v>
      </c>
      <c r="P1000" s="3">
        <v>0.97916666666666663</v>
      </c>
    </row>
    <row r="1001" spans="1:16" x14ac:dyDescent="0.25">
      <c r="A1001" t="s">
        <v>625</v>
      </c>
      <c r="B1001" s="2">
        <v>43825</v>
      </c>
      <c r="C1001" t="str">
        <f>TEXT(B1001,"mm")</f>
        <v>12</v>
      </c>
      <c r="D1001" t="s">
        <v>20</v>
      </c>
      <c r="E1001" t="s">
        <v>1636</v>
      </c>
      <c r="F1001" s="5">
        <v>41700000</v>
      </c>
      <c r="G1001" s="5">
        <v>44700000</v>
      </c>
      <c r="H1001" s="5">
        <f>M1001*26000*1.20565</f>
        <v>47311876.170000002</v>
      </c>
      <c r="I1001" s="5">
        <f>G1001-H1001</f>
        <v>-2611876.1700000018</v>
      </c>
      <c r="J1001" s="5">
        <v>3000000</v>
      </c>
      <c r="K1001" s="5">
        <v>4170000</v>
      </c>
      <c r="L1001" s="5">
        <v>4470000</v>
      </c>
      <c r="M1001" s="7">
        <v>1509.3</v>
      </c>
      <c r="N1001" s="5">
        <v>42200000</v>
      </c>
      <c r="O1001" s="5">
        <v>45200000</v>
      </c>
      <c r="P1001" s="3">
        <v>0.97916666666666663</v>
      </c>
    </row>
    <row r="1002" spans="1:16" x14ac:dyDescent="0.25">
      <c r="A1002" t="s">
        <v>626</v>
      </c>
      <c r="B1002" s="2">
        <v>43826</v>
      </c>
      <c r="C1002" t="str">
        <f>TEXT(B1002,"mm")</f>
        <v>12</v>
      </c>
      <c r="D1002" t="s">
        <v>21</v>
      </c>
      <c r="E1002" t="s">
        <v>1636</v>
      </c>
      <c r="F1002" s="5">
        <v>41900000</v>
      </c>
      <c r="G1002" s="5">
        <v>44900000</v>
      </c>
      <c r="H1002" s="5">
        <f>M1002*26000*1.20565</f>
        <v>47452937.220000006</v>
      </c>
      <c r="I1002" s="5">
        <f>G1002-H1002</f>
        <v>-2552937.2200000063</v>
      </c>
      <c r="J1002" s="5">
        <v>3000000</v>
      </c>
      <c r="K1002" s="5">
        <v>4190000</v>
      </c>
      <c r="L1002" s="5">
        <v>4490000</v>
      </c>
      <c r="M1002" s="7">
        <v>1513.8</v>
      </c>
      <c r="N1002" s="5">
        <v>42400000</v>
      </c>
      <c r="O1002" s="5">
        <v>45400000</v>
      </c>
      <c r="P1002" s="3">
        <v>0.97916666666666663</v>
      </c>
    </row>
    <row r="1003" spans="1:16" x14ac:dyDescent="0.25">
      <c r="A1003" t="s">
        <v>627</v>
      </c>
      <c r="B1003" s="2">
        <v>43829</v>
      </c>
      <c r="C1003" t="str">
        <f>TEXT(B1003,"mm")</f>
        <v>12</v>
      </c>
      <c r="D1003" t="s">
        <v>16</v>
      </c>
      <c r="E1003" t="s">
        <v>1636</v>
      </c>
      <c r="F1003" s="5">
        <v>41900000</v>
      </c>
      <c r="G1003" s="5">
        <v>44900000</v>
      </c>
      <c r="H1003" s="5">
        <f>M1003*26000*1.20565</f>
        <v>47474880.050000004</v>
      </c>
      <c r="I1003" s="5">
        <f>G1003-H1003</f>
        <v>-2574880.0500000045</v>
      </c>
      <c r="J1003" s="5">
        <v>3000000</v>
      </c>
      <c r="K1003" s="5">
        <v>4190000</v>
      </c>
      <c r="L1003" s="5">
        <v>4490000</v>
      </c>
      <c r="M1003" s="7">
        <v>1514.5</v>
      </c>
      <c r="N1003" s="5">
        <v>42400000</v>
      </c>
      <c r="O1003" s="5">
        <v>45400000</v>
      </c>
      <c r="P1003" s="3">
        <v>0.97916666666666663</v>
      </c>
    </row>
    <row r="1004" spans="1:16" x14ac:dyDescent="0.25">
      <c r="A1004" t="s">
        <v>628</v>
      </c>
      <c r="B1004" s="2">
        <v>43830</v>
      </c>
      <c r="C1004" t="str">
        <f>TEXT(B1004,"mm")</f>
        <v>12</v>
      </c>
      <c r="D1004" t="s">
        <v>18</v>
      </c>
      <c r="E1004" t="s">
        <v>1636</v>
      </c>
      <c r="F1004" s="5">
        <v>42100000</v>
      </c>
      <c r="G1004" s="5">
        <v>45100000</v>
      </c>
      <c r="H1004" s="5">
        <f>M1004*26000*1.20565</f>
        <v>47631614.550000004</v>
      </c>
      <c r="I1004" s="5">
        <f>G1004-H1004</f>
        <v>-2531614.5500000045</v>
      </c>
      <c r="J1004" s="5">
        <v>3000000</v>
      </c>
      <c r="K1004" s="5">
        <v>4210000</v>
      </c>
      <c r="L1004" s="5">
        <v>4510000</v>
      </c>
      <c r="M1004" s="7">
        <v>1519.5</v>
      </c>
      <c r="N1004" s="5">
        <v>42600000</v>
      </c>
      <c r="O1004" s="5">
        <v>45600000</v>
      </c>
      <c r="P1004" s="3">
        <v>0.97916666666666663</v>
      </c>
    </row>
    <row r="1005" spans="1:16" x14ac:dyDescent="0.25">
      <c r="A1005" s="2">
        <v>43862</v>
      </c>
      <c r="B1005" s="2">
        <v>43832</v>
      </c>
      <c r="C1005" t="str">
        <f>TEXT(B1005,"mm")</f>
        <v>01</v>
      </c>
      <c r="D1005" t="s">
        <v>20</v>
      </c>
      <c r="E1005" t="s">
        <v>1636</v>
      </c>
      <c r="F1005" s="5">
        <v>43200000</v>
      </c>
      <c r="G1005" s="5">
        <v>46200000</v>
      </c>
      <c r="H1005" s="5">
        <f>M1005*26000*1.20565</f>
        <v>47788349.050000004</v>
      </c>
      <c r="I1005" s="5">
        <f>G1005-H1005</f>
        <v>-1588349.0500000045</v>
      </c>
      <c r="J1005" s="5">
        <v>3000000</v>
      </c>
      <c r="K1005" s="5">
        <v>4320000</v>
      </c>
      <c r="L1005" s="5">
        <v>4620000</v>
      </c>
      <c r="M1005" s="7">
        <v>1524.5</v>
      </c>
      <c r="N1005" s="5">
        <v>43700000</v>
      </c>
      <c r="O1005" s="5">
        <v>46700000</v>
      </c>
      <c r="P1005" s="3">
        <v>0.97916666666666663</v>
      </c>
    </row>
    <row r="1006" spans="1:16" x14ac:dyDescent="0.25">
      <c r="A1006" s="2">
        <v>43891</v>
      </c>
      <c r="B1006" s="2">
        <v>43833</v>
      </c>
      <c r="C1006" t="str">
        <f>TEXT(B1006,"mm")</f>
        <v>01</v>
      </c>
      <c r="D1006" t="s">
        <v>21</v>
      </c>
      <c r="E1006" t="s">
        <v>1636</v>
      </c>
      <c r="F1006" s="5">
        <v>43900000</v>
      </c>
      <c r="G1006" s="5">
        <v>46900000</v>
      </c>
      <c r="H1006" s="5">
        <f>M1006*26000*1.20565</f>
        <v>48562617.480000004</v>
      </c>
      <c r="I1006" s="5">
        <f>G1006-H1006</f>
        <v>-1662617.4800000042</v>
      </c>
      <c r="J1006" s="5">
        <v>3000000</v>
      </c>
      <c r="K1006" s="5">
        <v>4390000</v>
      </c>
      <c r="L1006" s="5">
        <v>4690000</v>
      </c>
      <c r="M1006" s="7">
        <v>1549.2</v>
      </c>
      <c r="N1006" s="5">
        <v>44400000</v>
      </c>
      <c r="O1006" s="5">
        <v>47400000</v>
      </c>
      <c r="P1006" s="3">
        <v>0.97916666666666663</v>
      </c>
    </row>
    <row r="1007" spans="1:16" x14ac:dyDescent="0.25">
      <c r="A1007" s="2">
        <v>43983</v>
      </c>
      <c r="B1007" s="2">
        <v>43836</v>
      </c>
      <c r="C1007" t="str">
        <f>TEXT(B1007,"mm")</f>
        <v>01</v>
      </c>
      <c r="D1007" t="s">
        <v>16</v>
      </c>
      <c r="E1007" t="s">
        <v>1636</v>
      </c>
      <c r="F1007" s="5">
        <v>44400000</v>
      </c>
      <c r="G1007" s="5">
        <v>47400000</v>
      </c>
      <c r="H1007" s="5">
        <f>M1007*26000*1.20565</f>
        <v>49095514.780000001</v>
      </c>
      <c r="I1007" s="5">
        <f>G1007-H1007</f>
        <v>-1695514.7800000012</v>
      </c>
      <c r="J1007" s="5">
        <v>3000000</v>
      </c>
      <c r="K1007" s="5">
        <v>4440000</v>
      </c>
      <c r="L1007" s="5">
        <v>4740000</v>
      </c>
      <c r="M1007" s="7">
        <v>1566.2</v>
      </c>
      <c r="N1007" s="5">
        <v>44900000</v>
      </c>
      <c r="O1007" s="5">
        <v>47900000</v>
      </c>
      <c r="P1007" s="3">
        <v>0.97916666666666663</v>
      </c>
    </row>
    <row r="1008" spans="1:16" x14ac:dyDescent="0.25">
      <c r="A1008" s="2">
        <v>44013</v>
      </c>
      <c r="B1008" s="2">
        <v>43837</v>
      </c>
      <c r="C1008" t="str">
        <f>TEXT(B1008,"mm")</f>
        <v>01</v>
      </c>
      <c r="D1008" t="s">
        <v>18</v>
      </c>
      <c r="E1008" t="s">
        <v>1636</v>
      </c>
      <c r="F1008" s="5">
        <v>44600000</v>
      </c>
      <c r="G1008" s="5">
        <v>47600000</v>
      </c>
      <c r="H1008" s="5">
        <f>M1008*26000*1.20565</f>
        <v>49271057.420000002</v>
      </c>
      <c r="I1008" s="5">
        <f>G1008-H1008</f>
        <v>-1671057.4200000018</v>
      </c>
      <c r="J1008" s="5">
        <v>3000000</v>
      </c>
      <c r="K1008" s="5">
        <v>4460000</v>
      </c>
      <c r="L1008" s="5">
        <v>4760000</v>
      </c>
      <c r="M1008" s="7">
        <v>1571.8</v>
      </c>
      <c r="N1008" s="5">
        <v>45100000</v>
      </c>
      <c r="O1008" s="5">
        <v>48100000</v>
      </c>
      <c r="P1008" s="3">
        <v>0.97916666666666663</v>
      </c>
    </row>
    <row r="1009" spans="1:16" x14ac:dyDescent="0.25">
      <c r="A1009" s="2">
        <v>44044</v>
      </c>
      <c r="B1009" s="2">
        <v>43838</v>
      </c>
      <c r="C1009" t="str">
        <f>TEXT(B1009,"mm")</f>
        <v>01</v>
      </c>
      <c r="D1009" t="s">
        <v>19</v>
      </c>
      <c r="E1009" t="s">
        <v>1636</v>
      </c>
      <c r="F1009" s="5">
        <v>44100000</v>
      </c>
      <c r="G1009" s="5">
        <v>47100000</v>
      </c>
      <c r="H1009" s="5">
        <f>M1009*26000*1.20565</f>
        <v>48819662.060000002</v>
      </c>
      <c r="I1009" s="5">
        <f>G1009-H1009</f>
        <v>-1719662.0600000024</v>
      </c>
      <c r="J1009" s="5">
        <v>3000000</v>
      </c>
      <c r="K1009" s="5">
        <v>4410000</v>
      </c>
      <c r="L1009" s="5">
        <v>4710000</v>
      </c>
      <c r="M1009" s="7">
        <v>1557.4</v>
      </c>
      <c r="N1009" s="5">
        <v>44600000</v>
      </c>
      <c r="O1009" s="5">
        <v>47600000</v>
      </c>
      <c r="P1009" s="3">
        <v>0.97916666666666663</v>
      </c>
    </row>
    <row r="1010" spans="1:16" x14ac:dyDescent="0.25">
      <c r="A1010" s="2">
        <v>44075</v>
      </c>
      <c r="B1010" s="2">
        <v>43839</v>
      </c>
      <c r="C1010" t="str">
        <f>TEXT(B1010,"mm")</f>
        <v>01</v>
      </c>
      <c r="D1010" t="s">
        <v>20</v>
      </c>
      <c r="E1010" t="s">
        <v>1636</v>
      </c>
      <c r="F1010" s="5">
        <v>44000000</v>
      </c>
      <c r="G1010" s="5">
        <v>47000000</v>
      </c>
      <c r="H1010" s="5">
        <f>M1010*26000*1.20565</f>
        <v>48640984.730000004</v>
      </c>
      <c r="I1010" s="5">
        <f>G1010-H1010</f>
        <v>-1640984.7300000042</v>
      </c>
      <c r="J1010" s="5">
        <v>3000000</v>
      </c>
      <c r="K1010" s="5">
        <v>4400000</v>
      </c>
      <c r="L1010" s="5">
        <v>4700000</v>
      </c>
      <c r="M1010" s="7">
        <v>1551.7</v>
      </c>
      <c r="N1010" s="5">
        <v>44500000</v>
      </c>
      <c r="O1010" s="5">
        <v>47500000</v>
      </c>
      <c r="P1010" s="3">
        <v>0.97916666666666663</v>
      </c>
    </row>
    <row r="1011" spans="1:16" x14ac:dyDescent="0.25">
      <c r="A1011" s="2">
        <v>44105</v>
      </c>
      <c r="B1011" s="2">
        <v>43840</v>
      </c>
      <c r="C1011" t="str">
        <f>TEXT(B1011,"mm")</f>
        <v>01</v>
      </c>
      <c r="D1011" t="s">
        <v>21</v>
      </c>
      <c r="E1011" t="s">
        <v>1636</v>
      </c>
      <c r="F1011" s="5">
        <v>44200000</v>
      </c>
      <c r="G1011" s="5">
        <v>47200000</v>
      </c>
      <c r="H1011" s="5">
        <f>M1011*26000*1.20565</f>
        <v>48822796.750000007</v>
      </c>
      <c r="I1011" s="5">
        <f>G1011-H1011</f>
        <v>-1622796.7500000075</v>
      </c>
      <c r="J1011" s="5">
        <v>3000000</v>
      </c>
      <c r="K1011" s="5">
        <v>4420000</v>
      </c>
      <c r="L1011" s="5">
        <v>4720000</v>
      </c>
      <c r="M1011" s="7">
        <v>1557.5</v>
      </c>
      <c r="N1011" s="5">
        <v>44700000</v>
      </c>
      <c r="O1011" s="5">
        <v>47700000</v>
      </c>
      <c r="P1011" s="3">
        <v>0.97916666666666663</v>
      </c>
    </row>
    <row r="1012" spans="1:16" x14ac:dyDescent="0.25">
      <c r="A1012" t="s">
        <v>629</v>
      </c>
      <c r="B1012" s="2">
        <v>43843</v>
      </c>
      <c r="C1012" t="str">
        <f>TEXT(B1012,"mm")</f>
        <v>01</v>
      </c>
      <c r="D1012" t="s">
        <v>16</v>
      </c>
      <c r="E1012" t="s">
        <v>1636</v>
      </c>
      <c r="F1012" s="5">
        <v>43900000</v>
      </c>
      <c r="G1012" s="5">
        <v>46900000</v>
      </c>
      <c r="H1012" s="5">
        <f>M1012*26000*1.20565</f>
        <v>48537539.960000001</v>
      </c>
      <c r="I1012" s="5">
        <f>G1012-H1012</f>
        <v>-1637539.9600000009</v>
      </c>
      <c r="J1012" s="5">
        <v>3000000</v>
      </c>
      <c r="K1012" s="5">
        <v>4390000</v>
      </c>
      <c r="L1012" s="5">
        <v>4690000</v>
      </c>
      <c r="M1012" s="7">
        <v>1548.4</v>
      </c>
      <c r="N1012" s="5">
        <v>44400000</v>
      </c>
      <c r="O1012" s="5">
        <v>47400000</v>
      </c>
      <c r="P1012" s="3">
        <v>0.97916666666666663</v>
      </c>
    </row>
    <row r="1013" spans="1:16" x14ac:dyDescent="0.25">
      <c r="A1013" t="s">
        <v>630</v>
      </c>
      <c r="B1013" s="2">
        <v>43844</v>
      </c>
      <c r="C1013" t="str">
        <f>TEXT(B1013,"mm")</f>
        <v>01</v>
      </c>
      <c r="D1013" t="s">
        <v>18</v>
      </c>
      <c r="E1013" t="s">
        <v>1636</v>
      </c>
      <c r="F1013" s="5">
        <v>43700000</v>
      </c>
      <c r="G1013" s="5">
        <v>46700000</v>
      </c>
      <c r="H1013" s="5">
        <f>M1013*26000*1.20565</f>
        <v>48349458.560000002</v>
      </c>
      <c r="I1013" s="5">
        <f>G1013-H1013</f>
        <v>-1649458.5600000024</v>
      </c>
      <c r="J1013" s="5">
        <v>3000000</v>
      </c>
      <c r="K1013" s="5">
        <v>4370000</v>
      </c>
      <c r="L1013" s="5">
        <v>4670000</v>
      </c>
      <c r="M1013" s="7">
        <v>1542.4</v>
      </c>
      <c r="N1013" s="5">
        <v>44200000</v>
      </c>
      <c r="O1013" s="5">
        <v>47200000</v>
      </c>
      <c r="P1013" s="3">
        <v>0.97916666666666663</v>
      </c>
    </row>
    <row r="1014" spans="1:16" x14ac:dyDescent="0.25">
      <c r="A1014" t="s">
        <v>631</v>
      </c>
      <c r="B1014" s="2">
        <v>43845</v>
      </c>
      <c r="C1014" t="str">
        <f>TEXT(B1014,"mm")</f>
        <v>01</v>
      </c>
      <c r="D1014" t="s">
        <v>19</v>
      </c>
      <c r="E1014" t="s">
        <v>1636</v>
      </c>
      <c r="F1014" s="5">
        <v>44000000</v>
      </c>
      <c r="G1014" s="5">
        <v>47000000</v>
      </c>
      <c r="H1014" s="5">
        <f>M1014*26000*1.20565</f>
        <v>48653523.490000002</v>
      </c>
      <c r="I1014" s="5">
        <f>G1014-H1014</f>
        <v>-1653523.4900000021</v>
      </c>
      <c r="J1014" s="5">
        <v>3000000</v>
      </c>
      <c r="K1014" s="5">
        <v>4400000</v>
      </c>
      <c r="L1014" s="5">
        <v>4700000</v>
      </c>
      <c r="M1014" s="7">
        <v>1552.1</v>
      </c>
      <c r="N1014" s="5">
        <v>44500000</v>
      </c>
      <c r="O1014" s="5">
        <v>47500000</v>
      </c>
      <c r="P1014" s="3">
        <v>0.97916666666666663</v>
      </c>
    </row>
    <row r="1015" spans="1:16" x14ac:dyDescent="0.25">
      <c r="A1015" t="s">
        <v>632</v>
      </c>
      <c r="B1015" s="2">
        <v>43846</v>
      </c>
      <c r="C1015" t="str">
        <f>TEXT(B1015,"mm")</f>
        <v>01</v>
      </c>
      <c r="D1015" t="s">
        <v>20</v>
      </c>
      <c r="E1015" t="s">
        <v>1636</v>
      </c>
      <c r="F1015" s="5">
        <v>43900000</v>
      </c>
      <c r="G1015" s="5">
        <v>46900000</v>
      </c>
      <c r="H1015" s="5">
        <f>M1015*26000*1.20565</f>
        <v>48556348.100000001</v>
      </c>
      <c r="I1015" s="5">
        <f>G1015-H1015</f>
        <v>-1656348.1000000015</v>
      </c>
      <c r="J1015" s="5">
        <v>3000000</v>
      </c>
      <c r="K1015" s="5">
        <v>4390000</v>
      </c>
      <c r="L1015" s="5">
        <v>4690000</v>
      </c>
      <c r="M1015" s="7">
        <v>1549</v>
      </c>
      <c r="N1015" s="5">
        <v>44400000</v>
      </c>
      <c r="O1015" s="5">
        <v>47400000</v>
      </c>
      <c r="P1015" s="3">
        <v>0.97916666666666663</v>
      </c>
    </row>
    <row r="1016" spans="1:16" x14ac:dyDescent="0.25">
      <c r="A1016" t="s">
        <v>633</v>
      </c>
      <c r="B1016" s="2">
        <v>43847</v>
      </c>
      <c r="C1016" t="str">
        <f>TEXT(B1016,"mm")</f>
        <v>01</v>
      </c>
      <c r="D1016" t="s">
        <v>21</v>
      </c>
      <c r="E1016" t="s">
        <v>1636</v>
      </c>
      <c r="F1016" s="5">
        <v>44200000</v>
      </c>
      <c r="G1016" s="5">
        <v>47200000</v>
      </c>
      <c r="H1016" s="5">
        <f>M1016*26000*1.20565</f>
        <v>48863547.720000006</v>
      </c>
      <c r="I1016" s="5">
        <f>G1016-H1016</f>
        <v>-1663547.7200000063</v>
      </c>
      <c r="J1016" s="5">
        <v>3000000</v>
      </c>
      <c r="K1016" s="5">
        <v>4420000</v>
      </c>
      <c r="L1016" s="5">
        <v>4720000</v>
      </c>
      <c r="M1016" s="7">
        <v>1558.8</v>
      </c>
      <c r="N1016" s="5">
        <v>44700000</v>
      </c>
      <c r="O1016" s="5">
        <v>47700000</v>
      </c>
      <c r="P1016" s="3">
        <v>0.97916666666666663</v>
      </c>
    </row>
    <row r="1017" spans="1:16" x14ac:dyDescent="0.25">
      <c r="A1017" t="s">
        <v>634</v>
      </c>
      <c r="B1017" s="2">
        <v>43851</v>
      </c>
      <c r="C1017" t="str">
        <f>TEXT(B1017,"mm")</f>
        <v>01</v>
      </c>
      <c r="D1017" t="s">
        <v>18</v>
      </c>
      <c r="E1017" t="s">
        <v>1636</v>
      </c>
      <c r="F1017" s="5">
        <v>44100000</v>
      </c>
      <c r="G1017" s="5">
        <v>47100000</v>
      </c>
      <c r="H1017" s="5">
        <f>M1017*26000*1.20565</f>
        <v>48788315.160000004</v>
      </c>
      <c r="I1017" s="5">
        <f>G1017-H1017</f>
        <v>-1688315.1600000039</v>
      </c>
      <c r="J1017" s="5">
        <v>3000000</v>
      </c>
      <c r="K1017" s="5">
        <v>4410000</v>
      </c>
      <c r="L1017" s="5">
        <v>4710000</v>
      </c>
      <c r="M1017" s="7">
        <v>1556.4</v>
      </c>
      <c r="N1017" s="5">
        <v>44600000</v>
      </c>
      <c r="O1017" s="5">
        <v>47600000</v>
      </c>
      <c r="P1017" s="3">
        <v>0.97916666666666663</v>
      </c>
    </row>
    <row r="1018" spans="1:16" x14ac:dyDescent="0.25">
      <c r="A1018" t="s">
        <v>635</v>
      </c>
      <c r="B1018" s="2">
        <v>43852</v>
      </c>
      <c r="C1018" t="str">
        <f>TEXT(B1018,"mm")</f>
        <v>01</v>
      </c>
      <c r="D1018" t="s">
        <v>19</v>
      </c>
      <c r="E1018" t="s">
        <v>1636</v>
      </c>
      <c r="F1018" s="5">
        <v>44100000</v>
      </c>
      <c r="G1018" s="5">
        <v>47100000</v>
      </c>
      <c r="H1018" s="5">
        <f>M1018*26000*1.20565</f>
        <v>48753833.570000008</v>
      </c>
      <c r="I1018" s="5">
        <f>G1018-H1018</f>
        <v>-1653833.5700000077</v>
      </c>
      <c r="J1018" s="5">
        <v>3000000</v>
      </c>
      <c r="K1018" s="5">
        <v>4410000</v>
      </c>
      <c r="L1018" s="5">
        <v>4710000</v>
      </c>
      <c r="M1018" s="7">
        <v>1555.3</v>
      </c>
      <c r="N1018" s="5">
        <v>44600000</v>
      </c>
      <c r="O1018" s="5">
        <v>47600000</v>
      </c>
      <c r="P1018" s="3">
        <v>0.97916666666666663</v>
      </c>
    </row>
    <row r="1019" spans="1:16" x14ac:dyDescent="0.25">
      <c r="A1019" t="s">
        <v>636</v>
      </c>
      <c r="B1019" s="2">
        <v>43853</v>
      </c>
      <c r="C1019" t="str">
        <f>TEXT(B1019,"mm")</f>
        <v>01</v>
      </c>
      <c r="D1019" t="s">
        <v>20</v>
      </c>
      <c r="E1019" t="s">
        <v>1636</v>
      </c>
      <c r="F1019" s="5">
        <v>44400000</v>
      </c>
      <c r="G1019" s="5">
        <v>47400000</v>
      </c>
      <c r="H1019" s="5">
        <f>M1019*26000*1.20565</f>
        <v>49045359.740000002</v>
      </c>
      <c r="I1019" s="5">
        <f>G1019-H1019</f>
        <v>-1645359.7400000021</v>
      </c>
      <c r="J1019" s="5">
        <v>3000000</v>
      </c>
      <c r="K1019" s="5">
        <v>4440000</v>
      </c>
      <c r="L1019" s="5">
        <v>4740000</v>
      </c>
      <c r="M1019" s="7">
        <v>1564.6</v>
      </c>
      <c r="N1019" s="5">
        <v>44900000</v>
      </c>
      <c r="O1019" s="5">
        <v>47900000</v>
      </c>
      <c r="P1019" s="3">
        <v>0.97916666666666663</v>
      </c>
    </row>
    <row r="1020" spans="1:16" x14ac:dyDescent="0.25">
      <c r="A1020" t="s">
        <v>637</v>
      </c>
      <c r="B1020" s="2">
        <v>43854</v>
      </c>
      <c r="C1020" t="str">
        <f>TEXT(B1020,"mm")</f>
        <v>01</v>
      </c>
      <c r="D1020" t="s">
        <v>21</v>
      </c>
      <c r="E1020" t="s">
        <v>1636</v>
      </c>
      <c r="F1020" s="5">
        <v>44600000</v>
      </c>
      <c r="G1020" s="5">
        <v>47600000</v>
      </c>
      <c r="H1020" s="5">
        <f>M1020*26000*1.20565</f>
        <v>49249114.590000004</v>
      </c>
      <c r="I1020" s="5">
        <f>G1020-H1020</f>
        <v>-1649114.5900000036</v>
      </c>
      <c r="J1020" s="5">
        <v>3000000</v>
      </c>
      <c r="K1020" s="5">
        <v>4460000</v>
      </c>
      <c r="L1020" s="5">
        <v>4760000</v>
      </c>
      <c r="M1020" s="7">
        <v>1571.1</v>
      </c>
      <c r="N1020" s="5">
        <v>45100000</v>
      </c>
      <c r="O1020" s="5">
        <v>48100000</v>
      </c>
      <c r="P1020" s="3">
        <v>0.97916666666666663</v>
      </c>
    </row>
    <row r="1021" spans="1:16" x14ac:dyDescent="0.25">
      <c r="A1021" t="s">
        <v>638</v>
      </c>
      <c r="B1021" s="2">
        <v>43857</v>
      </c>
      <c r="C1021" t="str">
        <f>TEXT(B1021,"mm")</f>
        <v>01</v>
      </c>
      <c r="D1021" t="s">
        <v>16</v>
      </c>
      <c r="E1021" t="s">
        <v>1636</v>
      </c>
      <c r="F1021" s="5">
        <v>44700000</v>
      </c>
      <c r="G1021" s="5">
        <v>47700000</v>
      </c>
      <c r="H1021" s="5">
        <f>M1021*26000*1.20565</f>
        <v>49427791.920000002</v>
      </c>
      <c r="I1021" s="5">
        <f>G1021-H1021</f>
        <v>-1727791.9200000018</v>
      </c>
      <c r="J1021" s="5">
        <v>3000000</v>
      </c>
      <c r="K1021" s="5">
        <v>4470000</v>
      </c>
      <c r="L1021" s="5">
        <v>4770000</v>
      </c>
      <c r="M1021" s="7">
        <v>1576.8</v>
      </c>
      <c r="N1021" s="5">
        <v>45200000</v>
      </c>
      <c r="O1021" s="5">
        <v>48200000</v>
      </c>
      <c r="P1021" s="3">
        <v>0.97916666666666663</v>
      </c>
    </row>
    <row r="1022" spans="1:16" x14ac:dyDescent="0.25">
      <c r="A1022" t="s">
        <v>639</v>
      </c>
      <c r="B1022" s="2">
        <v>43858</v>
      </c>
      <c r="C1022" t="str">
        <f>TEXT(B1022,"mm")</f>
        <v>01</v>
      </c>
      <c r="D1022" t="s">
        <v>18</v>
      </c>
      <c r="E1022" t="s">
        <v>1636</v>
      </c>
      <c r="F1022" s="5">
        <v>44500000</v>
      </c>
      <c r="G1022" s="5">
        <v>47500000</v>
      </c>
      <c r="H1022" s="5">
        <f>M1022*26000*1.20565</f>
        <v>49189555.480000004</v>
      </c>
      <c r="I1022" s="5">
        <f>G1022-H1022</f>
        <v>-1689555.4800000042</v>
      </c>
      <c r="J1022" s="5">
        <v>3000000</v>
      </c>
      <c r="K1022" s="5">
        <v>4450000</v>
      </c>
      <c r="L1022" s="5">
        <v>4750000</v>
      </c>
      <c r="M1022" s="7">
        <v>1569.2</v>
      </c>
      <c r="N1022" s="5">
        <v>45000000</v>
      </c>
      <c r="O1022" s="5">
        <v>48000000</v>
      </c>
      <c r="P1022" s="3">
        <v>0.97916666666666663</v>
      </c>
    </row>
    <row r="1023" spans="1:16" x14ac:dyDescent="0.25">
      <c r="A1023" t="s">
        <v>640</v>
      </c>
      <c r="B1023" s="2">
        <v>43859</v>
      </c>
      <c r="C1023" t="str">
        <f>TEXT(B1023,"mm")</f>
        <v>01</v>
      </c>
      <c r="D1023" t="s">
        <v>19</v>
      </c>
      <c r="E1023" t="s">
        <v>1636</v>
      </c>
      <c r="F1023" s="5">
        <v>44500000</v>
      </c>
      <c r="G1023" s="5">
        <v>47500000</v>
      </c>
      <c r="H1023" s="5">
        <f>M1023*26000*1.20565</f>
        <v>49208363.620000005</v>
      </c>
      <c r="I1023" s="5">
        <f>G1023-H1023</f>
        <v>-1708363.6200000048</v>
      </c>
      <c r="J1023" s="5">
        <v>3000000</v>
      </c>
      <c r="K1023" s="5">
        <v>4450000</v>
      </c>
      <c r="L1023" s="5">
        <v>4750000</v>
      </c>
      <c r="M1023" s="7">
        <v>1569.8</v>
      </c>
      <c r="N1023" s="5">
        <v>45000000</v>
      </c>
      <c r="O1023" s="5">
        <v>48000000</v>
      </c>
      <c r="P1023" s="3">
        <v>0.97916666666666663</v>
      </c>
    </row>
    <row r="1024" spans="1:16" x14ac:dyDescent="0.25">
      <c r="A1024" t="s">
        <v>641</v>
      </c>
      <c r="B1024" s="2">
        <v>43860</v>
      </c>
      <c r="C1024" t="str">
        <f>TEXT(B1024,"mm")</f>
        <v>01</v>
      </c>
      <c r="D1024" t="s">
        <v>20</v>
      </c>
      <c r="E1024" t="s">
        <v>1636</v>
      </c>
      <c r="F1024" s="5">
        <v>44900000</v>
      </c>
      <c r="G1024" s="5">
        <v>47900000</v>
      </c>
      <c r="H1024" s="5">
        <f>M1024*26000*1.20565</f>
        <v>49637816.150000006</v>
      </c>
      <c r="I1024" s="5">
        <f>G1024-H1024</f>
        <v>-1737816.150000006</v>
      </c>
      <c r="J1024" s="5">
        <v>3000000</v>
      </c>
      <c r="K1024" s="5">
        <v>4490000</v>
      </c>
      <c r="L1024" s="5">
        <v>4790000</v>
      </c>
      <c r="M1024" s="7">
        <v>1583.5</v>
      </c>
      <c r="N1024" s="5">
        <v>45400000</v>
      </c>
      <c r="O1024" s="5">
        <v>48400000</v>
      </c>
      <c r="P1024" s="3">
        <v>0.97916666666666663</v>
      </c>
    </row>
    <row r="1025" spans="1:16" x14ac:dyDescent="0.25">
      <c r="A1025" t="s">
        <v>642</v>
      </c>
      <c r="B1025" s="2">
        <v>43861</v>
      </c>
      <c r="C1025" t="str">
        <f>TEXT(B1025,"mm")</f>
        <v>01</v>
      </c>
      <c r="D1025" t="s">
        <v>21</v>
      </c>
      <c r="E1025" t="s">
        <v>1636</v>
      </c>
      <c r="F1025" s="5">
        <v>44900000</v>
      </c>
      <c r="G1025" s="5">
        <v>47900000</v>
      </c>
      <c r="H1025" s="5">
        <f>M1025*26000*1.20565</f>
        <v>49619008.010000005</v>
      </c>
      <c r="I1025" s="5">
        <f>G1025-H1025</f>
        <v>-1719008.0100000054</v>
      </c>
      <c r="J1025" s="5">
        <v>3000000</v>
      </c>
      <c r="K1025" s="5">
        <v>4490000</v>
      </c>
      <c r="L1025" s="5">
        <v>4790000</v>
      </c>
      <c r="M1025" s="7">
        <v>1582.9</v>
      </c>
      <c r="N1025" s="5">
        <v>45400000</v>
      </c>
      <c r="O1025" s="5">
        <v>48400000</v>
      </c>
      <c r="P1025" s="3">
        <v>0.97916666666666663</v>
      </c>
    </row>
    <row r="1026" spans="1:16" x14ac:dyDescent="0.25">
      <c r="A1026" s="2">
        <v>43892</v>
      </c>
      <c r="B1026" s="2">
        <v>43864</v>
      </c>
      <c r="C1026" t="str">
        <f>TEXT(B1026,"mm")</f>
        <v>02</v>
      </c>
      <c r="D1026" t="s">
        <v>16</v>
      </c>
      <c r="E1026" t="s">
        <v>1636</v>
      </c>
      <c r="F1026" s="5">
        <v>44700000</v>
      </c>
      <c r="G1026" s="5">
        <v>47700000</v>
      </c>
      <c r="H1026" s="5">
        <f>M1026*26000*1.20565</f>
        <v>49440330.680000007</v>
      </c>
      <c r="I1026" s="5">
        <f>G1026-H1026</f>
        <v>-1740330.6800000072</v>
      </c>
      <c r="J1026" s="5">
        <v>3000000</v>
      </c>
      <c r="K1026" s="5">
        <v>4470000</v>
      </c>
      <c r="L1026" s="5">
        <v>4770000</v>
      </c>
      <c r="M1026" s="7">
        <v>1577.2</v>
      </c>
      <c r="N1026" s="5">
        <v>45200000</v>
      </c>
      <c r="O1026" s="5">
        <v>48200000</v>
      </c>
      <c r="P1026" s="3">
        <v>0.97916666666666663</v>
      </c>
    </row>
    <row r="1027" spans="1:16" x14ac:dyDescent="0.25">
      <c r="A1027" s="2">
        <v>43923</v>
      </c>
      <c r="B1027" s="2">
        <v>43865</v>
      </c>
      <c r="C1027" t="str">
        <f>TEXT(B1027,"mm")</f>
        <v>02</v>
      </c>
      <c r="D1027" t="s">
        <v>18</v>
      </c>
      <c r="E1027" t="s">
        <v>1636</v>
      </c>
      <c r="F1027" s="5">
        <v>43900000</v>
      </c>
      <c r="G1027" s="5">
        <v>46900000</v>
      </c>
      <c r="H1027" s="5">
        <f>M1027*26000*1.20565</f>
        <v>48600233.760000005</v>
      </c>
      <c r="I1027" s="5">
        <f>G1027-H1027</f>
        <v>-1700233.7600000054</v>
      </c>
      <c r="J1027" s="5">
        <v>3000000</v>
      </c>
      <c r="K1027" s="5">
        <v>4390000</v>
      </c>
      <c r="L1027" s="5">
        <v>4690000</v>
      </c>
      <c r="M1027" s="7">
        <v>1550.4</v>
      </c>
      <c r="N1027" s="5">
        <v>44400000</v>
      </c>
      <c r="O1027" s="5">
        <v>47400000</v>
      </c>
      <c r="P1027" s="3">
        <v>0.97916666666666663</v>
      </c>
    </row>
    <row r="1028" spans="1:16" x14ac:dyDescent="0.25">
      <c r="A1028" s="2">
        <v>43953</v>
      </c>
      <c r="B1028" s="2">
        <v>43866</v>
      </c>
      <c r="C1028" t="str">
        <f>TEXT(B1028,"mm")</f>
        <v>02</v>
      </c>
      <c r="D1028" t="s">
        <v>19</v>
      </c>
      <c r="E1028" t="s">
        <v>1636</v>
      </c>
      <c r="F1028" s="5">
        <v>44200000</v>
      </c>
      <c r="G1028" s="5">
        <v>47200000</v>
      </c>
      <c r="H1028" s="5">
        <f>M1028*26000*1.20565</f>
        <v>48832200.820000008</v>
      </c>
      <c r="I1028" s="5">
        <f>G1028-H1028</f>
        <v>-1632200.8200000077</v>
      </c>
      <c r="J1028" s="5">
        <v>3000000</v>
      </c>
      <c r="K1028" s="5">
        <v>4420000</v>
      </c>
      <c r="L1028" s="5">
        <v>4720000</v>
      </c>
      <c r="M1028" s="7">
        <v>1557.8</v>
      </c>
      <c r="N1028" s="5">
        <v>44700000</v>
      </c>
      <c r="O1028" s="5">
        <v>47700000</v>
      </c>
      <c r="P1028" s="3">
        <v>0.97916666666666663</v>
      </c>
    </row>
    <row r="1029" spans="1:16" x14ac:dyDescent="0.25">
      <c r="A1029" s="2">
        <v>43984</v>
      </c>
      <c r="B1029" s="2">
        <v>43867</v>
      </c>
      <c r="C1029" t="str">
        <f>TEXT(B1029,"mm")</f>
        <v>02</v>
      </c>
      <c r="D1029" t="s">
        <v>20</v>
      </c>
      <c r="E1029" t="s">
        <v>1636</v>
      </c>
      <c r="F1029" s="5">
        <v>44400000</v>
      </c>
      <c r="G1029" s="5">
        <v>47400000</v>
      </c>
      <c r="H1029" s="5">
        <f>M1029*26000*1.20565</f>
        <v>49061033.190000005</v>
      </c>
      <c r="I1029" s="5">
        <f>G1029-H1029</f>
        <v>-1661033.1900000051</v>
      </c>
      <c r="J1029" s="5">
        <v>3000000</v>
      </c>
      <c r="K1029" s="5">
        <v>4440000</v>
      </c>
      <c r="L1029" s="5">
        <v>4740000</v>
      </c>
      <c r="M1029" s="7">
        <v>1565.1</v>
      </c>
      <c r="N1029" s="5">
        <v>44900000</v>
      </c>
      <c r="O1029" s="5">
        <v>47900000</v>
      </c>
      <c r="P1029" s="3">
        <v>0.97916666666666663</v>
      </c>
    </row>
    <row r="1030" spans="1:16" x14ac:dyDescent="0.25">
      <c r="A1030" s="2">
        <v>44014</v>
      </c>
      <c r="B1030" s="2">
        <v>43868</v>
      </c>
      <c r="C1030" t="str">
        <f>TEXT(B1030,"mm")</f>
        <v>02</v>
      </c>
      <c r="D1030" t="s">
        <v>21</v>
      </c>
      <c r="E1030" t="s">
        <v>1636</v>
      </c>
      <c r="F1030" s="5">
        <v>44500000</v>
      </c>
      <c r="G1030" s="5">
        <v>47500000</v>
      </c>
      <c r="H1030" s="5">
        <f>M1030*26000*1.20565</f>
        <v>49170747.340000004</v>
      </c>
      <c r="I1030" s="5">
        <f>G1030-H1030</f>
        <v>-1670747.3400000036</v>
      </c>
      <c r="J1030" s="5">
        <v>3000000</v>
      </c>
      <c r="K1030" s="5">
        <v>4450000</v>
      </c>
      <c r="L1030" s="5">
        <v>4750000</v>
      </c>
      <c r="M1030" s="7">
        <v>1568.6</v>
      </c>
      <c r="N1030" s="5">
        <v>45000000</v>
      </c>
      <c r="O1030" s="5">
        <v>48000000</v>
      </c>
      <c r="P1030" s="3">
        <v>0.97916666666666663</v>
      </c>
    </row>
    <row r="1031" spans="1:16" x14ac:dyDescent="0.25">
      <c r="A1031" s="2">
        <v>44106</v>
      </c>
      <c r="B1031" s="2">
        <v>43871</v>
      </c>
      <c r="C1031" t="str">
        <f>TEXT(B1031,"mm")</f>
        <v>02</v>
      </c>
      <c r="D1031" t="s">
        <v>16</v>
      </c>
      <c r="E1031" t="s">
        <v>1636</v>
      </c>
      <c r="F1031" s="5">
        <v>44700000</v>
      </c>
      <c r="G1031" s="5">
        <v>47700000</v>
      </c>
      <c r="H1031" s="5">
        <f>M1031*26000*1.20565</f>
        <v>49361963.430000007</v>
      </c>
      <c r="I1031" s="5">
        <f>G1031-H1031</f>
        <v>-1661963.4300000072</v>
      </c>
      <c r="J1031" s="5">
        <v>3000000</v>
      </c>
      <c r="K1031" s="5">
        <v>4470000</v>
      </c>
      <c r="L1031" s="5">
        <v>4770000</v>
      </c>
      <c r="M1031" s="7">
        <v>1574.7</v>
      </c>
      <c r="N1031" s="5">
        <v>45200000</v>
      </c>
      <c r="O1031" s="5">
        <v>48200000</v>
      </c>
      <c r="P1031" s="3">
        <v>0.97916666666666663</v>
      </c>
    </row>
    <row r="1032" spans="1:16" x14ac:dyDescent="0.25">
      <c r="A1032" s="2">
        <v>44137</v>
      </c>
      <c r="B1032" s="2">
        <v>43872</v>
      </c>
      <c r="C1032" t="str">
        <f>TEXT(B1032,"mm")</f>
        <v>02</v>
      </c>
      <c r="D1032" t="s">
        <v>18</v>
      </c>
      <c r="E1032" t="s">
        <v>1636</v>
      </c>
      <c r="F1032" s="5">
        <v>44400000</v>
      </c>
      <c r="G1032" s="5">
        <v>47400000</v>
      </c>
      <c r="H1032" s="5">
        <f>M1032*26000*1.20565</f>
        <v>49076706.640000008</v>
      </c>
      <c r="I1032" s="5">
        <f>G1032-H1032</f>
        <v>-1676706.640000008</v>
      </c>
      <c r="J1032" s="5">
        <v>3000000</v>
      </c>
      <c r="K1032" s="5">
        <v>4440000</v>
      </c>
      <c r="L1032" s="5">
        <v>4740000</v>
      </c>
      <c r="M1032" s="7">
        <v>1565.6</v>
      </c>
      <c r="N1032" s="5">
        <v>44900000</v>
      </c>
      <c r="O1032" s="5">
        <v>47900000</v>
      </c>
      <c r="P1032" s="3">
        <v>0.97916666666666663</v>
      </c>
    </row>
    <row r="1033" spans="1:16" x14ac:dyDescent="0.25">
      <c r="A1033" s="2">
        <v>44167</v>
      </c>
      <c r="B1033" s="2">
        <v>43873</v>
      </c>
      <c r="C1033" t="str">
        <f>TEXT(B1033,"mm")</f>
        <v>02</v>
      </c>
      <c r="D1033" t="s">
        <v>19</v>
      </c>
      <c r="E1033" t="s">
        <v>1636</v>
      </c>
      <c r="F1033" s="5">
        <v>44500000</v>
      </c>
      <c r="G1033" s="5">
        <v>47500000</v>
      </c>
      <c r="H1033" s="5">
        <f>M1033*26000*1.20565</f>
        <v>49133131.060000002</v>
      </c>
      <c r="I1033" s="5">
        <f>G1033-H1033</f>
        <v>-1633131.0600000024</v>
      </c>
      <c r="J1033" s="5">
        <v>3000000</v>
      </c>
      <c r="K1033" s="5">
        <v>4450000</v>
      </c>
      <c r="L1033" s="5">
        <v>4750000</v>
      </c>
      <c r="M1033" s="7">
        <v>1567.4</v>
      </c>
      <c r="N1033" s="5">
        <v>45000000</v>
      </c>
      <c r="O1033" s="5">
        <v>48000000</v>
      </c>
      <c r="P1033" s="3">
        <v>0.97916666666666663</v>
      </c>
    </row>
    <row r="1034" spans="1:16" x14ac:dyDescent="0.25">
      <c r="A1034" t="s">
        <v>643</v>
      </c>
      <c r="B1034" s="2">
        <v>43874</v>
      </c>
      <c r="C1034" t="str">
        <f>TEXT(B1034,"mm")</f>
        <v>02</v>
      </c>
      <c r="D1034" t="s">
        <v>20</v>
      </c>
      <c r="E1034" t="s">
        <v>1636</v>
      </c>
      <c r="F1034" s="5">
        <v>44700000</v>
      </c>
      <c r="G1034" s="5">
        <v>47700000</v>
      </c>
      <c r="H1034" s="5">
        <f>M1034*26000*1.20565</f>
        <v>49374502.190000005</v>
      </c>
      <c r="I1034" s="5">
        <f>G1034-H1034</f>
        <v>-1674502.1900000051</v>
      </c>
      <c r="J1034" s="5">
        <v>3000000</v>
      </c>
      <c r="K1034" s="5">
        <v>4470000</v>
      </c>
      <c r="L1034" s="5">
        <v>4770000</v>
      </c>
      <c r="M1034" s="7">
        <v>1575.1</v>
      </c>
      <c r="N1034" s="5">
        <v>45200000</v>
      </c>
      <c r="O1034" s="5">
        <v>48200000</v>
      </c>
      <c r="P1034" s="3">
        <v>0.97916666666666663</v>
      </c>
    </row>
    <row r="1035" spans="1:16" x14ac:dyDescent="0.25">
      <c r="A1035" t="s">
        <v>644</v>
      </c>
      <c r="B1035" s="2">
        <v>43875</v>
      </c>
      <c r="C1035" t="str">
        <f>TEXT(B1035,"mm")</f>
        <v>02</v>
      </c>
      <c r="D1035" t="s">
        <v>21</v>
      </c>
      <c r="E1035" t="s">
        <v>1636</v>
      </c>
      <c r="F1035" s="5">
        <v>44900000</v>
      </c>
      <c r="G1035" s="5">
        <v>47900000</v>
      </c>
      <c r="H1035" s="5">
        <f>M1035*26000*1.20565</f>
        <v>49612738.630000003</v>
      </c>
      <c r="I1035" s="5">
        <f>G1035-H1035</f>
        <v>-1712738.6300000027</v>
      </c>
      <c r="J1035" s="5">
        <v>3000000</v>
      </c>
      <c r="K1035" s="5">
        <v>4490000</v>
      </c>
      <c r="L1035" s="5">
        <v>4790000</v>
      </c>
      <c r="M1035" s="7">
        <v>1582.7</v>
      </c>
      <c r="N1035" s="5">
        <v>45400000</v>
      </c>
      <c r="O1035" s="5">
        <v>48400000</v>
      </c>
      <c r="P1035" s="3">
        <v>0.97916666666666663</v>
      </c>
    </row>
    <row r="1036" spans="1:16" x14ac:dyDescent="0.25">
      <c r="A1036" t="s">
        <v>645</v>
      </c>
      <c r="B1036" s="2">
        <v>43879</v>
      </c>
      <c r="C1036" t="str">
        <f>TEXT(B1036,"mm")</f>
        <v>02</v>
      </c>
      <c r="D1036" t="s">
        <v>18</v>
      </c>
      <c r="E1036" t="s">
        <v>1636</v>
      </c>
      <c r="F1036" s="5">
        <v>45400000</v>
      </c>
      <c r="G1036" s="5">
        <v>48400000</v>
      </c>
      <c r="H1036" s="5">
        <f>M1036*26000*1.20565</f>
        <v>50155040.000000007</v>
      </c>
      <c r="I1036" s="5">
        <f>G1036-H1036</f>
        <v>-1755040.0000000075</v>
      </c>
      <c r="J1036" s="5">
        <v>3000000</v>
      </c>
      <c r="K1036" s="5">
        <v>4540000</v>
      </c>
      <c r="L1036" s="5">
        <v>4840000</v>
      </c>
      <c r="M1036" s="7">
        <v>1600</v>
      </c>
      <c r="N1036" s="5">
        <v>45900000</v>
      </c>
      <c r="O1036" s="5">
        <v>48900000</v>
      </c>
      <c r="P1036" s="3">
        <v>0.97916666666666663</v>
      </c>
    </row>
    <row r="1037" spans="1:16" x14ac:dyDescent="0.25">
      <c r="A1037" t="s">
        <v>646</v>
      </c>
      <c r="B1037" s="2">
        <v>43880</v>
      </c>
      <c r="C1037" t="str">
        <f>TEXT(B1037,"mm")</f>
        <v>02</v>
      </c>
      <c r="D1037" t="s">
        <v>19</v>
      </c>
      <c r="E1037" t="s">
        <v>1636</v>
      </c>
      <c r="F1037" s="5">
        <v>45700000</v>
      </c>
      <c r="G1037" s="5">
        <v>48700000</v>
      </c>
      <c r="H1037" s="5">
        <f>M1037*26000*1.20565</f>
        <v>50390141.750000007</v>
      </c>
      <c r="I1037" s="5">
        <f>G1037-H1037</f>
        <v>-1690141.7500000075</v>
      </c>
      <c r="J1037" s="5">
        <v>3000000</v>
      </c>
      <c r="K1037" s="5">
        <v>4570000</v>
      </c>
      <c r="L1037" s="5">
        <v>4870000</v>
      </c>
      <c r="M1037" s="7">
        <v>1607.5</v>
      </c>
      <c r="N1037" s="5">
        <v>46200000</v>
      </c>
      <c r="O1037" s="5">
        <v>49200000</v>
      </c>
      <c r="P1037" s="3">
        <v>0.97916666666666663</v>
      </c>
    </row>
    <row r="1038" spans="1:16" x14ac:dyDescent="0.25">
      <c r="A1038" t="s">
        <v>647</v>
      </c>
      <c r="B1038" s="2">
        <v>43881</v>
      </c>
      <c r="C1038" t="str">
        <f>TEXT(B1038,"mm")</f>
        <v>02</v>
      </c>
      <c r="D1038" t="s">
        <v>20</v>
      </c>
      <c r="E1038" t="s">
        <v>1636</v>
      </c>
      <c r="F1038" s="5">
        <v>45900000</v>
      </c>
      <c r="G1038" s="5">
        <v>48900000</v>
      </c>
      <c r="H1038" s="5">
        <f>M1038*26000*1.20565</f>
        <v>50675398.540000007</v>
      </c>
      <c r="I1038" s="5">
        <f>G1038-H1038</f>
        <v>-1775398.5400000066</v>
      </c>
      <c r="J1038" s="5">
        <v>3000000</v>
      </c>
      <c r="K1038" s="5">
        <v>4590000</v>
      </c>
      <c r="L1038" s="5">
        <v>4890000</v>
      </c>
      <c r="M1038" s="7">
        <v>1616.6</v>
      </c>
      <c r="N1038" s="5">
        <v>46400000</v>
      </c>
      <c r="O1038" s="5">
        <v>49400000</v>
      </c>
      <c r="P1038" s="3">
        <v>0.97916666666666663</v>
      </c>
    </row>
    <row r="1039" spans="1:16" x14ac:dyDescent="0.25">
      <c r="A1039" t="s">
        <v>648</v>
      </c>
      <c r="B1039" s="2">
        <v>43882</v>
      </c>
      <c r="C1039" t="str">
        <f>TEXT(B1039,"mm")</f>
        <v>02</v>
      </c>
      <c r="D1039" t="s">
        <v>21</v>
      </c>
      <c r="E1039" t="s">
        <v>1636</v>
      </c>
      <c r="F1039" s="5">
        <v>46800000</v>
      </c>
      <c r="G1039" s="5">
        <v>49800000</v>
      </c>
      <c r="H1039" s="5">
        <f>M1039*26000*1.20565</f>
        <v>51553111.740000002</v>
      </c>
      <c r="I1039" s="5">
        <f>G1039-H1039</f>
        <v>-1753111.7400000021</v>
      </c>
      <c r="J1039" s="5">
        <v>3000000</v>
      </c>
      <c r="K1039" s="5">
        <v>4680000</v>
      </c>
      <c r="L1039" s="5">
        <v>4980000</v>
      </c>
      <c r="M1039" s="7">
        <v>1644.6</v>
      </c>
      <c r="N1039" s="5">
        <v>47300000</v>
      </c>
      <c r="O1039" s="5">
        <v>50300000</v>
      </c>
      <c r="P1039" s="3">
        <v>0.97916666666666663</v>
      </c>
    </row>
    <row r="1040" spans="1:16" x14ac:dyDescent="0.25">
      <c r="A1040" t="s">
        <v>649</v>
      </c>
      <c r="B1040" s="2">
        <v>43885</v>
      </c>
      <c r="C1040" t="str">
        <f>TEXT(B1040,"mm")</f>
        <v>02</v>
      </c>
      <c r="D1040" t="s">
        <v>16</v>
      </c>
      <c r="E1040" t="s">
        <v>1636</v>
      </c>
      <c r="F1040" s="5">
        <v>47600000</v>
      </c>
      <c r="G1040" s="5">
        <v>50600000</v>
      </c>
      <c r="H1040" s="5">
        <f>M1040*26000*1.20565</f>
        <v>52424555.560000002</v>
      </c>
      <c r="I1040" s="5">
        <f>G1040-H1040</f>
        <v>-1824555.5600000024</v>
      </c>
      <c r="J1040" s="5">
        <v>3000000</v>
      </c>
      <c r="K1040" s="5">
        <v>4760000</v>
      </c>
      <c r="L1040" s="5">
        <v>5060000</v>
      </c>
      <c r="M1040" s="7">
        <v>1672.4</v>
      </c>
      <c r="N1040" s="5">
        <v>48100000</v>
      </c>
      <c r="O1040" s="5">
        <v>51100000</v>
      </c>
      <c r="P1040" s="3">
        <v>0.97916666666666663</v>
      </c>
    </row>
    <row r="1041" spans="1:16" x14ac:dyDescent="0.25">
      <c r="A1041" t="s">
        <v>650</v>
      </c>
      <c r="B1041" s="2">
        <v>43886</v>
      </c>
      <c r="C1041" t="str">
        <f>TEXT(B1041,"mm")</f>
        <v>02</v>
      </c>
      <c r="D1041" t="s">
        <v>18</v>
      </c>
      <c r="E1041" t="s">
        <v>1636</v>
      </c>
      <c r="F1041" s="5">
        <v>46900000</v>
      </c>
      <c r="G1041" s="5">
        <v>49900000</v>
      </c>
      <c r="H1041" s="5">
        <f>M1041*26000*1.20565</f>
        <v>51625209.610000007</v>
      </c>
      <c r="I1041" s="5">
        <f>G1041-H1041</f>
        <v>-1725209.6100000069</v>
      </c>
      <c r="J1041" s="5">
        <v>3000000</v>
      </c>
      <c r="K1041" s="5">
        <v>4690000</v>
      </c>
      <c r="L1041" s="5">
        <v>4990000</v>
      </c>
      <c r="M1041" s="7">
        <v>1646.9</v>
      </c>
      <c r="N1041" s="5">
        <v>47400000</v>
      </c>
      <c r="O1041" s="5">
        <v>50400000</v>
      </c>
      <c r="P1041" s="3">
        <v>0.97916666666666663</v>
      </c>
    </row>
    <row r="1042" spans="1:16" x14ac:dyDescent="0.25">
      <c r="A1042" t="s">
        <v>651</v>
      </c>
      <c r="B1042" s="2">
        <v>43887</v>
      </c>
      <c r="C1042" t="str">
        <f>TEXT(B1042,"mm")</f>
        <v>02</v>
      </c>
      <c r="D1042" t="s">
        <v>19</v>
      </c>
      <c r="E1042" t="s">
        <v>1636</v>
      </c>
      <c r="F1042" s="5">
        <v>46600000</v>
      </c>
      <c r="G1042" s="5">
        <v>49600000</v>
      </c>
      <c r="H1042" s="5">
        <f>M1042*26000*1.20565</f>
        <v>51408916.000000007</v>
      </c>
      <c r="I1042" s="5">
        <f>G1042-H1042</f>
        <v>-1808916.0000000075</v>
      </c>
      <c r="J1042" s="5">
        <v>3000000</v>
      </c>
      <c r="K1042" s="5">
        <v>4660000</v>
      </c>
      <c r="L1042" s="5">
        <v>4960000</v>
      </c>
      <c r="M1042" s="7">
        <v>1640</v>
      </c>
      <c r="N1042" s="5">
        <v>47100000</v>
      </c>
      <c r="O1042" s="5">
        <v>50100000</v>
      </c>
      <c r="P1042" s="3">
        <v>0.97916666666666663</v>
      </c>
    </row>
    <row r="1043" spans="1:16" x14ac:dyDescent="0.25">
      <c r="A1043" t="s">
        <v>652</v>
      </c>
      <c r="B1043" s="2">
        <v>43888</v>
      </c>
      <c r="C1043" t="str">
        <f>TEXT(B1043,"mm")</f>
        <v>02</v>
      </c>
      <c r="D1043" t="s">
        <v>20</v>
      </c>
      <c r="E1043" t="s">
        <v>1636</v>
      </c>
      <c r="F1043" s="5">
        <v>46600000</v>
      </c>
      <c r="G1043" s="5">
        <v>49600000</v>
      </c>
      <c r="H1043" s="5">
        <f>M1043*26000*1.20565</f>
        <v>51408916.000000007</v>
      </c>
      <c r="I1043" s="5">
        <f>G1043-H1043</f>
        <v>-1808916.0000000075</v>
      </c>
      <c r="J1043" s="5">
        <v>3000000</v>
      </c>
      <c r="K1043" s="5">
        <v>4660000</v>
      </c>
      <c r="L1043" s="5">
        <v>4960000</v>
      </c>
      <c r="M1043" s="7">
        <v>1640</v>
      </c>
      <c r="N1043" s="5">
        <v>47100000</v>
      </c>
      <c r="O1043" s="5">
        <v>50100000</v>
      </c>
      <c r="P1043" s="3">
        <v>0.97916666666666663</v>
      </c>
    </row>
    <row r="1044" spans="1:16" x14ac:dyDescent="0.25">
      <c r="A1044" t="s">
        <v>653</v>
      </c>
      <c r="B1044" s="2">
        <v>43889</v>
      </c>
      <c r="C1044" t="str">
        <f>TEXT(B1044,"mm")</f>
        <v>02</v>
      </c>
      <c r="D1044" t="s">
        <v>21</v>
      </c>
      <c r="E1044" t="s">
        <v>1636</v>
      </c>
      <c r="F1044" s="5">
        <v>44400000</v>
      </c>
      <c r="G1044" s="5">
        <v>47400000</v>
      </c>
      <c r="H1044" s="5">
        <f>M1044*26000*1.20565</f>
        <v>49029686.290000007</v>
      </c>
      <c r="I1044" s="5">
        <f>G1044-H1044</f>
        <v>-1629686.2900000066</v>
      </c>
      <c r="J1044" s="5">
        <v>3000000</v>
      </c>
      <c r="K1044" s="5">
        <v>4440000</v>
      </c>
      <c r="L1044" s="5">
        <v>4740000</v>
      </c>
      <c r="M1044" s="7">
        <v>1564.1</v>
      </c>
      <c r="N1044" s="5">
        <v>44900000</v>
      </c>
      <c r="O1044" s="5">
        <v>47900000</v>
      </c>
      <c r="P1044" s="3">
        <v>0.97916666666666663</v>
      </c>
    </row>
    <row r="1045" spans="1:16" x14ac:dyDescent="0.25">
      <c r="A1045" s="2">
        <v>43864</v>
      </c>
      <c r="B1045" s="2">
        <v>43892</v>
      </c>
      <c r="C1045" t="str">
        <f>TEXT(B1045,"mm")</f>
        <v>03</v>
      </c>
      <c r="D1045" t="s">
        <v>16</v>
      </c>
      <c r="E1045" t="s">
        <v>1636</v>
      </c>
      <c r="F1045" s="5">
        <v>45200000</v>
      </c>
      <c r="G1045" s="5">
        <v>48200000</v>
      </c>
      <c r="H1045" s="5">
        <f>M1045*26000*1.20565</f>
        <v>49913668.870000005</v>
      </c>
      <c r="I1045" s="5">
        <f>G1045-H1045</f>
        <v>-1713668.8700000048</v>
      </c>
      <c r="J1045" s="5">
        <v>3000000</v>
      </c>
      <c r="K1045" s="5">
        <v>4520000</v>
      </c>
      <c r="L1045" s="5">
        <v>4820000</v>
      </c>
      <c r="M1045" s="7">
        <v>1592.3</v>
      </c>
      <c r="N1045" s="5">
        <v>45700000</v>
      </c>
      <c r="O1045" s="5">
        <v>48700000</v>
      </c>
      <c r="P1045" s="3">
        <v>0.97916666666666663</v>
      </c>
    </row>
    <row r="1046" spans="1:16" x14ac:dyDescent="0.25">
      <c r="A1046" s="2">
        <v>43893</v>
      </c>
      <c r="B1046" s="2">
        <v>43893</v>
      </c>
      <c r="C1046" t="str">
        <f>TEXT(B1046,"mm")</f>
        <v>03</v>
      </c>
      <c r="D1046" t="s">
        <v>18</v>
      </c>
      <c r="E1046" t="s">
        <v>1636</v>
      </c>
      <c r="F1046" s="5">
        <v>46700000</v>
      </c>
      <c r="G1046" s="5">
        <v>49700000</v>
      </c>
      <c r="H1046" s="5">
        <f>M1046*26000*1.20565</f>
        <v>51474744.490000002</v>
      </c>
      <c r="I1046" s="5">
        <f>G1046-H1046</f>
        <v>-1774744.4900000021</v>
      </c>
      <c r="J1046" s="5">
        <v>3000000</v>
      </c>
      <c r="K1046" s="5">
        <v>4670000</v>
      </c>
      <c r="L1046" s="5">
        <v>4970000</v>
      </c>
      <c r="M1046" s="7">
        <v>1642.1</v>
      </c>
      <c r="N1046" s="5">
        <v>47200000</v>
      </c>
      <c r="O1046" s="5">
        <v>50200000</v>
      </c>
      <c r="P1046" s="3">
        <v>0.97916666666666663</v>
      </c>
    </row>
    <row r="1047" spans="1:16" x14ac:dyDescent="0.25">
      <c r="A1047" s="2">
        <v>43924</v>
      </c>
      <c r="B1047" s="2">
        <v>43894</v>
      </c>
      <c r="C1047" t="str">
        <f>TEXT(B1047,"mm")</f>
        <v>03</v>
      </c>
      <c r="D1047" t="s">
        <v>19</v>
      </c>
      <c r="E1047" t="s">
        <v>1636</v>
      </c>
      <c r="F1047" s="5">
        <v>46700000</v>
      </c>
      <c r="G1047" s="5">
        <v>49700000</v>
      </c>
      <c r="H1047" s="5">
        <f>M1047*26000*1.20565</f>
        <v>51443397.590000004</v>
      </c>
      <c r="I1047" s="5">
        <f>G1047-H1047</f>
        <v>-1743397.5900000036</v>
      </c>
      <c r="J1047" s="5">
        <v>3000000</v>
      </c>
      <c r="K1047" s="5">
        <v>4670000</v>
      </c>
      <c r="L1047" s="5">
        <v>4970000</v>
      </c>
      <c r="M1047" s="7">
        <v>1641.1</v>
      </c>
      <c r="N1047" s="5">
        <v>47200000</v>
      </c>
      <c r="O1047" s="5">
        <v>50200000</v>
      </c>
      <c r="P1047" s="3">
        <v>0.97916666666666663</v>
      </c>
    </row>
    <row r="1048" spans="1:16" x14ac:dyDescent="0.25">
      <c r="A1048" s="2">
        <v>43954</v>
      </c>
      <c r="B1048" s="2">
        <v>43895</v>
      </c>
      <c r="C1048" t="str">
        <f>TEXT(B1048,"mm")</f>
        <v>03</v>
      </c>
      <c r="D1048" t="s">
        <v>20</v>
      </c>
      <c r="E1048" t="s">
        <v>1636</v>
      </c>
      <c r="F1048" s="5">
        <v>47400000</v>
      </c>
      <c r="G1048" s="5">
        <v>50400000</v>
      </c>
      <c r="H1048" s="5">
        <f>M1048*26000*1.20565</f>
        <v>52236474.160000004</v>
      </c>
      <c r="I1048" s="5">
        <f>G1048-H1048</f>
        <v>-1836474.1600000039</v>
      </c>
      <c r="J1048" s="5">
        <v>3000000</v>
      </c>
      <c r="K1048" s="5">
        <v>4740000</v>
      </c>
      <c r="L1048" s="5">
        <v>5040000</v>
      </c>
      <c r="M1048" s="7">
        <v>1666.4</v>
      </c>
      <c r="N1048" s="5">
        <v>47900000</v>
      </c>
      <c r="O1048" s="5">
        <v>50900000</v>
      </c>
      <c r="P1048" s="3">
        <v>0.97916666666666663</v>
      </c>
    </row>
    <row r="1049" spans="1:16" x14ac:dyDescent="0.25">
      <c r="A1049" s="2">
        <v>43985</v>
      </c>
      <c r="B1049" s="2">
        <v>43896</v>
      </c>
      <c r="C1049" t="str">
        <f>TEXT(B1049,"mm")</f>
        <v>03</v>
      </c>
      <c r="D1049" t="s">
        <v>21</v>
      </c>
      <c r="E1049" t="s">
        <v>1636</v>
      </c>
      <c r="F1049" s="5">
        <v>47600000</v>
      </c>
      <c r="G1049" s="5">
        <v>50600000</v>
      </c>
      <c r="H1049" s="5">
        <f>M1049*26000*1.20565</f>
        <v>52374400.520000003</v>
      </c>
      <c r="I1049" s="5">
        <f>G1049-H1049</f>
        <v>-1774400.5200000033</v>
      </c>
      <c r="J1049" s="5">
        <v>3000000</v>
      </c>
      <c r="K1049" s="5">
        <v>4760000</v>
      </c>
      <c r="L1049" s="5">
        <v>5060000</v>
      </c>
      <c r="M1049" s="7">
        <v>1670.8</v>
      </c>
      <c r="N1049" s="5">
        <v>48100000</v>
      </c>
      <c r="O1049" s="5">
        <v>51100000</v>
      </c>
      <c r="P1049" s="3">
        <v>0.97916666666666663</v>
      </c>
    </row>
    <row r="1050" spans="1:16" x14ac:dyDescent="0.25">
      <c r="A1050" s="2">
        <v>44077</v>
      </c>
      <c r="B1050" s="2">
        <v>43899</v>
      </c>
      <c r="C1050" t="str">
        <f>TEXT(B1050,"mm")</f>
        <v>03</v>
      </c>
      <c r="D1050" t="s">
        <v>16</v>
      </c>
      <c r="E1050" t="s">
        <v>1636</v>
      </c>
      <c r="F1050" s="5">
        <v>47700000</v>
      </c>
      <c r="G1050" s="5">
        <v>50700000</v>
      </c>
      <c r="H1050" s="5">
        <f>M1050*26000*1.20565</f>
        <v>52490384.050000004</v>
      </c>
      <c r="I1050" s="5">
        <f>G1050-H1050</f>
        <v>-1790384.0500000045</v>
      </c>
      <c r="J1050" s="5">
        <v>3000000</v>
      </c>
      <c r="K1050" s="5">
        <v>4770000</v>
      </c>
      <c r="L1050" s="5">
        <v>5070000</v>
      </c>
      <c r="M1050" s="7">
        <v>1674.5</v>
      </c>
      <c r="N1050" s="5">
        <v>48200000</v>
      </c>
      <c r="O1050" s="5">
        <v>51200000</v>
      </c>
      <c r="P1050" s="3">
        <v>0.97916666666666663</v>
      </c>
    </row>
    <row r="1051" spans="1:16" x14ac:dyDescent="0.25">
      <c r="A1051" s="2">
        <v>44107</v>
      </c>
      <c r="B1051" s="2">
        <v>43900</v>
      </c>
      <c r="C1051" t="str">
        <f>TEXT(B1051,"mm")</f>
        <v>03</v>
      </c>
      <c r="D1051" t="s">
        <v>18</v>
      </c>
      <c r="E1051" t="s">
        <v>1636</v>
      </c>
      <c r="F1051" s="5">
        <v>47200000</v>
      </c>
      <c r="G1051" s="5">
        <v>50200000</v>
      </c>
      <c r="H1051" s="5">
        <f>M1051*26000*1.20565</f>
        <v>52007641.790000007</v>
      </c>
      <c r="I1051" s="5">
        <f>G1051-H1051</f>
        <v>-1807641.7900000066</v>
      </c>
      <c r="J1051" s="5">
        <v>3000000</v>
      </c>
      <c r="K1051" s="5">
        <v>4720000</v>
      </c>
      <c r="L1051" s="5">
        <v>5020000</v>
      </c>
      <c r="M1051" s="7">
        <v>1659.1</v>
      </c>
      <c r="N1051" s="5">
        <v>47700000</v>
      </c>
      <c r="O1051" s="5">
        <v>50700000</v>
      </c>
      <c r="P1051" s="3">
        <v>0.97916666666666663</v>
      </c>
    </row>
    <row r="1052" spans="1:16" x14ac:dyDescent="0.25">
      <c r="A1052" s="2">
        <v>44138</v>
      </c>
      <c r="B1052" s="2">
        <v>43901</v>
      </c>
      <c r="C1052" t="str">
        <f>TEXT(B1052,"mm")</f>
        <v>03</v>
      </c>
      <c r="D1052" t="s">
        <v>19</v>
      </c>
      <c r="E1052" t="s">
        <v>1636</v>
      </c>
      <c r="F1052" s="5">
        <v>46700000</v>
      </c>
      <c r="G1052" s="5">
        <v>49700000</v>
      </c>
      <c r="H1052" s="5">
        <f>M1052*26000*1.20565</f>
        <v>51452801.660000004</v>
      </c>
      <c r="I1052" s="5">
        <f>G1052-H1052</f>
        <v>-1752801.6600000039</v>
      </c>
      <c r="J1052" s="5">
        <v>3000000</v>
      </c>
      <c r="K1052" s="5">
        <v>4670000</v>
      </c>
      <c r="L1052" s="5">
        <v>4970000</v>
      </c>
      <c r="M1052" s="7">
        <v>1641.4</v>
      </c>
      <c r="N1052" s="5">
        <v>47200000</v>
      </c>
      <c r="O1052" s="5">
        <v>50200000</v>
      </c>
      <c r="P1052" s="3">
        <v>0.97916666666666663</v>
      </c>
    </row>
    <row r="1053" spans="1:16" x14ac:dyDescent="0.25">
      <c r="A1053" s="2">
        <v>44168</v>
      </c>
      <c r="B1053" s="2">
        <v>43902</v>
      </c>
      <c r="C1053" t="str">
        <f>TEXT(B1053,"mm")</f>
        <v>03</v>
      </c>
      <c r="D1053" t="s">
        <v>20</v>
      </c>
      <c r="E1053" t="s">
        <v>1636</v>
      </c>
      <c r="F1053" s="5">
        <v>45100000</v>
      </c>
      <c r="G1053" s="5">
        <v>48100000</v>
      </c>
      <c r="H1053" s="5">
        <f>M1053*26000*1.20565</f>
        <v>49819628.170000002</v>
      </c>
      <c r="I1053" s="5">
        <f>G1053-H1053</f>
        <v>-1719628.1700000018</v>
      </c>
      <c r="J1053" s="5">
        <v>3000000</v>
      </c>
      <c r="K1053" s="5">
        <v>4510000</v>
      </c>
      <c r="L1053" s="5">
        <v>4810000</v>
      </c>
      <c r="M1053" s="7">
        <v>1589.3</v>
      </c>
      <c r="N1053" s="5">
        <v>45600000</v>
      </c>
      <c r="O1053" s="5">
        <v>48600000</v>
      </c>
      <c r="P1053" s="3">
        <v>0.97916666666666663</v>
      </c>
    </row>
    <row r="1054" spans="1:16" x14ac:dyDescent="0.25">
      <c r="A1054" t="s">
        <v>654</v>
      </c>
      <c r="B1054" s="2">
        <v>43903</v>
      </c>
      <c r="C1054" t="str">
        <f>TEXT(B1054,"mm")</f>
        <v>03</v>
      </c>
      <c r="D1054" t="s">
        <v>21</v>
      </c>
      <c r="E1054" t="s">
        <v>1636</v>
      </c>
      <c r="F1054" s="5">
        <v>42900000</v>
      </c>
      <c r="G1054" s="5">
        <v>45900000</v>
      </c>
      <c r="H1054" s="5">
        <f>M1054*26000*1.20565</f>
        <v>47512496.330000006</v>
      </c>
      <c r="I1054" s="5">
        <f>G1054-H1054</f>
        <v>-1612496.3300000057</v>
      </c>
      <c r="J1054" s="5">
        <v>3000000</v>
      </c>
      <c r="K1054" s="5">
        <v>4290000</v>
      </c>
      <c r="L1054" s="5">
        <v>4590000</v>
      </c>
      <c r="M1054" s="7">
        <v>1515.7</v>
      </c>
      <c r="N1054" s="5">
        <v>43400000</v>
      </c>
      <c r="O1054" s="5">
        <v>46400000</v>
      </c>
      <c r="P1054" s="3">
        <v>0.97916666666666663</v>
      </c>
    </row>
    <row r="1055" spans="1:16" x14ac:dyDescent="0.25">
      <c r="A1055" t="s">
        <v>655</v>
      </c>
      <c r="B1055" s="2">
        <v>43906</v>
      </c>
      <c r="C1055" t="str">
        <f>TEXT(B1055,"mm")</f>
        <v>03</v>
      </c>
      <c r="D1055" t="s">
        <v>16</v>
      </c>
      <c r="E1055" t="s">
        <v>1636</v>
      </c>
      <c r="F1055" s="5">
        <v>42000000</v>
      </c>
      <c r="G1055" s="5">
        <v>45000000</v>
      </c>
      <c r="H1055" s="5">
        <f>M1055*26000*1.20565</f>
        <v>46578358.710000001</v>
      </c>
      <c r="I1055" s="5">
        <f>G1055-H1055</f>
        <v>-1578358.7100000009</v>
      </c>
      <c r="J1055" s="5">
        <v>3000000</v>
      </c>
      <c r="K1055" s="5">
        <v>4200000</v>
      </c>
      <c r="L1055" s="5">
        <v>4500000</v>
      </c>
      <c r="M1055" s="7">
        <v>1485.9</v>
      </c>
      <c r="N1055" s="5">
        <v>42500000</v>
      </c>
      <c r="O1055" s="5">
        <v>45500000</v>
      </c>
      <c r="P1055" s="3">
        <v>0.97916666666666663</v>
      </c>
    </row>
    <row r="1056" spans="1:16" x14ac:dyDescent="0.25">
      <c r="A1056" t="s">
        <v>656</v>
      </c>
      <c r="B1056" s="2">
        <v>43907</v>
      </c>
      <c r="C1056" t="str">
        <f>TEXT(B1056,"mm")</f>
        <v>03</v>
      </c>
      <c r="D1056" t="s">
        <v>18</v>
      </c>
      <c r="E1056" t="s">
        <v>1636</v>
      </c>
      <c r="F1056" s="5">
        <v>43200000</v>
      </c>
      <c r="G1056" s="5">
        <v>46200000</v>
      </c>
      <c r="H1056" s="5">
        <f>M1056*26000*1.20565</f>
        <v>47800887.810000002</v>
      </c>
      <c r="I1056" s="5">
        <f>G1056-H1056</f>
        <v>-1600887.8100000024</v>
      </c>
      <c r="J1056" s="5">
        <v>3000000</v>
      </c>
      <c r="K1056" s="5">
        <v>4320000</v>
      </c>
      <c r="L1056" s="5">
        <v>4620000</v>
      </c>
      <c r="M1056" s="7">
        <v>1524.9</v>
      </c>
      <c r="N1056" s="5">
        <v>43700000</v>
      </c>
      <c r="O1056" s="5">
        <v>46700000</v>
      </c>
      <c r="P1056" s="3">
        <v>0.97916666666666663</v>
      </c>
    </row>
    <row r="1057" spans="1:16" x14ac:dyDescent="0.25">
      <c r="A1057" t="s">
        <v>657</v>
      </c>
      <c r="B1057" s="2">
        <v>43908</v>
      </c>
      <c r="C1057" t="str">
        <f>TEXT(B1057,"mm")</f>
        <v>03</v>
      </c>
      <c r="D1057" t="s">
        <v>19</v>
      </c>
      <c r="E1057" t="s">
        <v>1636</v>
      </c>
      <c r="F1057" s="5">
        <v>41700000</v>
      </c>
      <c r="G1057" s="5">
        <v>44700000</v>
      </c>
      <c r="H1057" s="5">
        <f>M1057*26000*1.20565</f>
        <v>46308775.370000005</v>
      </c>
      <c r="I1057" s="5">
        <f>G1057-H1057</f>
        <v>-1608775.3700000048</v>
      </c>
      <c r="J1057" s="5">
        <v>3000000</v>
      </c>
      <c r="K1057" s="5">
        <v>4170000</v>
      </c>
      <c r="L1057" s="5">
        <v>4470000</v>
      </c>
      <c r="M1057" s="7">
        <v>1477.3</v>
      </c>
      <c r="N1057" s="5">
        <v>42200000</v>
      </c>
      <c r="O1057" s="5">
        <v>45200000</v>
      </c>
      <c r="P1057" s="3">
        <v>0.97916666666666663</v>
      </c>
    </row>
    <row r="1058" spans="1:16" x14ac:dyDescent="0.25">
      <c r="A1058" t="s">
        <v>658</v>
      </c>
      <c r="B1058" s="2">
        <v>43909</v>
      </c>
      <c r="C1058" t="str">
        <f>TEXT(B1058,"mm")</f>
        <v>03</v>
      </c>
      <c r="D1058" t="s">
        <v>20</v>
      </c>
      <c r="E1058" t="s">
        <v>1636</v>
      </c>
      <c r="F1058" s="5">
        <v>41800000</v>
      </c>
      <c r="G1058" s="5">
        <v>44800000</v>
      </c>
      <c r="H1058" s="5">
        <f>M1058*26000*1.20565</f>
        <v>46349526.340000004</v>
      </c>
      <c r="I1058" s="5">
        <f>G1058-H1058</f>
        <v>-1549526.3400000036</v>
      </c>
      <c r="J1058" s="5">
        <v>3000000</v>
      </c>
      <c r="K1058" s="5">
        <v>4180000</v>
      </c>
      <c r="L1058" s="5">
        <v>4480000</v>
      </c>
      <c r="M1058" s="7">
        <v>1478.6</v>
      </c>
      <c r="N1058" s="5">
        <v>42300000</v>
      </c>
      <c r="O1058" s="5">
        <v>45300000</v>
      </c>
      <c r="P1058" s="3">
        <v>0.97916666666666663</v>
      </c>
    </row>
    <row r="1059" spans="1:16" x14ac:dyDescent="0.25">
      <c r="A1059" t="s">
        <v>659</v>
      </c>
      <c r="B1059" s="2">
        <v>43910</v>
      </c>
      <c r="C1059" t="str">
        <f>TEXT(B1059,"mm")</f>
        <v>03</v>
      </c>
      <c r="D1059" t="s">
        <v>21</v>
      </c>
      <c r="E1059" t="s">
        <v>1636</v>
      </c>
      <c r="F1059" s="5">
        <v>41900000</v>
      </c>
      <c r="G1059" s="5">
        <v>44900000</v>
      </c>
      <c r="H1059" s="5">
        <f>M1059*26000*1.20565</f>
        <v>46518799.600000001</v>
      </c>
      <c r="I1059" s="5">
        <f>G1059-H1059</f>
        <v>-1618799.6000000015</v>
      </c>
      <c r="J1059" s="5">
        <v>3000000</v>
      </c>
      <c r="K1059" s="5">
        <v>4190000</v>
      </c>
      <c r="L1059" s="5">
        <v>4490000</v>
      </c>
      <c r="M1059" s="7">
        <v>1484</v>
      </c>
      <c r="N1059" s="5">
        <v>42400000</v>
      </c>
      <c r="O1059" s="5">
        <v>45400000</v>
      </c>
      <c r="P1059" s="3">
        <v>0.97916666666666663</v>
      </c>
    </row>
    <row r="1060" spans="1:16" x14ac:dyDescent="0.25">
      <c r="A1060" t="s">
        <v>660</v>
      </c>
      <c r="B1060" s="2">
        <v>43913</v>
      </c>
      <c r="C1060" t="str">
        <f>TEXT(B1060,"mm")</f>
        <v>03</v>
      </c>
      <c r="D1060" t="s">
        <v>16</v>
      </c>
      <c r="E1060" t="s">
        <v>1636</v>
      </c>
      <c r="F1060" s="5">
        <v>44400000</v>
      </c>
      <c r="G1060" s="5">
        <v>47400000</v>
      </c>
      <c r="H1060" s="5">
        <f>M1060*26000*1.20565</f>
        <v>49120592.300000004</v>
      </c>
      <c r="I1060" s="5">
        <f>G1060-H1060</f>
        <v>-1720592.3000000045</v>
      </c>
      <c r="J1060" s="5">
        <v>3000000</v>
      </c>
      <c r="K1060" s="5">
        <v>4440000</v>
      </c>
      <c r="L1060" s="5">
        <v>4740000</v>
      </c>
      <c r="M1060" s="7">
        <v>1567</v>
      </c>
      <c r="N1060" s="5">
        <v>44900000</v>
      </c>
      <c r="O1060" s="5">
        <v>47900000</v>
      </c>
      <c r="P1060" s="3">
        <v>0.97916666666666663</v>
      </c>
    </row>
    <row r="1061" spans="1:16" x14ac:dyDescent="0.25">
      <c r="A1061" t="s">
        <v>661</v>
      </c>
      <c r="B1061" s="2">
        <v>43914</v>
      </c>
      <c r="C1061" t="str">
        <f>TEXT(B1061,"mm")</f>
        <v>03</v>
      </c>
      <c r="D1061" t="s">
        <v>18</v>
      </c>
      <c r="E1061" t="s">
        <v>1636</v>
      </c>
      <c r="F1061" s="5">
        <v>47300000</v>
      </c>
      <c r="G1061" s="5">
        <v>50300000</v>
      </c>
      <c r="H1061" s="5">
        <f>M1061*26000*1.20565</f>
        <v>52042123.380000003</v>
      </c>
      <c r="I1061" s="5">
        <f>G1061-H1061</f>
        <v>-1742123.3800000027</v>
      </c>
      <c r="J1061" s="5">
        <v>3000000</v>
      </c>
      <c r="K1061" s="5">
        <v>4730000</v>
      </c>
      <c r="L1061" s="5">
        <v>5030000</v>
      </c>
      <c r="M1061" s="7">
        <v>1660.2</v>
      </c>
      <c r="N1061" s="5">
        <v>47800000</v>
      </c>
      <c r="O1061" s="5">
        <v>50800000</v>
      </c>
      <c r="P1061" s="3">
        <v>0.97916666666666663</v>
      </c>
    </row>
    <row r="1062" spans="1:16" x14ac:dyDescent="0.25">
      <c r="A1062" t="s">
        <v>662</v>
      </c>
      <c r="B1062" s="2">
        <v>43915</v>
      </c>
      <c r="C1062" t="str">
        <f>TEXT(B1062,"mm")</f>
        <v>03</v>
      </c>
      <c r="D1062" t="s">
        <v>19</v>
      </c>
      <c r="E1062" t="s">
        <v>1636</v>
      </c>
      <c r="F1062" s="5">
        <v>46400000</v>
      </c>
      <c r="G1062" s="5">
        <v>49400000</v>
      </c>
      <c r="H1062" s="5">
        <f>M1062*26000*1.20565</f>
        <v>51167544.870000005</v>
      </c>
      <c r="I1062" s="5">
        <f>G1062-H1062</f>
        <v>-1767544.8700000048</v>
      </c>
      <c r="J1062" s="5">
        <v>3000000</v>
      </c>
      <c r="K1062" s="5">
        <v>4640000</v>
      </c>
      <c r="L1062" s="5">
        <v>4940000</v>
      </c>
      <c r="M1062" s="7">
        <v>1632.3</v>
      </c>
      <c r="N1062" s="5">
        <v>46900000</v>
      </c>
      <c r="O1062" s="5">
        <v>49900000</v>
      </c>
      <c r="P1062" s="3">
        <v>0.97916666666666663</v>
      </c>
    </row>
    <row r="1063" spans="1:16" x14ac:dyDescent="0.25">
      <c r="A1063" t="s">
        <v>663</v>
      </c>
      <c r="B1063" s="2">
        <v>43916</v>
      </c>
      <c r="C1063" t="str">
        <f>TEXT(B1063,"mm")</f>
        <v>03</v>
      </c>
      <c r="D1063" t="s">
        <v>20</v>
      </c>
      <c r="E1063" t="s">
        <v>1636</v>
      </c>
      <c r="F1063" s="5">
        <v>47000000</v>
      </c>
      <c r="G1063" s="5">
        <v>50000000</v>
      </c>
      <c r="H1063" s="5">
        <f>M1063*26000*1.20565</f>
        <v>51725519.690000005</v>
      </c>
      <c r="I1063" s="5">
        <f>G1063-H1063</f>
        <v>-1725519.6900000051</v>
      </c>
      <c r="J1063" s="5">
        <v>3000000</v>
      </c>
      <c r="K1063" s="5">
        <v>4700000</v>
      </c>
      <c r="L1063" s="5">
        <v>5000000</v>
      </c>
      <c r="M1063" s="7">
        <v>1650.1</v>
      </c>
      <c r="N1063" s="5">
        <v>47500000</v>
      </c>
      <c r="O1063" s="5">
        <v>50500000</v>
      </c>
      <c r="P1063" s="3">
        <v>0.97916666666666663</v>
      </c>
    </row>
    <row r="1064" spans="1:16" x14ac:dyDescent="0.25">
      <c r="A1064" t="s">
        <v>664</v>
      </c>
      <c r="B1064" s="2">
        <v>43917</v>
      </c>
      <c r="C1064" t="str">
        <f>TEXT(B1064,"mm")</f>
        <v>03</v>
      </c>
      <c r="D1064" t="s">
        <v>21</v>
      </c>
      <c r="E1064" t="s">
        <v>1636</v>
      </c>
      <c r="F1064" s="5">
        <v>46200000</v>
      </c>
      <c r="G1064" s="5">
        <v>49200000</v>
      </c>
      <c r="H1064" s="5">
        <f>M1064*26000*1.20565</f>
        <v>50904230.910000004</v>
      </c>
      <c r="I1064" s="5">
        <f>G1064-H1064</f>
        <v>-1704230.9100000039</v>
      </c>
      <c r="J1064" s="5">
        <v>3000000</v>
      </c>
      <c r="K1064" s="5">
        <v>4620000</v>
      </c>
      <c r="L1064" s="5">
        <v>4920000</v>
      </c>
      <c r="M1064" s="7">
        <v>1623.9</v>
      </c>
      <c r="N1064" s="5">
        <v>46700000</v>
      </c>
      <c r="O1064" s="5">
        <v>49700000</v>
      </c>
      <c r="P1064" s="3">
        <v>0.97916666666666663</v>
      </c>
    </row>
    <row r="1065" spans="1:16" x14ac:dyDescent="0.25">
      <c r="A1065" t="s">
        <v>665</v>
      </c>
      <c r="B1065" s="2">
        <v>43920</v>
      </c>
      <c r="C1065" t="str">
        <f>TEXT(B1065,"mm")</f>
        <v>03</v>
      </c>
      <c r="D1065" t="s">
        <v>16</v>
      </c>
      <c r="E1065" t="s">
        <v>1636</v>
      </c>
      <c r="F1065" s="5">
        <v>46100000</v>
      </c>
      <c r="G1065" s="5">
        <v>49100000</v>
      </c>
      <c r="H1065" s="5">
        <f>M1065*26000*1.20565</f>
        <v>50844671.800000004</v>
      </c>
      <c r="I1065" s="5">
        <f>G1065-H1065</f>
        <v>-1744671.8000000045</v>
      </c>
      <c r="J1065" s="5">
        <v>3000000</v>
      </c>
      <c r="K1065" s="5">
        <v>4610000</v>
      </c>
      <c r="L1065" s="5">
        <v>4910000</v>
      </c>
      <c r="M1065" s="7">
        <v>1622</v>
      </c>
      <c r="N1065" s="5">
        <v>46600000</v>
      </c>
      <c r="O1065" s="5">
        <v>49600000</v>
      </c>
      <c r="P1065" s="3">
        <v>0.97916666666666663</v>
      </c>
    </row>
    <row r="1066" spans="1:16" x14ac:dyDescent="0.25">
      <c r="A1066" t="s">
        <v>666</v>
      </c>
      <c r="B1066" s="2">
        <v>43921</v>
      </c>
      <c r="C1066" t="str">
        <f>TEXT(B1066,"mm")</f>
        <v>03</v>
      </c>
      <c r="D1066" t="s">
        <v>18</v>
      </c>
      <c r="E1066" t="s">
        <v>1636</v>
      </c>
      <c r="F1066" s="5">
        <v>44900000</v>
      </c>
      <c r="G1066" s="5">
        <v>47900000</v>
      </c>
      <c r="H1066" s="5">
        <f>M1066*26000*1.20565</f>
        <v>49634681.460000001</v>
      </c>
      <c r="I1066" s="5">
        <f>G1066-H1066</f>
        <v>-1734681.4600000009</v>
      </c>
      <c r="J1066" s="5">
        <v>3000000</v>
      </c>
      <c r="K1066" s="5">
        <v>4490000</v>
      </c>
      <c r="L1066" s="5">
        <v>4790000</v>
      </c>
      <c r="M1066" s="7">
        <v>1583.4</v>
      </c>
      <c r="N1066" s="5">
        <v>45400000</v>
      </c>
      <c r="O1066" s="5">
        <v>48400000</v>
      </c>
      <c r="P1066" s="3">
        <v>0.97916666666666663</v>
      </c>
    </row>
    <row r="1067" spans="1:16" x14ac:dyDescent="0.25">
      <c r="A1067" s="2">
        <v>43834</v>
      </c>
      <c r="B1067" s="2">
        <v>43922</v>
      </c>
      <c r="C1067" t="str">
        <f>TEXT(B1067,"mm")</f>
        <v>04</v>
      </c>
      <c r="D1067" t="s">
        <v>19</v>
      </c>
      <c r="E1067" t="s">
        <v>1636</v>
      </c>
      <c r="F1067" s="5">
        <v>44800000</v>
      </c>
      <c r="G1067" s="5">
        <v>47800000</v>
      </c>
      <c r="H1067" s="5">
        <f>M1067*26000*1.20565</f>
        <v>49471677.580000006</v>
      </c>
      <c r="I1067" s="5">
        <f>G1067-H1067</f>
        <v>-1671677.5800000057</v>
      </c>
      <c r="J1067" s="5">
        <v>3000000</v>
      </c>
      <c r="K1067" s="5">
        <v>4480000</v>
      </c>
      <c r="L1067" s="5">
        <v>4780000</v>
      </c>
      <c r="M1067" s="7">
        <v>1578.2</v>
      </c>
      <c r="N1067" s="5">
        <v>45300000</v>
      </c>
      <c r="O1067" s="5">
        <v>48300000</v>
      </c>
      <c r="P1067" s="3">
        <v>0.97916666666666663</v>
      </c>
    </row>
    <row r="1068" spans="1:16" x14ac:dyDescent="0.25">
      <c r="A1068" s="2">
        <v>43865</v>
      </c>
      <c r="B1068" s="2">
        <v>43923</v>
      </c>
      <c r="C1068" t="str">
        <f>TEXT(B1068,"mm")</f>
        <v>04</v>
      </c>
      <c r="D1068" t="s">
        <v>20</v>
      </c>
      <c r="E1068" t="s">
        <v>1636</v>
      </c>
      <c r="F1068" s="5">
        <v>46200000</v>
      </c>
      <c r="G1068" s="5">
        <v>49200000</v>
      </c>
      <c r="H1068" s="5">
        <f>M1068*26000*1.20565</f>
        <v>50960655.330000006</v>
      </c>
      <c r="I1068" s="5">
        <f>G1068-H1068</f>
        <v>-1760655.3300000057</v>
      </c>
      <c r="J1068" s="5">
        <v>3000000</v>
      </c>
      <c r="K1068" s="5">
        <v>4620000</v>
      </c>
      <c r="L1068" s="5">
        <v>4920000</v>
      </c>
      <c r="M1068" s="7">
        <v>1625.7</v>
      </c>
      <c r="N1068" s="5">
        <v>46700000</v>
      </c>
      <c r="O1068" s="5">
        <v>49700000</v>
      </c>
      <c r="P1068" s="3">
        <v>0.97916666666666663</v>
      </c>
    </row>
    <row r="1069" spans="1:16" x14ac:dyDescent="0.25">
      <c r="A1069" s="2">
        <v>43894</v>
      </c>
      <c r="B1069" s="2">
        <v>43924</v>
      </c>
      <c r="C1069" t="str">
        <f>TEXT(B1069,"mm")</f>
        <v>04</v>
      </c>
      <c r="D1069" t="s">
        <v>21</v>
      </c>
      <c r="E1069" t="s">
        <v>1636</v>
      </c>
      <c r="F1069" s="5">
        <v>46500000</v>
      </c>
      <c r="G1069" s="5">
        <v>49500000</v>
      </c>
      <c r="H1069" s="5">
        <f>M1069*26000*1.20565</f>
        <v>51211430.530000001</v>
      </c>
      <c r="I1069" s="5">
        <f>G1069-H1069</f>
        <v>-1711430.5300000012</v>
      </c>
      <c r="J1069" s="5">
        <v>3000000</v>
      </c>
      <c r="K1069" s="5">
        <v>4650000</v>
      </c>
      <c r="L1069" s="5">
        <v>4950000</v>
      </c>
      <c r="M1069" s="7">
        <v>1633.7</v>
      </c>
      <c r="N1069" s="5">
        <v>47000000</v>
      </c>
      <c r="O1069" s="5">
        <v>50000000</v>
      </c>
      <c r="P1069" s="3">
        <v>0.97916666666666663</v>
      </c>
    </row>
    <row r="1070" spans="1:16" x14ac:dyDescent="0.25">
      <c r="A1070" s="2">
        <v>43986</v>
      </c>
      <c r="B1070" s="2">
        <v>43927</v>
      </c>
      <c r="C1070" t="str">
        <f>TEXT(B1070,"mm")</f>
        <v>04</v>
      </c>
      <c r="D1070" t="s">
        <v>16</v>
      </c>
      <c r="E1070" t="s">
        <v>1636</v>
      </c>
      <c r="F1070" s="5">
        <v>47800000</v>
      </c>
      <c r="G1070" s="5">
        <v>50800000</v>
      </c>
      <c r="H1070" s="5">
        <f>M1070*26000*1.20565</f>
        <v>52568751.300000004</v>
      </c>
      <c r="I1070" s="5">
        <f>G1070-H1070</f>
        <v>-1768751.3000000045</v>
      </c>
      <c r="J1070" s="5">
        <v>3000000</v>
      </c>
      <c r="K1070" s="5">
        <v>4780000</v>
      </c>
      <c r="L1070" s="5">
        <v>5080000</v>
      </c>
      <c r="M1070" s="7">
        <v>1677</v>
      </c>
      <c r="N1070" s="5">
        <v>48300000</v>
      </c>
      <c r="O1070" s="5">
        <v>51300000</v>
      </c>
      <c r="P1070" s="3">
        <v>0.97916666666666663</v>
      </c>
    </row>
    <row r="1071" spans="1:16" x14ac:dyDescent="0.25">
      <c r="A1071" s="2">
        <v>44016</v>
      </c>
      <c r="B1071" s="2">
        <v>43928</v>
      </c>
      <c r="C1071" t="str">
        <f>TEXT(B1071,"mm")</f>
        <v>04</v>
      </c>
      <c r="D1071" t="s">
        <v>18</v>
      </c>
      <c r="E1071" t="s">
        <v>1636</v>
      </c>
      <c r="F1071" s="5">
        <v>47400000</v>
      </c>
      <c r="G1071" s="5">
        <v>50400000</v>
      </c>
      <c r="H1071" s="5">
        <f>M1071*26000*1.20565</f>
        <v>52186319.120000005</v>
      </c>
      <c r="I1071" s="5">
        <f>G1071-H1071</f>
        <v>-1786319.1200000048</v>
      </c>
      <c r="J1071" s="5">
        <v>3000000</v>
      </c>
      <c r="K1071" s="5">
        <v>4740000</v>
      </c>
      <c r="L1071" s="5">
        <v>5040000</v>
      </c>
      <c r="M1071" s="7">
        <v>1664.8</v>
      </c>
      <c r="N1071" s="5">
        <v>47900000</v>
      </c>
      <c r="O1071" s="5">
        <v>50900000</v>
      </c>
      <c r="P1071" s="3">
        <v>0.97916666666666663</v>
      </c>
    </row>
    <row r="1072" spans="1:16" x14ac:dyDescent="0.25">
      <c r="A1072" s="2">
        <v>44047</v>
      </c>
      <c r="B1072" s="2">
        <v>43929</v>
      </c>
      <c r="C1072" t="str">
        <f>TEXT(B1072,"mm")</f>
        <v>04</v>
      </c>
      <c r="D1072" t="s">
        <v>19</v>
      </c>
      <c r="E1072" t="s">
        <v>1636</v>
      </c>
      <c r="F1072" s="5">
        <v>47400000</v>
      </c>
      <c r="G1072" s="5">
        <v>50400000</v>
      </c>
      <c r="H1072" s="5">
        <f>M1072*26000*1.20565</f>
        <v>52205127.260000005</v>
      </c>
      <c r="I1072" s="5">
        <f>G1072-H1072</f>
        <v>-1805127.2600000054</v>
      </c>
      <c r="J1072" s="5">
        <v>3000000</v>
      </c>
      <c r="K1072" s="5">
        <v>4740000</v>
      </c>
      <c r="L1072" s="5">
        <v>5040000</v>
      </c>
      <c r="M1072" s="7">
        <v>1665.4</v>
      </c>
      <c r="N1072" s="5">
        <v>47900000</v>
      </c>
      <c r="O1072" s="5">
        <v>50900000</v>
      </c>
      <c r="P1072" s="3">
        <v>0.97916666666666663</v>
      </c>
    </row>
    <row r="1073" spans="1:16" x14ac:dyDescent="0.25">
      <c r="A1073" s="2">
        <v>44078</v>
      </c>
      <c r="B1073" s="2">
        <v>43930</v>
      </c>
      <c r="C1073" t="str">
        <f>TEXT(B1073,"mm")</f>
        <v>04</v>
      </c>
      <c r="D1073" t="s">
        <v>20</v>
      </c>
      <c r="E1073" t="s">
        <v>1636</v>
      </c>
      <c r="F1073" s="5">
        <v>49600000</v>
      </c>
      <c r="G1073" s="5">
        <v>52600000</v>
      </c>
      <c r="H1073" s="5">
        <f>M1073*26000*1.20565</f>
        <v>54424487.780000009</v>
      </c>
      <c r="I1073" s="5">
        <f>G1073-H1073</f>
        <v>-1824487.7800000086</v>
      </c>
      <c r="J1073" s="5">
        <v>3000000</v>
      </c>
      <c r="K1073" s="5">
        <v>4960000</v>
      </c>
      <c r="L1073" s="5">
        <v>5260000</v>
      </c>
      <c r="M1073" s="7">
        <v>1736.2</v>
      </c>
      <c r="N1073" s="5">
        <v>50100000</v>
      </c>
      <c r="O1073" s="5">
        <v>53100000</v>
      </c>
      <c r="P1073" s="3">
        <v>0.97916666666666663</v>
      </c>
    </row>
    <row r="1074" spans="1:16" x14ac:dyDescent="0.25">
      <c r="A1074" t="s">
        <v>667</v>
      </c>
      <c r="B1074" s="2">
        <v>43934</v>
      </c>
      <c r="C1074" t="str">
        <f>TEXT(B1074,"mm")</f>
        <v>04</v>
      </c>
      <c r="D1074" t="s">
        <v>16</v>
      </c>
      <c r="E1074" t="s">
        <v>1636</v>
      </c>
      <c r="F1074" s="5">
        <v>49800000</v>
      </c>
      <c r="G1074" s="5">
        <v>52800000</v>
      </c>
      <c r="H1074" s="5">
        <f>M1074*26000*1.20565</f>
        <v>54694071.120000005</v>
      </c>
      <c r="I1074" s="5">
        <f>G1074-H1074</f>
        <v>-1894071.1200000048</v>
      </c>
      <c r="J1074" s="5">
        <v>3000000</v>
      </c>
      <c r="K1074" s="5">
        <v>4980000</v>
      </c>
      <c r="L1074" s="5">
        <v>5280000</v>
      </c>
      <c r="M1074" s="7">
        <v>1744.8</v>
      </c>
      <c r="N1074" s="5">
        <v>50300000</v>
      </c>
      <c r="O1074" s="5">
        <v>53300000</v>
      </c>
      <c r="P1074" s="3">
        <v>0.97916666666666663</v>
      </c>
    </row>
    <row r="1075" spans="1:16" x14ac:dyDescent="0.25">
      <c r="A1075" t="s">
        <v>668</v>
      </c>
      <c r="B1075" s="2">
        <v>43935</v>
      </c>
      <c r="C1075" t="str">
        <f>TEXT(B1075,"mm")</f>
        <v>04</v>
      </c>
      <c r="D1075" t="s">
        <v>18</v>
      </c>
      <c r="E1075" t="s">
        <v>1636</v>
      </c>
      <c r="F1075" s="5">
        <v>50200000</v>
      </c>
      <c r="G1075" s="5">
        <v>53200000</v>
      </c>
      <c r="H1075" s="5">
        <f>M1075*26000*1.20565</f>
        <v>55067099.230000004</v>
      </c>
      <c r="I1075" s="5">
        <f>G1075-H1075</f>
        <v>-1867099.2300000042</v>
      </c>
      <c r="J1075" s="5">
        <v>3000000</v>
      </c>
      <c r="K1075" s="5">
        <v>5020000</v>
      </c>
      <c r="L1075" s="5">
        <v>5320000</v>
      </c>
      <c r="M1075" s="7">
        <v>1756.7</v>
      </c>
      <c r="N1075" s="5">
        <v>50700000</v>
      </c>
      <c r="O1075" s="5">
        <v>53700000</v>
      </c>
      <c r="P1075" s="3">
        <v>0.97916666666666663</v>
      </c>
    </row>
    <row r="1076" spans="1:16" x14ac:dyDescent="0.25">
      <c r="A1076" t="s">
        <v>669</v>
      </c>
      <c r="B1076" s="2">
        <v>43936</v>
      </c>
      <c r="C1076" t="str">
        <f>TEXT(B1076,"mm")</f>
        <v>04</v>
      </c>
      <c r="D1076" t="s">
        <v>19</v>
      </c>
      <c r="E1076" t="s">
        <v>1636</v>
      </c>
      <c r="F1076" s="5">
        <v>49300000</v>
      </c>
      <c r="G1076" s="5">
        <v>52300000</v>
      </c>
      <c r="H1076" s="5">
        <f>M1076*26000*1.20565</f>
        <v>54142365.680000007</v>
      </c>
      <c r="I1076" s="5">
        <f>G1076-H1076</f>
        <v>-1842365.6800000072</v>
      </c>
      <c r="J1076" s="5">
        <v>3000000</v>
      </c>
      <c r="K1076" s="5">
        <v>4930000</v>
      </c>
      <c r="L1076" s="5">
        <v>5230000</v>
      </c>
      <c r="M1076" s="7">
        <v>1727.2</v>
      </c>
      <c r="N1076" s="5">
        <v>49800000</v>
      </c>
      <c r="O1076" s="5">
        <v>52800000</v>
      </c>
      <c r="P1076" s="3">
        <v>0.97916666666666663</v>
      </c>
    </row>
    <row r="1077" spans="1:16" x14ac:dyDescent="0.25">
      <c r="A1077" t="s">
        <v>670</v>
      </c>
      <c r="B1077" s="2">
        <v>43937</v>
      </c>
      <c r="C1077" t="str">
        <f>TEXT(B1077,"mm")</f>
        <v>04</v>
      </c>
      <c r="D1077" t="s">
        <v>20</v>
      </c>
      <c r="E1077" t="s">
        <v>1636</v>
      </c>
      <c r="F1077" s="5">
        <v>49100000</v>
      </c>
      <c r="G1077" s="5">
        <v>52100000</v>
      </c>
      <c r="H1077" s="5">
        <f>M1077*26000*1.20565</f>
        <v>53929206.760000005</v>
      </c>
      <c r="I1077" s="5">
        <f>G1077-H1077</f>
        <v>-1829206.7600000054</v>
      </c>
      <c r="J1077" s="5">
        <v>3000000</v>
      </c>
      <c r="K1077" s="5">
        <v>4910000</v>
      </c>
      <c r="L1077" s="5">
        <v>5210000</v>
      </c>
      <c r="M1077" s="7">
        <v>1720.4</v>
      </c>
      <c r="N1077" s="5">
        <v>49600000</v>
      </c>
      <c r="O1077" s="5">
        <v>52600000</v>
      </c>
      <c r="P1077" s="3">
        <v>0.97916666666666663</v>
      </c>
    </row>
    <row r="1078" spans="1:16" x14ac:dyDescent="0.25">
      <c r="A1078" t="s">
        <v>671</v>
      </c>
      <c r="B1078" s="2">
        <v>43938</v>
      </c>
      <c r="C1078" t="str">
        <f>TEXT(B1078,"mm")</f>
        <v>04</v>
      </c>
      <c r="D1078" t="s">
        <v>21</v>
      </c>
      <c r="E1078" t="s">
        <v>1636</v>
      </c>
      <c r="F1078" s="5">
        <v>48100000</v>
      </c>
      <c r="G1078" s="5">
        <v>51100000</v>
      </c>
      <c r="H1078" s="5">
        <f>M1078*26000*1.20565</f>
        <v>52951183.480000004</v>
      </c>
      <c r="I1078" s="5">
        <f>G1078-H1078</f>
        <v>-1851183.4800000042</v>
      </c>
      <c r="J1078" s="5">
        <v>3000000</v>
      </c>
      <c r="K1078" s="5">
        <v>4810000</v>
      </c>
      <c r="L1078" s="5">
        <v>5110000</v>
      </c>
      <c r="M1078" s="7">
        <v>1689.2</v>
      </c>
      <c r="N1078" s="5">
        <v>48600000</v>
      </c>
      <c r="O1078" s="5">
        <v>51600000</v>
      </c>
      <c r="P1078" s="3">
        <v>0.97916666666666663</v>
      </c>
    </row>
    <row r="1079" spans="1:16" x14ac:dyDescent="0.25">
      <c r="A1079" t="s">
        <v>672</v>
      </c>
      <c r="B1079" s="2">
        <v>43941</v>
      </c>
      <c r="C1079" t="str">
        <f>TEXT(B1079,"mm")</f>
        <v>04</v>
      </c>
      <c r="D1079" t="s">
        <v>16</v>
      </c>
      <c r="E1079" t="s">
        <v>1636</v>
      </c>
      <c r="F1079" s="5">
        <v>48500000</v>
      </c>
      <c r="G1079" s="5">
        <v>51500000</v>
      </c>
      <c r="H1079" s="5">
        <f>M1079*26000*1.20565</f>
        <v>53339885.040000007</v>
      </c>
      <c r="I1079" s="5">
        <f>G1079-H1079</f>
        <v>-1839885.0400000066</v>
      </c>
      <c r="J1079" s="5">
        <v>3000000</v>
      </c>
      <c r="K1079" s="5">
        <v>4850000</v>
      </c>
      <c r="L1079" s="5">
        <v>5150000</v>
      </c>
      <c r="M1079" s="7">
        <v>1701.6</v>
      </c>
      <c r="N1079" s="5">
        <v>49000000</v>
      </c>
      <c r="O1079" s="5">
        <v>52000000</v>
      </c>
      <c r="P1079" s="3">
        <v>0.97916666666666663</v>
      </c>
    </row>
    <row r="1080" spans="1:16" x14ac:dyDescent="0.25">
      <c r="A1080" t="s">
        <v>673</v>
      </c>
      <c r="B1080" s="2">
        <v>43942</v>
      </c>
      <c r="C1080" t="str">
        <f>TEXT(B1080,"mm")</f>
        <v>04</v>
      </c>
      <c r="D1080" t="s">
        <v>18</v>
      </c>
      <c r="E1080" t="s">
        <v>1636</v>
      </c>
      <c r="F1080" s="5">
        <v>47800000</v>
      </c>
      <c r="G1080" s="5">
        <v>50800000</v>
      </c>
      <c r="H1080" s="5">
        <f>M1080*26000*1.20565</f>
        <v>52606367.580000006</v>
      </c>
      <c r="I1080" s="5">
        <f>G1080-H1080</f>
        <v>-1806367.5800000057</v>
      </c>
      <c r="J1080" s="5">
        <v>3000000</v>
      </c>
      <c r="K1080" s="5">
        <v>4780000</v>
      </c>
      <c r="L1080" s="5">
        <v>5080000</v>
      </c>
      <c r="M1080" s="7">
        <v>1678.2</v>
      </c>
      <c r="N1080" s="5">
        <v>48300000</v>
      </c>
      <c r="O1080" s="5">
        <v>51300000</v>
      </c>
      <c r="P1080" s="3">
        <v>0.97916666666666663</v>
      </c>
    </row>
    <row r="1081" spans="1:16" x14ac:dyDescent="0.25">
      <c r="A1081" t="s">
        <v>674</v>
      </c>
      <c r="B1081" s="2">
        <v>43943</v>
      </c>
      <c r="C1081" t="str">
        <f>TEXT(B1081,"mm")</f>
        <v>04</v>
      </c>
      <c r="D1081" t="s">
        <v>19</v>
      </c>
      <c r="E1081" t="s">
        <v>1636</v>
      </c>
      <c r="F1081" s="5">
        <v>49300000</v>
      </c>
      <c r="G1081" s="5">
        <v>52300000</v>
      </c>
      <c r="H1081" s="5">
        <f>M1081*26000*1.20565</f>
        <v>54189386.030000009</v>
      </c>
      <c r="I1081" s="5">
        <f>G1081-H1081</f>
        <v>-1889386.0300000086</v>
      </c>
      <c r="J1081" s="5">
        <v>3000000</v>
      </c>
      <c r="K1081" s="5">
        <v>4930000</v>
      </c>
      <c r="L1081" s="5">
        <v>5230000</v>
      </c>
      <c r="M1081" s="7">
        <v>1728.7</v>
      </c>
      <c r="N1081" s="5">
        <v>49800000</v>
      </c>
      <c r="O1081" s="5">
        <v>52800000</v>
      </c>
      <c r="P1081" s="3">
        <v>0.97916666666666663</v>
      </c>
    </row>
    <row r="1082" spans="1:16" x14ac:dyDescent="0.25">
      <c r="A1082" t="s">
        <v>675</v>
      </c>
      <c r="B1082" s="2">
        <v>43944</v>
      </c>
      <c r="C1082" t="str">
        <f>TEXT(B1082,"mm")</f>
        <v>04</v>
      </c>
      <c r="D1082" t="s">
        <v>20</v>
      </c>
      <c r="E1082" t="s">
        <v>1636</v>
      </c>
      <c r="F1082" s="5">
        <v>49500000</v>
      </c>
      <c r="G1082" s="5">
        <v>52500000</v>
      </c>
      <c r="H1082" s="5">
        <f>M1082*26000*1.20565</f>
        <v>54333581.770000003</v>
      </c>
      <c r="I1082" s="5">
        <f>G1082-H1082</f>
        <v>-1833581.7700000033</v>
      </c>
      <c r="J1082" s="5">
        <v>3000000</v>
      </c>
      <c r="K1082" s="5">
        <v>4950000</v>
      </c>
      <c r="L1082" s="5">
        <v>5250000</v>
      </c>
      <c r="M1082" s="7">
        <v>1733.3</v>
      </c>
      <c r="N1082" s="5">
        <v>50000000</v>
      </c>
      <c r="O1082" s="5">
        <v>53000000</v>
      </c>
      <c r="P1082" s="3">
        <v>0.97916666666666663</v>
      </c>
    </row>
    <row r="1083" spans="1:16" x14ac:dyDescent="0.25">
      <c r="A1083" t="s">
        <v>676</v>
      </c>
      <c r="B1083" s="2">
        <v>43945</v>
      </c>
      <c r="C1083" t="str">
        <f>TEXT(B1083,"mm")</f>
        <v>04</v>
      </c>
      <c r="D1083" t="s">
        <v>21</v>
      </c>
      <c r="E1083" t="s">
        <v>1636</v>
      </c>
      <c r="F1083" s="5">
        <v>49200000</v>
      </c>
      <c r="G1083" s="5">
        <v>52200000</v>
      </c>
      <c r="H1083" s="5">
        <f>M1083*26000*1.20565</f>
        <v>54026382.150000006</v>
      </c>
      <c r="I1083" s="5">
        <f>G1083-H1083</f>
        <v>-1826382.150000006</v>
      </c>
      <c r="J1083" s="5">
        <v>3000000</v>
      </c>
      <c r="K1083" s="5">
        <v>4920000</v>
      </c>
      <c r="L1083" s="5">
        <v>5220000</v>
      </c>
      <c r="M1083" s="7">
        <v>1723.5</v>
      </c>
      <c r="N1083" s="5">
        <v>49700000</v>
      </c>
      <c r="O1083" s="5">
        <v>52700000</v>
      </c>
      <c r="P1083" s="3">
        <v>0.97916666666666663</v>
      </c>
    </row>
    <row r="1084" spans="1:16" x14ac:dyDescent="0.25">
      <c r="A1084" t="s">
        <v>677</v>
      </c>
      <c r="B1084" s="2">
        <v>43948</v>
      </c>
      <c r="C1084" t="str">
        <f>TEXT(B1084,"mm")</f>
        <v>04</v>
      </c>
      <c r="D1084" t="s">
        <v>16</v>
      </c>
      <c r="E1084" t="s">
        <v>1636</v>
      </c>
      <c r="F1084" s="5">
        <v>48800000</v>
      </c>
      <c r="G1084" s="5">
        <v>51800000</v>
      </c>
      <c r="H1084" s="5">
        <f>M1084*26000*1.20565</f>
        <v>53662758.110000007</v>
      </c>
      <c r="I1084" s="5">
        <f>G1084-H1084</f>
        <v>-1862758.1100000069</v>
      </c>
      <c r="J1084" s="5">
        <v>3000000</v>
      </c>
      <c r="K1084" s="5">
        <v>4880000</v>
      </c>
      <c r="L1084" s="5">
        <v>5180000</v>
      </c>
      <c r="M1084" s="7">
        <v>1711.9</v>
      </c>
      <c r="N1084" s="5">
        <v>49300000</v>
      </c>
      <c r="O1084" s="5">
        <v>52300000</v>
      </c>
      <c r="P1084" s="3">
        <v>0.97916666666666663</v>
      </c>
    </row>
    <row r="1085" spans="1:16" x14ac:dyDescent="0.25">
      <c r="A1085" t="s">
        <v>678</v>
      </c>
      <c r="B1085" s="2">
        <v>43949</v>
      </c>
      <c r="C1085" t="str">
        <f>TEXT(B1085,"mm")</f>
        <v>04</v>
      </c>
      <c r="D1085" t="s">
        <v>18</v>
      </c>
      <c r="E1085" t="s">
        <v>1636</v>
      </c>
      <c r="F1085" s="5">
        <v>48800000</v>
      </c>
      <c r="G1085" s="5">
        <v>51800000</v>
      </c>
      <c r="H1085" s="5">
        <f>M1085*26000*1.20565</f>
        <v>53618872.450000003</v>
      </c>
      <c r="I1085" s="5">
        <f>G1085-H1085</f>
        <v>-1818872.450000003</v>
      </c>
      <c r="J1085" s="5">
        <v>3000000</v>
      </c>
      <c r="K1085" s="5">
        <v>4880000</v>
      </c>
      <c r="L1085" s="5">
        <v>5180000</v>
      </c>
      <c r="M1085" s="7">
        <v>1710.5</v>
      </c>
      <c r="N1085" s="5">
        <v>49300000</v>
      </c>
      <c r="O1085" s="5">
        <v>52300000</v>
      </c>
      <c r="P1085" s="3">
        <v>0.97916666666666663</v>
      </c>
    </row>
    <row r="1086" spans="1:16" x14ac:dyDescent="0.25">
      <c r="A1086" t="s">
        <v>679</v>
      </c>
      <c r="B1086" s="2">
        <v>43950</v>
      </c>
      <c r="C1086" t="str">
        <f>TEXT(B1086,"mm")</f>
        <v>04</v>
      </c>
      <c r="D1086" t="s">
        <v>19</v>
      </c>
      <c r="E1086" t="s">
        <v>1636</v>
      </c>
      <c r="F1086" s="5">
        <v>48600000</v>
      </c>
      <c r="G1086" s="5">
        <v>51600000</v>
      </c>
      <c r="H1086" s="5">
        <f>M1086*26000*1.20565</f>
        <v>53396309.460000008</v>
      </c>
      <c r="I1086" s="5">
        <f>G1086-H1086</f>
        <v>-1796309.4600000083</v>
      </c>
      <c r="J1086" s="5">
        <v>3000000</v>
      </c>
      <c r="K1086" s="5">
        <v>4860000</v>
      </c>
      <c r="L1086" s="5">
        <v>5160000</v>
      </c>
      <c r="M1086" s="7">
        <v>1703.4</v>
      </c>
      <c r="N1086" s="5">
        <v>49100000</v>
      </c>
      <c r="O1086" s="5">
        <v>52100000</v>
      </c>
      <c r="P1086" s="3">
        <v>0.97916666666666663</v>
      </c>
    </row>
    <row r="1087" spans="1:16" x14ac:dyDescent="0.25">
      <c r="A1087" t="s">
        <v>680</v>
      </c>
      <c r="B1087" s="2">
        <v>43951</v>
      </c>
      <c r="C1087" t="str">
        <f>TEXT(B1087,"mm")</f>
        <v>04</v>
      </c>
      <c r="D1087" t="s">
        <v>20</v>
      </c>
      <c r="E1087" t="s">
        <v>1636</v>
      </c>
      <c r="F1087" s="5">
        <v>48000000</v>
      </c>
      <c r="G1087" s="5">
        <v>51000000</v>
      </c>
      <c r="H1087" s="5">
        <f>M1087*26000*1.20565</f>
        <v>52794448.980000004</v>
      </c>
      <c r="I1087" s="5">
        <f>G1087-H1087</f>
        <v>-1794448.9800000042</v>
      </c>
      <c r="J1087" s="5">
        <v>3000000</v>
      </c>
      <c r="K1087" s="5">
        <v>4800000</v>
      </c>
      <c r="L1087" s="5">
        <v>5100000</v>
      </c>
      <c r="M1087" s="7">
        <v>1684.2</v>
      </c>
      <c r="N1087" s="5">
        <v>48500000</v>
      </c>
      <c r="O1087" s="5">
        <v>51500000</v>
      </c>
      <c r="P1087" s="3">
        <v>0.97916666666666663</v>
      </c>
    </row>
    <row r="1088" spans="1:16" x14ac:dyDescent="0.25">
      <c r="A1088" s="2">
        <v>43835</v>
      </c>
      <c r="B1088" s="2">
        <v>43952</v>
      </c>
      <c r="C1088" t="str">
        <f>TEXT(B1088,"mm")</f>
        <v>05</v>
      </c>
      <c r="D1088" t="s">
        <v>21</v>
      </c>
      <c r="E1088" t="s">
        <v>1636</v>
      </c>
      <c r="F1088" s="5">
        <v>48300000</v>
      </c>
      <c r="G1088" s="5">
        <v>51300000</v>
      </c>
      <c r="H1088" s="5">
        <f>M1088*26000*1.20565</f>
        <v>53117322.050000004</v>
      </c>
      <c r="I1088" s="5">
        <f>G1088-H1088</f>
        <v>-1817322.0500000045</v>
      </c>
      <c r="J1088" s="5">
        <v>3000000</v>
      </c>
      <c r="K1088" s="5">
        <v>4830000</v>
      </c>
      <c r="L1088" s="5">
        <v>5130000</v>
      </c>
      <c r="M1088" s="7">
        <v>1694.5</v>
      </c>
      <c r="N1088" s="5">
        <v>48800000</v>
      </c>
      <c r="O1088" s="5">
        <v>51800000</v>
      </c>
      <c r="P1088" s="3">
        <v>0.97916666666666663</v>
      </c>
    </row>
    <row r="1089" spans="1:16" x14ac:dyDescent="0.25">
      <c r="A1089" s="2">
        <v>43926</v>
      </c>
      <c r="B1089" s="2">
        <v>43955</v>
      </c>
      <c r="C1089" t="str">
        <f>TEXT(B1089,"mm")</f>
        <v>05</v>
      </c>
      <c r="D1089" t="s">
        <v>16</v>
      </c>
      <c r="E1089" t="s">
        <v>1636</v>
      </c>
      <c r="F1089" s="5">
        <v>48700000</v>
      </c>
      <c r="G1089" s="5">
        <v>51700000</v>
      </c>
      <c r="H1089" s="5">
        <f>M1089*26000*1.20565</f>
        <v>53506023.610000007</v>
      </c>
      <c r="I1089" s="5">
        <f>G1089-H1089</f>
        <v>-1806023.6100000069</v>
      </c>
      <c r="J1089" s="5">
        <v>3000000</v>
      </c>
      <c r="K1089" s="5">
        <v>4870000</v>
      </c>
      <c r="L1089" s="5">
        <v>5170000</v>
      </c>
      <c r="M1089" s="7">
        <v>1706.9</v>
      </c>
      <c r="N1089" s="5">
        <v>49200000</v>
      </c>
      <c r="O1089" s="5">
        <v>52200000</v>
      </c>
      <c r="P1089" s="3">
        <v>0.97916666666666663</v>
      </c>
    </row>
    <row r="1090" spans="1:16" x14ac:dyDescent="0.25">
      <c r="A1090" s="2">
        <v>43956</v>
      </c>
      <c r="B1090" s="2">
        <v>43956</v>
      </c>
      <c r="C1090" t="str">
        <f>TEXT(B1090,"mm")</f>
        <v>05</v>
      </c>
      <c r="D1090" t="s">
        <v>18</v>
      </c>
      <c r="E1090" t="s">
        <v>1636</v>
      </c>
      <c r="F1090" s="5">
        <v>48600000</v>
      </c>
      <c r="G1090" s="5">
        <v>51600000</v>
      </c>
      <c r="H1090" s="5">
        <f>M1090*26000*1.20565</f>
        <v>53427656.360000007</v>
      </c>
      <c r="I1090" s="5">
        <f>G1090-H1090</f>
        <v>-1827656.3600000069</v>
      </c>
      <c r="J1090" s="5">
        <v>3000000</v>
      </c>
      <c r="K1090" s="5">
        <v>4860000</v>
      </c>
      <c r="L1090" s="5">
        <v>5160000</v>
      </c>
      <c r="M1090" s="7">
        <v>1704.4</v>
      </c>
      <c r="N1090" s="5">
        <v>49100000</v>
      </c>
      <c r="O1090" s="5">
        <v>52100000</v>
      </c>
      <c r="P1090" s="3">
        <v>0.97916666666666663</v>
      </c>
    </row>
    <row r="1091" spans="1:16" x14ac:dyDescent="0.25">
      <c r="A1091" s="2">
        <v>43987</v>
      </c>
      <c r="B1091" s="2">
        <v>43957</v>
      </c>
      <c r="C1091" t="str">
        <f>TEXT(B1091,"mm")</f>
        <v>05</v>
      </c>
      <c r="D1091" t="s">
        <v>19</v>
      </c>
      <c r="E1091" t="s">
        <v>1636</v>
      </c>
      <c r="F1091" s="5">
        <v>48000000</v>
      </c>
      <c r="G1091" s="5">
        <v>51000000</v>
      </c>
      <c r="H1091" s="5">
        <f>M1091*26000*1.20565</f>
        <v>52794448.980000004</v>
      </c>
      <c r="I1091" s="5">
        <f>G1091-H1091</f>
        <v>-1794448.9800000042</v>
      </c>
      <c r="J1091" s="5">
        <v>3000000</v>
      </c>
      <c r="K1091" s="5">
        <v>4800000</v>
      </c>
      <c r="L1091" s="5">
        <v>5100000</v>
      </c>
      <c r="M1091" s="7">
        <v>1684.2</v>
      </c>
      <c r="N1091" s="5">
        <v>48500000</v>
      </c>
      <c r="O1091" s="5">
        <v>51500000</v>
      </c>
      <c r="P1091" s="3">
        <v>0.97916666666666663</v>
      </c>
    </row>
    <row r="1092" spans="1:16" x14ac:dyDescent="0.25">
      <c r="A1092" s="2">
        <v>44017</v>
      </c>
      <c r="B1092" s="2">
        <v>43958</v>
      </c>
      <c r="C1092" t="str">
        <f>TEXT(B1092,"mm")</f>
        <v>05</v>
      </c>
      <c r="D1092" t="s">
        <v>20</v>
      </c>
      <c r="E1092" t="s">
        <v>1636</v>
      </c>
      <c r="F1092" s="5">
        <v>49100000</v>
      </c>
      <c r="G1092" s="5">
        <v>52100000</v>
      </c>
      <c r="H1092" s="5">
        <f>M1092*26000*1.20565</f>
        <v>53973092.420000002</v>
      </c>
      <c r="I1092" s="5">
        <f>G1092-H1092</f>
        <v>-1873092.4200000018</v>
      </c>
      <c r="J1092" s="5">
        <v>3000000</v>
      </c>
      <c r="K1092" s="5">
        <v>4910000</v>
      </c>
      <c r="L1092" s="5">
        <v>5210000</v>
      </c>
      <c r="M1092" s="7">
        <v>1721.8</v>
      </c>
      <c r="N1092" s="5">
        <v>49600000</v>
      </c>
      <c r="O1092" s="5">
        <v>52600000</v>
      </c>
      <c r="P1092" s="3">
        <v>0.97916666666666663</v>
      </c>
    </row>
    <row r="1093" spans="1:16" x14ac:dyDescent="0.25">
      <c r="A1093" s="2">
        <v>44048</v>
      </c>
      <c r="B1093" s="2">
        <v>43959</v>
      </c>
      <c r="C1093" t="str">
        <f>TEXT(B1093,"mm")</f>
        <v>05</v>
      </c>
      <c r="D1093" t="s">
        <v>21</v>
      </c>
      <c r="E1093" t="s">
        <v>1636</v>
      </c>
      <c r="F1093" s="5">
        <v>48800000</v>
      </c>
      <c r="G1093" s="5">
        <v>51800000</v>
      </c>
      <c r="H1093" s="5">
        <f>M1093*26000*1.20565</f>
        <v>53600064.310000002</v>
      </c>
      <c r="I1093" s="5">
        <f>G1093-H1093</f>
        <v>-1800064.3100000024</v>
      </c>
      <c r="J1093" s="5">
        <v>3000000</v>
      </c>
      <c r="K1093" s="5">
        <v>4880000</v>
      </c>
      <c r="L1093" s="5">
        <v>5180000</v>
      </c>
      <c r="M1093" s="7">
        <v>1709.9</v>
      </c>
      <c r="N1093" s="5">
        <v>49300000</v>
      </c>
      <c r="O1093" s="5">
        <v>52300000</v>
      </c>
      <c r="P1093" s="3">
        <v>0.97916666666666663</v>
      </c>
    </row>
    <row r="1094" spans="1:16" x14ac:dyDescent="0.25">
      <c r="A1094" s="2">
        <v>44140</v>
      </c>
      <c r="B1094" s="2">
        <v>43962</v>
      </c>
      <c r="C1094" t="str">
        <f>TEXT(B1094,"mm")</f>
        <v>05</v>
      </c>
      <c r="D1094" t="s">
        <v>16</v>
      </c>
      <c r="E1094" t="s">
        <v>1636</v>
      </c>
      <c r="F1094" s="5">
        <v>48300000</v>
      </c>
      <c r="G1094" s="5">
        <v>51300000</v>
      </c>
      <c r="H1094" s="5">
        <f>M1094*26000*1.20565</f>
        <v>53142399.570000008</v>
      </c>
      <c r="I1094" s="5">
        <f>G1094-H1094</f>
        <v>-1842399.5700000077</v>
      </c>
      <c r="J1094" s="5">
        <v>3000000</v>
      </c>
      <c r="K1094" s="5">
        <v>4830000</v>
      </c>
      <c r="L1094" s="5">
        <v>5130000</v>
      </c>
      <c r="M1094" s="7">
        <v>1695.3</v>
      </c>
      <c r="N1094" s="5">
        <v>48800000</v>
      </c>
      <c r="O1094" s="5">
        <v>51800000</v>
      </c>
      <c r="P1094" s="3">
        <v>0.97916666666666663</v>
      </c>
    </row>
    <row r="1095" spans="1:16" x14ac:dyDescent="0.25">
      <c r="A1095" s="2">
        <v>44170</v>
      </c>
      <c r="B1095" s="2">
        <v>43963</v>
      </c>
      <c r="C1095" t="str">
        <f>TEXT(B1095,"mm")</f>
        <v>05</v>
      </c>
      <c r="D1095" t="s">
        <v>18</v>
      </c>
      <c r="E1095" t="s">
        <v>1636</v>
      </c>
      <c r="F1095" s="5">
        <v>48600000</v>
      </c>
      <c r="G1095" s="5">
        <v>51600000</v>
      </c>
      <c r="H1095" s="5">
        <f>M1095*26000*1.20565</f>
        <v>53427656.360000007</v>
      </c>
      <c r="I1095" s="5">
        <f>G1095-H1095</f>
        <v>-1827656.3600000069</v>
      </c>
      <c r="J1095" s="5">
        <v>3000000</v>
      </c>
      <c r="K1095" s="5">
        <v>4860000</v>
      </c>
      <c r="L1095" s="5">
        <v>5160000</v>
      </c>
      <c r="M1095" s="7">
        <v>1704.4</v>
      </c>
      <c r="N1095" s="5">
        <v>49100000</v>
      </c>
      <c r="O1095" s="5">
        <v>52100000</v>
      </c>
      <c r="P1095" s="3">
        <v>0.97916666666666663</v>
      </c>
    </row>
    <row r="1096" spans="1:16" x14ac:dyDescent="0.25">
      <c r="A1096" t="s">
        <v>681</v>
      </c>
      <c r="B1096" s="2">
        <v>43964</v>
      </c>
      <c r="C1096" t="str">
        <f>TEXT(B1096,"mm")</f>
        <v>05</v>
      </c>
      <c r="D1096" t="s">
        <v>19</v>
      </c>
      <c r="E1096" t="s">
        <v>1636</v>
      </c>
      <c r="F1096" s="5">
        <v>48900000</v>
      </c>
      <c r="G1096" s="5">
        <v>51900000</v>
      </c>
      <c r="H1096" s="5">
        <f>M1096*26000*1.20565</f>
        <v>53725451.910000004</v>
      </c>
      <c r="I1096" s="5">
        <f>G1096-H1096</f>
        <v>-1825451.9100000039</v>
      </c>
      <c r="J1096" s="5">
        <v>3000000</v>
      </c>
      <c r="K1096" s="5">
        <v>4890000</v>
      </c>
      <c r="L1096" s="5">
        <v>5190000</v>
      </c>
      <c r="M1096" s="7">
        <v>1713.9</v>
      </c>
      <c r="N1096" s="5">
        <v>49400000</v>
      </c>
      <c r="O1096" s="5">
        <v>52400000</v>
      </c>
      <c r="P1096" s="3">
        <v>0.97916666666666663</v>
      </c>
    </row>
    <row r="1097" spans="1:16" x14ac:dyDescent="0.25">
      <c r="A1097" t="s">
        <v>682</v>
      </c>
      <c r="B1097" s="2">
        <v>43965</v>
      </c>
      <c r="C1097" t="str">
        <f>TEXT(B1097,"mm")</f>
        <v>05</v>
      </c>
      <c r="D1097" t="s">
        <v>20</v>
      </c>
      <c r="E1097" t="s">
        <v>1636</v>
      </c>
      <c r="F1097" s="5">
        <v>49600000</v>
      </c>
      <c r="G1097" s="5">
        <v>52600000</v>
      </c>
      <c r="H1097" s="5">
        <f>M1097*26000*1.20565</f>
        <v>54484046.890000008</v>
      </c>
      <c r="I1097" s="5">
        <f>G1097-H1097</f>
        <v>-1884046.890000008</v>
      </c>
      <c r="J1097" s="5">
        <v>3000000</v>
      </c>
      <c r="K1097" s="5">
        <v>4960000</v>
      </c>
      <c r="L1097" s="5">
        <v>5260000</v>
      </c>
      <c r="M1097" s="7">
        <v>1738.1</v>
      </c>
      <c r="N1097" s="5">
        <v>50100000</v>
      </c>
      <c r="O1097" s="5">
        <v>53100000</v>
      </c>
      <c r="P1097" s="3">
        <v>0.97916666666666663</v>
      </c>
    </row>
    <row r="1098" spans="1:16" x14ac:dyDescent="0.25">
      <c r="A1098" t="s">
        <v>683</v>
      </c>
      <c r="B1098" s="2">
        <v>43966</v>
      </c>
      <c r="C1098" t="str">
        <f>TEXT(B1098,"mm")</f>
        <v>05</v>
      </c>
      <c r="D1098" t="s">
        <v>21</v>
      </c>
      <c r="E1098" t="s">
        <v>1636</v>
      </c>
      <c r="F1098" s="5">
        <v>50100000</v>
      </c>
      <c r="G1098" s="5">
        <v>53100000</v>
      </c>
      <c r="H1098" s="5">
        <f>M1098*26000*1.20565</f>
        <v>54963654.460000008</v>
      </c>
      <c r="I1098" s="5">
        <f>G1098-H1098</f>
        <v>-1863654.4600000083</v>
      </c>
      <c r="J1098" s="5">
        <v>3000000</v>
      </c>
      <c r="K1098" s="5">
        <v>5010000</v>
      </c>
      <c r="L1098" s="5">
        <v>5310000</v>
      </c>
      <c r="M1098" s="7">
        <v>1753.4</v>
      </c>
      <c r="N1098" s="5">
        <v>50600000</v>
      </c>
      <c r="O1098" s="5">
        <v>53600000</v>
      </c>
      <c r="P1098" s="3">
        <v>0.97916666666666663</v>
      </c>
    </row>
    <row r="1099" spans="1:16" x14ac:dyDescent="0.25">
      <c r="A1099" t="s">
        <v>684</v>
      </c>
      <c r="B1099" s="2">
        <v>43969</v>
      </c>
      <c r="C1099" t="str">
        <f>TEXT(B1099,"mm")</f>
        <v>05</v>
      </c>
      <c r="D1099" t="s">
        <v>16</v>
      </c>
      <c r="E1099" t="s">
        <v>1636</v>
      </c>
      <c r="F1099" s="5">
        <v>49400000</v>
      </c>
      <c r="G1099" s="5">
        <v>52400000</v>
      </c>
      <c r="H1099" s="5">
        <f>M1099*26000*1.20565</f>
        <v>54286561.420000002</v>
      </c>
      <c r="I1099" s="5">
        <f>G1099-H1099</f>
        <v>-1886561.4200000018</v>
      </c>
      <c r="J1099" s="5">
        <v>3000000</v>
      </c>
      <c r="K1099" s="5">
        <v>4940000</v>
      </c>
      <c r="L1099" s="5">
        <v>5240000</v>
      </c>
      <c r="M1099" s="7">
        <v>1731.8</v>
      </c>
      <c r="N1099" s="5">
        <v>49900000</v>
      </c>
      <c r="O1099" s="5">
        <v>52900000</v>
      </c>
      <c r="P1099" s="3">
        <v>0.97916666666666663</v>
      </c>
    </row>
    <row r="1100" spans="1:16" x14ac:dyDescent="0.25">
      <c r="A1100" t="s">
        <v>685</v>
      </c>
      <c r="B1100" s="2">
        <v>43970</v>
      </c>
      <c r="C1100" t="str">
        <f>TEXT(B1100,"mm")</f>
        <v>05</v>
      </c>
      <c r="D1100" t="s">
        <v>18</v>
      </c>
      <c r="E1100" t="s">
        <v>1636</v>
      </c>
      <c r="F1100" s="5">
        <v>49800000</v>
      </c>
      <c r="G1100" s="5">
        <v>52800000</v>
      </c>
      <c r="H1100" s="5">
        <f>M1100*26000*1.20565</f>
        <v>54675262.980000004</v>
      </c>
      <c r="I1100" s="5">
        <f>G1100-H1100</f>
        <v>-1875262.9800000042</v>
      </c>
      <c r="J1100" s="5">
        <v>3000000</v>
      </c>
      <c r="K1100" s="5">
        <v>4980000</v>
      </c>
      <c r="L1100" s="5">
        <v>5280000</v>
      </c>
      <c r="M1100" s="7">
        <v>1744.2</v>
      </c>
      <c r="N1100" s="5">
        <v>50300000</v>
      </c>
      <c r="O1100" s="5">
        <v>53300000</v>
      </c>
      <c r="P1100" s="3">
        <v>0.97916666666666663</v>
      </c>
    </row>
    <row r="1101" spans="1:16" x14ac:dyDescent="0.25">
      <c r="A1101" t="s">
        <v>686</v>
      </c>
      <c r="B1101" s="2">
        <v>43971</v>
      </c>
      <c r="C1101" t="str">
        <f>TEXT(B1101,"mm")</f>
        <v>05</v>
      </c>
      <c r="D1101" t="s">
        <v>19</v>
      </c>
      <c r="E1101" t="s">
        <v>1636</v>
      </c>
      <c r="F1101" s="5">
        <v>50000000</v>
      </c>
      <c r="G1101" s="5">
        <v>53000000</v>
      </c>
      <c r="H1101" s="5">
        <f>M1101*26000*1.20565</f>
        <v>54875883.140000008</v>
      </c>
      <c r="I1101" s="5">
        <f>G1101-H1101</f>
        <v>-1875883.140000008</v>
      </c>
      <c r="J1101" s="5">
        <v>3000000</v>
      </c>
      <c r="K1101" s="5">
        <v>5000000</v>
      </c>
      <c r="L1101" s="5">
        <v>5300000</v>
      </c>
      <c r="M1101" s="7">
        <v>1750.6</v>
      </c>
      <c r="N1101" s="5">
        <v>50500000</v>
      </c>
      <c r="O1101" s="5">
        <v>53500000</v>
      </c>
      <c r="P1101" s="3">
        <v>0.97916666666666663</v>
      </c>
    </row>
    <row r="1102" spans="1:16" x14ac:dyDescent="0.25">
      <c r="A1102" t="s">
        <v>687</v>
      </c>
      <c r="B1102" s="2">
        <v>43972</v>
      </c>
      <c r="C1102" t="str">
        <f>TEXT(B1102,"mm")</f>
        <v>05</v>
      </c>
      <c r="D1102" t="s">
        <v>20</v>
      </c>
      <c r="E1102" t="s">
        <v>1636</v>
      </c>
      <c r="F1102" s="5">
        <v>49100000</v>
      </c>
      <c r="G1102" s="5">
        <v>52100000</v>
      </c>
      <c r="H1102" s="5">
        <f>M1102*26000*1.20565</f>
        <v>53932341.450000003</v>
      </c>
      <c r="I1102" s="5">
        <f>G1102-H1102</f>
        <v>-1832341.450000003</v>
      </c>
      <c r="J1102" s="5">
        <v>3000000</v>
      </c>
      <c r="K1102" s="5">
        <v>4910000</v>
      </c>
      <c r="L1102" s="5">
        <v>5210000</v>
      </c>
      <c r="M1102" s="7">
        <v>1720.5</v>
      </c>
      <c r="N1102" s="5">
        <v>49600000</v>
      </c>
      <c r="O1102" s="5">
        <v>52600000</v>
      </c>
      <c r="P1102" s="3">
        <v>0.97916666666666663</v>
      </c>
    </row>
    <row r="1103" spans="1:16" x14ac:dyDescent="0.25">
      <c r="A1103" t="s">
        <v>688</v>
      </c>
      <c r="B1103" s="2">
        <v>43973</v>
      </c>
      <c r="C1103" t="str">
        <f>TEXT(B1103,"mm")</f>
        <v>05</v>
      </c>
      <c r="D1103" t="s">
        <v>21</v>
      </c>
      <c r="E1103" t="s">
        <v>1636</v>
      </c>
      <c r="F1103" s="5">
        <v>49500000</v>
      </c>
      <c r="G1103" s="5">
        <v>52500000</v>
      </c>
      <c r="H1103" s="5">
        <f>M1103*26000*1.20565</f>
        <v>54374332.740000002</v>
      </c>
      <c r="I1103" s="5">
        <f>G1103-H1103</f>
        <v>-1874332.7400000021</v>
      </c>
      <c r="J1103" s="5">
        <v>3000000</v>
      </c>
      <c r="K1103" s="5">
        <v>4950000</v>
      </c>
      <c r="L1103" s="5">
        <v>5250000</v>
      </c>
      <c r="M1103" s="7">
        <v>1734.6</v>
      </c>
      <c r="N1103" s="5">
        <v>50000000</v>
      </c>
      <c r="O1103" s="5">
        <v>53000000</v>
      </c>
      <c r="P1103" s="3">
        <v>0.97916666666666663</v>
      </c>
    </row>
    <row r="1104" spans="1:16" x14ac:dyDescent="0.25">
      <c r="A1104" t="s">
        <v>689</v>
      </c>
      <c r="B1104" s="2">
        <v>43977</v>
      </c>
      <c r="C1104" t="str">
        <f>TEXT(B1104,"mm")</f>
        <v>05</v>
      </c>
      <c r="D1104" t="s">
        <v>18</v>
      </c>
      <c r="E1104" t="s">
        <v>1636</v>
      </c>
      <c r="F1104" s="5">
        <v>48600000</v>
      </c>
      <c r="G1104" s="5">
        <v>51600000</v>
      </c>
      <c r="H1104" s="5">
        <f>M1104*26000*1.20565</f>
        <v>53440195.120000005</v>
      </c>
      <c r="I1104" s="5">
        <f>G1104-H1104</f>
        <v>-1840195.1200000048</v>
      </c>
      <c r="J1104" s="5">
        <v>3000000</v>
      </c>
      <c r="K1104" s="5">
        <v>4860000</v>
      </c>
      <c r="L1104" s="5">
        <v>5160000</v>
      </c>
      <c r="M1104" s="7">
        <v>1704.8</v>
      </c>
      <c r="N1104" s="5">
        <v>49100000</v>
      </c>
      <c r="O1104" s="5">
        <v>52100000</v>
      </c>
      <c r="P1104" s="3">
        <v>0.97916666666666663</v>
      </c>
    </row>
    <row r="1105" spans="1:16" x14ac:dyDescent="0.25">
      <c r="A1105" t="s">
        <v>690</v>
      </c>
      <c r="B1105" s="2">
        <v>43978</v>
      </c>
      <c r="C1105" t="str">
        <f>TEXT(B1105,"mm")</f>
        <v>05</v>
      </c>
      <c r="D1105" t="s">
        <v>19</v>
      </c>
      <c r="E1105" t="s">
        <v>1636</v>
      </c>
      <c r="F1105" s="5">
        <v>48800000</v>
      </c>
      <c r="G1105" s="5">
        <v>51800000</v>
      </c>
      <c r="H1105" s="5">
        <f>M1105*26000*1.20565</f>
        <v>53612603.070000008</v>
      </c>
      <c r="I1105" s="5">
        <f>G1105-H1105</f>
        <v>-1812603.0700000077</v>
      </c>
      <c r="J1105" s="5">
        <v>3000000</v>
      </c>
      <c r="K1105" s="5">
        <v>4880000</v>
      </c>
      <c r="L1105" s="5">
        <v>5180000</v>
      </c>
      <c r="M1105" s="7">
        <v>1710.3</v>
      </c>
      <c r="N1105" s="5">
        <v>49300000</v>
      </c>
      <c r="O1105" s="5">
        <v>52300000</v>
      </c>
      <c r="P1105" s="3">
        <v>0.97916666666666663</v>
      </c>
    </row>
    <row r="1106" spans="1:16" x14ac:dyDescent="0.25">
      <c r="A1106" t="s">
        <v>691</v>
      </c>
      <c r="B1106" s="2">
        <v>43979</v>
      </c>
      <c r="C1106" t="str">
        <f>TEXT(B1106,"mm")</f>
        <v>05</v>
      </c>
      <c r="D1106" t="s">
        <v>20</v>
      </c>
      <c r="E1106" t="s">
        <v>1636</v>
      </c>
      <c r="F1106" s="5">
        <v>48900000</v>
      </c>
      <c r="G1106" s="5">
        <v>51900000</v>
      </c>
      <c r="H1106" s="5">
        <f>M1106*26000*1.20565</f>
        <v>53706643.770000003</v>
      </c>
      <c r="I1106" s="5">
        <f>G1106-H1106</f>
        <v>-1806643.7700000033</v>
      </c>
      <c r="J1106" s="5">
        <v>3000000</v>
      </c>
      <c r="K1106" s="5">
        <v>4890000</v>
      </c>
      <c r="L1106" s="5">
        <v>5190000</v>
      </c>
      <c r="M1106" s="7">
        <v>1713.3</v>
      </c>
      <c r="N1106" s="5">
        <v>49400000</v>
      </c>
      <c r="O1106" s="5">
        <v>52400000</v>
      </c>
      <c r="P1106" s="3">
        <v>0.97916666666666663</v>
      </c>
    </row>
    <row r="1107" spans="1:16" x14ac:dyDescent="0.25">
      <c r="A1107" t="s">
        <v>692</v>
      </c>
      <c r="B1107" s="2">
        <v>43980</v>
      </c>
      <c r="C1107" t="str">
        <f>TEXT(B1107,"mm")</f>
        <v>05</v>
      </c>
      <c r="D1107" t="s">
        <v>21</v>
      </c>
      <c r="E1107" t="s">
        <v>1636</v>
      </c>
      <c r="F1107" s="5">
        <v>49600000</v>
      </c>
      <c r="G1107" s="5">
        <v>52600000</v>
      </c>
      <c r="H1107" s="5">
        <f>M1107*26000*1.20565</f>
        <v>54446430.610000007</v>
      </c>
      <c r="I1107" s="5">
        <f>G1107-H1107</f>
        <v>-1846430.6100000069</v>
      </c>
      <c r="J1107" s="5">
        <v>3000000</v>
      </c>
      <c r="K1107" s="5">
        <v>4960000</v>
      </c>
      <c r="L1107" s="5">
        <v>5260000</v>
      </c>
      <c r="M1107" s="7">
        <v>1736.9</v>
      </c>
      <c r="N1107" s="5">
        <v>50100000</v>
      </c>
      <c r="O1107" s="5">
        <v>53100000</v>
      </c>
      <c r="P1107" s="3">
        <v>0.97916666666666663</v>
      </c>
    </row>
    <row r="1108" spans="1:16" x14ac:dyDescent="0.25">
      <c r="A1108" s="2">
        <v>43836</v>
      </c>
      <c r="B1108" s="2">
        <v>43983</v>
      </c>
      <c r="C1108" t="str">
        <f>TEXT(B1108,"mm")</f>
        <v>06</v>
      </c>
      <c r="D1108" t="s">
        <v>16</v>
      </c>
      <c r="E1108" t="s">
        <v>1636</v>
      </c>
      <c r="F1108" s="5">
        <v>49600000</v>
      </c>
      <c r="G1108" s="5">
        <v>52600000</v>
      </c>
      <c r="H1108" s="5">
        <f>M1108*26000*1.20565</f>
        <v>54474642.820000008</v>
      </c>
      <c r="I1108" s="5">
        <f>G1108-H1108</f>
        <v>-1874642.8200000077</v>
      </c>
      <c r="J1108" s="5">
        <v>3000000</v>
      </c>
      <c r="K1108" s="5">
        <v>4960000</v>
      </c>
      <c r="L1108" s="5">
        <v>5260000</v>
      </c>
      <c r="M1108" s="7">
        <v>1737.8</v>
      </c>
      <c r="N1108" s="5">
        <v>50100000</v>
      </c>
      <c r="O1108" s="5">
        <v>53100000</v>
      </c>
      <c r="P1108" s="3">
        <v>0.97916666666666663</v>
      </c>
    </row>
    <row r="1109" spans="1:16" x14ac:dyDescent="0.25">
      <c r="A1109" s="2">
        <v>43867</v>
      </c>
      <c r="B1109" s="2">
        <v>43984</v>
      </c>
      <c r="C1109" t="str">
        <f>TEXT(B1109,"mm")</f>
        <v>06</v>
      </c>
      <c r="D1109" t="s">
        <v>18</v>
      </c>
      <c r="E1109" t="s">
        <v>1636</v>
      </c>
      <c r="F1109" s="5">
        <v>49200000</v>
      </c>
      <c r="G1109" s="5">
        <v>52200000</v>
      </c>
      <c r="H1109" s="5">
        <f>M1109*26000*1.20565</f>
        <v>54079671.880000003</v>
      </c>
      <c r="I1109" s="5">
        <f>G1109-H1109</f>
        <v>-1879671.8800000027</v>
      </c>
      <c r="J1109" s="5">
        <v>3000000</v>
      </c>
      <c r="K1109" s="5">
        <v>4920000</v>
      </c>
      <c r="L1109" s="5">
        <v>5220000</v>
      </c>
      <c r="M1109" s="7">
        <v>1725.2</v>
      </c>
      <c r="N1109" s="5">
        <v>49700000</v>
      </c>
      <c r="O1109" s="5">
        <v>52700000</v>
      </c>
      <c r="P1109" s="3">
        <v>0.97916666666666663</v>
      </c>
    </row>
    <row r="1110" spans="1:16" x14ac:dyDescent="0.25">
      <c r="A1110" s="2">
        <v>43896</v>
      </c>
      <c r="B1110" s="2">
        <v>43985</v>
      </c>
      <c r="C1110" t="str">
        <f>TEXT(B1110,"mm")</f>
        <v>06</v>
      </c>
      <c r="D1110" t="s">
        <v>19</v>
      </c>
      <c r="E1110" t="s">
        <v>1636</v>
      </c>
      <c r="F1110" s="5">
        <v>48400000</v>
      </c>
      <c r="G1110" s="5">
        <v>51400000</v>
      </c>
      <c r="H1110" s="5">
        <f>M1110*26000*1.20565</f>
        <v>53220766.820000008</v>
      </c>
      <c r="I1110" s="5">
        <f>G1110-H1110</f>
        <v>-1820766.8200000077</v>
      </c>
      <c r="J1110" s="5">
        <v>3000000</v>
      </c>
      <c r="K1110" s="5">
        <v>4840000</v>
      </c>
      <c r="L1110" s="5">
        <v>5140000</v>
      </c>
      <c r="M1110" s="7">
        <v>1697.8</v>
      </c>
      <c r="N1110" s="5">
        <v>48900000</v>
      </c>
      <c r="O1110" s="5">
        <v>51900000</v>
      </c>
      <c r="P1110" s="3">
        <v>0.97916666666666663</v>
      </c>
    </row>
    <row r="1111" spans="1:16" x14ac:dyDescent="0.25">
      <c r="A1111" s="2">
        <v>43927</v>
      </c>
      <c r="B1111" s="2">
        <v>43986</v>
      </c>
      <c r="C1111" t="str">
        <f>TEXT(B1111,"mm")</f>
        <v>06</v>
      </c>
      <c r="D1111" t="s">
        <v>20</v>
      </c>
      <c r="E1111" t="s">
        <v>1636</v>
      </c>
      <c r="F1111" s="5">
        <v>49000000</v>
      </c>
      <c r="G1111" s="5">
        <v>52000000</v>
      </c>
      <c r="H1111" s="5">
        <f>M1111*26000*1.20565</f>
        <v>53882186.410000004</v>
      </c>
      <c r="I1111" s="5">
        <f>G1111-H1111</f>
        <v>-1882186.4100000039</v>
      </c>
      <c r="J1111" s="5">
        <v>3000000</v>
      </c>
      <c r="K1111" s="5">
        <v>4900000</v>
      </c>
      <c r="L1111" s="5">
        <v>5200000</v>
      </c>
      <c r="M1111" s="7">
        <v>1718.9</v>
      </c>
      <c r="N1111" s="5">
        <v>49500000</v>
      </c>
      <c r="O1111" s="5">
        <v>52500000</v>
      </c>
      <c r="P1111" s="3">
        <v>0.97916666666666663</v>
      </c>
    </row>
    <row r="1112" spans="1:16" x14ac:dyDescent="0.25">
      <c r="A1112" s="2">
        <v>43957</v>
      </c>
      <c r="B1112" s="2">
        <v>43987</v>
      </c>
      <c r="C1112" t="str">
        <f>TEXT(B1112,"mm")</f>
        <v>06</v>
      </c>
      <c r="D1112" t="s">
        <v>21</v>
      </c>
      <c r="E1112" t="s">
        <v>1636</v>
      </c>
      <c r="F1112" s="5">
        <v>47700000</v>
      </c>
      <c r="G1112" s="5">
        <v>50700000</v>
      </c>
      <c r="H1112" s="5">
        <f>M1112*26000*1.20565</f>
        <v>52543673.780000001</v>
      </c>
      <c r="I1112" s="5">
        <f>G1112-H1112</f>
        <v>-1843673.7800000012</v>
      </c>
      <c r="J1112" s="5">
        <v>3000000</v>
      </c>
      <c r="K1112" s="5">
        <v>4770000</v>
      </c>
      <c r="L1112" s="5">
        <v>5070000</v>
      </c>
      <c r="M1112" s="7">
        <v>1676.2</v>
      </c>
      <c r="N1112" s="5">
        <v>48200000</v>
      </c>
      <c r="O1112" s="5">
        <v>51200000</v>
      </c>
      <c r="P1112" s="3">
        <v>0.97916666666666663</v>
      </c>
    </row>
    <row r="1113" spans="1:16" x14ac:dyDescent="0.25">
      <c r="A1113" s="2">
        <v>44049</v>
      </c>
      <c r="B1113" s="2">
        <v>43990</v>
      </c>
      <c r="C1113" t="str">
        <f>TEXT(B1113,"mm")</f>
        <v>06</v>
      </c>
      <c r="D1113" t="s">
        <v>16</v>
      </c>
      <c r="E1113" t="s">
        <v>1636</v>
      </c>
      <c r="F1113" s="5">
        <v>48400000</v>
      </c>
      <c r="G1113" s="5">
        <v>51400000</v>
      </c>
      <c r="H1113" s="5">
        <f>M1113*26000*1.20565</f>
        <v>53236440.270000003</v>
      </c>
      <c r="I1113" s="5">
        <f>G1113-H1113</f>
        <v>-1836440.2700000033</v>
      </c>
      <c r="J1113" s="5">
        <v>3000000</v>
      </c>
      <c r="K1113" s="5">
        <v>4840000</v>
      </c>
      <c r="L1113" s="5">
        <v>5140000</v>
      </c>
      <c r="M1113" s="7">
        <v>1698.3</v>
      </c>
      <c r="N1113" s="5">
        <v>48900000</v>
      </c>
      <c r="O1113" s="5">
        <v>51900000</v>
      </c>
      <c r="P1113" s="3">
        <v>0.97916666666666663</v>
      </c>
    </row>
    <row r="1114" spans="1:16" x14ac:dyDescent="0.25">
      <c r="A1114" s="2">
        <v>44080</v>
      </c>
      <c r="B1114" s="2">
        <v>43991</v>
      </c>
      <c r="C1114" t="str">
        <f>TEXT(B1114,"mm")</f>
        <v>06</v>
      </c>
      <c r="D1114" t="s">
        <v>18</v>
      </c>
      <c r="E1114" t="s">
        <v>1636</v>
      </c>
      <c r="F1114" s="5">
        <v>48900000</v>
      </c>
      <c r="G1114" s="5">
        <v>51900000</v>
      </c>
      <c r="H1114" s="5">
        <f>M1114*26000*1.20565</f>
        <v>53750529.430000007</v>
      </c>
      <c r="I1114" s="5">
        <f>G1114-H1114</f>
        <v>-1850529.4300000072</v>
      </c>
      <c r="J1114" s="5">
        <v>3000000</v>
      </c>
      <c r="K1114" s="5">
        <v>4890000</v>
      </c>
      <c r="L1114" s="5">
        <v>5190000</v>
      </c>
      <c r="M1114" s="7">
        <v>1714.7</v>
      </c>
      <c r="N1114" s="5">
        <v>49400000</v>
      </c>
      <c r="O1114" s="5">
        <v>52400000</v>
      </c>
      <c r="P1114" s="3">
        <v>0.97916666666666663</v>
      </c>
    </row>
    <row r="1115" spans="1:16" x14ac:dyDescent="0.25">
      <c r="A1115" s="2">
        <v>44110</v>
      </c>
      <c r="B1115" s="2">
        <v>43992</v>
      </c>
      <c r="C1115" t="str">
        <f>TEXT(B1115,"mm")</f>
        <v>06</v>
      </c>
      <c r="D1115" t="s">
        <v>19</v>
      </c>
      <c r="E1115" t="s">
        <v>1636</v>
      </c>
      <c r="F1115" s="5">
        <v>48900000</v>
      </c>
      <c r="G1115" s="5">
        <v>51900000</v>
      </c>
      <c r="H1115" s="5">
        <f>M1115*26000*1.20565</f>
        <v>53706643.770000003</v>
      </c>
      <c r="I1115" s="5">
        <f>G1115-H1115</f>
        <v>-1806643.7700000033</v>
      </c>
      <c r="J1115" s="5">
        <v>3000000</v>
      </c>
      <c r="K1115" s="5">
        <v>4890000</v>
      </c>
      <c r="L1115" s="5">
        <v>5190000</v>
      </c>
      <c r="M1115" s="7">
        <v>1713.3</v>
      </c>
      <c r="N1115" s="5">
        <v>49400000</v>
      </c>
      <c r="O1115" s="5">
        <v>52400000</v>
      </c>
      <c r="P1115" s="3">
        <v>0.97916666666666663</v>
      </c>
    </row>
    <row r="1116" spans="1:16" x14ac:dyDescent="0.25">
      <c r="A1116" s="2">
        <v>44141</v>
      </c>
      <c r="B1116" s="2">
        <v>43993</v>
      </c>
      <c r="C1116" t="str">
        <f>TEXT(B1116,"mm")</f>
        <v>06</v>
      </c>
      <c r="D1116" t="s">
        <v>20</v>
      </c>
      <c r="E1116" t="s">
        <v>1636</v>
      </c>
      <c r="F1116" s="5">
        <v>49400000</v>
      </c>
      <c r="G1116" s="5">
        <v>52400000</v>
      </c>
      <c r="H1116" s="5">
        <f>M1116*26000*1.20565</f>
        <v>54292830.800000004</v>
      </c>
      <c r="I1116" s="5">
        <f>G1116-H1116</f>
        <v>-1892830.8000000045</v>
      </c>
      <c r="J1116" s="5">
        <v>3000000</v>
      </c>
      <c r="K1116" s="5">
        <v>4940000</v>
      </c>
      <c r="L1116" s="5">
        <v>5240000</v>
      </c>
      <c r="M1116" s="7">
        <v>1732</v>
      </c>
      <c r="N1116" s="5">
        <v>49900000</v>
      </c>
      <c r="O1116" s="5">
        <v>52900000</v>
      </c>
      <c r="P1116" s="3">
        <v>0.97916666666666663</v>
      </c>
    </row>
    <row r="1117" spans="1:16" x14ac:dyDescent="0.25">
      <c r="A1117" s="2">
        <v>44171</v>
      </c>
      <c r="B1117" s="2">
        <v>43994</v>
      </c>
      <c r="C1117" t="str">
        <f>TEXT(B1117,"mm")</f>
        <v>06</v>
      </c>
      <c r="D1117" t="s">
        <v>21</v>
      </c>
      <c r="E1117" t="s">
        <v>1636</v>
      </c>
      <c r="F1117" s="5">
        <v>49400000</v>
      </c>
      <c r="G1117" s="5">
        <v>52400000</v>
      </c>
      <c r="H1117" s="5">
        <f>M1117*26000*1.20565</f>
        <v>54208194.170000002</v>
      </c>
      <c r="I1117" s="5">
        <f>G1117-H1117</f>
        <v>-1808194.1700000018</v>
      </c>
      <c r="J1117" s="5">
        <v>3000000</v>
      </c>
      <c r="K1117" s="5">
        <v>4940000</v>
      </c>
      <c r="L1117" s="5">
        <v>5240000</v>
      </c>
      <c r="M1117" s="7">
        <v>1729.3</v>
      </c>
      <c r="N1117" s="5">
        <v>49900000</v>
      </c>
      <c r="O1117" s="5">
        <v>52900000</v>
      </c>
      <c r="P1117" s="3">
        <v>0.97916666666666663</v>
      </c>
    </row>
    <row r="1118" spans="1:16" x14ac:dyDescent="0.25">
      <c r="A1118" t="s">
        <v>693</v>
      </c>
      <c r="B1118" s="2">
        <v>43997</v>
      </c>
      <c r="C1118" t="str">
        <f>TEXT(B1118,"mm")</f>
        <v>06</v>
      </c>
      <c r="D1118" t="s">
        <v>16</v>
      </c>
      <c r="E1118" t="s">
        <v>1636</v>
      </c>
      <c r="F1118" s="5">
        <v>49100000</v>
      </c>
      <c r="G1118" s="5">
        <v>52100000</v>
      </c>
      <c r="H1118" s="5">
        <f>M1118*26000*1.20565</f>
        <v>53926072.070000008</v>
      </c>
      <c r="I1118" s="5">
        <f>G1118-H1118</f>
        <v>-1826072.0700000077</v>
      </c>
      <c r="J1118" s="5">
        <v>3000000</v>
      </c>
      <c r="K1118" s="5">
        <v>4910000</v>
      </c>
      <c r="L1118" s="5">
        <v>5210000</v>
      </c>
      <c r="M1118" s="7">
        <v>1720.3</v>
      </c>
      <c r="N1118" s="5">
        <v>49600000</v>
      </c>
      <c r="O1118" s="5">
        <v>52600000</v>
      </c>
      <c r="P1118" s="3">
        <v>0.97916666666666663</v>
      </c>
    </row>
    <row r="1119" spans="1:16" x14ac:dyDescent="0.25">
      <c r="A1119" t="s">
        <v>694</v>
      </c>
      <c r="B1119" s="2">
        <v>43998</v>
      </c>
      <c r="C1119" t="str">
        <f>TEXT(B1119,"mm")</f>
        <v>06</v>
      </c>
      <c r="D1119" t="s">
        <v>18</v>
      </c>
      <c r="E1119" t="s">
        <v>1636</v>
      </c>
      <c r="F1119" s="5">
        <v>49400000</v>
      </c>
      <c r="G1119" s="5">
        <v>52400000</v>
      </c>
      <c r="H1119" s="5">
        <f>M1119*26000*1.20565</f>
        <v>54217598.240000002</v>
      </c>
      <c r="I1119" s="5">
        <f>G1119-H1119</f>
        <v>-1817598.2400000021</v>
      </c>
      <c r="J1119" s="5">
        <v>3000000</v>
      </c>
      <c r="K1119" s="5">
        <v>4940000</v>
      </c>
      <c r="L1119" s="5">
        <v>5240000</v>
      </c>
      <c r="M1119" s="7">
        <v>1729.6</v>
      </c>
      <c r="N1119" s="5">
        <v>49900000</v>
      </c>
      <c r="O1119" s="5">
        <v>52900000</v>
      </c>
      <c r="P1119" s="3">
        <v>0.97916666666666663</v>
      </c>
    </row>
    <row r="1120" spans="1:16" x14ac:dyDescent="0.25">
      <c r="A1120" t="s">
        <v>695</v>
      </c>
      <c r="B1120" s="2">
        <v>43999</v>
      </c>
      <c r="C1120" t="str">
        <f>TEXT(B1120,"mm")</f>
        <v>06</v>
      </c>
      <c r="D1120" t="s">
        <v>19</v>
      </c>
      <c r="E1120" t="s">
        <v>1636</v>
      </c>
      <c r="F1120" s="5">
        <v>49300000</v>
      </c>
      <c r="G1120" s="5">
        <v>52300000</v>
      </c>
      <c r="H1120" s="5">
        <f>M1120*26000*1.20565</f>
        <v>54205059.480000004</v>
      </c>
      <c r="I1120" s="5">
        <f>G1120-H1120</f>
        <v>-1905059.4800000042</v>
      </c>
      <c r="J1120" s="5">
        <v>3000000</v>
      </c>
      <c r="K1120" s="5">
        <v>4930000</v>
      </c>
      <c r="L1120" s="5">
        <v>5230000</v>
      </c>
      <c r="M1120" s="7">
        <v>1729.2</v>
      </c>
      <c r="N1120" s="5">
        <v>49800000</v>
      </c>
      <c r="O1120" s="5">
        <v>52800000</v>
      </c>
      <c r="P1120" s="3">
        <v>0.97916666666666663</v>
      </c>
    </row>
    <row r="1121" spans="1:16" x14ac:dyDescent="0.25">
      <c r="A1121" t="s">
        <v>696</v>
      </c>
      <c r="B1121" s="2">
        <v>44000</v>
      </c>
      <c r="C1121" t="str">
        <f>TEXT(B1121,"mm")</f>
        <v>06</v>
      </c>
      <c r="D1121" t="s">
        <v>20</v>
      </c>
      <c r="E1121" t="s">
        <v>1636</v>
      </c>
      <c r="F1121" s="5">
        <v>49200000</v>
      </c>
      <c r="G1121" s="5">
        <v>52200000</v>
      </c>
      <c r="H1121" s="5">
        <f>M1121*26000*1.20565</f>
        <v>54067133.120000005</v>
      </c>
      <c r="I1121" s="5">
        <f>G1121-H1121</f>
        <v>-1867133.1200000048</v>
      </c>
      <c r="J1121" s="5">
        <v>3000000</v>
      </c>
      <c r="K1121" s="5">
        <v>4920000</v>
      </c>
      <c r="L1121" s="5">
        <v>5220000</v>
      </c>
      <c r="M1121" s="7">
        <v>1724.8</v>
      </c>
      <c r="N1121" s="5">
        <v>49700000</v>
      </c>
      <c r="O1121" s="5">
        <v>52700000</v>
      </c>
      <c r="P1121" s="3">
        <v>0.97916666666666663</v>
      </c>
    </row>
    <row r="1122" spans="1:16" x14ac:dyDescent="0.25">
      <c r="A1122" t="s">
        <v>697</v>
      </c>
      <c r="B1122" s="2">
        <v>44001</v>
      </c>
      <c r="C1122" t="str">
        <f>TEXT(B1122,"mm")</f>
        <v>06</v>
      </c>
      <c r="D1122" t="s">
        <v>21</v>
      </c>
      <c r="E1122" t="s">
        <v>1636</v>
      </c>
      <c r="F1122" s="5">
        <v>49900000</v>
      </c>
      <c r="G1122" s="5">
        <v>52900000</v>
      </c>
      <c r="H1122" s="5">
        <f>M1122*26000*1.20565</f>
        <v>54728552.710000008</v>
      </c>
      <c r="I1122" s="5">
        <f>G1122-H1122</f>
        <v>-1828552.7100000083</v>
      </c>
      <c r="J1122" s="5">
        <v>3000000</v>
      </c>
      <c r="K1122" s="5">
        <v>4990000</v>
      </c>
      <c r="L1122" s="5">
        <v>5290000</v>
      </c>
      <c r="M1122" s="7">
        <v>1745.9</v>
      </c>
      <c r="N1122" s="5">
        <v>50400000</v>
      </c>
      <c r="O1122" s="5">
        <v>53400000</v>
      </c>
      <c r="P1122" s="3">
        <v>0.97916666666666663</v>
      </c>
    </row>
    <row r="1123" spans="1:16" x14ac:dyDescent="0.25">
      <c r="A1123" t="s">
        <v>698</v>
      </c>
      <c r="B1123" s="2">
        <v>44004</v>
      </c>
      <c r="C1123" t="str">
        <f>TEXT(B1123,"mm")</f>
        <v>06</v>
      </c>
      <c r="D1123" t="s">
        <v>16</v>
      </c>
      <c r="E1123" t="s">
        <v>1636</v>
      </c>
      <c r="F1123" s="5">
        <v>50200000</v>
      </c>
      <c r="G1123" s="5">
        <v>53200000</v>
      </c>
      <c r="H1123" s="5">
        <f>M1123*26000*1.20565</f>
        <v>55067099.230000004</v>
      </c>
      <c r="I1123" s="5">
        <f>G1123-H1123</f>
        <v>-1867099.2300000042</v>
      </c>
      <c r="J1123" s="5">
        <v>3000000</v>
      </c>
      <c r="K1123" s="5">
        <v>5020000</v>
      </c>
      <c r="L1123" s="5">
        <v>5320000</v>
      </c>
      <c r="M1123" s="7">
        <v>1756.7</v>
      </c>
      <c r="N1123" s="5">
        <v>50700000</v>
      </c>
      <c r="O1123" s="5">
        <v>53700000</v>
      </c>
      <c r="P1123" s="3">
        <v>0.97916666666666663</v>
      </c>
    </row>
    <row r="1124" spans="1:16" x14ac:dyDescent="0.25">
      <c r="A1124" t="s">
        <v>699</v>
      </c>
      <c r="B1124" s="2">
        <v>44005</v>
      </c>
      <c r="C1124" t="str">
        <f>TEXT(B1124,"mm")</f>
        <v>06</v>
      </c>
      <c r="D1124" t="s">
        <v>18</v>
      </c>
      <c r="E1124" t="s">
        <v>1636</v>
      </c>
      <c r="F1124" s="5">
        <v>50600000</v>
      </c>
      <c r="G1124" s="5">
        <v>53600000</v>
      </c>
      <c r="H1124" s="5">
        <f>M1124*26000*1.20565</f>
        <v>55549841.490000002</v>
      </c>
      <c r="I1124" s="5">
        <f>G1124-H1124</f>
        <v>-1949841.4900000021</v>
      </c>
      <c r="J1124" s="5">
        <v>3000000</v>
      </c>
      <c r="K1124" s="5">
        <v>5060000</v>
      </c>
      <c r="L1124" s="5">
        <v>5360000</v>
      </c>
      <c r="M1124" s="7">
        <v>1772.1</v>
      </c>
      <c r="N1124" s="5">
        <v>51100000</v>
      </c>
      <c r="O1124" s="5">
        <v>54100000</v>
      </c>
      <c r="P1124" s="3">
        <v>0.97916666666666663</v>
      </c>
    </row>
    <row r="1125" spans="1:16" x14ac:dyDescent="0.25">
      <c r="A1125" t="s">
        <v>700</v>
      </c>
      <c r="B1125" s="2">
        <v>44006</v>
      </c>
      <c r="C1125" t="str">
        <f>TEXT(B1125,"mm")</f>
        <v>06</v>
      </c>
      <c r="D1125" t="s">
        <v>19</v>
      </c>
      <c r="E1125" t="s">
        <v>1636</v>
      </c>
      <c r="F1125" s="5">
        <v>50500000</v>
      </c>
      <c r="G1125" s="5">
        <v>53500000</v>
      </c>
      <c r="H1125" s="5">
        <f>M1125*26000*1.20565</f>
        <v>55352356.020000003</v>
      </c>
      <c r="I1125" s="5">
        <f>G1125-H1125</f>
        <v>-1852356.0200000033</v>
      </c>
      <c r="J1125" s="5">
        <v>3000000</v>
      </c>
      <c r="K1125" s="5">
        <v>5050000</v>
      </c>
      <c r="L1125" s="5">
        <v>5350000</v>
      </c>
      <c r="M1125" s="7">
        <v>1765.8</v>
      </c>
      <c r="N1125" s="5">
        <v>51000000</v>
      </c>
      <c r="O1125" s="5">
        <v>54000000</v>
      </c>
      <c r="P1125" s="3">
        <v>0.97916666666666663</v>
      </c>
    </row>
    <row r="1126" spans="1:16" x14ac:dyDescent="0.25">
      <c r="A1126" t="s">
        <v>701</v>
      </c>
      <c r="B1126" s="2">
        <v>44007</v>
      </c>
      <c r="C1126" t="str">
        <f>TEXT(B1126,"mm")</f>
        <v>06</v>
      </c>
      <c r="D1126" t="s">
        <v>20</v>
      </c>
      <c r="E1126" t="s">
        <v>1636</v>
      </c>
      <c r="F1126" s="5">
        <v>50300000</v>
      </c>
      <c r="G1126" s="5">
        <v>53300000</v>
      </c>
      <c r="H1126" s="5">
        <f>M1126*26000*1.20565</f>
        <v>55236372.490000002</v>
      </c>
      <c r="I1126" s="5">
        <f>G1126-H1126</f>
        <v>-1936372.4900000021</v>
      </c>
      <c r="J1126" s="5">
        <v>3000000</v>
      </c>
      <c r="K1126" s="5">
        <v>5030000</v>
      </c>
      <c r="L1126" s="5">
        <v>5330000</v>
      </c>
      <c r="M1126" s="7">
        <v>1762.1</v>
      </c>
      <c r="N1126" s="5">
        <v>50800000</v>
      </c>
      <c r="O1126" s="5">
        <v>53800000</v>
      </c>
      <c r="P1126" s="3">
        <v>0.97916666666666663</v>
      </c>
    </row>
    <row r="1127" spans="1:16" x14ac:dyDescent="0.25">
      <c r="A1127" t="s">
        <v>702</v>
      </c>
      <c r="B1127" s="2">
        <v>44008</v>
      </c>
      <c r="C1127" t="str">
        <f>TEXT(B1127,"mm")</f>
        <v>06</v>
      </c>
      <c r="D1127" t="s">
        <v>21</v>
      </c>
      <c r="E1127" t="s">
        <v>1636</v>
      </c>
      <c r="F1127" s="5">
        <v>50700000</v>
      </c>
      <c r="G1127" s="5">
        <v>53700000</v>
      </c>
      <c r="H1127" s="5">
        <f>M1127*26000*1.20565</f>
        <v>55562380.250000007</v>
      </c>
      <c r="I1127" s="5">
        <f>G1127-H1127</f>
        <v>-1862380.2500000075</v>
      </c>
      <c r="J1127" s="5">
        <v>3000000</v>
      </c>
      <c r="K1127" s="5">
        <v>5070000</v>
      </c>
      <c r="L1127" s="5">
        <v>5370000</v>
      </c>
      <c r="M1127" s="7">
        <v>1772.5</v>
      </c>
      <c r="N1127" s="5">
        <v>51200000</v>
      </c>
      <c r="O1127" s="5">
        <v>54200000</v>
      </c>
      <c r="P1127" s="3">
        <v>0.97916666666666663</v>
      </c>
    </row>
    <row r="1128" spans="1:16" x14ac:dyDescent="0.25">
      <c r="A1128" t="s">
        <v>703</v>
      </c>
      <c r="B1128" s="2">
        <v>44011</v>
      </c>
      <c r="C1128" t="str">
        <f>TEXT(B1128,"mm")</f>
        <v>06</v>
      </c>
      <c r="D1128" t="s">
        <v>16</v>
      </c>
      <c r="E1128" t="s">
        <v>1636</v>
      </c>
      <c r="F1128" s="5">
        <v>50700000</v>
      </c>
      <c r="G1128" s="5">
        <v>53700000</v>
      </c>
      <c r="H1128" s="5">
        <f>M1128*26000*1.20565</f>
        <v>55634478.120000005</v>
      </c>
      <c r="I1128" s="5">
        <f>G1128-H1128</f>
        <v>-1934478.1200000048</v>
      </c>
      <c r="J1128" s="5">
        <v>3000000</v>
      </c>
      <c r="K1128" s="5">
        <v>5070000</v>
      </c>
      <c r="L1128" s="5">
        <v>5370000</v>
      </c>
      <c r="M1128" s="7">
        <v>1774.8</v>
      </c>
      <c r="N1128" s="5">
        <v>51200000</v>
      </c>
      <c r="O1128" s="5">
        <v>54200000</v>
      </c>
      <c r="P1128" s="3">
        <v>0.97916666666666663</v>
      </c>
    </row>
    <row r="1129" spans="1:16" x14ac:dyDescent="0.25">
      <c r="A1129" t="s">
        <v>704</v>
      </c>
      <c r="B1129" s="2">
        <v>44012</v>
      </c>
      <c r="C1129" t="str">
        <f>TEXT(B1129,"mm")</f>
        <v>06</v>
      </c>
      <c r="D1129" t="s">
        <v>18</v>
      </c>
      <c r="E1129" t="s">
        <v>1636</v>
      </c>
      <c r="F1129" s="5">
        <v>51300000</v>
      </c>
      <c r="G1129" s="5">
        <v>54300000</v>
      </c>
      <c r="H1129" s="5">
        <f>M1129*26000*1.20565</f>
        <v>56204991.700000003</v>
      </c>
      <c r="I1129" s="5">
        <f>G1129-H1129</f>
        <v>-1904991.700000003</v>
      </c>
      <c r="J1129" s="5">
        <v>3000000</v>
      </c>
      <c r="K1129" s="5">
        <v>5130000</v>
      </c>
      <c r="L1129" s="5">
        <v>5430000</v>
      </c>
      <c r="M1129" s="7">
        <v>1793</v>
      </c>
      <c r="N1129" s="5">
        <v>51800000</v>
      </c>
      <c r="O1129" s="5">
        <v>54800000</v>
      </c>
      <c r="P1129" s="3">
        <v>0.97916666666666663</v>
      </c>
    </row>
    <row r="1130" spans="1:16" x14ac:dyDescent="0.25">
      <c r="A1130" s="2">
        <v>43837</v>
      </c>
      <c r="B1130" s="2">
        <v>44013</v>
      </c>
      <c r="C1130" t="str">
        <f>TEXT(B1130,"mm")</f>
        <v>07</v>
      </c>
      <c r="D1130" t="s">
        <v>19</v>
      </c>
      <c r="E1130" t="s">
        <v>1636</v>
      </c>
      <c r="F1130" s="5">
        <v>50700000</v>
      </c>
      <c r="G1130" s="5">
        <v>53700000</v>
      </c>
      <c r="H1130" s="5">
        <f>M1130*26000*1.20565</f>
        <v>55584323.080000006</v>
      </c>
      <c r="I1130" s="5">
        <f>G1130-H1130</f>
        <v>-1884323.0800000057</v>
      </c>
      <c r="J1130" s="5">
        <v>3000000</v>
      </c>
      <c r="K1130" s="5">
        <v>5070000</v>
      </c>
      <c r="L1130" s="5">
        <v>5370000</v>
      </c>
      <c r="M1130" s="7">
        <v>1773.2</v>
      </c>
      <c r="N1130" s="5">
        <v>51200000</v>
      </c>
      <c r="O1130" s="5">
        <v>54200000</v>
      </c>
      <c r="P1130" s="3">
        <v>0.97916666666666663</v>
      </c>
    </row>
    <row r="1131" spans="1:16" x14ac:dyDescent="0.25">
      <c r="A1131" s="2">
        <v>43868</v>
      </c>
      <c r="B1131" s="2">
        <v>44014</v>
      </c>
      <c r="C1131" t="str">
        <f>TEXT(B1131,"mm")</f>
        <v>07</v>
      </c>
      <c r="D1131" t="s">
        <v>20</v>
      </c>
      <c r="E1131" t="s">
        <v>1636</v>
      </c>
      <c r="F1131" s="5">
        <v>51000000</v>
      </c>
      <c r="G1131" s="5">
        <v>54000000</v>
      </c>
      <c r="H1131" s="5">
        <f>M1131*26000*1.20565</f>
        <v>55922869.600000001</v>
      </c>
      <c r="I1131" s="5">
        <f>G1131-H1131</f>
        <v>-1922869.6000000015</v>
      </c>
      <c r="J1131" s="5">
        <v>3000000</v>
      </c>
      <c r="K1131" s="5">
        <v>5100000</v>
      </c>
      <c r="L1131" s="5">
        <v>5400000</v>
      </c>
      <c r="M1131" s="7">
        <v>1784</v>
      </c>
      <c r="N1131" s="5">
        <v>51500000</v>
      </c>
      <c r="O1131" s="5">
        <v>54500000</v>
      </c>
      <c r="P1131" s="3">
        <v>0.97916666666666663</v>
      </c>
    </row>
    <row r="1132" spans="1:16" x14ac:dyDescent="0.25">
      <c r="A1132" s="2">
        <v>43989</v>
      </c>
      <c r="B1132" s="2">
        <v>44018</v>
      </c>
      <c r="C1132" t="str">
        <f>TEXT(B1132,"mm")</f>
        <v>07</v>
      </c>
      <c r="D1132" t="s">
        <v>16</v>
      </c>
      <c r="E1132" t="s">
        <v>1636</v>
      </c>
      <c r="F1132" s="5">
        <v>51100000</v>
      </c>
      <c r="G1132" s="5">
        <v>54100000</v>
      </c>
      <c r="H1132" s="5">
        <f>M1132*26000*1.20565</f>
        <v>56063930.650000006</v>
      </c>
      <c r="I1132" s="5">
        <f>G1132-H1132</f>
        <v>-1963930.650000006</v>
      </c>
      <c r="J1132" s="5">
        <v>3000000</v>
      </c>
      <c r="K1132" s="5">
        <v>5110000</v>
      </c>
      <c r="L1132" s="5">
        <v>5410000</v>
      </c>
      <c r="M1132" s="7">
        <v>1788.5</v>
      </c>
      <c r="N1132" s="5">
        <v>51600000</v>
      </c>
      <c r="O1132" s="5">
        <v>54600000</v>
      </c>
      <c r="P1132" s="3">
        <v>0.97916666666666663</v>
      </c>
    </row>
    <row r="1133" spans="1:16" x14ac:dyDescent="0.25">
      <c r="A1133" s="2">
        <v>44019</v>
      </c>
      <c r="B1133" s="2">
        <v>44019</v>
      </c>
      <c r="C1133" t="str">
        <f>TEXT(B1133,"mm")</f>
        <v>07</v>
      </c>
      <c r="D1133" t="s">
        <v>18</v>
      </c>
      <c r="E1133" t="s">
        <v>1636</v>
      </c>
      <c r="F1133" s="5">
        <v>51600000</v>
      </c>
      <c r="G1133" s="5">
        <v>54600000</v>
      </c>
      <c r="H1133" s="5">
        <f>M1133*26000*1.20565</f>
        <v>56556076.980000004</v>
      </c>
      <c r="I1133" s="5">
        <f>G1133-H1133</f>
        <v>-1956076.9800000042</v>
      </c>
      <c r="J1133" s="5">
        <v>3000000</v>
      </c>
      <c r="K1133" s="5">
        <v>5160000</v>
      </c>
      <c r="L1133" s="5">
        <v>5460000</v>
      </c>
      <c r="M1133" s="7">
        <v>1804.2</v>
      </c>
      <c r="N1133" s="5">
        <v>52100000</v>
      </c>
      <c r="O1133" s="5">
        <v>55100000</v>
      </c>
      <c r="P1133" s="3">
        <v>0.97916666666666663</v>
      </c>
    </row>
    <row r="1134" spans="1:16" x14ac:dyDescent="0.25">
      <c r="A1134" s="2">
        <v>44050</v>
      </c>
      <c r="B1134" s="2">
        <v>44020</v>
      </c>
      <c r="C1134" t="str">
        <f>TEXT(B1134,"mm")</f>
        <v>07</v>
      </c>
      <c r="D1134" t="s">
        <v>19</v>
      </c>
      <c r="E1134" t="s">
        <v>1636</v>
      </c>
      <c r="F1134" s="5">
        <v>52000000</v>
      </c>
      <c r="G1134" s="5">
        <v>55000000</v>
      </c>
      <c r="H1134" s="5">
        <f>M1134*26000*1.20565</f>
        <v>56910296.950000003</v>
      </c>
      <c r="I1134" s="5">
        <f>G1134-H1134</f>
        <v>-1910296.950000003</v>
      </c>
      <c r="J1134" s="5">
        <v>3000000</v>
      </c>
      <c r="K1134" s="5">
        <v>5200000</v>
      </c>
      <c r="L1134" s="5">
        <v>5500000</v>
      </c>
      <c r="M1134" s="7">
        <v>1815.5</v>
      </c>
      <c r="N1134" s="5">
        <v>52500000</v>
      </c>
      <c r="O1134" s="5">
        <v>55500000</v>
      </c>
      <c r="P1134" s="3">
        <v>0.97916666666666663</v>
      </c>
    </row>
    <row r="1135" spans="1:16" x14ac:dyDescent="0.25">
      <c r="A1135" s="2">
        <v>44081</v>
      </c>
      <c r="B1135" s="2">
        <v>44021</v>
      </c>
      <c r="C1135" t="str">
        <f>TEXT(B1135,"mm")</f>
        <v>07</v>
      </c>
      <c r="D1135" t="s">
        <v>20</v>
      </c>
      <c r="E1135" t="s">
        <v>1636</v>
      </c>
      <c r="F1135" s="5">
        <v>51500000</v>
      </c>
      <c r="G1135" s="5">
        <v>54500000</v>
      </c>
      <c r="H1135" s="5">
        <f>M1135*26000*1.20565</f>
        <v>56399342.480000004</v>
      </c>
      <c r="I1135" s="5">
        <f>G1135-H1135</f>
        <v>-1899342.4800000042</v>
      </c>
      <c r="J1135" s="5">
        <v>3000000</v>
      </c>
      <c r="K1135" s="5">
        <v>5150000</v>
      </c>
      <c r="L1135" s="5">
        <v>5450000</v>
      </c>
      <c r="M1135" s="7">
        <v>1799.2</v>
      </c>
      <c r="N1135" s="5">
        <v>52000000</v>
      </c>
      <c r="O1135" s="5">
        <v>55000000</v>
      </c>
      <c r="P1135" s="3">
        <v>0.97916666666666663</v>
      </c>
    </row>
    <row r="1136" spans="1:16" x14ac:dyDescent="0.25">
      <c r="A1136" s="2">
        <v>44111</v>
      </c>
      <c r="B1136" s="2">
        <v>44022</v>
      </c>
      <c r="C1136" t="str">
        <f>TEXT(B1136,"mm")</f>
        <v>07</v>
      </c>
      <c r="D1136" t="s">
        <v>21</v>
      </c>
      <c r="E1136" t="s">
        <v>1636</v>
      </c>
      <c r="F1136" s="5">
        <v>51400000</v>
      </c>
      <c r="G1136" s="5">
        <v>54400000</v>
      </c>
      <c r="H1136" s="5">
        <f>M1136*26000*1.20565</f>
        <v>56367995.580000006</v>
      </c>
      <c r="I1136" s="5">
        <f>G1136-H1136</f>
        <v>-1967995.5800000057</v>
      </c>
      <c r="J1136" s="5">
        <v>3000000</v>
      </c>
      <c r="K1136" s="5">
        <v>5140000</v>
      </c>
      <c r="L1136" s="5">
        <v>5440000</v>
      </c>
      <c r="M1136" s="7">
        <v>1798.2</v>
      </c>
      <c r="N1136" s="5">
        <v>51900000</v>
      </c>
      <c r="O1136" s="5">
        <v>54900000</v>
      </c>
      <c r="P1136" s="3">
        <v>0.97916666666666663</v>
      </c>
    </row>
    <row r="1137" spans="1:16" x14ac:dyDescent="0.25">
      <c r="A1137" t="s">
        <v>705</v>
      </c>
      <c r="B1137" s="2">
        <v>44025</v>
      </c>
      <c r="C1137" t="str">
        <f>TEXT(B1137,"mm")</f>
        <v>07</v>
      </c>
      <c r="D1137" t="s">
        <v>16</v>
      </c>
      <c r="E1137" t="s">
        <v>1636</v>
      </c>
      <c r="F1137" s="5">
        <v>51800000</v>
      </c>
      <c r="G1137" s="5">
        <v>54800000</v>
      </c>
      <c r="H1137" s="5">
        <f>M1137*26000*1.20565</f>
        <v>56769235.900000006</v>
      </c>
      <c r="I1137" s="5">
        <f>G1137-H1137</f>
        <v>-1969235.900000006</v>
      </c>
      <c r="J1137" s="5">
        <v>3000000</v>
      </c>
      <c r="K1137" s="5">
        <v>5180000</v>
      </c>
      <c r="L1137" s="5">
        <v>5480000</v>
      </c>
      <c r="M1137" s="7">
        <v>1811</v>
      </c>
      <c r="N1137" s="5">
        <v>52300000</v>
      </c>
      <c r="O1137" s="5">
        <v>55300000</v>
      </c>
      <c r="P1137" s="3">
        <v>0.97916666666666663</v>
      </c>
    </row>
    <row r="1138" spans="1:16" x14ac:dyDescent="0.25">
      <c r="A1138" t="s">
        <v>706</v>
      </c>
      <c r="B1138" s="2">
        <v>44026</v>
      </c>
      <c r="C1138" t="str">
        <f>TEXT(B1138,"mm")</f>
        <v>07</v>
      </c>
      <c r="D1138" t="s">
        <v>18</v>
      </c>
      <c r="E1138" t="s">
        <v>1636</v>
      </c>
      <c r="F1138" s="5">
        <v>51800000</v>
      </c>
      <c r="G1138" s="5">
        <v>54800000</v>
      </c>
      <c r="H1138" s="5">
        <f>M1138*26000*1.20565</f>
        <v>56756697.140000008</v>
      </c>
      <c r="I1138" s="5">
        <f>G1138-H1138</f>
        <v>-1956697.140000008</v>
      </c>
      <c r="J1138" s="5">
        <v>3000000</v>
      </c>
      <c r="K1138" s="5">
        <v>5180000</v>
      </c>
      <c r="L1138" s="5">
        <v>5480000</v>
      </c>
      <c r="M1138" s="7">
        <v>1810.6</v>
      </c>
      <c r="N1138" s="5">
        <v>52300000</v>
      </c>
      <c r="O1138" s="5">
        <v>55300000</v>
      </c>
      <c r="P1138" s="3">
        <v>0.97916666666666663</v>
      </c>
    </row>
    <row r="1139" spans="1:16" x14ac:dyDescent="0.25">
      <c r="A1139" t="s">
        <v>707</v>
      </c>
      <c r="B1139" s="2">
        <v>44027</v>
      </c>
      <c r="C1139" t="str">
        <f>TEXT(B1139,"mm")</f>
        <v>07</v>
      </c>
      <c r="D1139" t="s">
        <v>19</v>
      </c>
      <c r="E1139" t="s">
        <v>1636</v>
      </c>
      <c r="F1139" s="5">
        <v>51800000</v>
      </c>
      <c r="G1139" s="5">
        <v>54800000</v>
      </c>
      <c r="H1139" s="5">
        <f>M1139*26000*1.20565</f>
        <v>56781774.660000004</v>
      </c>
      <c r="I1139" s="5">
        <f>G1139-H1139</f>
        <v>-1981774.6600000039</v>
      </c>
      <c r="J1139" s="5">
        <v>3000000</v>
      </c>
      <c r="K1139" s="5">
        <v>5180000</v>
      </c>
      <c r="L1139" s="5">
        <v>5480000</v>
      </c>
      <c r="M1139" s="7">
        <v>1811.4</v>
      </c>
      <c r="N1139" s="5">
        <v>52300000</v>
      </c>
      <c r="O1139" s="5">
        <v>55300000</v>
      </c>
      <c r="P1139" s="3">
        <v>0.97916666666666663</v>
      </c>
    </row>
    <row r="1140" spans="1:16" x14ac:dyDescent="0.25">
      <c r="A1140" t="s">
        <v>708</v>
      </c>
      <c r="B1140" s="2">
        <v>44028</v>
      </c>
      <c r="C1140" t="str">
        <f>TEXT(B1140,"mm")</f>
        <v>07</v>
      </c>
      <c r="D1140" t="s">
        <v>20</v>
      </c>
      <c r="E1140" t="s">
        <v>1636</v>
      </c>
      <c r="F1140" s="5">
        <v>51500000</v>
      </c>
      <c r="G1140" s="5">
        <v>54500000</v>
      </c>
      <c r="H1140" s="5">
        <f>M1140*26000*1.20565</f>
        <v>56383669.030000009</v>
      </c>
      <c r="I1140" s="5">
        <f>G1140-H1140</f>
        <v>-1883669.0300000086</v>
      </c>
      <c r="J1140" s="5">
        <v>3000000</v>
      </c>
      <c r="K1140" s="5">
        <v>5150000</v>
      </c>
      <c r="L1140" s="5">
        <v>5450000</v>
      </c>
      <c r="M1140" s="7">
        <v>1798.7</v>
      </c>
      <c r="N1140" s="5">
        <v>52000000</v>
      </c>
      <c r="O1140" s="5">
        <v>55000000</v>
      </c>
      <c r="P1140" s="3">
        <v>0.97916666666666663</v>
      </c>
    </row>
    <row r="1141" spans="1:16" x14ac:dyDescent="0.25">
      <c r="A1141" t="s">
        <v>709</v>
      </c>
      <c r="B1141" s="2">
        <v>44029</v>
      </c>
      <c r="C1141" t="str">
        <f>TEXT(B1141,"mm")</f>
        <v>07</v>
      </c>
      <c r="D1141" t="s">
        <v>21</v>
      </c>
      <c r="E1141" t="s">
        <v>1636</v>
      </c>
      <c r="F1141" s="5">
        <v>51700000</v>
      </c>
      <c r="G1141" s="5">
        <v>54700000</v>
      </c>
      <c r="H1141" s="5">
        <f>M1141*26000*1.20565</f>
        <v>56684599.270000003</v>
      </c>
      <c r="I1141" s="5">
        <f>G1141-H1141</f>
        <v>-1984599.2700000033</v>
      </c>
      <c r="J1141" s="5">
        <v>3000000</v>
      </c>
      <c r="K1141" s="5">
        <v>5170000</v>
      </c>
      <c r="L1141" s="5">
        <v>5470000</v>
      </c>
      <c r="M1141" s="7">
        <v>1808.3</v>
      </c>
      <c r="N1141" s="5">
        <v>52200000</v>
      </c>
      <c r="O1141" s="5">
        <v>55200000</v>
      </c>
      <c r="P1141" s="3">
        <v>0.97916666666666663</v>
      </c>
    </row>
    <row r="1142" spans="1:16" x14ac:dyDescent="0.25">
      <c r="A1142" t="s">
        <v>710</v>
      </c>
      <c r="B1142" s="2">
        <v>44032</v>
      </c>
      <c r="C1142" t="str">
        <f>TEXT(B1142,"mm")</f>
        <v>07</v>
      </c>
      <c r="D1142" t="s">
        <v>16</v>
      </c>
      <c r="E1142" t="s">
        <v>1636</v>
      </c>
      <c r="F1142" s="5">
        <v>52000000</v>
      </c>
      <c r="G1142" s="5">
        <v>55000000</v>
      </c>
      <c r="H1142" s="5">
        <f>M1142*26000*1.20565</f>
        <v>56922835.710000008</v>
      </c>
      <c r="I1142" s="5">
        <f>G1142-H1142</f>
        <v>-1922835.7100000083</v>
      </c>
      <c r="J1142" s="5">
        <v>3000000</v>
      </c>
      <c r="K1142" s="5">
        <v>5200000</v>
      </c>
      <c r="L1142" s="5">
        <v>5500000</v>
      </c>
      <c r="M1142" s="7">
        <v>1815.9</v>
      </c>
      <c r="N1142" s="5">
        <v>52500000</v>
      </c>
      <c r="O1142" s="5">
        <v>55500000</v>
      </c>
      <c r="P1142" s="3">
        <v>0.97916666666666663</v>
      </c>
    </row>
    <row r="1143" spans="1:16" x14ac:dyDescent="0.25">
      <c r="A1143" t="s">
        <v>711</v>
      </c>
      <c r="B1143" s="2">
        <v>44033</v>
      </c>
      <c r="C1143" t="str">
        <f>TEXT(B1143,"mm")</f>
        <v>07</v>
      </c>
      <c r="D1143" t="s">
        <v>18</v>
      </c>
      <c r="E1143" t="s">
        <v>1636</v>
      </c>
      <c r="F1143" s="5">
        <v>52800000</v>
      </c>
      <c r="G1143" s="5">
        <v>55800000</v>
      </c>
      <c r="H1143" s="5">
        <f>M1143*26000*1.20565</f>
        <v>57753528.560000002</v>
      </c>
      <c r="I1143" s="5">
        <f>G1143-H1143</f>
        <v>-1953528.5600000024</v>
      </c>
      <c r="J1143" s="5">
        <v>3000000</v>
      </c>
      <c r="K1143" s="5">
        <v>5280000</v>
      </c>
      <c r="L1143" s="5">
        <v>5580000</v>
      </c>
      <c r="M1143" s="7">
        <v>1842.4</v>
      </c>
      <c r="N1143" s="5">
        <v>53300000</v>
      </c>
      <c r="O1143" s="5">
        <v>56300000</v>
      </c>
      <c r="P1143" s="3">
        <v>0.97916666666666663</v>
      </c>
    </row>
    <row r="1144" spans="1:16" x14ac:dyDescent="0.25">
      <c r="A1144" t="s">
        <v>712</v>
      </c>
      <c r="B1144" s="2">
        <v>44034</v>
      </c>
      <c r="C1144" t="str">
        <f>TEXT(B1144,"mm")</f>
        <v>07</v>
      </c>
      <c r="D1144" t="s">
        <v>19</v>
      </c>
      <c r="E1144" t="s">
        <v>1636</v>
      </c>
      <c r="F1144" s="5">
        <v>53400000</v>
      </c>
      <c r="G1144" s="5">
        <v>56400000</v>
      </c>
      <c r="H1144" s="5">
        <f>M1144*26000*1.20565</f>
        <v>58433756.290000007</v>
      </c>
      <c r="I1144" s="5">
        <f>G1144-H1144</f>
        <v>-2033756.2900000066</v>
      </c>
      <c r="J1144" s="5">
        <v>3000000</v>
      </c>
      <c r="K1144" s="5">
        <v>5340000</v>
      </c>
      <c r="L1144" s="5">
        <v>5640000</v>
      </c>
      <c r="M1144" s="7">
        <v>1864.1</v>
      </c>
      <c r="N1144" s="5">
        <v>53900000</v>
      </c>
      <c r="O1144" s="5">
        <v>56900000</v>
      </c>
      <c r="P1144" s="3">
        <v>0.97916666666666663</v>
      </c>
    </row>
    <row r="1145" spans="1:16" x14ac:dyDescent="0.25">
      <c r="A1145" t="s">
        <v>713</v>
      </c>
      <c r="B1145" s="2">
        <v>44035</v>
      </c>
      <c r="C1145" t="str">
        <f>TEXT(B1145,"mm")</f>
        <v>07</v>
      </c>
      <c r="D1145" t="s">
        <v>20</v>
      </c>
      <c r="E1145" t="s">
        <v>1636</v>
      </c>
      <c r="F1145" s="5">
        <v>54200000</v>
      </c>
      <c r="G1145" s="5">
        <v>57200000</v>
      </c>
      <c r="H1145" s="5">
        <f>M1145*26000*1.20565</f>
        <v>59217428.790000007</v>
      </c>
      <c r="I1145" s="5">
        <f>G1145-H1145</f>
        <v>-2017428.7900000066</v>
      </c>
      <c r="J1145" s="5">
        <v>3000000</v>
      </c>
      <c r="K1145" s="5">
        <v>5420000</v>
      </c>
      <c r="L1145" s="5">
        <v>5720000</v>
      </c>
      <c r="M1145" s="7">
        <v>1889.1</v>
      </c>
      <c r="N1145" s="5">
        <v>54700000</v>
      </c>
      <c r="O1145" s="5">
        <v>57700000</v>
      </c>
      <c r="P1145" s="3">
        <v>0.97916666666666663</v>
      </c>
    </row>
    <row r="1146" spans="1:16" x14ac:dyDescent="0.25">
      <c r="A1146" t="s">
        <v>714</v>
      </c>
      <c r="B1146" s="2">
        <v>44036</v>
      </c>
      <c r="C1146" t="str">
        <f>TEXT(B1146,"mm")</f>
        <v>07</v>
      </c>
      <c r="D1146" t="s">
        <v>21</v>
      </c>
      <c r="E1146" t="s">
        <v>1636</v>
      </c>
      <c r="F1146" s="5">
        <v>54400000</v>
      </c>
      <c r="G1146" s="5">
        <v>57400000</v>
      </c>
      <c r="H1146" s="5">
        <f>M1146*26000*1.20565</f>
        <v>59474473.370000005</v>
      </c>
      <c r="I1146" s="5">
        <f>G1146-H1146</f>
        <v>-2074473.3700000048</v>
      </c>
      <c r="J1146" s="5">
        <v>3000000</v>
      </c>
      <c r="K1146" s="5">
        <v>5440000</v>
      </c>
      <c r="L1146" s="5">
        <v>5740000</v>
      </c>
      <c r="M1146" s="7">
        <v>1897.3</v>
      </c>
      <c r="N1146" s="5">
        <v>54900000</v>
      </c>
      <c r="O1146" s="5">
        <v>57900000</v>
      </c>
      <c r="P1146" s="3">
        <v>0.97916666666666663</v>
      </c>
    </row>
    <row r="1147" spans="1:16" x14ac:dyDescent="0.25">
      <c r="A1147" t="s">
        <v>715</v>
      </c>
      <c r="B1147" s="2">
        <v>44039</v>
      </c>
      <c r="C1147" t="str">
        <f>TEXT(B1147,"mm")</f>
        <v>07</v>
      </c>
      <c r="D1147" t="s">
        <v>16</v>
      </c>
      <c r="E1147" t="s">
        <v>1636</v>
      </c>
      <c r="F1147" s="5">
        <v>55500000</v>
      </c>
      <c r="G1147" s="5">
        <v>58500000</v>
      </c>
      <c r="H1147" s="5">
        <f>M1147*26000*1.20565</f>
        <v>60530863.900000006</v>
      </c>
      <c r="I1147" s="5">
        <f>G1147-H1147</f>
        <v>-2030863.900000006</v>
      </c>
      <c r="J1147" s="5">
        <v>3000000</v>
      </c>
      <c r="K1147" s="5">
        <v>5550000</v>
      </c>
      <c r="L1147" s="5">
        <v>5850000</v>
      </c>
      <c r="M1147" s="7">
        <v>1931</v>
      </c>
      <c r="N1147" s="5">
        <v>56000000</v>
      </c>
      <c r="O1147" s="5">
        <v>59000000</v>
      </c>
      <c r="P1147" s="3">
        <v>0.97916666666666663</v>
      </c>
    </row>
    <row r="1148" spans="1:16" x14ac:dyDescent="0.25">
      <c r="A1148" t="s">
        <v>716</v>
      </c>
      <c r="B1148" s="2">
        <v>44040</v>
      </c>
      <c r="C1148" t="str">
        <f>TEXT(B1148,"mm")</f>
        <v>07</v>
      </c>
      <c r="D1148" t="s">
        <v>18</v>
      </c>
      <c r="E1148" t="s">
        <v>1636</v>
      </c>
      <c r="F1148" s="5">
        <v>55900000</v>
      </c>
      <c r="G1148" s="5">
        <v>58900000</v>
      </c>
      <c r="H1148" s="5">
        <f>M1148*26000*1.20565</f>
        <v>60960316.430000007</v>
      </c>
      <c r="I1148" s="5">
        <f>G1148-H1148</f>
        <v>-2060316.4300000072</v>
      </c>
      <c r="J1148" s="5">
        <v>3000000</v>
      </c>
      <c r="K1148" s="5">
        <v>5590000</v>
      </c>
      <c r="L1148" s="5">
        <v>5890000</v>
      </c>
      <c r="M1148" s="7">
        <v>1944.7</v>
      </c>
      <c r="N1148" s="5">
        <v>56400000</v>
      </c>
      <c r="O1148" s="5">
        <v>59400000</v>
      </c>
      <c r="P1148" s="3">
        <v>0.97916666666666663</v>
      </c>
    </row>
    <row r="1149" spans="1:16" x14ac:dyDescent="0.25">
      <c r="A1149" t="s">
        <v>717</v>
      </c>
      <c r="B1149" s="2">
        <v>44041</v>
      </c>
      <c r="C1149" t="str">
        <f>TEXT(B1149,"mm")</f>
        <v>07</v>
      </c>
      <c r="D1149" t="s">
        <v>19</v>
      </c>
      <c r="E1149" t="s">
        <v>1636</v>
      </c>
      <c r="F1149" s="5">
        <v>56100000</v>
      </c>
      <c r="G1149" s="5">
        <v>59100000</v>
      </c>
      <c r="H1149" s="5">
        <f>M1149*26000*1.20565</f>
        <v>61236169.150000006</v>
      </c>
      <c r="I1149" s="5">
        <f>G1149-H1149</f>
        <v>-2136169.150000006</v>
      </c>
      <c r="J1149" s="5">
        <v>3000000</v>
      </c>
      <c r="K1149" s="5">
        <v>5610000</v>
      </c>
      <c r="L1149" s="5">
        <v>5910000</v>
      </c>
      <c r="M1149" s="7">
        <v>1953.5</v>
      </c>
      <c r="N1149" s="5">
        <v>56600000</v>
      </c>
      <c r="O1149" s="5">
        <v>59600000</v>
      </c>
      <c r="P1149" s="3">
        <v>0.97916666666666663</v>
      </c>
    </row>
    <row r="1150" spans="1:16" x14ac:dyDescent="0.25">
      <c r="A1150" t="s">
        <v>718</v>
      </c>
      <c r="B1150" s="2">
        <v>44042</v>
      </c>
      <c r="C1150" t="str">
        <f>TEXT(B1150,"mm")</f>
        <v>07</v>
      </c>
      <c r="D1150" t="s">
        <v>20</v>
      </c>
      <c r="E1150" t="s">
        <v>1636</v>
      </c>
      <c r="F1150" s="5">
        <v>55800000</v>
      </c>
      <c r="G1150" s="5">
        <v>58800000</v>
      </c>
      <c r="H1150" s="5">
        <f>M1150*26000*1.20565</f>
        <v>60885083.870000005</v>
      </c>
      <c r="I1150" s="5">
        <f>G1150-H1150</f>
        <v>-2085083.8700000048</v>
      </c>
      <c r="J1150" s="5">
        <v>3000000</v>
      </c>
      <c r="K1150" s="5">
        <v>5580000</v>
      </c>
      <c r="L1150" s="5">
        <v>5880000</v>
      </c>
      <c r="M1150" s="7">
        <v>1942.3</v>
      </c>
      <c r="N1150" s="5">
        <v>56300000</v>
      </c>
      <c r="O1150" s="5">
        <v>59300000</v>
      </c>
      <c r="P1150" s="3">
        <v>0.97916666666666663</v>
      </c>
    </row>
    <row r="1151" spans="1:16" x14ac:dyDescent="0.25">
      <c r="A1151" t="s">
        <v>719</v>
      </c>
      <c r="B1151" s="2">
        <v>44043</v>
      </c>
      <c r="C1151" t="str">
        <f>TEXT(B1151,"mm")</f>
        <v>07</v>
      </c>
      <c r="D1151" t="s">
        <v>21</v>
      </c>
      <c r="E1151" t="s">
        <v>1636</v>
      </c>
      <c r="F1151" s="5">
        <v>56400000</v>
      </c>
      <c r="G1151" s="5">
        <v>59400000</v>
      </c>
      <c r="H1151" s="5">
        <f>M1151*26000*1.20565</f>
        <v>61527695.320000008</v>
      </c>
      <c r="I1151" s="5">
        <f>G1151-H1151</f>
        <v>-2127695.3200000077</v>
      </c>
      <c r="J1151" s="5">
        <v>3000000</v>
      </c>
      <c r="K1151" s="5">
        <v>5640000</v>
      </c>
      <c r="L1151" s="5">
        <v>5940000</v>
      </c>
      <c r="M1151" s="7">
        <v>1962.8</v>
      </c>
      <c r="N1151" s="5">
        <v>56900000</v>
      </c>
      <c r="O1151" s="5">
        <v>59900000</v>
      </c>
      <c r="P1151" s="3">
        <v>0.97916666666666663</v>
      </c>
    </row>
    <row r="1152" spans="1:16" x14ac:dyDescent="0.25">
      <c r="A1152" s="2">
        <v>43898</v>
      </c>
      <c r="B1152" s="2">
        <v>44046</v>
      </c>
      <c r="C1152" t="str">
        <f>TEXT(B1152,"mm")</f>
        <v>08</v>
      </c>
      <c r="D1152" t="s">
        <v>16</v>
      </c>
      <c r="E1152" t="s">
        <v>1636</v>
      </c>
      <c r="F1152" s="5">
        <v>56500000</v>
      </c>
      <c r="G1152" s="5">
        <v>59500000</v>
      </c>
      <c r="H1152" s="5">
        <f>M1152*26000*1.20565</f>
        <v>61628005.400000006</v>
      </c>
      <c r="I1152" s="5">
        <f>G1152-H1152</f>
        <v>-2128005.400000006</v>
      </c>
      <c r="J1152" s="5">
        <v>3000000</v>
      </c>
      <c r="K1152" s="5">
        <v>5650000</v>
      </c>
      <c r="L1152" s="5">
        <v>5950000</v>
      </c>
      <c r="M1152" s="7">
        <v>1966</v>
      </c>
      <c r="N1152" s="5">
        <v>57000000</v>
      </c>
      <c r="O1152" s="5">
        <v>60000000</v>
      </c>
      <c r="P1152" s="3">
        <v>0.97916666666666663</v>
      </c>
    </row>
    <row r="1153" spans="1:16" x14ac:dyDescent="0.25">
      <c r="A1153" s="2">
        <v>43929</v>
      </c>
      <c r="B1153" s="2">
        <v>44047</v>
      </c>
      <c r="C1153" t="str">
        <f>TEXT(B1153,"mm")</f>
        <v>08</v>
      </c>
      <c r="D1153" t="s">
        <v>18</v>
      </c>
      <c r="E1153" t="s">
        <v>1636</v>
      </c>
      <c r="F1153" s="5">
        <v>57600000</v>
      </c>
      <c r="G1153" s="5">
        <v>60600000</v>
      </c>
      <c r="H1153" s="5">
        <f>M1153*26000*1.20565</f>
        <v>62731416.280000009</v>
      </c>
      <c r="I1153" s="5">
        <f>G1153-H1153</f>
        <v>-2131416.2800000086</v>
      </c>
      <c r="J1153" s="5">
        <v>3000000</v>
      </c>
      <c r="K1153" s="5">
        <v>5760000</v>
      </c>
      <c r="L1153" s="5">
        <v>6060000</v>
      </c>
      <c r="M1153" s="7">
        <v>2001.2</v>
      </c>
      <c r="N1153" s="5">
        <v>58100000</v>
      </c>
      <c r="O1153" s="5">
        <v>61100000</v>
      </c>
      <c r="P1153" s="3">
        <v>0.97916666666666663</v>
      </c>
    </row>
    <row r="1154" spans="1:16" x14ac:dyDescent="0.25">
      <c r="A1154" s="2">
        <v>43959</v>
      </c>
      <c r="B1154" s="2">
        <v>44048</v>
      </c>
      <c r="C1154" t="str">
        <f>TEXT(B1154,"mm")</f>
        <v>08</v>
      </c>
      <c r="D1154" t="s">
        <v>19</v>
      </c>
      <c r="E1154" t="s">
        <v>1636</v>
      </c>
      <c r="F1154" s="5">
        <v>58500000</v>
      </c>
      <c r="G1154" s="5">
        <v>61500000</v>
      </c>
      <c r="H1154" s="5">
        <f>M1154*26000*1.20565</f>
        <v>63668688.590000004</v>
      </c>
      <c r="I1154" s="5">
        <f>G1154-H1154</f>
        <v>-2168688.5900000036</v>
      </c>
      <c r="J1154" s="5">
        <v>3000000</v>
      </c>
      <c r="K1154" s="5">
        <v>5850000</v>
      </c>
      <c r="L1154" s="5">
        <v>6150000</v>
      </c>
      <c r="M1154" s="7">
        <v>2031.1</v>
      </c>
      <c r="N1154" s="5">
        <v>59000000</v>
      </c>
      <c r="O1154" s="5">
        <v>62000000</v>
      </c>
      <c r="P1154" s="3">
        <v>0.97916666666666663</v>
      </c>
    </row>
    <row r="1155" spans="1:16" x14ac:dyDescent="0.25">
      <c r="A1155" s="2">
        <v>43990</v>
      </c>
      <c r="B1155" s="2">
        <v>44049</v>
      </c>
      <c r="C1155" t="str">
        <f>TEXT(B1155,"mm")</f>
        <v>08</v>
      </c>
      <c r="D1155" t="s">
        <v>20</v>
      </c>
      <c r="E1155" t="s">
        <v>1636</v>
      </c>
      <c r="F1155" s="5">
        <v>59100000</v>
      </c>
      <c r="G1155" s="5">
        <v>62100000</v>
      </c>
      <c r="H1155" s="5">
        <f>M1155*26000*1.20565</f>
        <v>64308165.350000009</v>
      </c>
      <c r="I1155" s="5">
        <f>G1155-H1155</f>
        <v>-2208165.3500000089</v>
      </c>
      <c r="J1155" s="5">
        <v>3000000</v>
      </c>
      <c r="K1155" s="5">
        <v>5910000</v>
      </c>
      <c r="L1155" s="5">
        <v>6210000</v>
      </c>
      <c r="M1155" s="7">
        <v>2051.5</v>
      </c>
      <c r="N1155" s="5">
        <v>59600000</v>
      </c>
      <c r="O1155" s="5">
        <v>62600000</v>
      </c>
      <c r="P1155" s="3">
        <v>0.97916666666666663</v>
      </c>
    </row>
    <row r="1156" spans="1:16" x14ac:dyDescent="0.25">
      <c r="A1156" s="2">
        <v>44020</v>
      </c>
      <c r="B1156" s="2">
        <v>44050</v>
      </c>
      <c r="C1156" t="str">
        <f>TEXT(B1156,"mm")</f>
        <v>08</v>
      </c>
      <c r="D1156" t="s">
        <v>21</v>
      </c>
      <c r="E1156" t="s">
        <v>1636</v>
      </c>
      <c r="F1156" s="5">
        <v>57900000</v>
      </c>
      <c r="G1156" s="5">
        <v>60900000</v>
      </c>
      <c r="H1156" s="5">
        <f>M1156*26000*1.20565</f>
        <v>63010403.690000005</v>
      </c>
      <c r="I1156" s="5">
        <f>G1156-H1156</f>
        <v>-2110403.6900000051</v>
      </c>
      <c r="J1156" s="5">
        <v>3000000</v>
      </c>
      <c r="K1156" s="5">
        <v>5790000</v>
      </c>
      <c r="L1156" s="5">
        <v>6090000</v>
      </c>
      <c r="M1156" s="7">
        <v>2010.1</v>
      </c>
      <c r="N1156" s="5">
        <v>58400000</v>
      </c>
      <c r="O1156" s="5">
        <v>61400000</v>
      </c>
      <c r="P1156" s="3">
        <v>0.97916666666666663</v>
      </c>
    </row>
    <row r="1157" spans="1:16" x14ac:dyDescent="0.25">
      <c r="A1157" s="2">
        <v>44112</v>
      </c>
      <c r="B1157" s="2">
        <v>44053</v>
      </c>
      <c r="C1157" t="str">
        <f>TEXT(B1157,"mm")</f>
        <v>08</v>
      </c>
      <c r="D1157" t="s">
        <v>16</v>
      </c>
      <c r="E1157" t="s">
        <v>1636</v>
      </c>
      <c r="F1157" s="5">
        <v>58300000</v>
      </c>
      <c r="G1157" s="5">
        <v>61300000</v>
      </c>
      <c r="H1157" s="5">
        <f>M1157*26000*1.20565</f>
        <v>63458664.360000007</v>
      </c>
      <c r="I1157" s="5">
        <f>G1157-H1157</f>
        <v>-2158664.3600000069</v>
      </c>
      <c r="J1157" s="5">
        <v>3000000</v>
      </c>
      <c r="K1157" s="5">
        <v>5830000</v>
      </c>
      <c r="L1157" s="5">
        <v>6130000</v>
      </c>
      <c r="M1157" s="7">
        <v>2024.4</v>
      </c>
      <c r="N1157" s="5">
        <v>58800000</v>
      </c>
      <c r="O1157" s="5">
        <v>61800000</v>
      </c>
      <c r="P1157" s="3">
        <v>0.97916666666666663</v>
      </c>
    </row>
    <row r="1158" spans="1:16" x14ac:dyDescent="0.25">
      <c r="A1158" s="2">
        <v>44143</v>
      </c>
      <c r="B1158" s="2">
        <v>44054</v>
      </c>
      <c r="C1158" t="str">
        <f>TEXT(B1158,"mm")</f>
        <v>08</v>
      </c>
      <c r="D1158" t="s">
        <v>18</v>
      </c>
      <c r="E1158" t="s">
        <v>1636</v>
      </c>
      <c r="F1158" s="5">
        <v>55500000</v>
      </c>
      <c r="G1158" s="5">
        <v>58500000</v>
      </c>
      <c r="H1158" s="5">
        <f>M1158*26000*1.20565</f>
        <v>60581018.940000005</v>
      </c>
      <c r="I1158" s="5">
        <f>G1158-H1158</f>
        <v>-2081018.9400000051</v>
      </c>
      <c r="J1158" s="5">
        <v>3000000</v>
      </c>
      <c r="K1158" s="5">
        <v>5550000</v>
      </c>
      <c r="L1158" s="5">
        <v>5850000</v>
      </c>
      <c r="M1158" s="7">
        <v>1932.6</v>
      </c>
      <c r="N1158" s="5">
        <v>56000000</v>
      </c>
      <c r="O1158" s="5">
        <v>59000000</v>
      </c>
      <c r="P1158" s="3">
        <v>0.97916666666666663</v>
      </c>
    </row>
    <row r="1159" spans="1:16" x14ac:dyDescent="0.25">
      <c r="A1159" s="2">
        <v>44173</v>
      </c>
      <c r="B1159" s="2">
        <v>44055</v>
      </c>
      <c r="C1159" t="str">
        <f>TEXT(B1159,"mm")</f>
        <v>08</v>
      </c>
      <c r="D1159" t="s">
        <v>19</v>
      </c>
      <c r="E1159" t="s">
        <v>1636</v>
      </c>
      <c r="F1159" s="5">
        <v>55600000</v>
      </c>
      <c r="G1159" s="5">
        <v>58600000</v>
      </c>
      <c r="H1159" s="5">
        <f>M1159*26000*1.20565</f>
        <v>60653116.810000002</v>
      </c>
      <c r="I1159" s="5">
        <f>G1159-H1159</f>
        <v>-2053116.8100000024</v>
      </c>
      <c r="J1159" s="5">
        <v>3000000</v>
      </c>
      <c r="K1159" s="5">
        <v>5560000</v>
      </c>
      <c r="L1159" s="5">
        <v>5860000</v>
      </c>
      <c r="M1159" s="7">
        <v>1934.9</v>
      </c>
      <c r="N1159" s="5">
        <v>56100000</v>
      </c>
      <c r="O1159" s="5">
        <v>59100000</v>
      </c>
      <c r="P1159" s="3">
        <v>0.97916666666666663</v>
      </c>
    </row>
    <row r="1160" spans="1:16" x14ac:dyDescent="0.25">
      <c r="A1160" t="s">
        <v>720</v>
      </c>
      <c r="B1160" s="2">
        <v>44056</v>
      </c>
      <c r="C1160" t="str">
        <f>TEXT(B1160,"mm")</f>
        <v>08</v>
      </c>
      <c r="D1160" t="s">
        <v>20</v>
      </c>
      <c r="E1160" t="s">
        <v>1636</v>
      </c>
      <c r="F1160" s="5">
        <v>56200000</v>
      </c>
      <c r="G1160" s="5">
        <v>59200000</v>
      </c>
      <c r="H1160" s="5">
        <f>M1160*26000*1.20565</f>
        <v>61336479.230000004</v>
      </c>
      <c r="I1160" s="5">
        <f>G1160-H1160</f>
        <v>-2136479.2300000042</v>
      </c>
      <c r="J1160" s="5">
        <v>3000000</v>
      </c>
      <c r="K1160" s="5">
        <v>5620000</v>
      </c>
      <c r="L1160" s="5">
        <v>5920000</v>
      </c>
      <c r="M1160" s="7">
        <v>1956.7</v>
      </c>
      <c r="N1160" s="5">
        <v>56700000</v>
      </c>
      <c r="O1160" s="5">
        <v>59700000</v>
      </c>
      <c r="P1160" s="3">
        <v>0.97916666666666663</v>
      </c>
    </row>
    <row r="1161" spans="1:16" x14ac:dyDescent="0.25">
      <c r="A1161" t="s">
        <v>721</v>
      </c>
      <c r="B1161" s="2">
        <v>44057</v>
      </c>
      <c r="C1161" t="str">
        <f>TEXT(B1161,"mm")</f>
        <v>08</v>
      </c>
      <c r="D1161" t="s">
        <v>21</v>
      </c>
      <c r="E1161" t="s">
        <v>1636</v>
      </c>
      <c r="F1161" s="5">
        <v>55600000</v>
      </c>
      <c r="G1161" s="5">
        <v>58600000</v>
      </c>
      <c r="H1161" s="5">
        <f>M1161*26000*1.20565</f>
        <v>60718945.300000004</v>
      </c>
      <c r="I1161" s="5">
        <f>G1161-H1161</f>
        <v>-2118945.3000000045</v>
      </c>
      <c r="J1161" s="5">
        <v>3000000</v>
      </c>
      <c r="K1161" s="5">
        <v>5560000</v>
      </c>
      <c r="L1161" s="5">
        <v>5860000</v>
      </c>
      <c r="M1161" s="7">
        <v>1937</v>
      </c>
      <c r="N1161" s="5">
        <v>56100000</v>
      </c>
      <c r="O1161" s="5">
        <v>59100000</v>
      </c>
      <c r="P1161" s="3">
        <v>0.97916666666666663</v>
      </c>
    </row>
    <row r="1162" spans="1:16" x14ac:dyDescent="0.25">
      <c r="A1162" t="s">
        <v>722</v>
      </c>
      <c r="B1162" s="2">
        <v>44060</v>
      </c>
      <c r="C1162" t="str">
        <f>TEXT(B1162,"mm")</f>
        <v>08</v>
      </c>
      <c r="D1162" t="s">
        <v>16</v>
      </c>
      <c r="E1162" t="s">
        <v>1636</v>
      </c>
      <c r="F1162" s="5">
        <v>57100000</v>
      </c>
      <c r="G1162" s="5">
        <v>60100000</v>
      </c>
      <c r="H1162" s="5">
        <f>M1162*26000*1.20565</f>
        <v>62223596.500000007</v>
      </c>
      <c r="I1162" s="5">
        <f>G1162-H1162</f>
        <v>-2123596.5000000075</v>
      </c>
      <c r="J1162" s="5">
        <v>3000000</v>
      </c>
      <c r="K1162" s="5">
        <v>5710000</v>
      </c>
      <c r="L1162" s="5">
        <v>6010000</v>
      </c>
      <c r="M1162" s="7">
        <v>1985</v>
      </c>
      <c r="N1162" s="5">
        <v>57600000</v>
      </c>
      <c r="O1162" s="5">
        <v>60600000</v>
      </c>
      <c r="P1162" s="3">
        <v>0.97916666666666663</v>
      </c>
    </row>
    <row r="1163" spans="1:16" x14ac:dyDescent="0.25">
      <c r="A1163" t="s">
        <v>723</v>
      </c>
      <c r="B1163" s="2">
        <v>44061</v>
      </c>
      <c r="C1163" t="str">
        <f>TEXT(B1163,"mm")</f>
        <v>08</v>
      </c>
      <c r="D1163" t="s">
        <v>18</v>
      </c>
      <c r="E1163" t="s">
        <v>1636</v>
      </c>
      <c r="F1163" s="5">
        <v>57500000</v>
      </c>
      <c r="G1163" s="5">
        <v>60500000</v>
      </c>
      <c r="H1163" s="5">
        <f>M1163*26000*1.20565</f>
        <v>62674991.860000007</v>
      </c>
      <c r="I1163" s="5">
        <f>G1163-H1163</f>
        <v>-2174991.8600000069</v>
      </c>
      <c r="J1163" s="5">
        <v>3000000</v>
      </c>
      <c r="K1163" s="5">
        <v>5750000</v>
      </c>
      <c r="L1163" s="5">
        <v>6050000</v>
      </c>
      <c r="M1163" s="7">
        <v>1999.4</v>
      </c>
      <c r="N1163" s="5">
        <v>58000000</v>
      </c>
      <c r="O1163" s="5">
        <v>61000000</v>
      </c>
      <c r="P1163" s="3">
        <v>0.97916666666666663</v>
      </c>
    </row>
    <row r="1164" spans="1:16" x14ac:dyDescent="0.25">
      <c r="A1164" t="s">
        <v>724</v>
      </c>
      <c r="B1164" s="2">
        <v>44062</v>
      </c>
      <c r="C1164" t="str">
        <f>TEXT(B1164,"mm")</f>
        <v>08</v>
      </c>
      <c r="D1164" t="s">
        <v>19</v>
      </c>
      <c r="E1164" t="s">
        <v>1636</v>
      </c>
      <c r="F1164" s="5">
        <v>56300000</v>
      </c>
      <c r="G1164" s="5">
        <v>59300000</v>
      </c>
      <c r="H1164" s="5">
        <f>M1164*26000*1.20565</f>
        <v>61399173.030000009</v>
      </c>
      <c r="I1164" s="5">
        <f>G1164-H1164</f>
        <v>-2099173.0300000086</v>
      </c>
      <c r="J1164" s="5">
        <v>3000000</v>
      </c>
      <c r="K1164" s="5">
        <v>5630000</v>
      </c>
      <c r="L1164" s="5">
        <v>5930000</v>
      </c>
      <c r="M1164" s="7">
        <v>1958.7</v>
      </c>
      <c r="N1164" s="5">
        <v>56800000</v>
      </c>
      <c r="O1164" s="5">
        <v>59800000</v>
      </c>
      <c r="P1164" s="3">
        <v>0.97916666666666663</v>
      </c>
    </row>
    <row r="1165" spans="1:16" x14ac:dyDescent="0.25">
      <c r="A1165" t="s">
        <v>725</v>
      </c>
      <c r="B1165" s="2">
        <v>44063</v>
      </c>
      <c r="C1165" t="str">
        <f>TEXT(B1165,"mm")</f>
        <v>08</v>
      </c>
      <c r="D1165" t="s">
        <v>20</v>
      </c>
      <c r="E1165" t="s">
        <v>1636</v>
      </c>
      <c r="F1165" s="5">
        <v>55500000</v>
      </c>
      <c r="G1165" s="5">
        <v>58500000</v>
      </c>
      <c r="H1165" s="5">
        <f>M1165*26000*1.20565</f>
        <v>60618635.220000006</v>
      </c>
      <c r="I1165" s="5">
        <f>G1165-H1165</f>
        <v>-2118635.2200000063</v>
      </c>
      <c r="J1165" s="5">
        <v>3000000</v>
      </c>
      <c r="K1165" s="5">
        <v>5550000</v>
      </c>
      <c r="L1165" s="5">
        <v>5850000</v>
      </c>
      <c r="M1165" s="7">
        <v>1933.8</v>
      </c>
      <c r="N1165" s="5">
        <v>56000000</v>
      </c>
      <c r="O1165" s="5">
        <v>59000000</v>
      </c>
      <c r="P1165" s="3">
        <v>0.97916666666666663</v>
      </c>
    </row>
    <row r="1166" spans="1:16" x14ac:dyDescent="0.25">
      <c r="A1166" t="s">
        <v>726</v>
      </c>
      <c r="B1166" s="2">
        <v>44064</v>
      </c>
      <c r="C1166" t="str">
        <f>TEXT(B1166,"mm")</f>
        <v>08</v>
      </c>
      <c r="D1166" t="s">
        <v>21</v>
      </c>
      <c r="E1166" t="s">
        <v>1636</v>
      </c>
      <c r="F1166" s="5">
        <v>55600000</v>
      </c>
      <c r="G1166" s="5">
        <v>58600000</v>
      </c>
      <c r="H1166" s="5">
        <f>M1166*26000*1.20565</f>
        <v>60643712.740000002</v>
      </c>
      <c r="I1166" s="5">
        <f>G1166-H1166</f>
        <v>-2043712.7400000021</v>
      </c>
      <c r="J1166" s="5">
        <v>3000000</v>
      </c>
      <c r="K1166" s="5">
        <v>5560000</v>
      </c>
      <c r="L1166" s="5">
        <v>5860000</v>
      </c>
      <c r="M1166" s="7">
        <v>1934.6</v>
      </c>
      <c r="N1166" s="5">
        <v>56100000</v>
      </c>
      <c r="O1166" s="5">
        <v>59100000</v>
      </c>
      <c r="P1166" s="3">
        <v>0.97916666666666663</v>
      </c>
    </row>
    <row r="1167" spans="1:16" x14ac:dyDescent="0.25">
      <c r="A1167" t="s">
        <v>727</v>
      </c>
      <c r="B1167" s="2">
        <v>44067</v>
      </c>
      <c r="C1167" t="str">
        <f>TEXT(B1167,"mm")</f>
        <v>08</v>
      </c>
      <c r="D1167" t="s">
        <v>16</v>
      </c>
      <c r="E1167" t="s">
        <v>1636</v>
      </c>
      <c r="F1167" s="5">
        <v>55400000</v>
      </c>
      <c r="G1167" s="5">
        <v>58400000</v>
      </c>
      <c r="H1167" s="5">
        <f>M1167*26000*1.20565</f>
        <v>60427419.130000003</v>
      </c>
      <c r="I1167" s="5">
        <f>G1167-H1167</f>
        <v>-2027419.1300000027</v>
      </c>
      <c r="J1167" s="5">
        <v>3000000</v>
      </c>
      <c r="K1167" s="5">
        <v>5540000</v>
      </c>
      <c r="L1167" s="5">
        <v>5840000</v>
      </c>
      <c r="M1167" s="7">
        <v>1927.7</v>
      </c>
      <c r="N1167" s="5">
        <v>55900000</v>
      </c>
      <c r="O1167" s="5">
        <v>58900000</v>
      </c>
      <c r="P1167" s="3">
        <v>0.97916666666666663</v>
      </c>
    </row>
    <row r="1168" spans="1:16" x14ac:dyDescent="0.25">
      <c r="A1168" t="s">
        <v>728</v>
      </c>
      <c r="B1168" s="2">
        <v>44068</v>
      </c>
      <c r="C1168" t="str">
        <f>TEXT(B1168,"mm")</f>
        <v>08</v>
      </c>
      <c r="D1168" t="s">
        <v>18</v>
      </c>
      <c r="E1168" t="s">
        <v>1636</v>
      </c>
      <c r="F1168" s="5">
        <v>54900000</v>
      </c>
      <c r="G1168" s="5">
        <v>57900000</v>
      </c>
      <c r="H1168" s="5">
        <f>M1168*26000*1.20565</f>
        <v>59929003.420000002</v>
      </c>
      <c r="I1168" s="5">
        <f>G1168-H1168</f>
        <v>-2029003.4200000018</v>
      </c>
      <c r="J1168" s="5">
        <v>3000000</v>
      </c>
      <c r="K1168" s="5">
        <v>5490000</v>
      </c>
      <c r="L1168" s="5">
        <v>5790000</v>
      </c>
      <c r="M1168" s="7">
        <v>1911.8</v>
      </c>
      <c r="N1168" s="5">
        <v>55400000</v>
      </c>
      <c r="O1168" s="5">
        <v>58400000</v>
      </c>
      <c r="P1168" s="3">
        <v>0.97916666666666663</v>
      </c>
    </row>
    <row r="1169" spans="1:16" x14ac:dyDescent="0.25">
      <c r="A1169" t="s">
        <v>729</v>
      </c>
      <c r="B1169" s="2">
        <v>44069</v>
      </c>
      <c r="C1169" t="str">
        <f>TEXT(B1169,"mm")</f>
        <v>08</v>
      </c>
      <c r="D1169" t="s">
        <v>19</v>
      </c>
      <c r="E1169" t="s">
        <v>1636</v>
      </c>
      <c r="F1169" s="5">
        <v>55800000</v>
      </c>
      <c r="G1169" s="5">
        <v>58800000</v>
      </c>
      <c r="H1169" s="5">
        <f>M1169*26000*1.20565</f>
        <v>60834928.830000006</v>
      </c>
      <c r="I1169" s="5">
        <f>G1169-H1169</f>
        <v>-2034928.8300000057</v>
      </c>
      <c r="J1169" s="5">
        <v>3000000</v>
      </c>
      <c r="K1169" s="5">
        <v>5580000</v>
      </c>
      <c r="L1169" s="5">
        <v>5880000</v>
      </c>
      <c r="M1169" s="7">
        <v>1940.7</v>
      </c>
      <c r="N1169" s="5">
        <v>56300000</v>
      </c>
      <c r="O1169" s="5">
        <v>59300000</v>
      </c>
      <c r="P1169" s="3">
        <v>0.97916666666666663</v>
      </c>
    </row>
    <row r="1170" spans="1:16" x14ac:dyDescent="0.25">
      <c r="A1170" t="s">
        <v>730</v>
      </c>
      <c r="B1170" s="2">
        <v>44070</v>
      </c>
      <c r="C1170" t="str">
        <f>TEXT(B1170,"mm")</f>
        <v>08</v>
      </c>
      <c r="D1170" t="s">
        <v>20</v>
      </c>
      <c r="E1170" t="s">
        <v>1636</v>
      </c>
      <c r="F1170" s="5">
        <v>55200000</v>
      </c>
      <c r="G1170" s="5">
        <v>58200000</v>
      </c>
      <c r="H1170" s="5">
        <f>M1170*26000*1.20565</f>
        <v>60236203.040000007</v>
      </c>
      <c r="I1170" s="5">
        <f>G1170-H1170</f>
        <v>-2036203.0400000066</v>
      </c>
      <c r="J1170" s="5">
        <v>3000000</v>
      </c>
      <c r="K1170" s="5">
        <v>5520000</v>
      </c>
      <c r="L1170" s="5">
        <v>5820000</v>
      </c>
      <c r="M1170" s="7">
        <v>1921.6</v>
      </c>
      <c r="N1170" s="5">
        <v>55700000</v>
      </c>
      <c r="O1170" s="5">
        <v>58700000</v>
      </c>
      <c r="P1170" s="3">
        <v>0.97916666666666663</v>
      </c>
    </row>
    <row r="1171" spans="1:16" x14ac:dyDescent="0.25">
      <c r="A1171" t="s">
        <v>731</v>
      </c>
      <c r="B1171" s="2">
        <v>44071</v>
      </c>
      <c r="C1171" t="str">
        <f>TEXT(B1171,"mm")</f>
        <v>08</v>
      </c>
      <c r="D1171" t="s">
        <v>21</v>
      </c>
      <c r="E1171" t="s">
        <v>1636</v>
      </c>
      <c r="F1171" s="5">
        <v>56500000</v>
      </c>
      <c r="G1171" s="5">
        <v>59500000</v>
      </c>
      <c r="H1171" s="5">
        <f>M1171*26000*1.20565</f>
        <v>61584119.740000002</v>
      </c>
      <c r="I1171" s="5">
        <f>G1171-H1171</f>
        <v>-2084119.7400000021</v>
      </c>
      <c r="J1171" s="5">
        <v>3000000</v>
      </c>
      <c r="K1171" s="5">
        <v>5650000</v>
      </c>
      <c r="L1171" s="5">
        <v>5950000</v>
      </c>
      <c r="M1171" s="7">
        <v>1964.6</v>
      </c>
      <c r="N1171" s="5">
        <v>57000000</v>
      </c>
      <c r="O1171" s="5">
        <v>60000000</v>
      </c>
      <c r="P1171" s="3">
        <v>0.97916666666666663</v>
      </c>
    </row>
    <row r="1172" spans="1:16" x14ac:dyDescent="0.25">
      <c r="A1172" t="s">
        <v>732</v>
      </c>
      <c r="B1172" s="2">
        <v>44074</v>
      </c>
      <c r="C1172" t="str">
        <f>TEXT(B1172,"mm")</f>
        <v>08</v>
      </c>
      <c r="D1172" t="s">
        <v>16</v>
      </c>
      <c r="E1172" t="s">
        <v>1636</v>
      </c>
      <c r="F1172" s="5">
        <v>56600000</v>
      </c>
      <c r="G1172" s="5">
        <v>59600000</v>
      </c>
      <c r="H1172" s="5">
        <f>M1172*26000*1.20565</f>
        <v>61678160.440000005</v>
      </c>
      <c r="I1172" s="5">
        <f>G1172-H1172</f>
        <v>-2078160.4400000051</v>
      </c>
      <c r="J1172" s="5">
        <v>3000000</v>
      </c>
      <c r="K1172" s="5">
        <v>5660000</v>
      </c>
      <c r="L1172" s="5">
        <v>5960000</v>
      </c>
      <c r="M1172" s="7">
        <v>1967.6</v>
      </c>
      <c r="N1172" s="5">
        <v>57100000</v>
      </c>
      <c r="O1172" s="5">
        <v>60100000</v>
      </c>
      <c r="P1172" s="3">
        <v>0.97916666666666663</v>
      </c>
    </row>
    <row r="1173" spans="1:16" x14ac:dyDescent="0.25">
      <c r="A1173" s="2">
        <v>43839</v>
      </c>
      <c r="B1173" s="2">
        <v>44075</v>
      </c>
      <c r="C1173" t="str">
        <f>TEXT(B1173,"mm")</f>
        <v>09</v>
      </c>
      <c r="D1173" t="s">
        <v>18</v>
      </c>
      <c r="E1173" t="s">
        <v>1636</v>
      </c>
      <c r="F1173" s="5">
        <v>56600000</v>
      </c>
      <c r="G1173" s="5">
        <v>59600000</v>
      </c>
      <c r="H1173" s="5">
        <f>M1173*26000*1.20565</f>
        <v>61696968.580000006</v>
      </c>
      <c r="I1173" s="5">
        <f>G1173-H1173</f>
        <v>-2096968.5800000057</v>
      </c>
      <c r="J1173" s="5">
        <v>3000000</v>
      </c>
      <c r="K1173" s="5">
        <v>5660000</v>
      </c>
      <c r="L1173" s="5">
        <v>5960000</v>
      </c>
      <c r="M1173" s="7">
        <v>1968.2</v>
      </c>
      <c r="N1173" s="5">
        <v>57100000</v>
      </c>
      <c r="O1173" s="5">
        <v>60100000</v>
      </c>
      <c r="P1173" s="3">
        <v>0.97916666666666663</v>
      </c>
    </row>
    <row r="1174" spans="1:16" x14ac:dyDescent="0.25">
      <c r="A1174" s="2">
        <v>43870</v>
      </c>
      <c r="B1174" s="2">
        <v>44076</v>
      </c>
      <c r="C1174" t="str">
        <f>TEXT(B1174,"mm")</f>
        <v>09</v>
      </c>
      <c r="D1174" t="s">
        <v>19</v>
      </c>
      <c r="E1174" t="s">
        <v>1636</v>
      </c>
      <c r="F1174" s="5">
        <v>55600000</v>
      </c>
      <c r="G1174" s="5">
        <v>58600000</v>
      </c>
      <c r="H1174" s="5">
        <f>M1174*26000*1.20565</f>
        <v>60637443.360000007</v>
      </c>
      <c r="I1174" s="5">
        <f>G1174-H1174</f>
        <v>-2037443.3600000069</v>
      </c>
      <c r="J1174" s="5">
        <v>3000000</v>
      </c>
      <c r="K1174" s="5">
        <v>5560000</v>
      </c>
      <c r="L1174" s="5">
        <v>5860000</v>
      </c>
      <c r="M1174" s="7">
        <v>1934.4</v>
      </c>
      <c r="N1174" s="5">
        <v>56100000</v>
      </c>
      <c r="O1174" s="5">
        <v>59100000</v>
      </c>
      <c r="P1174" s="3">
        <v>0.97916666666666663</v>
      </c>
    </row>
    <row r="1175" spans="1:16" x14ac:dyDescent="0.25">
      <c r="A1175" s="2">
        <v>43899</v>
      </c>
      <c r="B1175" s="2">
        <v>44077</v>
      </c>
      <c r="C1175" t="str">
        <f>TEXT(B1175,"mm")</f>
        <v>09</v>
      </c>
      <c r="D1175" t="s">
        <v>20</v>
      </c>
      <c r="E1175" t="s">
        <v>1636</v>
      </c>
      <c r="F1175" s="5">
        <v>55400000</v>
      </c>
      <c r="G1175" s="5">
        <v>58400000</v>
      </c>
      <c r="H1175" s="5">
        <f>M1175*26000*1.20565</f>
        <v>60424284.440000005</v>
      </c>
      <c r="I1175" s="5">
        <f>G1175-H1175</f>
        <v>-2024284.4400000051</v>
      </c>
      <c r="J1175" s="5">
        <v>3000000</v>
      </c>
      <c r="K1175" s="5">
        <v>5540000</v>
      </c>
      <c r="L1175" s="5">
        <v>5840000</v>
      </c>
      <c r="M1175" s="7">
        <v>1927.6</v>
      </c>
      <c r="N1175" s="5">
        <v>55900000</v>
      </c>
      <c r="O1175" s="5">
        <v>58900000</v>
      </c>
      <c r="P1175" s="3">
        <v>0.97916666666666663</v>
      </c>
    </row>
    <row r="1176" spans="1:16" x14ac:dyDescent="0.25">
      <c r="A1176" s="2">
        <v>43930</v>
      </c>
      <c r="B1176" s="2">
        <v>44078</v>
      </c>
      <c r="C1176" t="str">
        <f>TEXT(B1176,"mm")</f>
        <v>09</v>
      </c>
      <c r="D1176" t="s">
        <v>21</v>
      </c>
      <c r="E1176" t="s">
        <v>1636</v>
      </c>
      <c r="F1176" s="5">
        <v>55200000</v>
      </c>
      <c r="G1176" s="5">
        <v>58200000</v>
      </c>
      <c r="H1176" s="5">
        <f>M1176*26000*1.20565</f>
        <v>60308300.910000004</v>
      </c>
      <c r="I1176" s="5">
        <f>G1176-H1176</f>
        <v>-2108300.9100000039</v>
      </c>
      <c r="J1176" s="5">
        <v>3000000</v>
      </c>
      <c r="K1176" s="5">
        <v>5520000</v>
      </c>
      <c r="L1176" s="5">
        <v>5820000</v>
      </c>
      <c r="M1176" s="7">
        <v>1923.9</v>
      </c>
      <c r="N1176" s="5">
        <v>55700000</v>
      </c>
      <c r="O1176" s="5">
        <v>58700000</v>
      </c>
      <c r="P1176" s="3">
        <v>0.97916666666666663</v>
      </c>
    </row>
    <row r="1177" spans="1:16" x14ac:dyDescent="0.25">
      <c r="A1177" s="2">
        <v>44052</v>
      </c>
      <c r="B1177" s="2">
        <v>44082</v>
      </c>
      <c r="C1177" t="str">
        <f>TEXT(B1177,"mm")</f>
        <v>09</v>
      </c>
      <c r="D1177" t="s">
        <v>18</v>
      </c>
      <c r="E1177" t="s">
        <v>1636</v>
      </c>
      <c r="F1177" s="5">
        <v>55500000</v>
      </c>
      <c r="G1177" s="5">
        <v>58500000</v>
      </c>
      <c r="H1177" s="5">
        <f>M1177*26000*1.20565</f>
        <v>60593557.700000003</v>
      </c>
      <c r="I1177" s="5">
        <f>G1177-H1177</f>
        <v>-2093557.700000003</v>
      </c>
      <c r="J1177" s="5">
        <v>3000000</v>
      </c>
      <c r="K1177" s="5">
        <v>5550000</v>
      </c>
      <c r="L1177" s="5">
        <v>5850000</v>
      </c>
      <c r="M1177" s="7">
        <v>1933</v>
      </c>
      <c r="N1177" s="5">
        <v>56000000</v>
      </c>
      <c r="O1177" s="5">
        <v>59000000</v>
      </c>
      <c r="P1177" s="3">
        <v>0.97916666666666663</v>
      </c>
    </row>
    <row r="1178" spans="1:16" x14ac:dyDescent="0.25">
      <c r="A1178" s="2">
        <v>44083</v>
      </c>
      <c r="B1178" s="2">
        <v>44083</v>
      </c>
      <c r="C1178" t="str">
        <f>TEXT(B1178,"mm")</f>
        <v>09</v>
      </c>
      <c r="D1178" t="s">
        <v>19</v>
      </c>
      <c r="E1178" t="s">
        <v>1636</v>
      </c>
      <c r="F1178" s="5">
        <v>55900000</v>
      </c>
      <c r="G1178" s="5">
        <v>58900000</v>
      </c>
      <c r="H1178" s="5">
        <f>M1178*26000*1.20565</f>
        <v>60960316.430000007</v>
      </c>
      <c r="I1178" s="5">
        <f>G1178-H1178</f>
        <v>-2060316.4300000072</v>
      </c>
      <c r="J1178" s="5">
        <v>3000000</v>
      </c>
      <c r="K1178" s="5">
        <v>5590000</v>
      </c>
      <c r="L1178" s="5">
        <v>5890000</v>
      </c>
      <c r="M1178" s="7">
        <v>1944.7</v>
      </c>
      <c r="N1178" s="5">
        <v>56400000</v>
      </c>
      <c r="O1178" s="5">
        <v>59400000</v>
      </c>
      <c r="P1178" s="3">
        <v>0.97916666666666663</v>
      </c>
    </row>
    <row r="1179" spans="1:16" x14ac:dyDescent="0.25">
      <c r="A1179" s="2">
        <v>44113</v>
      </c>
      <c r="B1179" s="2">
        <v>44084</v>
      </c>
      <c r="C1179" t="str">
        <f>TEXT(B1179,"mm")</f>
        <v>09</v>
      </c>
      <c r="D1179" t="s">
        <v>20</v>
      </c>
      <c r="E1179" t="s">
        <v>1636</v>
      </c>
      <c r="F1179" s="5">
        <v>56200000</v>
      </c>
      <c r="G1179" s="5">
        <v>59200000</v>
      </c>
      <c r="H1179" s="5">
        <f>M1179*26000*1.20565</f>
        <v>61258111.980000004</v>
      </c>
      <c r="I1179" s="5">
        <f>G1179-H1179</f>
        <v>-2058111.9800000042</v>
      </c>
      <c r="J1179" s="5">
        <v>3000000</v>
      </c>
      <c r="K1179" s="5">
        <v>5620000</v>
      </c>
      <c r="L1179" s="5">
        <v>5920000</v>
      </c>
      <c r="M1179" s="7">
        <v>1954.2</v>
      </c>
      <c r="N1179" s="5">
        <v>56700000</v>
      </c>
      <c r="O1179" s="5">
        <v>59700000</v>
      </c>
      <c r="P1179" s="3">
        <v>0.97916666666666663</v>
      </c>
    </row>
    <row r="1180" spans="1:16" x14ac:dyDescent="0.25">
      <c r="A1180" s="2">
        <v>44144</v>
      </c>
      <c r="B1180" s="2">
        <v>44085</v>
      </c>
      <c r="C1180" t="str">
        <f>TEXT(B1180,"mm")</f>
        <v>09</v>
      </c>
      <c r="D1180" t="s">
        <v>21</v>
      </c>
      <c r="E1180" t="s">
        <v>1636</v>
      </c>
      <c r="F1180" s="5">
        <v>55700000</v>
      </c>
      <c r="G1180" s="5">
        <v>58700000</v>
      </c>
      <c r="H1180" s="5">
        <f>M1180*26000*1.20565</f>
        <v>60744022.820000008</v>
      </c>
      <c r="I1180" s="5">
        <f>G1180-H1180</f>
        <v>-2044022.8200000077</v>
      </c>
      <c r="J1180" s="5">
        <v>3000000</v>
      </c>
      <c r="K1180" s="5">
        <v>5570000</v>
      </c>
      <c r="L1180" s="5">
        <v>5870000</v>
      </c>
      <c r="M1180" s="7">
        <v>1937.8</v>
      </c>
      <c r="N1180" s="5">
        <v>56200000</v>
      </c>
      <c r="O1180" s="5">
        <v>59200000</v>
      </c>
      <c r="P1180" s="3">
        <v>0.97916666666666663</v>
      </c>
    </row>
    <row r="1181" spans="1:16" x14ac:dyDescent="0.25">
      <c r="A1181" t="s">
        <v>733</v>
      </c>
      <c r="B1181" s="2">
        <v>44088</v>
      </c>
      <c r="C1181" t="str">
        <f>TEXT(B1181,"mm")</f>
        <v>09</v>
      </c>
      <c r="D1181" t="s">
        <v>16</v>
      </c>
      <c r="E1181" t="s">
        <v>1636</v>
      </c>
      <c r="F1181" s="5">
        <v>56100000</v>
      </c>
      <c r="G1181" s="5">
        <v>59100000</v>
      </c>
      <c r="H1181" s="5">
        <f>M1181*26000*1.20565</f>
        <v>61223630.390000008</v>
      </c>
      <c r="I1181" s="5">
        <f>G1181-H1181</f>
        <v>-2123630.390000008</v>
      </c>
      <c r="J1181" s="5">
        <v>3000000</v>
      </c>
      <c r="K1181" s="5">
        <v>5610000</v>
      </c>
      <c r="L1181" s="5">
        <v>5910000</v>
      </c>
      <c r="M1181" s="7">
        <v>1953.1</v>
      </c>
      <c r="N1181" s="5">
        <v>56600000</v>
      </c>
      <c r="O1181" s="5">
        <v>59600000</v>
      </c>
      <c r="P1181" s="3">
        <v>0.97916666666666663</v>
      </c>
    </row>
    <row r="1182" spans="1:16" x14ac:dyDescent="0.25">
      <c r="A1182" t="s">
        <v>734</v>
      </c>
      <c r="B1182" s="2">
        <v>44089</v>
      </c>
      <c r="C1182" t="str">
        <f>TEXT(B1182,"mm")</f>
        <v>09</v>
      </c>
      <c r="D1182" t="s">
        <v>18</v>
      </c>
      <c r="E1182" t="s">
        <v>1636</v>
      </c>
      <c r="F1182" s="5">
        <v>56200000</v>
      </c>
      <c r="G1182" s="5">
        <v>59200000</v>
      </c>
      <c r="H1182" s="5">
        <f>M1182*26000*1.20565</f>
        <v>61323940.470000006</v>
      </c>
      <c r="I1182" s="5">
        <f>G1182-H1182</f>
        <v>-2123940.4700000063</v>
      </c>
      <c r="J1182" s="5">
        <v>3000000</v>
      </c>
      <c r="K1182" s="5">
        <v>5620000</v>
      </c>
      <c r="L1182" s="5">
        <v>5920000</v>
      </c>
      <c r="M1182" s="7">
        <v>1956.3</v>
      </c>
      <c r="N1182" s="5">
        <v>56700000</v>
      </c>
      <c r="O1182" s="5">
        <v>59700000</v>
      </c>
      <c r="P1182" s="3">
        <v>0.97916666666666663</v>
      </c>
    </row>
    <row r="1183" spans="1:16" x14ac:dyDescent="0.25">
      <c r="A1183" t="s">
        <v>735</v>
      </c>
      <c r="B1183" s="2">
        <v>44090</v>
      </c>
      <c r="C1183" t="str">
        <f>TEXT(B1183,"mm")</f>
        <v>09</v>
      </c>
      <c r="D1183" t="s">
        <v>19</v>
      </c>
      <c r="E1183" t="s">
        <v>1636</v>
      </c>
      <c r="F1183" s="5">
        <v>56300000</v>
      </c>
      <c r="G1183" s="5">
        <v>59300000</v>
      </c>
      <c r="H1183" s="5">
        <f>M1183*26000*1.20565</f>
        <v>61446193.380000003</v>
      </c>
      <c r="I1183" s="5">
        <f>G1183-H1183</f>
        <v>-2146193.3800000027</v>
      </c>
      <c r="J1183" s="5">
        <v>3000000</v>
      </c>
      <c r="K1183" s="5">
        <v>5630000</v>
      </c>
      <c r="L1183" s="5">
        <v>5930000</v>
      </c>
      <c r="M1183" s="7">
        <v>1960.2</v>
      </c>
      <c r="N1183" s="5">
        <v>56800000</v>
      </c>
      <c r="O1183" s="5">
        <v>59800000</v>
      </c>
      <c r="P1183" s="3">
        <v>0.97916666666666663</v>
      </c>
    </row>
    <row r="1184" spans="1:16" x14ac:dyDescent="0.25">
      <c r="A1184" t="s">
        <v>736</v>
      </c>
      <c r="B1184" s="2">
        <v>44091</v>
      </c>
      <c r="C1184" t="str">
        <f>TEXT(B1184,"mm")</f>
        <v>09</v>
      </c>
      <c r="D1184" t="s">
        <v>20</v>
      </c>
      <c r="E1184" t="s">
        <v>1636</v>
      </c>
      <c r="F1184" s="5">
        <v>55700000</v>
      </c>
      <c r="G1184" s="5">
        <v>58700000</v>
      </c>
      <c r="H1184" s="5">
        <f>M1184*26000*1.20565</f>
        <v>60812986.000000007</v>
      </c>
      <c r="I1184" s="5">
        <f>G1184-H1184</f>
        <v>-2112986.0000000075</v>
      </c>
      <c r="J1184" s="5">
        <v>3000000</v>
      </c>
      <c r="K1184" s="5">
        <v>5570000</v>
      </c>
      <c r="L1184" s="5">
        <v>5870000</v>
      </c>
      <c r="M1184" s="7">
        <v>1940</v>
      </c>
      <c r="N1184" s="5">
        <v>56200000</v>
      </c>
      <c r="O1184" s="5">
        <v>59200000</v>
      </c>
      <c r="P1184" s="3">
        <v>0.97916666666666663</v>
      </c>
    </row>
    <row r="1185" spans="1:16" x14ac:dyDescent="0.25">
      <c r="A1185" t="s">
        <v>737</v>
      </c>
      <c r="B1185" s="2">
        <v>44092</v>
      </c>
      <c r="C1185" t="str">
        <f>TEXT(B1185,"mm")</f>
        <v>09</v>
      </c>
      <c r="D1185" t="s">
        <v>21</v>
      </c>
      <c r="E1185" t="s">
        <v>1636</v>
      </c>
      <c r="F1185" s="5">
        <v>56100000</v>
      </c>
      <c r="G1185" s="5">
        <v>59100000</v>
      </c>
      <c r="H1185" s="5">
        <f>M1185*26000*1.20565</f>
        <v>61192283.490000002</v>
      </c>
      <c r="I1185" s="5">
        <f>G1185-H1185</f>
        <v>-2092283.4900000021</v>
      </c>
      <c r="J1185" s="5">
        <v>3000000</v>
      </c>
      <c r="K1185" s="5">
        <v>5610000</v>
      </c>
      <c r="L1185" s="5">
        <v>5910000</v>
      </c>
      <c r="M1185" s="7">
        <v>1952.1</v>
      </c>
      <c r="N1185" s="5">
        <v>56600000</v>
      </c>
      <c r="O1185" s="5">
        <v>59600000</v>
      </c>
      <c r="P1185" s="3">
        <v>0.97916666666666663</v>
      </c>
    </row>
    <row r="1186" spans="1:16" x14ac:dyDescent="0.25">
      <c r="A1186" t="s">
        <v>738</v>
      </c>
      <c r="B1186" s="2">
        <v>44095</v>
      </c>
      <c r="C1186" t="str">
        <f>TEXT(B1186,"mm")</f>
        <v>09</v>
      </c>
      <c r="D1186" t="s">
        <v>16</v>
      </c>
      <c r="E1186" t="s">
        <v>1636</v>
      </c>
      <c r="F1186" s="5">
        <v>54600000</v>
      </c>
      <c r="G1186" s="5">
        <v>57600000</v>
      </c>
      <c r="H1186" s="5">
        <f>M1186*26000*1.20565</f>
        <v>59596726.280000009</v>
      </c>
      <c r="I1186" s="5">
        <f>G1186-H1186</f>
        <v>-1996726.2800000086</v>
      </c>
      <c r="J1186" s="5">
        <v>3000000</v>
      </c>
      <c r="K1186" s="5">
        <v>5460000</v>
      </c>
      <c r="L1186" s="5">
        <v>5760000</v>
      </c>
      <c r="M1186" s="7">
        <v>1901.2</v>
      </c>
      <c r="N1186" s="5">
        <v>55100000</v>
      </c>
      <c r="O1186" s="5">
        <v>58100000</v>
      </c>
      <c r="P1186" s="3">
        <v>0.97916666666666663</v>
      </c>
    </row>
    <row r="1187" spans="1:16" x14ac:dyDescent="0.25">
      <c r="A1187" t="s">
        <v>739</v>
      </c>
      <c r="B1187" s="2">
        <v>44096</v>
      </c>
      <c r="C1187" t="str">
        <f>TEXT(B1187,"mm")</f>
        <v>09</v>
      </c>
      <c r="D1187" t="s">
        <v>18</v>
      </c>
      <c r="E1187" t="s">
        <v>1636</v>
      </c>
      <c r="F1187" s="5">
        <v>54500000</v>
      </c>
      <c r="G1187" s="5">
        <v>57500000</v>
      </c>
      <c r="H1187" s="5">
        <f>M1187*26000*1.20565</f>
        <v>59515224.340000004</v>
      </c>
      <c r="I1187" s="5">
        <f>G1187-H1187</f>
        <v>-2015224.3400000036</v>
      </c>
      <c r="J1187" s="5">
        <v>3000000</v>
      </c>
      <c r="K1187" s="5">
        <v>5450000</v>
      </c>
      <c r="L1187" s="5">
        <v>5750000</v>
      </c>
      <c r="M1187" s="7">
        <v>1898.6</v>
      </c>
      <c r="N1187" s="5">
        <v>55000000</v>
      </c>
      <c r="O1187" s="5">
        <v>58000000</v>
      </c>
      <c r="P1187" s="3">
        <v>0.97916666666666663</v>
      </c>
    </row>
    <row r="1188" spans="1:16" x14ac:dyDescent="0.25">
      <c r="A1188" t="s">
        <v>740</v>
      </c>
      <c r="B1188" s="2">
        <v>44097</v>
      </c>
      <c r="C1188" t="str">
        <f>TEXT(B1188,"mm")</f>
        <v>09</v>
      </c>
      <c r="D1188" t="s">
        <v>19</v>
      </c>
      <c r="E1188" t="s">
        <v>1636</v>
      </c>
      <c r="F1188" s="5">
        <v>53300000</v>
      </c>
      <c r="G1188" s="5">
        <v>56300000</v>
      </c>
      <c r="H1188" s="5">
        <f>M1188*26000*1.20565</f>
        <v>58302099.310000002</v>
      </c>
      <c r="I1188" s="5">
        <f>G1188-H1188</f>
        <v>-2002099.3100000024</v>
      </c>
      <c r="J1188" s="5">
        <v>3000000</v>
      </c>
      <c r="K1188" s="5">
        <v>5330000</v>
      </c>
      <c r="L1188" s="5">
        <v>5630000</v>
      </c>
      <c r="M1188" s="7">
        <v>1859.9</v>
      </c>
      <c r="N1188" s="5">
        <v>53800000</v>
      </c>
      <c r="O1188" s="5">
        <v>56800000</v>
      </c>
      <c r="P1188" s="3">
        <v>0.97916666666666663</v>
      </c>
    </row>
    <row r="1189" spans="1:16" x14ac:dyDescent="0.25">
      <c r="A1189" t="s">
        <v>741</v>
      </c>
      <c r="B1189" s="2">
        <v>44098</v>
      </c>
      <c r="C1189" t="str">
        <f>TEXT(B1189,"mm")</f>
        <v>09</v>
      </c>
      <c r="D1189" t="s">
        <v>20</v>
      </c>
      <c r="E1189" t="s">
        <v>1636</v>
      </c>
      <c r="F1189" s="5">
        <v>53600000</v>
      </c>
      <c r="G1189" s="5">
        <v>56600000</v>
      </c>
      <c r="H1189" s="5">
        <f>M1189*26000*1.20565</f>
        <v>58565413.270000003</v>
      </c>
      <c r="I1189" s="5">
        <f>G1189-H1189</f>
        <v>-1965413.2700000033</v>
      </c>
      <c r="J1189" s="5">
        <v>3000000</v>
      </c>
      <c r="K1189" s="5">
        <v>5360000</v>
      </c>
      <c r="L1189" s="5">
        <v>5660000</v>
      </c>
      <c r="M1189" s="7">
        <v>1868.3</v>
      </c>
      <c r="N1189" s="5">
        <v>54100000</v>
      </c>
      <c r="O1189" s="5">
        <v>57100000</v>
      </c>
      <c r="P1189" s="3">
        <v>0.97916666666666663</v>
      </c>
    </row>
    <row r="1190" spans="1:16" x14ac:dyDescent="0.25">
      <c r="A1190" t="s">
        <v>742</v>
      </c>
      <c r="B1190" s="2">
        <v>44099</v>
      </c>
      <c r="C1190" t="str">
        <f>TEXT(B1190,"mm")</f>
        <v>09</v>
      </c>
      <c r="D1190" t="s">
        <v>21</v>
      </c>
      <c r="E1190" t="s">
        <v>1636</v>
      </c>
      <c r="F1190" s="5">
        <v>53200000</v>
      </c>
      <c r="G1190" s="5">
        <v>56200000</v>
      </c>
      <c r="H1190" s="5">
        <f>M1190*26000*1.20565</f>
        <v>58233136.130000003</v>
      </c>
      <c r="I1190" s="5">
        <f>G1190-H1190</f>
        <v>-2033136.1300000027</v>
      </c>
      <c r="J1190" s="5">
        <v>3000000</v>
      </c>
      <c r="K1190" s="5">
        <v>5320000</v>
      </c>
      <c r="L1190" s="5">
        <v>5620000</v>
      </c>
      <c r="M1190" s="7">
        <v>1857.7</v>
      </c>
      <c r="N1190" s="5">
        <v>53700000</v>
      </c>
      <c r="O1190" s="5">
        <v>56700000</v>
      </c>
      <c r="P1190" s="3">
        <v>0.97916666666666663</v>
      </c>
    </row>
    <row r="1191" spans="1:16" x14ac:dyDescent="0.25">
      <c r="A1191" t="s">
        <v>743</v>
      </c>
      <c r="B1191" s="2">
        <v>44102</v>
      </c>
      <c r="C1191" t="str">
        <f>TEXT(B1191,"mm")</f>
        <v>09</v>
      </c>
      <c r="D1191" t="s">
        <v>16</v>
      </c>
      <c r="E1191" t="s">
        <v>1636</v>
      </c>
      <c r="F1191" s="5">
        <v>53700000</v>
      </c>
      <c r="G1191" s="5">
        <v>56700000</v>
      </c>
      <c r="H1191" s="5">
        <f>M1191*26000*1.20565</f>
        <v>58706474.320000008</v>
      </c>
      <c r="I1191" s="5">
        <f>G1191-H1191</f>
        <v>-2006474.3200000077</v>
      </c>
      <c r="J1191" s="5">
        <v>3000000</v>
      </c>
      <c r="K1191" s="5">
        <v>5370000</v>
      </c>
      <c r="L1191" s="5">
        <v>5670000</v>
      </c>
      <c r="M1191" s="7">
        <v>1872.8</v>
      </c>
      <c r="N1191" s="5">
        <v>54200000</v>
      </c>
      <c r="O1191" s="5">
        <v>57200000</v>
      </c>
      <c r="P1191" s="3">
        <v>0.97916666666666663</v>
      </c>
    </row>
    <row r="1192" spans="1:16" x14ac:dyDescent="0.25">
      <c r="A1192" t="s">
        <v>744</v>
      </c>
      <c r="B1192" s="2">
        <v>44103</v>
      </c>
      <c r="C1192" t="str">
        <f>TEXT(B1192,"mm")</f>
        <v>09</v>
      </c>
      <c r="D1192" t="s">
        <v>18</v>
      </c>
      <c r="E1192" t="s">
        <v>1636</v>
      </c>
      <c r="F1192" s="5">
        <v>54300000</v>
      </c>
      <c r="G1192" s="5">
        <v>57300000</v>
      </c>
      <c r="H1192" s="5">
        <f>M1192*26000*1.20565</f>
        <v>59380432.670000002</v>
      </c>
      <c r="I1192" s="5">
        <f>G1192-H1192</f>
        <v>-2080432.6700000018</v>
      </c>
      <c r="J1192" s="5">
        <v>3000000</v>
      </c>
      <c r="K1192" s="5">
        <v>5430000</v>
      </c>
      <c r="L1192" s="5">
        <v>5730000</v>
      </c>
      <c r="M1192" s="7">
        <v>1894.3</v>
      </c>
      <c r="N1192" s="5">
        <v>54800000</v>
      </c>
      <c r="O1192" s="5">
        <v>57800000</v>
      </c>
      <c r="P1192" s="3">
        <v>0.97916666666666663</v>
      </c>
    </row>
    <row r="1193" spans="1:16" x14ac:dyDescent="0.25">
      <c r="A1193" t="s">
        <v>745</v>
      </c>
      <c r="B1193" s="2">
        <v>44104</v>
      </c>
      <c r="C1193" t="str">
        <f>TEXT(B1193,"mm")</f>
        <v>09</v>
      </c>
      <c r="D1193" t="s">
        <v>19</v>
      </c>
      <c r="E1193" t="s">
        <v>1636</v>
      </c>
      <c r="F1193" s="5">
        <v>54100000</v>
      </c>
      <c r="G1193" s="5">
        <v>57100000</v>
      </c>
      <c r="H1193" s="5">
        <f>M1193*26000*1.20565</f>
        <v>59167273.750000007</v>
      </c>
      <c r="I1193" s="5">
        <f>G1193-H1193</f>
        <v>-2067273.7500000075</v>
      </c>
      <c r="J1193" s="5">
        <v>3000000</v>
      </c>
      <c r="K1193" s="5">
        <v>5410000</v>
      </c>
      <c r="L1193" s="5">
        <v>5710000</v>
      </c>
      <c r="M1193" s="7">
        <v>1887.5</v>
      </c>
      <c r="N1193" s="5">
        <v>54600000</v>
      </c>
      <c r="O1193" s="5">
        <v>57600000</v>
      </c>
      <c r="P1193" s="3">
        <v>0.97916666666666663</v>
      </c>
    </row>
    <row r="1194" spans="1:16" x14ac:dyDescent="0.25">
      <c r="A1194" s="2">
        <v>43840</v>
      </c>
      <c r="B1194" s="2">
        <v>44105</v>
      </c>
      <c r="C1194" t="str">
        <f>TEXT(B1194,"mm")</f>
        <v>10</v>
      </c>
      <c r="D1194" t="s">
        <v>20</v>
      </c>
      <c r="E1194" t="s">
        <v>1636</v>
      </c>
      <c r="F1194" s="5">
        <v>54800000</v>
      </c>
      <c r="G1194" s="5">
        <v>57800000</v>
      </c>
      <c r="H1194" s="5">
        <f>M1194*26000*1.20565</f>
        <v>59822423.960000008</v>
      </c>
      <c r="I1194" s="5">
        <f>G1194-H1194</f>
        <v>-2022423.9600000083</v>
      </c>
      <c r="J1194" s="5">
        <v>3000000</v>
      </c>
      <c r="K1194" s="5">
        <v>5480000</v>
      </c>
      <c r="L1194" s="5">
        <v>5780000</v>
      </c>
      <c r="M1194" s="7">
        <v>1908.4</v>
      </c>
      <c r="N1194" s="5">
        <v>55300000</v>
      </c>
      <c r="O1194" s="5">
        <v>58300000</v>
      </c>
      <c r="P1194" s="3">
        <v>0.97916666666666663</v>
      </c>
    </row>
    <row r="1195" spans="1:16" x14ac:dyDescent="0.25">
      <c r="A1195" s="2">
        <v>43871</v>
      </c>
      <c r="B1195" s="2">
        <v>44106</v>
      </c>
      <c r="C1195" t="str">
        <f>TEXT(B1195,"mm")</f>
        <v>10</v>
      </c>
      <c r="D1195" t="s">
        <v>21</v>
      </c>
      <c r="E1195" t="s">
        <v>1636</v>
      </c>
      <c r="F1195" s="5">
        <v>54500000</v>
      </c>
      <c r="G1195" s="5">
        <v>57500000</v>
      </c>
      <c r="H1195" s="5">
        <f>M1195*26000*1.20565</f>
        <v>59565379.380000003</v>
      </c>
      <c r="I1195" s="5">
        <f>G1195-H1195</f>
        <v>-2065379.3800000027</v>
      </c>
      <c r="J1195" s="5">
        <v>3000000</v>
      </c>
      <c r="K1195" s="5">
        <v>5450000</v>
      </c>
      <c r="L1195" s="5">
        <v>5750000</v>
      </c>
      <c r="M1195" s="7">
        <v>1900.2</v>
      </c>
      <c r="N1195" s="5">
        <v>55000000</v>
      </c>
      <c r="O1195" s="5">
        <v>58000000</v>
      </c>
      <c r="P1195" s="3">
        <v>0.97916666666666663</v>
      </c>
    </row>
    <row r="1196" spans="1:16" x14ac:dyDescent="0.25">
      <c r="A1196" s="2">
        <v>43961</v>
      </c>
      <c r="B1196" s="2">
        <v>44109</v>
      </c>
      <c r="C1196" t="str">
        <f>TEXT(B1196,"mm")</f>
        <v>10</v>
      </c>
      <c r="D1196" t="s">
        <v>16</v>
      </c>
      <c r="E1196" t="s">
        <v>1636</v>
      </c>
      <c r="F1196" s="5">
        <v>54900000</v>
      </c>
      <c r="G1196" s="5">
        <v>57900000</v>
      </c>
      <c r="H1196" s="5">
        <f>M1196*26000*1.20565</f>
        <v>59950946.250000007</v>
      </c>
      <c r="I1196" s="5">
        <f>G1196-H1196</f>
        <v>-2050946.2500000075</v>
      </c>
      <c r="J1196" s="5">
        <v>3000000</v>
      </c>
      <c r="K1196" s="5">
        <v>5490000</v>
      </c>
      <c r="L1196" s="5">
        <v>5790000</v>
      </c>
      <c r="M1196" s="7">
        <v>1912.5</v>
      </c>
      <c r="N1196" s="5">
        <v>55400000</v>
      </c>
      <c r="O1196" s="5">
        <v>58400000</v>
      </c>
      <c r="P1196" s="3">
        <v>0.97916666666666663</v>
      </c>
    </row>
    <row r="1197" spans="1:16" x14ac:dyDescent="0.25">
      <c r="A1197" s="2">
        <v>43992</v>
      </c>
      <c r="B1197" s="2">
        <v>44110</v>
      </c>
      <c r="C1197" t="str">
        <f>TEXT(B1197,"mm")</f>
        <v>10</v>
      </c>
      <c r="D1197" t="s">
        <v>18</v>
      </c>
      <c r="E1197" t="s">
        <v>1636</v>
      </c>
      <c r="F1197" s="5">
        <v>54600000</v>
      </c>
      <c r="G1197" s="5">
        <v>57600000</v>
      </c>
      <c r="H1197" s="5">
        <f>M1197*26000*1.20565</f>
        <v>59593591.590000004</v>
      </c>
      <c r="I1197" s="5">
        <f>G1197-H1197</f>
        <v>-1993591.5900000036</v>
      </c>
      <c r="J1197" s="5">
        <v>3000000</v>
      </c>
      <c r="K1197" s="5">
        <v>5460000</v>
      </c>
      <c r="L1197" s="5">
        <v>5760000</v>
      </c>
      <c r="M1197" s="7">
        <v>1901.1</v>
      </c>
      <c r="N1197" s="5">
        <v>55100000</v>
      </c>
      <c r="O1197" s="5">
        <v>58100000</v>
      </c>
      <c r="P1197" s="3">
        <v>0.97916666666666663</v>
      </c>
    </row>
    <row r="1198" spans="1:16" x14ac:dyDescent="0.25">
      <c r="A1198" s="2">
        <v>44022</v>
      </c>
      <c r="B1198" s="2">
        <v>44111</v>
      </c>
      <c r="C1198" t="str">
        <f>TEXT(B1198,"mm")</f>
        <v>10</v>
      </c>
      <c r="D1198" t="s">
        <v>19</v>
      </c>
      <c r="E1198" t="s">
        <v>1636</v>
      </c>
      <c r="F1198" s="5">
        <v>54000000</v>
      </c>
      <c r="G1198" s="5">
        <v>57000000</v>
      </c>
      <c r="H1198" s="5">
        <f>M1198*26000*1.20565</f>
        <v>59045020.840000004</v>
      </c>
      <c r="I1198" s="5">
        <f>G1198-H1198</f>
        <v>-2045020.8400000036</v>
      </c>
      <c r="J1198" s="5">
        <v>3000000</v>
      </c>
      <c r="K1198" s="5">
        <v>5400000</v>
      </c>
      <c r="L1198" s="5">
        <v>5700000</v>
      </c>
      <c r="M1198" s="7">
        <v>1883.6</v>
      </c>
      <c r="N1198" s="5">
        <v>54500000</v>
      </c>
      <c r="O1198" s="5">
        <v>57500000</v>
      </c>
      <c r="P1198" s="3">
        <v>0.97916666666666663</v>
      </c>
    </row>
    <row r="1199" spans="1:16" x14ac:dyDescent="0.25">
      <c r="A1199" s="2">
        <v>44053</v>
      </c>
      <c r="B1199" s="2">
        <v>44112</v>
      </c>
      <c r="C1199" t="str">
        <f>TEXT(B1199,"mm")</f>
        <v>10</v>
      </c>
      <c r="D1199" t="s">
        <v>20</v>
      </c>
      <c r="E1199" t="s">
        <v>1636</v>
      </c>
      <c r="F1199" s="5">
        <v>54200000</v>
      </c>
      <c r="G1199" s="5">
        <v>57200000</v>
      </c>
      <c r="H1199" s="5">
        <f>M1199*26000*1.20565</f>
        <v>59201755.340000004</v>
      </c>
      <c r="I1199" s="5">
        <f>G1199-H1199</f>
        <v>-2001755.3400000036</v>
      </c>
      <c r="J1199" s="5">
        <v>3000000</v>
      </c>
      <c r="K1199" s="5">
        <v>5420000</v>
      </c>
      <c r="L1199" s="5">
        <v>5720000</v>
      </c>
      <c r="M1199" s="7">
        <v>1888.6</v>
      </c>
      <c r="N1199" s="5">
        <v>54700000</v>
      </c>
      <c r="O1199" s="5">
        <v>57700000</v>
      </c>
      <c r="P1199" s="3">
        <v>0.97916666666666663</v>
      </c>
    </row>
    <row r="1200" spans="1:16" x14ac:dyDescent="0.25">
      <c r="A1200" s="2">
        <v>44084</v>
      </c>
      <c r="B1200" s="2">
        <v>44113</v>
      </c>
      <c r="C1200" t="str">
        <f>TEXT(B1200,"mm")</f>
        <v>10</v>
      </c>
      <c r="D1200" t="s">
        <v>21</v>
      </c>
      <c r="E1200" t="s">
        <v>1636</v>
      </c>
      <c r="F1200" s="5">
        <v>55100000</v>
      </c>
      <c r="G1200" s="5">
        <v>58100000</v>
      </c>
      <c r="H1200" s="5">
        <f>M1200*26000*1.20565</f>
        <v>60170374.550000004</v>
      </c>
      <c r="I1200" s="5">
        <f>G1200-H1200</f>
        <v>-2070374.5500000045</v>
      </c>
      <c r="J1200" s="5">
        <v>3000000</v>
      </c>
      <c r="K1200" s="5">
        <v>5510000</v>
      </c>
      <c r="L1200" s="5">
        <v>5810000</v>
      </c>
      <c r="M1200" s="7">
        <v>1919.5</v>
      </c>
      <c r="N1200" s="5">
        <v>55600000</v>
      </c>
      <c r="O1200" s="5">
        <v>58600000</v>
      </c>
      <c r="P1200" s="3">
        <v>0.97916666666666663</v>
      </c>
    </row>
    <row r="1201" spans="1:16" x14ac:dyDescent="0.25">
      <c r="A1201" s="2">
        <v>44175</v>
      </c>
      <c r="B1201" s="2">
        <v>44116</v>
      </c>
      <c r="C1201" t="str">
        <f>TEXT(B1201,"mm")</f>
        <v>10</v>
      </c>
      <c r="D1201" t="s">
        <v>16</v>
      </c>
      <c r="E1201" t="s">
        <v>1636</v>
      </c>
      <c r="F1201" s="5">
        <v>55200000</v>
      </c>
      <c r="G1201" s="5">
        <v>58200000</v>
      </c>
      <c r="H1201" s="5">
        <f>M1201*26000*1.20565</f>
        <v>60264415.250000007</v>
      </c>
      <c r="I1201" s="5">
        <f>G1201-H1201</f>
        <v>-2064415.2500000075</v>
      </c>
      <c r="J1201" s="5">
        <v>3000000</v>
      </c>
      <c r="K1201" s="5">
        <v>5520000</v>
      </c>
      <c r="L1201" s="5">
        <v>5820000</v>
      </c>
      <c r="M1201" s="7">
        <v>1922.5</v>
      </c>
      <c r="N1201" s="5">
        <v>55700000</v>
      </c>
      <c r="O1201" s="5">
        <v>58700000</v>
      </c>
      <c r="P1201" s="3">
        <v>0.97916666666666663</v>
      </c>
    </row>
    <row r="1202" spans="1:16" x14ac:dyDescent="0.25">
      <c r="A1202" t="s">
        <v>746</v>
      </c>
      <c r="B1202" s="2">
        <v>44117</v>
      </c>
      <c r="C1202" t="str">
        <f>TEXT(B1202,"mm")</f>
        <v>10</v>
      </c>
      <c r="D1202" t="s">
        <v>18</v>
      </c>
      <c r="E1202" t="s">
        <v>1636</v>
      </c>
      <c r="F1202" s="5">
        <v>54200000</v>
      </c>
      <c r="G1202" s="5">
        <v>57200000</v>
      </c>
      <c r="H1202" s="5">
        <f>M1202*26000*1.20565</f>
        <v>59198620.650000006</v>
      </c>
      <c r="I1202" s="5">
        <f>G1202-H1202</f>
        <v>-1998620.650000006</v>
      </c>
      <c r="J1202" s="5">
        <v>3000000</v>
      </c>
      <c r="K1202" s="5">
        <v>5420000</v>
      </c>
      <c r="L1202" s="5">
        <v>5720000</v>
      </c>
      <c r="M1202" s="7">
        <v>1888.5</v>
      </c>
      <c r="N1202" s="5">
        <v>54700000</v>
      </c>
      <c r="O1202" s="5">
        <v>57700000</v>
      </c>
      <c r="P1202" s="3">
        <v>0.97916666666666663</v>
      </c>
    </row>
    <row r="1203" spans="1:16" x14ac:dyDescent="0.25">
      <c r="A1203" t="s">
        <v>747</v>
      </c>
      <c r="B1203" s="2">
        <v>44118</v>
      </c>
      <c r="C1203" t="str">
        <f>TEXT(B1203,"mm")</f>
        <v>10</v>
      </c>
      <c r="D1203" t="s">
        <v>19</v>
      </c>
      <c r="E1203" t="s">
        <v>1636</v>
      </c>
      <c r="F1203" s="5">
        <v>54600000</v>
      </c>
      <c r="G1203" s="5">
        <v>57600000</v>
      </c>
      <c r="H1203" s="5">
        <f>M1203*26000*1.20565</f>
        <v>59599860.970000006</v>
      </c>
      <c r="I1203" s="5">
        <f>G1203-H1203</f>
        <v>-1999860.9700000063</v>
      </c>
      <c r="J1203" s="5">
        <v>3000000</v>
      </c>
      <c r="K1203" s="5">
        <v>5460000</v>
      </c>
      <c r="L1203" s="5">
        <v>5760000</v>
      </c>
      <c r="M1203" s="7">
        <v>1901.3</v>
      </c>
      <c r="N1203" s="5">
        <v>55100000</v>
      </c>
      <c r="O1203" s="5">
        <v>58100000</v>
      </c>
      <c r="P1203" s="3">
        <v>0.97916666666666663</v>
      </c>
    </row>
    <row r="1204" spans="1:16" x14ac:dyDescent="0.25">
      <c r="A1204" t="s">
        <v>748</v>
      </c>
      <c r="B1204" s="2">
        <v>44119</v>
      </c>
      <c r="C1204" t="str">
        <f>TEXT(B1204,"mm")</f>
        <v>10</v>
      </c>
      <c r="D1204" t="s">
        <v>20</v>
      </c>
      <c r="E1204" t="s">
        <v>1636</v>
      </c>
      <c r="F1204" s="5">
        <v>54600000</v>
      </c>
      <c r="G1204" s="5">
        <v>57600000</v>
      </c>
      <c r="H1204" s="5">
        <f>M1204*26000*1.20565</f>
        <v>59659420.080000006</v>
      </c>
      <c r="I1204" s="5">
        <f>G1204-H1204</f>
        <v>-2059420.0800000057</v>
      </c>
      <c r="J1204" s="5">
        <v>3000000</v>
      </c>
      <c r="K1204" s="5">
        <v>5460000</v>
      </c>
      <c r="L1204" s="5">
        <v>5760000</v>
      </c>
      <c r="M1204" s="7">
        <v>1903.2</v>
      </c>
      <c r="N1204" s="5">
        <v>55100000</v>
      </c>
      <c r="O1204" s="5">
        <v>58100000</v>
      </c>
      <c r="P1204" s="3">
        <v>0.97916666666666663</v>
      </c>
    </row>
    <row r="1205" spans="1:16" x14ac:dyDescent="0.25">
      <c r="A1205" t="s">
        <v>749</v>
      </c>
      <c r="B1205" s="2">
        <v>44120</v>
      </c>
      <c r="C1205" t="str">
        <f>TEXT(B1205,"mm")</f>
        <v>10</v>
      </c>
      <c r="D1205" t="s">
        <v>21</v>
      </c>
      <c r="E1205" t="s">
        <v>1636</v>
      </c>
      <c r="F1205" s="5">
        <v>54500000</v>
      </c>
      <c r="G1205" s="5">
        <v>57500000</v>
      </c>
      <c r="H1205" s="5">
        <f>M1205*26000*1.20565</f>
        <v>59584187.520000003</v>
      </c>
      <c r="I1205" s="5">
        <f>G1205-H1205</f>
        <v>-2084187.5200000033</v>
      </c>
      <c r="J1205" s="5">
        <v>3000000</v>
      </c>
      <c r="K1205" s="5">
        <v>5450000</v>
      </c>
      <c r="L1205" s="5">
        <v>5750000</v>
      </c>
      <c r="M1205" s="7">
        <v>1900.8</v>
      </c>
      <c r="N1205" s="5">
        <v>55000000</v>
      </c>
      <c r="O1205" s="5">
        <v>58000000</v>
      </c>
      <c r="P1205" s="3">
        <v>0.97916666666666663</v>
      </c>
    </row>
    <row r="1206" spans="1:16" x14ac:dyDescent="0.25">
      <c r="A1206" t="s">
        <v>750</v>
      </c>
      <c r="B1206" s="2">
        <v>44123</v>
      </c>
      <c r="C1206" t="str">
        <f>TEXT(B1206,"mm")</f>
        <v>10</v>
      </c>
      <c r="D1206" t="s">
        <v>16</v>
      </c>
      <c r="E1206" t="s">
        <v>1636</v>
      </c>
      <c r="F1206" s="5">
        <v>54700000</v>
      </c>
      <c r="G1206" s="5">
        <v>57700000</v>
      </c>
      <c r="H1206" s="5">
        <f>M1206*26000*1.20565</f>
        <v>59759730.160000004</v>
      </c>
      <c r="I1206" s="5">
        <f>G1206-H1206</f>
        <v>-2059730.1600000039</v>
      </c>
      <c r="J1206" s="5">
        <v>3000000</v>
      </c>
      <c r="K1206" s="5">
        <v>5470000</v>
      </c>
      <c r="L1206" s="5">
        <v>5770000</v>
      </c>
      <c r="M1206" s="7">
        <v>1906.4</v>
      </c>
      <c r="N1206" s="5">
        <v>55200000</v>
      </c>
      <c r="O1206" s="5">
        <v>58200000</v>
      </c>
      <c r="P1206" s="3">
        <v>0.97916666666666663</v>
      </c>
    </row>
    <row r="1207" spans="1:16" x14ac:dyDescent="0.25">
      <c r="A1207" t="s">
        <v>751</v>
      </c>
      <c r="B1207" s="2">
        <v>44124</v>
      </c>
      <c r="C1207" t="str">
        <f>TEXT(B1207,"mm")</f>
        <v>10</v>
      </c>
      <c r="D1207" t="s">
        <v>18</v>
      </c>
      <c r="E1207" t="s">
        <v>1636</v>
      </c>
      <c r="F1207" s="5">
        <v>54800000</v>
      </c>
      <c r="G1207" s="5">
        <v>57800000</v>
      </c>
      <c r="H1207" s="5">
        <f>M1207*26000*1.20565</f>
        <v>59885117.760000005</v>
      </c>
      <c r="I1207" s="5">
        <f>G1207-H1207</f>
        <v>-2085117.7600000054</v>
      </c>
      <c r="J1207" s="5">
        <v>3000000</v>
      </c>
      <c r="K1207" s="5">
        <v>5480000</v>
      </c>
      <c r="L1207" s="5">
        <v>5780000</v>
      </c>
      <c r="M1207" s="7">
        <v>1910.4</v>
      </c>
      <c r="N1207" s="5">
        <v>55300000</v>
      </c>
      <c r="O1207" s="5">
        <v>58300000</v>
      </c>
      <c r="P1207" s="3">
        <v>0.97916666666666663</v>
      </c>
    </row>
    <row r="1208" spans="1:16" x14ac:dyDescent="0.25">
      <c r="A1208" t="s">
        <v>752</v>
      </c>
      <c r="B1208" s="2">
        <v>44125</v>
      </c>
      <c r="C1208" t="str">
        <f>TEXT(B1208,"mm")</f>
        <v>10</v>
      </c>
      <c r="D1208" t="s">
        <v>19</v>
      </c>
      <c r="E1208" t="s">
        <v>1636</v>
      </c>
      <c r="F1208" s="5">
        <v>55300000</v>
      </c>
      <c r="G1208" s="5">
        <v>58300000</v>
      </c>
      <c r="H1208" s="5">
        <f>M1208*26000*1.20565</f>
        <v>60330243.740000002</v>
      </c>
      <c r="I1208" s="5">
        <f>G1208-H1208</f>
        <v>-2030243.7400000021</v>
      </c>
      <c r="J1208" s="5">
        <v>3000000</v>
      </c>
      <c r="K1208" s="5">
        <v>5530000</v>
      </c>
      <c r="L1208" s="5">
        <v>5830000</v>
      </c>
      <c r="M1208" s="7">
        <v>1924.6</v>
      </c>
      <c r="N1208" s="5">
        <v>55800000</v>
      </c>
      <c r="O1208" s="5">
        <v>58800000</v>
      </c>
      <c r="P1208" s="3">
        <v>0.97916666666666663</v>
      </c>
    </row>
    <row r="1209" spans="1:16" x14ac:dyDescent="0.25">
      <c r="A1209" t="s">
        <v>753</v>
      </c>
      <c r="B1209" s="2">
        <v>44126</v>
      </c>
      <c r="C1209" t="str">
        <f>TEXT(B1209,"mm")</f>
        <v>10</v>
      </c>
      <c r="D1209" t="s">
        <v>20</v>
      </c>
      <c r="E1209" t="s">
        <v>1636</v>
      </c>
      <c r="F1209" s="5">
        <v>54600000</v>
      </c>
      <c r="G1209" s="5">
        <v>57600000</v>
      </c>
      <c r="H1209" s="5">
        <f>M1209*26000*1.20565</f>
        <v>59593591.590000004</v>
      </c>
      <c r="I1209" s="5">
        <f>G1209-H1209</f>
        <v>-1993591.5900000036</v>
      </c>
      <c r="J1209" s="5">
        <v>3000000</v>
      </c>
      <c r="K1209" s="5">
        <v>5460000</v>
      </c>
      <c r="L1209" s="5">
        <v>5760000</v>
      </c>
      <c r="M1209" s="7">
        <v>1901.1</v>
      </c>
      <c r="N1209" s="5">
        <v>55100000</v>
      </c>
      <c r="O1209" s="5">
        <v>58100000</v>
      </c>
      <c r="P1209" s="3">
        <v>0.97916666666666663</v>
      </c>
    </row>
    <row r="1210" spans="1:16" x14ac:dyDescent="0.25">
      <c r="A1210" t="s">
        <v>754</v>
      </c>
      <c r="B1210" s="2">
        <v>44127</v>
      </c>
      <c r="C1210" t="str">
        <f>TEXT(B1210,"mm")</f>
        <v>10</v>
      </c>
      <c r="D1210" t="s">
        <v>21</v>
      </c>
      <c r="E1210" t="s">
        <v>1636</v>
      </c>
      <c r="F1210" s="5">
        <v>54600000</v>
      </c>
      <c r="G1210" s="5">
        <v>57600000</v>
      </c>
      <c r="H1210" s="5">
        <f>M1210*26000*1.20565</f>
        <v>59621803.800000004</v>
      </c>
      <c r="I1210" s="5">
        <f>G1210-H1210</f>
        <v>-2021803.8000000045</v>
      </c>
      <c r="J1210" s="5">
        <v>3000000</v>
      </c>
      <c r="K1210" s="5">
        <v>5460000</v>
      </c>
      <c r="L1210" s="5">
        <v>5760000</v>
      </c>
      <c r="M1210" s="7">
        <v>1902</v>
      </c>
      <c r="N1210" s="5">
        <v>55100000</v>
      </c>
      <c r="O1210" s="5">
        <v>58100000</v>
      </c>
      <c r="P1210" s="3">
        <v>0.97916666666666663</v>
      </c>
    </row>
    <row r="1211" spans="1:16" x14ac:dyDescent="0.25">
      <c r="A1211" t="s">
        <v>755</v>
      </c>
      <c r="B1211" s="2">
        <v>44130</v>
      </c>
      <c r="C1211" t="str">
        <f>TEXT(B1211,"mm")</f>
        <v>10</v>
      </c>
      <c r="D1211" t="s">
        <v>16</v>
      </c>
      <c r="E1211" t="s">
        <v>1636</v>
      </c>
      <c r="F1211" s="5">
        <v>54600000</v>
      </c>
      <c r="G1211" s="5">
        <v>57600000</v>
      </c>
      <c r="H1211" s="5">
        <f>M1211*26000*1.20565</f>
        <v>59643746.630000003</v>
      </c>
      <c r="I1211" s="5">
        <f>G1211-H1211</f>
        <v>-2043746.6300000027</v>
      </c>
      <c r="J1211" s="5">
        <v>3000000</v>
      </c>
      <c r="K1211" s="5">
        <v>5460000</v>
      </c>
      <c r="L1211" s="5">
        <v>5760000</v>
      </c>
      <c r="M1211" s="7">
        <v>1902.7</v>
      </c>
      <c r="N1211" s="5">
        <v>55100000</v>
      </c>
      <c r="O1211" s="5">
        <v>58100000</v>
      </c>
      <c r="P1211" s="3">
        <v>0.97916666666666663</v>
      </c>
    </row>
    <row r="1212" spans="1:16" x14ac:dyDescent="0.25">
      <c r="A1212" t="s">
        <v>756</v>
      </c>
      <c r="B1212" s="2">
        <v>44131</v>
      </c>
      <c r="C1212" t="str">
        <f>TEXT(B1212,"mm")</f>
        <v>10</v>
      </c>
      <c r="D1212" t="s">
        <v>18</v>
      </c>
      <c r="E1212" t="s">
        <v>1636</v>
      </c>
      <c r="F1212" s="5">
        <v>54800000</v>
      </c>
      <c r="G1212" s="5">
        <v>57800000</v>
      </c>
      <c r="H1212" s="5">
        <f>M1212*26000*1.20565</f>
        <v>59834962.720000006</v>
      </c>
      <c r="I1212" s="5">
        <f>G1212-H1212</f>
        <v>-2034962.7200000063</v>
      </c>
      <c r="J1212" s="5">
        <v>3000000</v>
      </c>
      <c r="K1212" s="5">
        <v>5480000</v>
      </c>
      <c r="L1212" s="5">
        <v>5780000</v>
      </c>
      <c r="M1212" s="7">
        <v>1908.8</v>
      </c>
      <c r="N1212" s="5">
        <v>55300000</v>
      </c>
      <c r="O1212" s="5">
        <v>58300000</v>
      </c>
      <c r="P1212" s="3">
        <v>0.97916666666666663</v>
      </c>
    </row>
    <row r="1213" spans="1:16" x14ac:dyDescent="0.25">
      <c r="A1213" t="s">
        <v>757</v>
      </c>
      <c r="B1213" s="2">
        <v>44132</v>
      </c>
      <c r="C1213" t="str">
        <f>TEXT(B1213,"mm")</f>
        <v>10</v>
      </c>
      <c r="D1213" t="s">
        <v>19</v>
      </c>
      <c r="E1213" t="s">
        <v>1636</v>
      </c>
      <c r="F1213" s="5">
        <v>53800000</v>
      </c>
      <c r="G1213" s="5">
        <v>56800000</v>
      </c>
      <c r="H1213" s="5">
        <f>M1213*26000*1.20565</f>
        <v>58813053.780000009</v>
      </c>
      <c r="I1213" s="5">
        <f>G1213-H1213</f>
        <v>-2013053.7800000086</v>
      </c>
      <c r="J1213" s="5">
        <v>3000000</v>
      </c>
      <c r="K1213" s="5">
        <v>5380000</v>
      </c>
      <c r="L1213" s="5">
        <v>5680000</v>
      </c>
      <c r="M1213" s="7">
        <v>1876.2</v>
      </c>
      <c r="N1213" s="5">
        <v>54300000</v>
      </c>
      <c r="O1213" s="5">
        <v>57300000</v>
      </c>
      <c r="P1213" s="3">
        <v>0.97916666666666663</v>
      </c>
    </row>
    <row r="1214" spans="1:16" x14ac:dyDescent="0.25">
      <c r="A1214" t="s">
        <v>758</v>
      </c>
      <c r="B1214" s="2">
        <v>44133</v>
      </c>
      <c r="C1214" t="str">
        <f>TEXT(B1214,"mm")</f>
        <v>10</v>
      </c>
      <c r="D1214" t="s">
        <v>20</v>
      </c>
      <c r="E1214" t="s">
        <v>1636</v>
      </c>
      <c r="F1214" s="5">
        <v>53500000</v>
      </c>
      <c r="G1214" s="5">
        <v>56500000</v>
      </c>
      <c r="H1214" s="5">
        <f>M1214*26000*1.20565</f>
        <v>58480776.640000008</v>
      </c>
      <c r="I1214" s="5">
        <f>G1214-H1214</f>
        <v>-1980776.640000008</v>
      </c>
      <c r="J1214" s="5">
        <v>3000000</v>
      </c>
      <c r="K1214" s="5">
        <v>5350000</v>
      </c>
      <c r="L1214" s="5">
        <v>5650000</v>
      </c>
      <c r="M1214" s="7">
        <v>1865.6</v>
      </c>
      <c r="N1214" s="5">
        <v>54000000</v>
      </c>
      <c r="O1214" s="5">
        <v>57000000</v>
      </c>
      <c r="P1214" s="3">
        <v>0.97916666666666663</v>
      </c>
    </row>
    <row r="1215" spans="1:16" x14ac:dyDescent="0.25">
      <c r="A1215" t="s">
        <v>759</v>
      </c>
      <c r="B1215" s="2">
        <v>44134</v>
      </c>
      <c r="C1215" t="str">
        <f>TEXT(B1215,"mm")</f>
        <v>10</v>
      </c>
      <c r="D1215" t="s">
        <v>21</v>
      </c>
      <c r="E1215" t="s">
        <v>1636</v>
      </c>
      <c r="F1215" s="5">
        <v>53800000</v>
      </c>
      <c r="G1215" s="5">
        <v>56800000</v>
      </c>
      <c r="H1215" s="5">
        <f>M1215*26000*1.20565</f>
        <v>58850670.060000002</v>
      </c>
      <c r="I1215" s="5">
        <f>G1215-H1215</f>
        <v>-2050670.0600000024</v>
      </c>
      <c r="J1215" s="5">
        <v>3000000</v>
      </c>
      <c r="K1215" s="5">
        <v>5380000</v>
      </c>
      <c r="L1215" s="5">
        <v>5680000</v>
      </c>
      <c r="M1215" s="7">
        <v>1877.4</v>
      </c>
      <c r="N1215" s="5">
        <v>54300000</v>
      </c>
      <c r="O1215" s="5">
        <v>57300000</v>
      </c>
      <c r="P1215" s="3">
        <v>0.97916666666666663</v>
      </c>
    </row>
    <row r="1216" spans="1:16" x14ac:dyDescent="0.25">
      <c r="A1216" s="2">
        <v>43872</v>
      </c>
      <c r="B1216" s="2">
        <v>44137</v>
      </c>
      <c r="C1216" t="str">
        <f>TEXT(B1216,"mm")</f>
        <v>11</v>
      </c>
      <c r="D1216" t="s">
        <v>16</v>
      </c>
      <c r="E1216" t="s">
        <v>1636</v>
      </c>
      <c r="F1216" s="5">
        <v>54200000</v>
      </c>
      <c r="G1216" s="5">
        <v>57200000</v>
      </c>
      <c r="H1216" s="5">
        <f>M1216*26000*1.20565</f>
        <v>59258179.760000005</v>
      </c>
      <c r="I1216" s="5">
        <f>G1216-H1216</f>
        <v>-2058179.7600000054</v>
      </c>
      <c r="J1216" s="5">
        <v>3000000</v>
      </c>
      <c r="K1216" s="5">
        <v>5420000</v>
      </c>
      <c r="L1216" s="5">
        <v>5720000</v>
      </c>
      <c r="M1216" s="7">
        <v>1890.4</v>
      </c>
      <c r="N1216" s="5">
        <v>54700000</v>
      </c>
      <c r="O1216" s="5">
        <v>57700000</v>
      </c>
      <c r="P1216" s="3">
        <v>0.97916666666666663</v>
      </c>
    </row>
    <row r="1217" spans="1:16" x14ac:dyDescent="0.25">
      <c r="A1217" s="2">
        <v>43901</v>
      </c>
      <c r="B1217" s="2">
        <v>44138</v>
      </c>
      <c r="C1217" t="str">
        <f>TEXT(B1217,"mm")</f>
        <v>11</v>
      </c>
      <c r="D1217" t="s">
        <v>18</v>
      </c>
      <c r="E1217" t="s">
        <v>1636</v>
      </c>
      <c r="F1217" s="5">
        <v>54800000</v>
      </c>
      <c r="G1217" s="5">
        <v>57800000</v>
      </c>
      <c r="H1217" s="5">
        <f>M1217*26000*1.20565</f>
        <v>59825558.650000006</v>
      </c>
      <c r="I1217" s="5">
        <f>G1217-H1217</f>
        <v>-2025558.650000006</v>
      </c>
      <c r="J1217" s="5">
        <v>3000000</v>
      </c>
      <c r="K1217" s="5">
        <v>5480000</v>
      </c>
      <c r="L1217" s="5">
        <v>5780000</v>
      </c>
      <c r="M1217" s="7">
        <v>1908.5</v>
      </c>
      <c r="N1217" s="5">
        <v>55300000</v>
      </c>
      <c r="O1217" s="5">
        <v>58300000</v>
      </c>
      <c r="P1217" s="3">
        <v>0.97916666666666663</v>
      </c>
    </row>
    <row r="1218" spans="1:16" x14ac:dyDescent="0.25">
      <c r="A1218" s="2">
        <v>43932</v>
      </c>
      <c r="B1218" s="2">
        <v>44139</v>
      </c>
      <c r="C1218" t="str">
        <f>TEXT(B1218,"mm")</f>
        <v>11</v>
      </c>
      <c r="D1218" t="s">
        <v>19</v>
      </c>
      <c r="E1218" t="s">
        <v>1636</v>
      </c>
      <c r="F1218" s="5">
        <v>54400000</v>
      </c>
      <c r="G1218" s="5">
        <v>57400000</v>
      </c>
      <c r="H1218" s="5">
        <f>M1218*26000*1.20565</f>
        <v>59389836.740000002</v>
      </c>
      <c r="I1218" s="5">
        <f>G1218-H1218</f>
        <v>-1989836.7400000021</v>
      </c>
      <c r="J1218" s="5">
        <v>3000000</v>
      </c>
      <c r="K1218" s="5">
        <v>5440000</v>
      </c>
      <c r="L1218" s="5">
        <v>5740000</v>
      </c>
      <c r="M1218" s="7">
        <v>1894.6</v>
      </c>
      <c r="N1218" s="5">
        <v>54900000</v>
      </c>
      <c r="O1218" s="5">
        <v>57900000</v>
      </c>
      <c r="P1218" s="3">
        <v>0.97916666666666663</v>
      </c>
    </row>
    <row r="1219" spans="1:16" x14ac:dyDescent="0.25">
      <c r="A1219" s="2">
        <v>43962</v>
      </c>
      <c r="B1219" s="2">
        <v>44140</v>
      </c>
      <c r="C1219" t="str">
        <f>TEXT(B1219,"mm")</f>
        <v>11</v>
      </c>
      <c r="D1219" t="s">
        <v>20</v>
      </c>
      <c r="E1219" t="s">
        <v>1636</v>
      </c>
      <c r="F1219" s="5">
        <v>55900000</v>
      </c>
      <c r="G1219" s="5">
        <v>58900000</v>
      </c>
      <c r="H1219" s="5">
        <f>M1219*26000*1.20565</f>
        <v>60979124.570000008</v>
      </c>
      <c r="I1219" s="5">
        <f>G1219-H1219</f>
        <v>-2079124.5700000077</v>
      </c>
      <c r="J1219" s="5">
        <v>3000000</v>
      </c>
      <c r="K1219" s="5">
        <v>5590000</v>
      </c>
      <c r="L1219" s="5">
        <v>5890000</v>
      </c>
      <c r="M1219" s="7">
        <v>1945.3</v>
      </c>
      <c r="N1219" s="5">
        <v>56400000</v>
      </c>
      <c r="O1219" s="5">
        <v>59400000</v>
      </c>
      <c r="P1219" s="3">
        <v>0.97916666666666663</v>
      </c>
    </row>
    <row r="1220" spans="1:16" x14ac:dyDescent="0.25">
      <c r="A1220" s="2">
        <v>43993</v>
      </c>
      <c r="B1220" s="2">
        <v>44141</v>
      </c>
      <c r="C1220" t="str">
        <f>TEXT(B1220,"mm")</f>
        <v>11</v>
      </c>
      <c r="D1220" t="s">
        <v>21</v>
      </c>
      <c r="E1220" t="s">
        <v>1636</v>
      </c>
      <c r="F1220" s="5">
        <v>56000000</v>
      </c>
      <c r="G1220" s="5">
        <v>59000000</v>
      </c>
      <c r="H1220" s="5">
        <f>M1220*26000*1.20565</f>
        <v>61135859.070000008</v>
      </c>
      <c r="I1220" s="5">
        <f>G1220-H1220</f>
        <v>-2135859.0700000077</v>
      </c>
      <c r="J1220" s="5">
        <v>3000000</v>
      </c>
      <c r="K1220" s="5">
        <v>5600000</v>
      </c>
      <c r="L1220" s="5">
        <v>5900000</v>
      </c>
      <c r="M1220" s="7">
        <v>1950.3</v>
      </c>
      <c r="N1220" s="5">
        <v>56500000</v>
      </c>
      <c r="O1220" s="5">
        <v>59500000</v>
      </c>
      <c r="P1220" s="3">
        <v>0.97916666666666663</v>
      </c>
    </row>
    <row r="1221" spans="1:16" x14ac:dyDescent="0.25">
      <c r="A1221" s="2">
        <v>44085</v>
      </c>
      <c r="B1221" s="2">
        <v>44144</v>
      </c>
      <c r="C1221" t="str">
        <f>TEXT(B1221,"mm")</f>
        <v>11</v>
      </c>
      <c r="D1221" t="s">
        <v>16</v>
      </c>
      <c r="E1221" t="s">
        <v>1636</v>
      </c>
      <c r="F1221" s="5">
        <v>53100000</v>
      </c>
      <c r="G1221" s="5">
        <v>56100000</v>
      </c>
      <c r="H1221" s="5">
        <f>M1221*26000*1.20565</f>
        <v>58092075.080000006</v>
      </c>
      <c r="I1221" s="5">
        <f>G1221-H1221</f>
        <v>-1992075.0800000057</v>
      </c>
      <c r="J1221" s="5">
        <v>3000000</v>
      </c>
      <c r="K1221" s="5">
        <v>5310000</v>
      </c>
      <c r="L1221" s="5">
        <v>5610000</v>
      </c>
      <c r="M1221" s="7">
        <v>1853.2</v>
      </c>
      <c r="N1221" s="5">
        <v>53600000</v>
      </c>
      <c r="O1221" s="5">
        <v>56600000</v>
      </c>
      <c r="P1221" s="3">
        <v>0.97916666666666663</v>
      </c>
    </row>
    <row r="1222" spans="1:16" x14ac:dyDescent="0.25">
      <c r="A1222" s="2">
        <v>44115</v>
      </c>
      <c r="B1222" s="2">
        <v>44145</v>
      </c>
      <c r="C1222" t="str">
        <f>TEXT(B1222,"mm")</f>
        <v>11</v>
      </c>
      <c r="D1222" t="s">
        <v>18</v>
      </c>
      <c r="E1222" t="s">
        <v>1636</v>
      </c>
      <c r="F1222" s="5">
        <v>53800000</v>
      </c>
      <c r="G1222" s="5">
        <v>56800000</v>
      </c>
      <c r="H1222" s="5">
        <f>M1222*26000*1.20565</f>
        <v>58787976.260000005</v>
      </c>
      <c r="I1222" s="5">
        <f>G1222-H1222</f>
        <v>-1987976.2600000054</v>
      </c>
      <c r="J1222" s="5">
        <v>3000000</v>
      </c>
      <c r="K1222" s="5">
        <v>5380000</v>
      </c>
      <c r="L1222" s="5">
        <v>5680000</v>
      </c>
      <c r="M1222" s="7">
        <v>1875.4</v>
      </c>
      <c r="N1222" s="5">
        <v>54300000</v>
      </c>
      <c r="O1222" s="5">
        <v>57300000</v>
      </c>
      <c r="P1222" s="3">
        <v>0.97916666666666663</v>
      </c>
    </row>
    <row r="1223" spans="1:16" x14ac:dyDescent="0.25">
      <c r="A1223" s="2">
        <v>44146</v>
      </c>
      <c r="B1223" s="2">
        <v>44146</v>
      </c>
      <c r="C1223" t="str">
        <f>TEXT(B1223,"mm")</f>
        <v>11</v>
      </c>
      <c r="D1223" t="s">
        <v>19</v>
      </c>
      <c r="E1223" t="s">
        <v>1636</v>
      </c>
      <c r="F1223" s="5">
        <v>53300000</v>
      </c>
      <c r="G1223" s="5">
        <v>56300000</v>
      </c>
      <c r="H1223" s="5">
        <f>M1223*26000*1.20565</f>
        <v>58327176.830000006</v>
      </c>
      <c r="I1223" s="5">
        <f>G1223-H1223</f>
        <v>-2027176.8300000057</v>
      </c>
      <c r="J1223" s="5">
        <v>3000000</v>
      </c>
      <c r="K1223" s="5">
        <v>5330000</v>
      </c>
      <c r="L1223" s="5">
        <v>5630000</v>
      </c>
      <c r="M1223" s="7">
        <v>1860.7</v>
      </c>
      <c r="N1223" s="5">
        <v>53800000</v>
      </c>
      <c r="O1223" s="5">
        <v>56800000</v>
      </c>
      <c r="P1223" s="3">
        <v>0.97916666666666663</v>
      </c>
    </row>
    <row r="1224" spans="1:16" x14ac:dyDescent="0.25">
      <c r="A1224" s="2">
        <v>44176</v>
      </c>
      <c r="B1224" s="2">
        <v>44147</v>
      </c>
      <c r="C1224" t="str">
        <f>TEXT(B1224,"mm")</f>
        <v>11</v>
      </c>
      <c r="D1224" t="s">
        <v>20</v>
      </c>
      <c r="E1224" t="s">
        <v>1636</v>
      </c>
      <c r="F1224" s="5">
        <v>53700000</v>
      </c>
      <c r="G1224" s="5">
        <v>56700000</v>
      </c>
      <c r="H1224" s="5">
        <f>M1224*26000*1.20565</f>
        <v>58700204.940000005</v>
      </c>
      <c r="I1224" s="5">
        <f>G1224-H1224</f>
        <v>-2000204.9400000051</v>
      </c>
      <c r="J1224" s="5">
        <v>3000000</v>
      </c>
      <c r="K1224" s="5">
        <v>5370000</v>
      </c>
      <c r="L1224" s="5">
        <v>5670000</v>
      </c>
      <c r="M1224" s="7">
        <v>1872.6</v>
      </c>
      <c r="N1224" s="5">
        <v>54200000</v>
      </c>
      <c r="O1224" s="5">
        <v>57200000</v>
      </c>
      <c r="P1224" s="3">
        <v>0.97916666666666663</v>
      </c>
    </row>
    <row r="1225" spans="1:16" x14ac:dyDescent="0.25">
      <c r="A1225" t="s">
        <v>760</v>
      </c>
      <c r="B1225" s="2">
        <v>44148</v>
      </c>
      <c r="C1225" t="str">
        <f>TEXT(B1225,"mm")</f>
        <v>11</v>
      </c>
      <c r="D1225" t="s">
        <v>21</v>
      </c>
      <c r="E1225" t="s">
        <v>1636</v>
      </c>
      <c r="F1225" s="5">
        <v>54100000</v>
      </c>
      <c r="G1225" s="5">
        <v>57100000</v>
      </c>
      <c r="H1225" s="5">
        <f>M1225*26000*1.20565</f>
        <v>59110849.330000006</v>
      </c>
      <c r="I1225" s="5">
        <f>G1225-H1225</f>
        <v>-2010849.3300000057</v>
      </c>
      <c r="J1225" s="5">
        <v>3000000</v>
      </c>
      <c r="K1225" s="5">
        <v>5410000</v>
      </c>
      <c r="L1225" s="5">
        <v>5710000</v>
      </c>
      <c r="M1225" s="7">
        <v>1885.7</v>
      </c>
      <c r="N1225" s="5">
        <v>54600000</v>
      </c>
      <c r="O1225" s="5">
        <v>57600000</v>
      </c>
      <c r="P1225" s="3">
        <v>0.97916666666666663</v>
      </c>
    </row>
    <row r="1226" spans="1:16" x14ac:dyDescent="0.25">
      <c r="A1226" t="s">
        <v>761</v>
      </c>
      <c r="B1226" s="2">
        <v>44151</v>
      </c>
      <c r="C1226" t="str">
        <f>TEXT(B1226,"mm")</f>
        <v>11</v>
      </c>
      <c r="D1226" t="s">
        <v>16</v>
      </c>
      <c r="E1226" t="s">
        <v>1636</v>
      </c>
      <c r="F1226" s="5">
        <v>54100000</v>
      </c>
      <c r="G1226" s="5">
        <v>57100000</v>
      </c>
      <c r="H1226" s="5">
        <f>M1226*26000*1.20565</f>
        <v>59161004.370000005</v>
      </c>
      <c r="I1226" s="5">
        <f>G1226-H1226</f>
        <v>-2061004.3700000048</v>
      </c>
      <c r="J1226" s="5">
        <v>3000000</v>
      </c>
      <c r="K1226" s="5">
        <v>5410000</v>
      </c>
      <c r="L1226" s="5">
        <v>5710000</v>
      </c>
      <c r="M1226" s="7">
        <v>1887.3</v>
      </c>
      <c r="N1226" s="5">
        <v>54600000</v>
      </c>
      <c r="O1226" s="5">
        <v>57600000</v>
      </c>
      <c r="P1226" s="3">
        <v>0.97916666666666663</v>
      </c>
    </row>
    <row r="1227" spans="1:16" x14ac:dyDescent="0.25">
      <c r="A1227" t="s">
        <v>762</v>
      </c>
      <c r="B1227" s="2">
        <v>44152</v>
      </c>
      <c r="C1227" t="str">
        <f>TEXT(B1227,"mm")</f>
        <v>11</v>
      </c>
      <c r="D1227" t="s">
        <v>18</v>
      </c>
      <c r="E1227" t="s">
        <v>1636</v>
      </c>
      <c r="F1227" s="5">
        <v>54100000</v>
      </c>
      <c r="G1227" s="5">
        <v>57100000</v>
      </c>
      <c r="H1227" s="5">
        <f>M1227*26000*1.20565</f>
        <v>59073233.050000004</v>
      </c>
      <c r="I1227" s="5">
        <f>G1227-H1227</f>
        <v>-1973233.0500000045</v>
      </c>
      <c r="J1227" s="5">
        <v>3000000</v>
      </c>
      <c r="K1227" s="5">
        <v>5410000</v>
      </c>
      <c r="L1227" s="5">
        <v>5710000</v>
      </c>
      <c r="M1227" s="7">
        <v>1884.5</v>
      </c>
      <c r="N1227" s="5">
        <v>54600000</v>
      </c>
      <c r="O1227" s="5">
        <v>57600000</v>
      </c>
      <c r="P1227" s="3">
        <v>0.97916666666666663</v>
      </c>
    </row>
    <row r="1228" spans="1:16" x14ac:dyDescent="0.25">
      <c r="A1228" t="s">
        <v>763</v>
      </c>
      <c r="B1228" s="2">
        <v>44153</v>
      </c>
      <c r="C1228" t="str">
        <f>TEXT(B1228,"mm")</f>
        <v>11</v>
      </c>
      <c r="D1228" t="s">
        <v>19</v>
      </c>
      <c r="E1228" t="s">
        <v>1636</v>
      </c>
      <c r="F1228" s="5">
        <v>53700000</v>
      </c>
      <c r="G1228" s="5">
        <v>56700000</v>
      </c>
      <c r="H1228" s="5">
        <f>M1228*26000*1.20565</f>
        <v>58728417.150000006</v>
      </c>
      <c r="I1228" s="5">
        <f>G1228-H1228</f>
        <v>-2028417.150000006</v>
      </c>
      <c r="J1228" s="5">
        <v>3000000</v>
      </c>
      <c r="K1228" s="5">
        <v>5370000</v>
      </c>
      <c r="L1228" s="5">
        <v>5670000</v>
      </c>
      <c r="M1228" s="7">
        <v>1873.5</v>
      </c>
      <c r="N1228" s="5">
        <v>54200000</v>
      </c>
      <c r="O1228" s="5">
        <v>57200000</v>
      </c>
      <c r="P1228" s="3">
        <v>0.97916666666666663</v>
      </c>
    </row>
    <row r="1229" spans="1:16" x14ac:dyDescent="0.25">
      <c r="A1229" t="s">
        <v>764</v>
      </c>
      <c r="B1229" s="2">
        <v>44154</v>
      </c>
      <c r="C1229" t="str">
        <f>TEXT(B1229,"mm")</f>
        <v>11</v>
      </c>
      <c r="D1229" t="s">
        <v>20</v>
      </c>
      <c r="E1229" t="s">
        <v>1636</v>
      </c>
      <c r="F1229" s="5">
        <v>53300000</v>
      </c>
      <c r="G1229" s="5">
        <v>56300000</v>
      </c>
      <c r="H1229" s="5">
        <f>M1229*26000*1.20565</f>
        <v>58339715.590000004</v>
      </c>
      <c r="I1229" s="5">
        <f>G1229-H1229</f>
        <v>-2039715.5900000036</v>
      </c>
      <c r="J1229" s="5">
        <v>3000000</v>
      </c>
      <c r="K1229" s="5">
        <v>5330000</v>
      </c>
      <c r="L1229" s="5">
        <v>5630000</v>
      </c>
      <c r="M1229" s="7">
        <v>1861.1</v>
      </c>
      <c r="N1229" s="5">
        <v>53800000</v>
      </c>
      <c r="O1229" s="5">
        <v>56800000</v>
      </c>
      <c r="P1229" s="3">
        <v>0.97916666666666663</v>
      </c>
    </row>
    <row r="1230" spans="1:16" x14ac:dyDescent="0.25">
      <c r="A1230" t="s">
        <v>765</v>
      </c>
      <c r="B1230" s="2">
        <v>44155</v>
      </c>
      <c r="C1230" t="str">
        <f>TEXT(B1230,"mm")</f>
        <v>11</v>
      </c>
      <c r="D1230" t="s">
        <v>21</v>
      </c>
      <c r="E1230" t="s">
        <v>1636</v>
      </c>
      <c r="F1230" s="5">
        <v>53700000</v>
      </c>
      <c r="G1230" s="5">
        <v>56700000</v>
      </c>
      <c r="H1230" s="5">
        <f>M1230*26000*1.20565</f>
        <v>58700204.940000005</v>
      </c>
      <c r="I1230" s="5">
        <f>G1230-H1230</f>
        <v>-2000204.9400000051</v>
      </c>
      <c r="J1230" s="5">
        <v>3000000</v>
      </c>
      <c r="K1230" s="5">
        <v>5370000</v>
      </c>
      <c r="L1230" s="5">
        <v>5670000</v>
      </c>
      <c r="M1230" s="7">
        <v>1872.6</v>
      </c>
      <c r="N1230" s="5">
        <v>54200000</v>
      </c>
      <c r="O1230" s="5">
        <v>57200000</v>
      </c>
      <c r="P1230" s="3">
        <v>0.97916666666666663</v>
      </c>
    </row>
    <row r="1231" spans="1:16" x14ac:dyDescent="0.25">
      <c r="A1231" t="s">
        <v>766</v>
      </c>
      <c r="B1231" s="2">
        <v>44158</v>
      </c>
      <c r="C1231" t="str">
        <f>TEXT(B1231,"mm")</f>
        <v>11</v>
      </c>
      <c r="D1231" t="s">
        <v>16</v>
      </c>
      <c r="E1231" t="s">
        <v>1636</v>
      </c>
      <c r="F1231" s="5">
        <v>52600000</v>
      </c>
      <c r="G1231" s="5">
        <v>55600000</v>
      </c>
      <c r="H1231" s="5">
        <f>M1231*26000*1.20565</f>
        <v>57609332.820000008</v>
      </c>
      <c r="I1231" s="5">
        <f>G1231-H1231</f>
        <v>-2009332.8200000077</v>
      </c>
      <c r="J1231" s="5">
        <v>3000000</v>
      </c>
      <c r="K1231" s="5">
        <v>5260000</v>
      </c>
      <c r="L1231" s="5">
        <v>5560000</v>
      </c>
      <c r="M1231" s="7">
        <v>1837.8</v>
      </c>
      <c r="N1231" s="5">
        <v>53100000</v>
      </c>
      <c r="O1231" s="5">
        <v>56100000</v>
      </c>
      <c r="P1231" s="3">
        <v>0.97916666666666663</v>
      </c>
    </row>
    <row r="1232" spans="1:16" x14ac:dyDescent="0.25">
      <c r="A1232" t="s">
        <v>767</v>
      </c>
      <c r="B1232" s="2">
        <v>44159</v>
      </c>
      <c r="C1232" t="str">
        <f>TEXT(B1232,"mm")</f>
        <v>11</v>
      </c>
      <c r="D1232" t="s">
        <v>18</v>
      </c>
      <c r="E1232" t="s">
        <v>1636</v>
      </c>
      <c r="F1232" s="5">
        <v>51600000</v>
      </c>
      <c r="G1232" s="5">
        <v>54600000</v>
      </c>
      <c r="H1232" s="5">
        <f>M1232*26000*1.20565</f>
        <v>56574885.120000005</v>
      </c>
      <c r="I1232" s="5">
        <f>G1232-H1232</f>
        <v>-1974885.1200000048</v>
      </c>
      <c r="J1232" s="5">
        <v>3000000</v>
      </c>
      <c r="K1232" s="5">
        <v>5160000</v>
      </c>
      <c r="L1232" s="5">
        <v>5460000</v>
      </c>
      <c r="M1232" s="7">
        <v>1804.8</v>
      </c>
      <c r="N1232" s="5">
        <v>52100000</v>
      </c>
      <c r="O1232" s="5">
        <v>55100000</v>
      </c>
      <c r="P1232" s="3">
        <v>0.97916666666666663</v>
      </c>
    </row>
    <row r="1233" spans="1:16" x14ac:dyDescent="0.25">
      <c r="A1233" t="s">
        <v>768</v>
      </c>
      <c r="B1233" s="2">
        <v>44160</v>
      </c>
      <c r="C1233" t="str">
        <f>TEXT(B1233,"mm")</f>
        <v>11</v>
      </c>
      <c r="D1233" t="s">
        <v>19</v>
      </c>
      <c r="E1233" t="s">
        <v>1636</v>
      </c>
      <c r="F1233" s="5">
        <v>51700000</v>
      </c>
      <c r="G1233" s="5">
        <v>54700000</v>
      </c>
      <c r="H1233" s="5">
        <f>M1233*26000*1.20565</f>
        <v>56603097.330000006</v>
      </c>
      <c r="I1233" s="5">
        <f>G1233-H1233</f>
        <v>-1903097.3300000057</v>
      </c>
      <c r="J1233" s="5">
        <v>3000000</v>
      </c>
      <c r="K1233" s="5">
        <v>5170000</v>
      </c>
      <c r="L1233" s="5">
        <v>5470000</v>
      </c>
      <c r="M1233" s="7">
        <v>1805.7</v>
      </c>
      <c r="N1233" s="5">
        <v>52200000</v>
      </c>
      <c r="O1233" s="5">
        <v>55200000</v>
      </c>
      <c r="P1233" s="3">
        <v>0.97916666666666663</v>
      </c>
    </row>
    <row r="1234" spans="1:16" x14ac:dyDescent="0.25">
      <c r="A1234" t="s">
        <v>769</v>
      </c>
      <c r="B1234" s="2">
        <v>44162</v>
      </c>
      <c r="C1234" t="str">
        <f>TEXT(B1234,"mm")</f>
        <v>11</v>
      </c>
      <c r="D1234" t="s">
        <v>21</v>
      </c>
      <c r="E1234" t="s">
        <v>1636</v>
      </c>
      <c r="F1234" s="5">
        <v>50900000</v>
      </c>
      <c r="G1234" s="5">
        <v>53900000</v>
      </c>
      <c r="H1234" s="5">
        <f>M1234*26000*1.20565</f>
        <v>55857041.110000007</v>
      </c>
      <c r="I1234" s="5">
        <f>G1234-H1234</f>
        <v>-1957041.1100000069</v>
      </c>
      <c r="J1234" s="5">
        <v>3000000</v>
      </c>
      <c r="K1234" s="5">
        <v>5090000</v>
      </c>
      <c r="L1234" s="5">
        <v>5390000</v>
      </c>
      <c r="M1234" s="7">
        <v>1781.9</v>
      </c>
      <c r="N1234" s="5">
        <v>51400000</v>
      </c>
      <c r="O1234" s="5">
        <v>54400000</v>
      </c>
      <c r="P1234" s="3">
        <v>0.97916666666666663</v>
      </c>
    </row>
    <row r="1235" spans="1:16" x14ac:dyDescent="0.25">
      <c r="A1235" t="s">
        <v>770</v>
      </c>
      <c r="B1235" s="2">
        <v>44165</v>
      </c>
      <c r="C1235" t="str">
        <f>TEXT(B1235,"mm")</f>
        <v>11</v>
      </c>
      <c r="D1235" t="s">
        <v>16</v>
      </c>
      <c r="E1235" t="s">
        <v>1636</v>
      </c>
      <c r="F1235" s="5">
        <v>50800000</v>
      </c>
      <c r="G1235" s="5">
        <v>53800000</v>
      </c>
      <c r="H1235" s="5">
        <f>M1235*26000*1.20565</f>
        <v>55662690.330000006</v>
      </c>
      <c r="I1235" s="5">
        <f>G1235-H1235</f>
        <v>-1862690.3300000057</v>
      </c>
      <c r="J1235" s="5">
        <v>3000000</v>
      </c>
      <c r="K1235" s="5">
        <v>5080000</v>
      </c>
      <c r="L1235" s="5">
        <v>5380000</v>
      </c>
      <c r="M1235" s="7">
        <v>1775.7</v>
      </c>
      <c r="N1235" s="5">
        <v>51300000</v>
      </c>
      <c r="O1235" s="5">
        <v>54300000</v>
      </c>
      <c r="P1235" s="3">
        <v>0.97916666666666663</v>
      </c>
    </row>
    <row r="1236" spans="1:16" x14ac:dyDescent="0.25">
      <c r="A1236" s="2">
        <v>43842</v>
      </c>
      <c r="B1236" s="2">
        <v>44166</v>
      </c>
      <c r="C1236" t="str">
        <f>TEXT(B1236,"mm")</f>
        <v>12</v>
      </c>
      <c r="D1236" t="s">
        <v>18</v>
      </c>
      <c r="E1236" t="s">
        <v>1636</v>
      </c>
      <c r="F1236" s="5">
        <v>51900000</v>
      </c>
      <c r="G1236" s="5">
        <v>54900000</v>
      </c>
      <c r="H1236" s="5">
        <f>M1236*26000*1.20565</f>
        <v>56866411.290000007</v>
      </c>
      <c r="I1236" s="5">
        <f>G1236-H1236</f>
        <v>-1966411.2900000066</v>
      </c>
      <c r="J1236" s="5">
        <v>3000000</v>
      </c>
      <c r="K1236" s="5">
        <v>5190000</v>
      </c>
      <c r="L1236" s="5">
        <v>5490000</v>
      </c>
      <c r="M1236" s="7">
        <v>1814.1</v>
      </c>
      <c r="N1236" s="5">
        <v>52400000</v>
      </c>
      <c r="O1236" s="5">
        <v>55400000</v>
      </c>
      <c r="P1236" s="3">
        <v>0.97916666666666663</v>
      </c>
    </row>
    <row r="1237" spans="1:16" x14ac:dyDescent="0.25">
      <c r="A1237" s="2">
        <v>43873</v>
      </c>
      <c r="B1237" s="2">
        <v>44167</v>
      </c>
      <c r="C1237" t="str">
        <f>TEXT(B1237,"mm")</f>
        <v>12</v>
      </c>
      <c r="D1237" t="s">
        <v>19</v>
      </c>
      <c r="E1237" t="s">
        <v>1636</v>
      </c>
      <c r="F1237" s="5">
        <v>52300000</v>
      </c>
      <c r="G1237" s="5">
        <v>55300000</v>
      </c>
      <c r="H1237" s="5">
        <f>M1237*26000*1.20565</f>
        <v>57230035.330000006</v>
      </c>
      <c r="I1237" s="5">
        <f>G1237-H1237</f>
        <v>-1930035.3300000057</v>
      </c>
      <c r="J1237" s="5">
        <v>3000000</v>
      </c>
      <c r="K1237" s="5">
        <v>5230000</v>
      </c>
      <c r="L1237" s="5">
        <v>5530000</v>
      </c>
      <c r="M1237" s="7">
        <v>1825.7</v>
      </c>
      <c r="N1237" s="5">
        <v>52800000</v>
      </c>
      <c r="O1237" s="5">
        <v>55800000</v>
      </c>
      <c r="P1237" s="3">
        <v>0.97916666666666663</v>
      </c>
    </row>
    <row r="1238" spans="1:16" x14ac:dyDescent="0.25">
      <c r="A1238" s="2">
        <v>43902</v>
      </c>
      <c r="B1238" s="2">
        <v>44168</v>
      </c>
      <c r="C1238" t="str">
        <f>TEXT(B1238,"mm")</f>
        <v>12</v>
      </c>
      <c r="D1238" t="s">
        <v>20</v>
      </c>
      <c r="E1238" t="s">
        <v>1636</v>
      </c>
      <c r="F1238" s="5">
        <v>52600000</v>
      </c>
      <c r="G1238" s="5">
        <v>55600000</v>
      </c>
      <c r="H1238" s="5">
        <f>M1238*26000*1.20565</f>
        <v>57577985.920000002</v>
      </c>
      <c r="I1238" s="5">
        <f>G1238-H1238</f>
        <v>-1977985.9200000018</v>
      </c>
      <c r="J1238" s="5">
        <v>3000000</v>
      </c>
      <c r="K1238" s="5">
        <v>5260000</v>
      </c>
      <c r="L1238" s="5">
        <v>5560000</v>
      </c>
      <c r="M1238" s="7">
        <v>1836.8</v>
      </c>
      <c r="N1238" s="5">
        <v>53100000</v>
      </c>
      <c r="O1238" s="5">
        <v>56100000</v>
      </c>
      <c r="P1238" s="3">
        <v>0.97916666666666663</v>
      </c>
    </row>
    <row r="1239" spans="1:16" x14ac:dyDescent="0.25">
      <c r="A1239" s="2">
        <v>43933</v>
      </c>
      <c r="B1239" s="2">
        <v>44169</v>
      </c>
      <c r="C1239" t="str">
        <f>TEXT(B1239,"mm")</f>
        <v>12</v>
      </c>
      <c r="D1239" t="s">
        <v>21</v>
      </c>
      <c r="E1239" t="s">
        <v>1636</v>
      </c>
      <c r="F1239" s="5">
        <v>52600000</v>
      </c>
      <c r="G1239" s="5">
        <v>55600000</v>
      </c>
      <c r="H1239" s="5">
        <f>M1239*26000*1.20565</f>
        <v>57549773.710000008</v>
      </c>
      <c r="I1239" s="5">
        <f>G1239-H1239</f>
        <v>-1949773.7100000083</v>
      </c>
      <c r="J1239" s="5">
        <v>3000000</v>
      </c>
      <c r="K1239" s="5">
        <v>5260000</v>
      </c>
      <c r="L1239" s="5">
        <v>5560000</v>
      </c>
      <c r="M1239" s="7">
        <v>1835.9</v>
      </c>
      <c r="N1239" s="5">
        <v>53100000</v>
      </c>
      <c r="O1239" s="5">
        <v>56100000</v>
      </c>
      <c r="P1239" s="3">
        <v>0.97916666666666663</v>
      </c>
    </row>
    <row r="1240" spans="1:16" x14ac:dyDescent="0.25">
      <c r="A1240" s="2">
        <v>44024</v>
      </c>
      <c r="B1240" s="2">
        <v>44172</v>
      </c>
      <c r="C1240" t="str">
        <f>TEXT(B1240,"mm")</f>
        <v>12</v>
      </c>
      <c r="D1240" t="s">
        <v>16</v>
      </c>
      <c r="E1240" t="s">
        <v>1636</v>
      </c>
      <c r="F1240" s="5">
        <v>53400000</v>
      </c>
      <c r="G1240" s="5">
        <v>56400000</v>
      </c>
      <c r="H1240" s="5">
        <f>M1240*26000*1.20565</f>
        <v>58361658.420000002</v>
      </c>
      <c r="I1240" s="5">
        <f>G1240-H1240</f>
        <v>-1961658.4200000018</v>
      </c>
      <c r="J1240" s="5">
        <v>3000000</v>
      </c>
      <c r="K1240" s="5">
        <v>5340000</v>
      </c>
      <c r="L1240" s="5">
        <v>5640000</v>
      </c>
      <c r="M1240" s="7">
        <v>1861.8</v>
      </c>
      <c r="N1240" s="5">
        <v>53900000</v>
      </c>
      <c r="O1240" s="5">
        <v>56900000</v>
      </c>
      <c r="P1240" s="3">
        <v>0.97916666666666663</v>
      </c>
    </row>
    <row r="1241" spans="1:16" x14ac:dyDescent="0.25">
      <c r="A1241" s="2">
        <v>44055</v>
      </c>
      <c r="B1241" s="2">
        <v>44173</v>
      </c>
      <c r="C1241" t="str">
        <f>TEXT(B1241,"mm")</f>
        <v>12</v>
      </c>
      <c r="D1241" t="s">
        <v>18</v>
      </c>
      <c r="E1241" t="s">
        <v>1636</v>
      </c>
      <c r="F1241" s="5">
        <v>53600000</v>
      </c>
      <c r="G1241" s="5">
        <v>56600000</v>
      </c>
      <c r="H1241" s="5">
        <f>M1241*26000*1.20565</f>
        <v>58643780.520000003</v>
      </c>
      <c r="I1241" s="5">
        <f>G1241-H1241</f>
        <v>-2043780.5200000033</v>
      </c>
      <c r="J1241" s="5">
        <v>3000000</v>
      </c>
      <c r="K1241" s="5">
        <v>5360000</v>
      </c>
      <c r="L1241" s="5">
        <v>5660000</v>
      </c>
      <c r="M1241" s="7">
        <v>1870.8</v>
      </c>
      <c r="N1241" s="5">
        <v>54100000</v>
      </c>
      <c r="O1241" s="5">
        <v>57100000</v>
      </c>
      <c r="P1241" s="3">
        <v>0.97916666666666663</v>
      </c>
    </row>
    <row r="1242" spans="1:16" x14ac:dyDescent="0.25">
      <c r="A1242" s="2">
        <v>44086</v>
      </c>
      <c r="B1242" s="2">
        <v>44174</v>
      </c>
      <c r="C1242" t="str">
        <f>TEXT(B1242,"mm")</f>
        <v>12</v>
      </c>
      <c r="D1242" t="s">
        <v>19</v>
      </c>
      <c r="E1242" t="s">
        <v>1636</v>
      </c>
      <c r="F1242" s="5">
        <v>52500000</v>
      </c>
      <c r="G1242" s="5">
        <v>55500000</v>
      </c>
      <c r="H1242" s="5">
        <f>M1242*26000*1.20565</f>
        <v>57509022.740000002</v>
      </c>
      <c r="I1242" s="5">
        <f>G1242-H1242</f>
        <v>-2009022.7400000021</v>
      </c>
      <c r="J1242" s="5">
        <v>3000000</v>
      </c>
      <c r="K1242" s="5">
        <v>5250000</v>
      </c>
      <c r="L1242" s="5">
        <v>5550000</v>
      </c>
      <c r="M1242" s="7">
        <v>1834.6</v>
      </c>
      <c r="N1242" s="5">
        <v>53000000</v>
      </c>
      <c r="O1242" s="5">
        <v>56000000</v>
      </c>
      <c r="P1242" s="3">
        <v>0.97916666666666663</v>
      </c>
    </row>
    <row r="1243" spans="1:16" x14ac:dyDescent="0.25">
      <c r="A1243" s="2">
        <v>44116</v>
      </c>
      <c r="B1243" s="2">
        <v>44175</v>
      </c>
      <c r="C1243" t="str">
        <f>TEXT(B1243,"mm")</f>
        <v>12</v>
      </c>
      <c r="D1243" t="s">
        <v>20</v>
      </c>
      <c r="E1243" t="s">
        <v>1636</v>
      </c>
      <c r="F1243" s="5">
        <v>52500000</v>
      </c>
      <c r="G1243" s="5">
        <v>55500000</v>
      </c>
      <c r="H1243" s="5">
        <f>M1243*26000*1.20565</f>
        <v>57477675.840000004</v>
      </c>
      <c r="I1243" s="5">
        <f>G1243-H1243</f>
        <v>-1977675.8400000036</v>
      </c>
      <c r="J1243" s="5">
        <v>3000000</v>
      </c>
      <c r="K1243" s="5">
        <v>5250000</v>
      </c>
      <c r="L1243" s="5">
        <v>5550000</v>
      </c>
      <c r="M1243" s="7">
        <v>1833.6</v>
      </c>
      <c r="N1243" s="5">
        <v>53000000</v>
      </c>
      <c r="O1243" s="5">
        <v>56000000</v>
      </c>
      <c r="P1243" s="3">
        <v>0.97916666666666663</v>
      </c>
    </row>
    <row r="1244" spans="1:16" x14ac:dyDescent="0.25">
      <c r="A1244" s="2">
        <v>44147</v>
      </c>
      <c r="B1244" s="2">
        <v>44176</v>
      </c>
      <c r="C1244" t="str">
        <f>TEXT(B1244,"mm")</f>
        <v>12</v>
      </c>
      <c r="D1244" t="s">
        <v>21</v>
      </c>
      <c r="E1244" t="s">
        <v>1636</v>
      </c>
      <c r="F1244" s="5">
        <v>52700000</v>
      </c>
      <c r="G1244" s="5">
        <v>55700000</v>
      </c>
      <c r="H1244" s="5">
        <f>M1244*26000*1.20565</f>
        <v>57672026.620000005</v>
      </c>
      <c r="I1244" s="5">
        <f>G1244-H1244</f>
        <v>-1972026.6200000048</v>
      </c>
      <c r="J1244" s="5">
        <v>3000000</v>
      </c>
      <c r="K1244" s="5">
        <v>5270000</v>
      </c>
      <c r="L1244" s="5">
        <v>5570000</v>
      </c>
      <c r="M1244" s="7">
        <v>1839.8</v>
      </c>
      <c r="N1244" s="5">
        <v>53200000</v>
      </c>
      <c r="O1244" s="5">
        <v>56200000</v>
      </c>
      <c r="P1244" s="3">
        <v>0.97916666666666663</v>
      </c>
    </row>
    <row r="1245" spans="1:16" x14ac:dyDescent="0.25">
      <c r="A1245" t="s">
        <v>771</v>
      </c>
      <c r="B1245" s="2">
        <v>44179</v>
      </c>
      <c r="C1245" t="str">
        <f>TEXT(B1245,"mm")</f>
        <v>12</v>
      </c>
      <c r="D1245" t="s">
        <v>16</v>
      </c>
      <c r="E1245" t="s">
        <v>1636</v>
      </c>
      <c r="F1245" s="5">
        <v>52400000</v>
      </c>
      <c r="G1245" s="5">
        <v>55400000</v>
      </c>
      <c r="H1245" s="5">
        <f>M1245*26000*1.20565</f>
        <v>57324076.030000009</v>
      </c>
      <c r="I1245" s="5">
        <f>G1245-H1245</f>
        <v>-1924076.0300000086</v>
      </c>
      <c r="J1245" s="5">
        <v>3000000</v>
      </c>
      <c r="K1245" s="5">
        <v>5240000</v>
      </c>
      <c r="L1245" s="5">
        <v>5540000</v>
      </c>
      <c r="M1245" s="7">
        <v>1828.7</v>
      </c>
      <c r="N1245" s="5">
        <v>52900000</v>
      </c>
      <c r="O1245" s="5">
        <v>55900000</v>
      </c>
      <c r="P1245" s="3">
        <v>0.97916666666666663</v>
      </c>
    </row>
    <row r="1246" spans="1:16" x14ac:dyDescent="0.25">
      <c r="A1246" t="s">
        <v>772</v>
      </c>
      <c r="B1246" s="2">
        <v>44180</v>
      </c>
      <c r="C1246" t="str">
        <f>TEXT(B1246,"mm")</f>
        <v>12</v>
      </c>
      <c r="D1246" t="s">
        <v>18</v>
      </c>
      <c r="E1246" t="s">
        <v>1636</v>
      </c>
      <c r="F1246" s="5">
        <v>53100000</v>
      </c>
      <c r="G1246" s="5">
        <v>56100000</v>
      </c>
      <c r="H1246" s="5">
        <f>M1246*26000*1.20565</f>
        <v>58063862.870000005</v>
      </c>
      <c r="I1246" s="5">
        <f>G1246-H1246</f>
        <v>-1963862.8700000048</v>
      </c>
      <c r="J1246" s="5">
        <v>3000000</v>
      </c>
      <c r="K1246" s="5">
        <v>5310000</v>
      </c>
      <c r="L1246" s="5">
        <v>5610000</v>
      </c>
      <c r="M1246" s="7">
        <v>1852.3</v>
      </c>
      <c r="N1246" s="5">
        <v>53600000</v>
      </c>
      <c r="O1246" s="5">
        <v>56600000</v>
      </c>
      <c r="P1246" s="3">
        <v>0.97916666666666663</v>
      </c>
    </row>
    <row r="1247" spans="1:16" x14ac:dyDescent="0.25">
      <c r="A1247" t="s">
        <v>773</v>
      </c>
      <c r="B1247" s="2">
        <v>44181</v>
      </c>
      <c r="C1247" t="str">
        <f>TEXT(B1247,"mm")</f>
        <v>12</v>
      </c>
      <c r="D1247" t="s">
        <v>19</v>
      </c>
      <c r="E1247" t="s">
        <v>1636</v>
      </c>
      <c r="F1247" s="5">
        <v>53200000</v>
      </c>
      <c r="G1247" s="5">
        <v>56200000</v>
      </c>
      <c r="H1247" s="5">
        <f>M1247*26000*1.20565</f>
        <v>58182981.090000004</v>
      </c>
      <c r="I1247" s="5">
        <f>G1247-H1247</f>
        <v>-1982981.0900000036</v>
      </c>
      <c r="J1247" s="5">
        <v>3000000</v>
      </c>
      <c r="K1247" s="5">
        <v>5320000</v>
      </c>
      <c r="L1247" s="5">
        <v>5620000</v>
      </c>
      <c r="M1247" s="7">
        <v>1856.1</v>
      </c>
      <c r="N1247" s="5">
        <v>53700000</v>
      </c>
      <c r="O1247" s="5">
        <v>56700000</v>
      </c>
      <c r="P1247" s="3">
        <v>0.97916666666666663</v>
      </c>
    </row>
    <row r="1248" spans="1:16" x14ac:dyDescent="0.25">
      <c r="A1248" t="s">
        <v>774</v>
      </c>
      <c r="B1248" s="2">
        <v>44182</v>
      </c>
      <c r="C1248" t="str">
        <f>TEXT(B1248,"mm")</f>
        <v>12</v>
      </c>
      <c r="D1248" t="s">
        <v>20</v>
      </c>
      <c r="E1248" t="s">
        <v>1636</v>
      </c>
      <c r="F1248" s="5">
        <v>54100000</v>
      </c>
      <c r="G1248" s="5">
        <v>57100000</v>
      </c>
      <c r="H1248" s="5">
        <f>M1248*26000*1.20565</f>
        <v>59157869.680000007</v>
      </c>
      <c r="I1248" s="5">
        <f>G1248-H1248</f>
        <v>-2057869.6800000072</v>
      </c>
      <c r="J1248" s="5">
        <v>3000000</v>
      </c>
      <c r="K1248" s="5">
        <v>5410000</v>
      </c>
      <c r="L1248" s="5">
        <v>5710000</v>
      </c>
      <c r="M1248" s="7">
        <v>1887.2</v>
      </c>
      <c r="N1248" s="5">
        <v>54600000</v>
      </c>
      <c r="O1248" s="5">
        <v>57600000</v>
      </c>
      <c r="P1248" s="3">
        <v>0.97916666666666663</v>
      </c>
    </row>
    <row r="1249" spans="1:16" x14ac:dyDescent="0.25">
      <c r="A1249" t="s">
        <v>775</v>
      </c>
      <c r="B1249" s="2">
        <v>44183</v>
      </c>
      <c r="C1249" t="str">
        <f>TEXT(B1249,"mm")</f>
        <v>12</v>
      </c>
      <c r="D1249" t="s">
        <v>21</v>
      </c>
      <c r="E1249" t="s">
        <v>1636</v>
      </c>
      <c r="F1249" s="5">
        <v>54100000</v>
      </c>
      <c r="G1249" s="5">
        <v>57100000</v>
      </c>
      <c r="H1249" s="5">
        <f>M1249*26000*1.20565</f>
        <v>59110849.330000006</v>
      </c>
      <c r="I1249" s="5">
        <f>G1249-H1249</f>
        <v>-2010849.3300000057</v>
      </c>
      <c r="J1249" s="5">
        <v>3000000</v>
      </c>
      <c r="K1249" s="5">
        <v>5410000</v>
      </c>
      <c r="L1249" s="5">
        <v>5710000</v>
      </c>
      <c r="M1249" s="7">
        <v>1885.7</v>
      </c>
      <c r="N1249" s="5">
        <v>54600000</v>
      </c>
      <c r="O1249" s="5">
        <v>57600000</v>
      </c>
      <c r="P1249" s="3">
        <v>0.97916666666666663</v>
      </c>
    </row>
    <row r="1250" spans="1:16" x14ac:dyDescent="0.25">
      <c r="A1250" t="s">
        <v>776</v>
      </c>
      <c r="B1250" s="2">
        <v>44186</v>
      </c>
      <c r="C1250" t="str">
        <f>TEXT(B1250,"mm")</f>
        <v>12</v>
      </c>
      <c r="D1250" t="s">
        <v>16</v>
      </c>
      <c r="E1250" t="s">
        <v>1636</v>
      </c>
      <c r="F1250" s="5">
        <v>53900000</v>
      </c>
      <c r="G1250" s="5">
        <v>56900000</v>
      </c>
      <c r="H1250" s="5">
        <f>M1250*26000*1.20565</f>
        <v>58907094.480000004</v>
      </c>
      <c r="I1250" s="5">
        <f>G1250-H1250</f>
        <v>-2007094.4800000042</v>
      </c>
      <c r="J1250" s="5">
        <v>3000000</v>
      </c>
      <c r="K1250" s="5">
        <v>5390000</v>
      </c>
      <c r="L1250" s="5">
        <v>5690000</v>
      </c>
      <c r="M1250" s="7">
        <v>1879.2</v>
      </c>
      <c r="N1250" s="5">
        <v>54400000</v>
      </c>
      <c r="O1250" s="5">
        <v>57400000</v>
      </c>
      <c r="P1250" s="3">
        <v>0.97916666666666663</v>
      </c>
    </row>
    <row r="1251" spans="1:16" x14ac:dyDescent="0.25">
      <c r="A1251" t="s">
        <v>777</v>
      </c>
      <c r="B1251" s="2">
        <v>44187</v>
      </c>
      <c r="C1251" t="str">
        <f>TEXT(B1251,"mm")</f>
        <v>12</v>
      </c>
      <c r="D1251" t="s">
        <v>18</v>
      </c>
      <c r="E1251" t="s">
        <v>1636</v>
      </c>
      <c r="F1251" s="5">
        <v>53500000</v>
      </c>
      <c r="G1251" s="5">
        <v>56500000</v>
      </c>
      <c r="H1251" s="5">
        <f>M1251*26000*1.20565</f>
        <v>58512123.540000007</v>
      </c>
      <c r="I1251" s="5">
        <f>G1251-H1251</f>
        <v>-2012123.5400000066</v>
      </c>
      <c r="J1251" s="5">
        <v>3000000</v>
      </c>
      <c r="K1251" s="5">
        <v>5350000</v>
      </c>
      <c r="L1251" s="5">
        <v>5650000</v>
      </c>
      <c r="M1251" s="7">
        <v>1866.6</v>
      </c>
      <c r="N1251" s="5">
        <v>54000000</v>
      </c>
      <c r="O1251" s="5">
        <v>57000000</v>
      </c>
      <c r="P1251" s="3">
        <v>0.97916666666666663</v>
      </c>
    </row>
    <row r="1252" spans="1:16" x14ac:dyDescent="0.25">
      <c r="A1252" t="s">
        <v>778</v>
      </c>
      <c r="B1252" s="2">
        <v>44188</v>
      </c>
      <c r="C1252" t="str">
        <f>TEXT(B1252,"mm")</f>
        <v>12</v>
      </c>
      <c r="D1252" t="s">
        <v>19</v>
      </c>
      <c r="E1252" t="s">
        <v>1636</v>
      </c>
      <c r="F1252" s="5">
        <v>53800000</v>
      </c>
      <c r="G1252" s="5">
        <v>56800000</v>
      </c>
      <c r="H1252" s="5">
        <f>M1252*26000*1.20565</f>
        <v>58766033.430000007</v>
      </c>
      <c r="I1252" s="5">
        <f>G1252-H1252</f>
        <v>-1966033.4300000072</v>
      </c>
      <c r="J1252" s="5">
        <v>3000000</v>
      </c>
      <c r="K1252" s="5">
        <v>5380000</v>
      </c>
      <c r="L1252" s="5">
        <v>5680000</v>
      </c>
      <c r="M1252" s="7">
        <v>1874.7</v>
      </c>
      <c r="N1252" s="5">
        <v>54300000</v>
      </c>
      <c r="O1252" s="5">
        <v>57300000</v>
      </c>
      <c r="P1252" s="3">
        <v>0.97916666666666663</v>
      </c>
    </row>
    <row r="1253" spans="1:16" x14ac:dyDescent="0.25">
      <c r="A1253" t="s">
        <v>779</v>
      </c>
      <c r="B1253" s="2">
        <v>44189</v>
      </c>
      <c r="C1253" t="str">
        <f>TEXT(B1253,"mm")</f>
        <v>12</v>
      </c>
      <c r="D1253" t="s">
        <v>20</v>
      </c>
      <c r="E1253" t="s">
        <v>1636</v>
      </c>
      <c r="F1253" s="5">
        <v>53900000</v>
      </c>
      <c r="G1253" s="5">
        <v>56900000</v>
      </c>
      <c r="H1253" s="5">
        <f>M1253*26000*1.20565</f>
        <v>58929037.310000002</v>
      </c>
      <c r="I1253" s="5">
        <f>G1253-H1253</f>
        <v>-2029037.3100000024</v>
      </c>
      <c r="J1253" s="5">
        <v>3000000</v>
      </c>
      <c r="K1253" s="5">
        <v>5390000</v>
      </c>
      <c r="L1253" s="5">
        <v>5690000</v>
      </c>
      <c r="M1253" s="7">
        <v>1879.9</v>
      </c>
      <c r="N1253" s="5">
        <v>54400000</v>
      </c>
      <c r="O1253" s="5">
        <v>57400000</v>
      </c>
      <c r="P1253" s="3">
        <v>0.97916666666666663</v>
      </c>
    </row>
    <row r="1254" spans="1:16" x14ac:dyDescent="0.25">
      <c r="A1254" t="s">
        <v>780</v>
      </c>
      <c r="B1254" s="2">
        <v>44193</v>
      </c>
      <c r="C1254" t="str">
        <f>TEXT(B1254,"mm")</f>
        <v>12</v>
      </c>
      <c r="D1254" t="s">
        <v>16</v>
      </c>
      <c r="E1254" t="s">
        <v>1636</v>
      </c>
      <c r="F1254" s="5">
        <v>53800000</v>
      </c>
      <c r="G1254" s="5">
        <v>56800000</v>
      </c>
      <c r="H1254" s="5">
        <f>M1254*26000*1.20565</f>
        <v>58844400.680000007</v>
      </c>
      <c r="I1254" s="5">
        <f>G1254-H1254</f>
        <v>-2044400.6800000072</v>
      </c>
      <c r="J1254" s="5">
        <v>3000000</v>
      </c>
      <c r="K1254" s="5">
        <v>5380000</v>
      </c>
      <c r="L1254" s="5">
        <v>5680000</v>
      </c>
      <c r="M1254" s="7">
        <v>1877.2</v>
      </c>
      <c r="N1254" s="5">
        <v>54300000</v>
      </c>
      <c r="O1254" s="5">
        <v>57300000</v>
      </c>
      <c r="P1254" s="3">
        <v>0.97916666666666663</v>
      </c>
    </row>
    <row r="1255" spans="1:16" x14ac:dyDescent="0.25">
      <c r="A1255" t="s">
        <v>781</v>
      </c>
      <c r="B1255" s="2">
        <v>44194</v>
      </c>
      <c r="C1255" t="str">
        <f>TEXT(B1255,"mm")</f>
        <v>12</v>
      </c>
      <c r="D1255" t="s">
        <v>18</v>
      </c>
      <c r="E1255" t="s">
        <v>1636</v>
      </c>
      <c r="F1255" s="5">
        <v>53900000</v>
      </c>
      <c r="G1255" s="5">
        <v>56900000</v>
      </c>
      <c r="H1255" s="5">
        <f>M1255*26000*1.20565</f>
        <v>58922767.930000007</v>
      </c>
      <c r="I1255" s="5">
        <f>G1255-H1255</f>
        <v>-2022767.9300000072</v>
      </c>
      <c r="J1255" s="5">
        <v>3000000</v>
      </c>
      <c r="K1255" s="5">
        <v>5390000</v>
      </c>
      <c r="L1255" s="5">
        <v>5690000</v>
      </c>
      <c r="M1255" s="7">
        <v>1879.7</v>
      </c>
      <c r="N1255" s="5">
        <v>54400000</v>
      </c>
      <c r="O1255" s="5">
        <v>57400000</v>
      </c>
      <c r="P1255" s="3">
        <v>0.97916666666666663</v>
      </c>
    </row>
    <row r="1256" spans="1:16" x14ac:dyDescent="0.25">
      <c r="A1256" t="s">
        <v>782</v>
      </c>
      <c r="B1256" s="2">
        <v>44195</v>
      </c>
      <c r="C1256" t="str">
        <f>TEXT(B1256,"mm")</f>
        <v>12</v>
      </c>
      <c r="D1256" t="s">
        <v>19</v>
      </c>
      <c r="E1256" t="s">
        <v>1636</v>
      </c>
      <c r="F1256" s="5">
        <v>54200000</v>
      </c>
      <c r="G1256" s="5">
        <v>57200000</v>
      </c>
      <c r="H1256" s="5">
        <f>M1256*26000*1.20565</f>
        <v>59276987.900000006</v>
      </c>
      <c r="I1256" s="5">
        <f>G1256-H1256</f>
        <v>-2076987.900000006</v>
      </c>
      <c r="J1256" s="5">
        <v>3000000</v>
      </c>
      <c r="K1256" s="5">
        <v>5420000</v>
      </c>
      <c r="L1256" s="5">
        <v>5720000</v>
      </c>
      <c r="M1256" s="7">
        <v>1891</v>
      </c>
      <c r="N1256" s="5">
        <v>54700000</v>
      </c>
      <c r="O1256" s="5">
        <v>57700000</v>
      </c>
      <c r="P1256" s="3">
        <v>0.97916666666666663</v>
      </c>
    </row>
    <row r="1257" spans="1:16" x14ac:dyDescent="0.25">
      <c r="A1257" t="s">
        <v>783</v>
      </c>
      <c r="B1257" s="2">
        <v>44196</v>
      </c>
      <c r="C1257" t="str">
        <f>TEXT(B1257,"mm")</f>
        <v>12</v>
      </c>
      <c r="D1257" t="s">
        <v>20</v>
      </c>
      <c r="E1257" t="s">
        <v>1636</v>
      </c>
      <c r="F1257" s="5">
        <v>54300000</v>
      </c>
      <c r="G1257" s="5">
        <v>57300000</v>
      </c>
      <c r="H1257" s="5">
        <f>M1257*26000*1.20565</f>
        <v>59342816.390000008</v>
      </c>
      <c r="I1257" s="5">
        <f>G1257-H1257</f>
        <v>-2042816.390000008</v>
      </c>
      <c r="J1257" s="5">
        <v>3000000</v>
      </c>
      <c r="K1257" s="5">
        <v>5430000</v>
      </c>
      <c r="L1257" s="5">
        <v>5730000</v>
      </c>
      <c r="M1257" s="7">
        <v>1893.1</v>
      </c>
      <c r="N1257" s="5">
        <v>54800000</v>
      </c>
      <c r="O1257" s="5">
        <v>57800000</v>
      </c>
      <c r="P1257" s="3">
        <v>0.97916666666666663</v>
      </c>
    </row>
    <row r="1258" spans="1:16" x14ac:dyDescent="0.25">
      <c r="A1258" s="2">
        <v>44287</v>
      </c>
      <c r="B1258" s="2">
        <v>44200</v>
      </c>
      <c r="C1258" t="str">
        <f>TEXT(B1258,"mm")</f>
        <v>01</v>
      </c>
      <c r="D1258" t="s">
        <v>16</v>
      </c>
      <c r="E1258" t="s">
        <v>1636</v>
      </c>
      <c r="F1258" s="5">
        <v>56300000</v>
      </c>
      <c r="G1258" s="5">
        <v>59300000</v>
      </c>
      <c r="H1258" s="5">
        <f>M1258*26000*1.20565</f>
        <v>60960316.430000007</v>
      </c>
      <c r="I1258" s="5">
        <f>G1258-H1258</f>
        <v>-1660316.4300000072</v>
      </c>
      <c r="J1258" s="5">
        <v>3000000</v>
      </c>
      <c r="K1258" s="5">
        <v>5630000</v>
      </c>
      <c r="L1258" s="5">
        <v>5930000</v>
      </c>
      <c r="M1258" s="7">
        <v>1944.7</v>
      </c>
      <c r="N1258" s="5">
        <v>56800000</v>
      </c>
      <c r="O1258" s="5">
        <v>59800000</v>
      </c>
      <c r="P1258" s="3">
        <v>0.97916666666666663</v>
      </c>
    </row>
    <row r="1259" spans="1:16" x14ac:dyDescent="0.25">
      <c r="A1259" s="2">
        <v>44317</v>
      </c>
      <c r="B1259" s="2">
        <v>44201</v>
      </c>
      <c r="C1259" t="str">
        <f>TEXT(B1259,"mm")</f>
        <v>01</v>
      </c>
      <c r="D1259" t="s">
        <v>18</v>
      </c>
      <c r="E1259" t="s">
        <v>1636</v>
      </c>
      <c r="F1259" s="5">
        <v>56600000</v>
      </c>
      <c r="G1259" s="5">
        <v>59600000</v>
      </c>
      <c r="H1259" s="5">
        <f>M1259*26000*1.20565</f>
        <v>61211091.630000003</v>
      </c>
      <c r="I1259" s="5">
        <f>G1259-H1259</f>
        <v>-1611091.6300000027</v>
      </c>
      <c r="J1259" s="5">
        <v>3000000</v>
      </c>
      <c r="K1259" s="5">
        <v>5660000</v>
      </c>
      <c r="L1259" s="5">
        <v>5960000</v>
      </c>
      <c r="M1259" s="7">
        <v>1952.7</v>
      </c>
      <c r="N1259" s="5">
        <v>57100000</v>
      </c>
      <c r="O1259" s="5">
        <v>60100000</v>
      </c>
      <c r="P1259" s="3">
        <v>0.97916666666666663</v>
      </c>
    </row>
    <row r="1260" spans="1:16" x14ac:dyDescent="0.25">
      <c r="A1260" s="2">
        <v>44348</v>
      </c>
      <c r="B1260" s="2">
        <v>44202</v>
      </c>
      <c r="C1260" t="str">
        <f>TEXT(B1260,"mm")</f>
        <v>01</v>
      </c>
      <c r="D1260" t="s">
        <v>19</v>
      </c>
      <c r="E1260" t="s">
        <v>1636</v>
      </c>
      <c r="F1260" s="5">
        <v>55200000</v>
      </c>
      <c r="G1260" s="5">
        <v>58200000</v>
      </c>
      <c r="H1260" s="5">
        <f>M1260*26000*1.20565</f>
        <v>59775403.610000007</v>
      </c>
      <c r="I1260" s="5">
        <f>G1260-H1260</f>
        <v>-1575403.6100000069</v>
      </c>
      <c r="J1260" s="5">
        <v>3000000</v>
      </c>
      <c r="K1260" s="5">
        <v>5520000</v>
      </c>
      <c r="L1260" s="5">
        <v>5820000</v>
      </c>
      <c r="M1260" s="7">
        <v>1906.9</v>
      </c>
      <c r="N1260" s="5">
        <v>55700000</v>
      </c>
      <c r="O1260" s="5">
        <v>58700000</v>
      </c>
      <c r="P1260" s="3">
        <v>0.97916666666666663</v>
      </c>
    </row>
    <row r="1261" spans="1:16" x14ac:dyDescent="0.25">
      <c r="A1261" s="2">
        <v>44378</v>
      </c>
      <c r="B1261" s="2">
        <v>44203</v>
      </c>
      <c r="C1261" t="str">
        <f>TEXT(B1261,"mm")</f>
        <v>01</v>
      </c>
      <c r="D1261" t="s">
        <v>20</v>
      </c>
      <c r="E1261" t="s">
        <v>1636</v>
      </c>
      <c r="F1261" s="5">
        <v>55300000</v>
      </c>
      <c r="G1261" s="5">
        <v>58300000</v>
      </c>
      <c r="H1261" s="5">
        <f>M1261*26000*1.20565</f>
        <v>59944676.870000005</v>
      </c>
      <c r="I1261" s="5">
        <f>G1261-H1261</f>
        <v>-1644676.8700000048</v>
      </c>
      <c r="J1261" s="5">
        <v>3000000</v>
      </c>
      <c r="K1261" s="5">
        <v>5530000</v>
      </c>
      <c r="L1261" s="5">
        <v>5830000</v>
      </c>
      <c r="M1261" s="7">
        <v>1912.3</v>
      </c>
      <c r="N1261" s="5">
        <v>55800000</v>
      </c>
      <c r="O1261" s="5">
        <v>58800000</v>
      </c>
      <c r="P1261" s="3">
        <v>0.97916666666666663</v>
      </c>
    </row>
    <row r="1262" spans="1:16" x14ac:dyDescent="0.25">
      <c r="A1262" s="2">
        <v>44409</v>
      </c>
      <c r="B1262" s="2">
        <v>44204</v>
      </c>
      <c r="C1262" t="str">
        <f>TEXT(B1262,"mm")</f>
        <v>01</v>
      </c>
      <c r="D1262" t="s">
        <v>21</v>
      </c>
      <c r="E1262" t="s">
        <v>1636</v>
      </c>
      <c r="F1262" s="5">
        <v>52900000</v>
      </c>
      <c r="G1262" s="5">
        <v>55900000</v>
      </c>
      <c r="H1262" s="5">
        <f>M1262*26000*1.20565</f>
        <v>57493349.290000007</v>
      </c>
      <c r="I1262" s="5">
        <f>G1262-H1262</f>
        <v>-1593349.2900000066</v>
      </c>
      <c r="J1262" s="5">
        <v>3000000</v>
      </c>
      <c r="K1262" s="5">
        <v>5290000</v>
      </c>
      <c r="L1262" s="5">
        <v>5590000</v>
      </c>
      <c r="M1262" s="7">
        <v>1834.1</v>
      </c>
      <c r="N1262" s="5">
        <v>53400000</v>
      </c>
      <c r="O1262" s="5">
        <v>56400000</v>
      </c>
      <c r="P1262" s="3">
        <v>0.97916666666666663</v>
      </c>
    </row>
    <row r="1263" spans="1:16" x14ac:dyDescent="0.25">
      <c r="A1263" s="2">
        <v>44501</v>
      </c>
      <c r="B1263" s="2">
        <v>44207</v>
      </c>
      <c r="C1263" t="str">
        <f>TEXT(B1263,"mm")</f>
        <v>01</v>
      </c>
      <c r="D1263" t="s">
        <v>16</v>
      </c>
      <c r="E1263" t="s">
        <v>1636</v>
      </c>
      <c r="F1263" s="5">
        <v>53400000</v>
      </c>
      <c r="G1263" s="5">
        <v>56400000</v>
      </c>
      <c r="H1263" s="5">
        <f>M1263*26000*1.20565</f>
        <v>57979226.240000002</v>
      </c>
      <c r="I1263" s="5">
        <f>G1263-H1263</f>
        <v>-1579226.2400000021</v>
      </c>
      <c r="J1263" s="5">
        <v>3000000</v>
      </c>
      <c r="K1263" s="5">
        <v>5340000</v>
      </c>
      <c r="L1263" s="5">
        <v>5640000</v>
      </c>
      <c r="M1263" s="7">
        <v>1849.6</v>
      </c>
      <c r="N1263" s="5">
        <v>53900000</v>
      </c>
      <c r="O1263" s="5">
        <v>56900000</v>
      </c>
      <c r="P1263" s="3">
        <v>0.97916666666666663</v>
      </c>
    </row>
    <row r="1264" spans="1:16" x14ac:dyDescent="0.25">
      <c r="A1264" s="2">
        <v>44531</v>
      </c>
      <c r="B1264" s="2">
        <v>44208</v>
      </c>
      <c r="C1264" t="str">
        <f>TEXT(B1264,"mm")</f>
        <v>01</v>
      </c>
      <c r="D1264" t="s">
        <v>18</v>
      </c>
      <c r="E1264" t="s">
        <v>1636</v>
      </c>
      <c r="F1264" s="5">
        <v>53200000</v>
      </c>
      <c r="G1264" s="5">
        <v>56200000</v>
      </c>
      <c r="H1264" s="5">
        <f>M1264*26000*1.20565</f>
        <v>57769202.010000005</v>
      </c>
      <c r="I1264" s="5">
        <f>G1264-H1264</f>
        <v>-1569202.0100000054</v>
      </c>
      <c r="J1264" s="5">
        <v>3000000</v>
      </c>
      <c r="K1264" s="5">
        <v>5320000</v>
      </c>
      <c r="L1264" s="5">
        <v>5620000</v>
      </c>
      <c r="M1264" s="7">
        <v>1842.9</v>
      </c>
      <c r="N1264" s="5">
        <v>53700000</v>
      </c>
      <c r="O1264" s="5">
        <v>56700000</v>
      </c>
      <c r="P1264" s="3">
        <v>0.97916666666666663</v>
      </c>
    </row>
    <row r="1265" spans="1:16" x14ac:dyDescent="0.25">
      <c r="A1265" t="s">
        <v>784</v>
      </c>
      <c r="B1265" s="2">
        <v>44209</v>
      </c>
      <c r="C1265" t="str">
        <f>TEXT(B1265,"mm")</f>
        <v>01</v>
      </c>
      <c r="D1265" t="s">
        <v>19</v>
      </c>
      <c r="E1265" t="s">
        <v>1636</v>
      </c>
      <c r="F1265" s="5">
        <v>53500000</v>
      </c>
      <c r="G1265" s="5">
        <v>56500000</v>
      </c>
      <c r="H1265" s="5">
        <f>M1265*26000*1.20565</f>
        <v>58104613.840000004</v>
      </c>
      <c r="I1265" s="5">
        <f>G1265-H1265</f>
        <v>-1604613.8400000036</v>
      </c>
      <c r="J1265" s="5">
        <v>3000000</v>
      </c>
      <c r="K1265" s="5">
        <v>5350000</v>
      </c>
      <c r="L1265" s="5">
        <v>5650000</v>
      </c>
      <c r="M1265" s="7">
        <v>1853.6</v>
      </c>
      <c r="N1265" s="5">
        <v>54000000</v>
      </c>
      <c r="O1265" s="5">
        <v>57000000</v>
      </c>
      <c r="P1265" s="3">
        <v>0.97916666666666663</v>
      </c>
    </row>
    <row r="1266" spans="1:16" x14ac:dyDescent="0.25">
      <c r="A1266" t="s">
        <v>785</v>
      </c>
      <c r="B1266" s="2">
        <v>44210</v>
      </c>
      <c r="C1266" t="str">
        <f>TEXT(B1266,"mm")</f>
        <v>01</v>
      </c>
      <c r="D1266" t="s">
        <v>20</v>
      </c>
      <c r="E1266" t="s">
        <v>1636</v>
      </c>
      <c r="F1266" s="5">
        <v>53400000</v>
      </c>
      <c r="G1266" s="5">
        <v>56400000</v>
      </c>
      <c r="H1266" s="5">
        <f>M1266*26000*1.20565</f>
        <v>58001169.070000008</v>
      </c>
      <c r="I1266" s="5">
        <f>G1266-H1266</f>
        <v>-1601169.0700000077</v>
      </c>
      <c r="J1266" s="5">
        <v>3000000</v>
      </c>
      <c r="K1266" s="5">
        <v>5340000</v>
      </c>
      <c r="L1266" s="5">
        <v>5640000</v>
      </c>
      <c r="M1266" s="7">
        <v>1850.3</v>
      </c>
      <c r="N1266" s="5">
        <v>53900000</v>
      </c>
      <c r="O1266" s="5">
        <v>56900000</v>
      </c>
      <c r="P1266" s="3">
        <v>0.97916666666666663</v>
      </c>
    </row>
    <row r="1267" spans="1:16" x14ac:dyDescent="0.25">
      <c r="A1267" t="s">
        <v>786</v>
      </c>
      <c r="B1267" s="2">
        <v>44211</v>
      </c>
      <c r="C1267" t="str">
        <f>TEXT(B1267,"mm")</f>
        <v>01</v>
      </c>
      <c r="D1267" t="s">
        <v>21</v>
      </c>
      <c r="E1267" t="s">
        <v>1636</v>
      </c>
      <c r="F1267" s="5">
        <v>52800000</v>
      </c>
      <c r="G1267" s="5">
        <v>55800000</v>
      </c>
      <c r="H1267" s="5">
        <f>M1267*26000*1.20565</f>
        <v>57342884.170000002</v>
      </c>
      <c r="I1267" s="5">
        <f>G1267-H1267</f>
        <v>-1542884.1700000018</v>
      </c>
      <c r="J1267" s="5">
        <v>3000000</v>
      </c>
      <c r="K1267" s="5">
        <v>5280000</v>
      </c>
      <c r="L1267" s="5">
        <v>5580000</v>
      </c>
      <c r="M1267" s="7">
        <v>1829.3</v>
      </c>
      <c r="N1267" s="5">
        <v>53300000</v>
      </c>
      <c r="O1267" s="5">
        <v>56300000</v>
      </c>
      <c r="P1267" s="3">
        <v>0.97916666666666663</v>
      </c>
    </row>
    <row r="1268" spans="1:16" x14ac:dyDescent="0.25">
      <c r="A1268" t="s">
        <v>787</v>
      </c>
      <c r="B1268" s="2">
        <v>44215</v>
      </c>
      <c r="C1268" t="str">
        <f>TEXT(B1268,"mm")</f>
        <v>01</v>
      </c>
      <c r="D1268" t="s">
        <v>18</v>
      </c>
      <c r="E1268" t="s">
        <v>1636</v>
      </c>
      <c r="F1268" s="5">
        <v>53100000</v>
      </c>
      <c r="G1268" s="5">
        <v>56100000</v>
      </c>
      <c r="H1268" s="5">
        <f>M1268*26000*1.20565</f>
        <v>57662622.550000004</v>
      </c>
      <c r="I1268" s="5">
        <f>G1268-H1268</f>
        <v>-1562622.5500000045</v>
      </c>
      <c r="J1268" s="5">
        <v>3000000</v>
      </c>
      <c r="K1268" s="5">
        <v>5310000</v>
      </c>
      <c r="L1268" s="5">
        <v>5610000</v>
      </c>
      <c r="M1268" s="7">
        <v>1839.5</v>
      </c>
      <c r="N1268" s="5">
        <v>53600000</v>
      </c>
      <c r="O1268" s="5">
        <v>56600000</v>
      </c>
      <c r="P1268" s="3">
        <v>0.97916666666666663</v>
      </c>
    </row>
    <row r="1269" spans="1:16" x14ac:dyDescent="0.25">
      <c r="A1269" t="s">
        <v>788</v>
      </c>
      <c r="B1269" s="2">
        <v>44216</v>
      </c>
      <c r="C1269" t="str">
        <f>TEXT(B1269,"mm")</f>
        <v>01</v>
      </c>
      <c r="D1269" t="s">
        <v>19</v>
      </c>
      <c r="E1269" t="s">
        <v>1636</v>
      </c>
      <c r="F1269" s="5">
        <v>53900000</v>
      </c>
      <c r="G1269" s="5">
        <v>56900000</v>
      </c>
      <c r="H1269" s="5">
        <f>M1269*26000*1.20565</f>
        <v>58490180.710000008</v>
      </c>
      <c r="I1269" s="5">
        <f>G1269-H1269</f>
        <v>-1590180.7100000083</v>
      </c>
      <c r="J1269" s="5">
        <v>3000000</v>
      </c>
      <c r="K1269" s="5">
        <v>5390000</v>
      </c>
      <c r="L1269" s="5">
        <v>5690000</v>
      </c>
      <c r="M1269" s="7">
        <v>1865.9</v>
      </c>
      <c r="N1269" s="5">
        <v>54400000</v>
      </c>
      <c r="O1269" s="5">
        <v>57400000</v>
      </c>
      <c r="P1269" s="3">
        <v>0.97916666666666663</v>
      </c>
    </row>
    <row r="1270" spans="1:16" x14ac:dyDescent="0.25">
      <c r="A1270" t="s">
        <v>789</v>
      </c>
      <c r="B1270" s="2">
        <v>44217</v>
      </c>
      <c r="C1270" t="str">
        <f>TEXT(B1270,"mm")</f>
        <v>01</v>
      </c>
      <c r="D1270" t="s">
        <v>20</v>
      </c>
      <c r="E1270" t="s">
        <v>1636</v>
      </c>
      <c r="F1270" s="5">
        <v>53900000</v>
      </c>
      <c r="G1270" s="5">
        <v>56900000</v>
      </c>
      <c r="H1270" s="5">
        <f>M1270*26000*1.20565</f>
        <v>58471372.570000008</v>
      </c>
      <c r="I1270" s="5">
        <f>G1270-H1270</f>
        <v>-1571372.5700000077</v>
      </c>
      <c r="J1270" s="5">
        <v>3000000</v>
      </c>
      <c r="K1270" s="5">
        <v>5390000</v>
      </c>
      <c r="L1270" s="5">
        <v>5690000</v>
      </c>
      <c r="M1270" s="7">
        <v>1865.3</v>
      </c>
      <c r="N1270" s="5">
        <v>54400000</v>
      </c>
      <c r="O1270" s="5">
        <v>57400000</v>
      </c>
      <c r="P1270" s="3">
        <v>0.97916666666666663</v>
      </c>
    </row>
    <row r="1271" spans="1:16" x14ac:dyDescent="0.25">
      <c r="A1271" t="s">
        <v>790</v>
      </c>
      <c r="B1271" s="2">
        <v>44218</v>
      </c>
      <c r="C1271" t="str">
        <f>TEXT(B1271,"mm")</f>
        <v>01</v>
      </c>
      <c r="D1271" t="s">
        <v>21</v>
      </c>
      <c r="E1271" t="s">
        <v>1636</v>
      </c>
      <c r="F1271" s="5">
        <v>53600000</v>
      </c>
      <c r="G1271" s="5">
        <v>56600000</v>
      </c>
      <c r="H1271" s="5">
        <f>M1271*26000*1.20565</f>
        <v>58170442.330000006</v>
      </c>
      <c r="I1271" s="5">
        <f>G1271-H1271</f>
        <v>-1570442.3300000057</v>
      </c>
      <c r="J1271" s="5">
        <v>3000000</v>
      </c>
      <c r="K1271" s="5">
        <v>5360000</v>
      </c>
      <c r="L1271" s="5">
        <v>5660000</v>
      </c>
      <c r="M1271" s="7">
        <v>1855.7</v>
      </c>
      <c r="N1271" s="5">
        <v>54100000</v>
      </c>
      <c r="O1271" s="5">
        <v>57100000</v>
      </c>
      <c r="P1271" s="3">
        <v>0.97916666666666663</v>
      </c>
    </row>
    <row r="1272" spans="1:16" x14ac:dyDescent="0.25">
      <c r="A1272" t="s">
        <v>791</v>
      </c>
      <c r="B1272" s="2">
        <v>44221</v>
      </c>
      <c r="C1272" t="str">
        <f>TEXT(B1272,"mm")</f>
        <v>01</v>
      </c>
      <c r="D1272" t="s">
        <v>16</v>
      </c>
      <c r="E1272" t="s">
        <v>1636</v>
      </c>
      <c r="F1272" s="5">
        <v>53600000</v>
      </c>
      <c r="G1272" s="5">
        <v>56600000</v>
      </c>
      <c r="H1272" s="5">
        <f>M1272*26000*1.20565</f>
        <v>58145364.810000002</v>
      </c>
      <c r="I1272" s="5">
        <f>G1272-H1272</f>
        <v>-1545364.8100000024</v>
      </c>
      <c r="J1272" s="5">
        <v>3000000</v>
      </c>
      <c r="K1272" s="5">
        <v>5360000</v>
      </c>
      <c r="L1272" s="5">
        <v>5660000</v>
      </c>
      <c r="M1272" s="7">
        <v>1854.9</v>
      </c>
      <c r="N1272" s="5">
        <v>54100000</v>
      </c>
      <c r="O1272" s="5">
        <v>57100000</v>
      </c>
      <c r="P1272" s="3">
        <v>0.97916666666666663</v>
      </c>
    </row>
    <row r="1273" spans="1:16" x14ac:dyDescent="0.25">
      <c r="A1273" t="s">
        <v>792</v>
      </c>
      <c r="B1273" s="2">
        <v>44222</v>
      </c>
      <c r="C1273" t="str">
        <f>TEXT(B1273,"mm")</f>
        <v>01</v>
      </c>
      <c r="D1273" t="s">
        <v>18</v>
      </c>
      <c r="E1273" t="s">
        <v>1636</v>
      </c>
      <c r="F1273" s="5">
        <v>53500000</v>
      </c>
      <c r="G1273" s="5">
        <v>56500000</v>
      </c>
      <c r="H1273" s="5">
        <f>M1273*26000*1.20565</f>
        <v>58013707.830000006</v>
      </c>
      <c r="I1273" s="5">
        <f>G1273-H1273</f>
        <v>-1513707.8300000057</v>
      </c>
      <c r="J1273" s="5">
        <v>3000000</v>
      </c>
      <c r="K1273" s="5">
        <v>5350000</v>
      </c>
      <c r="L1273" s="5">
        <v>5650000</v>
      </c>
      <c r="M1273" s="7">
        <v>1850.7</v>
      </c>
      <c r="N1273" s="5">
        <v>54000000</v>
      </c>
      <c r="O1273" s="5">
        <v>57000000</v>
      </c>
      <c r="P1273" s="3">
        <v>0.97916666666666663</v>
      </c>
    </row>
    <row r="1274" spans="1:16" x14ac:dyDescent="0.25">
      <c r="A1274" t="s">
        <v>793</v>
      </c>
      <c r="B1274" s="2">
        <v>44223</v>
      </c>
      <c r="C1274" t="str">
        <f>TEXT(B1274,"mm")</f>
        <v>01</v>
      </c>
      <c r="D1274" t="s">
        <v>19</v>
      </c>
      <c r="E1274" t="s">
        <v>1636</v>
      </c>
      <c r="F1274" s="5">
        <v>53300000</v>
      </c>
      <c r="G1274" s="5">
        <v>56300000</v>
      </c>
      <c r="H1274" s="5">
        <f>M1274*26000*1.20565</f>
        <v>57831895.810000002</v>
      </c>
      <c r="I1274" s="5">
        <f>G1274-H1274</f>
        <v>-1531895.8100000024</v>
      </c>
      <c r="J1274" s="5">
        <v>3000000</v>
      </c>
      <c r="K1274" s="5">
        <v>5330000</v>
      </c>
      <c r="L1274" s="5">
        <v>5630000</v>
      </c>
      <c r="M1274" s="7">
        <v>1844.9</v>
      </c>
      <c r="N1274" s="5">
        <v>53800000</v>
      </c>
      <c r="O1274" s="5">
        <v>56800000</v>
      </c>
      <c r="P1274" s="3">
        <v>0.97916666666666663</v>
      </c>
    </row>
    <row r="1275" spans="1:16" x14ac:dyDescent="0.25">
      <c r="A1275" t="s">
        <v>794</v>
      </c>
      <c r="B1275" s="2">
        <v>44224</v>
      </c>
      <c r="C1275" t="str">
        <f>TEXT(B1275,"mm")</f>
        <v>01</v>
      </c>
      <c r="D1275" t="s">
        <v>20</v>
      </c>
      <c r="E1275" t="s">
        <v>1636</v>
      </c>
      <c r="F1275" s="5">
        <v>53100000</v>
      </c>
      <c r="G1275" s="5">
        <v>56100000</v>
      </c>
      <c r="H1275" s="5">
        <f>M1275*26000*1.20565</f>
        <v>57612467.510000005</v>
      </c>
      <c r="I1275" s="5">
        <f>G1275-H1275</f>
        <v>-1512467.5100000054</v>
      </c>
      <c r="J1275" s="5">
        <v>3000000</v>
      </c>
      <c r="K1275" s="5">
        <v>5310000</v>
      </c>
      <c r="L1275" s="5">
        <v>5610000</v>
      </c>
      <c r="M1275" s="7">
        <v>1837.9</v>
      </c>
      <c r="N1275" s="5">
        <v>53600000</v>
      </c>
      <c r="O1275" s="5">
        <v>56600000</v>
      </c>
      <c r="P1275" s="3">
        <v>0.97916666666666663</v>
      </c>
    </row>
    <row r="1276" spans="1:16" x14ac:dyDescent="0.25">
      <c r="A1276" t="s">
        <v>795</v>
      </c>
      <c r="B1276" s="2">
        <v>44225</v>
      </c>
      <c r="C1276" t="str">
        <f>TEXT(B1276,"mm")</f>
        <v>01</v>
      </c>
      <c r="D1276" t="s">
        <v>21</v>
      </c>
      <c r="E1276" t="s">
        <v>1636</v>
      </c>
      <c r="F1276" s="5">
        <v>53300000</v>
      </c>
      <c r="G1276" s="5">
        <v>56300000</v>
      </c>
      <c r="H1276" s="5">
        <f>M1276*26000*1.20565</f>
        <v>57907128.370000005</v>
      </c>
      <c r="I1276" s="5">
        <f>G1276-H1276</f>
        <v>-1607128.3700000048</v>
      </c>
      <c r="J1276" s="5">
        <v>3000000</v>
      </c>
      <c r="K1276" s="5">
        <v>5330000</v>
      </c>
      <c r="L1276" s="5">
        <v>5630000</v>
      </c>
      <c r="M1276" s="7">
        <v>1847.3</v>
      </c>
      <c r="N1276" s="5">
        <v>53800000</v>
      </c>
      <c r="O1276" s="5">
        <v>56800000</v>
      </c>
      <c r="P1276" s="3">
        <v>0.97916666666666663</v>
      </c>
    </row>
    <row r="1277" spans="1:16" x14ac:dyDescent="0.25">
      <c r="A1277" s="2">
        <v>44198</v>
      </c>
      <c r="B1277" s="2">
        <v>44228</v>
      </c>
      <c r="C1277" t="str">
        <f>TEXT(B1277,"mm")</f>
        <v>02</v>
      </c>
      <c r="D1277" t="s">
        <v>16</v>
      </c>
      <c r="E1277" t="s">
        <v>1636</v>
      </c>
      <c r="F1277" s="5">
        <v>53800000</v>
      </c>
      <c r="G1277" s="5">
        <v>56800000</v>
      </c>
      <c r="H1277" s="5">
        <f>M1277*26000*1.20565</f>
        <v>58330311.520000003</v>
      </c>
      <c r="I1277" s="5">
        <f>G1277-H1277</f>
        <v>-1530311.5200000033</v>
      </c>
      <c r="J1277" s="5">
        <v>3000000</v>
      </c>
      <c r="K1277" s="5">
        <v>5380000</v>
      </c>
      <c r="L1277" s="5">
        <v>5680000</v>
      </c>
      <c r="M1277" s="7">
        <v>1860.8</v>
      </c>
      <c r="N1277" s="5">
        <v>54300000</v>
      </c>
      <c r="O1277" s="5">
        <v>57300000</v>
      </c>
      <c r="P1277" s="3">
        <v>0.97916666666666663</v>
      </c>
    </row>
    <row r="1278" spans="1:16" x14ac:dyDescent="0.25">
      <c r="A1278" s="2">
        <v>44229</v>
      </c>
      <c r="B1278" s="2">
        <v>44229</v>
      </c>
      <c r="C1278" t="str">
        <f>TEXT(B1278,"mm")</f>
        <v>02</v>
      </c>
      <c r="D1278" t="s">
        <v>18</v>
      </c>
      <c r="E1278" t="s">
        <v>1636</v>
      </c>
      <c r="F1278" s="5">
        <v>52800000</v>
      </c>
      <c r="G1278" s="5">
        <v>55800000</v>
      </c>
      <c r="H1278" s="5">
        <f>M1278*26000*1.20565</f>
        <v>57380500.450000003</v>
      </c>
      <c r="I1278" s="5">
        <f>G1278-H1278</f>
        <v>-1580500.450000003</v>
      </c>
      <c r="J1278" s="5">
        <v>3000000</v>
      </c>
      <c r="K1278" s="5">
        <v>5280000</v>
      </c>
      <c r="L1278" s="5">
        <v>5580000</v>
      </c>
      <c r="M1278" s="7">
        <v>1830.5</v>
      </c>
      <c r="N1278" s="5">
        <v>53300000</v>
      </c>
      <c r="O1278" s="5">
        <v>56300000</v>
      </c>
      <c r="P1278" s="3">
        <v>0.97916666666666663</v>
      </c>
    </row>
    <row r="1279" spans="1:16" x14ac:dyDescent="0.25">
      <c r="A1279" s="2">
        <v>44257</v>
      </c>
      <c r="B1279" s="2">
        <v>44230</v>
      </c>
      <c r="C1279" t="str">
        <f>TEXT(B1279,"mm")</f>
        <v>02</v>
      </c>
      <c r="D1279" t="s">
        <v>19</v>
      </c>
      <c r="E1279" t="s">
        <v>1636</v>
      </c>
      <c r="F1279" s="5">
        <v>52900000</v>
      </c>
      <c r="G1279" s="5">
        <v>55900000</v>
      </c>
      <c r="H1279" s="5">
        <f>M1279*26000*1.20565</f>
        <v>57433790.180000007</v>
      </c>
      <c r="I1279" s="5">
        <f>G1279-H1279</f>
        <v>-1533790.1800000072</v>
      </c>
      <c r="J1279" s="5">
        <v>3000000</v>
      </c>
      <c r="K1279" s="5">
        <v>5290000</v>
      </c>
      <c r="L1279" s="5">
        <v>5590000</v>
      </c>
      <c r="M1279" s="7">
        <v>1832.2</v>
      </c>
      <c r="N1279" s="5">
        <v>53400000</v>
      </c>
      <c r="O1279" s="5">
        <v>56400000</v>
      </c>
      <c r="P1279" s="3">
        <v>0.97916666666666663</v>
      </c>
    </row>
    <row r="1280" spans="1:16" x14ac:dyDescent="0.25">
      <c r="A1280" s="2">
        <v>44288</v>
      </c>
      <c r="B1280" s="2">
        <v>44231</v>
      </c>
      <c r="C1280" t="str">
        <f>TEXT(B1280,"mm")</f>
        <v>02</v>
      </c>
      <c r="D1280" t="s">
        <v>20</v>
      </c>
      <c r="E1280" t="s">
        <v>1636</v>
      </c>
      <c r="F1280" s="5">
        <v>51600000</v>
      </c>
      <c r="G1280" s="5">
        <v>54600000</v>
      </c>
      <c r="H1280" s="5">
        <f>M1280*26000*1.20565</f>
        <v>56076469.410000004</v>
      </c>
      <c r="I1280" s="5">
        <f>G1280-H1280</f>
        <v>-1476469.4100000039</v>
      </c>
      <c r="J1280" s="5">
        <v>3000000</v>
      </c>
      <c r="K1280" s="5">
        <v>5160000</v>
      </c>
      <c r="L1280" s="5">
        <v>5460000</v>
      </c>
      <c r="M1280" s="7">
        <v>1788.9</v>
      </c>
      <c r="N1280" s="5">
        <v>52100000</v>
      </c>
      <c r="O1280" s="5">
        <v>55100000</v>
      </c>
      <c r="P1280" s="3">
        <v>0.97916666666666663</v>
      </c>
    </row>
    <row r="1281" spans="1:16" x14ac:dyDescent="0.25">
      <c r="A1281" s="2">
        <v>44318</v>
      </c>
      <c r="B1281" s="2">
        <v>44232</v>
      </c>
      <c r="C1281" t="str">
        <f>TEXT(B1281,"mm")</f>
        <v>02</v>
      </c>
      <c r="D1281" t="s">
        <v>21</v>
      </c>
      <c r="E1281" t="s">
        <v>1636</v>
      </c>
      <c r="F1281" s="5">
        <v>52200000</v>
      </c>
      <c r="G1281" s="5">
        <v>55200000</v>
      </c>
      <c r="H1281" s="5">
        <f>M1281*26000*1.20565</f>
        <v>56766101.210000008</v>
      </c>
      <c r="I1281" s="5">
        <f>G1281-H1281</f>
        <v>-1566101.2100000083</v>
      </c>
      <c r="J1281" s="5">
        <v>3000000</v>
      </c>
      <c r="K1281" s="5">
        <v>5220000</v>
      </c>
      <c r="L1281" s="5">
        <v>5520000</v>
      </c>
      <c r="M1281" s="7">
        <v>1810.9</v>
      </c>
      <c r="N1281" s="5">
        <v>52700000</v>
      </c>
      <c r="O1281" s="5">
        <v>55700000</v>
      </c>
      <c r="P1281" s="3">
        <v>0.97916666666666663</v>
      </c>
    </row>
    <row r="1282" spans="1:16" x14ac:dyDescent="0.25">
      <c r="A1282" s="2">
        <v>44410</v>
      </c>
      <c r="B1282" s="2">
        <v>44235</v>
      </c>
      <c r="C1282" t="str">
        <f>TEXT(B1282,"mm")</f>
        <v>02</v>
      </c>
      <c r="D1282" t="s">
        <v>16</v>
      </c>
      <c r="E1282" t="s">
        <v>1636</v>
      </c>
      <c r="F1282" s="5">
        <v>52900000</v>
      </c>
      <c r="G1282" s="5">
        <v>55900000</v>
      </c>
      <c r="H1282" s="5">
        <f>M1282*26000*1.20565</f>
        <v>57424386.110000007</v>
      </c>
      <c r="I1282" s="5">
        <f>G1282-H1282</f>
        <v>-1524386.1100000069</v>
      </c>
      <c r="J1282" s="5">
        <v>3000000</v>
      </c>
      <c r="K1282" s="5">
        <v>5290000</v>
      </c>
      <c r="L1282" s="5">
        <v>5590000</v>
      </c>
      <c r="M1282" s="7">
        <v>1831.9</v>
      </c>
      <c r="N1282" s="5">
        <v>53400000</v>
      </c>
      <c r="O1282" s="5">
        <v>56400000</v>
      </c>
      <c r="P1282" s="3">
        <v>0.97916666666666663</v>
      </c>
    </row>
    <row r="1283" spans="1:16" x14ac:dyDescent="0.25">
      <c r="A1283" s="2">
        <v>44441</v>
      </c>
      <c r="B1283" s="2">
        <v>44236</v>
      </c>
      <c r="C1283" t="str">
        <f>TEXT(B1283,"mm")</f>
        <v>02</v>
      </c>
      <c r="D1283" t="s">
        <v>18</v>
      </c>
      <c r="E1283" t="s">
        <v>1636</v>
      </c>
      <c r="F1283" s="5">
        <v>53000000</v>
      </c>
      <c r="G1283" s="5">
        <v>56000000</v>
      </c>
      <c r="H1283" s="5">
        <f>M1283*26000*1.20565</f>
        <v>57530965.570000008</v>
      </c>
      <c r="I1283" s="5">
        <f>G1283-H1283</f>
        <v>-1530965.5700000077</v>
      </c>
      <c r="J1283" s="5">
        <v>3000000</v>
      </c>
      <c r="K1283" s="5">
        <v>5300000</v>
      </c>
      <c r="L1283" s="5">
        <v>5600000</v>
      </c>
      <c r="M1283" s="7">
        <v>1835.3</v>
      </c>
      <c r="N1283" s="5">
        <v>53500000</v>
      </c>
      <c r="O1283" s="5">
        <v>56500000</v>
      </c>
      <c r="P1283" s="3">
        <v>0.97916666666666663</v>
      </c>
    </row>
    <row r="1284" spans="1:16" x14ac:dyDescent="0.25">
      <c r="A1284" s="2">
        <v>44471</v>
      </c>
      <c r="B1284" s="2">
        <v>44237</v>
      </c>
      <c r="C1284" t="str">
        <f>TEXT(B1284,"mm")</f>
        <v>02</v>
      </c>
      <c r="D1284" t="s">
        <v>19</v>
      </c>
      <c r="E1284" t="s">
        <v>1636</v>
      </c>
      <c r="F1284" s="5">
        <v>53100000</v>
      </c>
      <c r="G1284" s="5">
        <v>56100000</v>
      </c>
      <c r="H1284" s="5">
        <f>M1284*26000*1.20565</f>
        <v>57697104.140000008</v>
      </c>
      <c r="I1284" s="5">
        <f>G1284-H1284</f>
        <v>-1597104.140000008</v>
      </c>
      <c r="J1284" s="5">
        <v>3000000</v>
      </c>
      <c r="K1284" s="5">
        <v>5310000</v>
      </c>
      <c r="L1284" s="5">
        <v>5610000</v>
      </c>
      <c r="M1284" s="7">
        <v>1840.6</v>
      </c>
      <c r="N1284" s="5">
        <v>53600000</v>
      </c>
      <c r="O1284" s="5">
        <v>56600000</v>
      </c>
      <c r="P1284" s="3">
        <v>0.97916666666666663</v>
      </c>
    </row>
    <row r="1285" spans="1:16" x14ac:dyDescent="0.25">
      <c r="A1285" s="2">
        <v>44502</v>
      </c>
      <c r="B1285" s="2">
        <v>44238</v>
      </c>
      <c r="C1285" t="str">
        <f>TEXT(B1285,"mm")</f>
        <v>02</v>
      </c>
      <c r="D1285" t="s">
        <v>20</v>
      </c>
      <c r="E1285" t="s">
        <v>1636</v>
      </c>
      <c r="F1285" s="5">
        <v>52700000</v>
      </c>
      <c r="G1285" s="5">
        <v>55700000</v>
      </c>
      <c r="H1285" s="5">
        <f>M1285*26000*1.20565</f>
        <v>57204957.810000002</v>
      </c>
      <c r="I1285" s="5">
        <f>G1285-H1285</f>
        <v>-1504957.8100000024</v>
      </c>
      <c r="J1285" s="5">
        <v>3000000</v>
      </c>
      <c r="K1285" s="5">
        <v>5270000</v>
      </c>
      <c r="L1285" s="5">
        <v>5570000</v>
      </c>
      <c r="M1285" s="7">
        <v>1824.9</v>
      </c>
      <c r="N1285" s="5">
        <v>53200000</v>
      </c>
      <c r="O1285" s="5">
        <v>56200000</v>
      </c>
      <c r="P1285" s="3">
        <v>0.97916666666666663</v>
      </c>
    </row>
    <row r="1286" spans="1:16" x14ac:dyDescent="0.25">
      <c r="A1286" s="2">
        <v>44532</v>
      </c>
      <c r="B1286" s="2">
        <v>44239</v>
      </c>
      <c r="C1286" t="str">
        <f>TEXT(B1286,"mm")</f>
        <v>02</v>
      </c>
      <c r="D1286" t="s">
        <v>21</v>
      </c>
      <c r="E1286" t="s">
        <v>1636</v>
      </c>
      <c r="F1286" s="5">
        <v>52600000</v>
      </c>
      <c r="G1286" s="5">
        <v>55600000</v>
      </c>
      <c r="H1286" s="5">
        <f>M1286*26000*1.20565</f>
        <v>57101513.040000007</v>
      </c>
      <c r="I1286" s="5">
        <f>G1286-H1286</f>
        <v>-1501513.0400000066</v>
      </c>
      <c r="J1286" s="5">
        <v>3000000</v>
      </c>
      <c r="K1286" s="5">
        <v>5260000</v>
      </c>
      <c r="L1286" s="5">
        <v>5560000</v>
      </c>
      <c r="M1286" s="7">
        <v>1821.6</v>
      </c>
      <c r="N1286" s="5">
        <v>53100000</v>
      </c>
      <c r="O1286" s="5">
        <v>56100000</v>
      </c>
      <c r="P1286" s="3">
        <v>0.97916666666666663</v>
      </c>
    </row>
    <row r="1287" spans="1:16" x14ac:dyDescent="0.25">
      <c r="A1287" t="s">
        <v>796</v>
      </c>
      <c r="B1287" s="2">
        <v>44243</v>
      </c>
      <c r="C1287" t="str">
        <f>TEXT(B1287,"mm")</f>
        <v>02</v>
      </c>
      <c r="D1287" t="s">
        <v>18</v>
      </c>
      <c r="E1287" t="s">
        <v>1636</v>
      </c>
      <c r="F1287" s="5">
        <v>51800000</v>
      </c>
      <c r="G1287" s="5">
        <v>54800000</v>
      </c>
      <c r="H1287" s="5">
        <f>M1287*26000*1.20565</f>
        <v>56336648.680000007</v>
      </c>
      <c r="I1287" s="5">
        <f>G1287-H1287</f>
        <v>-1536648.6800000072</v>
      </c>
      <c r="J1287" s="5">
        <v>3000000</v>
      </c>
      <c r="K1287" s="5">
        <v>5180000</v>
      </c>
      <c r="L1287" s="5">
        <v>5480000</v>
      </c>
      <c r="M1287" s="7">
        <v>1797.2</v>
      </c>
      <c r="N1287" s="5">
        <v>52300000</v>
      </c>
      <c r="O1287" s="5">
        <v>55300000</v>
      </c>
      <c r="P1287" s="3">
        <v>0.97916666666666663</v>
      </c>
    </row>
    <row r="1288" spans="1:16" x14ac:dyDescent="0.25">
      <c r="A1288" t="s">
        <v>797</v>
      </c>
      <c r="B1288" s="2">
        <v>44244</v>
      </c>
      <c r="C1288" t="str">
        <f>TEXT(B1288,"mm")</f>
        <v>02</v>
      </c>
      <c r="D1288" t="s">
        <v>19</v>
      </c>
      <c r="E1288" t="s">
        <v>1636</v>
      </c>
      <c r="F1288" s="5">
        <v>51000000</v>
      </c>
      <c r="G1288" s="5">
        <v>54000000</v>
      </c>
      <c r="H1288" s="5">
        <f>M1288*26000*1.20565</f>
        <v>55518494.590000004</v>
      </c>
      <c r="I1288" s="5">
        <f>G1288-H1288</f>
        <v>-1518494.5900000036</v>
      </c>
      <c r="J1288" s="5">
        <v>3000000</v>
      </c>
      <c r="K1288" s="5">
        <v>5100000</v>
      </c>
      <c r="L1288" s="5">
        <v>5400000</v>
      </c>
      <c r="M1288" s="7">
        <v>1771.1</v>
      </c>
      <c r="N1288" s="5">
        <v>51500000</v>
      </c>
      <c r="O1288" s="5">
        <v>54500000</v>
      </c>
      <c r="P1288" s="3">
        <v>0.97916666666666663</v>
      </c>
    </row>
    <row r="1289" spans="1:16" x14ac:dyDescent="0.25">
      <c r="A1289" t="s">
        <v>798</v>
      </c>
      <c r="B1289" s="2">
        <v>44245</v>
      </c>
      <c r="C1289" t="str">
        <f>TEXT(B1289,"mm")</f>
        <v>02</v>
      </c>
      <c r="D1289" t="s">
        <v>20</v>
      </c>
      <c r="E1289" t="s">
        <v>1636</v>
      </c>
      <c r="F1289" s="5">
        <v>51100000</v>
      </c>
      <c r="G1289" s="5">
        <v>54100000</v>
      </c>
      <c r="H1289" s="5">
        <f>M1289*26000*1.20565</f>
        <v>55590592.460000008</v>
      </c>
      <c r="I1289" s="5">
        <f>G1289-H1289</f>
        <v>-1490592.4600000083</v>
      </c>
      <c r="J1289" s="5">
        <v>3000000</v>
      </c>
      <c r="K1289" s="5">
        <v>5110000</v>
      </c>
      <c r="L1289" s="5">
        <v>5410000</v>
      </c>
      <c r="M1289" s="7">
        <v>1773.4</v>
      </c>
      <c r="N1289" s="5">
        <v>51600000</v>
      </c>
      <c r="O1289" s="5">
        <v>54600000</v>
      </c>
      <c r="P1289" s="3">
        <v>0.97916666666666663</v>
      </c>
    </row>
    <row r="1290" spans="1:16" x14ac:dyDescent="0.25">
      <c r="A1290" t="s">
        <v>799</v>
      </c>
      <c r="B1290" s="2">
        <v>44246</v>
      </c>
      <c r="C1290" t="str">
        <f>TEXT(B1290,"mm")</f>
        <v>02</v>
      </c>
      <c r="D1290" t="s">
        <v>21</v>
      </c>
      <c r="E1290" t="s">
        <v>1636</v>
      </c>
      <c r="F1290" s="5">
        <v>51200000</v>
      </c>
      <c r="G1290" s="5">
        <v>54200000</v>
      </c>
      <c r="H1290" s="5">
        <f>M1290*26000*1.20565</f>
        <v>55665825.020000003</v>
      </c>
      <c r="I1290" s="5">
        <f>G1290-H1290</f>
        <v>-1465825.0200000033</v>
      </c>
      <c r="J1290" s="5">
        <v>3000000</v>
      </c>
      <c r="K1290" s="5">
        <v>5120000</v>
      </c>
      <c r="L1290" s="5">
        <v>5420000</v>
      </c>
      <c r="M1290" s="7">
        <v>1775.8</v>
      </c>
      <c r="N1290" s="5">
        <v>51700000</v>
      </c>
      <c r="O1290" s="5">
        <v>54700000</v>
      </c>
      <c r="P1290" s="3">
        <v>0.97916666666666663</v>
      </c>
    </row>
    <row r="1291" spans="1:16" x14ac:dyDescent="0.25">
      <c r="A1291" t="s">
        <v>800</v>
      </c>
      <c r="B1291" s="2">
        <v>44249</v>
      </c>
      <c r="C1291" t="str">
        <f>TEXT(B1291,"mm")</f>
        <v>02</v>
      </c>
      <c r="D1291" t="s">
        <v>16</v>
      </c>
      <c r="E1291" t="s">
        <v>1636</v>
      </c>
      <c r="F1291" s="5">
        <v>52100000</v>
      </c>
      <c r="G1291" s="5">
        <v>55100000</v>
      </c>
      <c r="H1291" s="5">
        <f>M1291*26000*1.20565</f>
        <v>56634444.230000004</v>
      </c>
      <c r="I1291" s="5">
        <f>G1291-H1291</f>
        <v>-1534444.2300000042</v>
      </c>
      <c r="J1291" s="5">
        <v>3000000</v>
      </c>
      <c r="K1291" s="5">
        <v>5210000</v>
      </c>
      <c r="L1291" s="5">
        <v>5510000</v>
      </c>
      <c r="M1291" s="7">
        <v>1806.7</v>
      </c>
      <c r="N1291" s="5">
        <v>52600000</v>
      </c>
      <c r="O1291" s="5">
        <v>55600000</v>
      </c>
      <c r="P1291" s="3">
        <v>0.97916666666666663</v>
      </c>
    </row>
    <row r="1292" spans="1:16" x14ac:dyDescent="0.25">
      <c r="A1292" t="s">
        <v>801</v>
      </c>
      <c r="B1292" s="2">
        <v>44250</v>
      </c>
      <c r="C1292" t="str">
        <f>TEXT(B1292,"mm")</f>
        <v>02</v>
      </c>
      <c r="D1292" t="s">
        <v>18</v>
      </c>
      <c r="E1292" t="s">
        <v>1636</v>
      </c>
      <c r="F1292" s="5">
        <v>52000000</v>
      </c>
      <c r="G1292" s="5">
        <v>55000000</v>
      </c>
      <c r="H1292" s="5">
        <f>M1292*26000*1.20565</f>
        <v>56562346.360000007</v>
      </c>
      <c r="I1292" s="5">
        <f>G1292-H1292</f>
        <v>-1562346.3600000069</v>
      </c>
      <c r="J1292" s="5">
        <v>3000000</v>
      </c>
      <c r="K1292" s="5">
        <v>5200000</v>
      </c>
      <c r="L1292" s="5">
        <v>5500000</v>
      </c>
      <c r="M1292" s="7">
        <v>1804.4</v>
      </c>
      <c r="N1292" s="5">
        <v>52500000</v>
      </c>
      <c r="O1292" s="5">
        <v>55500000</v>
      </c>
      <c r="P1292" s="3">
        <v>0.97916666666666663</v>
      </c>
    </row>
    <row r="1293" spans="1:16" x14ac:dyDescent="0.25">
      <c r="A1293" t="s">
        <v>802</v>
      </c>
      <c r="B1293" s="2">
        <v>44251</v>
      </c>
      <c r="C1293" t="str">
        <f>TEXT(B1293,"mm")</f>
        <v>02</v>
      </c>
      <c r="D1293" t="s">
        <v>19</v>
      </c>
      <c r="E1293" t="s">
        <v>1636</v>
      </c>
      <c r="F1293" s="5">
        <v>51800000</v>
      </c>
      <c r="G1293" s="5">
        <v>54800000</v>
      </c>
      <c r="H1293" s="5">
        <f>M1293*26000*1.20565</f>
        <v>56311571.160000004</v>
      </c>
      <c r="I1293" s="5">
        <f>G1293-H1293</f>
        <v>-1511571.1600000039</v>
      </c>
      <c r="J1293" s="5">
        <v>3000000</v>
      </c>
      <c r="K1293" s="5">
        <v>5180000</v>
      </c>
      <c r="L1293" s="5">
        <v>5480000</v>
      </c>
      <c r="M1293" s="7">
        <v>1796.4</v>
      </c>
      <c r="N1293" s="5">
        <v>52300000</v>
      </c>
      <c r="O1293" s="5">
        <v>55300000</v>
      </c>
      <c r="P1293" s="3">
        <v>0.97916666666666663</v>
      </c>
    </row>
    <row r="1294" spans="1:16" x14ac:dyDescent="0.25">
      <c r="A1294" t="s">
        <v>803</v>
      </c>
      <c r="B1294" s="2">
        <v>44252</v>
      </c>
      <c r="C1294" t="str">
        <f>TEXT(B1294,"mm")</f>
        <v>02</v>
      </c>
      <c r="D1294" t="s">
        <v>20</v>
      </c>
      <c r="E1294" t="s">
        <v>1636</v>
      </c>
      <c r="F1294" s="5">
        <v>51100000</v>
      </c>
      <c r="G1294" s="5">
        <v>54100000</v>
      </c>
      <c r="H1294" s="5">
        <f>M1294*26000*1.20565</f>
        <v>55621939.360000007</v>
      </c>
      <c r="I1294" s="5">
        <f>G1294-H1294</f>
        <v>-1521939.3600000069</v>
      </c>
      <c r="J1294" s="5">
        <v>3000000</v>
      </c>
      <c r="K1294" s="5">
        <v>5110000</v>
      </c>
      <c r="L1294" s="5">
        <v>5410000</v>
      </c>
      <c r="M1294" s="7">
        <v>1774.4</v>
      </c>
      <c r="N1294" s="5">
        <v>51600000</v>
      </c>
      <c r="O1294" s="5">
        <v>54600000</v>
      </c>
      <c r="P1294" s="3">
        <v>0.97916666666666663</v>
      </c>
    </row>
    <row r="1295" spans="1:16" x14ac:dyDescent="0.25">
      <c r="A1295" t="s">
        <v>804</v>
      </c>
      <c r="B1295" s="2">
        <v>44253</v>
      </c>
      <c r="C1295" t="str">
        <f>TEXT(B1295,"mm")</f>
        <v>02</v>
      </c>
      <c r="D1295" t="s">
        <v>21</v>
      </c>
      <c r="E1295" t="s">
        <v>1636</v>
      </c>
      <c r="F1295" s="5">
        <v>49700000</v>
      </c>
      <c r="G1295" s="5">
        <v>52700000</v>
      </c>
      <c r="H1295" s="5">
        <f>M1295*26000*1.20565</f>
        <v>54170577.890000008</v>
      </c>
      <c r="I1295" s="5">
        <f>G1295-H1295</f>
        <v>-1470577.890000008</v>
      </c>
      <c r="J1295" s="5">
        <v>3000000</v>
      </c>
      <c r="K1295" s="5">
        <v>4970000</v>
      </c>
      <c r="L1295" s="5">
        <v>5270000</v>
      </c>
      <c r="M1295" s="7">
        <v>1728.1</v>
      </c>
      <c r="N1295" s="5">
        <v>50200000</v>
      </c>
      <c r="O1295" s="5">
        <v>53200000</v>
      </c>
      <c r="P1295" s="3">
        <v>0.97916666666666663</v>
      </c>
    </row>
    <row r="1296" spans="1:16" x14ac:dyDescent="0.25">
      <c r="A1296" s="2">
        <v>44199</v>
      </c>
      <c r="B1296" s="2">
        <v>44256</v>
      </c>
      <c r="C1296" t="str">
        <f>TEXT(B1296,"mm")</f>
        <v>03</v>
      </c>
      <c r="D1296" t="s">
        <v>16</v>
      </c>
      <c r="E1296" t="s">
        <v>1636</v>
      </c>
      <c r="F1296" s="5">
        <v>49500000</v>
      </c>
      <c r="G1296" s="5">
        <v>52500000</v>
      </c>
      <c r="H1296" s="5">
        <f>M1296*26000*1.20565</f>
        <v>53995035.250000007</v>
      </c>
      <c r="I1296" s="5">
        <f>G1296-H1296</f>
        <v>-1495035.2500000075</v>
      </c>
      <c r="J1296" s="5">
        <v>3000000</v>
      </c>
      <c r="K1296" s="5">
        <v>4950000</v>
      </c>
      <c r="L1296" s="5">
        <v>5250000</v>
      </c>
      <c r="M1296" s="7">
        <v>1722.5</v>
      </c>
      <c r="N1296" s="5">
        <v>50000000</v>
      </c>
      <c r="O1296" s="5">
        <v>53000000</v>
      </c>
      <c r="P1296" s="3">
        <v>0.97916666666666663</v>
      </c>
    </row>
    <row r="1297" spans="1:16" x14ac:dyDescent="0.25">
      <c r="A1297" s="2">
        <v>44230</v>
      </c>
      <c r="B1297" s="2">
        <v>44257</v>
      </c>
      <c r="C1297" t="str">
        <f>TEXT(B1297,"mm")</f>
        <v>03</v>
      </c>
      <c r="D1297" t="s">
        <v>18</v>
      </c>
      <c r="E1297" t="s">
        <v>1636</v>
      </c>
      <c r="F1297" s="5">
        <v>49900000</v>
      </c>
      <c r="G1297" s="5">
        <v>52900000</v>
      </c>
      <c r="H1297" s="5">
        <f>M1297*26000*1.20565</f>
        <v>54327312.390000008</v>
      </c>
      <c r="I1297" s="5">
        <f>G1297-H1297</f>
        <v>-1427312.390000008</v>
      </c>
      <c r="J1297" s="5">
        <v>3000000</v>
      </c>
      <c r="K1297" s="5">
        <v>4990000</v>
      </c>
      <c r="L1297" s="5">
        <v>5290000</v>
      </c>
      <c r="M1297" s="7">
        <v>1733.1</v>
      </c>
      <c r="N1297" s="5">
        <v>50400000</v>
      </c>
      <c r="O1297" s="5">
        <v>53400000</v>
      </c>
      <c r="P1297" s="3">
        <v>0.97916666666666663</v>
      </c>
    </row>
    <row r="1298" spans="1:16" x14ac:dyDescent="0.25">
      <c r="A1298" s="2">
        <v>44258</v>
      </c>
      <c r="B1298" s="2">
        <v>44258</v>
      </c>
      <c r="C1298" t="str">
        <f>TEXT(B1298,"mm")</f>
        <v>03</v>
      </c>
      <c r="D1298" t="s">
        <v>19</v>
      </c>
      <c r="E1298" t="s">
        <v>1636</v>
      </c>
      <c r="F1298" s="5">
        <v>49300000</v>
      </c>
      <c r="G1298" s="5">
        <v>52300000</v>
      </c>
      <c r="H1298" s="5">
        <f>M1298*26000*1.20565</f>
        <v>53769337.570000008</v>
      </c>
      <c r="I1298" s="5">
        <f>G1298-H1298</f>
        <v>-1469337.5700000077</v>
      </c>
      <c r="J1298" s="5">
        <v>3000000</v>
      </c>
      <c r="K1298" s="5">
        <v>4930000</v>
      </c>
      <c r="L1298" s="5">
        <v>5230000</v>
      </c>
      <c r="M1298" s="7">
        <v>1715.3</v>
      </c>
      <c r="N1298" s="5">
        <v>49800000</v>
      </c>
      <c r="O1298" s="5">
        <v>52800000</v>
      </c>
      <c r="P1298" s="3">
        <v>0.97916666666666663</v>
      </c>
    </row>
    <row r="1299" spans="1:16" x14ac:dyDescent="0.25">
      <c r="A1299" s="2">
        <v>44289</v>
      </c>
      <c r="B1299" s="2">
        <v>44259</v>
      </c>
      <c r="C1299" t="str">
        <f>TEXT(B1299,"mm")</f>
        <v>03</v>
      </c>
      <c r="D1299" t="s">
        <v>20</v>
      </c>
      <c r="E1299" t="s">
        <v>1636</v>
      </c>
      <c r="F1299" s="5">
        <v>48900000</v>
      </c>
      <c r="G1299" s="5">
        <v>51900000</v>
      </c>
      <c r="H1299" s="5">
        <f>M1299*26000*1.20565</f>
        <v>53295999.380000003</v>
      </c>
      <c r="I1299" s="5">
        <f>G1299-H1299</f>
        <v>-1395999.3800000027</v>
      </c>
      <c r="J1299" s="5">
        <v>3000000</v>
      </c>
      <c r="K1299" s="5">
        <v>4890000</v>
      </c>
      <c r="L1299" s="5">
        <v>5190000</v>
      </c>
      <c r="M1299" s="7">
        <v>1700.2</v>
      </c>
      <c r="N1299" s="5">
        <v>49400000</v>
      </c>
      <c r="O1299" s="5">
        <v>52400000</v>
      </c>
      <c r="P1299" s="3">
        <v>0.97916666666666663</v>
      </c>
    </row>
    <row r="1300" spans="1:16" x14ac:dyDescent="0.25">
      <c r="A1300" s="2">
        <v>44319</v>
      </c>
      <c r="B1300" s="2">
        <v>44260</v>
      </c>
      <c r="C1300" t="str">
        <f>TEXT(B1300,"mm")</f>
        <v>03</v>
      </c>
      <c r="D1300" t="s">
        <v>21</v>
      </c>
      <c r="E1300" t="s">
        <v>1636</v>
      </c>
      <c r="F1300" s="5">
        <v>48800000</v>
      </c>
      <c r="G1300" s="5">
        <v>51800000</v>
      </c>
      <c r="H1300" s="5">
        <f>M1300*26000*1.20565</f>
        <v>53227036.200000003</v>
      </c>
      <c r="I1300" s="5">
        <f>G1300-H1300</f>
        <v>-1427036.200000003</v>
      </c>
      <c r="J1300" s="5">
        <v>3000000</v>
      </c>
      <c r="K1300" s="5">
        <v>4880000</v>
      </c>
      <c r="L1300" s="5">
        <v>5180000</v>
      </c>
      <c r="M1300" s="7">
        <v>1698</v>
      </c>
      <c r="N1300" s="5">
        <v>49300000</v>
      </c>
      <c r="O1300" s="5">
        <v>52300000</v>
      </c>
      <c r="P1300" s="3">
        <v>0.97916666666666663</v>
      </c>
    </row>
    <row r="1301" spans="1:16" x14ac:dyDescent="0.25">
      <c r="A1301" s="2">
        <v>44411</v>
      </c>
      <c r="B1301" s="2">
        <v>44263</v>
      </c>
      <c r="C1301" t="str">
        <f>TEXT(B1301,"mm")</f>
        <v>03</v>
      </c>
      <c r="D1301" t="s">
        <v>16</v>
      </c>
      <c r="E1301" t="s">
        <v>1636</v>
      </c>
      <c r="F1301" s="5">
        <v>48200000</v>
      </c>
      <c r="G1301" s="5">
        <v>51200000</v>
      </c>
      <c r="H1301" s="5">
        <f>M1301*26000*1.20565</f>
        <v>52590694.130000003</v>
      </c>
      <c r="I1301" s="5">
        <f>G1301-H1301</f>
        <v>-1390694.1300000027</v>
      </c>
      <c r="J1301" s="5">
        <v>3000000</v>
      </c>
      <c r="K1301" s="5">
        <v>4820000</v>
      </c>
      <c r="L1301" s="5">
        <v>5120000</v>
      </c>
      <c r="M1301" s="7">
        <v>1677.7</v>
      </c>
      <c r="N1301" s="5">
        <v>48700000</v>
      </c>
      <c r="O1301" s="5">
        <v>51700000</v>
      </c>
      <c r="P1301" s="3">
        <v>0.97916666666666663</v>
      </c>
    </row>
    <row r="1302" spans="1:16" x14ac:dyDescent="0.25">
      <c r="A1302" s="2">
        <v>44442</v>
      </c>
      <c r="B1302" s="2">
        <v>44264</v>
      </c>
      <c r="C1302" t="str">
        <f>TEXT(B1302,"mm")</f>
        <v>03</v>
      </c>
      <c r="D1302" t="s">
        <v>18</v>
      </c>
      <c r="E1302" t="s">
        <v>1636</v>
      </c>
      <c r="F1302" s="5">
        <v>49400000</v>
      </c>
      <c r="G1302" s="5">
        <v>52400000</v>
      </c>
      <c r="H1302" s="5">
        <f>M1302*26000*1.20565</f>
        <v>53810088.540000007</v>
      </c>
      <c r="I1302" s="5">
        <f>G1302-H1302</f>
        <v>-1410088.5400000066</v>
      </c>
      <c r="J1302" s="5">
        <v>3000000</v>
      </c>
      <c r="K1302" s="5">
        <v>4940000</v>
      </c>
      <c r="L1302" s="5">
        <v>5240000</v>
      </c>
      <c r="M1302" s="7">
        <v>1716.6</v>
      </c>
      <c r="N1302" s="5">
        <v>49900000</v>
      </c>
      <c r="O1302" s="5">
        <v>52900000</v>
      </c>
      <c r="P1302" s="3">
        <v>0.97916666666666663</v>
      </c>
    </row>
    <row r="1303" spans="1:16" x14ac:dyDescent="0.25">
      <c r="A1303" s="2">
        <v>44472</v>
      </c>
      <c r="B1303" s="2">
        <v>44265</v>
      </c>
      <c r="C1303" t="str">
        <f>TEXT(B1303,"mm")</f>
        <v>03</v>
      </c>
      <c r="D1303" t="s">
        <v>19</v>
      </c>
      <c r="E1303" t="s">
        <v>1636</v>
      </c>
      <c r="F1303" s="5">
        <v>49500000</v>
      </c>
      <c r="G1303" s="5">
        <v>52500000</v>
      </c>
      <c r="H1303" s="5">
        <f>M1303*26000*1.20565</f>
        <v>53963688.350000001</v>
      </c>
      <c r="I1303" s="5">
        <f>G1303-H1303</f>
        <v>-1463688.3500000015</v>
      </c>
      <c r="J1303" s="5">
        <v>3000000</v>
      </c>
      <c r="K1303" s="5">
        <v>4950000</v>
      </c>
      <c r="L1303" s="5">
        <v>5250000</v>
      </c>
      <c r="M1303" s="7">
        <v>1721.5</v>
      </c>
      <c r="N1303" s="5">
        <v>50000000</v>
      </c>
      <c r="O1303" s="5">
        <v>53000000</v>
      </c>
      <c r="P1303" s="3">
        <v>0.97916666666666663</v>
      </c>
    </row>
    <row r="1304" spans="1:16" x14ac:dyDescent="0.25">
      <c r="A1304" s="2">
        <v>44503</v>
      </c>
      <c r="B1304" s="2">
        <v>44266</v>
      </c>
      <c r="C1304" t="str">
        <f>TEXT(B1304,"mm")</f>
        <v>03</v>
      </c>
      <c r="D1304" t="s">
        <v>20</v>
      </c>
      <c r="E1304" t="s">
        <v>1636</v>
      </c>
      <c r="F1304" s="5">
        <v>49500000</v>
      </c>
      <c r="G1304" s="5">
        <v>52500000</v>
      </c>
      <c r="H1304" s="5">
        <f>M1304*26000*1.20565</f>
        <v>53988765.870000005</v>
      </c>
      <c r="I1304" s="5">
        <f>G1304-H1304</f>
        <v>-1488765.8700000048</v>
      </c>
      <c r="J1304" s="5">
        <v>3000000</v>
      </c>
      <c r="K1304" s="5">
        <v>4950000</v>
      </c>
      <c r="L1304" s="5">
        <v>5250000</v>
      </c>
      <c r="M1304" s="7">
        <v>1722.3</v>
      </c>
      <c r="N1304" s="5">
        <v>50000000</v>
      </c>
      <c r="O1304" s="5">
        <v>53000000</v>
      </c>
      <c r="P1304" s="3">
        <v>0.97916666666666663</v>
      </c>
    </row>
    <row r="1305" spans="1:16" x14ac:dyDescent="0.25">
      <c r="A1305" s="2">
        <v>44533</v>
      </c>
      <c r="B1305" s="2">
        <v>44267</v>
      </c>
      <c r="C1305" t="str">
        <f>TEXT(B1305,"mm")</f>
        <v>03</v>
      </c>
      <c r="D1305" t="s">
        <v>21</v>
      </c>
      <c r="E1305" t="s">
        <v>1636</v>
      </c>
      <c r="F1305" s="5">
        <v>49400000</v>
      </c>
      <c r="G1305" s="5">
        <v>52400000</v>
      </c>
      <c r="H1305" s="5">
        <f>M1305*26000*1.20565</f>
        <v>53900994.550000004</v>
      </c>
      <c r="I1305" s="5">
        <f>G1305-H1305</f>
        <v>-1500994.5500000045</v>
      </c>
      <c r="J1305" s="5">
        <v>3000000</v>
      </c>
      <c r="K1305" s="5">
        <v>4940000</v>
      </c>
      <c r="L1305" s="5">
        <v>5240000</v>
      </c>
      <c r="M1305" s="7">
        <v>1719.5</v>
      </c>
      <c r="N1305" s="5">
        <v>49900000</v>
      </c>
      <c r="O1305" s="5">
        <v>52900000</v>
      </c>
      <c r="P1305" s="3">
        <v>0.97916666666666663</v>
      </c>
    </row>
    <row r="1306" spans="1:16" x14ac:dyDescent="0.25">
      <c r="A1306" t="s">
        <v>805</v>
      </c>
      <c r="B1306" s="2">
        <v>44270</v>
      </c>
      <c r="C1306" t="str">
        <f>TEXT(B1306,"mm")</f>
        <v>03</v>
      </c>
      <c r="D1306" t="s">
        <v>16</v>
      </c>
      <c r="E1306" t="s">
        <v>1636</v>
      </c>
      <c r="F1306" s="5">
        <v>49700000</v>
      </c>
      <c r="G1306" s="5">
        <v>52700000</v>
      </c>
      <c r="H1306" s="5">
        <f>M1306*26000*1.20565</f>
        <v>54195655.410000004</v>
      </c>
      <c r="I1306" s="5">
        <f>G1306-H1306</f>
        <v>-1495655.4100000039</v>
      </c>
      <c r="J1306" s="5">
        <v>3000000</v>
      </c>
      <c r="K1306" s="5">
        <v>4970000</v>
      </c>
      <c r="L1306" s="5">
        <v>5270000</v>
      </c>
      <c r="M1306" s="7">
        <v>1728.9</v>
      </c>
      <c r="N1306" s="5">
        <v>50200000</v>
      </c>
      <c r="O1306" s="5">
        <v>53200000</v>
      </c>
      <c r="P1306" s="3">
        <v>0.97916666666666663</v>
      </c>
    </row>
    <row r="1307" spans="1:16" x14ac:dyDescent="0.25">
      <c r="A1307" t="s">
        <v>806</v>
      </c>
      <c r="B1307" s="2">
        <v>44271</v>
      </c>
      <c r="C1307" t="str">
        <f>TEXT(B1307,"mm")</f>
        <v>03</v>
      </c>
      <c r="D1307" t="s">
        <v>18</v>
      </c>
      <c r="E1307" t="s">
        <v>1636</v>
      </c>
      <c r="F1307" s="5">
        <v>49800000</v>
      </c>
      <c r="G1307" s="5">
        <v>52800000</v>
      </c>
      <c r="H1307" s="5">
        <f>M1307*26000*1.20565</f>
        <v>54248945.140000008</v>
      </c>
      <c r="I1307" s="5">
        <f>G1307-H1307</f>
        <v>-1448945.140000008</v>
      </c>
      <c r="J1307" s="5">
        <v>3000000</v>
      </c>
      <c r="K1307" s="5">
        <v>4980000</v>
      </c>
      <c r="L1307" s="5">
        <v>5280000</v>
      </c>
      <c r="M1307" s="7">
        <v>1730.6</v>
      </c>
      <c r="N1307" s="5">
        <v>50300000</v>
      </c>
      <c r="O1307" s="5">
        <v>53300000</v>
      </c>
      <c r="P1307" s="3">
        <v>0.97916666666666663</v>
      </c>
    </row>
    <row r="1308" spans="1:16" x14ac:dyDescent="0.25">
      <c r="A1308" t="s">
        <v>807</v>
      </c>
      <c r="B1308" s="2">
        <v>44272</v>
      </c>
      <c r="C1308" t="str">
        <f>TEXT(B1308,"mm")</f>
        <v>03</v>
      </c>
      <c r="D1308" t="s">
        <v>19</v>
      </c>
      <c r="E1308" t="s">
        <v>1636</v>
      </c>
      <c r="F1308" s="5">
        <v>49700000</v>
      </c>
      <c r="G1308" s="5">
        <v>52700000</v>
      </c>
      <c r="H1308" s="5">
        <f>M1308*26000*1.20565</f>
        <v>54129826.920000002</v>
      </c>
      <c r="I1308" s="5">
        <f>G1308-H1308</f>
        <v>-1429826.9200000018</v>
      </c>
      <c r="J1308" s="5">
        <v>3000000</v>
      </c>
      <c r="K1308" s="5">
        <v>4970000</v>
      </c>
      <c r="L1308" s="5">
        <v>5270000</v>
      </c>
      <c r="M1308" s="7">
        <v>1726.8</v>
      </c>
      <c r="N1308" s="5">
        <v>50200000</v>
      </c>
      <c r="O1308" s="5">
        <v>53200000</v>
      </c>
      <c r="P1308" s="3">
        <v>0.97916666666666663</v>
      </c>
    </row>
    <row r="1309" spans="1:16" x14ac:dyDescent="0.25">
      <c r="A1309" t="s">
        <v>808</v>
      </c>
      <c r="B1309" s="2">
        <v>44273</v>
      </c>
      <c r="C1309" t="str">
        <f>TEXT(B1309,"mm")</f>
        <v>03</v>
      </c>
      <c r="D1309" t="s">
        <v>20</v>
      </c>
      <c r="E1309" t="s">
        <v>1636</v>
      </c>
      <c r="F1309" s="5">
        <v>49800000</v>
      </c>
      <c r="G1309" s="5">
        <v>52800000</v>
      </c>
      <c r="H1309" s="5">
        <f>M1309*26000*1.20565</f>
        <v>54299100.180000007</v>
      </c>
      <c r="I1309" s="5">
        <f>G1309-H1309</f>
        <v>-1499100.1800000072</v>
      </c>
      <c r="J1309" s="5">
        <v>3000000</v>
      </c>
      <c r="K1309" s="5">
        <v>4980000</v>
      </c>
      <c r="L1309" s="5">
        <v>5280000</v>
      </c>
      <c r="M1309" s="7">
        <v>1732.2</v>
      </c>
      <c r="N1309" s="5">
        <v>50300000</v>
      </c>
      <c r="O1309" s="5">
        <v>53300000</v>
      </c>
      <c r="P1309" s="3">
        <v>0.97916666666666663</v>
      </c>
    </row>
    <row r="1310" spans="1:16" x14ac:dyDescent="0.25">
      <c r="A1310" t="s">
        <v>809</v>
      </c>
      <c r="B1310" s="2">
        <v>44274</v>
      </c>
      <c r="C1310" t="str">
        <f>TEXT(B1310,"mm")</f>
        <v>03</v>
      </c>
      <c r="D1310" t="s">
        <v>21</v>
      </c>
      <c r="E1310" t="s">
        <v>1636</v>
      </c>
      <c r="F1310" s="5">
        <v>50100000</v>
      </c>
      <c r="G1310" s="5">
        <v>53100000</v>
      </c>
      <c r="H1310" s="5">
        <f>M1310*26000*1.20565</f>
        <v>54587491.660000004</v>
      </c>
      <c r="I1310" s="5">
        <f>G1310-H1310</f>
        <v>-1487491.6600000039</v>
      </c>
      <c r="J1310" s="5">
        <v>3000000</v>
      </c>
      <c r="K1310" s="5">
        <v>5010000</v>
      </c>
      <c r="L1310" s="5">
        <v>5310000</v>
      </c>
      <c r="M1310" s="7">
        <v>1741.4</v>
      </c>
      <c r="N1310" s="5">
        <v>50600000</v>
      </c>
      <c r="O1310" s="5">
        <v>53600000</v>
      </c>
      <c r="P1310" s="3">
        <v>0.97916666666666663</v>
      </c>
    </row>
    <row r="1311" spans="1:16" x14ac:dyDescent="0.25">
      <c r="A1311" t="s">
        <v>810</v>
      </c>
      <c r="B1311" s="2">
        <v>44277</v>
      </c>
      <c r="C1311" t="str">
        <f>TEXT(B1311,"mm")</f>
        <v>03</v>
      </c>
      <c r="D1311" t="s">
        <v>16</v>
      </c>
      <c r="E1311" t="s">
        <v>1636</v>
      </c>
      <c r="F1311" s="5">
        <v>50000000</v>
      </c>
      <c r="G1311" s="5">
        <v>53000000</v>
      </c>
      <c r="H1311" s="5">
        <f>M1311*26000*1.20565</f>
        <v>54474642.820000008</v>
      </c>
      <c r="I1311" s="5">
        <f>G1311-H1311</f>
        <v>-1474642.8200000077</v>
      </c>
      <c r="J1311" s="5">
        <v>3000000</v>
      </c>
      <c r="K1311" s="5">
        <v>5000000</v>
      </c>
      <c r="L1311" s="5">
        <v>5300000</v>
      </c>
      <c r="M1311" s="7">
        <v>1737.8</v>
      </c>
      <c r="N1311" s="5">
        <v>50500000</v>
      </c>
      <c r="O1311" s="5">
        <v>53500000</v>
      </c>
      <c r="P1311" s="3">
        <v>0.97916666666666663</v>
      </c>
    </row>
    <row r="1312" spans="1:16" x14ac:dyDescent="0.25">
      <c r="A1312" t="s">
        <v>811</v>
      </c>
      <c r="B1312" s="2">
        <v>44278</v>
      </c>
      <c r="C1312" t="str">
        <f>TEXT(B1312,"mm")</f>
        <v>03</v>
      </c>
      <c r="D1312" t="s">
        <v>18</v>
      </c>
      <c r="E1312" t="s">
        <v>1636</v>
      </c>
      <c r="F1312" s="5">
        <v>49600000</v>
      </c>
      <c r="G1312" s="5">
        <v>52600000</v>
      </c>
      <c r="H1312" s="5">
        <f>M1312*26000*1.20565</f>
        <v>54063998.430000007</v>
      </c>
      <c r="I1312" s="5">
        <f>G1312-H1312</f>
        <v>-1463998.4300000072</v>
      </c>
      <c r="J1312" s="5">
        <v>3000000</v>
      </c>
      <c r="K1312" s="5">
        <v>4960000</v>
      </c>
      <c r="L1312" s="5">
        <v>5260000</v>
      </c>
      <c r="M1312" s="7">
        <v>1724.7</v>
      </c>
      <c r="N1312" s="5">
        <v>50100000</v>
      </c>
      <c r="O1312" s="5">
        <v>53100000</v>
      </c>
      <c r="P1312" s="3">
        <v>0.97916666666666663</v>
      </c>
    </row>
    <row r="1313" spans="1:16" x14ac:dyDescent="0.25">
      <c r="A1313" t="s">
        <v>812</v>
      </c>
      <c r="B1313" s="2">
        <v>44279</v>
      </c>
      <c r="C1313" t="str">
        <f>TEXT(B1313,"mm")</f>
        <v>03</v>
      </c>
      <c r="D1313" t="s">
        <v>19</v>
      </c>
      <c r="E1313" t="s">
        <v>1636</v>
      </c>
      <c r="F1313" s="5">
        <v>49900000</v>
      </c>
      <c r="G1313" s="5">
        <v>52900000</v>
      </c>
      <c r="H1313" s="5">
        <f>M1313*26000*1.20565</f>
        <v>54321043.010000005</v>
      </c>
      <c r="I1313" s="5">
        <f>G1313-H1313</f>
        <v>-1421043.0100000054</v>
      </c>
      <c r="J1313" s="5">
        <v>3000000</v>
      </c>
      <c r="K1313" s="5">
        <v>4990000</v>
      </c>
      <c r="L1313" s="5">
        <v>5290000</v>
      </c>
      <c r="M1313" s="7">
        <v>1732.9</v>
      </c>
      <c r="N1313" s="5">
        <v>50400000</v>
      </c>
      <c r="O1313" s="5">
        <v>53400000</v>
      </c>
      <c r="P1313" s="3">
        <v>0.97916666666666663</v>
      </c>
    </row>
    <row r="1314" spans="1:16" x14ac:dyDescent="0.25">
      <c r="A1314" t="s">
        <v>813</v>
      </c>
      <c r="B1314" s="2">
        <v>44280</v>
      </c>
      <c r="C1314" t="str">
        <f>TEXT(B1314,"mm")</f>
        <v>03</v>
      </c>
      <c r="D1314" t="s">
        <v>20</v>
      </c>
      <c r="E1314" t="s">
        <v>1636</v>
      </c>
      <c r="F1314" s="5">
        <v>49600000</v>
      </c>
      <c r="G1314" s="5">
        <v>52600000</v>
      </c>
      <c r="H1314" s="5">
        <f>M1314*26000*1.20565</f>
        <v>54070267.810000002</v>
      </c>
      <c r="I1314" s="5">
        <f>G1314-H1314</f>
        <v>-1470267.8100000024</v>
      </c>
      <c r="J1314" s="5">
        <v>3000000</v>
      </c>
      <c r="K1314" s="5">
        <v>4960000</v>
      </c>
      <c r="L1314" s="5">
        <v>5260000</v>
      </c>
      <c r="M1314" s="7">
        <v>1724.9</v>
      </c>
      <c r="N1314" s="5">
        <v>50100000</v>
      </c>
      <c r="O1314" s="5">
        <v>53100000</v>
      </c>
      <c r="P1314" s="3">
        <v>0.97916666666666663</v>
      </c>
    </row>
    <row r="1315" spans="1:16" x14ac:dyDescent="0.25">
      <c r="A1315" t="s">
        <v>814</v>
      </c>
      <c r="B1315" s="2">
        <v>44281</v>
      </c>
      <c r="C1315" t="str">
        <f>TEXT(B1315,"mm")</f>
        <v>03</v>
      </c>
      <c r="D1315" t="s">
        <v>21</v>
      </c>
      <c r="E1315" t="s">
        <v>1636</v>
      </c>
      <c r="F1315" s="5">
        <v>49800000</v>
      </c>
      <c r="G1315" s="5">
        <v>52800000</v>
      </c>
      <c r="H1315" s="5">
        <f>M1315*26000*1.20565</f>
        <v>54299100.180000007</v>
      </c>
      <c r="I1315" s="5">
        <f>G1315-H1315</f>
        <v>-1499100.1800000072</v>
      </c>
      <c r="J1315" s="5">
        <v>3000000</v>
      </c>
      <c r="K1315" s="5">
        <v>4980000</v>
      </c>
      <c r="L1315" s="5">
        <v>5280000</v>
      </c>
      <c r="M1315" s="7">
        <v>1732.2</v>
      </c>
      <c r="N1315" s="5">
        <v>50300000</v>
      </c>
      <c r="O1315" s="5">
        <v>53300000</v>
      </c>
      <c r="P1315" s="3">
        <v>0.97916666666666663</v>
      </c>
    </row>
    <row r="1316" spans="1:16" x14ac:dyDescent="0.25">
      <c r="A1316" t="s">
        <v>815</v>
      </c>
      <c r="B1316" s="2">
        <v>44284</v>
      </c>
      <c r="C1316" t="str">
        <f>TEXT(B1316,"mm")</f>
        <v>03</v>
      </c>
      <c r="D1316" t="s">
        <v>16</v>
      </c>
      <c r="E1316" t="s">
        <v>1636</v>
      </c>
      <c r="F1316" s="5">
        <v>49200000</v>
      </c>
      <c r="G1316" s="5">
        <v>52200000</v>
      </c>
      <c r="H1316" s="5">
        <f>M1316*26000*1.20565</f>
        <v>53669027.490000002</v>
      </c>
      <c r="I1316" s="5">
        <f>G1316-H1316</f>
        <v>-1469027.4900000021</v>
      </c>
      <c r="J1316" s="5">
        <v>3000000</v>
      </c>
      <c r="K1316" s="5">
        <v>4920000</v>
      </c>
      <c r="L1316" s="5">
        <v>5220000</v>
      </c>
      <c r="M1316" s="7">
        <v>1712.1</v>
      </c>
      <c r="N1316" s="5">
        <v>49700000</v>
      </c>
      <c r="O1316" s="5">
        <v>52700000</v>
      </c>
      <c r="P1316" s="3">
        <v>0.97916666666666663</v>
      </c>
    </row>
    <row r="1317" spans="1:16" x14ac:dyDescent="0.25">
      <c r="A1317" t="s">
        <v>816</v>
      </c>
      <c r="B1317" s="2">
        <v>44285</v>
      </c>
      <c r="C1317" t="str">
        <f>TEXT(B1317,"mm")</f>
        <v>03</v>
      </c>
      <c r="D1317" t="s">
        <v>18</v>
      </c>
      <c r="E1317" t="s">
        <v>1636</v>
      </c>
      <c r="F1317" s="5">
        <v>48400000</v>
      </c>
      <c r="G1317" s="5">
        <v>51400000</v>
      </c>
      <c r="H1317" s="5">
        <f>M1317*26000*1.20565</f>
        <v>52785044.910000004</v>
      </c>
      <c r="I1317" s="5">
        <f>G1317-H1317</f>
        <v>-1385044.9100000039</v>
      </c>
      <c r="J1317" s="5">
        <v>3000000</v>
      </c>
      <c r="K1317" s="5">
        <v>4840000</v>
      </c>
      <c r="L1317" s="5">
        <v>5140000</v>
      </c>
      <c r="M1317" s="7">
        <v>1683.9</v>
      </c>
      <c r="N1317" s="5">
        <v>48900000</v>
      </c>
      <c r="O1317" s="5">
        <v>51900000</v>
      </c>
      <c r="P1317" s="3">
        <v>0.97916666666666663</v>
      </c>
    </row>
    <row r="1318" spans="1:16" x14ac:dyDescent="0.25">
      <c r="A1318" t="s">
        <v>817</v>
      </c>
      <c r="B1318" s="2">
        <v>44286</v>
      </c>
      <c r="C1318" t="str">
        <f>TEXT(B1318,"mm")</f>
        <v>03</v>
      </c>
      <c r="D1318" t="s">
        <v>19</v>
      </c>
      <c r="E1318" t="s">
        <v>1636</v>
      </c>
      <c r="F1318" s="5">
        <v>49300000</v>
      </c>
      <c r="G1318" s="5">
        <v>52300000</v>
      </c>
      <c r="H1318" s="5">
        <f>M1318*26000*1.20565</f>
        <v>53722317.220000006</v>
      </c>
      <c r="I1318" s="5">
        <f>G1318-H1318</f>
        <v>-1422317.2200000063</v>
      </c>
      <c r="J1318" s="5">
        <v>3000000</v>
      </c>
      <c r="K1318" s="5">
        <v>4930000</v>
      </c>
      <c r="L1318" s="5">
        <v>5230000</v>
      </c>
      <c r="M1318" s="7">
        <v>1713.8</v>
      </c>
      <c r="N1318" s="5">
        <v>49800000</v>
      </c>
      <c r="O1318" s="5">
        <v>52800000</v>
      </c>
      <c r="P1318" s="3">
        <v>0.97916666666666663</v>
      </c>
    </row>
    <row r="1319" spans="1:16" x14ac:dyDescent="0.25">
      <c r="A1319" s="2">
        <v>44200</v>
      </c>
      <c r="B1319" s="2">
        <v>44287</v>
      </c>
      <c r="C1319" t="str">
        <f>TEXT(B1319,"mm")</f>
        <v>04</v>
      </c>
      <c r="D1319" t="s">
        <v>20</v>
      </c>
      <c r="E1319" t="s">
        <v>1636</v>
      </c>
      <c r="F1319" s="5">
        <v>49700000</v>
      </c>
      <c r="G1319" s="5">
        <v>52700000</v>
      </c>
      <c r="H1319" s="5">
        <f>M1319*26000*1.20565</f>
        <v>54120422.850000001</v>
      </c>
      <c r="I1319" s="5">
        <f>G1319-H1319</f>
        <v>-1420422.8500000015</v>
      </c>
      <c r="J1319" s="5">
        <v>3000000</v>
      </c>
      <c r="K1319" s="5">
        <v>4970000</v>
      </c>
      <c r="L1319" s="5">
        <v>5270000</v>
      </c>
      <c r="M1319" s="7">
        <v>1726.5</v>
      </c>
      <c r="N1319" s="5">
        <v>50200000</v>
      </c>
      <c r="O1319" s="5">
        <v>53200000</v>
      </c>
      <c r="P1319" s="3">
        <v>0.97916666666666663</v>
      </c>
    </row>
    <row r="1320" spans="1:16" x14ac:dyDescent="0.25">
      <c r="A1320" s="2">
        <v>44320</v>
      </c>
      <c r="B1320" s="2">
        <v>44291</v>
      </c>
      <c r="C1320" t="str">
        <f>TEXT(B1320,"mm")</f>
        <v>04</v>
      </c>
      <c r="D1320" t="s">
        <v>16</v>
      </c>
      <c r="E1320" t="s">
        <v>1636</v>
      </c>
      <c r="F1320" s="5">
        <v>49700000</v>
      </c>
      <c r="G1320" s="5">
        <v>52700000</v>
      </c>
      <c r="H1320" s="5">
        <f>M1320*26000*1.20565</f>
        <v>54136096.300000004</v>
      </c>
      <c r="I1320" s="5">
        <f>G1320-H1320</f>
        <v>-1436096.3000000045</v>
      </c>
      <c r="J1320" s="5">
        <v>3000000</v>
      </c>
      <c r="K1320" s="5">
        <v>4970000</v>
      </c>
      <c r="L1320" s="5">
        <v>5270000</v>
      </c>
      <c r="M1320" s="7">
        <v>1727</v>
      </c>
      <c r="N1320" s="5">
        <v>50200000</v>
      </c>
      <c r="O1320" s="5">
        <v>53200000</v>
      </c>
      <c r="P1320" s="3">
        <v>0.97916666666666663</v>
      </c>
    </row>
    <row r="1321" spans="1:16" x14ac:dyDescent="0.25">
      <c r="A1321" s="2">
        <v>44351</v>
      </c>
      <c r="B1321" s="2">
        <v>44292</v>
      </c>
      <c r="C1321" t="str">
        <f>TEXT(B1321,"mm")</f>
        <v>04</v>
      </c>
      <c r="D1321" t="s">
        <v>18</v>
      </c>
      <c r="E1321" t="s">
        <v>1636</v>
      </c>
      <c r="F1321" s="5">
        <v>50100000</v>
      </c>
      <c r="G1321" s="5">
        <v>53100000</v>
      </c>
      <c r="H1321" s="5">
        <f>M1321*26000*1.20565</f>
        <v>54590626.350000001</v>
      </c>
      <c r="I1321" s="5">
        <f>G1321-H1321</f>
        <v>-1490626.3500000015</v>
      </c>
      <c r="J1321" s="5">
        <v>3000000</v>
      </c>
      <c r="K1321" s="5">
        <v>5010000</v>
      </c>
      <c r="L1321" s="5">
        <v>5310000</v>
      </c>
      <c r="M1321" s="7">
        <v>1741.5</v>
      </c>
      <c r="N1321" s="5">
        <v>50600000</v>
      </c>
      <c r="O1321" s="5">
        <v>53600000</v>
      </c>
      <c r="P1321" s="3">
        <v>0.97916666666666663</v>
      </c>
    </row>
    <row r="1322" spans="1:16" x14ac:dyDescent="0.25">
      <c r="A1322" s="2">
        <v>44381</v>
      </c>
      <c r="B1322" s="2">
        <v>44293</v>
      </c>
      <c r="C1322" t="str">
        <f>TEXT(B1322,"mm")</f>
        <v>04</v>
      </c>
      <c r="D1322" t="s">
        <v>19</v>
      </c>
      <c r="E1322" t="s">
        <v>1636</v>
      </c>
      <c r="F1322" s="5">
        <v>50100000</v>
      </c>
      <c r="G1322" s="5">
        <v>53100000</v>
      </c>
      <c r="H1322" s="5">
        <f>M1322*26000*1.20565</f>
        <v>54546740.690000005</v>
      </c>
      <c r="I1322" s="5">
        <f>G1322-H1322</f>
        <v>-1446740.6900000051</v>
      </c>
      <c r="J1322" s="5">
        <v>3000000</v>
      </c>
      <c r="K1322" s="5">
        <v>5010000</v>
      </c>
      <c r="L1322" s="5">
        <v>5310000</v>
      </c>
      <c r="M1322" s="7">
        <v>1740.1</v>
      </c>
      <c r="N1322" s="5">
        <v>50600000</v>
      </c>
      <c r="O1322" s="5">
        <v>53600000</v>
      </c>
      <c r="P1322" s="3">
        <v>0.97916666666666663</v>
      </c>
    </row>
    <row r="1323" spans="1:16" x14ac:dyDescent="0.25">
      <c r="A1323" s="2">
        <v>44412</v>
      </c>
      <c r="B1323" s="2">
        <v>44294</v>
      </c>
      <c r="C1323" t="str">
        <f>TEXT(B1323,"mm")</f>
        <v>04</v>
      </c>
      <c r="D1323" t="s">
        <v>20</v>
      </c>
      <c r="E1323" t="s">
        <v>1636</v>
      </c>
      <c r="F1323" s="5">
        <v>50600000</v>
      </c>
      <c r="G1323" s="5">
        <v>53600000</v>
      </c>
      <c r="H1323" s="5">
        <f>M1323*26000*1.20565</f>
        <v>55070233.920000002</v>
      </c>
      <c r="I1323" s="5">
        <f>G1323-H1323</f>
        <v>-1470233.9200000018</v>
      </c>
      <c r="J1323" s="5">
        <v>3000000</v>
      </c>
      <c r="K1323" s="5">
        <v>5060000</v>
      </c>
      <c r="L1323" s="5">
        <v>5360000</v>
      </c>
      <c r="M1323" s="7">
        <v>1756.8</v>
      </c>
      <c r="N1323" s="5">
        <v>51100000</v>
      </c>
      <c r="O1323" s="5">
        <v>54100000</v>
      </c>
      <c r="P1323" s="3">
        <v>0.97916666666666663</v>
      </c>
    </row>
    <row r="1324" spans="1:16" x14ac:dyDescent="0.25">
      <c r="A1324" s="2">
        <v>44443</v>
      </c>
      <c r="B1324" s="2">
        <v>44295</v>
      </c>
      <c r="C1324" t="str">
        <f>TEXT(B1324,"mm")</f>
        <v>04</v>
      </c>
      <c r="D1324" t="s">
        <v>21</v>
      </c>
      <c r="E1324" t="s">
        <v>1636</v>
      </c>
      <c r="F1324" s="5">
        <v>50200000</v>
      </c>
      <c r="G1324" s="5">
        <v>53200000</v>
      </c>
      <c r="H1324" s="5">
        <f>M1324*26000*1.20565</f>
        <v>54647050.770000003</v>
      </c>
      <c r="I1324" s="5">
        <f>G1324-H1324</f>
        <v>-1447050.7700000033</v>
      </c>
      <c r="J1324" s="5">
        <v>3000000</v>
      </c>
      <c r="K1324" s="5">
        <v>5020000</v>
      </c>
      <c r="L1324" s="5">
        <v>5320000</v>
      </c>
      <c r="M1324" s="7">
        <v>1743.3</v>
      </c>
      <c r="N1324" s="5">
        <v>50700000</v>
      </c>
      <c r="O1324" s="5">
        <v>53700000</v>
      </c>
      <c r="P1324" s="3">
        <v>0.97916666666666663</v>
      </c>
    </row>
    <row r="1325" spans="1:16" x14ac:dyDescent="0.25">
      <c r="A1325" s="2">
        <v>44534</v>
      </c>
      <c r="B1325" s="2">
        <v>44298</v>
      </c>
      <c r="C1325" t="str">
        <f>TEXT(B1325,"mm")</f>
        <v>04</v>
      </c>
      <c r="D1325" t="s">
        <v>16</v>
      </c>
      <c r="E1325" t="s">
        <v>1636</v>
      </c>
      <c r="F1325" s="5">
        <v>49800000</v>
      </c>
      <c r="G1325" s="5">
        <v>52800000</v>
      </c>
      <c r="H1325" s="5">
        <f>M1325*26000*1.20565</f>
        <v>54267753.280000009</v>
      </c>
      <c r="I1325" s="5">
        <f>G1325-H1325</f>
        <v>-1467753.2800000086</v>
      </c>
      <c r="J1325" s="5">
        <v>3000000</v>
      </c>
      <c r="K1325" s="5">
        <v>4980000</v>
      </c>
      <c r="L1325" s="5">
        <v>5280000</v>
      </c>
      <c r="M1325" s="7">
        <v>1731.2</v>
      </c>
      <c r="N1325" s="5">
        <v>50300000</v>
      </c>
      <c r="O1325" s="5">
        <v>53300000</v>
      </c>
      <c r="P1325" s="3">
        <v>0.97916666666666663</v>
      </c>
    </row>
    <row r="1326" spans="1:16" x14ac:dyDescent="0.25">
      <c r="A1326" t="s">
        <v>818</v>
      </c>
      <c r="B1326" s="2">
        <v>44299</v>
      </c>
      <c r="C1326" t="str">
        <f>TEXT(B1326,"mm")</f>
        <v>04</v>
      </c>
      <c r="D1326" t="s">
        <v>18</v>
      </c>
      <c r="E1326" t="s">
        <v>1636</v>
      </c>
      <c r="F1326" s="5">
        <v>50300000</v>
      </c>
      <c r="G1326" s="5">
        <v>53300000</v>
      </c>
      <c r="H1326" s="5">
        <f>M1326*26000*1.20565</f>
        <v>54737956.780000009</v>
      </c>
      <c r="I1326" s="5">
        <f>G1326-H1326</f>
        <v>-1437956.7800000086</v>
      </c>
      <c r="J1326" s="5">
        <v>3000000</v>
      </c>
      <c r="K1326" s="5">
        <v>5030000</v>
      </c>
      <c r="L1326" s="5">
        <v>5330000</v>
      </c>
      <c r="M1326" s="7">
        <v>1746.2</v>
      </c>
      <c r="N1326" s="5">
        <v>50800000</v>
      </c>
      <c r="O1326" s="5">
        <v>53800000</v>
      </c>
      <c r="P1326" s="3">
        <v>0.97916666666666663</v>
      </c>
    </row>
    <row r="1327" spans="1:16" x14ac:dyDescent="0.25">
      <c r="A1327" t="s">
        <v>819</v>
      </c>
      <c r="B1327" s="2">
        <v>44300</v>
      </c>
      <c r="C1327" t="str">
        <f>TEXT(B1327,"mm")</f>
        <v>04</v>
      </c>
      <c r="D1327" t="s">
        <v>19</v>
      </c>
      <c r="E1327" t="s">
        <v>1636</v>
      </c>
      <c r="F1327" s="5">
        <v>49900000</v>
      </c>
      <c r="G1327" s="5">
        <v>52900000</v>
      </c>
      <c r="H1327" s="5">
        <f>M1327*26000*1.20565</f>
        <v>54383736.810000002</v>
      </c>
      <c r="I1327" s="5">
        <f>G1327-H1327</f>
        <v>-1483736.8100000024</v>
      </c>
      <c r="J1327" s="5">
        <v>3000000</v>
      </c>
      <c r="K1327" s="5">
        <v>4990000</v>
      </c>
      <c r="L1327" s="5">
        <v>5290000</v>
      </c>
      <c r="M1327" s="7">
        <v>1734.9</v>
      </c>
      <c r="N1327" s="5">
        <v>50400000</v>
      </c>
      <c r="O1327" s="5">
        <v>53400000</v>
      </c>
      <c r="P1327" s="3">
        <v>0.97916666666666663</v>
      </c>
    </row>
    <row r="1328" spans="1:16" x14ac:dyDescent="0.25">
      <c r="A1328" t="s">
        <v>820</v>
      </c>
      <c r="B1328" s="2">
        <v>44301</v>
      </c>
      <c r="C1328" t="str">
        <f>TEXT(B1328,"mm")</f>
        <v>04</v>
      </c>
      <c r="D1328" t="s">
        <v>20</v>
      </c>
      <c r="E1328" t="s">
        <v>1636</v>
      </c>
      <c r="F1328" s="5">
        <v>50900000</v>
      </c>
      <c r="G1328" s="5">
        <v>53900000</v>
      </c>
      <c r="H1328" s="5">
        <f>M1328*26000*1.20565</f>
        <v>55339817.260000005</v>
      </c>
      <c r="I1328" s="5">
        <f>G1328-H1328</f>
        <v>-1439817.2600000054</v>
      </c>
      <c r="J1328" s="5">
        <v>3000000</v>
      </c>
      <c r="K1328" s="5">
        <v>5090000</v>
      </c>
      <c r="L1328" s="5">
        <v>5390000</v>
      </c>
      <c r="M1328" s="7">
        <v>1765.4</v>
      </c>
      <c r="N1328" s="5">
        <v>51400000</v>
      </c>
      <c r="O1328" s="5">
        <v>54400000</v>
      </c>
      <c r="P1328" s="3">
        <v>0.97916666666666663</v>
      </c>
    </row>
    <row r="1329" spans="1:16" x14ac:dyDescent="0.25">
      <c r="A1329" t="s">
        <v>821</v>
      </c>
      <c r="B1329" s="2">
        <v>44302</v>
      </c>
      <c r="C1329" t="str">
        <f>TEXT(B1329,"mm")</f>
        <v>04</v>
      </c>
      <c r="D1329" t="s">
        <v>21</v>
      </c>
      <c r="E1329" t="s">
        <v>1636</v>
      </c>
      <c r="F1329" s="5">
        <v>51300000</v>
      </c>
      <c r="G1329" s="5">
        <v>54300000</v>
      </c>
      <c r="H1329" s="5">
        <f>M1329*26000*1.20565</f>
        <v>55766135.100000001</v>
      </c>
      <c r="I1329" s="5">
        <f>G1329-H1329</f>
        <v>-1466135.1000000015</v>
      </c>
      <c r="J1329" s="5">
        <v>3000000</v>
      </c>
      <c r="K1329" s="5">
        <v>5130000</v>
      </c>
      <c r="L1329" s="5">
        <v>5430000</v>
      </c>
      <c r="M1329" s="7">
        <v>1779</v>
      </c>
      <c r="N1329" s="5">
        <v>51800000</v>
      </c>
      <c r="O1329" s="5">
        <v>54800000</v>
      </c>
      <c r="P1329" s="3">
        <v>0.97916666666666663</v>
      </c>
    </row>
    <row r="1330" spans="1:16" x14ac:dyDescent="0.25">
      <c r="A1330" t="s">
        <v>822</v>
      </c>
      <c r="B1330" s="2">
        <v>44305</v>
      </c>
      <c r="C1330" t="str">
        <f>TEXT(B1330,"mm")</f>
        <v>04</v>
      </c>
      <c r="D1330" t="s">
        <v>16</v>
      </c>
      <c r="E1330" t="s">
        <v>1636</v>
      </c>
      <c r="F1330" s="5">
        <v>51000000</v>
      </c>
      <c r="G1330" s="5">
        <v>54000000</v>
      </c>
      <c r="H1330" s="5">
        <f>M1330*26000*1.20565</f>
        <v>55465204.860000007</v>
      </c>
      <c r="I1330" s="5">
        <f>G1330-H1330</f>
        <v>-1465204.8600000069</v>
      </c>
      <c r="J1330" s="5">
        <v>3000000</v>
      </c>
      <c r="K1330" s="5">
        <v>5100000</v>
      </c>
      <c r="L1330" s="5">
        <v>5400000</v>
      </c>
      <c r="M1330" s="7">
        <v>1769.4</v>
      </c>
      <c r="N1330" s="5">
        <v>51500000</v>
      </c>
      <c r="O1330" s="5">
        <v>54500000</v>
      </c>
      <c r="P1330" s="3">
        <v>0.97916666666666663</v>
      </c>
    </row>
    <row r="1331" spans="1:16" x14ac:dyDescent="0.25">
      <c r="A1331" t="s">
        <v>823</v>
      </c>
      <c r="B1331" s="2">
        <v>44306</v>
      </c>
      <c r="C1331" t="str">
        <f>TEXT(B1331,"mm")</f>
        <v>04</v>
      </c>
      <c r="D1331" t="s">
        <v>18</v>
      </c>
      <c r="E1331" t="s">
        <v>1636</v>
      </c>
      <c r="F1331" s="5">
        <v>51200000</v>
      </c>
      <c r="G1331" s="5">
        <v>54200000</v>
      </c>
      <c r="H1331" s="5">
        <f>M1331*26000*1.20565</f>
        <v>55712845.370000005</v>
      </c>
      <c r="I1331" s="5">
        <f>G1331-H1331</f>
        <v>-1512845.3700000048</v>
      </c>
      <c r="J1331" s="5">
        <v>3000000</v>
      </c>
      <c r="K1331" s="5">
        <v>5120000</v>
      </c>
      <c r="L1331" s="5">
        <v>5420000</v>
      </c>
      <c r="M1331" s="7">
        <v>1777.3</v>
      </c>
      <c r="N1331" s="5">
        <v>51700000</v>
      </c>
      <c r="O1331" s="5">
        <v>54700000</v>
      </c>
      <c r="P1331" s="3">
        <v>0.97916666666666663</v>
      </c>
    </row>
    <row r="1332" spans="1:16" x14ac:dyDescent="0.25">
      <c r="A1332" t="s">
        <v>824</v>
      </c>
      <c r="B1332" s="2">
        <v>44307</v>
      </c>
      <c r="C1332" t="str">
        <f>TEXT(B1332,"mm")</f>
        <v>04</v>
      </c>
      <c r="D1332" t="s">
        <v>19</v>
      </c>
      <c r="E1332" t="s">
        <v>1636</v>
      </c>
      <c r="F1332" s="5">
        <v>51700000</v>
      </c>
      <c r="G1332" s="5">
        <v>54700000</v>
      </c>
      <c r="H1332" s="5">
        <f>M1332*26000*1.20565</f>
        <v>56183048.870000005</v>
      </c>
      <c r="I1332" s="5">
        <f>G1332-H1332</f>
        <v>-1483048.8700000048</v>
      </c>
      <c r="J1332" s="5">
        <v>3000000</v>
      </c>
      <c r="K1332" s="5">
        <v>5170000</v>
      </c>
      <c r="L1332" s="5">
        <v>5470000</v>
      </c>
      <c r="M1332" s="7">
        <v>1792.3</v>
      </c>
      <c r="N1332" s="5">
        <v>52200000</v>
      </c>
      <c r="O1332" s="5">
        <v>55200000</v>
      </c>
      <c r="P1332" s="3">
        <v>0.97916666666666663</v>
      </c>
    </row>
    <row r="1333" spans="1:16" x14ac:dyDescent="0.25">
      <c r="A1333" t="s">
        <v>825</v>
      </c>
      <c r="B1333" s="2">
        <v>44308</v>
      </c>
      <c r="C1333" t="str">
        <f>TEXT(B1333,"mm")</f>
        <v>04</v>
      </c>
      <c r="D1333" t="s">
        <v>20</v>
      </c>
      <c r="E1333" t="s">
        <v>1636</v>
      </c>
      <c r="F1333" s="5">
        <v>51300000</v>
      </c>
      <c r="G1333" s="5">
        <v>54300000</v>
      </c>
      <c r="H1333" s="5">
        <f>M1333*26000*1.20565</f>
        <v>55835098.280000009</v>
      </c>
      <c r="I1333" s="5">
        <f>G1333-H1333</f>
        <v>-1535098.2800000086</v>
      </c>
      <c r="J1333" s="5">
        <v>3000000</v>
      </c>
      <c r="K1333" s="5">
        <v>5130000</v>
      </c>
      <c r="L1333" s="5">
        <v>5430000</v>
      </c>
      <c r="M1333" s="7">
        <v>1781.2</v>
      </c>
      <c r="N1333" s="5">
        <v>51800000</v>
      </c>
      <c r="O1333" s="5">
        <v>54800000</v>
      </c>
      <c r="P1333" s="3">
        <v>0.97916666666666663</v>
      </c>
    </row>
    <row r="1334" spans="1:16" x14ac:dyDescent="0.25">
      <c r="A1334" t="s">
        <v>826</v>
      </c>
      <c r="B1334" s="2">
        <v>44309</v>
      </c>
      <c r="C1334" t="str">
        <f>TEXT(B1334,"mm")</f>
        <v>04</v>
      </c>
      <c r="D1334" t="s">
        <v>21</v>
      </c>
      <c r="E1334" t="s">
        <v>1636</v>
      </c>
      <c r="F1334" s="5">
        <v>51200000</v>
      </c>
      <c r="G1334" s="5">
        <v>54200000</v>
      </c>
      <c r="H1334" s="5">
        <f>M1334*26000*1.20565</f>
        <v>55703441.300000004</v>
      </c>
      <c r="I1334" s="5">
        <f>G1334-H1334</f>
        <v>-1503441.3000000045</v>
      </c>
      <c r="J1334" s="5">
        <v>3000000</v>
      </c>
      <c r="K1334" s="5">
        <v>5120000</v>
      </c>
      <c r="L1334" s="5">
        <v>5420000</v>
      </c>
      <c r="M1334" s="7">
        <v>1777</v>
      </c>
      <c r="N1334" s="5">
        <v>51700000</v>
      </c>
      <c r="O1334" s="5">
        <v>54700000</v>
      </c>
      <c r="P1334" s="3">
        <v>0.97916666666666663</v>
      </c>
    </row>
    <row r="1335" spans="1:16" x14ac:dyDescent="0.25">
      <c r="A1335" t="s">
        <v>827</v>
      </c>
      <c r="B1335" s="2">
        <v>44312</v>
      </c>
      <c r="C1335" t="str">
        <f>TEXT(B1335,"mm")</f>
        <v>04</v>
      </c>
      <c r="D1335" t="s">
        <v>16</v>
      </c>
      <c r="E1335" t="s">
        <v>1636</v>
      </c>
      <c r="F1335" s="5">
        <v>51300000</v>
      </c>
      <c r="G1335" s="5">
        <v>54300000</v>
      </c>
      <c r="H1335" s="5">
        <f>M1335*26000*1.20565</f>
        <v>55772404.480000004</v>
      </c>
      <c r="I1335" s="5">
        <f>G1335-H1335</f>
        <v>-1472404.4800000042</v>
      </c>
      <c r="J1335" s="5">
        <v>3000000</v>
      </c>
      <c r="K1335" s="5">
        <v>5130000</v>
      </c>
      <c r="L1335" s="5">
        <v>5430000</v>
      </c>
      <c r="M1335" s="7">
        <v>1779.2</v>
      </c>
      <c r="N1335" s="5">
        <v>51800000</v>
      </c>
      <c r="O1335" s="5">
        <v>54800000</v>
      </c>
      <c r="P1335" s="3">
        <v>0.97916666666666663</v>
      </c>
    </row>
    <row r="1336" spans="1:16" x14ac:dyDescent="0.25">
      <c r="A1336" t="s">
        <v>828</v>
      </c>
      <c r="B1336" s="2">
        <v>44313</v>
      </c>
      <c r="C1336" t="str">
        <f>TEXT(B1336,"mm")</f>
        <v>04</v>
      </c>
      <c r="D1336" t="s">
        <v>18</v>
      </c>
      <c r="E1336" t="s">
        <v>1636</v>
      </c>
      <c r="F1336" s="5">
        <v>51200000</v>
      </c>
      <c r="G1336" s="5">
        <v>54200000</v>
      </c>
      <c r="H1336" s="5">
        <f>M1336*26000*1.20565</f>
        <v>55734788.200000003</v>
      </c>
      <c r="I1336" s="5">
        <f>G1336-H1336</f>
        <v>-1534788.200000003</v>
      </c>
      <c r="J1336" s="5">
        <v>3000000</v>
      </c>
      <c r="K1336" s="5">
        <v>5120000</v>
      </c>
      <c r="L1336" s="5">
        <v>5420000</v>
      </c>
      <c r="M1336" s="7">
        <v>1778</v>
      </c>
      <c r="N1336" s="5">
        <v>51700000</v>
      </c>
      <c r="O1336" s="5">
        <v>54700000</v>
      </c>
      <c r="P1336" s="3">
        <v>0.97916666666666663</v>
      </c>
    </row>
    <row r="1337" spans="1:16" x14ac:dyDescent="0.25">
      <c r="A1337" t="s">
        <v>829</v>
      </c>
      <c r="B1337" s="2">
        <v>44314</v>
      </c>
      <c r="C1337" t="str">
        <f>TEXT(B1337,"mm")</f>
        <v>04</v>
      </c>
      <c r="D1337" t="s">
        <v>19</v>
      </c>
      <c r="E1337" t="s">
        <v>1636</v>
      </c>
      <c r="F1337" s="5">
        <v>51100000</v>
      </c>
      <c r="G1337" s="5">
        <v>54100000</v>
      </c>
      <c r="H1337" s="5">
        <f>M1337*26000*1.20565</f>
        <v>55584323.080000006</v>
      </c>
      <c r="I1337" s="5">
        <f>G1337-H1337</f>
        <v>-1484323.0800000057</v>
      </c>
      <c r="J1337" s="5">
        <v>3000000</v>
      </c>
      <c r="K1337" s="5">
        <v>5110000</v>
      </c>
      <c r="L1337" s="5">
        <v>5410000</v>
      </c>
      <c r="M1337" s="7">
        <v>1773.2</v>
      </c>
      <c r="N1337" s="5">
        <v>51600000</v>
      </c>
      <c r="O1337" s="5">
        <v>54600000</v>
      </c>
      <c r="P1337" s="3">
        <v>0.97916666666666663</v>
      </c>
    </row>
    <row r="1338" spans="1:16" x14ac:dyDescent="0.25">
      <c r="A1338" t="s">
        <v>830</v>
      </c>
      <c r="B1338" s="2">
        <v>44315</v>
      </c>
      <c r="C1338" t="str">
        <f>TEXT(B1338,"mm")</f>
        <v>04</v>
      </c>
      <c r="D1338" t="s">
        <v>20</v>
      </c>
      <c r="E1338" t="s">
        <v>1636</v>
      </c>
      <c r="F1338" s="5">
        <v>50900000</v>
      </c>
      <c r="G1338" s="5">
        <v>53900000</v>
      </c>
      <c r="H1338" s="5">
        <f>M1338*26000*1.20565</f>
        <v>55424453.890000008</v>
      </c>
      <c r="I1338" s="5">
        <f>G1338-H1338</f>
        <v>-1524453.890000008</v>
      </c>
      <c r="J1338" s="5">
        <v>3000000</v>
      </c>
      <c r="K1338" s="5">
        <v>5090000</v>
      </c>
      <c r="L1338" s="5">
        <v>5390000</v>
      </c>
      <c r="M1338" s="7">
        <v>1768.1</v>
      </c>
      <c r="N1338" s="5">
        <v>51400000</v>
      </c>
      <c r="O1338" s="5">
        <v>54400000</v>
      </c>
      <c r="P1338" s="3">
        <v>0.97916666666666663</v>
      </c>
    </row>
    <row r="1339" spans="1:16" x14ac:dyDescent="0.25">
      <c r="A1339" t="s">
        <v>831</v>
      </c>
      <c r="B1339" s="2">
        <v>44316</v>
      </c>
      <c r="C1339" t="str">
        <f>TEXT(B1339,"mm")</f>
        <v>04</v>
      </c>
      <c r="D1339" t="s">
        <v>21</v>
      </c>
      <c r="E1339" t="s">
        <v>1636</v>
      </c>
      <c r="F1339" s="5">
        <v>50900000</v>
      </c>
      <c r="G1339" s="5">
        <v>53900000</v>
      </c>
      <c r="H1339" s="5">
        <f>M1339*26000*1.20565</f>
        <v>55399376.370000005</v>
      </c>
      <c r="I1339" s="5">
        <f>G1339-H1339</f>
        <v>-1499376.3700000048</v>
      </c>
      <c r="J1339" s="5">
        <v>3000000</v>
      </c>
      <c r="K1339" s="5">
        <v>5090000</v>
      </c>
      <c r="L1339" s="5">
        <v>5390000</v>
      </c>
      <c r="M1339" s="7">
        <v>1767.3</v>
      </c>
      <c r="N1339" s="5">
        <v>51400000</v>
      </c>
      <c r="O1339" s="5">
        <v>54400000</v>
      </c>
      <c r="P1339" s="3">
        <v>0.97916666666666663</v>
      </c>
    </row>
    <row r="1340" spans="1:16" x14ac:dyDescent="0.25">
      <c r="A1340" s="2">
        <v>44260</v>
      </c>
      <c r="B1340" s="2">
        <v>44319</v>
      </c>
      <c r="C1340" t="str">
        <f>TEXT(B1340,"mm")</f>
        <v>05</v>
      </c>
      <c r="D1340" t="s">
        <v>16</v>
      </c>
      <c r="E1340" t="s">
        <v>1636</v>
      </c>
      <c r="F1340" s="5">
        <v>51600000</v>
      </c>
      <c r="G1340" s="5">
        <v>54600000</v>
      </c>
      <c r="H1340" s="5">
        <f>M1340*26000*1.20565</f>
        <v>56154836.660000004</v>
      </c>
      <c r="I1340" s="5">
        <f>G1340-H1340</f>
        <v>-1554836.6600000039</v>
      </c>
      <c r="J1340" s="5">
        <v>3000000</v>
      </c>
      <c r="K1340" s="5">
        <v>5160000</v>
      </c>
      <c r="L1340" s="5">
        <v>5460000</v>
      </c>
      <c r="M1340" s="7">
        <v>1791.4</v>
      </c>
      <c r="N1340" s="5">
        <v>52100000</v>
      </c>
      <c r="O1340" s="5">
        <v>55100000</v>
      </c>
      <c r="P1340" s="3">
        <v>0.97916666666666663</v>
      </c>
    </row>
    <row r="1341" spans="1:16" x14ac:dyDescent="0.25">
      <c r="A1341" s="2">
        <v>44291</v>
      </c>
      <c r="B1341" s="2">
        <v>44320</v>
      </c>
      <c r="C1341" t="str">
        <f>TEXT(B1341,"mm")</f>
        <v>05</v>
      </c>
      <c r="D1341" t="s">
        <v>18</v>
      </c>
      <c r="E1341" t="s">
        <v>1636</v>
      </c>
      <c r="F1341" s="5">
        <v>51200000</v>
      </c>
      <c r="G1341" s="5">
        <v>54200000</v>
      </c>
      <c r="H1341" s="5">
        <f>M1341*26000*1.20565</f>
        <v>55665825.020000003</v>
      </c>
      <c r="I1341" s="5">
        <f>G1341-H1341</f>
        <v>-1465825.0200000033</v>
      </c>
      <c r="J1341" s="5">
        <v>3000000</v>
      </c>
      <c r="K1341" s="5">
        <v>5120000</v>
      </c>
      <c r="L1341" s="5">
        <v>5420000</v>
      </c>
      <c r="M1341" s="7">
        <v>1775.8</v>
      </c>
      <c r="N1341" s="5">
        <v>51700000</v>
      </c>
      <c r="O1341" s="5">
        <v>54700000</v>
      </c>
      <c r="P1341" s="3">
        <v>0.97916666666666663</v>
      </c>
    </row>
    <row r="1342" spans="1:16" x14ac:dyDescent="0.25">
      <c r="A1342" s="2">
        <v>44321</v>
      </c>
      <c r="B1342" s="2">
        <v>44321</v>
      </c>
      <c r="C1342" t="str">
        <f>TEXT(B1342,"mm")</f>
        <v>05</v>
      </c>
      <c r="D1342" t="s">
        <v>19</v>
      </c>
      <c r="E1342" t="s">
        <v>1636</v>
      </c>
      <c r="F1342" s="5">
        <v>51400000</v>
      </c>
      <c r="G1342" s="5">
        <v>54400000</v>
      </c>
      <c r="H1342" s="5">
        <f>M1342*26000*1.20565</f>
        <v>55926004.290000007</v>
      </c>
      <c r="I1342" s="5">
        <f>G1342-H1342</f>
        <v>-1526004.2900000066</v>
      </c>
      <c r="J1342" s="5">
        <v>3000000</v>
      </c>
      <c r="K1342" s="5">
        <v>5140000</v>
      </c>
      <c r="L1342" s="5">
        <v>5440000</v>
      </c>
      <c r="M1342" s="7">
        <v>1784.1</v>
      </c>
      <c r="N1342" s="5">
        <v>51900000</v>
      </c>
      <c r="O1342" s="5">
        <v>54900000</v>
      </c>
      <c r="P1342" s="3">
        <v>0.97916666666666663</v>
      </c>
    </row>
    <row r="1343" spans="1:16" x14ac:dyDescent="0.25">
      <c r="A1343" s="2">
        <v>44352</v>
      </c>
      <c r="B1343" s="2">
        <v>44322</v>
      </c>
      <c r="C1343" t="str">
        <f>TEXT(B1343,"mm")</f>
        <v>05</v>
      </c>
      <c r="D1343" t="s">
        <v>20</v>
      </c>
      <c r="E1343" t="s">
        <v>1636</v>
      </c>
      <c r="F1343" s="5">
        <v>52400000</v>
      </c>
      <c r="G1343" s="5">
        <v>55400000</v>
      </c>
      <c r="H1343" s="5">
        <f>M1343*26000*1.20565</f>
        <v>56910296.950000003</v>
      </c>
      <c r="I1343" s="5">
        <f>G1343-H1343</f>
        <v>-1510296.950000003</v>
      </c>
      <c r="J1343" s="5">
        <v>3000000</v>
      </c>
      <c r="K1343" s="5">
        <v>5240000</v>
      </c>
      <c r="L1343" s="5">
        <v>5540000</v>
      </c>
      <c r="M1343" s="7">
        <v>1815.5</v>
      </c>
      <c r="N1343" s="5">
        <v>52900000</v>
      </c>
      <c r="O1343" s="5">
        <v>55900000</v>
      </c>
      <c r="P1343" s="3">
        <v>0.97916666666666663</v>
      </c>
    </row>
    <row r="1344" spans="1:16" x14ac:dyDescent="0.25">
      <c r="A1344" s="2">
        <v>44382</v>
      </c>
      <c r="B1344" s="2">
        <v>44323</v>
      </c>
      <c r="C1344" t="str">
        <f>TEXT(B1344,"mm")</f>
        <v>05</v>
      </c>
      <c r="D1344" t="s">
        <v>21</v>
      </c>
      <c r="E1344" t="s">
        <v>1636</v>
      </c>
      <c r="F1344" s="5">
        <v>52900000</v>
      </c>
      <c r="G1344" s="5">
        <v>55900000</v>
      </c>
      <c r="H1344" s="5">
        <f>M1344*26000*1.20565</f>
        <v>57399308.590000004</v>
      </c>
      <c r="I1344" s="5">
        <f>G1344-H1344</f>
        <v>-1499308.5900000036</v>
      </c>
      <c r="J1344" s="5">
        <v>3000000</v>
      </c>
      <c r="K1344" s="5">
        <v>5290000</v>
      </c>
      <c r="L1344" s="5">
        <v>5590000</v>
      </c>
      <c r="M1344" s="7">
        <v>1831.1</v>
      </c>
      <c r="N1344" s="5">
        <v>53400000</v>
      </c>
      <c r="O1344" s="5">
        <v>56400000</v>
      </c>
      <c r="P1344" s="3">
        <v>0.97916666666666663</v>
      </c>
    </row>
    <row r="1345" spans="1:16" x14ac:dyDescent="0.25">
      <c r="A1345" s="2">
        <v>44474</v>
      </c>
      <c r="B1345" s="2">
        <v>44326</v>
      </c>
      <c r="C1345" t="str">
        <f>TEXT(B1345,"mm")</f>
        <v>05</v>
      </c>
      <c r="D1345" t="s">
        <v>16</v>
      </c>
      <c r="E1345" t="s">
        <v>1636</v>
      </c>
      <c r="F1345" s="5">
        <v>53000000</v>
      </c>
      <c r="G1345" s="5">
        <v>56000000</v>
      </c>
      <c r="H1345" s="5">
        <f>M1345*26000*1.20565</f>
        <v>57599928.750000007</v>
      </c>
      <c r="I1345" s="5">
        <f>G1345-H1345</f>
        <v>-1599928.7500000075</v>
      </c>
      <c r="J1345" s="5">
        <v>3000000</v>
      </c>
      <c r="K1345" s="5">
        <v>5300000</v>
      </c>
      <c r="L1345" s="5">
        <v>5600000</v>
      </c>
      <c r="M1345" s="7">
        <v>1837.5</v>
      </c>
      <c r="N1345" s="5">
        <v>53500000</v>
      </c>
      <c r="O1345" s="5">
        <v>56500000</v>
      </c>
      <c r="P1345" s="3">
        <v>0.97916666666666663</v>
      </c>
    </row>
    <row r="1346" spans="1:16" x14ac:dyDescent="0.25">
      <c r="A1346" s="2">
        <v>44505</v>
      </c>
      <c r="B1346" s="2">
        <v>44327</v>
      </c>
      <c r="C1346" t="str">
        <f>TEXT(B1346,"mm")</f>
        <v>05</v>
      </c>
      <c r="D1346" t="s">
        <v>18</v>
      </c>
      <c r="E1346" t="s">
        <v>1636</v>
      </c>
      <c r="F1346" s="5">
        <v>53000000</v>
      </c>
      <c r="G1346" s="5">
        <v>56000000</v>
      </c>
      <c r="H1346" s="5">
        <f>M1346*26000*1.20565</f>
        <v>57549773.710000008</v>
      </c>
      <c r="I1346" s="5">
        <f>G1346-H1346</f>
        <v>-1549773.7100000083</v>
      </c>
      <c r="J1346" s="5">
        <v>3000000</v>
      </c>
      <c r="K1346" s="5">
        <v>5300000</v>
      </c>
      <c r="L1346" s="5">
        <v>5600000</v>
      </c>
      <c r="M1346" s="7">
        <v>1835.9</v>
      </c>
      <c r="N1346" s="5">
        <v>53500000</v>
      </c>
      <c r="O1346" s="5">
        <v>56500000</v>
      </c>
      <c r="P1346" s="3">
        <v>0.97916666666666663</v>
      </c>
    </row>
    <row r="1347" spans="1:16" x14ac:dyDescent="0.25">
      <c r="A1347" s="2">
        <v>44535</v>
      </c>
      <c r="B1347" s="2">
        <v>44328</v>
      </c>
      <c r="C1347" t="str">
        <f>TEXT(B1347,"mm")</f>
        <v>05</v>
      </c>
      <c r="D1347" t="s">
        <v>19</v>
      </c>
      <c r="E1347" t="s">
        <v>1636</v>
      </c>
      <c r="F1347" s="5">
        <v>52600000</v>
      </c>
      <c r="G1347" s="5">
        <v>55600000</v>
      </c>
      <c r="H1347" s="5">
        <f>M1347*26000*1.20565</f>
        <v>57132859.940000005</v>
      </c>
      <c r="I1347" s="5">
        <f>G1347-H1347</f>
        <v>-1532859.9400000051</v>
      </c>
      <c r="J1347" s="5">
        <v>3000000</v>
      </c>
      <c r="K1347" s="5">
        <v>5260000</v>
      </c>
      <c r="L1347" s="5">
        <v>5560000</v>
      </c>
      <c r="M1347" s="7">
        <v>1822.6</v>
      </c>
      <c r="N1347" s="5">
        <v>53100000</v>
      </c>
      <c r="O1347" s="5">
        <v>56100000</v>
      </c>
      <c r="P1347" s="3">
        <v>0.97916666666666663</v>
      </c>
    </row>
    <row r="1348" spans="1:16" x14ac:dyDescent="0.25">
      <c r="A1348" t="s">
        <v>832</v>
      </c>
      <c r="B1348" s="2">
        <v>44329</v>
      </c>
      <c r="C1348" t="str">
        <f>TEXT(B1348,"mm")</f>
        <v>05</v>
      </c>
      <c r="D1348" t="s">
        <v>20</v>
      </c>
      <c r="E1348" t="s">
        <v>1636</v>
      </c>
      <c r="F1348" s="5">
        <v>52600000</v>
      </c>
      <c r="G1348" s="5">
        <v>55600000</v>
      </c>
      <c r="H1348" s="5">
        <f>M1348*26000*1.20565</f>
        <v>57170476.220000006</v>
      </c>
      <c r="I1348" s="5">
        <f>G1348-H1348</f>
        <v>-1570476.2200000063</v>
      </c>
      <c r="J1348" s="5">
        <v>3000000</v>
      </c>
      <c r="K1348" s="5">
        <v>5260000</v>
      </c>
      <c r="L1348" s="5">
        <v>5560000</v>
      </c>
      <c r="M1348" s="7">
        <v>1823.8</v>
      </c>
      <c r="N1348" s="5">
        <v>53100000</v>
      </c>
      <c r="O1348" s="5">
        <v>56100000</v>
      </c>
      <c r="P1348" s="3">
        <v>0.97916666666666663</v>
      </c>
    </row>
    <row r="1349" spans="1:16" x14ac:dyDescent="0.25">
      <c r="A1349" t="s">
        <v>833</v>
      </c>
      <c r="B1349" s="2">
        <v>44330</v>
      </c>
      <c r="C1349" t="str">
        <f>TEXT(B1349,"mm")</f>
        <v>05</v>
      </c>
      <c r="D1349" t="s">
        <v>21</v>
      </c>
      <c r="E1349" t="s">
        <v>1636</v>
      </c>
      <c r="F1349" s="5">
        <v>53100000</v>
      </c>
      <c r="G1349" s="5">
        <v>56100000</v>
      </c>
      <c r="H1349" s="5">
        <f>M1349*26000*1.20565</f>
        <v>57612467.510000005</v>
      </c>
      <c r="I1349" s="5">
        <f>G1349-H1349</f>
        <v>-1512467.5100000054</v>
      </c>
      <c r="J1349" s="5">
        <v>3000000</v>
      </c>
      <c r="K1349" s="5">
        <v>5310000</v>
      </c>
      <c r="L1349" s="5">
        <v>5610000</v>
      </c>
      <c r="M1349" s="7">
        <v>1837.9</v>
      </c>
      <c r="N1349" s="5">
        <v>53600000</v>
      </c>
      <c r="O1349" s="5">
        <v>56600000</v>
      </c>
      <c r="P1349" s="3">
        <v>0.97916666666666663</v>
      </c>
    </row>
    <row r="1350" spans="1:16" x14ac:dyDescent="0.25">
      <c r="A1350" t="s">
        <v>834</v>
      </c>
      <c r="B1350" s="2">
        <v>44333</v>
      </c>
      <c r="C1350" t="str">
        <f>TEXT(B1350,"mm")</f>
        <v>05</v>
      </c>
      <c r="D1350" t="s">
        <v>16</v>
      </c>
      <c r="E1350" t="s">
        <v>1636</v>
      </c>
      <c r="F1350" s="5">
        <v>54000000</v>
      </c>
      <c r="G1350" s="5">
        <v>57000000</v>
      </c>
      <c r="H1350" s="5">
        <f>M1350*26000*1.20565</f>
        <v>58540335.750000007</v>
      </c>
      <c r="I1350" s="5">
        <f>G1350-H1350</f>
        <v>-1540335.7500000075</v>
      </c>
      <c r="J1350" s="5">
        <v>3000000</v>
      </c>
      <c r="K1350" s="5">
        <v>5400000</v>
      </c>
      <c r="L1350" s="5">
        <v>5700000</v>
      </c>
      <c r="M1350" s="7">
        <v>1867.5</v>
      </c>
      <c r="N1350" s="5">
        <v>54500000</v>
      </c>
      <c r="O1350" s="5">
        <v>57500000</v>
      </c>
      <c r="P1350" s="3">
        <v>0.97916666666666663</v>
      </c>
    </row>
    <row r="1351" spans="1:16" x14ac:dyDescent="0.25">
      <c r="A1351" t="s">
        <v>835</v>
      </c>
      <c r="B1351" s="2">
        <v>44334</v>
      </c>
      <c r="C1351" t="str">
        <f>TEXT(B1351,"mm")</f>
        <v>05</v>
      </c>
      <c r="D1351" t="s">
        <v>18</v>
      </c>
      <c r="E1351" t="s">
        <v>1636</v>
      </c>
      <c r="F1351" s="5">
        <v>54000000</v>
      </c>
      <c r="G1351" s="5">
        <v>57000000</v>
      </c>
      <c r="H1351" s="5">
        <f>M1351*26000*1.20565</f>
        <v>58549739.820000008</v>
      </c>
      <c r="I1351" s="5">
        <f>G1351-H1351</f>
        <v>-1549739.8200000077</v>
      </c>
      <c r="J1351" s="5">
        <v>3000000</v>
      </c>
      <c r="K1351" s="5">
        <v>5400000</v>
      </c>
      <c r="L1351" s="5">
        <v>5700000</v>
      </c>
      <c r="M1351" s="7">
        <v>1867.8</v>
      </c>
      <c r="N1351" s="5">
        <v>54500000</v>
      </c>
      <c r="O1351" s="5">
        <v>57500000</v>
      </c>
      <c r="P1351" s="3">
        <v>0.97916666666666663</v>
      </c>
    </row>
    <row r="1352" spans="1:16" x14ac:dyDescent="0.25">
      <c r="A1352" t="s">
        <v>836</v>
      </c>
      <c r="B1352" s="2">
        <v>44335</v>
      </c>
      <c r="C1352" t="str">
        <f>TEXT(B1352,"mm")</f>
        <v>05</v>
      </c>
      <c r="D1352" t="s">
        <v>19</v>
      </c>
      <c r="E1352" t="s">
        <v>1636</v>
      </c>
      <c r="F1352" s="5">
        <v>54400000</v>
      </c>
      <c r="G1352" s="5">
        <v>57400000</v>
      </c>
      <c r="H1352" s="5">
        <f>M1352*26000*1.20565</f>
        <v>58972922.970000006</v>
      </c>
      <c r="I1352" s="5">
        <f>G1352-H1352</f>
        <v>-1572922.9700000063</v>
      </c>
      <c r="J1352" s="5">
        <v>3000000</v>
      </c>
      <c r="K1352" s="5">
        <v>5440000</v>
      </c>
      <c r="L1352" s="5">
        <v>5740000</v>
      </c>
      <c r="M1352" s="7">
        <v>1881.3</v>
      </c>
      <c r="N1352" s="5">
        <v>54900000</v>
      </c>
      <c r="O1352" s="5">
        <v>57900000</v>
      </c>
      <c r="P1352" s="3">
        <v>0.97916666666666663</v>
      </c>
    </row>
    <row r="1353" spans="1:16" x14ac:dyDescent="0.25">
      <c r="A1353" t="s">
        <v>837</v>
      </c>
      <c r="B1353" s="2">
        <v>44336</v>
      </c>
      <c r="C1353" t="str">
        <f>TEXT(B1353,"mm")</f>
        <v>05</v>
      </c>
      <c r="D1353" t="s">
        <v>20</v>
      </c>
      <c r="E1353" t="s">
        <v>1636</v>
      </c>
      <c r="F1353" s="5">
        <v>54400000</v>
      </c>
      <c r="G1353" s="5">
        <v>57400000</v>
      </c>
      <c r="H1353" s="5">
        <f>M1353*26000*1.20565</f>
        <v>58988596.420000002</v>
      </c>
      <c r="I1353" s="5">
        <f>G1353-H1353</f>
        <v>-1588596.4200000018</v>
      </c>
      <c r="J1353" s="5">
        <v>3000000</v>
      </c>
      <c r="K1353" s="5">
        <v>5440000</v>
      </c>
      <c r="L1353" s="5">
        <v>5740000</v>
      </c>
      <c r="M1353" s="7">
        <v>1881.8</v>
      </c>
      <c r="N1353" s="5">
        <v>54900000</v>
      </c>
      <c r="O1353" s="5">
        <v>57900000</v>
      </c>
      <c r="P1353" s="3">
        <v>0.97916666666666663</v>
      </c>
    </row>
    <row r="1354" spans="1:16" x14ac:dyDescent="0.25">
      <c r="A1354" t="s">
        <v>838</v>
      </c>
      <c r="B1354" s="2">
        <v>44337</v>
      </c>
      <c r="C1354" t="str">
        <f>TEXT(B1354,"mm")</f>
        <v>05</v>
      </c>
      <c r="D1354" t="s">
        <v>21</v>
      </c>
      <c r="E1354" t="s">
        <v>1636</v>
      </c>
      <c r="F1354" s="5">
        <v>54200000</v>
      </c>
      <c r="G1354" s="5">
        <v>57200000</v>
      </c>
      <c r="H1354" s="5">
        <f>M1354*26000*1.20565</f>
        <v>58828727.230000004</v>
      </c>
      <c r="I1354" s="5">
        <f>G1354-H1354</f>
        <v>-1628727.2300000042</v>
      </c>
      <c r="J1354" s="5">
        <v>3000000</v>
      </c>
      <c r="K1354" s="5">
        <v>5420000</v>
      </c>
      <c r="L1354" s="5">
        <v>5720000</v>
      </c>
      <c r="M1354" s="7">
        <v>1876.7</v>
      </c>
      <c r="N1354" s="5">
        <v>54700000</v>
      </c>
      <c r="O1354" s="5">
        <v>57700000</v>
      </c>
      <c r="P1354" s="3">
        <v>0.97916666666666663</v>
      </c>
    </row>
    <row r="1355" spans="1:16" x14ac:dyDescent="0.25">
      <c r="A1355" t="s">
        <v>839</v>
      </c>
      <c r="B1355" s="2">
        <v>44340</v>
      </c>
      <c r="C1355" t="str">
        <f>TEXT(B1355,"mm")</f>
        <v>05</v>
      </c>
      <c r="D1355" t="s">
        <v>16</v>
      </c>
      <c r="E1355" t="s">
        <v>1636</v>
      </c>
      <c r="F1355" s="5">
        <v>54500000</v>
      </c>
      <c r="G1355" s="5">
        <v>57500000</v>
      </c>
      <c r="H1355" s="5">
        <f>M1355*26000*1.20565</f>
        <v>59076367.740000002</v>
      </c>
      <c r="I1355" s="5">
        <f>G1355-H1355</f>
        <v>-1576367.7400000021</v>
      </c>
      <c r="J1355" s="5">
        <v>3000000</v>
      </c>
      <c r="K1355" s="5">
        <v>5450000</v>
      </c>
      <c r="L1355" s="5">
        <v>5750000</v>
      </c>
      <c r="M1355" s="7">
        <v>1884.6</v>
      </c>
      <c r="N1355" s="5">
        <v>55000000</v>
      </c>
      <c r="O1355" s="5">
        <v>58000000</v>
      </c>
      <c r="P1355" s="3">
        <v>0.97916666666666663</v>
      </c>
    </row>
    <row r="1356" spans="1:16" x14ac:dyDescent="0.25">
      <c r="A1356" t="s">
        <v>840</v>
      </c>
      <c r="B1356" s="2">
        <v>44341</v>
      </c>
      <c r="C1356" t="str">
        <f>TEXT(B1356,"mm")</f>
        <v>05</v>
      </c>
      <c r="D1356" t="s">
        <v>18</v>
      </c>
      <c r="E1356" t="s">
        <v>1636</v>
      </c>
      <c r="F1356" s="5">
        <v>54900000</v>
      </c>
      <c r="G1356" s="5">
        <v>57900000</v>
      </c>
      <c r="H1356" s="5">
        <f>M1356*26000*1.20565</f>
        <v>59499550.890000008</v>
      </c>
      <c r="I1356" s="5">
        <f>G1356-H1356</f>
        <v>-1599550.890000008</v>
      </c>
      <c r="J1356" s="5">
        <v>3000000</v>
      </c>
      <c r="K1356" s="5">
        <v>5490000</v>
      </c>
      <c r="L1356" s="5">
        <v>5790000</v>
      </c>
      <c r="M1356" s="7">
        <v>1898.1</v>
      </c>
      <c r="N1356" s="5">
        <v>55400000</v>
      </c>
      <c r="O1356" s="5">
        <v>58400000</v>
      </c>
      <c r="P1356" s="3">
        <v>0.97916666666666663</v>
      </c>
    </row>
    <row r="1357" spans="1:16" x14ac:dyDescent="0.25">
      <c r="A1357" t="s">
        <v>841</v>
      </c>
      <c r="B1357" s="2">
        <v>44342</v>
      </c>
      <c r="C1357" t="str">
        <f>TEXT(B1357,"mm")</f>
        <v>05</v>
      </c>
      <c r="D1357" t="s">
        <v>19</v>
      </c>
      <c r="E1357" t="s">
        <v>1636</v>
      </c>
      <c r="F1357" s="5">
        <v>55000000</v>
      </c>
      <c r="G1357" s="5">
        <v>58000000</v>
      </c>
      <c r="H1357" s="5">
        <f>M1357*26000*1.20565</f>
        <v>59599860.970000006</v>
      </c>
      <c r="I1357" s="5">
        <f>G1357-H1357</f>
        <v>-1599860.9700000063</v>
      </c>
      <c r="J1357" s="5">
        <v>3000000</v>
      </c>
      <c r="K1357" s="5">
        <v>5500000</v>
      </c>
      <c r="L1357" s="5">
        <v>5800000</v>
      </c>
      <c r="M1357" s="7">
        <v>1901.3</v>
      </c>
      <c r="N1357" s="5">
        <v>55500000</v>
      </c>
      <c r="O1357" s="5">
        <v>58500000</v>
      </c>
      <c r="P1357" s="3">
        <v>0.97916666666666663</v>
      </c>
    </row>
    <row r="1358" spans="1:16" x14ac:dyDescent="0.25">
      <c r="A1358" t="s">
        <v>842</v>
      </c>
      <c r="B1358" s="2">
        <v>44343</v>
      </c>
      <c r="C1358" t="str">
        <f>TEXT(B1358,"mm")</f>
        <v>05</v>
      </c>
      <c r="D1358" t="s">
        <v>20</v>
      </c>
      <c r="E1358" t="s">
        <v>1636</v>
      </c>
      <c r="F1358" s="5">
        <v>54800000</v>
      </c>
      <c r="G1358" s="5">
        <v>57800000</v>
      </c>
      <c r="H1358" s="5">
        <f>M1358*26000*1.20565</f>
        <v>59424318.330000006</v>
      </c>
      <c r="I1358" s="5">
        <f>G1358-H1358</f>
        <v>-1624318.3300000057</v>
      </c>
      <c r="J1358" s="5">
        <v>3000000</v>
      </c>
      <c r="K1358" s="5">
        <v>5480000</v>
      </c>
      <c r="L1358" s="5">
        <v>5780000</v>
      </c>
      <c r="M1358" s="7">
        <v>1895.7</v>
      </c>
      <c r="N1358" s="5">
        <v>55300000</v>
      </c>
      <c r="O1358" s="5">
        <v>58300000</v>
      </c>
      <c r="P1358" s="3">
        <v>0.97916666666666663</v>
      </c>
    </row>
    <row r="1359" spans="1:16" x14ac:dyDescent="0.25">
      <c r="A1359" t="s">
        <v>843</v>
      </c>
      <c r="B1359" s="2">
        <v>44344</v>
      </c>
      <c r="C1359" t="str">
        <f>TEXT(B1359,"mm")</f>
        <v>05</v>
      </c>
      <c r="D1359" t="s">
        <v>21</v>
      </c>
      <c r="E1359" t="s">
        <v>1636</v>
      </c>
      <c r="F1359" s="5">
        <v>55000000</v>
      </c>
      <c r="G1359" s="5">
        <v>58000000</v>
      </c>
      <c r="H1359" s="5">
        <f>M1359*26000*1.20565</f>
        <v>59637477.250000007</v>
      </c>
      <c r="I1359" s="5">
        <f>G1359-H1359</f>
        <v>-1637477.2500000075</v>
      </c>
      <c r="J1359" s="5">
        <v>3000000</v>
      </c>
      <c r="K1359" s="5">
        <v>5500000</v>
      </c>
      <c r="L1359" s="5">
        <v>5800000</v>
      </c>
      <c r="M1359" s="7">
        <v>1902.5</v>
      </c>
      <c r="N1359" s="5">
        <v>55500000</v>
      </c>
      <c r="O1359" s="5">
        <v>58500000</v>
      </c>
      <c r="P1359" s="3">
        <v>0.97916666666666663</v>
      </c>
    </row>
    <row r="1360" spans="1:16" x14ac:dyDescent="0.25">
      <c r="A1360" s="2">
        <v>44202</v>
      </c>
      <c r="B1360" s="2">
        <v>44348</v>
      </c>
      <c r="C1360" t="str">
        <f>TEXT(B1360,"mm")</f>
        <v>06</v>
      </c>
      <c r="D1360" t="s">
        <v>18</v>
      </c>
      <c r="E1360" t="s">
        <v>1636</v>
      </c>
      <c r="F1360" s="5">
        <v>55000000</v>
      </c>
      <c r="G1360" s="5">
        <v>58000000</v>
      </c>
      <c r="H1360" s="5">
        <f>M1360*26000*1.20565</f>
        <v>59650016.010000005</v>
      </c>
      <c r="I1360" s="5">
        <f>G1360-H1360</f>
        <v>-1650016.0100000054</v>
      </c>
      <c r="J1360" s="5">
        <v>3000000</v>
      </c>
      <c r="K1360" s="5">
        <v>5500000</v>
      </c>
      <c r="L1360" s="5">
        <v>5800000</v>
      </c>
      <c r="M1360" s="7">
        <v>1902.9</v>
      </c>
      <c r="N1360" s="5">
        <v>55500000</v>
      </c>
      <c r="O1360" s="5">
        <v>58500000</v>
      </c>
      <c r="P1360" s="3">
        <v>0.97916666666666663</v>
      </c>
    </row>
    <row r="1361" spans="1:16" x14ac:dyDescent="0.25">
      <c r="A1361" s="2">
        <v>44233</v>
      </c>
      <c r="B1361" s="2">
        <v>44349</v>
      </c>
      <c r="C1361" t="str">
        <f>TEXT(B1361,"mm")</f>
        <v>06</v>
      </c>
      <c r="D1361" t="s">
        <v>19</v>
      </c>
      <c r="E1361" t="s">
        <v>1636</v>
      </c>
      <c r="F1361" s="5">
        <v>55200000</v>
      </c>
      <c r="G1361" s="5">
        <v>58200000</v>
      </c>
      <c r="H1361" s="5">
        <f>M1361*26000*1.20565</f>
        <v>59794211.750000007</v>
      </c>
      <c r="I1361" s="5">
        <f>G1361-H1361</f>
        <v>-1594211.7500000075</v>
      </c>
      <c r="J1361" s="5">
        <v>3000000</v>
      </c>
      <c r="K1361" s="5">
        <v>5520000</v>
      </c>
      <c r="L1361" s="5">
        <v>5820000</v>
      </c>
      <c r="M1361" s="7">
        <v>1907.5</v>
      </c>
      <c r="N1361" s="5">
        <v>55700000</v>
      </c>
      <c r="O1361" s="5">
        <v>58700000</v>
      </c>
      <c r="P1361" s="3">
        <v>0.97916666666666663</v>
      </c>
    </row>
    <row r="1362" spans="1:16" x14ac:dyDescent="0.25">
      <c r="A1362" s="2">
        <v>44261</v>
      </c>
      <c r="B1362" s="2">
        <v>44350</v>
      </c>
      <c r="C1362" t="str">
        <f>TEXT(B1362,"mm")</f>
        <v>06</v>
      </c>
      <c r="D1362" t="s">
        <v>20</v>
      </c>
      <c r="E1362" t="s">
        <v>1636</v>
      </c>
      <c r="F1362" s="5">
        <v>54100000</v>
      </c>
      <c r="G1362" s="5">
        <v>57100000</v>
      </c>
      <c r="H1362" s="5">
        <f>M1362*26000*1.20565</f>
        <v>58656319.280000009</v>
      </c>
      <c r="I1362" s="5">
        <f>G1362-H1362</f>
        <v>-1556319.2800000086</v>
      </c>
      <c r="J1362" s="5">
        <v>3000000</v>
      </c>
      <c r="K1362" s="5">
        <v>5410000</v>
      </c>
      <c r="L1362" s="5">
        <v>5710000</v>
      </c>
      <c r="M1362" s="7">
        <v>1871.2</v>
      </c>
      <c r="N1362" s="5">
        <v>54600000</v>
      </c>
      <c r="O1362" s="5">
        <v>57600000</v>
      </c>
      <c r="P1362" s="3">
        <v>0.97916666666666663</v>
      </c>
    </row>
    <row r="1363" spans="1:16" x14ac:dyDescent="0.25">
      <c r="A1363" s="2">
        <v>44292</v>
      </c>
      <c r="B1363" s="2">
        <v>44351</v>
      </c>
      <c r="C1363" t="str">
        <f>TEXT(B1363,"mm")</f>
        <v>06</v>
      </c>
      <c r="D1363" t="s">
        <v>21</v>
      </c>
      <c r="E1363" t="s">
        <v>1636</v>
      </c>
      <c r="F1363" s="5">
        <v>54600000</v>
      </c>
      <c r="G1363" s="5">
        <v>57600000</v>
      </c>
      <c r="H1363" s="5">
        <f>M1363*26000*1.20565</f>
        <v>59239371.620000005</v>
      </c>
      <c r="I1363" s="5">
        <f>G1363-H1363</f>
        <v>-1639371.6200000048</v>
      </c>
      <c r="J1363" s="5">
        <v>3000000</v>
      </c>
      <c r="K1363" s="5">
        <v>5460000</v>
      </c>
      <c r="L1363" s="5">
        <v>5760000</v>
      </c>
      <c r="M1363" s="7">
        <v>1889.8</v>
      </c>
      <c r="N1363" s="5">
        <v>55100000</v>
      </c>
      <c r="O1363" s="5">
        <v>58100000</v>
      </c>
      <c r="P1363" s="3">
        <v>0.97916666666666663</v>
      </c>
    </row>
    <row r="1364" spans="1:16" x14ac:dyDescent="0.25">
      <c r="A1364" s="2">
        <v>44383</v>
      </c>
      <c r="B1364" s="2">
        <v>44354</v>
      </c>
      <c r="C1364" t="str">
        <f>TEXT(B1364,"mm")</f>
        <v>06</v>
      </c>
      <c r="D1364" t="s">
        <v>16</v>
      </c>
      <c r="E1364" t="s">
        <v>1636</v>
      </c>
      <c r="F1364" s="5">
        <v>54900000</v>
      </c>
      <c r="G1364" s="5">
        <v>57900000</v>
      </c>
      <c r="H1364" s="5">
        <f>M1364*26000*1.20565</f>
        <v>59458799.920000002</v>
      </c>
      <c r="I1364" s="5">
        <f>G1364-H1364</f>
        <v>-1558799.9200000018</v>
      </c>
      <c r="J1364" s="5">
        <v>3000000</v>
      </c>
      <c r="K1364" s="5">
        <v>5490000</v>
      </c>
      <c r="L1364" s="5">
        <v>5790000</v>
      </c>
      <c r="M1364" s="7">
        <v>1896.8</v>
      </c>
      <c r="N1364" s="5">
        <v>55400000</v>
      </c>
      <c r="O1364" s="5">
        <v>58400000</v>
      </c>
      <c r="P1364" s="3">
        <v>0.97916666666666663</v>
      </c>
    </row>
    <row r="1365" spans="1:16" x14ac:dyDescent="0.25">
      <c r="A1365" s="2">
        <v>44414</v>
      </c>
      <c r="B1365" s="2">
        <v>44355</v>
      </c>
      <c r="C1365" t="str">
        <f>TEXT(B1365,"mm")</f>
        <v>06</v>
      </c>
      <c r="D1365" t="s">
        <v>18</v>
      </c>
      <c r="E1365" t="s">
        <v>1636</v>
      </c>
      <c r="F1365" s="5">
        <v>54700000</v>
      </c>
      <c r="G1365" s="5">
        <v>57700000</v>
      </c>
      <c r="H1365" s="5">
        <f>M1365*26000*1.20565</f>
        <v>59314604.180000007</v>
      </c>
      <c r="I1365" s="5">
        <f>G1365-H1365</f>
        <v>-1614604.1800000072</v>
      </c>
      <c r="J1365" s="5">
        <v>3000000</v>
      </c>
      <c r="K1365" s="5">
        <v>5470000</v>
      </c>
      <c r="L1365" s="5">
        <v>5770000</v>
      </c>
      <c r="M1365" s="7">
        <v>1892.2</v>
      </c>
      <c r="N1365" s="5">
        <v>55200000</v>
      </c>
      <c r="O1365" s="5">
        <v>58200000</v>
      </c>
      <c r="P1365" s="3">
        <v>0.97916666666666663</v>
      </c>
    </row>
    <row r="1366" spans="1:16" x14ac:dyDescent="0.25">
      <c r="A1366" s="2">
        <v>44445</v>
      </c>
      <c r="B1366" s="2">
        <v>44356</v>
      </c>
      <c r="C1366" t="str">
        <f>TEXT(B1366,"mm")</f>
        <v>06</v>
      </c>
      <c r="D1366" t="s">
        <v>19</v>
      </c>
      <c r="E1366" t="s">
        <v>1636</v>
      </c>
      <c r="F1366" s="5">
        <v>54700000</v>
      </c>
      <c r="G1366" s="5">
        <v>57700000</v>
      </c>
      <c r="H1366" s="5">
        <f>M1366*26000*1.20565</f>
        <v>59345951.080000006</v>
      </c>
      <c r="I1366" s="5">
        <f>G1366-H1366</f>
        <v>-1645951.0800000057</v>
      </c>
      <c r="J1366" s="5">
        <v>3000000</v>
      </c>
      <c r="K1366" s="5">
        <v>5470000</v>
      </c>
      <c r="L1366" s="5">
        <v>5770000</v>
      </c>
      <c r="M1366" s="7">
        <v>1893.2</v>
      </c>
      <c r="N1366" s="5">
        <v>55200000</v>
      </c>
      <c r="O1366" s="5">
        <v>58200000</v>
      </c>
      <c r="P1366" s="3">
        <v>0.97916666666666663</v>
      </c>
    </row>
    <row r="1367" spans="1:16" x14ac:dyDescent="0.25">
      <c r="A1367" s="2">
        <v>44475</v>
      </c>
      <c r="B1367" s="2">
        <v>44357</v>
      </c>
      <c r="C1367" t="str">
        <f>TEXT(B1367,"mm")</f>
        <v>06</v>
      </c>
      <c r="D1367" t="s">
        <v>20</v>
      </c>
      <c r="E1367" t="s">
        <v>1636</v>
      </c>
      <c r="F1367" s="5">
        <v>54800000</v>
      </c>
      <c r="G1367" s="5">
        <v>57800000</v>
      </c>
      <c r="H1367" s="5">
        <f>M1367*26000*1.20565</f>
        <v>59377297.980000004</v>
      </c>
      <c r="I1367" s="5">
        <f>G1367-H1367</f>
        <v>-1577297.9800000042</v>
      </c>
      <c r="J1367" s="5">
        <v>3000000</v>
      </c>
      <c r="K1367" s="5">
        <v>5480000</v>
      </c>
      <c r="L1367" s="5">
        <v>5780000</v>
      </c>
      <c r="M1367" s="7">
        <v>1894.2</v>
      </c>
      <c r="N1367" s="5">
        <v>55300000</v>
      </c>
      <c r="O1367" s="5">
        <v>58300000</v>
      </c>
      <c r="P1367" s="3">
        <v>0.97916666666666663</v>
      </c>
    </row>
    <row r="1368" spans="1:16" x14ac:dyDescent="0.25">
      <c r="A1368" s="2">
        <v>44506</v>
      </c>
      <c r="B1368" s="2">
        <v>44358</v>
      </c>
      <c r="C1368" t="str">
        <f>TEXT(B1368,"mm")</f>
        <v>06</v>
      </c>
      <c r="D1368" t="s">
        <v>21</v>
      </c>
      <c r="E1368" t="s">
        <v>1636</v>
      </c>
      <c r="F1368" s="5">
        <v>54300000</v>
      </c>
      <c r="G1368" s="5">
        <v>57300000</v>
      </c>
      <c r="H1368" s="5">
        <f>M1368*26000*1.20565</f>
        <v>58850670.060000002</v>
      </c>
      <c r="I1368" s="5">
        <f>G1368-H1368</f>
        <v>-1550670.0600000024</v>
      </c>
      <c r="J1368" s="5">
        <v>3000000</v>
      </c>
      <c r="K1368" s="5">
        <v>5430000</v>
      </c>
      <c r="L1368" s="5">
        <v>5730000</v>
      </c>
      <c r="M1368" s="7">
        <v>1877.4</v>
      </c>
      <c r="N1368" s="5">
        <v>54800000</v>
      </c>
      <c r="O1368" s="5">
        <v>57800000</v>
      </c>
      <c r="P1368" s="3">
        <v>0.97916666666666663</v>
      </c>
    </row>
    <row r="1369" spans="1:16" x14ac:dyDescent="0.25">
      <c r="A1369" t="s">
        <v>844</v>
      </c>
      <c r="B1369" s="2">
        <v>44361</v>
      </c>
      <c r="C1369" t="str">
        <f>TEXT(B1369,"mm")</f>
        <v>06</v>
      </c>
      <c r="D1369" t="s">
        <v>16</v>
      </c>
      <c r="E1369" t="s">
        <v>1636</v>
      </c>
      <c r="F1369" s="5">
        <v>53900000</v>
      </c>
      <c r="G1369" s="5">
        <v>56900000</v>
      </c>
      <c r="H1369" s="5">
        <f>M1369*26000*1.20565</f>
        <v>58430621.600000009</v>
      </c>
      <c r="I1369" s="5">
        <f>G1369-H1369</f>
        <v>-1530621.6000000089</v>
      </c>
      <c r="J1369" s="5">
        <v>3000000</v>
      </c>
      <c r="K1369" s="5">
        <v>5390000</v>
      </c>
      <c r="L1369" s="5">
        <v>5690000</v>
      </c>
      <c r="M1369" s="7">
        <v>1864</v>
      </c>
      <c r="N1369" s="5">
        <v>54400000</v>
      </c>
      <c r="O1369" s="5">
        <v>57400000</v>
      </c>
      <c r="P1369" s="3">
        <v>0.97916666666666663</v>
      </c>
    </row>
    <row r="1370" spans="1:16" x14ac:dyDescent="0.25">
      <c r="A1370" t="s">
        <v>845</v>
      </c>
      <c r="B1370" s="2">
        <v>44362</v>
      </c>
      <c r="C1370" t="str">
        <f>TEXT(B1370,"mm")</f>
        <v>06</v>
      </c>
      <c r="D1370" t="s">
        <v>18</v>
      </c>
      <c r="E1370" t="s">
        <v>1636</v>
      </c>
      <c r="F1370" s="5">
        <v>53600000</v>
      </c>
      <c r="G1370" s="5">
        <v>56600000</v>
      </c>
      <c r="H1370" s="5">
        <f>M1370*26000*1.20565</f>
        <v>58132826.050000004</v>
      </c>
      <c r="I1370" s="5">
        <f>G1370-H1370</f>
        <v>-1532826.0500000045</v>
      </c>
      <c r="J1370" s="5">
        <v>3000000</v>
      </c>
      <c r="K1370" s="5">
        <v>5360000</v>
      </c>
      <c r="L1370" s="5">
        <v>5660000</v>
      </c>
      <c r="M1370" s="7">
        <v>1854.5</v>
      </c>
      <c r="N1370" s="5">
        <v>54100000</v>
      </c>
      <c r="O1370" s="5">
        <v>57100000</v>
      </c>
      <c r="P1370" s="3">
        <v>0.97916666666666663</v>
      </c>
    </row>
    <row r="1371" spans="1:16" x14ac:dyDescent="0.25">
      <c r="A1371" t="s">
        <v>846</v>
      </c>
      <c r="B1371" s="2">
        <v>44363</v>
      </c>
      <c r="C1371" t="str">
        <f>TEXT(B1371,"mm")</f>
        <v>06</v>
      </c>
      <c r="D1371" t="s">
        <v>19</v>
      </c>
      <c r="E1371" t="s">
        <v>1636</v>
      </c>
      <c r="F1371" s="5">
        <v>53700000</v>
      </c>
      <c r="G1371" s="5">
        <v>56700000</v>
      </c>
      <c r="H1371" s="5">
        <f>M1371*26000*1.20565</f>
        <v>58289560.550000004</v>
      </c>
      <c r="I1371" s="5">
        <f>G1371-H1371</f>
        <v>-1589560.5500000045</v>
      </c>
      <c r="J1371" s="5">
        <v>3000000</v>
      </c>
      <c r="K1371" s="5">
        <v>5370000</v>
      </c>
      <c r="L1371" s="5">
        <v>5670000</v>
      </c>
      <c r="M1371" s="7">
        <v>1859.5</v>
      </c>
      <c r="N1371" s="5">
        <v>54200000</v>
      </c>
      <c r="O1371" s="5">
        <v>57200000</v>
      </c>
      <c r="P1371" s="3">
        <v>0.97916666666666663</v>
      </c>
    </row>
    <row r="1372" spans="1:16" x14ac:dyDescent="0.25">
      <c r="A1372" t="s">
        <v>847</v>
      </c>
      <c r="B1372" s="2">
        <v>44364</v>
      </c>
      <c r="C1372" t="str">
        <f>TEXT(B1372,"mm")</f>
        <v>06</v>
      </c>
      <c r="D1372" t="s">
        <v>20</v>
      </c>
      <c r="E1372" t="s">
        <v>1636</v>
      </c>
      <c r="F1372" s="5">
        <v>51100000</v>
      </c>
      <c r="G1372" s="5">
        <v>54100000</v>
      </c>
      <c r="H1372" s="5">
        <f>M1372*26000*1.20565</f>
        <v>55603131.220000006</v>
      </c>
      <c r="I1372" s="5">
        <f>G1372-H1372</f>
        <v>-1503131.2200000063</v>
      </c>
      <c r="J1372" s="5">
        <v>3000000</v>
      </c>
      <c r="K1372" s="5">
        <v>5110000</v>
      </c>
      <c r="L1372" s="5">
        <v>5410000</v>
      </c>
      <c r="M1372" s="7">
        <v>1773.8</v>
      </c>
      <c r="N1372" s="5">
        <v>51600000</v>
      </c>
      <c r="O1372" s="5">
        <v>54600000</v>
      </c>
      <c r="P1372" s="3">
        <v>0.97916666666666663</v>
      </c>
    </row>
    <row r="1373" spans="1:16" x14ac:dyDescent="0.25">
      <c r="A1373" t="s">
        <v>848</v>
      </c>
      <c r="B1373" s="2">
        <v>44365</v>
      </c>
      <c r="C1373" t="str">
        <f>TEXT(B1373,"mm")</f>
        <v>06</v>
      </c>
      <c r="D1373" t="s">
        <v>21</v>
      </c>
      <c r="E1373" t="s">
        <v>1636</v>
      </c>
      <c r="F1373" s="5">
        <v>50900000</v>
      </c>
      <c r="G1373" s="5">
        <v>53900000</v>
      </c>
      <c r="H1373" s="5">
        <f>M1373*26000*1.20565</f>
        <v>55418184.510000005</v>
      </c>
      <c r="I1373" s="5">
        <f>G1373-H1373</f>
        <v>-1518184.5100000054</v>
      </c>
      <c r="J1373" s="5">
        <v>3000000</v>
      </c>
      <c r="K1373" s="5">
        <v>5090000</v>
      </c>
      <c r="L1373" s="5">
        <v>5390000</v>
      </c>
      <c r="M1373" s="7">
        <v>1767.9</v>
      </c>
      <c r="N1373" s="5">
        <v>51400000</v>
      </c>
      <c r="O1373" s="5">
        <v>54400000</v>
      </c>
      <c r="P1373" s="3">
        <v>0.97916666666666663</v>
      </c>
    </row>
    <row r="1374" spans="1:16" x14ac:dyDescent="0.25">
      <c r="A1374" t="s">
        <v>849</v>
      </c>
      <c r="B1374" s="2">
        <v>44368</v>
      </c>
      <c r="C1374" t="str">
        <f>TEXT(B1374,"mm")</f>
        <v>06</v>
      </c>
      <c r="D1374" t="s">
        <v>16</v>
      </c>
      <c r="E1374" t="s">
        <v>1636</v>
      </c>
      <c r="F1374" s="5">
        <v>51400000</v>
      </c>
      <c r="G1374" s="5">
        <v>54400000</v>
      </c>
      <c r="H1374" s="5">
        <f>M1374*26000*1.20565</f>
        <v>55853906.420000002</v>
      </c>
      <c r="I1374" s="5">
        <f>G1374-H1374</f>
        <v>-1453906.4200000018</v>
      </c>
      <c r="J1374" s="5">
        <v>3000000</v>
      </c>
      <c r="K1374" s="5">
        <v>5140000</v>
      </c>
      <c r="L1374" s="5">
        <v>5440000</v>
      </c>
      <c r="M1374" s="7">
        <v>1781.8</v>
      </c>
      <c r="N1374" s="5">
        <v>51900000</v>
      </c>
      <c r="O1374" s="5">
        <v>54900000</v>
      </c>
      <c r="P1374" s="3">
        <v>0.97916666666666663</v>
      </c>
    </row>
    <row r="1375" spans="1:16" x14ac:dyDescent="0.25">
      <c r="A1375" t="s">
        <v>850</v>
      </c>
      <c r="B1375" s="2">
        <v>44369</v>
      </c>
      <c r="C1375" t="str">
        <f>TEXT(B1375,"mm")</f>
        <v>06</v>
      </c>
      <c r="D1375" t="s">
        <v>18</v>
      </c>
      <c r="E1375" t="s">
        <v>1636</v>
      </c>
      <c r="F1375" s="5">
        <v>51200000</v>
      </c>
      <c r="G1375" s="5">
        <v>54200000</v>
      </c>
      <c r="H1375" s="5">
        <f>M1375*26000*1.20565</f>
        <v>55681498.470000006</v>
      </c>
      <c r="I1375" s="5">
        <f>G1375-H1375</f>
        <v>-1481498.4700000063</v>
      </c>
      <c r="J1375" s="5">
        <v>3000000</v>
      </c>
      <c r="K1375" s="5">
        <v>5120000</v>
      </c>
      <c r="L1375" s="5">
        <v>5420000</v>
      </c>
      <c r="M1375" s="7">
        <v>1776.3</v>
      </c>
      <c r="N1375" s="5">
        <v>51700000</v>
      </c>
      <c r="O1375" s="5">
        <v>54700000</v>
      </c>
      <c r="P1375" s="3">
        <v>0.97916666666666663</v>
      </c>
    </row>
    <row r="1376" spans="1:16" x14ac:dyDescent="0.25">
      <c r="A1376" t="s">
        <v>851</v>
      </c>
      <c r="B1376" s="2">
        <v>44370</v>
      </c>
      <c r="C1376" t="str">
        <f>TEXT(B1376,"mm")</f>
        <v>06</v>
      </c>
      <c r="D1376" t="s">
        <v>19</v>
      </c>
      <c r="E1376" t="s">
        <v>1636</v>
      </c>
      <c r="F1376" s="5">
        <v>51400000</v>
      </c>
      <c r="G1376" s="5">
        <v>54400000</v>
      </c>
      <c r="H1376" s="5">
        <f>M1376*26000*1.20565</f>
        <v>55869579.870000005</v>
      </c>
      <c r="I1376" s="5">
        <f>G1376-H1376</f>
        <v>-1469579.8700000048</v>
      </c>
      <c r="J1376" s="5">
        <v>3000000</v>
      </c>
      <c r="K1376" s="5">
        <v>5140000</v>
      </c>
      <c r="L1376" s="5">
        <v>5440000</v>
      </c>
      <c r="M1376" s="7">
        <v>1782.3</v>
      </c>
      <c r="N1376" s="5">
        <v>51900000</v>
      </c>
      <c r="O1376" s="5">
        <v>54900000</v>
      </c>
      <c r="P1376" s="3">
        <v>0.97916666666666663</v>
      </c>
    </row>
    <row r="1377" spans="1:16" x14ac:dyDescent="0.25">
      <c r="A1377" t="s">
        <v>852</v>
      </c>
      <c r="B1377" s="2">
        <v>44371</v>
      </c>
      <c r="C1377" t="str">
        <f>TEXT(B1377,"mm")</f>
        <v>06</v>
      </c>
      <c r="D1377" t="s">
        <v>20</v>
      </c>
      <c r="E1377" t="s">
        <v>1636</v>
      </c>
      <c r="F1377" s="5">
        <v>51200000</v>
      </c>
      <c r="G1377" s="5">
        <v>54200000</v>
      </c>
      <c r="H1377" s="5">
        <f>M1377*26000*1.20565</f>
        <v>55659555.640000008</v>
      </c>
      <c r="I1377" s="5">
        <f>G1377-H1377</f>
        <v>-1459555.640000008</v>
      </c>
      <c r="J1377" s="5">
        <v>3000000</v>
      </c>
      <c r="K1377" s="5">
        <v>5120000</v>
      </c>
      <c r="L1377" s="5">
        <v>5420000</v>
      </c>
      <c r="M1377" s="7">
        <v>1775.6</v>
      </c>
      <c r="N1377" s="5">
        <v>51700000</v>
      </c>
      <c r="O1377" s="5">
        <v>54700000</v>
      </c>
      <c r="P1377" s="3">
        <v>0.97916666666666663</v>
      </c>
    </row>
    <row r="1378" spans="1:16" x14ac:dyDescent="0.25">
      <c r="A1378" t="s">
        <v>853</v>
      </c>
      <c r="B1378" s="2">
        <v>44372</v>
      </c>
      <c r="C1378" t="str">
        <f>TEXT(B1378,"mm")</f>
        <v>06</v>
      </c>
      <c r="D1378" t="s">
        <v>21</v>
      </c>
      <c r="E1378" t="s">
        <v>1636</v>
      </c>
      <c r="F1378" s="5">
        <v>51200000</v>
      </c>
      <c r="G1378" s="5">
        <v>54200000</v>
      </c>
      <c r="H1378" s="5">
        <f>M1378*26000*1.20565</f>
        <v>55690902.540000007</v>
      </c>
      <c r="I1378" s="5">
        <f>G1378-H1378</f>
        <v>-1490902.5400000066</v>
      </c>
      <c r="J1378" s="5">
        <v>3000000</v>
      </c>
      <c r="K1378" s="5">
        <v>5120000</v>
      </c>
      <c r="L1378" s="5">
        <v>5420000</v>
      </c>
      <c r="M1378" s="7">
        <v>1776.6</v>
      </c>
      <c r="N1378" s="5">
        <v>51700000</v>
      </c>
      <c r="O1378" s="5">
        <v>54700000</v>
      </c>
      <c r="P1378" s="3">
        <v>0.97916666666666663</v>
      </c>
    </row>
    <row r="1379" spans="1:16" x14ac:dyDescent="0.25">
      <c r="A1379" t="s">
        <v>854</v>
      </c>
      <c r="B1379" s="2">
        <v>44375</v>
      </c>
      <c r="C1379" t="str">
        <f>TEXT(B1379,"mm")</f>
        <v>06</v>
      </c>
      <c r="D1379" t="s">
        <v>16</v>
      </c>
      <c r="E1379" t="s">
        <v>1636</v>
      </c>
      <c r="F1379" s="5">
        <v>51300000</v>
      </c>
      <c r="G1379" s="5">
        <v>54300000</v>
      </c>
      <c r="H1379" s="5">
        <f>M1379*26000*1.20565</f>
        <v>55784943.240000002</v>
      </c>
      <c r="I1379" s="5">
        <f>G1379-H1379</f>
        <v>-1484943.2400000021</v>
      </c>
      <c r="J1379" s="5">
        <v>3000000</v>
      </c>
      <c r="K1379" s="5">
        <v>5130000</v>
      </c>
      <c r="L1379" s="5">
        <v>5430000</v>
      </c>
      <c r="M1379" s="7">
        <v>1779.6</v>
      </c>
      <c r="N1379" s="5">
        <v>51800000</v>
      </c>
      <c r="O1379" s="5">
        <v>54800000</v>
      </c>
      <c r="P1379" s="3">
        <v>0.97916666666666663</v>
      </c>
    </row>
    <row r="1380" spans="1:16" x14ac:dyDescent="0.25">
      <c r="A1380" t="s">
        <v>855</v>
      </c>
      <c r="B1380" s="2">
        <v>44376</v>
      </c>
      <c r="C1380" t="str">
        <f>TEXT(B1380,"mm")</f>
        <v>06</v>
      </c>
      <c r="D1380" t="s">
        <v>18</v>
      </c>
      <c r="E1380" t="s">
        <v>1636</v>
      </c>
      <c r="F1380" s="5">
        <v>50800000</v>
      </c>
      <c r="G1380" s="5">
        <v>53800000</v>
      </c>
      <c r="H1380" s="5">
        <f>M1380*26000*1.20565</f>
        <v>55258315.320000008</v>
      </c>
      <c r="I1380" s="5">
        <f>G1380-H1380</f>
        <v>-1458315.3200000077</v>
      </c>
      <c r="J1380" s="5">
        <v>3000000</v>
      </c>
      <c r="K1380" s="5">
        <v>5080000</v>
      </c>
      <c r="L1380" s="5">
        <v>5380000</v>
      </c>
      <c r="M1380" s="7">
        <v>1762.8</v>
      </c>
      <c r="N1380" s="5">
        <v>51300000</v>
      </c>
      <c r="O1380" s="5">
        <v>54300000</v>
      </c>
      <c r="P1380" s="3">
        <v>0.97916666666666663</v>
      </c>
    </row>
    <row r="1381" spans="1:16" x14ac:dyDescent="0.25">
      <c r="A1381" t="s">
        <v>856</v>
      </c>
      <c r="B1381" s="2">
        <v>44377</v>
      </c>
      <c r="C1381" t="str">
        <f>TEXT(B1381,"mm")</f>
        <v>06</v>
      </c>
      <c r="D1381" t="s">
        <v>19</v>
      </c>
      <c r="E1381" t="s">
        <v>1636</v>
      </c>
      <c r="F1381" s="5">
        <v>51000000</v>
      </c>
      <c r="G1381" s="5">
        <v>54000000</v>
      </c>
      <c r="H1381" s="5">
        <f>M1381*26000*1.20565</f>
        <v>55509090.520000003</v>
      </c>
      <c r="I1381" s="5">
        <f>G1381-H1381</f>
        <v>-1509090.5200000033</v>
      </c>
      <c r="J1381" s="5">
        <v>3000000</v>
      </c>
      <c r="K1381" s="5">
        <v>5100000</v>
      </c>
      <c r="L1381" s="5">
        <v>5400000</v>
      </c>
      <c r="M1381" s="7">
        <v>1770.8</v>
      </c>
      <c r="N1381" s="5">
        <v>51500000</v>
      </c>
      <c r="O1381" s="5">
        <v>54500000</v>
      </c>
      <c r="P1381" s="3">
        <v>0.97916666666666663</v>
      </c>
    </row>
    <row r="1382" spans="1:16" x14ac:dyDescent="0.25">
      <c r="A1382" s="2">
        <v>44203</v>
      </c>
      <c r="B1382" s="2">
        <v>44378</v>
      </c>
      <c r="C1382" t="str">
        <f>TEXT(B1382,"mm")</f>
        <v>07</v>
      </c>
      <c r="D1382" t="s">
        <v>20</v>
      </c>
      <c r="E1382" t="s">
        <v>1636</v>
      </c>
      <c r="F1382" s="5">
        <v>51200000</v>
      </c>
      <c r="G1382" s="5">
        <v>54200000</v>
      </c>
      <c r="H1382" s="5">
        <f>M1382*26000*1.20565</f>
        <v>55668959.710000008</v>
      </c>
      <c r="I1382" s="5">
        <f>G1382-H1382</f>
        <v>-1468959.7100000083</v>
      </c>
      <c r="J1382" s="5">
        <v>3000000</v>
      </c>
      <c r="K1382" s="5">
        <v>5120000</v>
      </c>
      <c r="L1382" s="5">
        <v>5420000</v>
      </c>
      <c r="M1382" s="7">
        <v>1775.9</v>
      </c>
      <c r="N1382" s="5">
        <v>51700000</v>
      </c>
      <c r="O1382" s="5">
        <v>54700000</v>
      </c>
      <c r="P1382" s="3">
        <v>0.97916666666666663</v>
      </c>
    </row>
    <row r="1383" spans="1:16" x14ac:dyDescent="0.25">
      <c r="A1383" s="2">
        <v>44234</v>
      </c>
      <c r="B1383" s="2">
        <v>44379</v>
      </c>
      <c r="C1383" t="str">
        <f>TEXT(B1383,"mm")</f>
        <v>07</v>
      </c>
      <c r="D1383" t="s">
        <v>21</v>
      </c>
      <c r="E1383" t="s">
        <v>1636</v>
      </c>
      <c r="F1383" s="5">
        <v>51400000</v>
      </c>
      <c r="G1383" s="5">
        <v>54400000</v>
      </c>
      <c r="H1383" s="5">
        <f>M1383*26000*1.20565</f>
        <v>55878983.940000005</v>
      </c>
      <c r="I1383" s="5">
        <f>G1383-H1383</f>
        <v>-1478983.9400000051</v>
      </c>
      <c r="J1383" s="5">
        <v>3000000</v>
      </c>
      <c r="K1383" s="5">
        <v>5140000</v>
      </c>
      <c r="L1383" s="5">
        <v>5440000</v>
      </c>
      <c r="M1383" s="7">
        <v>1782.6</v>
      </c>
      <c r="N1383" s="5">
        <v>51900000</v>
      </c>
      <c r="O1383" s="5">
        <v>54900000</v>
      </c>
      <c r="P1383" s="3">
        <v>0.97916666666666663</v>
      </c>
    </row>
    <row r="1384" spans="1:16" x14ac:dyDescent="0.25">
      <c r="A1384" s="2">
        <v>44354</v>
      </c>
      <c r="B1384" s="2">
        <v>44383</v>
      </c>
      <c r="C1384" t="str">
        <f>TEXT(B1384,"mm")</f>
        <v>07</v>
      </c>
      <c r="D1384" t="s">
        <v>18</v>
      </c>
      <c r="E1384" t="s">
        <v>1636</v>
      </c>
      <c r="F1384" s="5">
        <v>51700000</v>
      </c>
      <c r="G1384" s="5">
        <v>54700000</v>
      </c>
      <c r="H1384" s="5">
        <f>M1384*26000*1.20565</f>
        <v>56220665.150000006</v>
      </c>
      <c r="I1384" s="5">
        <f>G1384-H1384</f>
        <v>-1520665.150000006</v>
      </c>
      <c r="J1384" s="5">
        <v>3000000</v>
      </c>
      <c r="K1384" s="5">
        <v>5170000</v>
      </c>
      <c r="L1384" s="5">
        <v>5470000</v>
      </c>
      <c r="M1384" s="7">
        <v>1793.5</v>
      </c>
      <c r="N1384" s="5">
        <v>52200000</v>
      </c>
      <c r="O1384" s="5">
        <v>55200000</v>
      </c>
      <c r="P1384" s="3">
        <v>0.97916666666666663</v>
      </c>
    </row>
    <row r="1385" spans="1:16" x14ac:dyDescent="0.25">
      <c r="A1385" s="2">
        <v>44384</v>
      </c>
      <c r="B1385" s="2">
        <v>44384</v>
      </c>
      <c r="C1385" t="str">
        <f>TEXT(B1385,"mm")</f>
        <v>07</v>
      </c>
      <c r="D1385" t="s">
        <v>19</v>
      </c>
      <c r="E1385" t="s">
        <v>1636</v>
      </c>
      <c r="F1385" s="5">
        <v>52000000</v>
      </c>
      <c r="G1385" s="5">
        <v>55000000</v>
      </c>
      <c r="H1385" s="5">
        <f>M1385*26000*1.20565</f>
        <v>56471440.350000001</v>
      </c>
      <c r="I1385" s="5">
        <f>G1385-H1385</f>
        <v>-1471440.3500000015</v>
      </c>
      <c r="J1385" s="5">
        <v>3000000</v>
      </c>
      <c r="K1385" s="5">
        <v>5200000</v>
      </c>
      <c r="L1385" s="5">
        <v>5500000</v>
      </c>
      <c r="M1385" s="7">
        <v>1801.5</v>
      </c>
      <c r="N1385" s="5">
        <v>52500000</v>
      </c>
      <c r="O1385" s="5">
        <v>55500000</v>
      </c>
      <c r="P1385" s="3">
        <v>0.97916666666666663</v>
      </c>
    </row>
    <row r="1386" spans="1:16" x14ac:dyDescent="0.25">
      <c r="A1386" s="2">
        <v>44415</v>
      </c>
      <c r="B1386" s="2">
        <v>44385</v>
      </c>
      <c r="C1386" t="str">
        <f>TEXT(B1386,"mm")</f>
        <v>07</v>
      </c>
      <c r="D1386" t="s">
        <v>20</v>
      </c>
      <c r="E1386" t="s">
        <v>1636</v>
      </c>
      <c r="F1386" s="5">
        <v>51900000</v>
      </c>
      <c r="G1386" s="5">
        <v>54900000</v>
      </c>
      <c r="H1386" s="5">
        <f>M1386*26000*1.20565</f>
        <v>56411881.240000002</v>
      </c>
      <c r="I1386" s="5">
        <f>G1386-H1386</f>
        <v>-1511881.2400000021</v>
      </c>
      <c r="J1386" s="5">
        <v>3000000</v>
      </c>
      <c r="K1386" s="5">
        <v>5190000</v>
      </c>
      <c r="L1386" s="5">
        <v>5490000</v>
      </c>
      <c r="M1386" s="7">
        <v>1799.6</v>
      </c>
      <c r="N1386" s="5">
        <v>52400000</v>
      </c>
      <c r="O1386" s="5">
        <v>55400000</v>
      </c>
      <c r="P1386" s="3">
        <v>0.97916666666666663</v>
      </c>
    </row>
    <row r="1387" spans="1:16" x14ac:dyDescent="0.25">
      <c r="A1387" s="2">
        <v>44446</v>
      </c>
      <c r="B1387" s="2">
        <v>44386</v>
      </c>
      <c r="C1387" t="str">
        <f>TEXT(B1387,"mm")</f>
        <v>07</v>
      </c>
      <c r="D1387" t="s">
        <v>21</v>
      </c>
      <c r="E1387" t="s">
        <v>1636</v>
      </c>
      <c r="F1387" s="5">
        <v>52200000</v>
      </c>
      <c r="G1387" s="5">
        <v>55200000</v>
      </c>
      <c r="H1387" s="5">
        <f>M1387*26000*1.20565</f>
        <v>56737889.000000007</v>
      </c>
      <c r="I1387" s="5">
        <f>G1387-H1387</f>
        <v>-1537889.0000000075</v>
      </c>
      <c r="J1387" s="5">
        <v>3000000</v>
      </c>
      <c r="K1387" s="5">
        <v>5220000</v>
      </c>
      <c r="L1387" s="5">
        <v>5520000</v>
      </c>
      <c r="M1387" s="7">
        <v>1810</v>
      </c>
      <c r="N1387" s="5">
        <v>52700000</v>
      </c>
      <c r="O1387" s="5">
        <v>55700000</v>
      </c>
      <c r="P1387" s="3">
        <v>0.97916666666666663</v>
      </c>
    </row>
    <row r="1388" spans="1:16" x14ac:dyDescent="0.25">
      <c r="A1388" s="2">
        <v>44537</v>
      </c>
      <c r="B1388" s="2">
        <v>44389</v>
      </c>
      <c r="C1388" t="str">
        <f>TEXT(B1388,"mm")</f>
        <v>07</v>
      </c>
      <c r="D1388" t="s">
        <v>16</v>
      </c>
      <c r="E1388" t="s">
        <v>1636</v>
      </c>
      <c r="F1388" s="5">
        <v>52100000</v>
      </c>
      <c r="G1388" s="5">
        <v>55100000</v>
      </c>
      <c r="H1388" s="5">
        <f>M1388*26000*1.20565</f>
        <v>56596827.950000003</v>
      </c>
      <c r="I1388" s="5">
        <f>G1388-H1388</f>
        <v>-1496827.950000003</v>
      </c>
      <c r="J1388" s="5">
        <v>3000000</v>
      </c>
      <c r="K1388" s="5">
        <v>5210000</v>
      </c>
      <c r="L1388" s="5">
        <v>5510000</v>
      </c>
      <c r="M1388" s="7">
        <v>1805.5</v>
      </c>
      <c r="N1388" s="5">
        <v>52600000</v>
      </c>
      <c r="O1388" s="5">
        <v>55600000</v>
      </c>
      <c r="P1388" s="3">
        <v>0.97916666666666663</v>
      </c>
    </row>
    <row r="1389" spans="1:16" x14ac:dyDescent="0.25">
      <c r="A1389" t="s">
        <v>857</v>
      </c>
      <c r="B1389" s="2">
        <v>44390</v>
      </c>
      <c r="C1389" t="str">
        <f>TEXT(B1389,"mm")</f>
        <v>07</v>
      </c>
      <c r="D1389" t="s">
        <v>18</v>
      </c>
      <c r="E1389" t="s">
        <v>1636</v>
      </c>
      <c r="F1389" s="5">
        <v>52200000</v>
      </c>
      <c r="G1389" s="5">
        <v>55200000</v>
      </c>
      <c r="H1389" s="5">
        <f>M1389*26000*1.20565</f>
        <v>56719080.860000007</v>
      </c>
      <c r="I1389" s="5">
        <f>G1389-H1389</f>
        <v>-1519080.8600000069</v>
      </c>
      <c r="J1389" s="5">
        <v>3000000</v>
      </c>
      <c r="K1389" s="5">
        <v>5220000</v>
      </c>
      <c r="L1389" s="5">
        <v>5520000</v>
      </c>
      <c r="M1389" s="7">
        <v>1809.4</v>
      </c>
      <c r="N1389" s="5">
        <v>52700000</v>
      </c>
      <c r="O1389" s="5">
        <v>55700000</v>
      </c>
      <c r="P1389" s="3">
        <v>0.97916666666666663</v>
      </c>
    </row>
    <row r="1390" spans="1:16" x14ac:dyDescent="0.25">
      <c r="A1390" t="s">
        <v>858</v>
      </c>
      <c r="B1390" s="2">
        <v>44391</v>
      </c>
      <c r="C1390" t="str">
        <f>TEXT(B1390,"mm")</f>
        <v>07</v>
      </c>
      <c r="D1390" t="s">
        <v>19</v>
      </c>
      <c r="E1390" t="s">
        <v>1636</v>
      </c>
      <c r="F1390" s="5">
        <v>52600000</v>
      </c>
      <c r="G1390" s="5">
        <v>55600000</v>
      </c>
      <c r="H1390" s="5">
        <f>M1390*26000*1.20565</f>
        <v>57186149.670000002</v>
      </c>
      <c r="I1390" s="5">
        <f>G1390-H1390</f>
        <v>-1586149.6700000018</v>
      </c>
      <c r="J1390" s="5">
        <v>3000000</v>
      </c>
      <c r="K1390" s="5">
        <v>5260000</v>
      </c>
      <c r="L1390" s="5">
        <v>5560000</v>
      </c>
      <c r="M1390" s="7">
        <v>1824.3</v>
      </c>
      <c r="N1390" s="5">
        <v>53100000</v>
      </c>
      <c r="O1390" s="5">
        <v>56100000</v>
      </c>
      <c r="P1390" s="3">
        <v>0.97916666666666663</v>
      </c>
    </row>
    <row r="1391" spans="1:16" x14ac:dyDescent="0.25">
      <c r="A1391" t="s">
        <v>859</v>
      </c>
      <c r="B1391" s="2">
        <v>44392</v>
      </c>
      <c r="C1391" t="str">
        <f>TEXT(B1391,"mm")</f>
        <v>07</v>
      </c>
      <c r="D1391" t="s">
        <v>20</v>
      </c>
      <c r="E1391" t="s">
        <v>1636</v>
      </c>
      <c r="F1391" s="5">
        <v>52800000</v>
      </c>
      <c r="G1391" s="5">
        <v>55800000</v>
      </c>
      <c r="H1391" s="5">
        <f>M1391*26000*1.20565</f>
        <v>57314671.960000008</v>
      </c>
      <c r="I1391" s="5">
        <f>G1391-H1391</f>
        <v>-1514671.9600000083</v>
      </c>
      <c r="J1391" s="5">
        <v>3000000</v>
      </c>
      <c r="K1391" s="5">
        <v>5280000</v>
      </c>
      <c r="L1391" s="5">
        <v>5580000</v>
      </c>
      <c r="M1391" s="7">
        <v>1828.4</v>
      </c>
      <c r="N1391" s="5">
        <v>53300000</v>
      </c>
      <c r="O1391" s="5">
        <v>56300000</v>
      </c>
      <c r="P1391" s="3">
        <v>0.97916666666666663</v>
      </c>
    </row>
    <row r="1392" spans="1:16" x14ac:dyDescent="0.25">
      <c r="A1392" t="s">
        <v>860</v>
      </c>
      <c r="B1392" s="2">
        <v>44393</v>
      </c>
      <c r="C1392" t="str">
        <f>TEXT(B1392,"mm")</f>
        <v>07</v>
      </c>
      <c r="D1392" t="s">
        <v>21</v>
      </c>
      <c r="E1392" t="s">
        <v>1636</v>
      </c>
      <c r="F1392" s="5">
        <v>52300000</v>
      </c>
      <c r="G1392" s="5">
        <v>55300000</v>
      </c>
      <c r="H1392" s="5">
        <f>M1392*26000*1.20565</f>
        <v>56878950.050000004</v>
      </c>
      <c r="I1392" s="5">
        <f>G1392-H1392</f>
        <v>-1578950.0500000045</v>
      </c>
      <c r="J1392" s="5">
        <v>3000000</v>
      </c>
      <c r="K1392" s="5">
        <v>5230000</v>
      </c>
      <c r="L1392" s="5">
        <v>5530000</v>
      </c>
      <c r="M1392" s="7">
        <v>1814.5</v>
      </c>
      <c r="N1392" s="5">
        <v>52800000</v>
      </c>
      <c r="O1392" s="5">
        <v>55800000</v>
      </c>
      <c r="P1392" s="3">
        <v>0.97916666666666663</v>
      </c>
    </row>
    <row r="1393" spans="1:16" x14ac:dyDescent="0.25">
      <c r="A1393" t="s">
        <v>861</v>
      </c>
      <c r="B1393" s="2">
        <v>44396</v>
      </c>
      <c r="C1393" t="str">
        <f>TEXT(B1393,"mm")</f>
        <v>07</v>
      </c>
      <c r="D1393" t="s">
        <v>16</v>
      </c>
      <c r="E1393" t="s">
        <v>1636</v>
      </c>
      <c r="F1393" s="5">
        <v>52200000</v>
      </c>
      <c r="G1393" s="5">
        <v>55200000</v>
      </c>
      <c r="H1393" s="5">
        <f>M1393*26000*1.20565</f>
        <v>56697138.030000009</v>
      </c>
      <c r="I1393" s="5">
        <f>G1393-H1393</f>
        <v>-1497138.0300000086</v>
      </c>
      <c r="J1393" s="5">
        <v>3000000</v>
      </c>
      <c r="K1393" s="5">
        <v>5220000</v>
      </c>
      <c r="L1393" s="5">
        <v>5520000</v>
      </c>
      <c r="M1393" s="7">
        <v>1808.7</v>
      </c>
      <c r="N1393" s="5">
        <v>52700000</v>
      </c>
      <c r="O1393" s="5">
        <v>55700000</v>
      </c>
      <c r="P1393" s="3">
        <v>0.97916666666666663</v>
      </c>
    </row>
    <row r="1394" spans="1:16" x14ac:dyDescent="0.25">
      <c r="A1394" t="s">
        <v>862</v>
      </c>
      <c r="B1394" s="2">
        <v>44397</v>
      </c>
      <c r="C1394" t="str">
        <f>TEXT(B1394,"mm")</f>
        <v>07</v>
      </c>
      <c r="D1394" t="s">
        <v>18</v>
      </c>
      <c r="E1394" t="s">
        <v>1636</v>
      </c>
      <c r="F1394" s="5">
        <v>52200000</v>
      </c>
      <c r="G1394" s="5">
        <v>55200000</v>
      </c>
      <c r="H1394" s="5">
        <f>M1394*26000*1.20565</f>
        <v>56766101.210000008</v>
      </c>
      <c r="I1394" s="5">
        <f>G1394-H1394</f>
        <v>-1566101.2100000083</v>
      </c>
      <c r="J1394" s="5">
        <v>3000000</v>
      </c>
      <c r="K1394" s="5">
        <v>5220000</v>
      </c>
      <c r="L1394" s="5">
        <v>5520000</v>
      </c>
      <c r="M1394" s="7">
        <v>1810.9</v>
      </c>
      <c r="N1394" s="5">
        <v>52700000</v>
      </c>
      <c r="O1394" s="5">
        <v>55700000</v>
      </c>
      <c r="P1394" s="3">
        <v>0.97916666666666663</v>
      </c>
    </row>
    <row r="1395" spans="1:16" x14ac:dyDescent="0.25">
      <c r="A1395" t="s">
        <v>863</v>
      </c>
      <c r="B1395" s="2">
        <v>44398</v>
      </c>
      <c r="C1395" t="str">
        <f>TEXT(B1395,"mm")</f>
        <v>07</v>
      </c>
      <c r="D1395" t="s">
        <v>19</v>
      </c>
      <c r="E1395" t="s">
        <v>1636</v>
      </c>
      <c r="F1395" s="5">
        <v>52000000</v>
      </c>
      <c r="G1395" s="5">
        <v>55000000</v>
      </c>
      <c r="H1395" s="5">
        <f>M1395*26000*1.20565</f>
        <v>56515326.010000005</v>
      </c>
      <c r="I1395" s="5">
        <f>G1395-H1395</f>
        <v>-1515326.0100000054</v>
      </c>
      <c r="J1395" s="5">
        <v>3000000</v>
      </c>
      <c r="K1395" s="5">
        <v>5200000</v>
      </c>
      <c r="L1395" s="5">
        <v>5500000</v>
      </c>
      <c r="M1395" s="7">
        <v>1802.9</v>
      </c>
      <c r="N1395" s="5">
        <v>52500000</v>
      </c>
      <c r="O1395" s="5">
        <v>55500000</v>
      </c>
      <c r="P1395" s="3">
        <v>0.97916666666666663</v>
      </c>
    </row>
    <row r="1396" spans="1:16" x14ac:dyDescent="0.25">
      <c r="A1396" t="s">
        <v>864</v>
      </c>
      <c r="B1396" s="2">
        <v>44399</v>
      </c>
      <c r="C1396" t="str">
        <f>TEXT(B1396,"mm")</f>
        <v>07</v>
      </c>
      <c r="D1396" t="s">
        <v>20</v>
      </c>
      <c r="E1396" t="s">
        <v>1636</v>
      </c>
      <c r="F1396" s="5">
        <v>52100000</v>
      </c>
      <c r="G1396" s="5">
        <v>55100000</v>
      </c>
      <c r="H1396" s="5">
        <f>M1396*26000*1.20565</f>
        <v>56581154.500000007</v>
      </c>
      <c r="I1396" s="5">
        <f>G1396-H1396</f>
        <v>-1481154.5000000075</v>
      </c>
      <c r="J1396" s="5">
        <v>3000000</v>
      </c>
      <c r="K1396" s="5">
        <v>5210000</v>
      </c>
      <c r="L1396" s="5">
        <v>5510000</v>
      </c>
      <c r="M1396" s="7">
        <v>1805</v>
      </c>
      <c r="N1396" s="5">
        <v>52600000</v>
      </c>
      <c r="O1396" s="5">
        <v>55600000</v>
      </c>
      <c r="P1396" s="3">
        <v>0.97916666666666663</v>
      </c>
    </row>
    <row r="1397" spans="1:16" x14ac:dyDescent="0.25">
      <c r="A1397" t="s">
        <v>865</v>
      </c>
      <c r="B1397" s="2">
        <v>44400</v>
      </c>
      <c r="C1397" t="str">
        <f>TEXT(B1397,"mm")</f>
        <v>07</v>
      </c>
      <c r="D1397" t="s">
        <v>21</v>
      </c>
      <c r="E1397" t="s">
        <v>1636</v>
      </c>
      <c r="F1397" s="5">
        <v>51900000</v>
      </c>
      <c r="G1397" s="5">
        <v>54900000</v>
      </c>
      <c r="H1397" s="5">
        <f>M1397*26000*1.20565</f>
        <v>56468305.660000004</v>
      </c>
      <c r="I1397" s="5">
        <f>G1397-H1397</f>
        <v>-1568305.6600000039</v>
      </c>
      <c r="J1397" s="5">
        <v>3000000</v>
      </c>
      <c r="K1397" s="5">
        <v>5190000</v>
      </c>
      <c r="L1397" s="5">
        <v>5490000</v>
      </c>
      <c r="M1397" s="7">
        <v>1801.4</v>
      </c>
      <c r="N1397" s="5">
        <v>52400000</v>
      </c>
      <c r="O1397" s="5">
        <v>55400000</v>
      </c>
      <c r="P1397" s="3">
        <v>0.97916666666666663</v>
      </c>
    </row>
    <row r="1398" spans="1:16" x14ac:dyDescent="0.25">
      <c r="A1398" t="s">
        <v>866</v>
      </c>
      <c r="B1398" s="2">
        <v>44403</v>
      </c>
      <c r="C1398" t="str">
        <f>TEXT(B1398,"mm")</f>
        <v>07</v>
      </c>
      <c r="D1398" t="s">
        <v>16</v>
      </c>
      <c r="E1398" t="s">
        <v>1636</v>
      </c>
      <c r="F1398" s="5">
        <v>51900000</v>
      </c>
      <c r="G1398" s="5">
        <v>54900000</v>
      </c>
      <c r="H1398" s="5">
        <f>M1398*26000*1.20565</f>
        <v>56383669.030000009</v>
      </c>
      <c r="I1398" s="5">
        <f>G1398-H1398</f>
        <v>-1483669.0300000086</v>
      </c>
      <c r="J1398" s="5">
        <v>3000000</v>
      </c>
      <c r="K1398" s="5">
        <v>5190000</v>
      </c>
      <c r="L1398" s="5">
        <v>5490000</v>
      </c>
      <c r="M1398" s="7">
        <v>1798.7</v>
      </c>
      <c r="N1398" s="5">
        <v>52400000</v>
      </c>
      <c r="O1398" s="5">
        <v>55400000</v>
      </c>
      <c r="P1398" s="3">
        <v>0.97916666666666663</v>
      </c>
    </row>
    <row r="1399" spans="1:16" x14ac:dyDescent="0.25">
      <c r="A1399" t="s">
        <v>867</v>
      </c>
      <c r="B1399" s="2">
        <v>44404</v>
      </c>
      <c r="C1399" t="str">
        <f>TEXT(B1399,"mm")</f>
        <v>07</v>
      </c>
      <c r="D1399" t="s">
        <v>18</v>
      </c>
      <c r="E1399" t="s">
        <v>1636</v>
      </c>
      <c r="F1399" s="5">
        <v>51900000</v>
      </c>
      <c r="G1399" s="5">
        <v>54900000</v>
      </c>
      <c r="H1399" s="5">
        <f>M1399*26000*1.20565</f>
        <v>56408746.550000004</v>
      </c>
      <c r="I1399" s="5">
        <f>G1399-H1399</f>
        <v>-1508746.5500000045</v>
      </c>
      <c r="J1399" s="5">
        <v>3000000</v>
      </c>
      <c r="K1399" s="5">
        <v>5190000</v>
      </c>
      <c r="L1399" s="5">
        <v>5490000</v>
      </c>
      <c r="M1399" s="7">
        <v>1799.5</v>
      </c>
      <c r="N1399" s="5">
        <v>52400000</v>
      </c>
      <c r="O1399" s="5">
        <v>55400000</v>
      </c>
      <c r="P1399" s="3">
        <v>0.97916666666666663</v>
      </c>
    </row>
    <row r="1400" spans="1:16" x14ac:dyDescent="0.25">
      <c r="A1400" t="s">
        <v>868</v>
      </c>
      <c r="B1400" s="2">
        <v>44405</v>
      </c>
      <c r="C1400" t="str">
        <f>TEXT(B1400,"mm")</f>
        <v>07</v>
      </c>
      <c r="D1400" t="s">
        <v>19</v>
      </c>
      <c r="E1400" t="s">
        <v>1636</v>
      </c>
      <c r="F1400" s="5">
        <v>51900000</v>
      </c>
      <c r="G1400" s="5">
        <v>54900000</v>
      </c>
      <c r="H1400" s="5">
        <f>M1400*26000*1.20565</f>
        <v>56408746.550000004</v>
      </c>
      <c r="I1400" s="5">
        <f>G1400-H1400</f>
        <v>-1508746.5500000045</v>
      </c>
      <c r="J1400" s="5">
        <v>3000000</v>
      </c>
      <c r="K1400" s="5">
        <v>5190000</v>
      </c>
      <c r="L1400" s="5">
        <v>5490000</v>
      </c>
      <c r="M1400" s="7">
        <v>1799.5</v>
      </c>
      <c r="N1400" s="5">
        <v>52400000</v>
      </c>
      <c r="O1400" s="5">
        <v>55400000</v>
      </c>
      <c r="P1400" s="3">
        <v>0.97916666666666663</v>
      </c>
    </row>
    <row r="1401" spans="1:16" x14ac:dyDescent="0.25">
      <c r="A1401" t="s">
        <v>869</v>
      </c>
      <c r="B1401" s="2">
        <v>44406</v>
      </c>
      <c r="C1401" t="str">
        <f>TEXT(B1401,"mm")</f>
        <v>07</v>
      </c>
      <c r="D1401" t="s">
        <v>20</v>
      </c>
      <c r="E1401" t="s">
        <v>1636</v>
      </c>
      <c r="F1401" s="5">
        <v>52900000</v>
      </c>
      <c r="G1401" s="5">
        <v>55900000</v>
      </c>
      <c r="H1401" s="5">
        <f>M1401*26000*1.20565</f>
        <v>57402443.280000009</v>
      </c>
      <c r="I1401" s="5">
        <f>G1401-H1401</f>
        <v>-1502443.2800000086</v>
      </c>
      <c r="J1401" s="5">
        <v>3000000</v>
      </c>
      <c r="K1401" s="5">
        <v>5290000</v>
      </c>
      <c r="L1401" s="5">
        <v>5590000</v>
      </c>
      <c r="M1401" s="7">
        <v>1831.2</v>
      </c>
      <c r="N1401" s="5">
        <v>53400000</v>
      </c>
      <c r="O1401" s="5">
        <v>56400000</v>
      </c>
      <c r="P1401" s="3">
        <v>0.97916666666666663</v>
      </c>
    </row>
    <row r="1402" spans="1:16" x14ac:dyDescent="0.25">
      <c r="A1402" t="s">
        <v>870</v>
      </c>
      <c r="B1402" s="2">
        <v>44407</v>
      </c>
      <c r="C1402" t="str">
        <f>TEXT(B1402,"mm")</f>
        <v>07</v>
      </c>
      <c r="D1402" t="s">
        <v>21</v>
      </c>
      <c r="E1402" t="s">
        <v>1636</v>
      </c>
      <c r="F1402" s="5">
        <v>52300000</v>
      </c>
      <c r="G1402" s="5">
        <v>55300000</v>
      </c>
      <c r="H1402" s="5">
        <f>M1402*26000*1.20565</f>
        <v>56819390.940000005</v>
      </c>
      <c r="I1402" s="5">
        <f>G1402-H1402</f>
        <v>-1519390.9400000051</v>
      </c>
      <c r="J1402" s="5">
        <v>3000000</v>
      </c>
      <c r="K1402" s="5">
        <v>5230000</v>
      </c>
      <c r="L1402" s="5">
        <v>5530000</v>
      </c>
      <c r="M1402" s="7">
        <v>1812.6</v>
      </c>
      <c r="N1402" s="5">
        <v>52800000</v>
      </c>
      <c r="O1402" s="5">
        <v>55800000</v>
      </c>
      <c r="P1402" s="3">
        <v>0.97916666666666663</v>
      </c>
    </row>
    <row r="1403" spans="1:16" x14ac:dyDescent="0.25">
      <c r="A1403" s="2">
        <v>44235</v>
      </c>
      <c r="B1403" s="2">
        <v>44410</v>
      </c>
      <c r="C1403" t="str">
        <f>TEXT(B1403,"mm")</f>
        <v>08</v>
      </c>
      <c r="D1403" t="s">
        <v>16</v>
      </c>
      <c r="E1403" t="s">
        <v>1636</v>
      </c>
      <c r="F1403" s="5">
        <v>52500000</v>
      </c>
      <c r="G1403" s="5">
        <v>55500000</v>
      </c>
      <c r="H1403" s="5">
        <f>M1403*26000*1.20565</f>
        <v>56991798.890000008</v>
      </c>
      <c r="I1403" s="5">
        <f>G1403-H1403</f>
        <v>-1491798.890000008</v>
      </c>
      <c r="J1403" s="5">
        <v>3000000</v>
      </c>
      <c r="K1403" s="5">
        <v>5250000</v>
      </c>
      <c r="L1403" s="5">
        <v>5550000</v>
      </c>
      <c r="M1403" s="7">
        <v>1818.1</v>
      </c>
      <c r="N1403" s="5">
        <v>53000000</v>
      </c>
      <c r="O1403" s="5">
        <v>56000000</v>
      </c>
      <c r="P1403" s="3">
        <v>0.97916666666666663</v>
      </c>
    </row>
    <row r="1404" spans="1:16" x14ac:dyDescent="0.25">
      <c r="A1404" s="2">
        <v>44263</v>
      </c>
      <c r="B1404" s="2">
        <v>44411</v>
      </c>
      <c r="C1404" t="str">
        <f>TEXT(B1404,"mm")</f>
        <v>08</v>
      </c>
      <c r="D1404" t="s">
        <v>18</v>
      </c>
      <c r="E1404" t="s">
        <v>1636</v>
      </c>
      <c r="F1404" s="5">
        <v>52200000</v>
      </c>
      <c r="G1404" s="5">
        <v>55200000</v>
      </c>
      <c r="H1404" s="5">
        <f>M1404*26000*1.20565</f>
        <v>56741023.690000005</v>
      </c>
      <c r="I1404" s="5">
        <f>G1404-H1404</f>
        <v>-1541023.6900000051</v>
      </c>
      <c r="J1404" s="5">
        <v>3000000</v>
      </c>
      <c r="K1404" s="5">
        <v>5220000</v>
      </c>
      <c r="L1404" s="5">
        <v>5520000</v>
      </c>
      <c r="M1404" s="7">
        <v>1810.1</v>
      </c>
      <c r="N1404" s="5">
        <v>52700000</v>
      </c>
      <c r="O1404" s="5">
        <v>55700000</v>
      </c>
      <c r="P1404" s="3">
        <v>0.97916666666666663</v>
      </c>
    </row>
    <row r="1405" spans="1:16" x14ac:dyDescent="0.25">
      <c r="A1405" s="2">
        <v>44294</v>
      </c>
      <c r="B1405" s="2">
        <v>44412</v>
      </c>
      <c r="C1405" t="str">
        <f>TEXT(B1405,"mm")</f>
        <v>08</v>
      </c>
      <c r="D1405" t="s">
        <v>19</v>
      </c>
      <c r="E1405" t="s">
        <v>1636</v>
      </c>
      <c r="F1405" s="5">
        <v>52200000</v>
      </c>
      <c r="G1405" s="5">
        <v>55200000</v>
      </c>
      <c r="H1405" s="5">
        <f>M1405*26000*1.20565</f>
        <v>56753562.450000003</v>
      </c>
      <c r="I1405" s="5">
        <f>G1405-H1405</f>
        <v>-1553562.450000003</v>
      </c>
      <c r="J1405" s="5">
        <v>3000000</v>
      </c>
      <c r="K1405" s="5">
        <v>5220000</v>
      </c>
      <c r="L1405" s="5">
        <v>5520000</v>
      </c>
      <c r="M1405" s="7">
        <v>1810.5</v>
      </c>
      <c r="N1405" s="5">
        <v>52700000</v>
      </c>
      <c r="O1405" s="5">
        <v>55700000</v>
      </c>
      <c r="P1405" s="3">
        <v>0.97916666666666663</v>
      </c>
    </row>
    <row r="1406" spans="1:16" x14ac:dyDescent="0.25">
      <c r="A1406" s="2">
        <v>44324</v>
      </c>
      <c r="B1406" s="2">
        <v>44413</v>
      </c>
      <c r="C1406" t="str">
        <f>TEXT(B1406,"mm")</f>
        <v>08</v>
      </c>
      <c r="D1406" t="s">
        <v>20</v>
      </c>
      <c r="E1406" t="s">
        <v>1636</v>
      </c>
      <c r="F1406" s="5">
        <v>52100000</v>
      </c>
      <c r="G1406" s="5">
        <v>55100000</v>
      </c>
      <c r="H1406" s="5">
        <f>M1406*26000*1.20565</f>
        <v>56584289.190000005</v>
      </c>
      <c r="I1406" s="5">
        <f>G1406-H1406</f>
        <v>-1484289.1900000051</v>
      </c>
      <c r="J1406" s="5">
        <v>3000000</v>
      </c>
      <c r="K1406" s="5">
        <v>5210000</v>
      </c>
      <c r="L1406" s="5">
        <v>5510000</v>
      </c>
      <c r="M1406" s="7">
        <v>1805.1</v>
      </c>
      <c r="N1406" s="5">
        <v>52600000</v>
      </c>
      <c r="O1406" s="5">
        <v>55600000</v>
      </c>
      <c r="P1406" s="3">
        <v>0.97916666666666663</v>
      </c>
    </row>
    <row r="1407" spans="1:16" x14ac:dyDescent="0.25">
      <c r="A1407" s="2">
        <v>44355</v>
      </c>
      <c r="B1407" s="2">
        <v>44414</v>
      </c>
      <c r="C1407" t="str">
        <f>TEXT(B1407,"mm")</f>
        <v>08</v>
      </c>
      <c r="D1407" t="s">
        <v>21</v>
      </c>
      <c r="E1407" t="s">
        <v>1636</v>
      </c>
      <c r="F1407" s="5">
        <v>50700000</v>
      </c>
      <c r="G1407" s="5">
        <v>53700000</v>
      </c>
      <c r="H1407" s="5">
        <f>M1407*26000*1.20565</f>
        <v>55170544.000000007</v>
      </c>
      <c r="I1407" s="5">
        <f>G1407-H1407</f>
        <v>-1470544.0000000075</v>
      </c>
      <c r="J1407" s="5">
        <v>3000000</v>
      </c>
      <c r="K1407" s="5">
        <v>5070000</v>
      </c>
      <c r="L1407" s="5">
        <v>5370000</v>
      </c>
      <c r="M1407" s="7">
        <v>1760</v>
      </c>
      <c r="N1407" s="5">
        <v>51200000</v>
      </c>
      <c r="O1407" s="5">
        <v>54200000</v>
      </c>
      <c r="P1407" s="3">
        <v>0.97916666666666663</v>
      </c>
    </row>
    <row r="1408" spans="1:16" x14ac:dyDescent="0.25">
      <c r="A1408" s="2">
        <v>44447</v>
      </c>
      <c r="B1408" s="2">
        <v>44417</v>
      </c>
      <c r="C1408" t="str">
        <f>TEXT(B1408,"mm")</f>
        <v>08</v>
      </c>
      <c r="D1408" t="s">
        <v>16</v>
      </c>
      <c r="E1408" t="s">
        <v>1636</v>
      </c>
      <c r="F1408" s="5">
        <v>49600000</v>
      </c>
      <c r="G1408" s="5">
        <v>52600000</v>
      </c>
      <c r="H1408" s="5">
        <f>M1408*26000*1.20565</f>
        <v>54023247.460000008</v>
      </c>
      <c r="I1408" s="5">
        <f>G1408-H1408</f>
        <v>-1423247.4600000083</v>
      </c>
      <c r="J1408" s="5">
        <v>3000000</v>
      </c>
      <c r="K1408" s="5">
        <v>4960000</v>
      </c>
      <c r="L1408" s="5">
        <v>5260000</v>
      </c>
      <c r="M1408" s="7">
        <v>1723.4</v>
      </c>
      <c r="N1408" s="5">
        <v>50100000</v>
      </c>
      <c r="O1408" s="5">
        <v>53100000</v>
      </c>
      <c r="P1408" s="3">
        <v>0.97916666666666663</v>
      </c>
    </row>
    <row r="1409" spans="1:16" x14ac:dyDescent="0.25">
      <c r="A1409" s="2">
        <v>44477</v>
      </c>
      <c r="B1409" s="2">
        <v>44418</v>
      </c>
      <c r="C1409" t="str">
        <f>TEXT(B1409,"mm")</f>
        <v>08</v>
      </c>
      <c r="D1409" t="s">
        <v>18</v>
      </c>
      <c r="E1409" t="s">
        <v>1636</v>
      </c>
      <c r="F1409" s="5">
        <v>49700000</v>
      </c>
      <c r="G1409" s="5">
        <v>52700000</v>
      </c>
      <c r="H1409" s="5">
        <f>M1409*26000*1.20565</f>
        <v>54192520.720000006</v>
      </c>
      <c r="I1409" s="5">
        <f>G1409-H1409</f>
        <v>-1492520.7200000063</v>
      </c>
      <c r="J1409" s="5">
        <v>3000000</v>
      </c>
      <c r="K1409" s="5">
        <v>4970000</v>
      </c>
      <c r="L1409" s="5">
        <v>5270000</v>
      </c>
      <c r="M1409" s="7">
        <v>1728.8</v>
      </c>
      <c r="N1409" s="5">
        <v>50200000</v>
      </c>
      <c r="O1409" s="5">
        <v>53200000</v>
      </c>
      <c r="P1409" s="3">
        <v>0.97916666666666663</v>
      </c>
    </row>
    <row r="1410" spans="1:16" x14ac:dyDescent="0.25">
      <c r="A1410" s="2">
        <v>44508</v>
      </c>
      <c r="B1410" s="2">
        <v>44419</v>
      </c>
      <c r="C1410" t="str">
        <f>TEXT(B1410,"mm")</f>
        <v>08</v>
      </c>
      <c r="D1410" t="s">
        <v>19</v>
      </c>
      <c r="E1410" t="s">
        <v>1636</v>
      </c>
      <c r="F1410" s="5">
        <v>50400000</v>
      </c>
      <c r="G1410" s="5">
        <v>53400000</v>
      </c>
      <c r="H1410" s="5">
        <f>M1410*26000*1.20565</f>
        <v>54869613.760000005</v>
      </c>
      <c r="I1410" s="5">
        <f>G1410-H1410</f>
        <v>-1469613.7600000054</v>
      </c>
      <c r="J1410" s="5">
        <v>3000000</v>
      </c>
      <c r="K1410" s="5">
        <v>5040000</v>
      </c>
      <c r="L1410" s="5">
        <v>5340000</v>
      </c>
      <c r="M1410" s="7">
        <v>1750.4</v>
      </c>
      <c r="N1410" s="5">
        <v>50900000</v>
      </c>
      <c r="O1410" s="5">
        <v>53900000</v>
      </c>
      <c r="P1410" s="3">
        <v>0.97916666666666663</v>
      </c>
    </row>
    <row r="1411" spans="1:16" x14ac:dyDescent="0.25">
      <c r="A1411" s="2">
        <v>44538</v>
      </c>
      <c r="B1411" s="2">
        <v>44420</v>
      </c>
      <c r="C1411" t="str">
        <f>TEXT(B1411,"mm")</f>
        <v>08</v>
      </c>
      <c r="D1411" t="s">
        <v>20</v>
      </c>
      <c r="E1411" t="s">
        <v>1636</v>
      </c>
      <c r="F1411" s="5">
        <v>50300000</v>
      </c>
      <c r="G1411" s="5">
        <v>53300000</v>
      </c>
      <c r="H1411" s="5">
        <f>M1411*26000*1.20565</f>
        <v>54825728.100000001</v>
      </c>
      <c r="I1411" s="5">
        <f>G1411-H1411</f>
        <v>-1525728.1000000015</v>
      </c>
      <c r="J1411" s="5">
        <v>3000000</v>
      </c>
      <c r="K1411" s="5">
        <v>5030000</v>
      </c>
      <c r="L1411" s="5">
        <v>5330000</v>
      </c>
      <c r="M1411" s="7">
        <v>1749</v>
      </c>
      <c r="N1411" s="5">
        <v>50800000</v>
      </c>
      <c r="O1411" s="5">
        <v>53800000</v>
      </c>
      <c r="P1411" s="3">
        <v>0.97916666666666663</v>
      </c>
    </row>
    <row r="1412" spans="1:16" x14ac:dyDescent="0.25">
      <c r="A1412" t="s">
        <v>871</v>
      </c>
      <c r="B1412" s="2">
        <v>44421</v>
      </c>
      <c r="C1412" t="str">
        <f>TEXT(B1412,"mm")</f>
        <v>08</v>
      </c>
      <c r="D1412" t="s">
        <v>21</v>
      </c>
      <c r="E1412" t="s">
        <v>1636</v>
      </c>
      <c r="F1412" s="5">
        <v>51100000</v>
      </c>
      <c r="G1412" s="5">
        <v>54100000</v>
      </c>
      <c r="H1412" s="5">
        <f>M1412*26000*1.20565</f>
        <v>55647016.880000003</v>
      </c>
      <c r="I1412" s="5">
        <f>G1412-H1412</f>
        <v>-1547016.8800000027</v>
      </c>
      <c r="J1412" s="5">
        <v>3000000</v>
      </c>
      <c r="K1412" s="5">
        <v>5110000</v>
      </c>
      <c r="L1412" s="5">
        <v>5410000</v>
      </c>
      <c r="M1412" s="7">
        <v>1775.2</v>
      </c>
      <c r="N1412" s="5">
        <v>51600000</v>
      </c>
      <c r="O1412" s="5">
        <v>54600000</v>
      </c>
      <c r="P1412" s="3">
        <v>0.97916666666666663</v>
      </c>
    </row>
    <row r="1413" spans="1:16" x14ac:dyDescent="0.25">
      <c r="A1413" t="s">
        <v>872</v>
      </c>
      <c r="B1413" s="2">
        <v>44424</v>
      </c>
      <c r="C1413" t="str">
        <f>TEXT(B1413,"mm")</f>
        <v>08</v>
      </c>
      <c r="D1413" t="s">
        <v>16</v>
      </c>
      <c r="E1413" t="s">
        <v>1636</v>
      </c>
      <c r="F1413" s="5">
        <v>51500000</v>
      </c>
      <c r="G1413" s="5">
        <v>54500000</v>
      </c>
      <c r="H1413" s="5">
        <f>M1413*26000*1.20565</f>
        <v>56013775.610000007</v>
      </c>
      <c r="I1413" s="5">
        <f>G1413-H1413</f>
        <v>-1513775.6100000069</v>
      </c>
      <c r="J1413" s="5">
        <v>3000000</v>
      </c>
      <c r="K1413" s="5">
        <v>5150000</v>
      </c>
      <c r="L1413" s="5">
        <v>5450000</v>
      </c>
      <c r="M1413" s="7">
        <v>1786.9</v>
      </c>
      <c r="N1413" s="5">
        <v>52000000</v>
      </c>
      <c r="O1413" s="5">
        <v>55000000</v>
      </c>
      <c r="P1413" s="3">
        <v>0.97916666666666663</v>
      </c>
    </row>
    <row r="1414" spans="1:16" x14ac:dyDescent="0.25">
      <c r="A1414" t="s">
        <v>873</v>
      </c>
      <c r="B1414" s="2">
        <v>44425</v>
      </c>
      <c r="C1414" t="str">
        <f>TEXT(B1414,"mm")</f>
        <v>08</v>
      </c>
      <c r="D1414" t="s">
        <v>18</v>
      </c>
      <c r="E1414" t="s">
        <v>1636</v>
      </c>
      <c r="F1414" s="5">
        <v>51400000</v>
      </c>
      <c r="G1414" s="5">
        <v>54400000</v>
      </c>
      <c r="H1414" s="5">
        <f>M1414*26000*1.20565</f>
        <v>55954216.500000007</v>
      </c>
      <c r="I1414" s="5">
        <f>G1414-H1414</f>
        <v>-1554216.5000000075</v>
      </c>
      <c r="J1414" s="5">
        <v>3000000</v>
      </c>
      <c r="K1414" s="5">
        <v>5140000</v>
      </c>
      <c r="L1414" s="5">
        <v>5440000</v>
      </c>
      <c r="M1414" s="7">
        <v>1785</v>
      </c>
      <c r="N1414" s="5">
        <v>51900000</v>
      </c>
      <c r="O1414" s="5">
        <v>54900000</v>
      </c>
      <c r="P1414" s="3">
        <v>0.97916666666666663</v>
      </c>
    </row>
    <row r="1415" spans="1:16" x14ac:dyDescent="0.25">
      <c r="A1415" t="s">
        <v>874</v>
      </c>
      <c r="B1415" s="2">
        <v>44426</v>
      </c>
      <c r="C1415" t="str">
        <f>TEXT(B1415,"mm")</f>
        <v>08</v>
      </c>
      <c r="D1415" t="s">
        <v>19</v>
      </c>
      <c r="E1415" t="s">
        <v>1636</v>
      </c>
      <c r="F1415" s="5">
        <v>51300000</v>
      </c>
      <c r="G1415" s="5">
        <v>54300000</v>
      </c>
      <c r="H1415" s="5">
        <f>M1415*26000*1.20565</f>
        <v>55847637.040000007</v>
      </c>
      <c r="I1415" s="5">
        <f>G1415-H1415</f>
        <v>-1547637.0400000066</v>
      </c>
      <c r="J1415" s="5">
        <v>3000000</v>
      </c>
      <c r="K1415" s="5">
        <v>5130000</v>
      </c>
      <c r="L1415" s="5">
        <v>5430000</v>
      </c>
      <c r="M1415" s="7">
        <v>1781.6</v>
      </c>
      <c r="N1415" s="5">
        <v>51800000</v>
      </c>
      <c r="O1415" s="5">
        <v>54800000</v>
      </c>
      <c r="P1415" s="3">
        <v>0.97916666666666663</v>
      </c>
    </row>
    <row r="1416" spans="1:16" x14ac:dyDescent="0.25">
      <c r="A1416" t="s">
        <v>875</v>
      </c>
      <c r="B1416" s="2">
        <v>44427</v>
      </c>
      <c r="C1416" t="str">
        <f>TEXT(B1416,"mm")</f>
        <v>08</v>
      </c>
      <c r="D1416" t="s">
        <v>20</v>
      </c>
      <c r="E1416" t="s">
        <v>1636</v>
      </c>
      <c r="F1416" s="5">
        <v>51300000</v>
      </c>
      <c r="G1416" s="5">
        <v>54300000</v>
      </c>
      <c r="H1416" s="5">
        <f>M1416*26000*1.20565</f>
        <v>55803751.380000003</v>
      </c>
      <c r="I1416" s="5">
        <f>G1416-H1416</f>
        <v>-1503751.3800000027</v>
      </c>
      <c r="J1416" s="5">
        <v>3000000</v>
      </c>
      <c r="K1416" s="5">
        <v>5130000</v>
      </c>
      <c r="L1416" s="5">
        <v>5430000</v>
      </c>
      <c r="M1416" s="7">
        <v>1780.2</v>
      </c>
      <c r="N1416" s="5">
        <v>51800000</v>
      </c>
      <c r="O1416" s="5">
        <v>54800000</v>
      </c>
      <c r="P1416" s="3">
        <v>0.97916666666666663</v>
      </c>
    </row>
    <row r="1417" spans="1:16" x14ac:dyDescent="0.25">
      <c r="A1417" t="s">
        <v>876</v>
      </c>
      <c r="B1417" s="2">
        <v>44428</v>
      </c>
      <c r="C1417" t="str">
        <f>TEXT(B1417,"mm")</f>
        <v>08</v>
      </c>
      <c r="D1417" t="s">
        <v>21</v>
      </c>
      <c r="E1417" t="s">
        <v>1636</v>
      </c>
      <c r="F1417" s="5">
        <v>51300000</v>
      </c>
      <c r="G1417" s="5">
        <v>54300000</v>
      </c>
      <c r="H1417" s="5">
        <f>M1417*26000*1.20565</f>
        <v>55828828.900000006</v>
      </c>
      <c r="I1417" s="5">
        <f>G1417-H1417</f>
        <v>-1528828.900000006</v>
      </c>
      <c r="J1417" s="5">
        <v>3000000</v>
      </c>
      <c r="K1417" s="5">
        <v>5130000</v>
      </c>
      <c r="L1417" s="5">
        <v>5430000</v>
      </c>
      <c r="M1417" s="7">
        <v>1781</v>
      </c>
      <c r="N1417" s="5">
        <v>51800000</v>
      </c>
      <c r="O1417" s="5">
        <v>54800000</v>
      </c>
      <c r="P1417" s="3">
        <v>0.97916666666666663</v>
      </c>
    </row>
    <row r="1418" spans="1:16" x14ac:dyDescent="0.25">
      <c r="A1418" t="s">
        <v>877</v>
      </c>
      <c r="B1418" s="2">
        <v>44431</v>
      </c>
      <c r="C1418" t="str">
        <f>TEXT(B1418,"mm")</f>
        <v>08</v>
      </c>
      <c r="D1418" t="s">
        <v>16</v>
      </c>
      <c r="E1418" t="s">
        <v>1636</v>
      </c>
      <c r="F1418" s="5">
        <v>52000000</v>
      </c>
      <c r="G1418" s="5">
        <v>55000000</v>
      </c>
      <c r="H1418" s="5">
        <f>M1418*26000*1.20565</f>
        <v>56524730.080000006</v>
      </c>
      <c r="I1418" s="5">
        <f>G1418-H1418</f>
        <v>-1524730.0800000057</v>
      </c>
      <c r="J1418" s="5">
        <v>3000000</v>
      </c>
      <c r="K1418" s="5">
        <v>5200000</v>
      </c>
      <c r="L1418" s="5">
        <v>5500000</v>
      </c>
      <c r="M1418" s="7">
        <v>1803.2</v>
      </c>
      <c r="N1418" s="5">
        <v>52500000</v>
      </c>
      <c r="O1418" s="5">
        <v>55500000</v>
      </c>
      <c r="P1418" s="3">
        <v>0.97916666666666663</v>
      </c>
    </row>
    <row r="1419" spans="1:16" x14ac:dyDescent="0.25">
      <c r="A1419" t="s">
        <v>878</v>
      </c>
      <c r="B1419" s="2">
        <v>44432</v>
      </c>
      <c r="C1419" t="str">
        <f>TEXT(B1419,"mm")</f>
        <v>08</v>
      </c>
      <c r="D1419" t="s">
        <v>18</v>
      </c>
      <c r="E1419" t="s">
        <v>1636</v>
      </c>
      <c r="F1419" s="5">
        <v>52100000</v>
      </c>
      <c r="G1419" s="5">
        <v>55100000</v>
      </c>
      <c r="H1419" s="5">
        <f>M1419*26000*1.20565</f>
        <v>56599962.640000008</v>
      </c>
      <c r="I1419" s="5">
        <f>G1419-H1419</f>
        <v>-1499962.640000008</v>
      </c>
      <c r="J1419" s="5">
        <v>3000000</v>
      </c>
      <c r="K1419" s="5">
        <v>5210000</v>
      </c>
      <c r="L1419" s="5">
        <v>5510000</v>
      </c>
      <c r="M1419" s="7">
        <v>1805.6</v>
      </c>
      <c r="N1419" s="5">
        <v>52600000</v>
      </c>
      <c r="O1419" s="5">
        <v>55600000</v>
      </c>
      <c r="P1419" s="3">
        <v>0.97916666666666663</v>
      </c>
    </row>
    <row r="1420" spans="1:16" x14ac:dyDescent="0.25">
      <c r="A1420" t="s">
        <v>879</v>
      </c>
      <c r="B1420" s="2">
        <v>44433</v>
      </c>
      <c r="C1420" t="str">
        <f>TEXT(B1420,"mm")</f>
        <v>08</v>
      </c>
      <c r="D1420" t="s">
        <v>19</v>
      </c>
      <c r="E1420" t="s">
        <v>1636</v>
      </c>
      <c r="F1420" s="5">
        <v>51500000</v>
      </c>
      <c r="G1420" s="5">
        <v>54500000</v>
      </c>
      <c r="H1420" s="5">
        <f>M1420*26000*1.20565</f>
        <v>56054526.580000006</v>
      </c>
      <c r="I1420" s="5">
        <f>G1420-H1420</f>
        <v>-1554526.5800000057</v>
      </c>
      <c r="J1420" s="5">
        <v>3000000</v>
      </c>
      <c r="K1420" s="5">
        <v>5150000</v>
      </c>
      <c r="L1420" s="5">
        <v>5450000</v>
      </c>
      <c r="M1420" s="7">
        <v>1788.2</v>
      </c>
      <c r="N1420" s="5">
        <v>52000000</v>
      </c>
      <c r="O1420" s="5">
        <v>55000000</v>
      </c>
      <c r="P1420" s="3">
        <v>0.97916666666666663</v>
      </c>
    </row>
    <row r="1421" spans="1:16" x14ac:dyDescent="0.25">
      <c r="A1421" t="s">
        <v>880</v>
      </c>
      <c r="B1421" s="2">
        <v>44434</v>
      </c>
      <c r="C1421" t="str">
        <f>TEXT(B1421,"mm")</f>
        <v>08</v>
      </c>
      <c r="D1421" t="s">
        <v>20</v>
      </c>
      <c r="E1421" t="s">
        <v>1636</v>
      </c>
      <c r="F1421" s="5">
        <v>51700000</v>
      </c>
      <c r="G1421" s="5">
        <v>54700000</v>
      </c>
      <c r="H1421" s="5">
        <f>M1421*26000*1.20565</f>
        <v>56179914.180000007</v>
      </c>
      <c r="I1421" s="5">
        <f>G1421-H1421</f>
        <v>-1479914.1800000072</v>
      </c>
      <c r="J1421" s="5">
        <v>3000000</v>
      </c>
      <c r="K1421" s="5">
        <v>5170000</v>
      </c>
      <c r="L1421" s="5">
        <v>5470000</v>
      </c>
      <c r="M1421" s="7">
        <v>1792.2</v>
      </c>
      <c r="N1421" s="5">
        <v>52200000</v>
      </c>
      <c r="O1421" s="5">
        <v>55200000</v>
      </c>
      <c r="P1421" s="3">
        <v>0.97916666666666663</v>
      </c>
    </row>
    <row r="1422" spans="1:16" x14ac:dyDescent="0.25">
      <c r="A1422" t="s">
        <v>881</v>
      </c>
      <c r="B1422" s="2">
        <v>44435</v>
      </c>
      <c r="C1422" t="str">
        <f>TEXT(B1422,"mm")</f>
        <v>08</v>
      </c>
      <c r="D1422" t="s">
        <v>21</v>
      </c>
      <c r="E1422" t="s">
        <v>1636</v>
      </c>
      <c r="F1422" s="5">
        <v>52400000</v>
      </c>
      <c r="G1422" s="5">
        <v>55400000</v>
      </c>
      <c r="H1422" s="5">
        <f>M1422*26000*1.20565</f>
        <v>56944778.540000007</v>
      </c>
      <c r="I1422" s="5">
        <f>G1422-H1422</f>
        <v>-1544778.5400000066</v>
      </c>
      <c r="J1422" s="5">
        <v>3000000</v>
      </c>
      <c r="K1422" s="5">
        <v>5240000</v>
      </c>
      <c r="L1422" s="5">
        <v>5540000</v>
      </c>
      <c r="M1422" s="7">
        <v>1816.6</v>
      </c>
      <c r="N1422" s="5">
        <v>52900000</v>
      </c>
      <c r="O1422" s="5">
        <v>55900000</v>
      </c>
      <c r="P1422" s="3">
        <v>0.97916666666666663</v>
      </c>
    </row>
    <row r="1423" spans="1:16" x14ac:dyDescent="0.25">
      <c r="A1423" t="s">
        <v>882</v>
      </c>
      <c r="B1423" s="2">
        <v>44438</v>
      </c>
      <c r="C1423" t="str">
        <f>TEXT(B1423,"mm")</f>
        <v>08</v>
      </c>
      <c r="D1423" t="s">
        <v>16</v>
      </c>
      <c r="E1423" t="s">
        <v>1636</v>
      </c>
      <c r="F1423" s="5">
        <v>52200000</v>
      </c>
      <c r="G1423" s="5">
        <v>55200000</v>
      </c>
      <c r="H1423" s="5">
        <f>M1423*26000*1.20565</f>
        <v>56706542.100000001</v>
      </c>
      <c r="I1423" s="5">
        <f>G1423-H1423</f>
        <v>-1506542.1000000015</v>
      </c>
      <c r="J1423" s="5">
        <v>3000000</v>
      </c>
      <c r="K1423" s="5">
        <v>5220000</v>
      </c>
      <c r="L1423" s="5">
        <v>5520000</v>
      </c>
      <c r="M1423" s="7">
        <v>1809</v>
      </c>
      <c r="N1423" s="5">
        <v>52700000</v>
      </c>
      <c r="O1423" s="5">
        <v>55700000</v>
      </c>
      <c r="P1423" s="3">
        <v>0.97916666666666663</v>
      </c>
    </row>
    <row r="1424" spans="1:16" x14ac:dyDescent="0.25">
      <c r="A1424" t="s">
        <v>883</v>
      </c>
      <c r="B1424" s="2">
        <v>44439</v>
      </c>
      <c r="C1424" t="str">
        <f>TEXT(B1424,"mm")</f>
        <v>08</v>
      </c>
      <c r="D1424" t="s">
        <v>18</v>
      </c>
      <c r="E1424" t="s">
        <v>1636</v>
      </c>
      <c r="F1424" s="5">
        <v>52400000</v>
      </c>
      <c r="G1424" s="5">
        <v>55400000</v>
      </c>
      <c r="H1424" s="5">
        <f>M1424*26000*1.20565</f>
        <v>56894623.500000007</v>
      </c>
      <c r="I1424" s="5">
        <f>G1424-H1424</f>
        <v>-1494623.5000000075</v>
      </c>
      <c r="J1424" s="5">
        <v>3000000</v>
      </c>
      <c r="K1424" s="5">
        <v>5240000</v>
      </c>
      <c r="L1424" s="5">
        <v>5540000</v>
      </c>
      <c r="M1424" s="7">
        <v>1815</v>
      </c>
      <c r="N1424" s="5">
        <v>52900000</v>
      </c>
      <c r="O1424" s="5">
        <v>55900000</v>
      </c>
      <c r="P1424" s="3">
        <v>0.97916666666666663</v>
      </c>
    </row>
    <row r="1425" spans="1:16" x14ac:dyDescent="0.25">
      <c r="A1425" s="2">
        <v>44205</v>
      </c>
      <c r="B1425" s="2">
        <v>44440</v>
      </c>
      <c r="C1425" t="str">
        <f>TEXT(B1425,"mm")</f>
        <v>09</v>
      </c>
      <c r="D1425" t="s">
        <v>19</v>
      </c>
      <c r="E1425" t="s">
        <v>1636</v>
      </c>
      <c r="F1425" s="5">
        <v>52300000</v>
      </c>
      <c r="G1425" s="5">
        <v>55300000</v>
      </c>
      <c r="H1425" s="5">
        <f>M1425*26000*1.20565</f>
        <v>56835064.390000008</v>
      </c>
      <c r="I1425" s="5">
        <f>G1425-H1425</f>
        <v>-1535064.390000008</v>
      </c>
      <c r="J1425" s="5">
        <v>3000000</v>
      </c>
      <c r="K1425" s="5">
        <v>5230000</v>
      </c>
      <c r="L1425" s="5">
        <v>5530000</v>
      </c>
      <c r="M1425" s="7">
        <v>1813.1</v>
      </c>
      <c r="N1425" s="5">
        <v>52800000</v>
      </c>
      <c r="O1425" s="5">
        <v>55800000</v>
      </c>
      <c r="P1425" s="3">
        <v>0.97916666666666663</v>
      </c>
    </row>
    <row r="1426" spans="1:16" x14ac:dyDescent="0.25">
      <c r="A1426" s="2">
        <v>44236</v>
      </c>
      <c r="B1426" s="2">
        <v>44441</v>
      </c>
      <c r="C1426" t="str">
        <f>TEXT(B1426,"mm")</f>
        <v>09</v>
      </c>
      <c r="D1426" t="s">
        <v>20</v>
      </c>
      <c r="E1426" t="s">
        <v>1636</v>
      </c>
      <c r="F1426" s="5">
        <v>52200000</v>
      </c>
      <c r="G1426" s="5">
        <v>55200000</v>
      </c>
      <c r="H1426" s="5">
        <f>M1426*26000*1.20565</f>
        <v>56697138.030000009</v>
      </c>
      <c r="I1426" s="5">
        <f>G1426-H1426</f>
        <v>-1497138.0300000086</v>
      </c>
      <c r="J1426" s="5">
        <v>3000000</v>
      </c>
      <c r="K1426" s="5">
        <v>5220000</v>
      </c>
      <c r="L1426" s="5">
        <v>5520000</v>
      </c>
      <c r="M1426" s="7">
        <v>1808.7</v>
      </c>
      <c r="N1426" s="5">
        <v>52700000</v>
      </c>
      <c r="O1426" s="5">
        <v>55700000</v>
      </c>
      <c r="P1426" s="3">
        <v>0.97916666666666663</v>
      </c>
    </row>
    <row r="1427" spans="1:16" x14ac:dyDescent="0.25">
      <c r="A1427" s="2">
        <v>44264</v>
      </c>
      <c r="B1427" s="2">
        <v>44442</v>
      </c>
      <c r="C1427" t="str">
        <f>TEXT(B1427,"mm")</f>
        <v>09</v>
      </c>
      <c r="D1427" t="s">
        <v>21</v>
      </c>
      <c r="E1427" t="s">
        <v>1636</v>
      </c>
      <c r="F1427" s="5">
        <v>52800000</v>
      </c>
      <c r="G1427" s="5">
        <v>55800000</v>
      </c>
      <c r="H1427" s="5">
        <f>M1427*26000*1.20565</f>
        <v>57393039.210000008</v>
      </c>
      <c r="I1427" s="5">
        <f>G1427-H1427</f>
        <v>-1593039.2100000083</v>
      </c>
      <c r="J1427" s="5">
        <v>3000000</v>
      </c>
      <c r="K1427" s="5">
        <v>5280000</v>
      </c>
      <c r="L1427" s="5">
        <v>5580000</v>
      </c>
      <c r="M1427" s="7">
        <v>1830.9</v>
      </c>
      <c r="N1427" s="5">
        <v>53300000</v>
      </c>
      <c r="O1427" s="5">
        <v>56300000</v>
      </c>
      <c r="P1427" s="3">
        <v>0.97916666666666663</v>
      </c>
    </row>
    <row r="1428" spans="1:16" x14ac:dyDescent="0.25">
      <c r="A1428" s="2">
        <v>44386</v>
      </c>
      <c r="B1428" s="2">
        <v>44446</v>
      </c>
      <c r="C1428" t="str">
        <f>TEXT(B1428,"mm")</f>
        <v>09</v>
      </c>
      <c r="D1428" t="s">
        <v>18</v>
      </c>
      <c r="E1428" t="s">
        <v>1636</v>
      </c>
      <c r="F1428" s="5">
        <v>51800000</v>
      </c>
      <c r="G1428" s="5">
        <v>54800000</v>
      </c>
      <c r="H1428" s="5">
        <f>M1428*26000*1.20565</f>
        <v>56295897.710000008</v>
      </c>
      <c r="I1428" s="5">
        <f>G1428-H1428</f>
        <v>-1495897.7100000083</v>
      </c>
      <c r="J1428" s="5">
        <v>3000000</v>
      </c>
      <c r="K1428" s="5">
        <v>5180000</v>
      </c>
      <c r="L1428" s="5">
        <v>5480000</v>
      </c>
      <c r="M1428" s="7">
        <v>1795.9</v>
      </c>
      <c r="N1428" s="5">
        <v>52300000</v>
      </c>
      <c r="O1428" s="5">
        <v>55300000</v>
      </c>
      <c r="P1428" s="3">
        <v>0.97916666666666663</v>
      </c>
    </row>
    <row r="1429" spans="1:16" x14ac:dyDescent="0.25">
      <c r="A1429" s="2">
        <v>44417</v>
      </c>
      <c r="B1429" s="2">
        <v>44447</v>
      </c>
      <c r="C1429" t="str">
        <f>TEXT(B1429,"mm")</f>
        <v>09</v>
      </c>
      <c r="D1429" t="s">
        <v>19</v>
      </c>
      <c r="E1429" t="s">
        <v>1636</v>
      </c>
      <c r="F1429" s="5">
        <v>51600000</v>
      </c>
      <c r="G1429" s="5">
        <v>54600000</v>
      </c>
      <c r="H1429" s="5">
        <f>M1429*26000*1.20565</f>
        <v>56132893.830000006</v>
      </c>
      <c r="I1429" s="5">
        <f>G1429-H1429</f>
        <v>-1532893.8300000057</v>
      </c>
      <c r="J1429" s="5">
        <v>3000000</v>
      </c>
      <c r="K1429" s="5">
        <v>5160000</v>
      </c>
      <c r="L1429" s="5">
        <v>5460000</v>
      </c>
      <c r="M1429" s="7">
        <v>1790.7</v>
      </c>
      <c r="N1429" s="5">
        <v>52100000</v>
      </c>
      <c r="O1429" s="5">
        <v>55100000</v>
      </c>
      <c r="P1429" s="3">
        <v>0.97916666666666663</v>
      </c>
    </row>
    <row r="1430" spans="1:16" x14ac:dyDescent="0.25">
      <c r="A1430" s="2">
        <v>44448</v>
      </c>
      <c r="B1430" s="2">
        <v>44448</v>
      </c>
      <c r="C1430" t="str">
        <f>TEXT(B1430,"mm")</f>
        <v>09</v>
      </c>
      <c r="D1430" t="s">
        <v>20</v>
      </c>
      <c r="E1430" t="s">
        <v>1636</v>
      </c>
      <c r="F1430" s="5">
        <v>51800000</v>
      </c>
      <c r="G1430" s="5">
        <v>54800000</v>
      </c>
      <c r="H1430" s="5">
        <f>M1430*26000*1.20565</f>
        <v>56342918.060000002</v>
      </c>
      <c r="I1430" s="5">
        <f>G1430-H1430</f>
        <v>-1542918.0600000024</v>
      </c>
      <c r="J1430" s="5">
        <v>3000000</v>
      </c>
      <c r="K1430" s="5">
        <v>5180000</v>
      </c>
      <c r="L1430" s="5">
        <v>5480000</v>
      </c>
      <c r="M1430" s="7">
        <v>1797.4</v>
      </c>
      <c r="N1430" s="5">
        <v>52300000</v>
      </c>
      <c r="O1430" s="5">
        <v>55300000</v>
      </c>
      <c r="P1430" s="3">
        <v>0.97916666666666663</v>
      </c>
    </row>
    <row r="1431" spans="1:16" x14ac:dyDescent="0.25">
      <c r="A1431" s="2">
        <v>44478</v>
      </c>
      <c r="B1431" s="2">
        <v>44449</v>
      </c>
      <c r="C1431" t="str">
        <f>TEXT(B1431,"mm")</f>
        <v>09</v>
      </c>
      <c r="D1431" t="s">
        <v>21</v>
      </c>
      <c r="E1431" t="s">
        <v>1636</v>
      </c>
      <c r="F1431" s="5">
        <v>51600000</v>
      </c>
      <c r="G1431" s="5">
        <v>54600000</v>
      </c>
      <c r="H1431" s="5">
        <f>M1431*26000*1.20565</f>
        <v>56098412.240000002</v>
      </c>
      <c r="I1431" s="5">
        <f>G1431-H1431</f>
        <v>-1498412.2400000021</v>
      </c>
      <c r="J1431" s="5">
        <v>3000000</v>
      </c>
      <c r="K1431" s="5">
        <v>5160000</v>
      </c>
      <c r="L1431" s="5">
        <v>5460000</v>
      </c>
      <c r="M1431" s="7">
        <v>1789.6</v>
      </c>
      <c r="N1431" s="5">
        <v>52100000</v>
      </c>
      <c r="O1431" s="5">
        <v>55100000</v>
      </c>
      <c r="P1431" s="3">
        <v>0.97916666666666663</v>
      </c>
    </row>
    <row r="1432" spans="1:16" x14ac:dyDescent="0.25">
      <c r="A1432" t="s">
        <v>884</v>
      </c>
      <c r="B1432" s="2">
        <v>44452</v>
      </c>
      <c r="C1432" t="str">
        <f>TEXT(B1432,"mm")</f>
        <v>09</v>
      </c>
      <c r="D1432" t="s">
        <v>16</v>
      </c>
      <c r="E1432" t="s">
        <v>1636</v>
      </c>
      <c r="F1432" s="5">
        <v>51700000</v>
      </c>
      <c r="G1432" s="5">
        <v>54700000</v>
      </c>
      <c r="H1432" s="5">
        <f>M1432*26000*1.20565</f>
        <v>56173644.800000004</v>
      </c>
      <c r="I1432" s="5">
        <f>G1432-H1432</f>
        <v>-1473644.8000000045</v>
      </c>
      <c r="J1432" s="5">
        <v>3000000</v>
      </c>
      <c r="K1432" s="5">
        <v>5170000</v>
      </c>
      <c r="L1432" s="5">
        <v>5470000</v>
      </c>
      <c r="M1432" s="7">
        <v>1792</v>
      </c>
      <c r="N1432" s="5">
        <v>52200000</v>
      </c>
      <c r="O1432" s="5">
        <v>55200000</v>
      </c>
      <c r="P1432" s="3">
        <v>0.97916666666666663</v>
      </c>
    </row>
    <row r="1433" spans="1:16" x14ac:dyDescent="0.25">
      <c r="A1433" t="s">
        <v>885</v>
      </c>
      <c r="B1433" s="2">
        <v>44453</v>
      </c>
      <c r="C1433" t="str">
        <f>TEXT(B1433,"mm")</f>
        <v>09</v>
      </c>
      <c r="D1433" t="s">
        <v>18</v>
      </c>
      <c r="E1433" t="s">
        <v>1636</v>
      </c>
      <c r="F1433" s="5">
        <v>52000000</v>
      </c>
      <c r="G1433" s="5">
        <v>55000000</v>
      </c>
      <c r="H1433" s="5">
        <f>M1433*26000*1.20565</f>
        <v>56571750.430000007</v>
      </c>
      <c r="I1433" s="5">
        <f>G1433-H1433</f>
        <v>-1571750.4300000072</v>
      </c>
      <c r="J1433" s="5">
        <v>3000000</v>
      </c>
      <c r="K1433" s="5">
        <v>5200000</v>
      </c>
      <c r="L1433" s="5">
        <v>5500000</v>
      </c>
      <c r="M1433" s="7">
        <v>1804.7</v>
      </c>
      <c r="N1433" s="5">
        <v>52500000</v>
      </c>
      <c r="O1433" s="5">
        <v>55500000</v>
      </c>
      <c r="P1433" s="3">
        <v>0.97916666666666663</v>
      </c>
    </row>
    <row r="1434" spans="1:16" x14ac:dyDescent="0.25">
      <c r="A1434" t="s">
        <v>886</v>
      </c>
      <c r="B1434" s="2">
        <v>44454</v>
      </c>
      <c r="C1434" t="str">
        <f>TEXT(B1434,"mm")</f>
        <v>09</v>
      </c>
      <c r="D1434" t="s">
        <v>19</v>
      </c>
      <c r="E1434" t="s">
        <v>1636</v>
      </c>
      <c r="F1434" s="5">
        <v>51700000</v>
      </c>
      <c r="G1434" s="5">
        <v>54700000</v>
      </c>
      <c r="H1434" s="5">
        <f>M1434*26000*1.20565</f>
        <v>56186183.560000002</v>
      </c>
      <c r="I1434" s="5">
        <f>G1434-H1434</f>
        <v>-1486183.5600000024</v>
      </c>
      <c r="J1434" s="5">
        <v>3000000</v>
      </c>
      <c r="K1434" s="5">
        <v>5170000</v>
      </c>
      <c r="L1434" s="5">
        <v>5470000</v>
      </c>
      <c r="M1434" s="7">
        <v>1792.4</v>
      </c>
      <c r="N1434" s="5">
        <v>52200000</v>
      </c>
      <c r="O1434" s="5">
        <v>55200000</v>
      </c>
      <c r="P1434" s="3">
        <v>0.97916666666666663</v>
      </c>
    </row>
    <row r="1435" spans="1:16" x14ac:dyDescent="0.25">
      <c r="A1435" t="s">
        <v>887</v>
      </c>
      <c r="B1435" s="2">
        <v>44455</v>
      </c>
      <c r="C1435" t="str">
        <f>TEXT(B1435,"mm")</f>
        <v>09</v>
      </c>
      <c r="D1435" t="s">
        <v>20</v>
      </c>
      <c r="E1435" t="s">
        <v>1636</v>
      </c>
      <c r="F1435" s="5">
        <v>50500000</v>
      </c>
      <c r="G1435" s="5">
        <v>53500000</v>
      </c>
      <c r="H1435" s="5">
        <f>M1435*26000*1.20565</f>
        <v>55001270.740000002</v>
      </c>
      <c r="I1435" s="5">
        <f>G1435-H1435</f>
        <v>-1501270.7400000021</v>
      </c>
      <c r="J1435" s="5">
        <v>3000000</v>
      </c>
      <c r="K1435" s="5">
        <v>5050000</v>
      </c>
      <c r="L1435" s="5">
        <v>5350000</v>
      </c>
      <c r="M1435" s="7">
        <v>1754.6</v>
      </c>
      <c r="N1435" s="5">
        <v>51000000</v>
      </c>
      <c r="O1435" s="5">
        <v>54000000</v>
      </c>
      <c r="P1435" s="3">
        <v>0.97916666666666663</v>
      </c>
    </row>
    <row r="1436" spans="1:16" x14ac:dyDescent="0.25">
      <c r="A1436" t="s">
        <v>888</v>
      </c>
      <c r="B1436" s="2">
        <v>44456</v>
      </c>
      <c r="C1436" t="str">
        <f>TEXT(B1436,"mm")</f>
        <v>09</v>
      </c>
      <c r="D1436" t="s">
        <v>21</v>
      </c>
      <c r="E1436" t="s">
        <v>1636</v>
      </c>
      <c r="F1436" s="5">
        <v>50400000</v>
      </c>
      <c r="G1436" s="5">
        <v>53400000</v>
      </c>
      <c r="H1436" s="5">
        <f>M1436*26000*1.20565</f>
        <v>54838266.860000007</v>
      </c>
      <c r="I1436" s="5">
        <f>G1436-H1436</f>
        <v>-1438266.8600000069</v>
      </c>
      <c r="J1436" s="5">
        <v>3000000</v>
      </c>
      <c r="K1436" s="5">
        <v>5040000</v>
      </c>
      <c r="L1436" s="5">
        <v>5340000</v>
      </c>
      <c r="M1436" s="7">
        <v>1749.4</v>
      </c>
      <c r="N1436" s="5">
        <v>50900000</v>
      </c>
      <c r="O1436" s="5">
        <v>53900000</v>
      </c>
      <c r="P1436" s="3">
        <v>0.97916666666666663</v>
      </c>
    </row>
    <row r="1437" spans="1:16" x14ac:dyDescent="0.25">
      <c r="A1437" t="s">
        <v>889</v>
      </c>
      <c r="B1437" s="2">
        <v>44459</v>
      </c>
      <c r="C1437" t="str">
        <f>TEXT(B1437,"mm")</f>
        <v>09</v>
      </c>
      <c r="D1437" t="s">
        <v>16</v>
      </c>
      <c r="E1437" t="s">
        <v>1636</v>
      </c>
      <c r="F1437" s="5">
        <v>50700000</v>
      </c>
      <c r="G1437" s="5">
        <v>53700000</v>
      </c>
      <c r="H1437" s="5">
        <f>M1437*26000*1.20565</f>
        <v>55226968.420000002</v>
      </c>
      <c r="I1437" s="5">
        <f>G1437-H1437</f>
        <v>-1526968.4200000018</v>
      </c>
      <c r="J1437" s="5">
        <v>3000000</v>
      </c>
      <c r="K1437" s="5">
        <v>5070000</v>
      </c>
      <c r="L1437" s="5">
        <v>5370000</v>
      </c>
      <c r="M1437" s="7">
        <v>1761.8</v>
      </c>
      <c r="N1437" s="5">
        <v>51200000</v>
      </c>
      <c r="O1437" s="5">
        <v>54200000</v>
      </c>
      <c r="P1437" s="3">
        <v>0.97916666666666663</v>
      </c>
    </row>
    <row r="1438" spans="1:16" x14ac:dyDescent="0.25">
      <c r="A1438" t="s">
        <v>890</v>
      </c>
      <c r="B1438" s="2">
        <v>44460</v>
      </c>
      <c r="C1438" t="str">
        <f>TEXT(B1438,"mm")</f>
        <v>09</v>
      </c>
      <c r="D1438" t="s">
        <v>18</v>
      </c>
      <c r="E1438" t="s">
        <v>1636</v>
      </c>
      <c r="F1438" s="5">
        <v>51200000</v>
      </c>
      <c r="G1438" s="5">
        <v>54200000</v>
      </c>
      <c r="H1438" s="5">
        <f>M1438*26000*1.20565</f>
        <v>55672094.400000006</v>
      </c>
      <c r="I1438" s="5">
        <f>G1438-H1438</f>
        <v>-1472094.400000006</v>
      </c>
      <c r="J1438" s="5">
        <v>3000000</v>
      </c>
      <c r="K1438" s="5">
        <v>5120000</v>
      </c>
      <c r="L1438" s="5">
        <v>5420000</v>
      </c>
      <c r="M1438" s="7">
        <v>1776</v>
      </c>
      <c r="N1438" s="5">
        <v>51700000</v>
      </c>
      <c r="O1438" s="5">
        <v>54700000</v>
      </c>
      <c r="P1438" s="3">
        <v>0.97916666666666663</v>
      </c>
    </row>
    <row r="1439" spans="1:16" x14ac:dyDescent="0.25">
      <c r="A1439" t="s">
        <v>891</v>
      </c>
      <c r="B1439" s="2">
        <v>44461</v>
      </c>
      <c r="C1439" t="str">
        <f>TEXT(B1439,"mm")</f>
        <v>09</v>
      </c>
      <c r="D1439" t="s">
        <v>19</v>
      </c>
      <c r="E1439" t="s">
        <v>1636</v>
      </c>
      <c r="F1439" s="5">
        <v>51200000</v>
      </c>
      <c r="G1439" s="5">
        <v>54200000</v>
      </c>
      <c r="H1439" s="5">
        <f>M1439*26000*1.20565</f>
        <v>55694037.230000004</v>
      </c>
      <c r="I1439" s="5">
        <f>G1439-H1439</f>
        <v>-1494037.2300000042</v>
      </c>
      <c r="J1439" s="5">
        <v>3000000</v>
      </c>
      <c r="K1439" s="5">
        <v>5120000</v>
      </c>
      <c r="L1439" s="5">
        <v>5420000</v>
      </c>
      <c r="M1439" s="7">
        <v>1776.7</v>
      </c>
      <c r="N1439" s="5">
        <v>51700000</v>
      </c>
      <c r="O1439" s="5">
        <v>54700000</v>
      </c>
      <c r="P1439" s="3">
        <v>0.97916666666666663</v>
      </c>
    </row>
    <row r="1440" spans="1:16" x14ac:dyDescent="0.25">
      <c r="A1440" t="s">
        <v>892</v>
      </c>
      <c r="B1440" s="2">
        <v>44462</v>
      </c>
      <c r="C1440" t="str">
        <f>TEXT(B1440,"mm")</f>
        <v>09</v>
      </c>
      <c r="D1440" t="s">
        <v>20</v>
      </c>
      <c r="E1440" t="s">
        <v>1636</v>
      </c>
      <c r="F1440" s="5">
        <v>50300000</v>
      </c>
      <c r="G1440" s="5">
        <v>53300000</v>
      </c>
      <c r="H1440" s="5">
        <f>M1440*26000*1.20565</f>
        <v>54784977.130000003</v>
      </c>
      <c r="I1440" s="5">
        <f>G1440-H1440</f>
        <v>-1484977.1300000027</v>
      </c>
      <c r="J1440" s="5">
        <v>3000000</v>
      </c>
      <c r="K1440" s="5">
        <v>5030000</v>
      </c>
      <c r="L1440" s="5">
        <v>5330000</v>
      </c>
      <c r="M1440" s="7">
        <v>1747.7</v>
      </c>
      <c r="N1440" s="5">
        <v>50800000</v>
      </c>
      <c r="O1440" s="5">
        <v>53800000</v>
      </c>
      <c r="P1440" s="3">
        <v>0.97916666666666663</v>
      </c>
    </row>
    <row r="1441" spans="1:16" x14ac:dyDescent="0.25">
      <c r="A1441" t="s">
        <v>893</v>
      </c>
      <c r="B1441" s="2">
        <v>44463</v>
      </c>
      <c r="C1441" t="str">
        <f>TEXT(B1441,"mm")</f>
        <v>09</v>
      </c>
      <c r="D1441" t="s">
        <v>21</v>
      </c>
      <c r="E1441" t="s">
        <v>1636</v>
      </c>
      <c r="F1441" s="5">
        <v>50400000</v>
      </c>
      <c r="G1441" s="5">
        <v>53400000</v>
      </c>
      <c r="H1441" s="5">
        <f>M1441*26000*1.20565</f>
        <v>54847670.930000007</v>
      </c>
      <c r="I1441" s="5">
        <f>G1441-H1441</f>
        <v>-1447670.9300000072</v>
      </c>
      <c r="J1441" s="5">
        <v>3000000</v>
      </c>
      <c r="K1441" s="5">
        <v>5040000</v>
      </c>
      <c r="L1441" s="5">
        <v>5340000</v>
      </c>
      <c r="M1441" s="7">
        <v>1749.7</v>
      </c>
      <c r="N1441" s="5">
        <v>50900000</v>
      </c>
      <c r="O1441" s="5">
        <v>53900000</v>
      </c>
      <c r="P1441" s="3">
        <v>0.97916666666666663</v>
      </c>
    </row>
    <row r="1442" spans="1:16" x14ac:dyDescent="0.25">
      <c r="A1442" t="s">
        <v>894</v>
      </c>
      <c r="B1442" s="2">
        <v>44466</v>
      </c>
      <c r="C1442" t="str">
        <f>TEXT(B1442,"mm")</f>
        <v>09</v>
      </c>
      <c r="D1442" t="s">
        <v>16</v>
      </c>
      <c r="E1442" t="s">
        <v>1636</v>
      </c>
      <c r="F1442" s="5">
        <v>50400000</v>
      </c>
      <c r="G1442" s="5">
        <v>53400000</v>
      </c>
      <c r="H1442" s="5">
        <f>M1442*26000*1.20565</f>
        <v>54857075.000000007</v>
      </c>
      <c r="I1442" s="5">
        <f>G1442-H1442</f>
        <v>-1457075.0000000075</v>
      </c>
      <c r="J1442" s="5">
        <v>3000000</v>
      </c>
      <c r="K1442" s="5">
        <v>5040000</v>
      </c>
      <c r="L1442" s="5">
        <v>5340000</v>
      </c>
      <c r="M1442" s="7">
        <v>1750</v>
      </c>
      <c r="N1442" s="5">
        <v>50900000</v>
      </c>
      <c r="O1442" s="5">
        <v>53900000</v>
      </c>
      <c r="P1442" s="3">
        <v>0.97916666666666663</v>
      </c>
    </row>
    <row r="1443" spans="1:16" x14ac:dyDescent="0.25">
      <c r="A1443" t="s">
        <v>895</v>
      </c>
      <c r="B1443" s="2">
        <v>44467</v>
      </c>
      <c r="C1443" t="str">
        <f>TEXT(B1443,"mm")</f>
        <v>09</v>
      </c>
      <c r="D1443" t="s">
        <v>18</v>
      </c>
      <c r="E1443" t="s">
        <v>1636</v>
      </c>
      <c r="F1443" s="5">
        <v>49900000</v>
      </c>
      <c r="G1443" s="5">
        <v>52900000</v>
      </c>
      <c r="H1443" s="5">
        <f>M1443*26000*1.20565</f>
        <v>54411949.020000003</v>
      </c>
      <c r="I1443" s="5">
        <f>G1443-H1443</f>
        <v>-1511949.0200000033</v>
      </c>
      <c r="J1443" s="5">
        <v>3000000</v>
      </c>
      <c r="K1443" s="5">
        <v>4990000</v>
      </c>
      <c r="L1443" s="5">
        <v>5290000</v>
      </c>
      <c r="M1443" s="7">
        <v>1735.8</v>
      </c>
      <c r="N1443" s="5">
        <v>50400000</v>
      </c>
      <c r="O1443" s="5">
        <v>53400000</v>
      </c>
      <c r="P1443" s="3">
        <v>0.97916666666666663</v>
      </c>
    </row>
    <row r="1444" spans="1:16" x14ac:dyDescent="0.25">
      <c r="A1444" t="s">
        <v>896</v>
      </c>
      <c r="B1444" s="2">
        <v>44468</v>
      </c>
      <c r="C1444" t="str">
        <f>TEXT(B1444,"mm")</f>
        <v>09</v>
      </c>
      <c r="D1444" t="s">
        <v>19</v>
      </c>
      <c r="E1444" t="s">
        <v>1636</v>
      </c>
      <c r="F1444" s="5">
        <v>49500000</v>
      </c>
      <c r="G1444" s="5">
        <v>52500000</v>
      </c>
      <c r="H1444" s="5">
        <f>M1444*26000*1.20565</f>
        <v>53963688.350000001</v>
      </c>
      <c r="I1444" s="5">
        <f>G1444-H1444</f>
        <v>-1463688.3500000015</v>
      </c>
      <c r="J1444" s="5">
        <v>3000000</v>
      </c>
      <c r="K1444" s="5">
        <v>4950000</v>
      </c>
      <c r="L1444" s="5">
        <v>5250000</v>
      </c>
      <c r="M1444" s="7">
        <v>1721.5</v>
      </c>
      <c r="N1444" s="5">
        <v>50000000</v>
      </c>
      <c r="O1444" s="5">
        <v>53000000</v>
      </c>
      <c r="P1444" s="3">
        <v>0.97916666666666663</v>
      </c>
    </row>
    <row r="1445" spans="1:16" x14ac:dyDescent="0.25">
      <c r="A1445" t="s">
        <v>897</v>
      </c>
      <c r="B1445" s="2">
        <v>44469</v>
      </c>
      <c r="C1445" t="str">
        <f>TEXT(B1445,"mm")</f>
        <v>09</v>
      </c>
      <c r="D1445" t="s">
        <v>20</v>
      </c>
      <c r="E1445" t="s">
        <v>1636</v>
      </c>
      <c r="F1445" s="5">
        <v>50500000</v>
      </c>
      <c r="G1445" s="5">
        <v>53500000</v>
      </c>
      <c r="H1445" s="5">
        <f>M1445*26000*1.20565</f>
        <v>55023213.570000008</v>
      </c>
      <c r="I1445" s="5">
        <f>G1445-H1445</f>
        <v>-1523213.5700000077</v>
      </c>
      <c r="J1445" s="5">
        <v>3000000</v>
      </c>
      <c r="K1445" s="5">
        <v>5050000</v>
      </c>
      <c r="L1445" s="5">
        <v>5350000</v>
      </c>
      <c r="M1445" s="7">
        <v>1755.3</v>
      </c>
      <c r="N1445" s="5">
        <v>51000000</v>
      </c>
      <c r="O1445" s="5">
        <v>54000000</v>
      </c>
      <c r="P1445" s="3">
        <v>0.97916666666666663</v>
      </c>
    </row>
    <row r="1446" spans="1:16" x14ac:dyDescent="0.25">
      <c r="A1446" s="2">
        <v>44206</v>
      </c>
      <c r="B1446" s="2">
        <v>44470</v>
      </c>
      <c r="C1446" t="str">
        <f>TEXT(B1446,"mm")</f>
        <v>10</v>
      </c>
      <c r="D1446" t="s">
        <v>21</v>
      </c>
      <c r="E1446" t="s">
        <v>1636</v>
      </c>
      <c r="F1446" s="5">
        <v>50600000</v>
      </c>
      <c r="G1446" s="5">
        <v>53600000</v>
      </c>
      <c r="H1446" s="5">
        <f>M1446*26000*1.20565</f>
        <v>55076503.300000004</v>
      </c>
      <c r="I1446" s="5">
        <f>G1446-H1446</f>
        <v>-1476503.3000000045</v>
      </c>
      <c r="J1446" s="5">
        <v>3000000</v>
      </c>
      <c r="K1446" s="5">
        <v>5060000</v>
      </c>
      <c r="L1446" s="5">
        <v>5360000</v>
      </c>
      <c r="M1446" s="7">
        <v>1757</v>
      </c>
      <c r="N1446" s="5">
        <v>51100000</v>
      </c>
      <c r="O1446" s="5">
        <v>54100000</v>
      </c>
      <c r="P1446" s="3">
        <v>0.97916666666666663</v>
      </c>
    </row>
    <row r="1447" spans="1:16" x14ac:dyDescent="0.25">
      <c r="A1447" s="2">
        <v>44296</v>
      </c>
      <c r="B1447" s="2">
        <v>44473</v>
      </c>
      <c r="C1447" t="str">
        <f>TEXT(B1447,"mm")</f>
        <v>10</v>
      </c>
      <c r="D1447" t="s">
        <v>16</v>
      </c>
      <c r="E1447" t="s">
        <v>1636</v>
      </c>
      <c r="F1447" s="5">
        <v>50900000</v>
      </c>
      <c r="G1447" s="5">
        <v>53900000</v>
      </c>
      <c r="H1447" s="5">
        <f>M1447*26000*1.20565</f>
        <v>55364894.780000009</v>
      </c>
      <c r="I1447" s="5">
        <f>G1447-H1447</f>
        <v>-1464894.7800000086</v>
      </c>
      <c r="J1447" s="5">
        <v>3000000</v>
      </c>
      <c r="K1447" s="5">
        <v>5090000</v>
      </c>
      <c r="L1447" s="5">
        <v>5390000</v>
      </c>
      <c r="M1447" s="7">
        <v>1766.2</v>
      </c>
      <c r="N1447" s="5">
        <v>51400000</v>
      </c>
      <c r="O1447" s="5">
        <v>54400000</v>
      </c>
      <c r="P1447" s="3">
        <v>0.97916666666666663</v>
      </c>
    </row>
    <row r="1448" spans="1:16" x14ac:dyDescent="0.25">
      <c r="A1448" s="2">
        <v>44326</v>
      </c>
      <c r="B1448" s="2">
        <v>44474</v>
      </c>
      <c r="C1448" t="str">
        <f>TEXT(B1448,"mm")</f>
        <v>10</v>
      </c>
      <c r="D1448" t="s">
        <v>18</v>
      </c>
      <c r="E1448" t="s">
        <v>1636</v>
      </c>
      <c r="F1448" s="5">
        <v>50700000</v>
      </c>
      <c r="G1448" s="5">
        <v>53700000</v>
      </c>
      <c r="H1448" s="5">
        <f>M1448*26000*1.20565</f>
        <v>55158005.240000002</v>
      </c>
      <c r="I1448" s="5">
        <f>G1448-H1448</f>
        <v>-1458005.2400000021</v>
      </c>
      <c r="J1448" s="5">
        <v>3000000</v>
      </c>
      <c r="K1448" s="5">
        <v>5070000</v>
      </c>
      <c r="L1448" s="5">
        <v>5370000</v>
      </c>
      <c r="M1448" s="7">
        <v>1759.6</v>
      </c>
      <c r="N1448" s="5">
        <v>51200000</v>
      </c>
      <c r="O1448" s="5">
        <v>54200000</v>
      </c>
      <c r="P1448" s="3">
        <v>0.97916666666666663</v>
      </c>
    </row>
    <row r="1449" spans="1:16" x14ac:dyDescent="0.25">
      <c r="A1449" s="2">
        <v>44357</v>
      </c>
      <c r="B1449" s="2">
        <v>44475</v>
      </c>
      <c r="C1449" t="str">
        <f>TEXT(B1449,"mm")</f>
        <v>10</v>
      </c>
      <c r="D1449" t="s">
        <v>19</v>
      </c>
      <c r="E1449" t="s">
        <v>1636</v>
      </c>
      <c r="F1449" s="5">
        <v>50700000</v>
      </c>
      <c r="G1449" s="5">
        <v>53700000</v>
      </c>
      <c r="H1449" s="5">
        <f>M1449*26000*1.20565</f>
        <v>55186217.450000003</v>
      </c>
      <c r="I1449" s="5">
        <f>G1449-H1449</f>
        <v>-1486217.450000003</v>
      </c>
      <c r="J1449" s="5">
        <v>3000000</v>
      </c>
      <c r="K1449" s="5">
        <v>5070000</v>
      </c>
      <c r="L1449" s="5">
        <v>5370000</v>
      </c>
      <c r="M1449" s="7">
        <v>1760.5</v>
      </c>
      <c r="N1449" s="5">
        <v>51200000</v>
      </c>
      <c r="O1449" s="5">
        <v>54200000</v>
      </c>
      <c r="P1449" s="3">
        <v>0.97916666666666663</v>
      </c>
    </row>
    <row r="1450" spans="1:16" x14ac:dyDescent="0.25">
      <c r="A1450" s="2">
        <v>44387</v>
      </c>
      <c r="B1450" s="2">
        <v>44476</v>
      </c>
      <c r="C1450" t="str">
        <f>TEXT(B1450,"mm")</f>
        <v>10</v>
      </c>
      <c r="D1450" t="s">
        <v>20</v>
      </c>
      <c r="E1450" t="s">
        <v>1636</v>
      </c>
      <c r="F1450" s="5">
        <v>50600000</v>
      </c>
      <c r="G1450" s="5">
        <v>53600000</v>
      </c>
      <c r="H1450" s="5">
        <f>M1450*26000*1.20565</f>
        <v>55104715.510000005</v>
      </c>
      <c r="I1450" s="5">
        <f>G1450-H1450</f>
        <v>-1504715.5100000054</v>
      </c>
      <c r="J1450" s="5">
        <v>3000000</v>
      </c>
      <c r="K1450" s="5">
        <v>5060000</v>
      </c>
      <c r="L1450" s="5">
        <v>5360000</v>
      </c>
      <c r="M1450" s="7">
        <v>1757.9</v>
      </c>
      <c r="N1450" s="5">
        <v>51100000</v>
      </c>
      <c r="O1450" s="5">
        <v>54100000</v>
      </c>
      <c r="P1450" s="3">
        <v>0.97916666666666663</v>
      </c>
    </row>
    <row r="1451" spans="1:16" x14ac:dyDescent="0.25">
      <c r="A1451" s="2">
        <v>44418</v>
      </c>
      <c r="B1451" s="2">
        <v>44477</v>
      </c>
      <c r="C1451" t="str">
        <f>TEXT(B1451,"mm")</f>
        <v>10</v>
      </c>
      <c r="D1451" t="s">
        <v>21</v>
      </c>
      <c r="E1451" t="s">
        <v>1636</v>
      </c>
      <c r="F1451" s="5">
        <v>50600000</v>
      </c>
      <c r="G1451" s="5">
        <v>53600000</v>
      </c>
      <c r="H1451" s="5">
        <f>M1451*26000*1.20565</f>
        <v>55054560.470000006</v>
      </c>
      <c r="I1451" s="5">
        <f>G1451-H1451</f>
        <v>-1454560.4700000063</v>
      </c>
      <c r="J1451" s="5">
        <v>3000000</v>
      </c>
      <c r="K1451" s="5">
        <v>5060000</v>
      </c>
      <c r="L1451" s="5">
        <v>5360000</v>
      </c>
      <c r="M1451" s="7">
        <v>1756.3</v>
      </c>
      <c r="N1451" s="5">
        <v>51100000</v>
      </c>
      <c r="O1451" s="5">
        <v>54100000</v>
      </c>
      <c r="P1451" s="3">
        <v>0.97916666666666663</v>
      </c>
    </row>
    <row r="1452" spans="1:16" x14ac:dyDescent="0.25">
      <c r="A1452" s="2">
        <v>44510</v>
      </c>
      <c r="B1452" s="2">
        <v>44480</v>
      </c>
      <c r="C1452" t="str">
        <f>TEXT(B1452,"mm")</f>
        <v>10</v>
      </c>
      <c r="D1452" t="s">
        <v>16</v>
      </c>
      <c r="E1452" t="s">
        <v>1636</v>
      </c>
      <c r="F1452" s="5">
        <v>50500000</v>
      </c>
      <c r="G1452" s="5">
        <v>53500000</v>
      </c>
      <c r="H1452" s="5">
        <f>M1452*26000*1.20565</f>
        <v>55001270.740000002</v>
      </c>
      <c r="I1452" s="5">
        <f>G1452-H1452</f>
        <v>-1501270.7400000021</v>
      </c>
      <c r="J1452" s="5">
        <v>3000000</v>
      </c>
      <c r="K1452" s="5">
        <v>5050000</v>
      </c>
      <c r="L1452" s="5">
        <v>5350000</v>
      </c>
      <c r="M1452" s="7">
        <v>1754.6</v>
      </c>
      <c r="N1452" s="5">
        <v>51000000</v>
      </c>
      <c r="O1452" s="5">
        <v>54000000</v>
      </c>
      <c r="P1452" s="3">
        <v>0.97916666666666663</v>
      </c>
    </row>
    <row r="1453" spans="1:16" x14ac:dyDescent="0.25">
      <c r="A1453" s="2">
        <v>44540</v>
      </c>
      <c r="B1453" s="2">
        <v>44481</v>
      </c>
      <c r="C1453" t="str">
        <f>TEXT(B1453,"mm")</f>
        <v>10</v>
      </c>
      <c r="D1453" t="s">
        <v>18</v>
      </c>
      <c r="E1453" t="s">
        <v>1636</v>
      </c>
      <c r="F1453" s="5">
        <v>50600000</v>
      </c>
      <c r="G1453" s="5">
        <v>53600000</v>
      </c>
      <c r="H1453" s="5">
        <f>M1453*26000*1.20565</f>
        <v>55117254.270000003</v>
      </c>
      <c r="I1453" s="5">
        <f>G1453-H1453</f>
        <v>-1517254.2700000033</v>
      </c>
      <c r="J1453" s="5">
        <v>3000000</v>
      </c>
      <c r="K1453" s="5">
        <v>5060000</v>
      </c>
      <c r="L1453" s="5">
        <v>5360000</v>
      </c>
      <c r="M1453" s="7">
        <v>1758.3</v>
      </c>
      <c r="N1453" s="5">
        <v>51100000</v>
      </c>
      <c r="O1453" s="5">
        <v>54100000</v>
      </c>
      <c r="P1453" s="3">
        <v>0.97916666666666663</v>
      </c>
    </row>
    <row r="1454" spans="1:16" x14ac:dyDescent="0.25">
      <c r="A1454" t="s">
        <v>898</v>
      </c>
      <c r="B1454" s="2">
        <v>44482</v>
      </c>
      <c r="C1454" t="str">
        <f>TEXT(B1454,"mm")</f>
        <v>10</v>
      </c>
      <c r="D1454" t="s">
        <v>19</v>
      </c>
      <c r="E1454" t="s">
        <v>1636</v>
      </c>
      <c r="F1454" s="5">
        <v>51700000</v>
      </c>
      <c r="G1454" s="5">
        <v>54700000</v>
      </c>
      <c r="H1454" s="5">
        <f>M1454*26000*1.20565</f>
        <v>56226934.530000009</v>
      </c>
      <c r="I1454" s="5">
        <f>G1454-H1454</f>
        <v>-1526934.5300000086</v>
      </c>
      <c r="J1454" s="5">
        <v>3000000</v>
      </c>
      <c r="K1454" s="5">
        <v>5170000</v>
      </c>
      <c r="L1454" s="5">
        <v>5470000</v>
      </c>
      <c r="M1454" s="7">
        <v>1793.7</v>
      </c>
      <c r="N1454" s="5">
        <v>52200000</v>
      </c>
      <c r="O1454" s="5">
        <v>55200000</v>
      </c>
      <c r="P1454" s="3">
        <v>0.97916666666666663</v>
      </c>
    </row>
    <row r="1455" spans="1:16" x14ac:dyDescent="0.25">
      <c r="A1455" t="s">
        <v>899</v>
      </c>
      <c r="B1455" s="2">
        <v>44483</v>
      </c>
      <c r="C1455" t="str">
        <f>TEXT(B1455,"mm")</f>
        <v>10</v>
      </c>
      <c r="D1455" t="s">
        <v>20</v>
      </c>
      <c r="E1455" t="s">
        <v>1636</v>
      </c>
      <c r="F1455" s="5">
        <v>51800000</v>
      </c>
      <c r="G1455" s="5">
        <v>54800000</v>
      </c>
      <c r="H1455" s="5">
        <f>M1455*26000*1.20565</f>
        <v>56320975.230000004</v>
      </c>
      <c r="I1455" s="5">
        <f>G1455-H1455</f>
        <v>-1520975.2300000042</v>
      </c>
      <c r="J1455" s="5">
        <v>3000000</v>
      </c>
      <c r="K1455" s="5">
        <v>5180000</v>
      </c>
      <c r="L1455" s="5">
        <v>5480000</v>
      </c>
      <c r="M1455" s="7">
        <v>1796.7</v>
      </c>
      <c r="N1455" s="5">
        <v>52300000</v>
      </c>
      <c r="O1455" s="5">
        <v>55300000</v>
      </c>
      <c r="P1455" s="3">
        <v>0.97916666666666663</v>
      </c>
    </row>
    <row r="1456" spans="1:16" x14ac:dyDescent="0.25">
      <c r="A1456" t="s">
        <v>900</v>
      </c>
      <c r="B1456" s="2">
        <v>44484</v>
      </c>
      <c r="C1456" t="str">
        <f>TEXT(B1456,"mm")</f>
        <v>10</v>
      </c>
      <c r="D1456" t="s">
        <v>21</v>
      </c>
      <c r="E1456" t="s">
        <v>1636</v>
      </c>
      <c r="F1456" s="5">
        <v>50900000</v>
      </c>
      <c r="G1456" s="5">
        <v>53900000</v>
      </c>
      <c r="H1456" s="5">
        <f>M1456*26000*1.20565</f>
        <v>55396241.680000007</v>
      </c>
      <c r="I1456" s="5">
        <f>G1456-H1456</f>
        <v>-1496241.6800000072</v>
      </c>
      <c r="J1456" s="5">
        <v>3000000</v>
      </c>
      <c r="K1456" s="5">
        <v>5090000</v>
      </c>
      <c r="L1456" s="5">
        <v>5390000</v>
      </c>
      <c r="M1456" s="7">
        <v>1767.2</v>
      </c>
      <c r="N1456" s="5">
        <v>51400000</v>
      </c>
      <c r="O1456" s="5">
        <v>54400000</v>
      </c>
      <c r="P1456" s="3">
        <v>0.97916666666666663</v>
      </c>
    </row>
    <row r="1457" spans="1:16" x14ac:dyDescent="0.25">
      <c r="A1457" t="s">
        <v>901</v>
      </c>
      <c r="B1457" s="2">
        <v>44487</v>
      </c>
      <c r="C1457" t="str">
        <f>TEXT(B1457,"mm")</f>
        <v>10</v>
      </c>
      <c r="D1457" t="s">
        <v>16</v>
      </c>
      <c r="E1457" t="s">
        <v>1636</v>
      </c>
      <c r="F1457" s="5">
        <v>50800000</v>
      </c>
      <c r="G1457" s="5">
        <v>53800000</v>
      </c>
      <c r="H1457" s="5">
        <f>M1457*26000*1.20565</f>
        <v>55321009.120000005</v>
      </c>
      <c r="I1457" s="5">
        <f>G1457-H1457</f>
        <v>-1521009.1200000048</v>
      </c>
      <c r="J1457" s="5">
        <v>3000000</v>
      </c>
      <c r="K1457" s="5">
        <v>5080000</v>
      </c>
      <c r="L1457" s="5">
        <v>5380000</v>
      </c>
      <c r="M1457" s="7">
        <v>1764.8</v>
      </c>
      <c r="N1457" s="5">
        <v>51300000</v>
      </c>
      <c r="O1457" s="5">
        <v>54300000</v>
      </c>
      <c r="P1457" s="3">
        <v>0.97916666666666663</v>
      </c>
    </row>
    <row r="1458" spans="1:16" x14ac:dyDescent="0.25">
      <c r="A1458" t="s">
        <v>902</v>
      </c>
      <c r="B1458" s="2">
        <v>44488</v>
      </c>
      <c r="C1458" t="str">
        <f>TEXT(B1458,"mm")</f>
        <v>10</v>
      </c>
      <c r="D1458" t="s">
        <v>18</v>
      </c>
      <c r="E1458" t="s">
        <v>1636</v>
      </c>
      <c r="F1458" s="5">
        <v>51000000</v>
      </c>
      <c r="G1458" s="5">
        <v>54000000</v>
      </c>
      <c r="H1458" s="5">
        <f>M1458*26000*1.20565</f>
        <v>55474608.930000007</v>
      </c>
      <c r="I1458" s="5">
        <f>G1458-H1458</f>
        <v>-1474608.9300000072</v>
      </c>
      <c r="J1458" s="5">
        <v>3000000</v>
      </c>
      <c r="K1458" s="5">
        <v>5100000</v>
      </c>
      <c r="L1458" s="5">
        <v>5400000</v>
      </c>
      <c r="M1458" s="7">
        <v>1769.7</v>
      </c>
      <c r="N1458" s="5">
        <v>51500000</v>
      </c>
      <c r="O1458" s="5">
        <v>54500000</v>
      </c>
      <c r="P1458" s="3">
        <v>0.97916666666666663</v>
      </c>
    </row>
    <row r="1459" spans="1:16" x14ac:dyDescent="0.25">
      <c r="A1459" t="s">
        <v>903</v>
      </c>
      <c r="B1459" s="2">
        <v>44489</v>
      </c>
      <c r="C1459" t="str">
        <f>TEXT(B1459,"mm")</f>
        <v>10</v>
      </c>
      <c r="D1459" t="s">
        <v>19</v>
      </c>
      <c r="E1459" t="s">
        <v>1636</v>
      </c>
      <c r="F1459" s="5">
        <v>51400000</v>
      </c>
      <c r="G1459" s="5">
        <v>54400000</v>
      </c>
      <c r="H1459" s="5">
        <f>M1459*26000*1.20565</f>
        <v>55926004.290000007</v>
      </c>
      <c r="I1459" s="5">
        <f>G1459-H1459</f>
        <v>-1526004.2900000066</v>
      </c>
      <c r="J1459" s="5">
        <v>3000000</v>
      </c>
      <c r="K1459" s="5">
        <v>5140000</v>
      </c>
      <c r="L1459" s="5">
        <v>5440000</v>
      </c>
      <c r="M1459" s="7">
        <v>1784.1</v>
      </c>
      <c r="N1459" s="5">
        <v>51900000</v>
      </c>
      <c r="O1459" s="5">
        <v>54900000</v>
      </c>
      <c r="P1459" s="3">
        <v>0.97916666666666663</v>
      </c>
    </row>
    <row r="1460" spans="1:16" x14ac:dyDescent="0.25">
      <c r="A1460" t="s">
        <v>904</v>
      </c>
      <c r="B1460" s="2">
        <v>44490</v>
      </c>
      <c r="C1460" t="str">
        <f>TEXT(B1460,"mm")</f>
        <v>10</v>
      </c>
      <c r="D1460" t="s">
        <v>20</v>
      </c>
      <c r="E1460" t="s">
        <v>1636</v>
      </c>
      <c r="F1460" s="5">
        <v>51300000</v>
      </c>
      <c r="G1460" s="5">
        <v>54300000</v>
      </c>
      <c r="H1460" s="5">
        <f>M1460*26000*1.20565</f>
        <v>55835098.280000009</v>
      </c>
      <c r="I1460" s="5">
        <f>G1460-H1460</f>
        <v>-1535098.2800000086</v>
      </c>
      <c r="J1460" s="5">
        <v>3000000</v>
      </c>
      <c r="K1460" s="5">
        <v>5130000</v>
      </c>
      <c r="L1460" s="5">
        <v>5430000</v>
      </c>
      <c r="M1460" s="7">
        <v>1781.2</v>
      </c>
      <c r="N1460" s="5">
        <v>51800000</v>
      </c>
      <c r="O1460" s="5">
        <v>54800000</v>
      </c>
      <c r="P1460" s="3">
        <v>0.97916666666666663</v>
      </c>
    </row>
    <row r="1461" spans="1:16" x14ac:dyDescent="0.25">
      <c r="A1461" t="s">
        <v>905</v>
      </c>
      <c r="B1461" s="2">
        <v>44491</v>
      </c>
      <c r="C1461" t="str">
        <f>TEXT(B1461,"mm")</f>
        <v>10</v>
      </c>
      <c r="D1461" t="s">
        <v>21</v>
      </c>
      <c r="E1461" t="s">
        <v>1636</v>
      </c>
      <c r="F1461" s="5">
        <v>51800000</v>
      </c>
      <c r="G1461" s="5">
        <v>54800000</v>
      </c>
      <c r="H1461" s="5">
        <f>M1461*26000*1.20565</f>
        <v>56283358.950000003</v>
      </c>
      <c r="I1461" s="5">
        <f>G1461-H1461</f>
        <v>-1483358.950000003</v>
      </c>
      <c r="J1461" s="5">
        <v>3000000</v>
      </c>
      <c r="K1461" s="5">
        <v>5180000</v>
      </c>
      <c r="L1461" s="5">
        <v>5480000</v>
      </c>
      <c r="M1461" s="7">
        <v>1795.5</v>
      </c>
      <c r="N1461" s="5">
        <v>52300000</v>
      </c>
      <c r="O1461" s="5">
        <v>55300000</v>
      </c>
      <c r="P1461" s="3">
        <v>0.97916666666666663</v>
      </c>
    </row>
    <row r="1462" spans="1:16" x14ac:dyDescent="0.25">
      <c r="A1462" t="s">
        <v>906</v>
      </c>
      <c r="B1462" s="2">
        <v>44494</v>
      </c>
      <c r="C1462" t="str">
        <f>TEXT(B1462,"mm")</f>
        <v>10</v>
      </c>
      <c r="D1462" t="s">
        <v>16</v>
      </c>
      <c r="E1462" t="s">
        <v>1636</v>
      </c>
      <c r="F1462" s="5">
        <v>52100000</v>
      </c>
      <c r="G1462" s="5">
        <v>55100000</v>
      </c>
      <c r="H1462" s="5">
        <f>M1462*26000*1.20565</f>
        <v>56612501.400000006</v>
      </c>
      <c r="I1462" s="5">
        <f>G1462-H1462</f>
        <v>-1512501.400000006</v>
      </c>
      <c r="J1462" s="5">
        <v>3000000</v>
      </c>
      <c r="K1462" s="5">
        <v>5210000</v>
      </c>
      <c r="L1462" s="5">
        <v>5510000</v>
      </c>
      <c r="M1462" s="7">
        <v>1806</v>
      </c>
      <c r="N1462" s="5">
        <v>52600000</v>
      </c>
      <c r="O1462" s="5">
        <v>55600000</v>
      </c>
      <c r="P1462" s="3">
        <v>0.97916666666666663</v>
      </c>
    </row>
    <row r="1463" spans="1:16" x14ac:dyDescent="0.25">
      <c r="A1463" t="s">
        <v>907</v>
      </c>
      <c r="B1463" s="2">
        <v>44495</v>
      </c>
      <c r="C1463" t="str">
        <f>TEXT(B1463,"mm")</f>
        <v>10</v>
      </c>
      <c r="D1463" t="s">
        <v>18</v>
      </c>
      <c r="E1463" t="s">
        <v>1636</v>
      </c>
      <c r="F1463" s="5">
        <v>51700000</v>
      </c>
      <c r="G1463" s="5">
        <v>54700000</v>
      </c>
      <c r="H1463" s="5">
        <f>M1463*26000*1.20565</f>
        <v>56195587.630000003</v>
      </c>
      <c r="I1463" s="5">
        <f>G1463-H1463</f>
        <v>-1495587.6300000027</v>
      </c>
      <c r="J1463" s="5">
        <v>3000000</v>
      </c>
      <c r="K1463" s="5">
        <v>5170000</v>
      </c>
      <c r="L1463" s="5">
        <v>5470000</v>
      </c>
      <c r="M1463" s="7">
        <v>1792.7</v>
      </c>
      <c r="N1463" s="5">
        <v>52200000</v>
      </c>
      <c r="O1463" s="5">
        <v>55200000</v>
      </c>
      <c r="P1463" s="3">
        <v>0.97916666666666663</v>
      </c>
    </row>
    <row r="1464" spans="1:16" x14ac:dyDescent="0.25">
      <c r="A1464" t="s">
        <v>908</v>
      </c>
      <c r="B1464" s="2">
        <v>44496</v>
      </c>
      <c r="C1464" t="str">
        <f>TEXT(B1464,"mm")</f>
        <v>10</v>
      </c>
      <c r="D1464" t="s">
        <v>19</v>
      </c>
      <c r="E1464" t="s">
        <v>1636</v>
      </c>
      <c r="F1464" s="5">
        <v>51800000</v>
      </c>
      <c r="G1464" s="5">
        <v>54800000</v>
      </c>
      <c r="H1464" s="5">
        <f>M1464*26000*1.20565</f>
        <v>56358591.510000005</v>
      </c>
      <c r="I1464" s="5">
        <f>G1464-H1464</f>
        <v>-1558591.5100000054</v>
      </c>
      <c r="J1464" s="5">
        <v>3000000</v>
      </c>
      <c r="K1464" s="5">
        <v>5180000</v>
      </c>
      <c r="L1464" s="5">
        <v>5480000</v>
      </c>
      <c r="M1464" s="7">
        <v>1797.9</v>
      </c>
      <c r="N1464" s="5">
        <v>52300000</v>
      </c>
      <c r="O1464" s="5">
        <v>55300000</v>
      </c>
      <c r="P1464" s="3">
        <v>0.97916666666666663</v>
      </c>
    </row>
    <row r="1465" spans="1:16" x14ac:dyDescent="0.25">
      <c r="A1465" t="s">
        <v>909</v>
      </c>
      <c r="B1465" s="2">
        <v>44497</v>
      </c>
      <c r="C1465" t="str">
        <f>TEXT(B1465,"mm")</f>
        <v>10</v>
      </c>
      <c r="D1465" t="s">
        <v>20</v>
      </c>
      <c r="E1465" t="s">
        <v>1636</v>
      </c>
      <c r="F1465" s="5">
        <v>52000000</v>
      </c>
      <c r="G1465" s="5">
        <v>55000000</v>
      </c>
      <c r="H1465" s="5">
        <f>M1465*26000*1.20565</f>
        <v>56474575.040000007</v>
      </c>
      <c r="I1465" s="5">
        <f>G1465-H1465</f>
        <v>-1474575.0400000066</v>
      </c>
      <c r="J1465" s="5">
        <v>3000000</v>
      </c>
      <c r="K1465" s="5">
        <v>5200000</v>
      </c>
      <c r="L1465" s="5">
        <v>5500000</v>
      </c>
      <c r="M1465" s="7">
        <v>1801.6</v>
      </c>
      <c r="N1465" s="5">
        <v>52500000</v>
      </c>
      <c r="O1465" s="5">
        <v>55500000</v>
      </c>
      <c r="P1465" s="3">
        <v>0.97916666666666663</v>
      </c>
    </row>
    <row r="1466" spans="1:16" x14ac:dyDescent="0.25">
      <c r="A1466" t="s">
        <v>910</v>
      </c>
      <c r="B1466" s="2">
        <v>44498</v>
      </c>
      <c r="C1466" t="str">
        <f>TEXT(B1466,"mm")</f>
        <v>10</v>
      </c>
      <c r="D1466" t="s">
        <v>21</v>
      </c>
      <c r="E1466" t="s">
        <v>1636</v>
      </c>
      <c r="F1466" s="5">
        <v>51400000</v>
      </c>
      <c r="G1466" s="5">
        <v>54400000</v>
      </c>
      <c r="H1466" s="5">
        <f>M1466*26000*1.20565</f>
        <v>55891522.700000003</v>
      </c>
      <c r="I1466" s="5">
        <f>G1466-H1466</f>
        <v>-1491522.700000003</v>
      </c>
      <c r="J1466" s="5">
        <v>3000000</v>
      </c>
      <c r="K1466" s="5">
        <v>5140000</v>
      </c>
      <c r="L1466" s="5">
        <v>5440000</v>
      </c>
      <c r="M1466" s="7">
        <v>1783</v>
      </c>
      <c r="N1466" s="5">
        <v>51900000</v>
      </c>
      <c r="O1466" s="5">
        <v>54900000</v>
      </c>
      <c r="P1466" s="3">
        <v>0.97916666666666663</v>
      </c>
    </row>
    <row r="1467" spans="1:16" x14ac:dyDescent="0.25">
      <c r="A1467" s="2">
        <v>44207</v>
      </c>
      <c r="B1467" s="2">
        <v>44501</v>
      </c>
      <c r="C1467" t="str">
        <f>TEXT(B1467,"mm")</f>
        <v>11</v>
      </c>
      <c r="D1467" t="s">
        <v>16</v>
      </c>
      <c r="E1467" t="s">
        <v>1636</v>
      </c>
      <c r="F1467" s="5">
        <v>51800000</v>
      </c>
      <c r="G1467" s="5">
        <v>54800000</v>
      </c>
      <c r="H1467" s="5">
        <f>M1467*26000*1.20565</f>
        <v>56270820.190000005</v>
      </c>
      <c r="I1467" s="5">
        <f>G1467-H1467</f>
        <v>-1470820.1900000051</v>
      </c>
      <c r="J1467" s="5">
        <v>3000000</v>
      </c>
      <c r="K1467" s="5">
        <v>5180000</v>
      </c>
      <c r="L1467" s="5">
        <v>5480000</v>
      </c>
      <c r="M1467" s="7">
        <v>1795.1</v>
      </c>
      <c r="N1467" s="5">
        <v>52300000</v>
      </c>
      <c r="O1467" s="5">
        <v>55300000</v>
      </c>
      <c r="P1467" s="3">
        <v>0.97916666666666663</v>
      </c>
    </row>
    <row r="1468" spans="1:16" x14ac:dyDescent="0.25">
      <c r="A1468" s="2">
        <v>44238</v>
      </c>
      <c r="B1468" s="2">
        <v>44502</v>
      </c>
      <c r="C1468" t="str">
        <f>TEXT(B1468,"mm")</f>
        <v>11</v>
      </c>
      <c r="D1468" t="s">
        <v>18</v>
      </c>
      <c r="E1468" t="s">
        <v>1636</v>
      </c>
      <c r="F1468" s="5">
        <v>51600000</v>
      </c>
      <c r="G1468" s="5">
        <v>54600000</v>
      </c>
      <c r="H1468" s="5">
        <f>M1468*26000*1.20565</f>
        <v>56070200.030000009</v>
      </c>
      <c r="I1468" s="5">
        <f>G1468-H1468</f>
        <v>-1470200.0300000086</v>
      </c>
      <c r="J1468" s="5">
        <v>3000000</v>
      </c>
      <c r="K1468" s="5">
        <v>5160000</v>
      </c>
      <c r="L1468" s="5">
        <v>5460000</v>
      </c>
      <c r="M1468" s="7">
        <v>1788.7</v>
      </c>
      <c r="N1468" s="5">
        <v>52100000</v>
      </c>
      <c r="O1468" s="5">
        <v>55100000</v>
      </c>
      <c r="P1468" s="3">
        <v>0.97916666666666663</v>
      </c>
    </row>
    <row r="1469" spans="1:16" x14ac:dyDescent="0.25">
      <c r="A1469" s="2">
        <v>44266</v>
      </c>
      <c r="B1469" s="2">
        <v>44503</v>
      </c>
      <c r="C1469" t="str">
        <f>TEXT(B1469,"mm")</f>
        <v>11</v>
      </c>
      <c r="D1469" t="s">
        <v>19</v>
      </c>
      <c r="E1469" t="s">
        <v>1636</v>
      </c>
      <c r="F1469" s="5">
        <v>50800000</v>
      </c>
      <c r="G1469" s="5">
        <v>53800000</v>
      </c>
      <c r="H1469" s="5">
        <f>M1469*26000*1.20565</f>
        <v>55283392.840000004</v>
      </c>
      <c r="I1469" s="5">
        <f>G1469-H1469</f>
        <v>-1483392.8400000036</v>
      </c>
      <c r="J1469" s="5">
        <v>3000000</v>
      </c>
      <c r="K1469" s="5">
        <v>5080000</v>
      </c>
      <c r="L1469" s="5">
        <v>5380000</v>
      </c>
      <c r="M1469" s="7">
        <v>1763.6</v>
      </c>
      <c r="N1469" s="5">
        <v>51300000</v>
      </c>
      <c r="O1469" s="5">
        <v>54300000</v>
      </c>
      <c r="P1469" s="3">
        <v>0.97916666666666663</v>
      </c>
    </row>
    <row r="1470" spans="1:16" x14ac:dyDescent="0.25">
      <c r="A1470" s="2">
        <v>44297</v>
      </c>
      <c r="B1470" s="2">
        <v>44504</v>
      </c>
      <c r="C1470" t="str">
        <f>TEXT(B1470,"mm")</f>
        <v>11</v>
      </c>
      <c r="D1470" t="s">
        <v>20</v>
      </c>
      <c r="E1470" t="s">
        <v>1636</v>
      </c>
      <c r="F1470" s="5">
        <v>51700000</v>
      </c>
      <c r="G1470" s="5">
        <v>54700000</v>
      </c>
      <c r="H1470" s="5">
        <f>M1470*26000*1.20565</f>
        <v>56204991.700000003</v>
      </c>
      <c r="I1470" s="5">
        <f>G1470-H1470</f>
        <v>-1504991.700000003</v>
      </c>
      <c r="J1470" s="5">
        <v>3000000</v>
      </c>
      <c r="K1470" s="5">
        <v>5170000</v>
      </c>
      <c r="L1470" s="5">
        <v>5470000</v>
      </c>
      <c r="M1470" s="7">
        <v>1793</v>
      </c>
      <c r="N1470" s="5">
        <v>52200000</v>
      </c>
      <c r="O1470" s="5">
        <v>55200000</v>
      </c>
      <c r="P1470" s="3">
        <v>0.97916666666666663</v>
      </c>
    </row>
    <row r="1471" spans="1:16" x14ac:dyDescent="0.25">
      <c r="A1471" s="2">
        <v>44327</v>
      </c>
      <c r="B1471" s="2">
        <v>44505</v>
      </c>
      <c r="C1471" t="str">
        <f>TEXT(B1471,"mm")</f>
        <v>11</v>
      </c>
      <c r="D1471" t="s">
        <v>21</v>
      </c>
      <c r="E1471" t="s">
        <v>1636</v>
      </c>
      <c r="F1471" s="5">
        <v>52400000</v>
      </c>
      <c r="G1471" s="5">
        <v>55400000</v>
      </c>
      <c r="H1471" s="5">
        <f>M1471*26000*1.20565</f>
        <v>56938509.160000004</v>
      </c>
      <c r="I1471" s="5">
        <f>G1471-H1471</f>
        <v>-1538509.1600000039</v>
      </c>
      <c r="J1471" s="5">
        <v>3000000</v>
      </c>
      <c r="K1471" s="5">
        <v>5240000</v>
      </c>
      <c r="L1471" s="5">
        <v>5540000</v>
      </c>
      <c r="M1471" s="7">
        <v>1816.4</v>
      </c>
      <c r="N1471" s="5">
        <v>52900000</v>
      </c>
      <c r="O1471" s="5">
        <v>55900000</v>
      </c>
      <c r="P1471" s="3">
        <v>0.97916666666666663</v>
      </c>
    </row>
    <row r="1472" spans="1:16" x14ac:dyDescent="0.25">
      <c r="A1472" s="2">
        <v>44419</v>
      </c>
      <c r="B1472" s="2">
        <v>44508</v>
      </c>
      <c r="C1472" t="str">
        <f>TEXT(B1472,"mm")</f>
        <v>11</v>
      </c>
      <c r="D1472" t="s">
        <v>16</v>
      </c>
      <c r="E1472" t="s">
        <v>1636</v>
      </c>
      <c r="F1472" s="5">
        <v>52700000</v>
      </c>
      <c r="G1472" s="5">
        <v>55700000</v>
      </c>
      <c r="H1472" s="5">
        <f>M1472*26000*1.20565</f>
        <v>57283325.060000002</v>
      </c>
      <c r="I1472" s="5">
        <f>G1472-H1472</f>
        <v>-1583325.0600000024</v>
      </c>
      <c r="J1472" s="5">
        <v>3000000</v>
      </c>
      <c r="K1472" s="5">
        <v>5270000</v>
      </c>
      <c r="L1472" s="5">
        <v>5570000</v>
      </c>
      <c r="M1472" s="7">
        <v>1827.4</v>
      </c>
      <c r="N1472" s="5">
        <v>53200000</v>
      </c>
      <c r="O1472" s="5">
        <v>56200000</v>
      </c>
      <c r="P1472" s="3">
        <v>0.97916666666666663</v>
      </c>
    </row>
    <row r="1473" spans="1:16" x14ac:dyDescent="0.25">
      <c r="A1473" s="2">
        <v>44450</v>
      </c>
      <c r="B1473" s="2">
        <v>44509</v>
      </c>
      <c r="C1473" t="str">
        <f>TEXT(B1473,"mm")</f>
        <v>11</v>
      </c>
      <c r="D1473" t="s">
        <v>18</v>
      </c>
      <c r="E1473" t="s">
        <v>1636</v>
      </c>
      <c r="F1473" s="5">
        <v>52800000</v>
      </c>
      <c r="G1473" s="5">
        <v>55800000</v>
      </c>
      <c r="H1473" s="5">
        <f>M1473*26000*1.20565</f>
        <v>57371096.380000003</v>
      </c>
      <c r="I1473" s="5">
        <f>G1473-H1473</f>
        <v>-1571096.3800000027</v>
      </c>
      <c r="J1473" s="5">
        <v>3000000</v>
      </c>
      <c r="K1473" s="5">
        <v>5280000</v>
      </c>
      <c r="L1473" s="5">
        <v>5580000</v>
      </c>
      <c r="M1473" s="7">
        <v>1830.2</v>
      </c>
      <c r="N1473" s="5">
        <v>53300000</v>
      </c>
      <c r="O1473" s="5">
        <v>56300000</v>
      </c>
      <c r="P1473" s="3">
        <v>0.97916666666666663</v>
      </c>
    </row>
    <row r="1474" spans="1:16" x14ac:dyDescent="0.25">
      <c r="A1474" s="2">
        <v>44480</v>
      </c>
      <c r="B1474" s="2">
        <v>44510</v>
      </c>
      <c r="C1474" t="str">
        <f>TEXT(B1474,"mm")</f>
        <v>11</v>
      </c>
      <c r="D1474" t="s">
        <v>19</v>
      </c>
      <c r="E1474" t="s">
        <v>1636</v>
      </c>
      <c r="F1474" s="5">
        <v>53400000</v>
      </c>
      <c r="G1474" s="5">
        <v>56400000</v>
      </c>
      <c r="H1474" s="5">
        <f>M1474*26000*1.20565</f>
        <v>57916532.440000005</v>
      </c>
      <c r="I1474" s="5">
        <f>G1474-H1474</f>
        <v>-1516532.4400000051</v>
      </c>
      <c r="J1474" s="5">
        <v>3000000</v>
      </c>
      <c r="K1474" s="5">
        <v>5340000</v>
      </c>
      <c r="L1474" s="5">
        <v>5640000</v>
      </c>
      <c r="M1474" s="7">
        <v>1847.6</v>
      </c>
      <c r="N1474" s="5">
        <v>53900000</v>
      </c>
      <c r="O1474" s="5">
        <v>56900000</v>
      </c>
      <c r="P1474" s="3">
        <v>0.97916666666666663</v>
      </c>
    </row>
    <row r="1475" spans="1:16" x14ac:dyDescent="0.25">
      <c r="A1475" s="2">
        <v>44511</v>
      </c>
      <c r="B1475" s="2">
        <v>44511</v>
      </c>
      <c r="C1475" t="str">
        <f>TEXT(B1475,"mm")</f>
        <v>11</v>
      </c>
      <c r="D1475" t="s">
        <v>20</v>
      </c>
      <c r="E1475" t="s">
        <v>1636</v>
      </c>
      <c r="F1475" s="5">
        <v>53800000</v>
      </c>
      <c r="G1475" s="5">
        <v>56800000</v>
      </c>
      <c r="H1475" s="5">
        <f>M1475*26000*1.20565</f>
        <v>58405544.080000006</v>
      </c>
      <c r="I1475" s="5">
        <f>G1475-H1475</f>
        <v>-1605544.0800000057</v>
      </c>
      <c r="J1475" s="5">
        <v>3000000</v>
      </c>
      <c r="K1475" s="5">
        <v>5380000</v>
      </c>
      <c r="L1475" s="5">
        <v>5680000</v>
      </c>
      <c r="M1475" s="7">
        <v>1863.2</v>
      </c>
      <c r="N1475" s="5">
        <v>54300000</v>
      </c>
      <c r="O1475" s="5">
        <v>57300000</v>
      </c>
      <c r="P1475" s="3">
        <v>0.97916666666666663</v>
      </c>
    </row>
    <row r="1476" spans="1:16" x14ac:dyDescent="0.25">
      <c r="A1476" s="2">
        <v>44541</v>
      </c>
      <c r="B1476" s="2">
        <v>44512</v>
      </c>
      <c r="C1476" t="str">
        <f>TEXT(B1476,"mm")</f>
        <v>11</v>
      </c>
      <c r="D1476" t="s">
        <v>21</v>
      </c>
      <c r="E1476" t="s">
        <v>1636</v>
      </c>
      <c r="F1476" s="5">
        <v>54000000</v>
      </c>
      <c r="G1476" s="5">
        <v>57000000</v>
      </c>
      <c r="H1476" s="5">
        <f>M1476*26000*1.20565</f>
        <v>58552874.510000005</v>
      </c>
      <c r="I1476" s="5">
        <f>G1476-H1476</f>
        <v>-1552874.5100000054</v>
      </c>
      <c r="J1476" s="5">
        <v>3000000</v>
      </c>
      <c r="K1476" s="5">
        <v>5400000</v>
      </c>
      <c r="L1476" s="5">
        <v>5700000</v>
      </c>
      <c r="M1476" s="7">
        <v>1867.9</v>
      </c>
      <c r="N1476" s="5">
        <v>54500000</v>
      </c>
      <c r="O1476" s="5">
        <v>57500000</v>
      </c>
      <c r="P1476" s="3">
        <v>0.97916666666666663</v>
      </c>
    </row>
    <row r="1477" spans="1:16" x14ac:dyDescent="0.25">
      <c r="A1477" t="s">
        <v>911</v>
      </c>
      <c r="B1477" s="2">
        <v>44515</v>
      </c>
      <c r="C1477" t="str">
        <f>TEXT(B1477,"mm")</f>
        <v>11</v>
      </c>
      <c r="D1477" t="s">
        <v>16</v>
      </c>
      <c r="E1477" t="s">
        <v>1636</v>
      </c>
      <c r="F1477" s="5">
        <v>53900000</v>
      </c>
      <c r="G1477" s="5">
        <v>56900000</v>
      </c>
      <c r="H1477" s="5">
        <f>M1477*26000*1.20565</f>
        <v>58496450.090000004</v>
      </c>
      <c r="I1477" s="5">
        <f>G1477-H1477</f>
        <v>-1596450.0900000036</v>
      </c>
      <c r="J1477" s="5">
        <v>3000000</v>
      </c>
      <c r="K1477" s="5">
        <v>5390000</v>
      </c>
      <c r="L1477" s="5">
        <v>5690000</v>
      </c>
      <c r="M1477" s="7">
        <v>1866.1</v>
      </c>
      <c r="N1477" s="5">
        <v>54400000</v>
      </c>
      <c r="O1477" s="5">
        <v>57400000</v>
      </c>
      <c r="P1477" s="3">
        <v>0.97916666666666663</v>
      </c>
    </row>
    <row r="1478" spans="1:16" x14ac:dyDescent="0.25">
      <c r="A1478" t="s">
        <v>912</v>
      </c>
      <c r="B1478" s="2">
        <v>44516</v>
      </c>
      <c r="C1478" t="str">
        <f>TEXT(B1478,"mm")</f>
        <v>11</v>
      </c>
      <c r="D1478" t="s">
        <v>18</v>
      </c>
      <c r="E1478" t="s">
        <v>1636</v>
      </c>
      <c r="F1478" s="5">
        <v>53500000</v>
      </c>
      <c r="G1478" s="5">
        <v>56500000</v>
      </c>
      <c r="H1478" s="5">
        <f>M1478*26000*1.20565</f>
        <v>58104613.840000004</v>
      </c>
      <c r="I1478" s="5">
        <f>G1478-H1478</f>
        <v>-1604613.8400000036</v>
      </c>
      <c r="J1478" s="5">
        <v>3000000</v>
      </c>
      <c r="K1478" s="5">
        <v>5350000</v>
      </c>
      <c r="L1478" s="5">
        <v>5650000</v>
      </c>
      <c r="M1478" s="7">
        <v>1853.6</v>
      </c>
      <c r="N1478" s="5">
        <v>54000000</v>
      </c>
      <c r="O1478" s="5">
        <v>57000000</v>
      </c>
      <c r="P1478" s="3">
        <v>0.97916666666666663</v>
      </c>
    </row>
    <row r="1479" spans="1:16" x14ac:dyDescent="0.25">
      <c r="A1479" t="s">
        <v>913</v>
      </c>
      <c r="B1479" s="2">
        <v>44517</v>
      </c>
      <c r="C1479" t="str">
        <f>TEXT(B1479,"mm")</f>
        <v>11</v>
      </c>
      <c r="D1479" t="s">
        <v>19</v>
      </c>
      <c r="E1479" t="s">
        <v>1636</v>
      </c>
      <c r="F1479" s="5">
        <v>54000000</v>
      </c>
      <c r="G1479" s="5">
        <v>57000000</v>
      </c>
      <c r="H1479" s="5">
        <f>M1479*26000*1.20565</f>
        <v>58609298.930000007</v>
      </c>
      <c r="I1479" s="5">
        <f>G1479-H1479</f>
        <v>-1609298.9300000072</v>
      </c>
      <c r="J1479" s="5">
        <v>3000000</v>
      </c>
      <c r="K1479" s="5">
        <v>5400000</v>
      </c>
      <c r="L1479" s="5">
        <v>5700000</v>
      </c>
      <c r="M1479" s="7">
        <v>1869.7</v>
      </c>
      <c r="N1479" s="5">
        <v>54500000</v>
      </c>
      <c r="O1479" s="5">
        <v>57500000</v>
      </c>
      <c r="P1479" s="3">
        <v>0.97916666666666663</v>
      </c>
    </row>
    <row r="1480" spans="1:16" x14ac:dyDescent="0.25">
      <c r="A1480" t="s">
        <v>914</v>
      </c>
      <c r="B1480" s="2">
        <v>44518</v>
      </c>
      <c r="C1480" t="str">
        <f>TEXT(B1480,"mm")</f>
        <v>11</v>
      </c>
      <c r="D1480" t="s">
        <v>20</v>
      </c>
      <c r="E1480" t="s">
        <v>1636</v>
      </c>
      <c r="F1480" s="5">
        <v>53800000</v>
      </c>
      <c r="G1480" s="5">
        <v>56800000</v>
      </c>
      <c r="H1480" s="5">
        <f>M1480*26000*1.20565</f>
        <v>58336580.900000006</v>
      </c>
      <c r="I1480" s="5">
        <f>G1480-H1480</f>
        <v>-1536580.900000006</v>
      </c>
      <c r="J1480" s="5">
        <v>3000000</v>
      </c>
      <c r="K1480" s="5">
        <v>5380000</v>
      </c>
      <c r="L1480" s="5">
        <v>5680000</v>
      </c>
      <c r="M1480" s="7">
        <v>1861</v>
      </c>
      <c r="N1480" s="5">
        <v>54300000</v>
      </c>
      <c r="O1480" s="5">
        <v>57300000</v>
      </c>
      <c r="P1480" s="3">
        <v>0.97916666666666663</v>
      </c>
    </row>
    <row r="1481" spans="1:16" x14ac:dyDescent="0.25">
      <c r="A1481" t="s">
        <v>915</v>
      </c>
      <c r="B1481" s="2">
        <v>44519</v>
      </c>
      <c r="C1481" t="str">
        <f>TEXT(B1481,"mm")</f>
        <v>11</v>
      </c>
      <c r="D1481" t="s">
        <v>21</v>
      </c>
      <c r="E1481" t="s">
        <v>1636</v>
      </c>
      <c r="F1481" s="5">
        <v>53500000</v>
      </c>
      <c r="G1481" s="5">
        <v>56500000</v>
      </c>
      <c r="H1481" s="5">
        <f>M1481*26000*1.20565</f>
        <v>58029381.280000009</v>
      </c>
      <c r="I1481" s="5">
        <f>G1481-H1481</f>
        <v>-1529381.2800000086</v>
      </c>
      <c r="J1481" s="5">
        <v>3000000</v>
      </c>
      <c r="K1481" s="5">
        <v>5350000</v>
      </c>
      <c r="L1481" s="5">
        <v>5650000</v>
      </c>
      <c r="M1481" s="7">
        <v>1851.2</v>
      </c>
      <c r="N1481" s="5">
        <v>54000000</v>
      </c>
      <c r="O1481" s="5">
        <v>57000000</v>
      </c>
      <c r="P1481" s="3">
        <v>0.97916666666666663</v>
      </c>
    </row>
    <row r="1482" spans="1:16" x14ac:dyDescent="0.25">
      <c r="A1482" t="s">
        <v>916</v>
      </c>
      <c r="B1482" s="2">
        <v>44522</v>
      </c>
      <c r="C1482" t="str">
        <f>TEXT(B1482,"mm")</f>
        <v>11</v>
      </c>
      <c r="D1482" t="s">
        <v>16</v>
      </c>
      <c r="E1482" t="s">
        <v>1636</v>
      </c>
      <c r="F1482" s="5">
        <v>52100000</v>
      </c>
      <c r="G1482" s="5">
        <v>55100000</v>
      </c>
      <c r="H1482" s="5">
        <f>M1482*26000*1.20565</f>
        <v>56612501.400000006</v>
      </c>
      <c r="I1482" s="5">
        <f>G1482-H1482</f>
        <v>-1512501.400000006</v>
      </c>
      <c r="J1482" s="5">
        <v>3000000</v>
      </c>
      <c r="K1482" s="5">
        <v>5210000</v>
      </c>
      <c r="L1482" s="5">
        <v>5510000</v>
      </c>
      <c r="M1482" s="7">
        <v>1806</v>
      </c>
      <c r="N1482" s="5">
        <v>52600000</v>
      </c>
      <c r="O1482" s="5">
        <v>55600000</v>
      </c>
      <c r="P1482" s="3">
        <v>0.97916666666666663</v>
      </c>
    </row>
    <row r="1483" spans="1:16" x14ac:dyDescent="0.25">
      <c r="A1483" t="s">
        <v>917</v>
      </c>
      <c r="B1483" s="2">
        <v>44523</v>
      </c>
      <c r="C1483" t="str">
        <f>TEXT(B1483,"mm")</f>
        <v>11</v>
      </c>
      <c r="D1483" t="s">
        <v>18</v>
      </c>
      <c r="E1483" t="s">
        <v>1636</v>
      </c>
      <c r="F1483" s="5">
        <v>51400000</v>
      </c>
      <c r="G1483" s="5">
        <v>54400000</v>
      </c>
      <c r="H1483" s="5">
        <f>M1483*26000*1.20565</f>
        <v>55907196.150000006</v>
      </c>
      <c r="I1483" s="5">
        <f>G1483-H1483</f>
        <v>-1507196.150000006</v>
      </c>
      <c r="J1483" s="5">
        <v>3000000</v>
      </c>
      <c r="K1483" s="5">
        <v>5140000</v>
      </c>
      <c r="L1483" s="5">
        <v>5440000</v>
      </c>
      <c r="M1483" s="7">
        <v>1783.5</v>
      </c>
      <c r="N1483" s="5">
        <v>51900000</v>
      </c>
      <c r="O1483" s="5">
        <v>54900000</v>
      </c>
      <c r="P1483" s="3">
        <v>0.97916666666666663</v>
      </c>
    </row>
    <row r="1484" spans="1:16" x14ac:dyDescent="0.25">
      <c r="A1484" t="s">
        <v>918</v>
      </c>
      <c r="B1484" s="2">
        <v>44524</v>
      </c>
      <c r="C1484" t="str">
        <f>TEXT(B1484,"mm")</f>
        <v>11</v>
      </c>
      <c r="D1484" t="s">
        <v>19</v>
      </c>
      <c r="E1484" t="s">
        <v>1636</v>
      </c>
      <c r="F1484" s="5">
        <v>51400000</v>
      </c>
      <c r="G1484" s="5">
        <v>54400000</v>
      </c>
      <c r="H1484" s="5">
        <f>M1484*26000*1.20565</f>
        <v>55926004.290000007</v>
      </c>
      <c r="I1484" s="5">
        <f>G1484-H1484</f>
        <v>-1526004.2900000066</v>
      </c>
      <c r="J1484" s="5">
        <v>3000000</v>
      </c>
      <c r="K1484" s="5">
        <v>5140000</v>
      </c>
      <c r="L1484" s="5">
        <v>5440000</v>
      </c>
      <c r="M1484" s="7">
        <v>1784.1</v>
      </c>
      <c r="N1484" s="5">
        <v>51900000</v>
      </c>
      <c r="O1484" s="5">
        <v>54900000</v>
      </c>
      <c r="P1484" s="3">
        <v>0.97916666666666663</v>
      </c>
    </row>
    <row r="1485" spans="1:16" x14ac:dyDescent="0.25">
      <c r="A1485" t="s">
        <v>919</v>
      </c>
      <c r="B1485" s="2">
        <v>44526</v>
      </c>
      <c r="C1485" t="str">
        <f>TEXT(B1485,"mm")</f>
        <v>11</v>
      </c>
      <c r="D1485" t="s">
        <v>21</v>
      </c>
      <c r="E1485" t="s">
        <v>1636</v>
      </c>
      <c r="F1485" s="5">
        <v>51500000</v>
      </c>
      <c r="G1485" s="5">
        <v>54500000</v>
      </c>
      <c r="H1485" s="5">
        <f>M1485*26000*1.20565</f>
        <v>55963620.570000008</v>
      </c>
      <c r="I1485" s="5">
        <f>G1485-H1485</f>
        <v>-1463620.5700000077</v>
      </c>
      <c r="J1485" s="5">
        <v>3000000</v>
      </c>
      <c r="K1485" s="5">
        <v>5150000</v>
      </c>
      <c r="L1485" s="5">
        <v>5450000</v>
      </c>
      <c r="M1485" s="7">
        <v>1785.3</v>
      </c>
      <c r="N1485" s="5">
        <v>52000000</v>
      </c>
      <c r="O1485" s="5">
        <v>55000000</v>
      </c>
      <c r="P1485" s="3">
        <v>0.97916666666666663</v>
      </c>
    </row>
    <row r="1486" spans="1:16" x14ac:dyDescent="0.25">
      <c r="A1486" t="s">
        <v>920</v>
      </c>
      <c r="B1486" s="2">
        <v>44529</v>
      </c>
      <c r="C1486" t="str">
        <f>TEXT(B1486,"mm")</f>
        <v>11</v>
      </c>
      <c r="D1486" t="s">
        <v>16</v>
      </c>
      <c r="E1486" t="s">
        <v>1636</v>
      </c>
      <c r="F1486" s="5">
        <v>51400000</v>
      </c>
      <c r="G1486" s="5">
        <v>54400000</v>
      </c>
      <c r="H1486" s="5">
        <f>M1486*26000*1.20565</f>
        <v>55869579.870000005</v>
      </c>
      <c r="I1486" s="5">
        <f>G1486-H1486</f>
        <v>-1469579.8700000048</v>
      </c>
      <c r="J1486" s="5">
        <v>3000000</v>
      </c>
      <c r="K1486" s="5">
        <v>5140000</v>
      </c>
      <c r="L1486" s="5">
        <v>5440000</v>
      </c>
      <c r="M1486" s="7">
        <v>1782.3</v>
      </c>
      <c r="N1486" s="5">
        <v>51900000</v>
      </c>
      <c r="O1486" s="5">
        <v>54900000</v>
      </c>
      <c r="P1486" s="3">
        <v>0.97916666666666663</v>
      </c>
    </row>
    <row r="1487" spans="1:16" x14ac:dyDescent="0.25">
      <c r="A1487" t="s">
        <v>921</v>
      </c>
      <c r="B1487" s="2">
        <v>44530</v>
      </c>
      <c r="C1487" t="str">
        <f>TEXT(B1487,"mm")</f>
        <v>11</v>
      </c>
      <c r="D1487" t="s">
        <v>18</v>
      </c>
      <c r="E1487" t="s">
        <v>1636</v>
      </c>
      <c r="F1487" s="5">
        <v>51100000</v>
      </c>
      <c r="G1487" s="5">
        <v>54100000</v>
      </c>
      <c r="H1487" s="5">
        <f>M1487*26000*1.20565</f>
        <v>55596861.840000004</v>
      </c>
      <c r="I1487" s="5">
        <f>G1487-H1487</f>
        <v>-1496861.8400000036</v>
      </c>
      <c r="J1487" s="5">
        <v>3000000</v>
      </c>
      <c r="K1487" s="5">
        <v>5110000</v>
      </c>
      <c r="L1487" s="5">
        <v>5410000</v>
      </c>
      <c r="M1487" s="7">
        <v>1773.6</v>
      </c>
      <c r="N1487" s="5">
        <v>51600000</v>
      </c>
      <c r="O1487" s="5">
        <v>54600000</v>
      </c>
      <c r="P1487" s="3">
        <v>0.97916666666666663</v>
      </c>
    </row>
    <row r="1488" spans="1:16" x14ac:dyDescent="0.25">
      <c r="A1488" s="2">
        <v>44208</v>
      </c>
      <c r="B1488" s="2">
        <v>44531</v>
      </c>
      <c r="C1488" t="str">
        <f>TEXT(B1488,"mm")</f>
        <v>12</v>
      </c>
      <c r="D1488" t="s">
        <v>19</v>
      </c>
      <c r="E1488" t="s">
        <v>1636</v>
      </c>
      <c r="F1488" s="5">
        <v>51300000</v>
      </c>
      <c r="G1488" s="5">
        <v>54300000</v>
      </c>
      <c r="H1488" s="5">
        <f>M1488*26000*1.20565</f>
        <v>55847637.040000007</v>
      </c>
      <c r="I1488" s="5">
        <f>G1488-H1488</f>
        <v>-1547637.0400000066</v>
      </c>
      <c r="J1488" s="5">
        <v>3000000</v>
      </c>
      <c r="K1488" s="5">
        <v>5130000</v>
      </c>
      <c r="L1488" s="5">
        <v>5430000</v>
      </c>
      <c r="M1488" s="7">
        <v>1781.6</v>
      </c>
      <c r="N1488" s="5">
        <v>51800000</v>
      </c>
      <c r="O1488" s="5">
        <v>54800000</v>
      </c>
      <c r="P1488" s="3">
        <v>0.97916666666666663</v>
      </c>
    </row>
    <row r="1489" spans="1:16" x14ac:dyDescent="0.25">
      <c r="A1489" s="2">
        <v>44239</v>
      </c>
      <c r="B1489" s="2">
        <v>44532</v>
      </c>
      <c r="C1489" t="str">
        <f>TEXT(B1489,"mm")</f>
        <v>12</v>
      </c>
      <c r="D1489" t="s">
        <v>20</v>
      </c>
      <c r="E1489" t="s">
        <v>1636</v>
      </c>
      <c r="F1489" s="5">
        <v>50700000</v>
      </c>
      <c r="G1489" s="5">
        <v>53700000</v>
      </c>
      <c r="H1489" s="5">
        <f>M1489*26000*1.20565</f>
        <v>55192486.830000006</v>
      </c>
      <c r="I1489" s="5">
        <f>G1489-H1489</f>
        <v>-1492486.8300000057</v>
      </c>
      <c r="J1489" s="5">
        <v>3000000</v>
      </c>
      <c r="K1489" s="5">
        <v>5070000</v>
      </c>
      <c r="L1489" s="5">
        <v>5370000</v>
      </c>
      <c r="M1489" s="7">
        <v>1760.7</v>
      </c>
      <c r="N1489" s="5">
        <v>51200000</v>
      </c>
      <c r="O1489" s="5">
        <v>54200000</v>
      </c>
      <c r="P1489" s="3">
        <v>0.97916666666666663</v>
      </c>
    </row>
    <row r="1490" spans="1:16" x14ac:dyDescent="0.25">
      <c r="A1490" s="2">
        <v>44267</v>
      </c>
      <c r="B1490" s="2">
        <v>44533</v>
      </c>
      <c r="C1490" t="str">
        <f>TEXT(B1490,"mm")</f>
        <v>12</v>
      </c>
      <c r="D1490" t="s">
        <v>21</v>
      </c>
      <c r="E1490" t="s">
        <v>1636</v>
      </c>
      <c r="F1490" s="5">
        <v>51400000</v>
      </c>
      <c r="G1490" s="5">
        <v>54400000</v>
      </c>
      <c r="H1490" s="5">
        <f>M1490*26000*1.20565</f>
        <v>55860175.800000004</v>
      </c>
      <c r="I1490" s="5">
        <f>G1490-H1490</f>
        <v>-1460175.8000000045</v>
      </c>
      <c r="J1490" s="5">
        <v>3000000</v>
      </c>
      <c r="K1490" s="5">
        <v>5140000</v>
      </c>
      <c r="L1490" s="5">
        <v>5440000</v>
      </c>
      <c r="M1490" s="7">
        <v>1782</v>
      </c>
      <c r="N1490" s="5">
        <v>51900000</v>
      </c>
      <c r="O1490" s="5">
        <v>54900000</v>
      </c>
      <c r="P1490" s="3">
        <v>0.97916666666666663</v>
      </c>
    </row>
    <row r="1491" spans="1:16" x14ac:dyDescent="0.25">
      <c r="A1491" s="2">
        <v>44359</v>
      </c>
      <c r="B1491" s="2">
        <v>44536</v>
      </c>
      <c r="C1491" t="str">
        <f>TEXT(B1491,"mm")</f>
        <v>12</v>
      </c>
      <c r="D1491" t="s">
        <v>16</v>
      </c>
      <c r="E1491" t="s">
        <v>1636</v>
      </c>
      <c r="F1491" s="5">
        <v>51200000</v>
      </c>
      <c r="G1491" s="5">
        <v>54200000</v>
      </c>
      <c r="H1491" s="5">
        <f>M1491*26000*1.20565</f>
        <v>55719114.750000007</v>
      </c>
      <c r="I1491" s="5">
        <f>G1491-H1491</f>
        <v>-1519114.7500000075</v>
      </c>
      <c r="J1491" s="5">
        <v>3000000</v>
      </c>
      <c r="K1491" s="5">
        <v>5120000</v>
      </c>
      <c r="L1491" s="5">
        <v>5420000</v>
      </c>
      <c r="M1491" s="7">
        <v>1777.5</v>
      </c>
      <c r="N1491" s="5">
        <v>51700000</v>
      </c>
      <c r="O1491" s="5">
        <v>54700000</v>
      </c>
      <c r="P1491" s="3">
        <v>0.97916666666666663</v>
      </c>
    </row>
    <row r="1492" spans="1:16" x14ac:dyDescent="0.25">
      <c r="A1492" s="2">
        <v>44389</v>
      </c>
      <c r="B1492" s="2">
        <v>44537</v>
      </c>
      <c r="C1492" t="str">
        <f>TEXT(B1492,"mm")</f>
        <v>12</v>
      </c>
      <c r="D1492" t="s">
        <v>18</v>
      </c>
      <c r="E1492" t="s">
        <v>1636</v>
      </c>
      <c r="F1492" s="5">
        <v>51400000</v>
      </c>
      <c r="G1492" s="5">
        <v>54400000</v>
      </c>
      <c r="H1492" s="5">
        <f>M1492*26000*1.20565</f>
        <v>55878983.940000005</v>
      </c>
      <c r="I1492" s="5">
        <f>G1492-H1492</f>
        <v>-1478983.9400000051</v>
      </c>
      <c r="J1492" s="5">
        <v>3000000</v>
      </c>
      <c r="K1492" s="5">
        <v>5140000</v>
      </c>
      <c r="L1492" s="5">
        <v>5440000</v>
      </c>
      <c r="M1492" s="7">
        <v>1782.6</v>
      </c>
      <c r="N1492" s="5">
        <v>51900000</v>
      </c>
      <c r="O1492" s="5">
        <v>54900000</v>
      </c>
      <c r="P1492" s="3">
        <v>0.97916666666666663</v>
      </c>
    </row>
    <row r="1493" spans="1:16" x14ac:dyDescent="0.25">
      <c r="A1493" s="2">
        <v>44420</v>
      </c>
      <c r="B1493" s="2">
        <v>44538</v>
      </c>
      <c r="C1493" t="str">
        <f>TEXT(B1493,"mm")</f>
        <v>12</v>
      </c>
      <c r="D1493" t="s">
        <v>19</v>
      </c>
      <c r="E1493" t="s">
        <v>1636</v>
      </c>
      <c r="F1493" s="5">
        <v>51400000</v>
      </c>
      <c r="G1493" s="5">
        <v>54400000</v>
      </c>
      <c r="H1493" s="5">
        <f>M1493*26000*1.20565</f>
        <v>55904061.460000008</v>
      </c>
      <c r="I1493" s="5">
        <f>G1493-H1493</f>
        <v>-1504061.4600000083</v>
      </c>
      <c r="J1493" s="5">
        <v>3000000</v>
      </c>
      <c r="K1493" s="5">
        <v>5140000</v>
      </c>
      <c r="L1493" s="5">
        <v>5440000</v>
      </c>
      <c r="M1493" s="7">
        <v>1783.4</v>
      </c>
      <c r="N1493" s="5">
        <v>51900000</v>
      </c>
      <c r="O1493" s="5">
        <v>54900000</v>
      </c>
      <c r="P1493" s="3">
        <v>0.97916666666666663</v>
      </c>
    </row>
    <row r="1494" spans="1:16" x14ac:dyDescent="0.25">
      <c r="A1494" s="2">
        <v>44451</v>
      </c>
      <c r="B1494" s="2">
        <v>44539</v>
      </c>
      <c r="C1494" t="str">
        <f>TEXT(B1494,"mm")</f>
        <v>12</v>
      </c>
      <c r="D1494" t="s">
        <v>20</v>
      </c>
      <c r="E1494" t="s">
        <v>1636</v>
      </c>
      <c r="F1494" s="5">
        <v>51100000</v>
      </c>
      <c r="G1494" s="5">
        <v>54100000</v>
      </c>
      <c r="H1494" s="5">
        <f>M1494*26000*1.20565</f>
        <v>55628208.740000002</v>
      </c>
      <c r="I1494" s="5">
        <f>G1494-H1494</f>
        <v>-1528208.7400000021</v>
      </c>
      <c r="J1494" s="5">
        <v>3000000</v>
      </c>
      <c r="K1494" s="5">
        <v>5110000</v>
      </c>
      <c r="L1494" s="5">
        <v>5410000</v>
      </c>
      <c r="M1494" s="7">
        <v>1774.6</v>
      </c>
      <c r="N1494" s="5">
        <v>51600000</v>
      </c>
      <c r="O1494" s="5">
        <v>54600000</v>
      </c>
      <c r="P1494" s="3">
        <v>0.97916666666666663</v>
      </c>
    </row>
    <row r="1495" spans="1:16" x14ac:dyDescent="0.25">
      <c r="A1495" s="2">
        <v>44481</v>
      </c>
      <c r="B1495" s="2">
        <v>44540</v>
      </c>
      <c r="C1495" t="str">
        <f>TEXT(B1495,"mm")</f>
        <v>12</v>
      </c>
      <c r="D1495" t="s">
        <v>21</v>
      </c>
      <c r="E1495" t="s">
        <v>1636</v>
      </c>
      <c r="F1495" s="5">
        <v>51400000</v>
      </c>
      <c r="G1495" s="5">
        <v>54400000</v>
      </c>
      <c r="H1495" s="5">
        <f>M1495*26000*1.20565</f>
        <v>55888388.010000005</v>
      </c>
      <c r="I1495" s="5">
        <f>G1495-H1495</f>
        <v>-1488388.0100000054</v>
      </c>
      <c r="J1495" s="5">
        <v>3000000</v>
      </c>
      <c r="K1495" s="5">
        <v>5140000</v>
      </c>
      <c r="L1495" s="5">
        <v>5440000</v>
      </c>
      <c r="M1495" s="7">
        <v>1782.9</v>
      </c>
      <c r="N1495" s="5">
        <v>51900000</v>
      </c>
      <c r="O1495" s="5">
        <v>54900000</v>
      </c>
      <c r="P1495" s="3">
        <v>0.97916666666666663</v>
      </c>
    </row>
    <row r="1496" spans="1:16" x14ac:dyDescent="0.25">
      <c r="A1496" t="s">
        <v>922</v>
      </c>
      <c r="B1496" s="2">
        <v>44543</v>
      </c>
      <c r="C1496" t="str">
        <f>TEXT(B1496,"mm")</f>
        <v>12</v>
      </c>
      <c r="D1496" t="s">
        <v>16</v>
      </c>
      <c r="E1496" t="s">
        <v>1636</v>
      </c>
      <c r="F1496" s="5">
        <v>51500000</v>
      </c>
      <c r="G1496" s="5">
        <v>54500000</v>
      </c>
      <c r="H1496" s="5">
        <f>M1496*26000*1.20565</f>
        <v>55994967.470000006</v>
      </c>
      <c r="I1496" s="5">
        <f>G1496-H1496</f>
        <v>-1494967.4700000063</v>
      </c>
      <c r="J1496" s="5">
        <v>3000000</v>
      </c>
      <c r="K1496" s="5">
        <v>5150000</v>
      </c>
      <c r="L1496" s="5">
        <v>5450000</v>
      </c>
      <c r="M1496" s="7">
        <v>1786.3</v>
      </c>
      <c r="N1496" s="5">
        <v>52000000</v>
      </c>
      <c r="O1496" s="5">
        <v>55000000</v>
      </c>
      <c r="P1496" s="3">
        <v>0.97916666666666663</v>
      </c>
    </row>
    <row r="1497" spans="1:16" x14ac:dyDescent="0.25">
      <c r="A1497" t="s">
        <v>923</v>
      </c>
      <c r="B1497" s="2">
        <v>44544</v>
      </c>
      <c r="C1497" t="str">
        <f>TEXT(B1497,"mm")</f>
        <v>12</v>
      </c>
      <c r="D1497" t="s">
        <v>18</v>
      </c>
      <c r="E1497" t="s">
        <v>1636</v>
      </c>
      <c r="F1497" s="5">
        <v>51000000</v>
      </c>
      <c r="G1497" s="5">
        <v>54000000</v>
      </c>
      <c r="H1497" s="5">
        <f>M1497*26000*1.20565</f>
        <v>55496551.760000005</v>
      </c>
      <c r="I1497" s="5">
        <f>G1497-H1497</f>
        <v>-1496551.7600000054</v>
      </c>
      <c r="J1497" s="5">
        <v>3000000</v>
      </c>
      <c r="K1497" s="5">
        <v>5100000</v>
      </c>
      <c r="L1497" s="5">
        <v>5400000</v>
      </c>
      <c r="M1497" s="7">
        <v>1770.4</v>
      </c>
      <c r="N1497" s="5">
        <v>51500000</v>
      </c>
      <c r="O1497" s="5">
        <v>54500000</v>
      </c>
      <c r="P1497" s="3">
        <v>0.97916666666666663</v>
      </c>
    </row>
    <row r="1498" spans="1:16" x14ac:dyDescent="0.25">
      <c r="A1498" t="s">
        <v>924</v>
      </c>
      <c r="B1498" s="2">
        <v>44545</v>
      </c>
      <c r="C1498" t="str">
        <f>TEXT(B1498,"mm")</f>
        <v>12</v>
      </c>
      <c r="D1498" t="s">
        <v>19</v>
      </c>
      <c r="E1498" t="s">
        <v>1636</v>
      </c>
      <c r="F1498" s="5">
        <v>50800000</v>
      </c>
      <c r="G1498" s="5">
        <v>53800000</v>
      </c>
      <c r="H1498" s="5">
        <f>M1498*26000*1.20565</f>
        <v>55252045.940000005</v>
      </c>
      <c r="I1498" s="5">
        <f>G1498-H1498</f>
        <v>-1452045.9400000051</v>
      </c>
      <c r="J1498" s="5">
        <v>3000000</v>
      </c>
      <c r="K1498" s="5">
        <v>5080000</v>
      </c>
      <c r="L1498" s="5">
        <v>5380000</v>
      </c>
      <c r="M1498" s="7">
        <v>1762.6</v>
      </c>
      <c r="N1498" s="5">
        <v>51300000</v>
      </c>
      <c r="O1498" s="5">
        <v>54300000</v>
      </c>
      <c r="P1498" s="3">
        <v>0.97916666666666663</v>
      </c>
    </row>
    <row r="1499" spans="1:16" x14ac:dyDescent="0.25">
      <c r="A1499" t="s">
        <v>925</v>
      </c>
      <c r="B1499" s="2">
        <v>44546</v>
      </c>
      <c r="C1499" t="str">
        <f>TEXT(B1499,"mm")</f>
        <v>12</v>
      </c>
      <c r="D1499" t="s">
        <v>20</v>
      </c>
      <c r="E1499" t="s">
        <v>1636</v>
      </c>
      <c r="F1499" s="5">
        <v>51800000</v>
      </c>
      <c r="G1499" s="5">
        <v>54800000</v>
      </c>
      <c r="H1499" s="5">
        <f>M1499*26000*1.20565</f>
        <v>56317840.540000007</v>
      </c>
      <c r="I1499" s="5">
        <f>G1499-H1499</f>
        <v>-1517840.5400000066</v>
      </c>
      <c r="J1499" s="5">
        <v>3000000</v>
      </c>
      <c r="K1499" s="5">
        <v>5180000</v>
      </c>
      <c r="L1499" s="5">
        <v>5480000</v>
      </c>
      <c r="M1499" s="7">
        <v>1796.6</v>
      </c>
      <c r="N1499" s="5">
        <v>52300000</v>
      </c>
      <c r="O1499" s="5">
        <v>55300000</v>
      </c>
      <c r="P1499" s="3">
        <v>0.97916666666666663</v>
      </c>
    </row>
    <row r="1500" spans="1:16" x14ac:dyDescent="0.25">
      <c r="A1500" t="s">
        <v>926</v>
      </c>
      <c r="B1500" s="2">
        <v>44547</v>
      </c>
      <c r="C1500" t="str">
        <f>TEXT(B1500,"mm")</f>
        <v>12</v>
      </c>
      <c r="D1500" t="s">
        <v>21</v>
      </c>
      <c r="E1500" t="s">
        <v>1636</v>
      </c>
      <c r="F1500" s="5">
        <v>52000000</v>
      </c>
      <c r="G1500" s="5">
        <v>55000000</v>
      </c>
      <c r="H1500" s="5">
        <f>M1500*26000*1.20565</f>
        <v>56543538.220000006</v>
      </c>
      <c r="I1500" s="5">
        <f>G1500-H1500</f>
        <v>-1543538.2200000063</v>
      </c>
      <c r="J1500" s="5">
        <v>3000000</v>
      </c>
      <c r="K1500" s="5">
        <v>5200000</v>
      </c>
      <c r="L1500" s="5">
        <v>5500000</v>
      </c>
      <c r="M1500" s="7">
        <v>1803.8</v>
      </c>
      <c r="N1500" s="5">
        <v>52500000</v>
      </c>
      <c r="O1500" s="5">
        <v>55500000</v>
      </c>
      <c r="P1500" s="3">
        <v>0.97916666666666663</v>
      </c>
    </row>
    <row r="1501" spans="1:16" x14ac:dyDescent="0.25">
      <c r="A1501" t="s">
        <v>927</v>
      </c>
      <c r="B1501" s="2">
        <v>44550</v>
      </c>
      <c r="C1501" t="str">
        <f>TEXT(B1501,"mm")</f>
        <v>12</v>
      </c>
      <c r="D1501" t="s">
        <v>16</v>
      </c>
      <c r="E1501" t="s">
        <v>1636</v>
      </c>
      <c r="F1501" s="5">
        <v>51700000</v>
      </c>
      <c r="G1501" s="5">
        <v>54700000</v>
      </c>
      <c r="H1501" s="5">
        <f>M1501*26000*1.20565</f>
        <v>56226934.530000009</v>
      </c>
      <c r="I1501" s="5">
        <f>G1501-H1501</f>
        <v>-1526934.5300000086</v>
      </c>
      <c r="J1501" s="5">
        <v>3000000</v>
      </c>
      <c r="K1501" s="5">
        <v>5170000</v>
      </c>
      <c r="L1501" s="5">
        <v>5470000</v>
      </c>
      <c r="M1501" s="7">
        <v>1793.7</v>
      </c>
      <c r="N1501" s="5">
        <v>52200000</v>
      </c>
      <c r="O1501" s="5">
        <v>55200000</v>
      </c>
      <c r="P1501" s="3">
        <v>0.97916666666666663</v>
      </c>
    </row>
    <row r="1502" spans="1:16" x14ac:dyDescent="0.25">
      <c r="A1502" t="s">
        <v>928</v>
      </c>
      <c r="B1502" s="2">
        <v>44551</v>
      </c>
      <c r="C1502" t="str">
        <f>TEXT(B1502,"mm")</f>
        <v>12</v>
      </c>
      <c r="D1502" t="s">
        <v>18</v>
      </c>
      <c r="E1502" t="s">
        <v>1636</v>
      </c>
      <c r="F1502" s="5">
        <v>51500000</v>
      </c>
      <c r="G1502" s="5">
        <v>54500000</v>
      </c>
      <c r="H1502" s="5">
        <f>M1502*26000*1.20565</f>
        <v>56045122.510000005</v>
      </c>
      <c r="I1502" s="5">
        <f>G1502-H1502</f>
        <v>-1545122.5100000054</v>
      </c>
      <c r="J1502" s="5">
        <v>3000000</v>
      </c>
      <c r="K1502" s="5">
        <v>5150000</v>
      </c>
      <c r="L1502" s="5">
        <v>5450000</v>
      </c>
      <c r="M1502" s="7">
        <v>1787.9</v>
      </c>
      <c r="N1502" s="5">
        <v>52000000</v>
      </c>
      <c r="O1502" s="5">
        <v>55000000</v>
      </c>
      <c r="P1502" s="3">
        <v>0.97916666666666663</v>
      </c>
    </row>
    <row r="1503" spans="1:16" x14ac:dyDescent="0.25">
      <c r="A1503" t="s">
        <v>929</v>
      </c>
      <c r="B1503" s="2">
        <v>44552</v>
      </c>
      <c r="C1503" t="str">
        <f>TEXT(B1503,"mm")</f>
        <v>12</v>
      </c>
      <c r="D1503" t="s">
        <v>19</v>
      </c>
      <c r="E1503" t="s">
        <v>1636</v>
      </c>
      <c r="F1503" s="5">
        <v>52000000</v>
      </c>
      <c r="G1503" s="5">
        <v>55000000</v>
      </c>
      <c r="H1503" s="5">
        <f>M1503*26000*1.20565</f>
        <v>56474575.040000007</v>
      </c>
      <c r="I1503" s="5">
        <f>G1503-H1503</f>
        <v>-1474575.0400000066</v>
      </c>
      <c r="J1503" s="5">
        <v>3000000</v>
      </c>
      <c r="K1503" s="5">
        <v>5200000</v>
      </c>
      <c r="L1503" s="5">
        <v>5500000</v>
      </c>
      <c r="M1503" s="7">
        <v>1801.6</v>
      </c>
      <c r="N1503" s="5">
        <v>52500000</v>
      </c>
      <c r="O1503" s="5">
        <v>55500000</v>
      </c>
      <c r="P1503" s="3">
        <v>0.97916666666666663</v>
      </c>
    </row>
    <row r="1504" spans="1:16" x14ac:dyDescent="0.25">
      <c r="A1504" t="s">
        <v>930</v>
      </c>
      <c r="B1504" s="2">
        <v>44553</v>
      </c>
      <c r="C1504" t="str">
        <f>TEXT(B1504,"mm")</f>
        <v>12</v>
      </c>
      <c r="D1504" t="s">
        <v>20</v>
      </c>
      <c r="E1504" t="s">
        <v>1636</v>
      </c>
      <c r="F1504" s="5">
        <v>52200000</v>
      </c>
      <c r="G1504" s="5">
        <v>55200000</v>
      </c>
      <c r="H1504" s="5">
        <f>M1504*26000*1.20565</f>
        <v>56775505.280000009</v>
      </c>
      <c r="I1504" s="5">
        <f>G1504-H1504</f>
        <v>-1575505.2800000086</v>
      </c>
      <c r="J1504" s="5">
        <v>3000000</v>
      </c>
      <c r="K1504" s="5">
        <v>5220000</v>
      </c>
      <c r="L1504" s="5">
        <v>5520000</v>
      </c>
      <c r="M1504" s="7">
        <v>1811.2</v>
      </c>
      <c r="N1504" s="5">
        <v>52700000</v>
      </c>
      <c r="O1504" s="5">
        <v>55700000</v>
      </c>
      <c r="P1504" s="3">
        <v>0.97916666666666663</v>
      </c>
    </row>
    <row r="1505" spans="1:16" x14ac:dyDescent="0.25">
      <c r="A1505" t="s">
        <v>931</v>
      </c>
      <c r="B1505" s="2">
        <v>44557</v>
      </c>
      <c r="C1505" t="str">
        <f>TEXT(B1505,"mm")</f>
        <v>12</v>
      </c>
      <c r="D1505" t="s">
        <v>16</v>
      </c>
      <c r="E1505" t="s">
        <v>1636</v>
      </c>
      <c r="F1505" s="5">
        <v>52200000</v>
      </c>
      <c r="G1505" s="5">
        <v>55200000</v>
      </c>
      <c r="H1505" s="5">
        <f>M1505*26000*1.20565</f>
        <v>56678329.890000008</v>
      </c>
      <c r="I1505" s="5">
        <f>G1505-H1505</f>
        <v>-1478329.890000008</v>
      </c>
      <c r="J1505" s="5">
        <v>3000000</v>
      </c>
      <c r="K1505" s="5">
        <v>5220000</v>
      </c>
      <c r="L1505" s="5">
        <v>5520000</v>
      </c>
      <c r="M1505" s="7">
        <v>1808.1</v>
      </c>
      <c r="N1505" s="5">
        <v>52700000</v>
      </c>
      <c r="O1505" s="5">
        <v>55700000</v>
      </c>
      <c r="P1505" s="3">
        <v>0.97916666666666663</v>
      </c>
    </row>
    <row r="1506" spans="1:16" x14ac:dyDescent="0.25">
      <c r="A1506" t="s">
        <v>932</v>
      </c>
      <c r="B1506" s="2">
        <v>44558</v>
      </c>
      <c r="C1506" t="str">
        <f>TEXT(B1506,"mm")</f>
        <v>12</v>
      </c>
      <c r="D1506" t="s">
        <v>18</v>
      </c>
      <c r="E1506" t="s">
        <v>1636</v>
      </c>
      <c r="F1506" s="5">
        <v>52200000</v>
      </c>
      <c r="G1506" s="5">
        <v>55200000</v>
      </c>
      <c r="H1506" s="5">
        <f>M1506*26000*1.20565</f>
        <v>56744158.380000003</v>
      </c>
      <c r="I1506" s="5">
        <f>G1506-H1506</f>
        <v>-1544158.3800000027</v>
      </c>
      <c r="J1506" s="5">
        <v>3000000</v>
      </c>
      <c r="K1506" s="5">
        <v>5220000</v>
      </c>
      <c r="L1506" s="5">
        <v>5520000</v>
      </c>
      <c r="M1506" s="7">
        <v>1810.2</v>
      </c>
      <c r="N1506" s="5">
        <v>52700000</v>
      </c>
      <c r="O1506" s="5">
        <v>55700000</v>
      </c>
      <c r="P1506" s="3">
        <v>0.97916666666666663</v>
      </c>
    </row>
    <row r="1507" spans="1:16" x14ac:dyDescent="0.25">
      <c r="A1507" t="s">
        <v>933</v>
      </c>
      <c r="B1507" s="2">
        <v>44559</v>
      </c>
      <c r="C1507" t="str">
        <f>TEXT(B1507,"mm")</f>
        <v>12</v>
      </c>
      <c r="D1507" t="s">
        <v>19</v>
      </c>
      <c r="E1507" t="s">
        <v>1636</v>
      </c>
      <c r="F1507" s="5">
        <v>52100000</v>
      </c>
      <c r="G1507" s="5">
        <v>55100000</v>
      </c>
      <c r="H1507" s="5">
        <f>M1507*26000*1.20565</f>
        <v>56584289.190000005</v>
      </c>
      <c r="I1507" s="5">
        <f>G1507-H1507</f>
        <v>-1484289.1900000051</v>
      </c>
      <c r="J1507" s="5">
        <v>3000000</v>
      </c>
      <c r="K1507" s="5">
        <v>5210000</v>
      </c>
      <c r="L1507" s="5">
        <v>5510000</v>
      </c>
      <c r="M1507" s="7">
        <v>1805.1</v>
      </c>
      <c r="N1507" s="5">
        <v>52600000</v>
      </c>
      <c r="O1507" s="5">
        <v>55600000</v>
      </c>
      <c r="P1507" s="3">
        <v>0.97916666666666663</v>
      </c>
    </row>
    <row r="1508" spans="1:16" x14ac:dyDescent="0.25">
      <c r="A1508" t="s">
        <v>934</v>
      </c>
      <c r="B1508" s="2">
        <v>44560</v>
      </c>
      <c r="C1508" t="str">
        <f>TEXT(B1508,"mm")</f>
        <v>12</v>
      </c>
      <c r="D1508" t="s">
        <v>20</v>
      </c>
      <c r="E1508" t="s">
        <v>1636</v>
      </c>
      <c r="F1508" s="5">
        <v>52300000</v>
      </c>
      <c r="G1508" s="5">
        <v>55300000</v>
      </c>
      <c r="H1508" s="5">
        <f>M1508*26000*1.20565</f>
        <v>56822525.630000003</v>
      </c>
      <c r="I1508" s="5">
        <f>G1508-H1508</f>
        <v>-1522525.6300000027</v>
      </c>
      <c r="J1508" s="5">
        <v>3000000</v>
      </c>
      <c r="K1508" s="5">
        <v>5230000</v>
      </c>
      <c r="L1508" s="5">
        <v>5530000</v>
      </c>
      <c r="M1508" s="7">
        <v>1812.7</v>
      </c>
      <c r="N1508" s="5">
        <v>52800000</v>
      </c>
      <c r="O1508" s="5">
        <v>55800000</v>
      </c>
      <c r="P1508" s="3">
        <v>0.97916666666666663</v>
      </c>
    </row>
    <row r="1509" spans="1:16" x14ac:dyDescent="0.25">
      <c r="A1509" t="s">
        <v>935</v>
      </c>
      <c r="B1509" s="2">
        <v>44561</v>
      </c>
      <c r="C1509" t="str">
        <f>TEXT(B1509,"mm")</f>
        <v>12</v>
      </c>
      <c r="D1509" t="s">
        <v>21</v>
      </c>
      <c r="E1509" t="s">
        <v>1636</v>
      </c>
      <c r="F1509" s="5">
        <v>52700000</v>
      </c>
      <c r="G1509" s="5">
        <v>55700000</v>
      </c>
      <c r="H1509" s="5">
        <f>M1509*26000*1.20565</f>
        <v>57286459.750000007</v>
      </c>
      <c r="I1509" s="5">
        <f>G1509-H1509</f>
        <v>-1586459.7500000075</v>
      </c>
      <c r="J1509" s="5">
        <v>3000000</v>
      </c>
      <c r="K1509" s="5">
        <v>5270000</v>
      </c>
      <c r="L1509" s="5">
        <v>5570000</v>
      </c>
      <c r="M1509" s="7">
        <v>1827.5</v>
      </c>
      <c r="N1509" s="5">
        <v>53200000</v>
      </c>
      <c r="O1509" s="5">
        <v>56200000</v>
      </c>
      <c r="P1509" s="3">
        <v>0.97916666666666663</v>
      </c>
    </row>
    <row r="1510" spans="1:16" x14ac:dyDescent="0.25">
      <c r="A1510" s="2">
        <v>44621</v>
      </c>
      <c r="B1510" s="2">
        <v>44564</v>
      </c>
      <c r="C1510" t="str">
        <f>TEXT(B1510,"mm")</f>
        <v>01</v>
      </c>
      <c r="D1510" t="s">
        <v>16</v>
      </c>
      <c r="E1510" t="s">
        <v>1636</v>
      </c>
      <c r="F1510" s="5">
        <v>54800000</v>
      </c>
      <c r="G1510" s="5">
        <v>57800000</v>
      </c>
      <c r="H1510" s="5">
        <f>M1510*26000*1.20565</f>
        <v>56405611.860000007</v>
      </c>
      <c r="I1510" s="5">
        <f>G1510-H1510</f>
        <v>1394388.1399999931</v>
      </c>
      <c r="J1510" s="5">
        <v>3000000</v>
      </c>
      <c r="K1510" s="5">
        <v>5480000</v>
      </c>
      <c r="L1510" s="5">
        <v>5780000</v>
      </c>
      <c r="M1510" s="7">
        <v>1799.4</v>
      </c>
      <c r="N1510" s="5">
        <v>55300000</v>
      </c>
      <c r="O1510" s="5">
        <v>58300000</v>
      </c>
      <c r="P1510" s="3">
        <v>0.97916666666666663</v>
      </c>
    </row>
    <row r="1511" spans="1:16" x14ac:dyDescent="0.25">
      <c r="A1511" s="2">
        <v>44652</v>
      </c>
      <c r="B1511" s="2">
        <v>44565</v>
      </c>
      <c r="C1511" t="str">
        <f>TEXT(B1511,"mm")</f>
        <v>01</v>
      </c>
      <c r="D1511" t="s">
        <v>18</v>
      </c>
      <c r="E1511" t="s">
        <v>1636</v>
      </c>
      <c r="F1511" s="5">
        <v>55300000</v>
      </c>
      <c r="G1511" s="5">
        <v>58300000</v>
      </c>
      <c r="H1511" s="5">
        <f>M1511*26000*1.20565</f>
        <v>56863276.600000001</v>
      </c>
      <c r="I1511" s="5">
        <f>G1511-H1511</f>
        <v>1436723.3999999985</v>
      </c>
      <c r="J1511" s="5">
        <v>3000000</v>
      </c>
      <c r="K1511" s="5">
        <v>5530000</v>
      </c>
      <c r="L1511" s="5">
        <v>5830000</v>
      </c>
      <c r="M1511" s="7">
        <v>1814</v>
      </c>
      <c r="N1511" s="5">
        <v>55800000</v>
      </c>
      <c r="O1511" s="5">
        <v>58800000</v>
      </c>
      <c r="P1511" s="3">
        <v>0.97916666666666663</v>
      </c>
    </row>
    <row r="1512" spans="1:16" x14ac:dyDescent="0.25">
      <c r="A1512" s="2">
        <v>44682</v>
      </c>
      <c r="B1512" s="2">
        <v>44566</v>
      </c>
      <c r="C1512" t="str">
        <f>TEXT(B1512,"mm")</f>
        <v>01</v>
      </c>
      <c r="D1512" t="s">
        <v>19</v>
      </c>
      <c r="E1512" t="s">
        <v>1636</v>
      </c>
      <c r="F1512" s="5">
        <v>55600000</v>
      </c>
      <c r="G1512" s="5">
        <v>58600000</v>
      </c>
      <c r="H1512" s="5">
        <f>M1512*26000*1.20565</f>
        <v>57195553.740000002</v>
      </c>
      <c r="I1512" s="5">
        <f>G1512-H1512</f>
        <v>1404446.2599999979</v>
      </c>
      <c r="J1512" s="5">
        <v>3000000</v>
      </c>
      <c r="K1512" s="5">
        <v>5560000</v>
      </c>
      <c r="L1512" s="5">
        <v>5860000</v>
      </c>
      <c r="M1512" s="7">
        <v>1824.6</v>
      </c>
      <c r="N1512" s="5">
        <v>56100000</v>
      </c>
      <c r="O1512" s="5">
        <v>59100000</v>
      </c>
      <c r="P1512" s="3">
        <v>0.97916666666666663</v>
      </c>
    </row>
    <row r="1513" spans="1:16" x14ac:dyDescent="0.25">
      <c r="A1513" s="2">
        <v>44713</v>
      </c>
      <c r="B1513" s="2">
        <v>44567</v>
      </c>
      <c r="C1513" t="str">
        <f>TEXT(B1513,"mm")</f>
        <v>01</v>
      </c>
      <c r="D1513" t="s">
        <v>20</v>
      </c>
      <c r="E1513" t="s">
        <v>1636</v>
      </c>
      <c r="F1513" s="5">
        <v>54500000</v>
      </c>
      <c r="G1513" s="5">
        <v>57500000</v>
      </c>
      <c r="H1513" s="5">
        <f>M1513*26000*1.20565</f>
        <v>56070200.030000009</v>
      </c>
      <c r="I1513" s="5">
        <f>G1513-H1513</f>
        <v>1429799.9699999914</v>
      </c>
      <c r="J1513" s="5">
        <v>3000000</v>
      </c>
      <c r="K1513" s="5">
        <v>5450000</v>
      </c>
      <c r="L1513" s="5">
        <v>5750000</v>
      </c>
      <c r="M1513" s="7">
        <v>1788.7</v>
      </c>
      <c r="N1513" s="5">
        <v>55000000</v>
      </c>
      <c r="O1513" s="5">
        <v>58000000</v>
      </c>
      <c r="P1513" s="3">
        <v>0.97916666666666663</v>
      </c>
    </row>
    <row r="1514" spans="1:16" x14ac:dyDescent="0.25">
      <c r="A1514" s="2">
        <v>44743</v>
      </c>
      <c r="B1514" s="2">
        <v>44568</v>
      </c>
      <c r="C1514" t="str">
        <f>TEXT(B1514,"mm")</f>
        <v>01</v>
      </c>
      <c r="D1514" t="s">
        <v>21</v>
      </c>
      <c r="E1514" t="s">
        <v>1636</v>
      </c>
      <c r="F1514" s="5">
        <v>54800000</v>
      </c>
      <c r="G1514" s="5">
        <v>57800000</v>
      </c>
      <c r="H1514" s="5">
        <f>M1514*26000*1.20565</f>
        <v>56330379.300000004</v>
      </c>
      <c r="I1514" s="5">
        <f>G1514-H1514</f>
        <v>1469620.6999999955</v>
      </c>
      <c r="J1514" s="5">
        <v>3000000</v>
      </c>
      <c r="K1514" s="5">
        <v>5480000</v>
      </c>
      <c r="L1514" s="5">
        <v>5780000</v>
      </c>
      <c r="M1514" s="7">
        <v>1797</v>
      </c>
      <c r="N1514" s="5">
        <v>55300000</v>
      </c>
      <c r="O1514" s="5">
        <v>58300000</v>
      </c>
      <c r="P1514" s="3">
        <v>0.97916666666666663</v>
      </c>
    </row>
    <row r="1515" spans="1:16" x14ac:dyDescent="0.25">
      <c r="A1515" s="2">
        <v>44835</v>
      </c>
      <c r="B1515" s="2">
        <v>44571</v>
      </c>
      <c r="C1515" t="str">
        <f>TEXT(B1515,"mm")</f>
        <v>01</v>
      </c>
      <c r="D1515" t="s">
        <v>16</v>
      </c>
      <c r="E1515" t="s">
        <v>1636</v>
      </c>
      <c r="F1515" s="5">
        <v>54800000</v>
      </c>
      <c r="G1515" s="5">
        <v>57800000</v>
      </c>
      <c r="H1515" s="5">
        <f>M1515*26000*1.20565</f>
        <v>56374264.960000008</v>
      </c>
      <c r="I1515" s="5">
        <f>G1515-H1515</f>
        <v>1425735.0399999917</v>
      </c>
      <c r="J1515" s="5">
        <v>3000000</v>
      </c>
      <c r="K1515" s="5">
        <v>5480000</v>
      </c>
      <c r="L1515" s="5">
        <v>5780000</v>
      </c>
      <c r="M1515" s="7">
        <v>1798.4</v>
      </c>
      <c r="N1515" s="5">
        <v>55300000</v>
      </c>
      <c r="O1515" s="5">
        <v>58300000</v>
      </c>
      <c r="P1515" s="3">
        <v>0.97916666666666663</v>
      </c>
    </row>
    <row r="1516" spans="1:16" x14ac:dyDescent="0.25">
      <c r="A1516" s="2">
        <v>44866</v>
      </c>
      <c r="B1516" s="2">
        <v>44572</v>
      </c>
      <c r="C1516" t="str">
        <f>TEXT(B1516,"mm")</f>
        <v>01</v>
      </c>
      <c r="D1516" t="s">
        <v>18</v>
      </c>
      <c r="E1516" t="s">
        <v>1636</v>
      </c>
      <c r="F1516" s="5">
        <v>55400000</v>
      </c>
      <c r="G1516" s="5">
        <v>58400000</v>
      </c>
      <c r="H1516" s="5">
        <f>M1516*26000*1.20565</f>
        <v>57007472.340000004</v>
      </c>
      <c r="I1516" s="5">
        <f>G1516-H1516</f>
        <v>1392527.6599999964</v>
      </c>
      <c r="J1516" s="5">
        <v>3000000</v>
      </c>
      <c r="K1516" s="5">
        <v>5540000</v>
      </c>
      <c r="L1516" s="5">
        <v>5840000</v>
      </c>
      <c r="M1516" s="7">
        <v>1818.6</v>
      </c>
      <c r="N1516" s="5">
        <v>55900000</v>
      </c>
      <c r="O1516" s="5">
        <v>58900000</v>
      </c>
      <c r="P1516" s="3">
        <v>0.97916666666666663</v>
      </c>
    </row>
    <row r="1517" spans="1:16" x14ac:dyDescent="0.25">
      <c r="A1517" s="2">
        <v>44896</v>
      </c>
      <c r="B1517" s="2">
        <v>44573</v>
      </c>
      <c r="C1517" t="str">
        <f>TEXT(B1517,"mm")</f>
        <v>01</v>
      </c>
      <c r="D1517" t="s">
        <v>19</v>
      </c>
      <c r="E1517" t="s">
        <v>1636</v>
      </c>
      <c r="F1517" s="5">
        <v>55700000</v>
      </c>
      <c r="G1517" s="5">
        <v>58700000</v>
      </c>
      <c r="H1517" s="5">
        <f>M1517*26000*1.20565</f>
        <v>57277055.680000007</v>
      </c>
      <c r="I1517" s="5">
        <f>G1517-H1517</f>
        <v>1422944.3199999928</v>
      </c>
      <c r="J1517" s="5">
        <v>3000000</v>
      </c>
      <c r="K1517" s="5">
        <v>5570000</v>
      </c>
      <c r="L1517" s="5">
        <v>5870000</v>
      </c>
      <c r="M1517" s="7">
        <v>1827.2</v>
      </c>
      <c r="N1517" s="5">
        <v>56200000</v>
      </c>
      <c r="O1517" s="5">
        <v>59200000</v>
      </c>
      <c r="P1517" s="3">
        <v>0.97916666666666663</v>
      </c>
    </row>
    <row r="1518" spans="1:16" x14ac:dyDescent="0.25">
      <c r="A1518" t="s">
        <v>936</v>
      </c>
      <c r="B1518" s="2">
        <v>44574</v>
      </c>
      <c r="C1518" t="str">
        <f>TEXT(B1518,"mm")</f>
        <v>01</v>
      </c>
      <c r="D1518" t="s">
        <v>20</v>
      </c>
      <c r="E1518" t="s">
        <v>1636</v>
      </c>
      <c r="F1518" s="5">
        <v>55500000</v>
      </c>
      <c r="G1518" s="5">
        <v>58500000</v>
      </c>
      <c r="H1518" s="5">
        <f>M1518*26000*1.20565</f>
        <v>57088974.280000009</v>
      </c>
      <c r="I1518" s="5">
        <f>G1518-H1518</f>
        <v>1411025.7199999914</v>
      </c>
      <c r="J1518" s="5">
        <v>3000000</v>
      </c>
      <c r="K1518" s="5">
        <v>5550000</v>
      </c>
      <c r="L1518" s="5">
        <v>5850000</v>
      </c>
      <c r="M1518" s="7">
        <v>1821.2</v>
      </c>
      <c r="N1518" s="5">
        <v>56000000</v>
      </c>
      <c r="O1518" s="5">
        <v>59000000</v>
      </c>
      <c r="P1518" s="3">
        <v>0.97916666666666663</v>
      </c>
    </row>
    <row r="1519" spans="1:16" x14ac:dyDescent="0.25">
      <c r="A1519" t="s">
        <v>937</v>
      </c>
      <c r="B1519" s="2">
        <v>44575</v>
      </c>
      <c r="C1519" t="str">
        <f>TEXT(B1519,"mm")</f>
        <v>01</v>
      </c>
      <c r="D1519" t="s">
        <v>21</v>
      </c>
      <c r="E1519" t="s">
        <v>1636</v>
      </c>
      <c r="F1519" s="5">
        <v>55400000</v>
      </c>
      <c r="G1519" s="5">
        <v>58400000</v>
      </c>
      <c r="H1519" s="5">
        <f>M1519*26000*1.20565</f>
        <v>56941643.850000009</v>
      </c>
      <c r="I1519" s="5">
        <f>G1519-H1519</f>
        <v>1458356.1499999911</v>
      </c>
      <c r="J1519" s="5">
        <v>3000000</v>
      </c>
      <c r="K1519" s="5">
        <v>5540000</v>
      </c>
      <c r="L1519" s="5">
        <v>5840000</v>
      </c>
      <c r="M1519" s="7">
        <v>1816.5</v>
      </c>
      <c r="N1519" s="5">
        <v>55900000</v>
      </c>
      <c r="O1519" s="5">
        <v>58900000</v>
      </c>
      <c r="P1519" s="3">
        <v>0.97916666666666663</v>
      </c>
    </row>
    <row r="1520" spans="1:16" x14ac:dyDescent="0.25">
      <c r="A1520" t="s">
        <v>938</v>
      </c>
      <c r="B1520" s="2">
        <v>44579</v>
      </c>
      <c r="C1520" t="str">
        <f>TEXT(B1520,"mm")</f>
        <v>01</v>
      </c>
      <c r="D1520" t="s">
        <v>18</v>
      </c>
      <c r="E1520" t="s">
        <v>1636</v>
      </c>
      <c r="F1520" s="5">
        <v>55200000</v>
      </c>
      <c r="G1520" s="5">
        <v>58200000</v>
      </c>
      <c r="H1520" s="5">
        <f>M1520*26000*1.20565</f>
        <v>56809986.870000005</v>
      </c>
      <c r="I1520" s="5">
        <f>G1520-H1520</f>
        <v>1390013.1299999952</v>
      </c>
      <c r="J1520" s="5">
        <v>3000000</v>
      </c>
      <c r="K1520" s="5">
        <v>5520000</v>
      </c>
      <c r="L1520" s="5">
        <v>5820000</v>
      </c>
      <c r="M1520" s="7">
        <v>1812.3</v>
      </c>
      <c r="N1520" s="5">
        <v>55700000</v>
      </c>
      <c r="O1520" s="5">
        <v>58700000</v>
      </c>
      <c r="P1520" s="3">
        <v>0.97916666666666663</v>
      </c>
    </row>
    <row r="1521" spans="1:16" x14ac:dyDescent="0.25">
      <c r="A1521" t="s">
        <v>939</v>
      </c>
      <c r="B1521" s="2">
        <v>44580</v>
      </c>
      <c r="C1521" t="str">
        <f>TEXT(B1521,"mm")</f>
        <v>01</v>
      </c>
      <c r="D1521" t="s">
        <v>19</v>
      </c>
      <c r="E1521" t="s">
        <v>1636</v>
      </c>
      <c r="F1521" s="5">
        <v>56200000</v>
      </c>
      <c r="G1521" s="5">
        <v>59200000</v>
      </c>
      <c r="H1521" s="5">
        <f>M1521*26000*1.20565</f>
        <v>57775471.390000008</v>
      </c>
      <c r="I1521" s="5">
        <f>G1521-H1521</f>
        <v>1424528.609999992</v>
      </c>
      <c r="J1521" s="5">
        <v>3000000</v>
      </c>
      <c r="K1521" s="5">
        <v>5620000</v>
      </c>
      <c r="L1521" s="5">
        <v>5920000</v>
      </c>
      <c r="M1521" s="7">
        <v>1843.1</v>
      </c>
      <c r="N1521" s="5">
        <v>56700000</v>
      </c>
      <c r="O1521" s="5">
        <v>59700000</v>
      </c>
      <c r="P1521" s="3">
        <v>0.97916666666666663</v>
      </c>
    </row>
    <row r="1522" spans="1:16" x14ac:dyDescent="0.25">
      <c r="A1522" t="s">
        <v>940</v>
      </c>
      <c r="B1522" s="2">
        <v>44581</v>
      </c>
      <c r="C1522" t="str">
        <f>TEXT(B1522,"mm")</f>
        <v>01</v>
      </c>
      <c r="D1522" t="s">
        <v>20</v>
      </c>
      <c r="E1522" t="s">
        <v>1636</v>
      </c>
      <c r="F1522" s="5">
        <v>56200000</v>
      </c>
      <c r="G1522" s="5">
        <v>59200000</v>
      </c>
      <c r="H1522" s="5">
        <f>M1522*26000*1.20565</f>
        <v>57756663.250000007</v>
      </c>
      <c r="I1522" s="5">
        <f>G1522-H1522</f>
        <v>1443336.7499999925</v>
      </c>
      <c r="J1522" s="5">
        <v>3000000</v>
      </c>
      <c r="K1522" s="5">
        <v>5620000</v>
      </c>
      <c r="L1522" s="5">
        <v>5920000</v>
      </c>
      <c r="M1522" s="7">
        <v>1842.5</v>
      </c>
      <c r="N1522" s="5">
        <v>56700000</v>
      </c>
      <c r="O1522" s="5">
        <v>59700000</v>
      </c>
      <c r="P1522" s="3">
        <v>0.97916666666666663</v>
      </c>
    </row>
    <row r="1523" spans="1:16" x14ac:dyDescent="0.25">
      <c r="A1523" t="s">
        <v>941</v>
      </c>
      <c r="B1523" s="2">
        <v>44582</v>
      </c>
      <c r="C1523" t="str">
        <f>TEXT(B1523,"mm")</f>
        <v>01</v>
      </c>
      <c r="D1523" t="s">
        <v>21</v>
      </c>
      <c r="E1523" t="s">
        <v>1636</v>
      </c>
      <c r="F1523" s="5">
        <v>55900000</v>
      </c>
      <c r="G1523" s="5">
        <v>58900000</v>
      </c>
      <c r="H1523" s="5">
        <f>M1523*26000*1.20565</f>
        <v>57421251.420000002</v>
      </c>
      <c r="I1523" s="5">
        <f>G1523-H1523</f>
        <v>1478748.5799999982</v>
      </c>
      <c r="J1523" s="5">
        <v>3000000</v>
      </c>
      <c r="K1523" s="5">
        <v>5590000</v>
      </c>
      <c r="L1523" s="5">
        <v>5890000</v>
      </c>
      <c r="M1523" s="7">
        <v>1831.8</v>
      </c>
      <c r="N1523" s="5">
        <v>56400000</v>
      </c>
      <c r="O1523" s="5">
        <v>59400000</v>
      </c>
      <c r="P1523" s="3">
        <v>0.97916666666666663</v>
      </c>
    </row>
    <row r="1524" spans="1:16" x14ac:dyDescent="0.25">
      <c r="A1524" t="s">
        <v>942</v>
      </c>
      <c r="B1524" s="2">
        <v>44585</v>
      </c>
      <c r="C1524" t="str">
        <f>TEXT(B1524,"mm")</f>
        <v>01</v>
      </c>
      <c r="D1524" t="s">
        <v>16</v>
      </c>
      <c r="E1524" t="s">
        <v>1636</v>
      </c>
      <c r="F1524" s="5">
        <v>56200000</v>
      </c>
      <c r="G1524" s="5">
        <v>59200000</v>
      </c>
      <c r="H1524" s="5">
        <f>M1524*26000*1.20565</f>
        <v>57731585.730000004</v>
      </c>
      <c r="I1524" s="5">
        <f>G1524-H1524</f>
        <v>1468414.2699999958</v>
      </c>
      <c r="J1524" s="5">
        <v>3000000</v>
      </c>
      <c r="K1524" s="5">
        <v>5620000</v>
      </c>
      <c r="L1524" s="5">
        <v>5920000</v>
      </c>
      <c r="M1524" s="7">
        <v>1841.7</v>
      </c>
      <c r="N1524" s="5">
        <v>56700000</v>
      </c>
      <c r="O1524" s="5">
        <v>59700000</v>
      </c>
      <c r="P1524" s="3">
        <v>0.97916666666666663</v>
      </c>
    </row>
    <row r="1525" spans="1:16" x14ac:dyDescent="0.25">
      <c r="A1525" t="s">
        <v>943</v>
      </c>
      <c r="B1525" s="2">
        <v>44586</v>
      </c>
      <c r="C1525" t="str">
        <f>TEXT(B1525,"mm")</f>
        <v>01</v>
      </c>
      <c r="D1525" t="s">
        <v>18</v>
      </c>
      <c r="E1525" t="s">
        <v>1636</v>
      </c>
      <c r="F1525" s="5">
        <v>56500000</v>
      </c>
      <c r="G1525" s="5">
        <v>59500000</v>
      </c>
      <c r="H1525" s="5">
        <f>M1525*26000*1.20565</f>
        <v>58076401.630000003</v>
      </c>
      <c r="I1525" s="5">
        <f>G1525-H1525</f>
        <v>1423598.3699999973</v>
      </c>
      <c r="J1525" s="5">
        <v>3000000</v>
      </c>
      <c r="K1525" s="5">
        <v>5650000</v>
      </c>
      <c r="L1525" s="5">
        <v>5950000</v>
      </c>
      <c r="M1525" s="7">
        <v>1852.7</v>
      </c>
      <c r="N1525" s="5">
        <v>57000000</v>
      </c>
      <c r="O1525" s="5">
        <v>60000000</v>
      </c>
      <c r="P1525" s="3">
        <v>0.97916666666666663</v>
      </c>
    </row>
    <row r="1526" spans="1:16" x14ac:dyDescent="0.25">
      <c r="A1526" t="s">
        <v>944</v>
      </c>
      <c r="B1526" s="2">
        <v>44587</v>
      </c>
      <c r="C1526" t="str">
        <f>TEXT(B1526,"mm")</f>
        <v>01</v>
      </c>
      <c r="D1526" t="s">
        <v>19</v>
      </c>
      <c r="E1526" t="s">
        <v>1636</v>
      </c>
      <c r="F1526" s="5">
        <v>55800000</v>
      </c>
      <c r="G1526" s="5">
        <v>58800000</v>
      </c>
      <c r="H1526" s="5">
        <f>M1526*26000*1.20565</f>
        <v>57361692.310000002</v>
      </c>
      <c r="I1526" s="5">
        <f>G1526-H1526</f>
        <v>1438307.6899999976</v>
      </c>
      <c r="J1526" s="5">
        <v>3000000</v>
      </c>
      <c r="K1526" s="5">
        <v>5580000</v>
      </c>
      <c r="L1526" s="5">
        <v>5880000</v>
      </c>
      <c r="M1526" s="7">
        <v>1829.9</v>
      </c>
      <c r="N1526" s="5">
        <v>56300000</v>
      </c>
      <c r="O1526" s="5">
        <v>59300000</v>
      </c>
      <c r="P1526" s="3">
        <v>0.97916666666666663</v>
      </c>
    </row>
    <row r="1527" spans="1:16" x14ac:dyDescent="0.25">
      <c r="A1527" t="s">
        <v>945</v>
      </c>
      <c r="B1527" s="2">
        <v>44588</v>
      </c>
      <c r="C1527" t="str">
        <f>TEXT(B1527,"mm")</f>
        <v>01</v>
      </c>
      <c r="D1527" t="s">
        <v>20</v>
      </c>
      <c r="E1527" t="s">
        <v>1636</v>
      </c>
      <c r="F1527" s="5">
        <v>54600000</v>
      </c>
      <c r="G1527" s="5">
        <v>57600000</v>
      </c>
      <c r="H1527" s="5">
        <f>M1527*26000*1.20565</f>
        <v>56214395.770000003</v>
      </c>
      <c r="I1527" s="5">
        <f>G1527-H1527</f>
        <v>1385604.2299999967</v>
      </c>
      <c r="J1527" s="5">
        <v>3000000</v>
      </c>
      <c r="K1527" s="5">
        <v>5460000</v>
      </c>
      <c r="L1527" s="5">
        <v>5760000</v>
      </c>
      <c r="M1527" s="7">
        <v>1793.3</v>
      </c>
      <c r="N1527" s="5">
        <v>55100000</v>
      </c>
      <c r="O1527" s="5">
        <v>58100000</v>
      </c>
      <c r="P1527" s="3">
        <v>0.97916666666666663</v>
      </c>
    </row>
    <row r="1528" spans="1:16" x14ac:dyDescent="0.25">
      <c r="A1528" t="s">
        <v>946</v>
      </c>
      <c r="B1528" s="2">
        <v>44589</v>
      </c>
      <c r="C1528" t="str">
        <f>TEXT(B1528,"mm")</f>
        <v>01</v>
      </c>
      <c r="D1528" t="s">
        <v>21</v>
      </c>
      <c r="E1528" t="s">
        <v>1636</v>
      </c>
      <c r="F1528" s="5">
        <v>54400000</v>
      </c>
      <c r="G1528" s="5">
        <v>57400000</v>
      </c>
      <c r="H1528" s="5">
        <f>M1528*26000*1.20565</f>
        <v>55951081.810000002</v>
      </c>
      <c r="I1528" s="5">
        <f>G1528-H1528</f>
        <v>1448918.1899999976</v>
      </c>
      <c r="J1528" s="5">
        <v>3000000</v>
      </c>
      <c r="K1528" s="5">
        <v>5440000</v>
      </c>
      <c r="L1528" s="5">
        <v>5740000</v>
      </c>
      <c r="M1528" s="7">
        <v>1784.9</v>
      </c>
      <c r="N1528" s="5">
        <v>54900000</v>
      </c>
      <c r="O1528" s="5">
        <v>57900000</v>
      </c>
      <c r="P1528" s="3">
        <v>0.97916666666666663</v>
      </c>
    </row>
    <row r="1529" spans="1:16" x14ac:dyDescent="0.25">
      <c r="A1529" t="s">
        <v>947</v>
      </c>
      <c r="B1529" s="2">
        <v>44592</v>
      </c>
      <c r="C1529" t="str">
        <f>TEXT(B1529,"mm")</f>
        <v>01</v>
      </c>
      <c r="D1529" t="s">
        <v>16</v>
      </c>
      <c r="E1529" t="s">
        <v>1636</v>
      </c>
      <c r="F1529" s="5">
        <v>54700000</v>
      </c>
      <c r="G1529" s="5">
        <v>57700000</v>
      </c>
      <c r="H1529" s="5">
        <f>M1529*26000*1.20565</f>
        <v>56267685.500000007</v>
      </c>
      <c r="I1529" s="5">
        <f>G1529-H1529</f>
        <v>1432314.4999999925</v>
      </c>
      <c r="J1529" s="5">
        <v>3000000</v>
      </c>
      <c r="K1529" s="5">
        <v>5470000</v>
      </c>
      <c r="L1529" s="5">
        <v>5770000</v>
      </c>
      <c r="M1529" s="7">
        <v>1795</v>
      </c>
      <c r="N1529" s="5">
        <v>55200000</v>
      </c>
      <c r="O1529" s="5">
        <v>58200000</v>
      </c>
      <c r="P1529" s="3">
        <v>0.97916666666666663</v>
      </c>
    </row>
    <row r="1530" spans="1:16" x14ac:dyDescent="0.25">
      <c r="A1530" s="2">
        <v>44563</v>
      </c>
      <c r="B1530" s="2">
        <v>44593</v>
      </c>
      <c r="C1530" t="str">
        <f>TEXT(B1530,"mm")</f>
        <v>02</v>
      </c>
      <c r="D1530" t="s">
        <v>18</v>
      </c>
      <c r="E1530" t="s">
        <v>1636</v>
      </c>
      <c r="F1530" s="5">
        <v>54900000</v>
      </c>
      <c r="G1530" s="5">
        <v>57900000</v>
      </c>
      <c r="H1530" s="5">
        <f>M1530*26000*1.20565</f>
        <v>56433824.070000008</v>
      </c>
      <c r="I1530" s="5">
        <f>G1530-H1530</f>
        <v>1466175.9299999923</v>
      </c>
      <c r="J1530" s="5">
        <v>3000000</v>
      </c>
      <c r="K1530" s="5">
        <v>5490000</v>
      </c>
      <c r="L1530" s="5">
        <v>5790000</v>
      </c>
      <c r="M1530" s="7">
        <v>1800.3</v>
      </c>
      <c r="N1530" s="5">
        <v>55400000</v>
      </c>
      <c r="O1530" s="5">
        <v>58400000</v>
      </c>
      <c r="P1530" s="3">
        <v>0.97916666666666663</v>
      </c>
    </row>
    <row r="1531" spans="1:16" x14ac:dyDescent="0.25">
      <c r="A1531" s="2">
        <v>44594</v>
      </c>
      <c r="B1531" s="2">
        <v>44594</v>
      </c>
      <c r="C1531" t="str">
        <f>TEXT(B1531,"mm")</f>
        <v>02</v>
      </c>
      <c r="D1531" t="s">
        <v>19</v>
      </c>
      <c r="E1531" t="s">
        <v>1636</v>
      </c>
      <c r="F1531" s="5">
        <v>55100000</v>
      </c>
      <c r="G1531" s="5">
        <v>58100000</v>
      </c>
      <c r="H1531" s="5">
        <f>M1531*26000*1.20565</f>
        <v>56712811.480000004</v>
      </c>
      <c r="I1531" s="5">
        <f>G1531-H1531</f>
        <v>1387188.5199999958</v>
      </c>
      <c r="J1531" s="5">
        <v>3000000</v>
      </c>
      <c r="K1531" s="5">
        <v>5510000</v>
      </c>
      <c r="L1531" s="5">
        <v>5810000</v>
      </c>
      <c r="M1531" s="7">
        <v>1809.2</v>
      </c>
      <c r="N1531" s="5">
        <v>55600000</v>
      </c>
      <c r="O1531" s="5">
        <v>58600000</v>
      </c>
      <c r="P1531" s="3">
        <v>0.97916666666666663</v>
      </c>
    </row>
    <row r="1532" spans="1:16" x14ac:dyDescent="0.25">
      <c r="A1532" s="2">
        <v>44622</v>
      </c>
      <c r="B1532" s="2">
        <v>44595</v>
      </c>
      <c r="C1532" t="str">
        <f>TEXT(B1532,"mm")</f>
        <v>02</v>
      </c>
      <c r="D1532" t="s">
        <v>20</v>
      </c>
      <c r="E1532" t="s">
        <v>1636</v>
      </c>
      <c r="F1532" s="5">
        <v>54900000</v>
      </c>
      <c r="G1532" s="5">
        <v>57900000</v>
      </c>
      <c r="H1532" s="5">
        <f>M1532*26000*1.20565</f>
        <v>56518460.700000003</v>
      </c>
      <c r="I1532" s="5">
        <f>G1532-H1532</f>
        <v>1381539.299999997</v>
      </c>
      <c r="J1532" s="5">
        <v>3000000</v>
      </c>
      <c r="K1532" s="5">
        <v>5490000</v>
      </c>
      <c r="L1532" s="5">
        <v>5790000</v>
      </c>
      <c r="M1532" s="7">
        <v>1803</v>
      </c>
      <c r="N1532" s="5">
        <v>55400000</v>
      </c>
      <c r="O1532" s="5">
        <v>58400000</v>
      </c>
      <c r="P1532" s="3">
        <v>0.97916666666666663</v>
      </c>
    </row>
    <row r="1533" spans="1:16" x14ac:dyDescent="0.25">
      <c r="A1533" s="2">
        <v>44653</v>
      </c>
      <c r="B1533" s="2">
        <v>44596</v>
      </c>
      <c r="C1533" t="str">
        <f>TEXT(B1533,"mm")</f>
        <v>02</v>
      </c>
      <c r="D1533" t="s">
        <v>21</v>
      </c>
      <c r="E1533" t="s">
        <v>1636</v>
      </c>
      <c r="F1533" s="5">
        <v>55100000</v>
      </c>
      <c r="G1533" s="5">
        <v>58100000</v>
      </c>
      <c r="H1533" s="5">
        <f>M1533*26000*1.20565</f>
        <v>56631309.540000007</v>
      </c>
      <c r="I1533" s="5">
        <f>G1533-H1533</f>
        <v>1468690.4599999934</v>
      </c>
      <c r="J1533" s="5">
        <v>3000000</v>
      </c>
      <c r="K1533" s="5">
        <v>5510000</v>
      </c>
      <c r="L1533" s="5">
        <v>5810000</v>
      </c>
      <c r="M1533" s="7">
        <v>1806.6</v>
      </c>
      <c r="N1533" s="5">
        <v>55600000</v>
      </c>
      <c r="O1533" s="5">
        <v>58600000</v>
      </c>
      <c r="P1533" s="3">
        <v>0.97916666666666663</v>
      </c>
    </row>
    <row r="1534" spans="1:16" x14ac:dyDescent="0.25">
      <c r="A1534" s="2">
        <v>44744</v>
      </c>
      <c r="B1534" s="2">
        <v>44599</v>
      </c>
      <c r="C1534" t="str">
        <f>TEXT(B1534,"mm")</f>
        <v>02</v>
      </c>
      <c r="D1534" t="s">
        <v>16</v>
      </c>
      <c r="E1534" t="s">
        <v>1636</v>
      </c>
      <c r="F1534" s="5">
        <v>55500000</v>
      </c>
      <c r="G1534" s="5">
        <v>58500000</v>
      </c>
      <c r="H1534" s="5">
        <f>M1534*26000*1.20565</f>
        <v>57070166.140000008</v>
      </c>
      <c r="I1534" s="5">
        <f>G1534-H1534</f>
        <v>1429833.859999992</v>
      </c>
      <c r="J1534" s="5">
        <v>3000000</v>
      </c>
      <c r="K1534" s="5">
        <v>5550000</v>
      </c>
      <c r="L1534" s="5">
        <v>5850000</v>
      </c>
      <c r="M1534" s="7">
        <v>1820.6</v>
      </c>
      <c r="N1534" s="5">
        <v>56000000</v>
      </c>
      <c r="O1534" s="5">
        <v>59000000</v>
      </c>
      <c r="P1534" s="3">
        <v>0.97916666666666663</v>
      </c>
    </row>
    <row r="1535" spans="1:16" x14ac:dyDescent="0.25">
      <c r="A1535" s="2">
        <v>44775</v>
      </c>
      <c r="B1535" s="2">
        <v>44600</v>
      </c>
      <c r="C1535" t="str">
        <f>TEXT(B1535,"mm")</f>
        <v>02</v>
      </c>
      <c r="D1535" t="s">
        <v>18</v>
      </c>
      <c r="E1535" t="s">
        <v>1636</v>
      </c>
      <c r="F1535" s="5">
        <v>55700000</v>
      </c>
      <c r="G1535" s="5">
        <v>58700000</v>
      </c>
      <c r="H1535" s="5">
        <f>M1535*26000*1.20565</f>
        <v>57258247.540000007</v>
      </c>
      <c r="I1535" s="5">
        <f>G1535-H1535</f>
        <v>1441752.4599999934</v>
      </c>
      <c r="J1535" s="5">
        <v>3000000</v>
      </c>
      <c r="K1535" s="5">
        <v>5570000</v>
      </c>
      <c r="L1535" s="5">
        <v>5870000</v>
      </c>
      <c r="M1535" s="7">
        <v>1826.6</v>
      </c>
      <c r="N1535" s="5">
        <v>56200000</v>
      </c>
      <c r="O1535" s="5">
        <v>59200000</v>
      </c>
      <c r="P1535" s="3">
        <v>0.97916666666666663</v>
      </c>
    </row>
    <row r="1536" spans="1:16" x14ac:dyDescent="0.25">
      <c r="A1536" s="2">
        <v>44806</v>
      </c>
      <c r="B1536" s="2">
        <v>44601</v>
      </c>
      <c r="C1536" t="str">
        <f>TEXT(B1536,"mm")</f>
        <v>02</v>
      </c>
      <c r="D1536" t="s">
        <v>19</v>
      </c>
      <c r="E1536" t="s">
        <v>1636</v>
      </c>
      <c r="F1536" s="5">
        <v>56000000</v>
      </c>
      <c r="G1536" s="5">
        <v>59000000</v>
      </c>
      <c r="H1536" s="5">
        <f>M1536*26000*1.20565</f>
        <v>57527830.880000003</v>
      </c>
      <c r="I1536" s="5">
        <f>G1536-H1536</f>
        <v>1472169.1199999973</v>
      </c>
      <c r="J1536" s="5">
        <v>3000000</v>
      </c>
      <c r="K1536" s="5">
        <v>5600000</v>
      </c>
      <c r="L1536" s="5">
        <v>5900000</v>
      </c>
      <c r="M1536" s="7">
        <v>1835.2</v>
      </c>
      <c r="N1536" s="5">
        <v>56500000</v>
      </c>
      <c r="O1536" s="5">
        <v>59500000</v>
      </c>
      <c r="P1536" s="3">
        <v>0.97916666666666663</v>
      </c>
    </row>
    <row r="1537" spans="1:16" x14ac:dyDescent="0.25">
      <c r="A1537" s="2">
        <v>44836</v>
      </c>
      <c r="B1537" s="2">
        <v>44602</v>
      </c>
      <c r="C1537" t="str">
        <f>TEXT(B1537,"mm")</f>
        <v>02</v>
      </c>
      <c r="D1537" t="s">
        <v>20</v>
      </c>
      <c r="E1537" t="s">
        <v>1636</v>
      </c>
      <c r="F1537" s="5">
        <v>56000000</v>
      </c>
      <c r="G1537" s="5">
        <v>59000000</v>
      </c>
      <c r="H1537" s="5">
        <f>M1537*26000*1.20565</f>
        <v>57559177.780000009</v>
      </c>
      <c r="I1537" s="5">
        <f>G1537-H1537</f>
        <v>1440822.2199999914</v>
      </c>
      <c r="J1537" s="5">
        <v>3000000</v>
      </c>
      <c r="K1537" s="5">
        <v>5600000</v>
      </c>
      <c r="L1537" s="5">
        <v>5900000</v>
      </c>
      <c r="M1537" s="7">
        <v>1836.2</v>
      </c>
      <c r="N1537" s="5">
        <v>56500000</v>
      </c>
      <c r="O1537" s="5">
        <v>59500000</v>
      </c>
      <c r="P1537" s="3">
        <v>0.97916666666666663</v>
      </c>
    </row>
    <row r="1538" spans="1:16" x14ac:dyDescent="0.25">
      <c r="A1538" s="2">
        <v>44867</v>
      </c>
      <c r="B1538" s="2">
        <v>44603</v>
      </c>
      <c r="C1538" t="str">
        <f>TEXT(B1538,"mm")</f>
        <v>02</v>
      </c>
      <c r="D1538" t="s">
        <v>21</v>
      </c>
      <c r="E1538" t="s">
        <v>1636</v>
      </c>
      <c r="F1538" s="5">
        <v>56200000</v>
      </c>
      <c r="G1538" s="5">
        <v>59200000</v>
      </c>
      <c r="H1538" s="5">
        <f>M1538*26000*1.20565</f>
        <v>57703373.520000003</v>
      </c>
      <c r="I1538" s="5">
        <f>G1538-H1538</f>
        <v>1496626.4799999967</v>
      </c>
      <c r="J1538" s="5">
        <v>3000000</v>
      </c>
      <c r="K1538" s="5">
        <v>5620000</v>
      </c>
      <c r="L1538" s="5">
        <v>5920000</v>
      </c>
      <c r="M1538" s="7">
        <v>1840.8</v>
      </c>
      <c r="N1538" s="5">
        <v>56700000</v>
      </c>
      <c r="O1538" s="5">
        <v>59700000</v>
      </c>
      <c r="P1538" s="3">
        <v>0.97916666666666663</v>
      </c>
    </row>
    <row r="1539" spans="1:16" x14ac:dyDescent="0.25">
      <c r="A1539" t="s">
        <v>948</v>
      </c>
      <c r="B1539" s="2">
        <v>44606</v>
      </c>
      <c r="C1539" t="str">
        <f>TEXT(B1539,"mm")</f>
        <v>02</v>
      </c>
      <c r="D1539" t="s">
        <v>16</v>
      </c>
      <c r="E1539" t="s">
        <v>1636</v>
      </c>
      <c r="F1539" s="5">
        <v>57000000</v>
      </c>
      <c r="G1539" s="5">
        <v>60000000</v>
      </c>
      <c r="H1539" s="5">
        <f>M1539*26000*1.20565</f>
        <v>58556009.200000003</v>
      </c>
      <c r="I1539" s="5">
        <f>G1539-H1539</f>
        <v>1443990.799999997</v>
      </c>
      <c r="J1539" s="5">
        <v>3000000</v>
      </c>
      <c r="K1539" s="5">
        <v>5700000</v>
      </c>
      <c r="L1539" s="5">
        <v>6000000</v>
      </c>
      <c r="M1539" s="7">
        <v>1868</v>
      </c>
      <c r="N1539" s="5">
        <v>57500000</v>
      </c>
      <c r="O1539" s="5">
        <v>60500000</v>
      </c>
      <c r="P1539" s="3">
        <v>0.97916666666666663</v>
      </c>
    </row>
    <row r="1540" spans="1:16" x14ac:dyDescent="0.25">
      <c r="A1540" t="s">
        <v>949</v>
      </c>
      <c r="B1540" s="2">
        <v>44607</v>
      </c>
      <c r="C1540" t="str">
        <f>TEXT(B1540,"mm")</f>
        <v>02</v>
      </c>
      <c r="D1540" t="s">
        <v>18</v>
      </c>
      <c r="E1540" t="s">
        <v>1636</v>
      </c>
      <c r="F1540" s="5">
        <v>56600000</v>
      </c>
      <c r="G1540" s="5">
        <v>59600000</v>
      </c>
      <c r="H1540" s="5">
        <f>M1540*26000*1.20565</f>
        <v>58142230.120000005</v>
      </c>
      <c r="I1540" s="5">
        <f>G1540-H1540</f>
        <v>1457769.8799999952</v>
      </c>
      <c r="J1540" s="5">
        <v>3000000</v>
      </c>
      <c r="K1540" s="5">
        <v>5660000</v>
      </c>
      <c r="L1540" s="5">
        <v>5960000</v>
      </c>
      <c r="M1540" s="7">
        <v>1854.8</v>
      </c>
      <c r="N1540" s="5">
        <v>57100000</v>
      </c>
      <c r="O1540" s="5">
        <v>60100000</v>
      </c>
      <c r="P1540" s="3">
        <v>0.97916666666666663</v>
      </c>
    </row>
    <row r="1541" spans="1:16" x14ac:dyDescent="0.25">
      <c r="A1541" t="s">
        <v>950</v>
      </c>
      <c r="B1541" s="2">
        <v>44608</v>
      </c>
      <c r="C1541" t="str">
        <f>TEXT(B1541,"mm")</f>
        <v>02</v>
      </c>
      <c r="D1541" t="s">
        <v>19</v>
      </c>
      <c r="E1541" t="s">
        <v>1636</v>
      </c>
      <c r="F1541" s="5">
        <v>57100000</v>
      </c>
      <c r="G1541" s="5">
        <v>60100000</v>
      </c>
      <c r="H1541" s="5">
        <f>M1541*26000*1.20565</f>
        <v>58624972.380000003</v>
      </c>
      <c r="I1541" s="5">
        <f>G1541-H1541</f>
        <v>1475027.6199999973</v>
      </c>
      <c r="J1541" s="5">
        <v>3000000</v>
      </c>
      <c r="K1541" s="5">
        <v>5710000</v>
      </c>
      <c r="L1541" s="5">
        <v>6010000</v>
      </c>
      <c r="M1541" s="7">
        <v>1870.2</v>
      </c>
      <c r="N1541" s="5">
        <v>57600000</v>
      </c>
      <c r="O1541" s="5">
        <v>60600000</v>
      </c>
      <c r="P1541" s="3">
        <v>0.97916666666666663</v>
      </c>
    </row>
    <row r="1542" spans="1:16" x14ac:dyDescent="0.25">
      <c r="A1542" t="s">
        <v>951</v>
      </c>
      <c r="B1542" s="2">
        <v>44609</v>
      </c>
      <c r="C1542" t="str">
        <f>TEXT(B1542,"mm")</f>
        <v>02</v>
      </c>
      <c r="D1542" t="s">
        <v>20</v>
      </c>
      <c r="E1542" t="s">
        <v>1636</v>
      </c>
      <c r="F1542" s="5">
        <v>58100000</v>
      </c>
      <c r="G1542" s="5">
        <v>61100000</v>
      </c>
      <c r="H1542" s="5">
        <f>M1542*26000*1.20565</f>
        <v>59581052.830000006</v>
      </c>
      <c r="I1542" s="5">
        <f>G1542-H1542</f>
        <v>1518947.1699999943</v>
      </c>
      <c r="J1542" s="5">
        <v>3000000</v>
      </c>
      <c r="K1542" s="5">
        <v>5810000</v>
      </c>
      <c r="L1542" s="5">
        <v>6110000</v>
      </c>
      <c r="M1542" s="7">
        <v>1900.7</v>
      </c>
      <c r="N1542" s="5">
        <v>58600000</v>
      </c>
      <c r="O1542" s="5">
        <v>61600000</v>
      </c>
      <c r="P1542" s="3">
        <v>0.97916666666666663</v>
      </c>
    </row>
    <row r="1543" spans="1:16" x14ac:dyDescent="0.25">
      <c r="A1543" t="s">
        <v>952</v>
      </c>
      <c r="B1543" s="2">
        <v>44610</v>
      </c>
      <c r="C1543" t="str">
        <f>TEXT(B1543,"mm")</f>
        <v>02</v>
      </c>
      <c r="D1543" t="s">
        <v>21</v>
      </c>
      <c r="E1543" t="s">
        <v>1636</v>
      </c>
      <c r="F1543" s="5">
        <v>58000000</v>
      </c>
      <c r="G1543" s="5">
        <v>61000000</v>
      </c>
      <c r="H1543" s="5">
        <f>M1543*26000*1.20565</f>
        <v>59515224.340000004</v>
      </c>
      <c r="I1543" s="5">
        <f>G1543-H1543</f>
        <v>1484775.6599999964</v>
      </c>
      <c r="J1543" s="5">
        <v>3000000</v>
      </c>
      <c r="K1543" s="5">
        <v>5800000</v>
      </c>
      <c r="L1543" s="5">
        <v>6100000</v>
      </c>
      <c r="M1543" s="7">
        <v>1898.6</v>
      </c>
      <c r="N1543" s="5">
        <v>58500000</v>
      </c>
      <c r="O1543" s="5">
        <v>61500000</v>
      </c>
      <c r="P1543" s="3">
        <v>0.97916666666666663</v>
      </c>
    </row>
    <row r="1544" spans="1:16" x14ac:dyDescent="0.25">
      <c r="A1544" t="s">
        <v>953</v>
      </c>
      <c r="B1544" s="2">
        <v>44614</v>
      </c>
      <c r="C1544" t="str">
        <f>TEXT(B1544,"mm")</f>
        <v>02</v>
      </c>
      <c r="D1544" t="s">
        <v>18</v>
      </c>
      <c r="E1544" t="s">
        <v>1636</v>
      </c>
      <c r="F1544" s="5">
        <v>58300000</v>
      </c>
      <c r="G1544" s="5">
        <v>61300000</v>
      </c>
      <c r="H1544" s="5">
        <f>M1544*26000*1.20565</f>
        <v>59750326.090000004</v>
      </c>
      <c r="I1544" s="5">
        <f>G1544-H1544</f>
        <v>1549673.9099999964</v>
      </c>
      <c r="J1544" s="5">
        <v>3000000</v>
      </c>
      <c r="K1544" s="5">
        <v>5830000</v>
      </c>
      <c r="L1544" s="5">
        <v>6130000</v>
      </c>
      <c r="M1544" s="7">
        <v>1906.1</v>
      </c>
      <c r="N1544" s="5">
        <v>58800000</v>
      </c>
      <c r="O1544" s="5">
        <v>61800000</v>
      </c>
      <c r="P1544" s="3">
        <v>0.97916666666666663</v>
      </c>
    </row>
    <row r="1545" spans="1:16" x14ac:dyDescent="0.25">
      <c r="A1545" t="s">
        <v>954</v>
      </c>
      <c r="B1545" s="2">
        <v>44615</v>
      </c>
      <c r="C1545" t="str">
        <f>TEXT(B1545,"mm")</f>
        <v>02</v>
      </c>
      <c r="D1545" t="s">
        <v>19</v>
      </c>
      <c r="E1545" t="s">
        <v>1636</v>
      </c>
      <c r="F1545" s="5">
        <v>58400000</v>
      </c>
      <c r="G1545" s="5">
        <v>61400000</v>
      </c>
      <c r="H1545" s="5">
        <f>M1545*26000*1.20565</f>
        <v>59847501.480000004</v>
      </c>
      <c r="I1545" s="5">
        <f>G1545-H1545</f>
        <v>1552498.5199999958</v>
      </c>
      <c r="J1545" s="5">
        <v>3000000</v>
      </c>
      <c r="K1545" s="5">
        <v>5840000</v>
      </c>
      <c r="L1545" s="5">
        <v>6140000</v>
      </c>
      <c r="M1545" s="7">
        <v>1909.2</v>
      </c>
      <c r="N1545" s="5">
        <v>58900000</v>
      </c>
      <c r="O1545" s="5">
        <v>61900000</v>
      </c>
      <c r="P1545" s="3">
        <v>0.97916666666666663</v>
      </c>
    </row>
    <row r="1546" spans="1:16" x14ac:dyDescent="0.25">
      <c r="A1546" t="s">
        <v>955</v>
      </c>
      <c r="B1546" s="2">
        <v>44616</v>
      </c>
      <c r="C1546" t="str">
        <f>TEXT(B1546,"mm")</f>
        <v>02</v>
      </c>
      <c r="D1546" t="s">
        <v>20</v>
      </c>
      <c r="E1546" t="s">
        <v>1636</v>
      </c>
      <c r="F1546" s="5">
        <v>58900000</v>
      </c>
      <c r="G1546" s="5">
        <v>61900000</v>
      </c>
      <c r="H1546" s="5">
        <f>M1546*26000*1.20565</f>
        <v>60345917.190000005</v>
      </c>
      <c r="I1546" s="5">
        <f>G1546-H1546</f>
        <v>1554082.8099999949</v>
      </c>
      <c r="J1546" s="5">
        <v>3000000</v>
      </c>
      <c r="K1546" s="5">
        <v>5890000</v>
      </c>
      <c r="L1546" s="5">
        <v>6190000</v>
      </c>
      <c r="M1546" s="7">
        <v>1925.1</v>
      </c>
      <c r="N1546" s="5">
        <v>59400000</v>
      </c>
      <c r="O1546" s="5">
        <v>62400000</v>
      </c>
      <c r="P1546" s="3">
        <v>0.97916666666666663</v>
      </c>
    </row>
    <row r="1547" spans="1:16" x14ac:dyDescent="0.25">
      <c r="A1547" t="s">
        <v>956</v>
      </c>
      <c r="B1547" s="2">
        <v>44617</v>
      </c>
      <c r="C1547" t="str">
        <f>TEXT(B1547,"mm")</f>
        <v>02</v>
      </c>
      <c r="D1547" t="s">
        <v>21</v>
      </c>
      <c r="E1547" t="s">
        <v>1636</v>
      </c>
      <c r="F1547" s="5">
        <v>57600000</v>
      </c>
      <c r="G1547" s="5">
        <v>60600000</v>
      </c>
      <c r="H1547" s="5">
        <f>M1547*26000*1.20565</f>
        <v>59135926.850000009</v>
      </c>
      <c r="I1547" s="5">
        <f>G1547-H1547</f>
        <v>1464073.1499999911</v>
      </c>
      <c r="J1547" s="5">
        <v>3000000</v>
      </c>
      <c r="K1547" s="5">
        <v>5760000</v>
      </c>
      <c r="L1547" s="5">
        <v>6060000</v>
      </c>
      <c r="M1547" s="7">
        <v>1886.5</v>
      </c>
      <c r="N1547" s="5">
        <v>58100000</v>
      </c>
      <c r="O1547" s="5">
        <v>61100000</v>
      </c>
      <c r="P1547" s="3">
        <v>0.97916666666666663</v>
      </c>
    </row>
    <row r="1548" spans="1:16" x14ac:dyDescent="0.25">
      <c r="A1548" t="s">
        <v>957</v>
      </c>
      <c r="B1548" s="2">
        <v>44620</v>
      </c>
      <c r="C1548" t="str">
        <f>TEXT(B1548,"mm")</f>
        <v>02</v>
      </c>
      <c r="D1548" t="s">
        <v>16</v>
      </c>
      <c r="E1548" t="s">
        <v>1636</v>
      </c>
      <c r="F1548" s="5">
        <v>58000000</v>
      </c>
      <c r="G1548" s="5">
        <v>61000000</v>
      </c>
      <c r="H1548" s="5">
        <f>M1548*26000*1.20565</f>
        <v>59540301.860000007</v>
      </c>
      <c r="I1548" s="5">
        <f>G1548-H1548</f>
        <v>1459698.1399999931</v>
      </c>
      <c r="J1548" s="5">
        <v>3000000</v>
      </c>
      <c r="K1548" s="5">
        <v>5800000</v>
      </c>
      <c r="L1548" s="5">
        <v>6100000</v>
      </c>
      <c r="M1548" s="7">
        <v>1899.4</v>
      </c>
      <c r="N1548" s="5">
        <v>58500000</v>
      </c>
      <c r="O1548" s="5">
        <v>61500000</v>
      </c>
      <c r="P1548" s="3">
        <v>0.97916666666666663</v>
      </c>
    </row>
    <row r="1549" spans="1:16" x14ac:dyDescent="0.25">
      <c r="A1549" s="2">
        <v>44564</v>
      </c>
      <c r="B1549" s="2">
        <v>44621</v>
      </c>
      <c r="C1549" t="str">
        <f>TEXT(B1549,"mm")</f>
        <v>03</v>
      </c>
      <c r="D1549" t="s">
        <v>18</v>
      </c>
      <c r="E1549" t="s">
        <v>1636</v>
      </c>
      <c r="F1549" s="5">
        <v>59400000</v>
      </c>
      <c r="G1549" s="5">
        <v>62400000</v>
      </c>
      <c r="H1549" s="5">
        <f>M1549*26000*1.20565</f>
        <v>60888218.560000002</v>
      </c>
      <c r="I1549" s="5">
        <f>G1549-H1549</f>
        <v>1511781.4399999976</v>
      </c>
      <c r="J1549" s="5">
        <v>3000000</v>
      </c>
      <c r="K1549" s="5">
        <v>5940000</v>
      </c>
      <c r="L1549" s="5">
        <v>6240000</v>
      </c>
      <c r="M1549" s="7">
        <v>1942.4</v>
      </c>
      <c r="N1549" s="5">
        <v>59900000</v>
      </c>
      <c r="O1549" s="5">
        <v>62900000</v>
      </c>
      <c r="P1549" s="3">
        <v>0.97916666666666663</v>
      </c>
    </row>
    <row r="1550" spans="1:16" x14ac:dyDescent="0.25">
      <c r="A1550" s="2">
        <v>44595</v>
      </c>
      <c r="B1550" s="2">
        <v>44622</v>
      </c>
      <c r="C1550" t="str">
        <f>TEXT(B1550,"mm")</f>
        <v>03</v>
      </c>
      <c r="D1550" t="s">
        <v>19</v>
      </c>
      <c r="E1550" t="s">
        <v>1636</v>
      </c>
      <c r="F1550" s="5">
        <v>58700000</v>
      </c>
      <c r="G1550" s="5">
        <v>61700000</v>
      </c>
      <c r="H1550" s="5">
        <f>M1550*26000*1.20565</f>
        <v>60214260.210000008</v>
      </c>
      <c r="I1550" s="5">
        <f>G1550-H1550</f>
        <v>1485739.7899999917</v>
      </c>
      <c r="J1550" s="5">
        <v>3000000</v>
      </c>
      <c r="K1550" s="5">
        <v>5870000</v>
      </c>
      <c r="L1550" s="5">
        <v>6170000</v>
      </c>
      <c r="M1550" s="7">
        <v>1920.9</v>
      </c>
      <c r="N1550" s="5">
        <v>59200000</v>
      </c>
      <c r="O1550" s="5">
        <v>62200000</v>
      </c>
      <c r="P1550" s="3">
        <v>0.97916666666666663</v>
      </c>
    </row>
    <row r="1551" spans="1:16" x14ac:dyDescent="0.25">
      <c r="A1551" s="2">
        <v>44623</v>
      </c>
      <c r="B1551" s="2">
        <v>44623</v>
      </c>
      <c r="C1551" t="str">
        <f>TEXT(B1551,"mm")</f>
        <v>03</v>
      </c>
      <c r="D1551" t="s">
        <v>20</v>
      </c>
      <c r="E1551" t="s">
        <v>1636</v>
      </c>
      <c r="F1551" s="5">
        <v>59200000</v>
      </c>
      <c r="G1551" s="5">
        <v>62200000</v>
      </c>
      <c r="H1551" s="5">
        <f>M1551*26000*1.20565</f>
        <v>60637443.360000007</v>
      </c>
      <c r="I1551" s="5">
        <f>G1551-H1551</f>
        <v>1562556.6399999931</v>
      </c>
      <c r="J1551" s="5">
        <v>3000000</v>
      </c>
      <c r="K1551" s="5">
        <v>5920000</v>
      </c>
      <c r="L1551" s="5">
        <v>6220000</v>
      </c>
      <c r="M1551" s="7">
        <v>1934.4</v>
      </c>
      <c r="N1551" s="5">
        <v>59700000</v>
      </c>
      <c r="O1551" s="5">
        <v>62700000</v>
      </c>
      <c r="P1551" s="3">
        <v>0.97916666666666663</v>
      </c>
    </row>
    <row r="1552" spans="1:16" x14ac:dyDescent="0.25">
      <c r="A1552" s="2">
        <v>44654</v>
      </c>
      <c r="B1552" s="2">
        <v>44624</v>
      </c>
      <c r="C1552" t="str">
        <f>TEXT(B1552,"mm")</f>
        <v>03</v>
      </c>
      <c r="D1552" t="s">
        <v>21</v>
      </c>
      <c r="E1552" t="s">
        <v>1636</v>
      </c>
      <c r="F1552" s="5">
        <v>60200000</v>
      </c>
      <c r="G1552" s="5">
        <v>63200000</v>
      </c>
      <c r="H1552" s="5">
        <f>M1552*26000*1.20565</f>
        <v>61599793.190000005</v>
      </c>
      <c r="I1552" s="5">
        <f>G1552-H1552</f>
        <v>1600206.8099999949</v>
      </c>
      <c r="J1552" s="5">
        <v>3000000</v>
      </c>
      <c r="K1552" s="5">
        <v>6020000</v>
      </c>
      <c r="L1552" s="5">
        <v>6320000</v>
      </c>
      <c r="M1552" s="7">
        <v>1965.1</v>
      </c>
      <c r="N1552" s="5">
        <v>60700000</v>
      </c>
      <c r="O1552" s="5">
        <v>63700000</v>
      </c>
      <c r="P1552" s="3">
        <v>0.97916666666666663</v>
      </c>
    </row>
    <row r="1553" spans="1:16" x14ac:dyDescent="0.25">
      <c r="A1553" s="2">
        <v>44745</v>
      </c>
      <c r="B1553" s="2">
        <v>44627</v>
      </c>
      <c r="C1553" t="str">
        <f>TEXT(B1553,"mm")</f>
        <v>03</v>
      </c>
      <c r="D1553" t="s">
        <v>16</v>
      </c>
      <c r="E1553" t="s">
        <v>1636</v>
      </c>
      <c r="F1553" s="5">
        <v>61100000</v>
      </c>
      <c r="G1553" s="5">
        <v>64100000</v>
      </c>
      <c r="H1553" s="5">
        <f>M1553*26000*1.20565</f>
        <v>62502583.910000004</v>
      </c>
      <c r="I1553" s="5">
        <f>G1553-H1553</f>
        <v>1597416.0899999961</v>
      </c>
      <c r="J1553" s="5">
        <v>3000000</v>
      </c>
      <c r="K1553" s="5">
        <v>6110000</v>
      </c>
      <c r="L1553" s="5">
        <v>6410000</v>
      </c>
      <c r="M1553" s="7">
        <v>1993.9</v>
      </c>
      <c r="N1553" s="5">
        <v>61600000</v>
      </c>
      <c r="O1553" s="5">
        <v>64600000</v>
      </c>
      <c r="P1553" s="3">
        <v>0.97916666666666663</v>
      </c>
    </row>
    <row r="1554" spans="1:16" x14ac:dyDescent="0.25">
      <c r="A1554" s="2">
        <v>44776</v>
      </c>
      <c r="B1554" s="2">
        <v>44628</v>
      </c>
      <c r="C1554" t="str">
        <f>TEXT(B1554,"mm")</f>
        <v>03</v>
      </c>
      <c r="D1554" t="s">
        <v>18</v>
      </c>
      <c r="E1554" t="s">
        <v>1636</v>
      </c>
      <c r="F1554" s="5">
        <v>62600000</v>
      </c>
      <c r="G1554" s="5">
        <v>65600000</v>
      </c>
      <c r="H1554" s="5">
        <f>M1554*26000*1.20565</f>
        <v>63950810.690000005</v>
      </c>
      <c r="I1554" s="5">
        <f>G1554-H1554</f>
        <v>1649189.3099999949</v>
      </c>
      <c r="J1554" s="5">
        <v>3000000</v>
      </c>
      <c r="K1554" s="5">
        <v>6260000</v>
      </c>
      <c r="L1554" s="5">
        <v>6560000</v>
      </c>
      <c r="M1554" s="7">
        <v>2040.1</v>
      </c>
      <c r="N1554" s="5">
        <v>63100000</v>
      </c>
      <c r="O1554" s="5">
        <v>66100000</v>
      </c>
      <c r="P1554" s="3">
        <v>0.97916666666666663</v>
      </c>
    </row>
    <row r="1555" spans="1:16" x14ac:dyDescent="0.25">
      <c r="A1555" s="2">
        <v>44807</v>
      </c>
      <c r="B1555" s="2">
        <v>44629</v>
      </c>
      <c r="C1555" t="str">
        <f>TEXT(B1555,"mm")</f>
        <v>03</v>
      </c>
      <c r="D1555" t="s">
        <v>19</v>
      </c>
      <c r="E1555" t="s">
        <v>1636</v>
      </c>
      <c r="F1555" s="5">
        <v>60800000</v>
      </c>
      <c r="G1555" s="5">
        <v>63800000</v>
      </c>
      <c r="H1555" s="5">
        <f>M1555*26000*1.20565</f>
        <v>62251808.710000008</v>
      </c>
      <c r="I1555" s="5">
        <f>G1555-H1555</f>
        <v>1548191.2899999917</v>
      </c>
      <c r="J1555" s="5">
        <v>3000000</v>
      </c>
      <c r="K1555" s="5">
        <v>6080000</v>
      </c>
      <c r="L1555" s="5">
        <v>6380000</v>
      </c>
      <c r="M1555" s="7">
        <v>1985.9</v>
      </c>
      <c r="N1555" s="5">
        <v>61300000</v>
      </c>
      <c r="O1555" s="5">
        <v>64300000</v>
      </c>
      <c r="P1555" s="3">
        <v>0.97916666666666663</v>
      </c>
    </row>
    <row r="1556" spans="1:16" x14ac:dyDescent="0.25">
      <c r="A1556" s="2">
        <v>44837</v>
      </c>
      <c r="B1556" s="2">
        <v>44630</v>
      </c>
      <c r="C1556" t="str">
        <f>TEXT(B1556,"mm")</f>
        <v>03</v>
      </c>
      <c r="D1556" t="s">
        <v>20</v>
      </c>
      <c r="E1556" t="s">
        <v>1636</v>
      </c>
      <c r="F1556" s="5">
        <v>61200000</v>
      </c>
      <c r="G1556" s="5">
        <v>64200000</v>
      </c>
      <c r="H1556" s="5">
        <f>M1556*26000*1.20565</f>
        <v>62634240.890000008</v>
      </c>
      <c r="I1556" s="5">
        <f>G1556-H1556</f>
        <v>1565759.109999992</v>
      </c>
      <c r="J1556" s="5">
        <v>3000000</v>
      </c>
      <c r="K1556" s="5">
        <v>6120000</v>
      </c>
      <c r="L1556" s="5">
        <v>6420000</v>
      </c>
      <c r="M1556" s="7">
        <v>1998.1</v>
      </c>
      <c r="N1556" s="5">
        <v>61700000</v>
      </c>
      <c r="O1556" s="5">
        <v>64700000</v>
      </c>
      <c r="P1556" s="3">
        <v>0.97916666666666663</v>
      </c>
    </row>
    <row r="1557" spans="1:16" x14ac:dyDescent="0.25">
      <c r="A1557" s="2">
        <v>44868</v>
      </c>
      <c r="B1557" s="2">
        <v>44631</v>
      </c>
      <c r="C1557" t="str">
        <f>TEXT(B1557,"mm")</f>
        <v>03</v>
      </c>
      <c r="D1557" t="s">
        <v>21</v>
      </c>
      <c r="E1557" t="s">
        <v>1636</v>
      </c>
      <c r="F1557" s="5">
        <v>60700000</v>
      </c>
      <c r="G1557" s="5">
        <v>63700000</v>
      </c>
      <c r="H1557" s="5">
        <f>M1557*26000*1.20565</f>
        <v>62151498.630000003</v>
      </c>
      <c r="I1557" s="5">
        <f>G1557-H1557</f>
        <v>1548501.3699999973</v>
      </c>
      <c r="J1557" s="5">
        <v>3000000</v>
      </c>
      <c r="K1557" s="5">
        <v>6070000</v>
      </c>
      <c r="L1557" s="5">
        <v>6370000</v>
      </c>
      <c r="M1557" s="7">
        <v>1982.7</v>
      </c>
      <c r="N1557" s="5">
        <v>61200000</v>
      </c>
      <c r="O1557" s="5">
        <v>64200000</v>
      </c>
      <c r="P1557" s="3">
        <v>0.97916666666666663</v>
      </c>
    </row>
    <row r="1558" spans="1:16" x14ac:dyDescent="0.25">
      <c r="A1558" t="s">
        <v>958</v>
      </c>
      <c r="B1558" s="2">
        <v>44634</v>
      </c>
      <c r="C1558" t="str">
        <f>TEXT(B1558,"mm")</f>
        <v>03</v>
      </c>
      <c r="D1558" t="s">
        <v>16</v>
      </c>
      <c r="E1558" t="s">
        <v>1636</v>
      </c>
      <c r="F1558" s="5">
        <v>60000000</v>
      </c>
      <c r="G1558" s="5">
        <v>63000000</v>
      </c>
      <c r="H1558" s="5">
        <f>M1558*26000*1.20565</f>
        <v>61427385.240000002</v>
      </c>
      <c r="I1558" s="5">
        <f>G1558-H1558</f>
        <v>1572614.7599999979</v>
      </c>
      <c r="J1558" s="5">
        <v>3000000</v>
      </c>
      <c r="K1558" s="5">
        <v>6000000</v>
      </c>
      <c r="L1558" s="5">
        <v>6300000</v>
      </c>
      <c r="M1558" s="7">
        <v>1959.6</v>
      </c>
      <c r="N1558" s="5">
        <v>60500000</v>
      </c>
      <c r="O1558" s="5">
        <v>63500000</v>
      </c>
      <c r="P1558" s="3">
        <v>0.97916666666666663</v>
      </c>
    </row>
    <row r="1559" spans="1:16" x14ac:dyDescent="0.25">
      <c r="A1559" t="s">
        <v>959</v>
      </c>
      <c r="B1559" s="2">
        <v>44635</v>
      </c>
      <c r="C1559" t="str">
        <f>TEXT(B1559,"mm")</f>
        <v>03</v>
      </c>
      <c r="D1559" t="s">
        <v>18</v>
      </c>
      <c r="E1559" t="s">
        <v>1636</v>
      </c>
      <c r="F1559" s="5">
        <v>59000000</v>
      </c>
      <c r="G1559" s="5">
        <v>62000000</v>
      </c>
      <c r="H1559" s="5">
        <f>M1559*26000*1.20565</f>
        <v>60452496.650000006</v>
      </c>
      <c r="I1559" s="5">
        <f>G1559-H1559</f>
        <v>1547503.349999994</v>
      </c>
      <c r="J1559" s="5">
        <v>3000000</v>
      </c>
      <c r="K1559" s="5">
        <v>5900000</v>
      </c>
      <c r="L1559" s="5">
        <v>6200000</v>
      </c>
      <c r="M1559" s="7">
        <v>1928.5</v>
      </c>
      <c r="N1559" s="5">
        <v>59500000</v>
      </c>
      <c r="O1559" s="5">
        <v>62500000</v>
      </c>
      <c r="P1559" s="3">
        <v>0.97916666666666663</v>
      </c>
    </row>
    <row r="1560" spans="1:16" x14ac:dyDescent="0.25">
      <c r="A1560" t="s">
        <v>960</v>
      </c>
      <c r="B1560" s="2">
        <v>44636</v>
      </c>
      <c r="C1560" t="str">
        <f>TEXT(B1560,"mm")</f>
        <v>03</v>
      </c>
      <c r="D1560" t="s">
        <v>19</v>
      </c>
      <c r="E1560" t="s">
        <v>1636</v>
      </c>
      <c r="F1560" s="5">
        <v>58300000</v>
      </c>
      <c r="G1560" s="5">
        <v>61300000</v>
      </c>
      <c r="H1560" s="5">
        <f>M1560*26000*1.20565</f>
        <v>59809885.200000003</v>
      </c>
      <c r="I1560" s="5">
        <f>G1560-H1560</f>
        <v>1490114.799999997</v>
      </c>
      <c r="J1560" s="5">
        <v>3000000</v>
      </c>
      <c r="K1560" s="5">
        <v>5830000</v>
      </c>
      <c r="L1560" s="5">
        <v>6130000</v>
      </c>
      <c r="M1560" s="7">
        <v>1908</v>
      </c>
      <c r="N1560" s="5">
        <v>58800000</v>
      </c>
      <c r="O1560" s="5">
        <v>61800000</v>
      </c>
      <c r="P1560" s="3">
        <v>0.97916666666666663</v>
      </c>
    </row>
    <row r="1561" spans="1:16" x14ac:dyDescent="0.25">
      <c r="A1561" t="s">
        <v>961</v>
      </c>
      <c r="B1561" s="2">
        <v>44637</v>
      </c>
      <c r="C1561" t="str">
        <f>TEXT(B1561,"mm")</f>
        <v>03</v>
      </c>
      <c r="D1561" t="s">
        <v>20</v>
      </c>
      <c r="E1561" t="s">
        <v>1636</v>
      </c>
      <c r="F1561" s="5">
        <v>59400000</v>
      </c>
      <c r="G1561" s="5">
        <v>62400000</v>
      </c>
      <c r="H1561" s="5">
        <f>M1561*26000*1.20565</f>
        <v>60878814.490000002</v>
      </c>
      <c r="I1561" s="5">
        <f>G1561-H1561</f>
        <v>1521185.5099999979</v>
      </c>
      <c r="J1561" s="5">
        <v>3000000</v>
      </c>
      <c r="K1561" s="5">
        <v>5940000</v>
      </c>
      <c r="L1561" s="5">
        <v>6240000</v>
      </c>
      <c r="M1561" s="7">
        <v>1942.1</v>
      </c>
      <c r="N1561" s="5">
        <v>59900000</v>
      </c>
      <c r="O1561" s="5">
        <v>62900000</v>
      </c>
      <c r="P1561" s="3">
        <v>0.97916666666666663</v>
      </c>
    </row>
    <row r="1562" spans="1:16" x14ac:dyDescent="0.25">
      <c r="A1562" t="s">
        <v>962</v>
      </c>
      <c r="B1562" s="2">
        <v>44638</v>
      </c>
      <c r="C1562" t="str">
        <f>TEXT(B1562,"mm")</f>
        <v>03</v>
      </c>
      <c r="D1562" t="s">
        <v>21</v>
      </c>
      <c r="E1562" t="s">
        <v>1636</v>
      </c>
      <c r="F1562" s="5">
        <v>59000000</v>
      </c>
      <c r="G1562" s="5">
        <v>62000000</v>
      </c>
      <c r="H1562" s="5">
        <f>M1562*26000*1.20565</f>
        <v>60443092.580000006</v>
      </c>
      <c r="I1562" s="5">
        <f>G1562-H1562</f>
        <v>1556907.4199999943</v>
      </c>
      <c r="J1562" s="5">
        <v>3000000</v>
      </c>
      <c r="K1562" s="5">
        <v>5900000</v>
      </c>
      <c r="L1562" s="5">
        <v>6200000</v>
      </c>
      <c r="M1562" s="7">
        <v>1928.2</v>
      </c>
      <c r="N1562" s="5">
        <v>59500000</v>
      </c>
      <c r="O1562" s="5">
        <v>62500000</v>
      </c>
      <c r="P1562" s="3">
        <v>0.97916666666666663</v>
      </c>
    </row>
    <row r="1563" spans="1:16" x14ac:dyDescent="0.25">
      <c r="A1563" t="s">
        <v>963</v>
      </c>
      <c r="B1563" s="2">
        <v>44641</v>
      </c>
      <c r="C1563" t="str">
        <f>TEXT(B1563,"mm")</f>
        <v>03</v>
      </c>
      <c r="D1563" t="s">
        <v>16</v>
      </c>
      <c r="E1563" t="s">
        <v>1636</v>
      </c>
      <c r="F1563" s="5">
        <v>59000000</v>
      </c>
      <c r="G1563" s="5">
        <v>62000000</v>
      </c>
      <c r="H1563" s="5">
        <f>M1563*26000*1.20565</f>
        <v>60455631.340000004</v>
      </c>
      <c r="I1563" s="5">
        <f>G1563-H1563</f>
        <v>1544368.6599999964</v>
      </c>
      <c r="J1563" s="5">
        <v>3000000</v>
      </c>
      <c r="K1563" s="5">
        <v>5900000</v>
      </c>
      <c r="L1563" s="5">
        <v>6200000</v>
      </c>
      <c r="M1563" s="7">
        <v>1928.6</v>
      </c>
      <c r="N1563" s="5">
        <v>59500000</v>
      </c>
      <c r="O1563" s="5">
        <v>62500000</v>
      </c>
      <c r="P1563" s="3">
        <v>0.97916666666666663</v>
      </c>
    </row>
    <row r="1564" spans="1:16" x14ac:dyDescent="0.25">
      <c r="A1564" t="s">
        <v>964</v>
      </c>
      <c r="B1564" s="2">
        <v>44642</v>
      </c>
      <c r="C1564" t="str">
        <f>TEXT(B1564,"mm")</f>
        <v>03</v>
      </c>
      <c r="D1564" t="s">
        <v>18</v>
      </c>
      <c r="E1564" t="s">
        <v>1636</v>
      </c>
      <c r="F1564" s="5">
        <v>58700000</v>
      </c>
      <c r="G1564" s="5">
        <v>61700000</v>
      </c>
      <c r="H1564" s="5">
        <f>M1564*26000*1.20565</f>
        <v>60207990.830000006</v>
      </c>
      <c r="I1564" s="5">
        <f>G1564-H1564</f>
        <v>1492009.1699999943</v>
      </c>
      <c r="J1564" s="5">
        <v>3000000</v>
      </c>
      <c r="K1564" s="5">
        <v>5870000</v>
      </c>
      <c r="L1564" s="5">
        <v>6170000</v>
      </c>
      <c r="M1564" s="7">
        <v>1920.7</v>
      </c>
      <c r="N1564" s="5">
        <v>59200000</v>
      </c>
      <c r="O1564" s="5">
        <v>62200000</v>
      </c>
      <c r="P1564" s="3">
        <v>0.97916666666666663</v>
      </c>
    </row>
    <row r="1565" spans="1:16" x14ac:dyDescent="0.25">
      <c r="A1565" t="s">
        <v>965</v>
      </c>
      <c r="B1565" s="2">
        <v>44643</v>
      </c>
      <c r="C1565" t="str">
        <f>TEXT(B1565,"mm")</f>
        <v>03</v>
      </c>
      <c r="D1565" t="s">
        <v>19</v>
      </c>
      <c r="E1565" t="s">
        <v>1636</v>
      </c>
      <c r="F1565" s="5">
        <v>59200000</v>
      </c>
      <c r="G1565" s="5">
        <v>62200000</v>
      </c>
      <c r="H1565" s="5">
        <f>M1565*26000*1.20565</f>
        <v>60706406.540000007</v>
      </c>
      <c r="I1565" s="5">
        <f>G1565-H1565</f>
        <v>1493593.4599999934</v>
      </c>
      <c r="J1565" s="5">
        <v>3000000</v>
      </c>
      <c r="K1565" s="5">
        <v>5920000</v>
      </c>
      <c r="L1565" s="5">
        <v>6220000</v>
      </c>
      <c r="M1565" s="7">
        <v>1936.6</v>
      </c>
      <c r="N1565" s="5">
        <v>59700000</v>
      </c>
      <c r="O1565" s="5">
        <v>62700000</v>
      </c>
      <c r="P1565" s="3">
        <v>0.97916666666666663</v>
      </c>
    </row>
    <row r="1566" spans="1:16" x14ac:dyDescent="0.25">
      <c r="A1566" t="s">
        <v>966</v>
      </c>
      <c r="B1566" s="2">
        <v>44644</v>
      </c>
      <c r="C1566" t="str">
        <f>TEXT(B1566,"mm")</f>
        <v>03</v>
      </c>
      <c r="D1566" t="s">
        <v>20</v>
      </c>
      <c r="E1566" t="s">
        <v>1636</v>
      </c>
      <c r="F1566" s="5">
        <v>60000000</v>
      </c>
      <c r="G1566" s="5">
        <v>63000000</v>
      </c>
      <c r="H1566" s="5">
        <f>M1566*26000*1.20565</f>
        <v>61490079.040000007</v>
      </c>
      <c r="I1566" s="5">
        <f>G1566-H1566</f>
        <v>1509920.9599999934</v>
      </c>
      <c r="J1566" s="5">
        <v>3000000</v>
      </c>
      <c r="K1566" s="5">
        <v>6000000</v>
      </c>
      <c r="L1566" s="5">
        <v>6300000</v>
      </c>
      <c r="M1566" s="7">
        <v>1961.6</v>
      </c>
      <c r="N1566" s="5">
        <v>60500000</v>
      </c>
      <c r="O1566" s="5">
        <v>63500000</v>
      </c>
      <c r="P1566" s="3">
        <v>0.97916666666666663</v>
      </c>
    </row>
    <row r="1567" spans="1:16" x14ac:dyDescent="0.25">
      <c r="A1567" t="s">
        <v>967</v>
      </c>
      <c r="B1567" s="2">
        <v>44645</v>
      </c>
      <c r="C1567" t="str">
        <f>TEXT(B1567,"mm")</f>
        <v>03</v>
      </c>
      <c r="D1567" t="s">
        <v>21</v>
      </c>
      <c r="E1567" t="s">
        <v>1636</v>
      </c>
      <c r="F1567" s="5">
        <v>59800000</v>
      </c>
      <c r="G1567" s="5">
        <v>62800000</v>
      </c>
      <c r="H1567" s="5">
        <f>M1567*26000*1.20565</f>
        <v>61245573.220000006</v>
      </c>
      <c r="I1567" s="5">
        <f>G1567-H1567</f>
        <v>1554426.7799999937</v>
      </c>
      <c r="J1567" s="5">
        <v>3000000</v>
      </c>
      <c r="K1567" s="5">
        <v>5980000</v>
      </c>
      <c r="L1567" s="5">
        <v>6280000</v>
      </c>
      <c r="M1567" s="7">
        <v>1953.8</v>
      </c>
      <c r="N1567" s="5">
        <v>60300000</v>
      </c>
      <c r="O1567" s="5">
        <v>63300000</v>
      </c>
      <c r="P1567" s="3">
        <v>0.97916666666666663</v>
      </c>
    </row>
    <row r="1568" spans="1:16" x14ac:dyDescent="0.25">
      <c r="A1568" t="s">
        <v>968</v>
      </c>
      <c r="B1568" s="2">
        <v>44648</v>
      </c>
      <c r="C1568" t="str">
        <f>TEXT(B1568,"mm")</f>
        <v>03</v>
      </c>
      <c r="D1568" t="s">
        <v>16</v>
      </c>
      <c r="E1568" t="s">
        <v>1636</v>
      </c>
      <c r="F1568" s="5">
        <v>59300000</v>
      </c>
      <c r="G1568" s="5">
        <v>62300000</v>
      </c>
      <c r="H1568" s="5">
        <f>M1568*26000*1.20565</f>
        <v>60800447.240000002</v>
      </c>
      <c r="I1568" s="5">
        <f>G1568-H1568</f>
        <v>1499552.7599999979</v>
      </c>
      <c r="J1568" s="5">
        <v>3000000</v>
      </c>
      <c r="K1568" s="5">
        <v>5930000</v>
      </c>
      <c r="L1568" s="5">
        <v>6230000</v>
      </c>
      <c r="M1568" s="7">
        <v>1939.6</v>
      </c>
      <c r="N1568" s="5">
        <v>59800000</v>
      </c>
      <c r="O1568" s="5">
        <v>62800000</v>
      </c>
      <c r="P1568" s="3">
        <v>0.97916666666666663</v>
      </c>
    </row>
    <row r="1569" spans="1:16" x14ac:dyDescent="0.25">
      <c r="A1569" t="s">
        <v>969</v>
      </c>
      <c r="B1569" s="2">
        <v>44649</v>
      </c>
      <c r="C1569" t="str">
        <f>TEXT(B1569,"mm")</f>
        <v>03</v>
      </c>
      <c r="D1569" t="s">
        <v>18</v>
      </c>
      <c r="E1569" t="s">
        <v>1636</v>
      </c>
      <c r="F1569" s="5">
        <v>58400000</v>
      </c>
      <c r="G1569" s="5">
        <v>61400000</v>
      </c>
      <c r="H1569" s="5">
        <f>M1569*26000*1.20565</f>
        <v>59935272.800000004</v>
      </c>
      <c r="I1569" s="5">
        <f>G1569-H1569</f>
        <v>1464727.1999999955</v>
      </c>
      <c r="J1569" s="5">
        <v>3000000</v>
      </c>
      <c r="K1569" s="5">
        <v>5840000</v>
      </c>
      <c r="L1569" s="5">
        <v>6140000</v>
      </c>
      <c r="M1569" s="7">
        <v>1912</v>
      </c>
      <c r="N1569" s="5">
        <v>58900000</v>
      </c>
      <c r="O1569" s="5">
        <v>61900000</v>
      </c>
      <c r="P1569" s="3">
        <v>0.97916666666666663</v>
      </c>
    </row>
    <row r="1570" spans="1:16" x14ac:dyDescent="0.25">
      <c r="A1570" t="s">
        <v>970</v>
      </c>
      <c r="B1570" s="2">
        <v>44650</v>
      </c>
      <c r="C1570" t="str">
        <f>TEXT(B1570,"mm")</f>
        <v>03</v>
      </c>
      <c r="D1570" t="s">
        <v>19</v>
      </c>
      <c r="E1570" t="s">
        <v>1636</v>
      </c>
      <c r="F1570" s="5">
        <v>59100000</v>
      </c>
      <c r="G1570" s="5">
        <v>62100000</v>
      </c>
      <c r="H1570" s="5">
        <f>M1570*26000*1.20565</f>
        <v>60609231.150000006</v>
      </c>
      <c r="I1570" s="5">
        <f>G1570-H1570</f>
        <v>1490768.849999994</v>
      </c>
      <c r="J1570" s="5">
        <v>3000000</v>
      </c>
      <c r="K1570" s="5">
        <v>5910000</v>
      </c>
      <c r="L1570" s="5">
        <v>6210000</v>
      </c>
      <c r="M1570" s="7">
        <v>1933.5</v>
      </c>
      <c r="N1570" s="5">
        <v>59600000</v>
      </c>
      <c r="O1570" s="5">
        <v>62600000</v>
      </c>
      <c r="P1570" s="3">
        <v>0.97916666666666663</v>
      </c>
    </row>
    <row r="1571" spans="1:16" x14ac:dyDescent="0.25">
      <c r="A1571" t="s">
        <v>971</v>
      </c>
      <c r="B1571" s="2">
        <v>44651</v>
      </c>
      <c r="C1571" t="str">
        <f>TEXT(B1571,"mm")</f>
        <v>03</v>
      </c>
      <c r="D1571" t="s">
        <v>20</v>
      </c>
      <c r="E1571" t="s">
        <v>1636</v>
      </c>
      <c r="F1571" s="5">
        <v>59600000</v>
      </c>
      <c r="G1571" s="5">
        <v>62600000</v>
      </c>
      <c r="H1571" s="5">
        <f>M1571*26000*1.20565</f>
        <v>61101377.480000004</v>
      </c>
      <c r="I1571" s="5">
        <f>G1571-H1571</f>
        <v>1498622.5199999958</v>
      </c>
      <c r="J1571" s="5">
        <v>3000000</v>
      </c>
      <c r="K1571" s="5">
        <v>5960000</v>
      </c>
      <c r="L1571" s="5">
        <v>6260000</v>
      </c>
      <c r="M1571" s="7">
        <v>1949.2</v>
      </c>
      <c r="N1571" s="5">
        <v>60100000</v>
      </c>
      <c r="O1571" s="5">
        <v>63100000</v>
      </c>
      <c r="P1571" s="3">
        <v>0.97916666666666663</v>
      </c>
    </row>
    <row r="1572" spans="1:16" x14ac:dyDescent="0.25">
      <c r="A1572" s="2">
        <v>44565</v>
      </c>
      <c r="B1572" s="2">
        <v>44652</v>
      </c>
      <c r="C1572" t="str">
        <f>TEXT(B1572,"mm")</f>
        <v>04</v>
      </c>
      <c r="D1572" t="s">
        <v>21</v>
      </c>
      <c r="E1572" t="s">
        <v>1636</v>
      </c>
      <c r="F1572" s="5">
        <v>58700000</v>
      </c>
      <c r="G1572" s="5">
        <v>61700000</v>
      </c>
      <c r="H1572" s="5">
        <f>M1572*26000*1.20565</f>
        <v>60157835.790000007</v>
      </c>
      <c r="I1572" s="5">
        <f>G1572-H1572</f>
        <v>1542164.2099999934</v>
      </c>
      <c r="J1572" s="5">
        <v>3000000</v>
      </c>
      <c r="K1572" s="5">
        <v>5870000</v>
      </c>
      <c r="L1572" s="5">
        <v>6170000</v>
      </c>
      <c r="M1572" s="7">
        <v>1919.1</v>
      </c>
      <c r="N1572" s="5">
        <v>59200000</v>
      </c>
      <c r="O1572" s="5">
        <v>62200000</v>
      </c>
      <c r="P1572" s="3">
        <v>0.97916666666666663</v>
      </c>
    </row>
    <row r="1573" spans="1:16" x14ac:dyDescent="0.25">
      <c r="A1573" s="2">
        <v>44655</v>
      </c>
      <c r="B1573" s="2">
        <v>44655</v>
      </c>
      <c r="C1573" t="str">
        <f>TEXT(B1573,"mm")</f>
        <v>04</v>
      </c>
      <c r="D1573" t="s">
        <v>16</v>
      </c>
      <c r="E1573" t="s">
        <v>1636</v>
      </c>
      <c r="F1573" s="5">
        <v>59000000</v>
      </c>
      <c r="G1573" s="5">
        <v>62000000</v>
      </c>
      <c r="H1573" s="5">
        <f>M1573*26000*1.20565</f>
        <v>60474439.480000004</v>
      </c>
      <c r="I1573" s="5">
        <f>G1573-H1573</f>
        <v>1525560.5199999958</v>
      </c>
      <c r="J1573" s="5">
        <v>3000000</v>
      </c>
      <c r="K1573" s="5">
        <v>5900000</v>
      </c>
      <c r="L1573" s="5">
        <v>6200000</v>
      </c>
      <c r="M1573" s="7">
        <v>1929.2</v>
      </c>
      <c r="N1573" s="5">
        <v>59500000</v>
      </c>
      <c r="O1573" s="5">
        <v>62500000</v>
      </c>
      <c r="P1573" s="3">
        <v>0.97916666666666663</v>
      </c>
    </row>
    <row r="1574" spans="1:16" x14ac:dyDescent="0.25">
      <c r="A1574" s="2">
        <v>44685</v>
      </c>
      <c r="B1574" s="2">
        <v>44656</v>
      </c>
      <c r="C1574" t="str">
        <f>TEXT(B1574,"mm")</f>
        <v>04</v>
      </c>
      <c r="D1574" t="s">
        <v>18</v>
      </c>
      <c r="E1574" t="s">
        <v>1636</v>
      </c>
      <c r="F1574" s="5">
        <v>58800000</v>
      </c>
      <c r="G1574" s="5">
        <v>61800000</v>
      </c>
      <c r="H1574" s="5">
        <f>M1574*26000*1.20565</f>
        <v>60276954.010000005</v>
      </c>
      <c r="I1574" s="5">
        <f>G1574-H1574</f>
        <v>1523045.9899999946</v>
      </c>
      <c r="J1574" s="5">
        <v>3000000</v>
      </c>
      <c r="K1574" s="5">
        <v>5880000</v>
      </c>
      <c r="L1574" s="5">
        <v>6180000</v>
      </c>
      <c r="M1574" s="7">
        <v>1922.9</v>
      </c>
      <c r="N1574" s="5">
        <v>59300000</v>
      </c>
      <c r="O1574" s="5">
        <v>62300000</v>
      </c>
      <c r="P1574" s="3">
        <v>0.97916666666666663</v>
      </c>
    </row>
    <row r="1575" spans="1:16" x14ac:dyDescent="0.25">
      <c r="A1575" s="2">
        <v>44716</v>
      </c>
      <c r="B1575" s="2">
        <v>44657</v>
      </c>
      <c r="C1575" t="str">
        <f>TEXT(B1575,"mm")</f>
        <v>04</v>
      </c>
      <c r="D1575" t="s">
        <v>19</v>
      </c>
      <c r="E1575" t="s">
        <v>1636</v>
      </c>
      <c r="F1575" s="5">
        <v>58700000</v>
      </c>
      <c r="G1575" s="5">
        <v>61700000</v>
      </c>
      <c r="H1575" s="5">
        <f>M1575*26000*1.20565</f>
        <v>60135892.960000008</v>
      </c>
      <c r="I1575" s="5">
        <f>G1575-H1575</f>
        <v>1564107.0399999917</v>
      </c>
      <c r="J1575" s="5">
        <v>3000000</v>
      </c>
      <c r="K1575" s="5">
        <v>5870000</v>
      </c>
      <c r="L1575" s="5">
        <v>6170000</v>
      </c>
      <c r="M1575" s="7">
        <v>1918.4</v>
      </c>
      <c r="N1575" s="5">
        <v>59200000</v>
      </c>
      <c r="O1575" s="5">
        <v>62200000</v>
      </c>
      <c r="P1575" s="3">
        <v>0.97916666666666663</v>
      </c>
    </row>
    <row r="1576" spans="1:16" x14ac:dyDescent="0.25">
      <c r="A1576" s="2">
        <v>44746</v>
      </c>
      <c r="B1576" s="2">
        <v>44658</v>
      </c>
      <c r="C1576" t="str">
        <f>TEXT(B1576,"mm")</f>
        <v>04</v>
      </c>
      <c r="D1576" t="s">
        <v>20</v>
      </c>
      <c r="E1576" t="s">
        <v>1636</v>
      </c>
      <c r="F1576" s="5">
        <v>59100000</v>
      </c>
      <c r="G1576" s="5">
        <v>62100000</v>
      </c>
      <c r="H1576" s="5">
        <f>M1576*26000*1.20565</f>
        <v>60618635.220000006</v>
      </c>
      <c r="I1576" s="5">
        <f>G1576-H1576</f>
        <v>1481364.7799999937</v>
      </c>
      <c r="J1576" s="5">
        <v>3000000</v>
      </c>
      <c r="K1576" s="5">
        <v>5910000</v>
      </c>
      <c r="L1576" s="5">
        <v>6210000</v>
      </c>
      <c r="M1576" s="7">
        <v>1933.8</v>
      </c>
      <c r="N1576" s="5">
        <v>59600000</v>
      </c>
      <c r="O1576" s="5">
        <v>62600000</v>
      </c>
      <c r="P1576" s="3">
        <v>0.97916666666666663</v>
      </c>
    </row>
    <row r="1577" spans="1:16" x14ac:dyDescent="0.25">
      <c r="A1577" s="2">
        <v>44777</v>
      </c>
      <c r="B1577" s="2">
        <v>44659</v>
      </c>
      <c r="C1577" t="str">
        <f>TEXT(B1577,"mm")</f>
        <v>04</v>
      </c>
      <c r="D1577" t="s">
        <v>21</v>
      </c>
      <c r="E1577" t="s">
        <v>1636</v>
      </c>
      <c r="F1577" s="5">
        <v>59400000</v>
      </c>
      <c r="G1577" s="5">
        <v>62400000</v>
      </c>
      <c r="H1577" s="5">
        <f>M1577*26000*1.20565</f>
        <v>60863141.040000007</v>
      </c>
      <c r="I1577" s="5">
        <f>G1577-H1577</f>
        <v>1536858.9599999934</v>
      </c>
      <c r="J1577" s="5">
        <v>3000000</v>
      </c>
      <c r="K1577" s="5">
        <v>5940000</v>
      </c>
      <c r="L1577" s="5">
        <v>6240000</v>
      </c>
      <c r="M1577" s="7">
        <v>1941.6</v>
      </c>
      <c r="N1577" s="5">
        <v>59900000</v>
      </c>
      <c r="O1577" s="5">
        <v>62900000</v>
      </c>
      <c r="P1577" s="3">
        <v>0.97916666666666663</v>
      </c>
    </row>
    <row r="1578" spans="1:16" x14ac:dyDescent="0.25">
      <c r="A1578" s="2">
        <v>44869</v>
      </c>
      <c r="B1578" s="2">
        <v>44662</v>
      </c>
      <c r="C1578" t="str">
        <f>TEXT(B1578,"mm")</f>
        <v>04</v>
      </c>
      <c r="D1578" t="s">
        <v>16</v>
      </c>
      <c r="E1578" t="s">
        <v>1636</v>
      </c>
      <c r="F1578" s="5">
        <v>59500000</v>
      </c>
      <c r="G1578" s="5">
        <v>62500000</v>
      </c>
      <c r="H1578" s="5">
        <f>M1578*26000*1.20565</f>
        <v>60947777.670000009</v>
      </c>
      <c r="I1578" s="5">
        <f>G1578-H1578</f>
        <v>1552222.3299999908</v>
      </c>
      <c r="J1578" s="5">
        <v>3000000</v>
      </c>
      <c r="K1578" s="5">
        <v>5950000</v>
      </c>
      <c r="L1578" s="5">
        <v>6250000</v>
      </c>
      <c r="M1578" s="7">
        <v>1944.3</v>
      </c>
      <c r="N1578" s="5">
        <v>60000000</v>
      </c>
      <c r="O1578" s="5">
        <v>63000000</v>
      </c>
      <c r="P1578" s="3">
        <v>0.97916666666666663</v>
      </c>
    </row>
    <row r="1579" spans="1:16" x14ac:dyDescent="0.25">
      <c r="A1579" s="2">
        <v>44899</v>
      </c>
      <c r="B1579" s="2">
        <v>44663</v>
      </c>
      <c r="C1579" t="str">
        <f>TEXT(B1579,"mm")</f>
        <v>04</v>
      </c>
      <c r="D1579" t="s">
        <v>18</v>
      </c>
      <c r="E1579" t="s">
        <v>1636</v>
      </c>
      <c r="F1579" s="5">
        <v>60400000</v>
      </c>
      <c r="G1579" s="5">
        <v>63400000</v>
      </c>
      <c r="H1579" s="5">
        <f>M1579*26000*1.20565</f>
        <v>61819221.490000002</v>
      </c>
      <c r="I1579" s="5">
        <f>G1579-H1579</f>
        <v>1580778.5099999979</v>
      </c>
      <c r="J1579" s="5">
        <v>3000000</v>
      </c>
      <c r="K1579" s="5">
        <v>6040000</v>
      </c>
      <c r="L1579" s="5">
        <v>6340000</v>
      </c>
      <c r="M1579" s="7">
        <v>1972.1</v>
      </c>
      <c r="N1579" s="5">
        <v>60900000</v>
      </c>
      <c r="O1579" s="5">
        <v>63900000</v>
      </c>
      <c r="P1579" s="3">
        <v>0.97916666666666663</v>
      </c>
    </row>
    <row r="1580" spans="1:16" x14ac:dyDescent="0.25">
      <c r="A1580" t="s">
        <v>972</v>
      </c>
      <c r="B1580" s="2">
        <v>44664</v>
      </c>
      <c r="C1580" t="str">
        <f>TEXT(B1580,"mm")</f>
        <v>04</v>
      </c>
      <c r="D1580" t="s">
        <v>19</v>
      </c>
      <c r="E1580" t="s">
        <v>1636</v>
      </c>
      <c r="F1580" s="5">
        <v>60700000</v>
      </c>
      <c r="G1580" s="5">
        <v>63700000</v>
      </c>
      <c r="H1580" s="5">
        <f>M1580*26000*1.20565</f>
        <v>62098208.900000006</v>
      </c>
      <c r="I1580" s="5">
        <f>G1580-H1580</f>
        <v>1601791.099999994</v>
      </c>
      <c r="J1580" s="5">
        <v>3000000</v>
      </c>
      <c r="K1580" s="5">
        <v>6070000</v>
      </c>
      <c r="L1580" s="5">
        <v>6370000</v>
      </c>
      <c r="M1580" s="7">
        <v>1981</v>
      </c>
      <c r="N1580" s="5">
        <v>61200000</v>
      </c>
      <c r="O1580" s="5">
        <v>64200000</v>
      </c>
      <c r="P1580" s="3">
        <v>0.97916666666666663</v>
      </c>
    </row>
    <row r="1581" spans="1:16" x14ac:dyDescent="0.25">
      <c r="A1581" t="s">
        <v>973</v>
      </c>
      <c r="B1581" s="2">
        <v>44665</v>
      </c>
      <c r="C1581" t="str">
        <f>TEXT(B1581,"mm")</f>
        <v>04</v>
      </c>
      <c r="D1581" t="s">
        <v>20</v>
      </c>
      <c r="E1581" t="s">
        <v>1636</v>
      </c>
      <c r="F1581" s="5">
        <v>60300000</v>
      </c>
      <c r="G1581" s="5">
        <v>63300000</v>
      </c>
      <c r="H1581" s="5">
        <f>M1581*26000*1.20565</f>
        <v>61781605.210000008</v>
      </c>
      <c r="I1581" s="5">
        <f>G1581-H1581</f>
        <v>1518394.7899999917</v>
      </c>
      <c r="J1581" s="5">
        <v>3000000</v>
      </c>
      <c r="K1581" s="5">
        <v>6030000</v>
      </c>
      <c r="L1581" s="5">
        <v>6330000</v>
      </c>
      <c r="M1581" s="7">
        <v>1970.9</v>
      </c>
      <c r="N1581" s="5">
        <v>60800000</v>
      </c>
      <c r="O1581" s="5">
        <v>63800000</v>
      </c>
      <c r="P1581" s="3">
        <v>0.97916666666666663</v>
      </c>
    </row>
    <row r="1582" spans="1:16" x14ac:dyDescent="0.25">
      <c r="A1582" t="s">
        <v>974</v>
      </c>
      <c r="B1582" s="2">
        <v>44669</v>
      </c>
      <c r="C1582" t="str">
        <f>TEXT(B1582,"mm")</f>
        <v>04</v>
      </c>
      <c r="D1582" t="s">
        <v>16</v>
      </c>
      <c r="E1582" t="s">
        <v>1636</v>
      </c>
      <c r="F1582" s="5">
        <v>60700000</v>
      </c>
      <c r="G1582" s="5">
        <v>63700000</v>
      </c>
      <c r="H1582" s="5">
        <f>M1582*26000*1.20565</f>
        <v>62157768.010000005</v>
      </c>
      <c r="I1582" s="5">
        <f>G1582-H1582</f>
        <v>1542231.9899999946</v>
      </c>
      <c r="J1582" s="5">
        <v>3000000</v>
      </c>
      <c r="K1582" s="5">
        <v>6070000</v>
      </c>
      <c r="L1582" s="5">
        <v>6370000</v>
      </c>
      <c r="M1582" s="7">
        <v>1982.9</v>
      </c>
      <c r="N1582" s="5">
        <v>61200000</v>
      </c>
      <c r="O1582" s="5">
        <v>64200000</v>
      </c>
      <c r="P1582" s="3">
        <v>0.97916666666666663</v>
      </c>
    </row>
    <row r="1583" spans="1:16" x14ac:dyDescent="0.25">
      <c r="A1583" t="s">
        <v>975</v>
      </c>
      <c r="B1583" s="2">
        <v>44670</v>
      </c>
      <c r="C1583" t="str">
        <f>TEXT(B1583,"mm")</f>
        <v>04</v>
      </c>
      <c r="D1583" t="s">
        <v>18</v>
      </c>
      <c r="E1583" t="s">
        <v>1636</v>
      </c>
      <c r="F1583" s="5">
        <v>59900000</v>
      </c>
      <c r="G1583" s="5">
        <v>62900000</v>
      </c>
      <c r="H1583" s="5">
        <f>M1583*26000*1.20565</f>
        <v>61305132.330000006</v>
      </c>
      <c r="I1583" s="5">
        <f>G1583-H1583</f>
        <v>1594867.6699999943</v>
      </c>
      <c r="J1583" s="5">
        <v>3000000</v>
      </c>
      <c r="K1583" s="5">
        <v>5990000</v>
      </c>
      <c r="L1583" s="5">
        <v>6290000</v>
      </c>
      <c r="M1583" s="7">
        <v>1955.7</v>
      </c>
      <c r="N1583" s="5">
        <v>60400000</v>
      </c>
      <c r="O1583" s="5">
        <v>63400000</v>
      </c>
      <c r="P1583" s="3">
        <v>0.97916666666666663</v>
      </c>
    </row>
    <row r="1584" spans="1:16" x14ac:dyDescent="0.25">
      <c r="A1584" t="s">
        <v>976</v>
      </c>
      <c r="B1584" s="2">
        <v>44671</v>
      </c>
      <c r="C1584" t="str">
        <f>TEXT(B1584,"mm")</f>
        <v>04</v>
      </c>
      <c r="D1584" t="s">
        <v>19</v>
      </c>
      <c r="E1584" t="s">
        <v>1636</v>
      </c>
      <c r="F1584" s="5">
        <v>59700000</v>
      </c>
      <c r="G1584" s="5">
        <v>62700000</v>
      </c>
      <c r="H1584" s="5">
        <f>M1584*26000*1.20565</f>
        <v>61198552.870000005</v>
      </c>
      <c r="I1584" s="5">
        <f>G1584-H1584</f>
        <v>1501447.1299999952</v>
      </c>
      <c r="J1584" s="5">
        <v>3000000</v>
      </c>
      <c r="K1584" s="5">
        <v>5970000</v>
      </c>
      <c r="L1584" s="5">
        <v>6270000</v>
      </c>
      <c r="M1584" s="7">
        <v>1952.3</v>
      </c>
      <c r="N1584" s="5">
        <v>60200000</v>
      </c>
      <c r="O1584" s="5">
        <v>63200000</v>
      </c>
      <c r="P1584" s="3">
        <v>0.97916666666666663</v>
      </c>
    </row>
    <row r="1585" spans="1:16" x14ac:dyDescent="0.25">
      <c r="A1585" t="s">
        <v>977</v>
      </c>
      <c r="B1585" s="2">
        <v>44672</v>
      </c>
      <c r="C1585" t="str">
        <f>TEXT(B1585,"mm")</f>
        <v>04</v>
      </c>
      <c r="D1585" t="s">
        <v>20</v>
      </c>
      <c r="E1585" t="s">
        <v>1636</v>
      </c>
      <c r="F1585" s="5">
        <v>59500000</v>
      </c>
      <c r="G1585" s="5">
        <v>62500000</v>
      </c>
      <c r="H1585" s="5">
        <f>M1585*26000*1.20565</f>
        <v>60966585.810000002</v>
      </c>
      <c r="I1585" s="5">
        <f>G1585-H1585</f>
        <v>1533414.1899999976</v>
      </c>
      <c r="J1585" s="5">
        <v>3000000</v>
      </c>
      <c r="K1585" s="5">
        <v>5950000</v>
      </c>
      <c r="L1585" s="5">
        <v>6250000</v>
      </c>
      <c r="M1585" s="7">
        <v>1944.9</v>
      </c>
      <c r="N1585" s="5">
        <v>60000000</v>
      </c>
      <c r="O1585" s="5">
        <v>63000000</v>
      </c>
      <c r="P1585" s="3">
        <v>0.97916666666666663</v>
      </c>
    </row>
    <row r="1586" spans="1:16" x14ac:dyDescent="0.25">
      <c r="A1586" t="s">
        <v>978</v>
      </c>
      <c r="B1586" s="2">
        <v>44673</v>
      </c>
      <c r="C1586" t="str">
        <f>TEXT(B1586,"mm")</f>
        <v>04</v>
      </c>
      <c r="D1586" t="s">
        <v>21</v>
      </c>
      <c r="E1586" t="s">
        <v>1636</v>
      </c>
      <c r="F1586" s="5">
        <v>59100000</v>
      </c>
      <c r="G1586" s="5">
        <v>62100000</v>
      </c>
      <c r="H1586" s="5">
        <f>M1586*26000*1.20565</f>
        <v>60530863.900000006</v>
      </c>
      <c r="I1586" s="5">
        <f>G1586-H1586</f>
        <v>1569136.099999994</v>
      </c>
      <c r="J1586" s="5">
        <v>3000000</v>
      </c>
      <c r="K1586" s="5">
        <v>5910000</v>
      </c>
      <c r="L1586" s="5">
        <v>6210000</v>
      </c>
      <c r="M1586" s="7">
        <v>1931</v>
      </c>
      <c r="N1586" s="5">
        <v>59600000</v>
      </c>
      <c r="O1586" s="5">
        <v>62600000</v>
      </c>
      <c r="P1586" s="3">
        <v>0.97916666666666663</v>
      </c>
    </row>
    <row r="1587" spans="1:16" x14ac:dyDescent="0.25">
      <c r="A1587" t="s">
        <v>979</v>
      </c>
      <c r="B1587" s="2">
        <v>44676</v>
      </c>
      <c r="C1587" t="str">
        <f>TEXT(B1587,"mm")</f>
        <v>04</v>
      </c>
      <c r="D1587" t="s">
        <v>16</v>
      </c>
      <c r="E1587" t="s">
        <v>1636</v>
      </c>
      <c r="F1587" s="5">
        <v>57800000</v>
      </c>
      <c r="G1587" s="5">
        <v>60800000</v>
      </c>
      <c r="H1587" s="5">
        <f>M1587*26000*1.20565</f>
        <v>59345951.080000006</v>
      </c>
      <c r="I1587" s="5">
        <f>G1587-H1587</f>
        <v>1454048.9199999943</v>
      </c>
      <c r="J1587" s="5">
        <v>3000000</v>
      </c>
      <c r="K1587" s="5">
        <v>5780000</v>
      </c>
      <c r="L1587" s="5">
        <v>6080000</v>
      </c>
      <c r="M1587" s="7">
        <v>1893.2</v>
      </c>
      <c r="N1587" s="5">
        <v>58300000</v>
      </c>
      <c r="O1587" s="5">
        <v>61300000</v>
      </c>
      <c r="P1587" s="3">
        <v>0.97916666666666663</v>
      </c>
    </row>
    <row r="1588" spans="1:16" x14ac:dyDescent="0.25">
      <c r="A1588" t="s">
        <v>980</v>
      </c>
      <c r="B1588" s="2">
        <v>44677</v>
      </c>
      <c r="C1588" t="str">
        <f>TEXT(B1588,"mm")</f>
        <v>04</v>
      </c>
      <c r="D1588" t="s">
        <v>18</v>
      </c>
      <c r="E1588" t="s">
        <v>1636</v>
      </c>
      <c r="F1588" s="5">
        <v>58100000</v>
      </c>
      <c r="G1588" s="5">
        <v>61100000</v>
      </c>
      <c r="H1588" s="5">
        <f>M1588*26000*1.20565</f>
        <v>59602995.660000004</v>
      </c>
      <c r="I1588" s="5">
        <f>G1588-H1588</f>
        <v>1497004.3399999961</v>
      </c>
      <c r="J1588" s="5">
        <v>3000000</v>
      </c>
      <c r="K1588" s="5">
        <v>5810000</v>
      </c>
      <c r="L1588" s="5">
        <v>6110000</v>
      </c>
      <c r="M1588" s="7">
        <v>1901.4</v>
      </c>
      <c r="N1588" s="5">
        <v>58600000</v>
      </c>
      <c r="O1588" s="5">
        <v>61600000</v>
      </c>
      <c r="P1588" s="3">
        <v>0.97916666666666663</v>
      </c>
    </row>
    <row r="1589" spans="1:16" x14ac:dyDescent="0.25">
      <c r="A1589" t="s">
        <v>981</v>
      </c>
      <c r="B1589" s="2">
        <v>44678</v>
      </c>
      <c r="C1589" t="str">
        <f>TEXT(B1589,"mm")</f>
        <v>04</v>
      </c>
      <c r="D1589" t="s">
        <v>19</v>
      </c>
      <c r="E1589" t="s">
        <v>1636</v>
      </c>
      <c r="F1589" s="5">
        <v>57600000</v>
      </c>
      <c r="G1589" s="5">
        <v>60600000</v>
      </c>
      <c r="H1589" s="5">
        <f>M1589*26000*1.20565</f>
        <v>59117118.710000008</v>
      </c>
      <c r="I1589" s="5">
        <f>G1589-H1589</f>
        <v>1482881.2899999917</v>
      </c>
      <c r="J1589" s="5">
        <v>3000000</v>
      </c>
      <c r="K1589" s="5">
        <v>5760000</v>
      </c>
      <c r="L1589" s="5">
        <v>6060000</v>
      </c>
      <c r="M1589" s="7">
        <v>1885.9</v>
      </c>
      <c r="N1589" s="5">
        <v>58100000</v>
      </c>
      <c r="O1589" s="5">
        <v>61100000</v>
      </c>
      <c r="P1589" s="3">
        <v>0.97916666666666663</v>
      </c>
    </row>
    <row r="1590" spans="1:16" x14ac:dyDescent="0.25">
      <c r="A1590" t="s">
        <v>982</v>
      </c>
      <c r="B1590" s="2">
        <v>44679</v>
      </c>
      <c r="C1590" t="str">
        <f>TEXT(B1590,"mm")</f>
        <v>04</v>
      </c>
      <c r="D1590" t="s">
        <v>20</v>
      </c>
      <c r="E1590" t="s">
        <v>1636</v>
      </c>
      <c r="F1590" s="5">
        <v>57700000</v>
      </c>
      <c r="G1590" s="5">
        <v>60700000</v>
      </c>
      <c r="H1590" s="5">
        <f>M1590*26000*1.20565</f>
        <v>59204890.030000009</v>
      </c>
      <c r="I1590" s="5">
        <f>G1590-H1590</f>
        <v>1495109.9699999914</v>
      </c>
      <c r="J1590" s="5">
        <v>3000000</v>
      </c>
      <c r="K1590" s="5">
        <v>5770000</v>
      </c>
      <c r="L1590" s="5">
        <v>6070000</v>
      </c>
      <c r="M1590" s="7">
        <v>1888.7</v>
      </c>
      <c r="N1590" s="5">
        <v>58200000</v>
      </c>
      <c r="O1590" s="5">
        <v>61200000</v>
      </c>
      <c r="P1590" s="3">
        <v>0.97916666666666663</v>
      </c>
    </row>
    <row r="1591" spans="1:16" x14ac:dyDescent="0.25">
      <c r="A1591" t="s">
        <v>983</v>
      </c>
      <c r="B1591" s="2">
        <v>44680</v>
      </c>
      <c r="C1591" t="str">
        <f>TEXT(B1591,"mm")</f>
        <v>04</v>
      </c>
      <c r="D1591" t="s">
        <v>21</v>
      </c>
      <c r="E1591" t="s">
        <v>1636</v>
      </c>
      <c r="F1591" s="5">
        <v>58400000</v>
      </c>
      <c r="G1591" s="5">
        <v>61400000</v>
      </c>
      <c r="H1591" s="5">
        <f>M1591*26000*1.20565</f>
        <v>59850636.170000002</v>
      </c>
      <c r="I1591" s="5">
        <f>G1591-H1591</f>
        <v>1549363.8299999982</v>
      </c>
      <c r="J1591" s="5">
        <v>3000000</v>
      </c>
      <c r="K1591" s="5">
        <v>5840000</v>
      </c>
      <c r="L1591" s="5">
        <v>6140000</v>
      </c>
      <c r="M1591" s="7">
        <v>1909.3</v>
      </c>
      <c r="N1591" s="5">
        <v>58900000</v>
      </c>
      <c r="O1591" s="5">
        <v>61900000</v>
      </c>
      <c r="P1591" s="3">
        <v>0.97916666666666663</v>
      </c>
    </row>
    <row r="1592" spans="1:16" x14ac:dyDescent="0.25">
      <c r="A1592" s="2">
        <v>44597</v>
      </c>
      <c r="B1592" s="2">
        <v>44683</v>
      </c>
      <c r="C1592" t="str">
        <f>TEXT(B1592,"mm")</f>
        <v>05</v>
      </c>
      <c r="D1592" t="s">
        <v>16</v>
      </c>
      <c r="E1592" t="s">
        <v>1636</v>
      </c>
      <c r="F1592" s="5">
        <v>56800000</v>
      </c>
      <c r="G1592" s="5">
        <v>59800000</v>
      </c>
      <c r="H1592" s="5">
        <f>M1592*26000*1.20565</f>
        <v>58361658.420000002</v>
      </c>
      <c r="I1592" s="5">
        <f>G1592-H1592</f>
        <v>1438341.5799999982</v>
      </c>
      <c r="J1592" s="5">
        <v>3000000</v>
      </c>
      <c r="K1592" s="5">
        <v>5680000</v>
      </c>
      <c r="L1592" s="5">
        <v>5980000</v>
      </c>
      <c r="M1592" s="7">
        <v>1861.8</v>
      </c>
      <c r="N1592" s="5">
        <v>57300000</v>
      </c>
      <c r="O1592" s="5">
        <v>60300000</v>
      </c>
      <c r="P1592" s="3">
        <v>0.97916666666666663</v>
      </c>
    </row>
    <row r="1593" spans="1:16" x14ac:dyDescent="0.25">
      <c r="A1593" s="2">
        <v>44625</v>
      </c>
      <c r="B1593" s="2">
        <v>44684</v>
      </c>
      <c r="C1593" t="str">
        <f>TEXT(B1593,"mm")</f>
        <v>05</v>
      </c>
      <c r="D1593" t="s">
        <v>18</v>
      </c>
      <c r="E1593" t="s">
        <v>1636</v>
      </c>
      <c r="F1593" s="5">
        <v>57100000</v>
      </c>
      <c r="G1593" s="5">
        <v>60100000</v>
      </c>
      <c r="H1593" s="5">
        <f>M1593*26000*1.20565</f>
        <v>58581086.720000006</v>
      </c>
      <c r="I1593" s="5">
        <f>G1593-H1593</f>
        <v>1518913.2799999937</v>
      </c>
      <c r="J1593" s="5">
        <v>3000000</v>
      </c>
      <c r="K1593" s="5">
        <v>5710000</v>
      </c>
      <c r="L1593" s="5">
        <v>6010000</v>
      </c>
      <c r="M1593" s="7">
        <v>1868.8</v>
      </c>
      <c r="N1593" s="5">
        <v>57600000</v>
      </c>
      <c r="O1593" s="5">
        <v>60600000</v>
      </c>
      <c r="P1593" s="3">
        <v>0.97916666666666663</v>
      </c>
    </row>
    <row r="1594" spans="1:16" x14ac:dyDescent="0.25">
      <c r="A1594" s="2">
        <v>44656</v>
      </c>
      <c r="B1594" s="2">
        <v>44685</v>
      </c>
      <c r="C1594" t="str">
        <f>TEXT(B1594,"mm")</f>
        <v>05</v>
      </c>
      <c r="D1594" t="s">
        <v>19</v>
      </c>
      <c r="E1594" t="s">
        <v>1636</v>
      </c>
      <c r="F1594" s="5">
        <v>57000000</v>
      </c>
      <c r="G1594" s="5">
        <v>60000000</v>
      </c>
      <c r="H1594" s="5">
        <f>M1594*26000*1.20565</f>
        <v>58524662.300000004</v>
      </c>
      <c r="I1594" s="5">
        <f>G1594-H1594</f>
        <v>1475337.6999999955</v>
      </c>
      <c r="J1594" s="5">
        <v>3000000</v>
      </c>
      <c r="K1594" s="5">
        <v>5700000</v>
      </c>
      <c r="L1594" s="5">
        <v>6000000</v>
      </c>
      <c r="M1594" s="7">
        <v>1867</v>
      </c>
      <c r="N1594" s="5">
        <v>57500000</v>
      </c>
      <c r="O1594" s="5">
        <v>60500000</v>
      </c>
      <c r="P1594" s="3">
        <v>0.97916666666666663</v>
      </c>
    </row>
    <row r="1595" spans="1:16" x14ac:dyDescent="0.25">
      <c r="A1595" s="2">
        <v>44686</v>
      </c>
      <c r="B1595" s="2">
        <v>44686</v>
      </c>
      <c r="C1595" t="str">
        <f>TEXT(B1595,"mm")</f>
        <v>05</v>
      </c>
      <c r="D1595" t="s">
        <v>20</v>
      </c>
      <c r="E1595" t="s">
        <v>1636</v>
      </c>
      <c r="F1595" s="5">
        <v>57200000</v>
      </c>
      <c r="G1595" s="5">
        <v>60200000</v>
      </c>
      <c r="H1595" s="5">
        <f>M1595*26000*1.20565</f>
        <v>58744090.600000009</v>
      </c>
      <c r="I1595" s="5">
        <f>G1595-H1595</f>
        <v>1455909.3999999911</v>
      </c>
      <c r="J1595" s="5">
        <v>3000000</v>
      </c>
      <c r="K1595" s="5">
        <v>5720000</v>
      </c>
      <c r="L1595" s="5">
        <v>6020000</v>
      </c>
      <c r="M1595" s="7">
        <v>1874</v>
      </c>
      <c r="N1595" s="5">
        <v>57700000</v>
      </c>
      <c r="O1595" s="5">
        <v>60700000</v>
      </c>
      <c r="P1595" s="3">
        <v>0.97916666666666663</v>
      </c>
    </row>
    <row r="1596" spans="1:16" x14ac:dyDescent="0.25">
      <c r="A1596" s="2">
        <v>44717</v>
      </c>
      <c r="B1596" s="2">
        <v>44687</v>
      </c>
      <c r="C1596" t="str">
        <f>TEXT(B1596,"mm")</f>
        <v>05</v>
      </c>
      <c r="D1596" t="s">
        <v>21</v>
      </c>
      <c r="E1596" t="s">
        <v>1636</v>
      </c>
      <c r="F1596" s="5">
        <v>57500000</v>
      </c>
      <c r="G1596" s="5">
        <v>60500000</v>
      </c>
      <c r="H1596" s="5">
        <f>M1596*26000*1.20565</f>
        <v>58969788.280000009</v>
      </c>
      <c r="I1596" s="5">
        <f>G1596-H1596</f>
        <v>1530211.7199999914</v>
      </c>
      <c r="J1596" s="5">
        <v>3000000</v>
      </c>
      <c r="K1596" s="5">
        <v>5750000</v>
      </c>
      <c r="L1596" s="5">
        <v>6050000</v>
      </c>
      <c r="M1596" s="7">
        <v>1881.2</v>
      </c>
      <c r="N1596" s="5">
        <v>58000000</v>
      </c>
      <c r="O1596" s="5">
        <v>61000000</v>
      </c>
      <c r="P1596" s="3">
        <v>0.97916666666666663</v>
      </c>
    </row>
    <row r="1597" spans="1:16" x14ac:dyDescent="0.25">
      <c r="A1597" s="2">
        <v>44809</v>
      </c>
      <c r="B1597" s="2">
        <v>44690</v>
      </c>
      <c r="C1597" t="str">
        <f>TEXT(B1597,"mm")</f>
        <v>05</v>
      </c>
      <c r="D1597" t="s">
        <v>16</v>
      </c>
      <c r="E1597" t="s">
        <v>1636</v>
      </c>
      <c r="F1597" s="5">
        <v>56700000</v>
      </c>
      <c r="G1597" s="5">
        <v>59700000</v>
      </c>
      <c r="H1597" s="5">
        <f>M1597*26000*1.20565</f>
        <v>58214327.990000002</v>
      </c>
      <c r="I1597" s="5">
        <f>G1597-H1597</f>
        <v>1485672.0099999979</v>
      </c>
      <c r="J1597" s="5">
        <v>3000000</v>
      </c>
      <c r="K1597" s="5">
        <v>5670000</v>
      </c>
      <c r="L1597" s="5">
        <v>5970000</v>
      </c>
      <c r="M1597" s="7">
        <v>1857.1</v>
      </c>
      <c r="N1597" s="5">
        <v>57200000</v>
      </c>
      <c r="O1597" s="5">
        <v>60200000</v>
      </c>
      <c r="P1597" s="3">
        <v>0.97916666666666663</v>
      </c>
    </row>
    <row r="1598" spans="1:16" x14ac:dyDescent="0.25">
      <c r="A1598" s="2">
        <v>44839</v>
      </c>
      <c r="B1598" s="2">
        <v>44691</v>
      </c>
      <c r="C1598" t="str">
        <f>TEXT(B1598,"mm")</f>
        <v>05</v>
      </c>
      <c r="D1598" t="s">
        <v>18</v>
      </c>
      <c r="E1598" t="s">
        <v>1636</v>
      </c>
      <c r="F1598" s="5">
        <v>56100000</v>
      </c>
      <c r="G1598" s="5">
        <v>59100000</v>
      </c>
      <c r="H1598" s="5">
        <f>M1598*26000*1.20565</f>
        <v>57675161.310000002</v>
      </c>
      <c r="I1598" s="5">
        <f>G1598-H1598</f>
        <v>1424838.6899999976</v>
      </c>
      <c r="J1598" s="5">
        <v>3000000</v>
      </c>
      <c r="K1598" s="5">
        <v>5610000</v>
      </c>
      <c r="L1598" s="5">
        <v>5910000</v>
      </c>
      <c r="M1598" s="7">
        <v>1839.9</v>
      </c>
      <c r="N1598" s="5">
        <v>56600000</v>
      </c>
      <c r="O1598" s="5">
        <v>59600000</v>
      </c>
      <c r="P1598" s="3">
        <v>0.97916666666666663</v>
      </c>
    </row>
    <row r="1599" spans="1:16" x14ac:dyDescent="0.25">
      <c r="A1599" s="2">
        <v>44870</v>
      </c>
      <c r="B1599" s="2">
        <v>44692</v>
      </c>
      <c r="C1599" t="str">
        <f>TEXT(B1599,"mm")</f>
        <v>05</v>
      </c>
      <c r="D1599" t="s">
        <v>19</v>
      </c>
      <c r="E1599" t="s">
        <v>1636</v>
      </c>
      <c r="F1599" s="5">
        <v>56500000</v>
      </c>
      <c r="G1599" s="5">
        <v>59500000</v>
      </c>
      <c r="H1599" s="5">
        <f>M1599*26000*1.20565</f>
        <v>58073266.940000005</v>
      </c>
      <c r="I1599" s="5">
        <f>G1599-H1599</f>
        <v>1426733.0599999949</v>
      </c>
      <c r="J1599" s="5">
        <v>3000000</v>
      </c>
      <c r="K1599" s="5">
        <v>5650000</v>
      </c>
      <c r="L1599" s="5">
        <v>5950000</v>
      </c>
      <c r="M1599" s="7">
        <v>1852.6</v>
      </c>
      <c r="N1599" s="5">
        <v>57000000</v>
      </c>
      <c r="O1599" s="5">
        <v>60000000</v>
      </c>
      <c r="P1599" s="3">
        <v>0.97916666666666663</v>
      </c>
    </row>
    <row r="1600" spans="1:16" x14ac:dyDescent="0.25">
      <c r="A1600" s="2">
        <v>44900</v>
      </c>
      <c r="B1600" s="2">
        <v>44693</v>
      </c>
      <c r="C1600" t="str">
        <f>TEXT(B1600,"mm")</f>
        <v>05</v>
      </c>
      <c r="D1600" t="s">
        <v>20</v>
      </c>
      <c r="E1600" t="s">
        <v>1636</v>
      </c>
      <c r="F1600" s="5">
        <v>55600000</v>
      </c>
      <c r="G1600" s="5">
        <v>58600000</v>
      </c>
      <c r="H1600" s="5">
        <f>M1600*26000*1.20565</f>
        <v>57170476.220000006</v>
      </c>
      <c r="I1600" s="5">
        <f>G1600-H1600</f>
        <v>1429523.7799999937</v>
      </c>
      <c r="J1600" s="5">
        <v>3000000</v>
      </c>
      <c r="K1600" s="5">
        <v>5560000</v>
      </c>
      <c r="L1600" s="5">
        <v>5860000</v>
      </c>
      <c r="M1600" s="7">
        <v>1823.8</v>
      </c>
      <c r="N1600" s="5">
        <v>56100000</v>
      </c>
      <c r="O1600" s="5">
        <v>59100000</v>
      </c>
      <c r="P1600" s="3">
        <v>0.97916666666666663</v>
      </c>
    </row>
    <row r="1601" spans="1:16" x14ac:dyDescent="0.25">
      <c r="A1601" t="s">
        <v>984</v>
      </c>
      <c r="B1601" s="2">
        <v>44694</v>
      </c>
      <c r="C1601" t="str">
        <f>TEXT(B1601,"mm")</f>
        <v>05</v>
      </c>
      <c r="D1601" t="s">
        <v>21</v>
      </c>
      <c r="E1601" t="s">
        <v>1636</v>
      </c>
      <c r="F1601" s="5">
        <v>55100000</v>
      </c>
      <c r="G1601" s="5">
        <v>58100000</v>
      </c>
      <c r="H1601" s="5">
        <f>M1601*26000*1.20565</f>
        <v>56656387.060000002</v>
      </c>
      <c r="I1601" s="5">
        <f>G1601-H1601</f>
        <v>1443612.9399999976</v>
      </c>
      <c r="J1601" s="5">
        <v>3000000</v>
      </c>
      <c r="K1601" s="5">
        <v>5510000</v>
      </c>
      <c r="L1601" s="5">
        <v>5810000</v>
      </c>
      <c r="M1601" s="7">
        <v>1807.4</v>
      </c>
      <c r="N1601" s="5">
        <v>55600000</v>
      </c>
      <c r="O1601" s="5">
        <v>58600000</v>
      </c>
      <c r="P1601" s="3">
        <v>0.97916666666666663</v>
      </c>
    </row>
    <row r="1602" spans="1:16" x14ac:dyDescent="0.25">
      <c r="A1602" t="s">
        <v>985</v>
      </c>
      <c r="B1602" s="2">
        <v>44697</v>
      </c>
      <c r="C1602" t="str">
        <f>TEXT(B1602,"mm")</f>
        <v>05</v>
      </c>
      <c r="D1602" t="s">
        <v>16</v>
      </c>
      <c r="E1602" t="s">
        <v>1636</v>
      </c>
      <c r="F1602" s="5">
        <v>55300000</v>
      </c>
      <c r="G1602" s="5">
        <v>58300000</v>
      </c>
      <c r="H1602" s="5">
        <f>M1602*26000*1.20565</f>
        <v>56847603.150000006</v>
      </c>
      <c r="I1602" s="5">
        <f>G1602-H1602</f>
        <v>1452396.849999994</v>
      </c>
      <c r="J1602" s="5">
        <v>3000000</v>
      </c>
      <c r="K1602" s="5">
        <v>5530000</v>
      </c>
      <c r="L1602" s="5">
        <v>5830000</v>
      </c>
      <c r="M1602" s="7">
        <v>1813.5</v>
      </c>
      <c r="N1602" s="5">
        <v>55800000</v>
      </c>
      <c r="O1602" s="5">
        <v>58800000</v>
      </c>
      <c r="P1602" s="3">
        <v>0.97916666666666663</v>
      </c>
    </row>
    <row r="1603" spans="1:16" x14ac:dyDescent="0.25">
      <c r="A1603" t="s">
        <v>986</v>
      </c>
      <c r="B1603" s="2">
        <v>44698</v>
      </c>
      <c r="C1603" t="str">
        <f>TEXT(B1603,"mm")</f>
        <v>05</v>
      </c>
      <c r="D1603" t="s">
        <v>18</v>
      </c>
      <c r="E1603" t="s">
        <v>1636</v>
      </c>
      <c r="F1603" s="5">
        <v>55400000</v>
      </c>
      <c r="G1603" s="5">
        <v>58400000</v>
      </c>
      <c r="H1603" s="5">
        <f>M1603*26000*1.20565</f>
        <v>56994933.580000006</v>
      </c>
      <c r="I1603" s="5">
        <f>G1603-H1603</f>
        <v>1405066.4199999943</v>
      </c>
      <c r="J1603" s="5">
        <v>3000000</v>
      </c>
      <c r="K1603" s="5">
        <v>5540000</v>
      </c>
      <c r="L1603" s="5">
        <v>5840000</v>
      </c>
      <c r="M1603" s="7">
        <v>1818.2</v>
      </c>
      <c r="N1603" s="5">
        <v>55900000</v>
      </c>
      <c r="O1603" s="5">
        <v>58900000</v>
      </c>
      <c r="P1603" s="3">
        <v>0.97916666666666663</v>
      </c>
    </row>
    <row r="1604" spans="1:16" x14ac:dyDescent="0.25">
      <c r="A1604" t="s">
        <v>987</v>
      </c>
      <c r="B1604" s="2">
        <v>44699</v>
      </c>
      <c r="C1604" t="str">
        <f>TEXT(B1604,"mm")</f>
        <v>05</v>
      </c>
      <c r="D1604" t="s">
        <v>19</v>
      </c>
      <c r="E1604" t="s">
        <v>1636</v>
      </c>
      <c r="F1604" s="5">
        <v>55400000</v>
      </c>
      <c r="G1604" s="5">
        <v>58400000</v>
      </c>
      <c r="H1604" s="5">
        <f>M1604*26000*1.20565</f>
        <v>56922835.710000008</v>
      </c>
      <c r="I1604" s="5">
        <f>G1604-H1604</f>
        <v>1477164.2899999917</v>
      </c>
      <c r="J1604" s="5">
        <v>3000000</v>
      </c>
      <c r="K1604" s="5">
        <v>5540000</v>
      </c>
      <c r="L1604" s="5">
        <v>5840000</v>
      </c>
      <c r="M1604" s="7">
        <v>1815.9</v>
      </c>
      <c r="N1604" s="5">
        <v>55900000</v>
      </c>
      <c r="O1604" s="5">
        <v>58900000</v>
      </c>
      <c r="P1604" s="3">
        <v>0.97916666666666663</v>
      </c>
    </row>
    <row r="1605" spans="1:16" x14ac:dyDescent="0.25">
      <c r="A1605" t="s">
        <v>988</v>
      </c>
      <c r="B1605" s="2">
        <v>44700</v>
      </c>
      <c r="C1605" t="str">
        <f>TEXT(B1605,"mm")</f>
        <v>05</v>
      </c>
      <c r="D1605" t="s">
        <v>20</v>
      </c>
      <c r="E1605" t="s">
        <v>1636</v>
      </c>
      <c r="F1605" s="5">
        <v>56200000</v>
      </c>
      <c r="G1605" s="5">
        <v>59200000</v>
      </c>
      <c r="H1605" s="5">
        <f>M1605*26000*1.20565</f>
        <v>57715912.280000009</v>
      </c>
      <c r="I1605" s="5">
        <f>G1605-H1605</f>
        <v>1484087.7199999914</v>
      </c>
      <c r="J1605" s="5">
        <v>3000000</v>
      </c>
      <c r="K1605" s="5">
        <v>5620000</v>
      </c>
      <c r="L1605" s="5">
        <v>5920000</v>
      </c>
      <c r="M1605" s="7">
        <v>1841.2</v>
      </c>
      <c r="N1605" s="5">
        <v>56700000</v>
      </c>
      <c r="O1605" s="5">
        <v>59700000</v>
      </c>
      <c r="P1605" s="3">
        <v>0.97916666666666663</v>
      </c>
    </row>
    <row r="1606" spans="1:16" x14ac:dyDescent="0.25">
      <c r="A1606" t="s">
        <v>989</v>
      </c>
      <c r="B1606" s="2">
        <v>44701</v>
      </c>
      <c r="C1606" t="str">
        <f>TEXT(B1606,"mm")</f>
        <v>05</v>
      </c>
      <c r="D1606" t="s">
        <v>21</v>
      </c>
      <c r="E1606" t="s">
        <v>1636</v>
      </c>
      <c r="F1606" s="5">
        <v>56200000</v>
      </c>
      <c r="G1606" s="5">
        <v>59200000</v>
      </c>
      <c r="H1606" s="5">
        <f>M1606*26000*1.20565</f>
        <v>57734720.420000002</v>
      </c>
      <c r="I1606" s="5">
        <f>G1606-H1606</f>
        <v>1465279.5799999982</v>
      </c>
      <c r="J1606" s="5">
        <v>3000000</v>
      </c>
      <c r="K1606" s="5">
        <v>5620000</v>
      </c>
      <c r="L1606" s="5">
        <v>5920000</v>
      </c>
      <c r="M1606" s="7">
        <v>1841.8</v>
      </c>
      <c r="N1606" s="5">
        <v>56700000</v>
      </c>
      <c r="O1606" s="5">
        <v>59700000</v>
      </c>
      <c r="P1606" s="3">
        <v>0.97916666666666663</v>
      </c>
    </row>
    <row r="1607" spans="1:16" x14ac:dyDescent="0.25">
      <c r="A1607" t="s">
        <v>990</v>
      </c>
      <c r="B1607" s="2">
        <v>44704</v>
      </c>
      <c r="C1607" t="str">
        <f>TEXT(B1607,"mm")</f>
        <v>05</v>
      </c>
      <c r="D1607" t="s">
        <v>16</v>
      </c>
      <c r="E1607" t="s">
        <v>1636</v>
      </c>
      <c r="F1607" s="5">
        <v>56400000</v>
      </c>
      <c r="G1607" s="5">
        <v>59400000</v>
      </c>
      <c r="H1607" s="5">
        <f>M1607*26000*1.20565</f>
        <v>57922801.820000008</v>
      </c>
      <c r="I1607" s="5">
        <f>G1607-H1607</f>
        <v>1477198.1799999923</v>
      </c>
      <c r="J1607" s="5">
        <v>3000000</v>
      </c>
      <c r="K1607" s="5">
        <v>5640000</v>
      </c>
      <c r="L1607" s="5">
        <v>5940000</v>
      </c>
      <c r="M1607" s="7">
        <v>1847.8</v>
      </c>
      <c r="N1607" s="5">
        <v>56900000</v>
      </c>
      <c r="O1607" s="5">
        <v>59900000</v>
      </c>
      <c r="P1607" s="3">
        <v>0.97916666666666663</v>
      </c>
    </row>
    <row r="1608" spans="1:16" x14ac:dyDescent="0.25">
      <c r="A1608" t="s">
        <v>991</v>
      </c>
      <c r="B1608" s="2">
        <v>44705</v>
      </c>
      <c r="C1608" t="str">
        <f>TEXT(B1608,"mm")</f>
        <v>05</v>
      </c>
      <c r="D1608" t="s">
        <v>18</v>
      </c>
      <c r="E1608" t="s">
        <v>1636</v>
      </c>
      <c r="F1608" s="5">
        <v>56900000</v>
      </c>
      <c r="G1608" s="5">
        <v>59900000</v>
      </c>
      <c r="H1608" s="5">
        <f>M1608*26000*1.20565</f>
        <v>58465103.190000005</v>
      </c>
      <c r="I1608" s="5">
        <f>G1608-H1608</f>
        <v>1434896.8099999949</v>
      </c>
      <c r="J1608" s="5">
        <v>3000000</v>
      </c>
      <c r="K1608" s="5">
        <v>5690000</v>
      </c>
      <c r="L1608" s="5">
        <v>5990000</v>
      </c>
      <c r="M1608" s="7">
        <v>1865.1</v>
      </c>
      <c r="N1608" s="5">
        <v>57400000</v>
      </c>
      <c r="O1608" s="5">
        <v>60400000</v>
      </c>
      <c r="P1608" s="3">
        <v>0.97916666666666663</v>
      </c>
    </row>
    <row r="1609" spans="1:16" x14ac:dyDescent="0.25">
      <c r="A1609" t="s">
        <v>992</v>
      </c>
      <c r="B1609" s="2">
        <v>44706</v>
      </c>
      <c r="C1609" t="str">
        <f>TEXT(B1609,"mm")</f>
        <v>05</v>
      </c>
      <c r="D1609" t="s">
        <v>19</v>
      </c>
      <c r="E1609" t="s">
        <v>1636</v>
      </c>
      <c r="F1609" s="5">
        <v>56300000</v>
      </c>
      <c r="G1609" s="5">
        <v>59300000</v>
      </c>
      <c r="H1609" s="5">
        <f>M1609*26000*1.20565</f>
        <v>57872646.780000009</v>
      </c>
      <c r="I1609" s="5">
        <f>G1609-H1609</f>
        <v>1427353.2199999914</v>
      </c>
      <c r="J1609" s="5">
        <v>3000000</v>
      </c>
      <c r="K1609" s="5">
        <v>5630000</v>
      </c>
      <c r="L1609" s="5">
        <v>5930000</v>
      </c>
      <c r="M1609" s="7">
        <v>1846.2</v>
      </c>
      <c r="N1609" s="5">
        <v>56800000</v>
      </c>
      <c r="O1609" s="5">
        <v>59800000</v>
      </c>
      <c r="P1609" s="3">
        <v>0.97916666666666663</v>
      </c>
    </row>
    <row r="1610" spans="1:16" x14ac:dyDescent="0.25">
      <c r="A1610" t="s">
        <v>993</v>
      </c>
      <c r="B1610" s="2">
        <v>44707</v>
      </c>
      <c r="C1610" t="str">
        <f>TEXT(B1610,"mm")</f>
        <v>05</v>
      </c>
      <c r="D1610" t="s">
        <v>20</v>
      </c>
      <c r="E1610" t="s">
        <v>1636</v>
      </c>
      <c r="F1610" s="5">
        <v>56400000</v>
      </c>
      <c r="G1610" s="5">
        <v>59400000</v>
      </c>
      <c r="H1610" s="5">
        <f>M1610*26000*1.20565</f>
        <v>57910263.060000002</v>
      </c>
      <c r="I1610" s="5">
        <f>G1610-H1610</f>
        <v>1489736.9399999976</v>
      </c>
      <c r="J1610" s="5">
        <v>3000000</v>
      </c>
      <c r="K1610" s="5">
        <v>5640000</v>
      </c>
      <c r="L1610" s="5">
        <v>5940000</v>
      </c>
      <c r="M1610" s="7">
        <v>1847.4</v>
      </c>
      <c r="N1610" s="5">
        <v>56900000</v>
      </c>
      <c r="O1610" s="5">
        <v>59900000</v>
      </c>
      <c r="P1610" s="3">
        <v>0.97916666666666663</v>
      </c>
    </row>
    <row r="1611" spans="1:16" x14ac:dyDescent="0.25">
      <c r="A1611" t="s">
        <v>994</v>
      </c>
      <c r="B1611" s="2">
        <v>44708</v>
      </c>
      <c r="C1611" t="str">
        <f>TEXT(B1611,"mm")</f>
        <v>05</v>
      </c>
      <c r="D1611" t="s">
        <v>21</v>
      </c>
      <c r="E1611" t="s">
        <v>1636</v>
      </c>
      <c r="F1611" s="5">
        <v>56500000</v>
      </c>
      <c r="G1611" s="5">
        <v>59500000</v>
      </c>
      <c r="H1611" s="5">
        <f>M1611*26000*1.20565</f>
        <v>58032515.970000006</v>
      </c>
      <c r="I1611" s="5">
        <f>G1611-H1611</f>
        <v>1467484.0299999937</v>
      </c>
      <c r="J1611" s="5">
        <v>3000000</v>
      </c>
      <c r="K1611" s="5">
        <v>5650000</v>
      </c>
      <c r="L1611" s="5">
        <v>5950000</v>
      </c>
      <c r="M1611" s="7">
        <v>1851.3</v>
      </c>
      <c r="N1611" s="5">
        <v>57000000</v>
      </c>
      <c r="O1611" s="5">
        <v>60000000</v>
      </c>
      <c r="P1611" s="3">
        <v>0.97916666666666663</v>
      </c>
    </row>
    <row r="1612" spans="1:16" x14ac:dyDescent="0.25">
      <c r="A1612" t="s">
        <v>995</v>
      </c>
      <c r="B1612" s="2">
        <v>44712</v>
      </c>
      <c r="C1612" t="str">
        <f>TEXT(B1612,"mm")</f>
        <v>05</v>
      </c>
      <c r="D1612" t="s">
        <v>18</v>
      </c>
      <c r="E1612" t="s">
        <v>1636</v>
      </c>
      <c r="F1612" s="5">
        <v>56200000</v>
      </c>
      <c r="G1612" s="5">
        <v>59200000</v>
      </c>
      <c r="H1612" s="5">
        <f>M1612*26000*1.20565</f>
        <v>57762932.630000003</v>
      </c>
      <c r="I1612" s="5">
        <f>G1612-H1612</f>
        <v>1437067.3699999973</v>
      </c>
      <c r="J1612" s="5">
        <v>3000000</v>
      </c>
      <c r="K1612" s="5">
        <v>5620000</v>
      </c>
      <c r="L1612" s="5">
        <v>5920000</v>
      </c>
      <c r="M1612" s="7">
        <v>1842.7</v>
      </c>
      <c r="N1612" s="5">
        <v>56700000</v>
      </c>
      <c r="O1612" s="5">
        <v>59700000</v>
      </c>
      <c r="P1612" s="3">
        <v>0.97916666666666663</v>
      </c>
    </row>
    <row r="1613" spans="1:16" x14ac:dyDescent="0.25">
      <c r="A1613" s="2">
        <v>44567</v>
      </c>
      <c r="B1613" s="2">
        <v>44713</v>
      </c>
      <c r="C1613" t="str">
        <f>TEXT(B1613,"mm")</f>
        <v>06</v>
      </c>
      <c r="D1613" t="s">
        <v>19</v>
      </c>
      <c r="E1613" t="s">
        <v>1636</v>
      </c>
      <c r="F1613" s="5">
        <v>56200000</v>
      </c>
      <c r="G1613" s="5">
        <v>59200000</v>
      </c>
      <c r="H1613" s="5">
        <f>M1613*26000*1.20565</f>
        <v>57781740.770000003</v>
      </c>
      <c r="I1613" s="5">
        <f>G1613-H1613</f>
        <v>1418259.2299999967</v>
      </c>
      <c r="J1613" s="5">
        <v>3000000</v>
      </c>
      <c r="K1613" s="5">
        <v>5620000</v>
      </c>
      <c r="L1613" s="5">
        <v>5920000</v>
      </c>
      <c r="M1613" s="7">
        <v>1843.3</v>
      </c>
      <c r="N1613" s="5">
        <v>56700000</v>
      </c>
      <c r="O1613" s="5">
        <v>59700000</v>
      </c>
      <c r="P1613" s="3">
        <v>0.97916666666666663</v>
      </c>
    </row>
    <row r="1614" spans="1:16" x14ac:dyDescent="0.25">
      <c r="A1614" s="2">
        <v>44598</v>
      </c>
      <c r="B1614" s="2">
        <v>44714</v>
      </c>
      <c r="C1614" t="str">
        <f>TEXT(B1614,"mm")</f>
        <v>06</v>
      </c>
      <c r="D1614" t="s">
        <v>20</v>
      </c>
      <c r="E1614" t="s">
        <v>1636</v>
      </c>
      <c r="F1614" s="5">
        <v>57000000</v>
      </c>
      <c r="G1614" s="5">
        <v>60000000</v>
      </c>
      <c r="H1614" s="5">
        <f>M1614*26000*1.20565</f>
        <v>58508988.850000009</v>
      </c>
      <c r="I1614" s="5">
        <f>G1614-H1614</f>
        <v>1491011.1499999911</v>
      </c>
      <c r="J1614" s="5">
        <v>3000000</v>
      </c>
      <c r="K1614" s="5">
        <v>5700000</v>
      </c>
      <c r="L1614" s="5">
        <v>6000000</v>
      </c>
      <c r="M1614" s="7">
        <v>1866.5</v>
      </c>
      <c r="N1614" s="5">
        <v>57500000</v>
      </c>
      <c r="O1614" s="5">
        <v>60500000</v>
      </c>
      <c r="P1614" s="3">
        <v>0.97916666666666663</v>
      </c>
    </row>
    <row r="1615" spans="1:16" x14ac:dyDescent="0.25">
      <c r="A1615" s="2">
        <v>44626</v>
      </c>
      <c r="B1615" s="2">
        <v>44715</v>
      </c>
      <c r="C1615" t="str">
        <f>TEXT(B1615,"mm")</f>
        <v>06</v>
      </c>
      <c r="D1615" t="s">
        <v>21</v>
      </c>
      <c r="E1615" t="s">
        <v>1636</v>
      </c>
      <c r="F1615" s="5">
        <v>56300000</v>
      </c>
      <c r="G1615" s="5">
        <v>59300000</v>
      </c>
      <c r="H1615" s="5">
        <f>M1615*26000*1.20565</f>
        <v>57847569.260000005</v>
      </c>
      <c r="I1615" s="5">
        <f>G1615-H1615</f>
        <v>1452430.7399999946</v>
      </c>
      <c r="J1615" s="5">
        <v>3000000</v>
      </c>
      <c r="K1615" s="5">
        <v>5630000</v>
      </c>
      <c r="L1615" s="5">
        <v>5930000</v>
      </c>
      <c r="M1615" s="7">
        <v>1845.4</v>
      </c>
      <c r="N1615" s="5">
        <v>56800000</v>
      </c>
      <c r="O1615" s="5">
        <v>59800000</v>
      </c>
      <c r="P1615" s="3">
        <v>0.97916666666666663</v>
      </c>
    </row>
    <row r="1616" spans="1:16" x14ac:dyDescent="0.25">
      <c r="A1616" s="2">
        <v>44718</v>
      </c>
      <c r="B1616" s="2">
        <v>44718</v>
      </c>
      <c r="C1616" t="str">
        <f>TEXT(B1616,"mm")</f>
        <v>06</v>
      </c>
      <c r="D1616" t="s">
        <v>16</v>
      </c>
      <c r="E1616" t="s">
        <v>1636</v>
      </c>
      <c r="F1616" s="5">
        <v>56100000</v>
      </c>
      <c r="G1616" s="5">
        <v>59100000</v>
      </c>
      <c r="H1616" s="5">
        <f>M1616*26000*1.20565</f>
        <v>57653218.480000004</v>
      </c>
      <c r="I1616" s="5">
        <f>G1616-H1616</f>
        <v>1446781.5199999958</v>
      </c>
      <c r="J1616" s="5">
        <v>3000000</v>
      </c>
      <c r="K1616" s="5">
        <v>5610000</v>
      </c>
      <c r="L1616" s="5">
        <v>5910000</v>
      </c>
      <c r="M1616" s="7">
        <v>1839.2</v>
      </c>
      <c r="N1616" s="5">
        <v>56600000</v>
      </c>
      <c r="O1616" s="5">
        <v>59600000</v>
      </c>
      <c r="P1616" s="3">
        <v>0.97916666666666663</v>
      </c>
    </row>
    <row r="1617" spans="1:16" x14ac:dyDescent="0.25">
      <c r="A1617" s="2">
        <v>44748</v>
      </c>
      <c r="B1617" s="2">
        <v>44719</v>
      </c>
      <c r="C1617" t="str">
        <f>TEXT(B1617,"mm")</f>
        <v>06</v>
      </c>
      <c r="D1617" t="s">
        <v>18</v>
      </c>
      <c r="E1617" t="s">
        <v>1636</v>
      </c>
      <c r="F1617" s="5">
        <v>56400000</v>
      </c>
      <c r="G1617" s="5">
        <v>59400000</v>
      </c>
      <c r="H1617" s="5">
        <f>M1617*26000*1.20565</f>
        <v>57913397.750000007</v>
      </c>
      <c r="I1617" s="5">
        <f>G1617-H1617</f>
        <v>1486602.2499999925</v>
      </c>
      <c r="J1617" s="5">
        <v>3000000</v>
      </c>
      <c r="K1617" s="5">
        <v>5640000</v>
      </c>
      <c r="L1617" s="5">
        <v>5940000</v>
      </c>
      <c r="M1617" s="7">
        <v>1847.5</v>
      </c>
      <c r="N1617" s="5">
        <v>56900000</v>
      </c>
      <c r="O1617" s="5">
        <v>59900000</v>
      </c>
      <c r="P1617" s="3">
        <v>0.97916666666666663</v>
      </c>
    </row>
    <row r="1618" spans="1:16" x14ac:dyDescent="0.25">
      <c r="A1618" s="2">
        <v>44779</v>
      </c>
      <c r="B1618" s="2">
        <v>44720</v>
      </c>
      <c r="C1618" t="str">
        <f>TEXT(B1618,"mm")</f>
        <v>06</v>
      </c>
      <c r="D1618" t="s">
        <v>19</v>
      </c>
      <c r="E1618" t="s">
        <v>1636</v>
      </c>
      <c r="F1618" s="5">
        <v>56500000</v>
      </c>
      <c r="G1618" s="5">
        <v>59500000</v>
      </c>
      <c r="H1618" s="5">
        <f>M1618*26000*1.20565</f>
        <v>58051324.110000007</v>
      </c>
      <c r="I1618" s="5">
        <f>G1618-H1618</f>
        <v>1448675.8899999931</v>
      </c>
      <c r="J1618" s="5">
        <v>3000000</v>
      </c>
      <c r="K1618" s="5">
        <v>5650000</v>
      </c>
      <c r="L1618" s="5">
        <v>5950000</v>
      </c>
      <c r="M1618" s="7">
        <v>1851.9</v>
      </c>
      <c r="N1618" s="5">
        <v>57000000</v>
      </c>
      <c r="O1618" s="5">
        <v>60000000</v>
      </c>
      <c r="P1618" s="3">
        <v>0.97916666666666663</v>
      </c>
    </row>
    <row r="1619" spans="1:16" x14ac:dyDescent="0.25">
      <c r="A1619" s="2">
        <v>44810</v>
      </c>
      <c r="B1619" s="2">
        <v>44721</v>
      </c>
      <c r="C1619" t="str">
        <f>TEXT(B1619,"mm")</f>
        <v>06</v>
      </c>
      <c r="D1619" t="s">
        <v>20</v>
      </c>
      <c r="E1619" t="s">
        <v>1636</v>
      </c>
      <c r="F1619" s="5">
        <v>56400000</v>
      </c>
      <c r="G1619" s="5">
        <v>59400000</v>
      </c>
      <c r="H1619" s="5">
        <f>M1619*26000*1.20565</f>
        <v>57954148.720000006</v>
      </c>
      <c r="I1619" s="5">
        <f>G1619-H1619</f>
        <v>1445851.2799999937</v>
      </c>
      <c r="J1619" s="5">
        <v>3000000</v>
      </c>
      <c r="K1619" s="5">
        <v>5640000</v>
      </c>
      <c r="L1619" s="5">
        <v>5940000</v>
      </c>
      <c r="M1619" s="7">
        <v>1848.8</v>
      </c>
      <c r="N1619" s="5">
        <v>56900000</v>
      </c>
      <c r="O1619" s="5">
        <v>59900000</v>
      </c>
      <c r="P1619" s="3">
        <v>0.97916666666666663</v>
      </c>
    </row>
    <row r="1620" spans="1:16" x14ac:dyDescent="0.25">
      <c r="A1620" s="2">
        <v>44840</v>
      </c>
      <c r="B1620" s="2">
        <v>44722</v>
      </c>
      <c r="C1620" t="str">
        <f>TEXT(B1620,"mm")</f>
        <v>06</v>
      </c>
      <c r="D1620" t="s">
        <v>21</v>
      </c>
      <c r="E1620" t="s">
        <v>1636</v>
      </c>
      <c r="F1620" s="5">
        <v>57100000</v>
      </c>
      <c r="G1620" s="5">
        <v>60100000</v>
      </c>
      <c r="H1620" s="5">
        <f>M1620*26000*1.20565</f>
        <v>58665723.350000009</v>
      </c>
      <c r="I1620" s="5">
        <f>G1620-H1620</f>
        <v>1434276.6499999911</v>
      </c>
      <c r="J1620" s="5">
        <v>3000000</v>
      </c>
      <c r="K1620" s="5">
        <v>5710000</v>
      </c>
      <c r="L1620" s="5">
        <v>6010000</v>
      </c>
      <c r="M1620" s="7">
        <v>1871.5</v>
      </c>
      <c r="N1620" s="5">
        <v>57600000</v>
      </c>
      <c r="O1620" s="5">
        <v>60600000</v>
      </c>
      <c r="P1620" s="3">
        <v>0.97916666666666663</v>
      </c>
    </row>
    <row r="1621" spans="1:16" x14ac:dyDescent="0.25">
      <c r="A1621" t="s">
        <v>996</v>
      </c>
      <c r="B1621" s="2">
        <v>44725</v>
      </c>
      <c r="C1621" t="str">
        <f>TEXT(B1621,"mm")</f>
        <v>06</v>
      </c>
      <c r="D1621" t="s">
        <v>16</v>
      </c>
      <c r="E1621" t="s">
        <v>1636</v>
      </c>
      <c r="F1621" s="5">
        <v>55700000</v>
      </c>
      <c r="G1621" s="5">
        <v>58700000</v>
      </c>
      <c r="H1621" s="5">
        <f>M1621*26000*1.20565</f>
        <v>57302133.200000003</v>
      </c>
      <c r="I1621" s="5">
        <f>G1621-H1621</f>
        <v>1397866.799999997</v>
      </c>
      <c r="J1621" s="5">
        <v>3000000</v>
      </c>
      <c r="K1621" s="5">
        <v>5570000</v>
      </c>
      <c r="L1621" s="5">
        <v>5870000</v>
      </c>
      <c r="M1621" s="7">
        <v>1828</v>
      </c>
      <c r="N1621" s="5">
        <v>56200000</v>
      </c>
      <c r="O1621" s="5">
        <v>59200000</v>
      </c>
      <c r="P1621" s="3">
        <v>0.97916666666666663</v>
      </c>
    </row>
    <row r="1622" spans="1:16" x14ac:dyDescent="0.25">
      <c r="A1622" t="s">
        <v>997</v>
      </c>
      <c r="B1622" s="2">
        <v>44726</v>
      </c>
      <c r="C1622" t="str">
        <f>TEXT(B1622,"mm")</f>
        <v>06</v>
      </c>
      <c r="D1622" t="s">
        <v>18</v>
      </c>
      <c r="E1622" t="s">
        <v>1636</v>
      </c>
      <c r="F1622" s="5">
        <v>55200000</v>
      </c>
      <c r="G1622" s="5">
        <v>58200000</v>
      </c>
      <c r="H1622" s="5">
        <f>M1622*26000*1.20565</f>
        <v>56722215.550000004</v>
      </c>
      <c r="I1622" s="5">
        <f>G1622-H1622</f>
        <v>1477784.4499999955</v>
      </c>
      <c r="J1622" s="5">
        <v>3000000</v>
      </c>
      <c r="K1622" s="5">
        <v>5520000</v>
      </c>
      <c r="L1622" s="5">
        <v>5820000</v>
      </c>
      <c r="M1622" s="7">
        <v>1809.5</v>
      </c>
      <c r="N1622" s="5">
        <v>55700000</v>
      </c>
      <c r="O1622" s="5">
        <v>58700000</v>
      </c>
      <c r="P1622" s="3">
        <v>0.97916666666666663</v>
      </c>
    </row>
    <row r="1623" spans="1:16" x14ac:dyDescent="0.25">
      <c r="A1623" t="s">
        <v>998</v>
      </c>
      <c r="B1623" s="2">
        <v>44727</v>
      </c>
      <c r="C1623" t="str">
        <f>TEXT(B1623,"mm")</f>
        <v>06</v>
      </c>
      <c r="D1623" t="s">
        <v>19</v>
      </c>
      <c r="E1623" t="s">
        <v>1636</v>
      </c>
      <c r="F1623" s="5">
        <v>55300000</v>
      </c>
      <c r="G1623" s="5">
        <v>58300000</v>
      </c>
      <c r="H1623" s="5">
        <f>M1623*26000*1.20565</f>
        <v>56904027.570000008</v>
      </c>
      <c r="I1623" s="5">
        <f>G1623-H1623</f>
        <v>1395972.4299999923</v>
      </c>
      <c r="J1623" s="5">
        <v>3000000</v>
      </c>
      <c r="K1623" s="5">
        <v>5530000</v>
      </c>
      <c r="L1623" s="5">
        <v>5830000</v>
      </c>
      <c r="M1623" s="7">
        <v>1815.3</v>
      </c>
      <c r="N1623" s="5">
        <v>55800000</v>
      </c>
      <c r="O1623" s="5">
        <v>58800000</v>
      </c>
      <c r="P1623" s="3">
        <v>0.97916666666666663</v>
      </c>
    </row>
    <row r="1624" spans="1:16" x14ac:dyDescent="0.25">
      <c r="A1624" t="s">
        <v>999</v>
      </c>
      <c r="B1624" s="2">
        <v>44728</v>
      </c>
      <c r="C1624" t="str">
        <f>TEXT(B1624,"mm")</f>
        <v>06</v>
      </c>
      <c r="D1624" t="s">
        <v>20</v>
      </c>
      <c r="E1624" t="s">
        <v>1636</v>
      </c>
      <c r="F1624" s="5">
        <v>56300000</v>
      </c>
      <c r="G1624" s="5">
        <v>59300000</v>
      </c>
      <c r="H1624" s="5">
        <f>M1624*26000*1.20565</f>
        <v>57856973.330000006</v>
      </c>
      <c r="I1624" s="5">
        <f>G1624-H1624</f>
        <v>1443026.6699999943</v>
      </c>
      <c r="J1624" s="5">
        <v>3000000</v>
      </c>
      <c r="K1624" s="5">
        <v>5630000</v>
      </c>
      <c r="L1624" s="5">
        <v>5930000</v>
      </c>
      <c r="M1624" s="7">
        <v>1845.7</v>
      </c>
      <c r="N1624" s="5">
        <v>56800000</v>
      </c>
      <c r="O1624" s="5">
        <v>59800000</v>
      </c>
      <c r="P1624" s="3">
        <v>0.97916666666666663</v>
      </c>
    </row>
    <row r="1625" spans="1:16" x14ac:dyDescent="0.25">
      <c r="A1625" t="s">
        <v>1000</v>
      </c>
      <c r="B1625" s="2">
        <v>44729</v>
      </c>
      <c r="C1625" t="str">
        <f>TEXT(B1625,"mm")</f>
        <v>06</v>
      </c>
      <c r="D1625" t="s">
        <v>21</v>
      </c>
      <c r="E1625" t="s">
        <v>1636</v>
      </c>
      <c r="F1625" s="5">
        <v>56000000</v>
      </c>
      <c r="G1625" s="5">
        <v>59000000</v>
      </c>
      <c r="H1625" s="5">
        <f>M1625*26000*1.20565</f>
        <v>57540369.640000008</v>
      </c>
      <c r="I1625" s="5">
        <f>G1625-H1625</f>
        <v>1459630.359999992</v>
      </c>
      <c r="J1625" s="5">
        <v>3000000</v>
      </c>
      <c r="K1625" s="5">
        <v>5600000</v>
      </c>
      <c r="L1625" s="5">
        <v>5900000</v>
      </c>
      <c r="M1625" s="7">
        <v>1835.6</v>
      </c>
      <c r="N1625" s="5">
        <v>56500000</v>
      </c>
      <c r="O1625" s="5">
        <v>59500000</v>
      </c>
      <c r="P1625" s="3">
        <v>0.97916666666666663</v>
      </c>
    </row>
    <row r="1626" spans="1:16" x14ac:dyDescent="0.25">
      <c r="A1626" t="s">
        <v>1001</v>
      </c>
      <c r="B1626" s="2">
        <v>44733</v>
      </c>
      <c r="C1626" t="str">
        <f>TEXT(B1626,"mm")</f>
        <v>06</v>
      </c>
      <c r="D1626" t="s">
        <v>18</v>
      </c>
      <c r="E1626" t="s">
        <v>1636</v>
      </c>
      <c r="F1626" s="5">
        <v>56000000</v>
      </c>
      <c r="G1626" s="5">
        <v>59000000</v>
      </c>
      <c r="H1626" s="5">
        <f>M1626*26000*1.20565</f>
        <v>57509022.740000002</v>
      </c>
      <c r="I1626" s="5">
        <f>G1626-H1626</f>
        <v>1490977.2599999979</v>
      </c>
      <c r="J1626" s="5">
        <v>3000000</v>
      </c>
      <c r="K1626" s="5">
        <v>5600000</v>
      </c>
      <c r="L1626" s="5">
        <v>5900000</v>
      </c>
      <c r="M1626" s="7">
        <v>1834.6</v>
      </c>
      <c r="N1626" s="5">
        <v>56500000</v>
      </c>
      <c r="O1626" s="5">
        <v>59500000</v>
      </c>
      <c r="P1626" s="3">
        <v>0.97916666666666663</v>
      </c>
    </row>
    <row r="1627" spans="1:16" x14ac:dyDescent="0.25">
      <c r="A1627" t="s">
        <v>1002</v>
      </c>
      <c r="B1627" s="2">
        <v>44734</v>
      </c>
      <c r="C1627" t="str">
        <f>TEXT(B1627,"mm")</f>
        <v>06</v>
      </c>
      <c r="D1627" t="s">
        <v>19</v>
      </c>
      <c r="E1627" t="s">
        <v>1636</v>
      </c>
      <c r="F1627" s="5">
        <v>56000000</v>
      </c>
      <c r="G1627" s="5">
        <v>59000000</v>
      </c>
      <c r="H1627" s="5">
        <f>M1627*26000*1.20565</f>
        <v>57499618.670000002</v>
      </c>
      <c r="I1627" s="5">
        <f>G1627-H1627</f>
        <v>1500381.3299999982</v>
      </c>
      <c r="J1627" s="5">
        <v>3000000</v>
      </c>
      <c r="K1627" s="5">
        <v>5600000</v>
      </c>
      <c r="L1627" s="5">
        <v>5900000</v>
      </c>
      <c r="M1627" s="7">
        <v>1834.3</v>
      </c>
      <c r="N1627" s="5">
        <v>56500000</v>
      </c>
      <c r="O1627" s="5">
        <v>59500000</v>
      </c>
      <c r="P1627" s="3">
        <v>0.97916666666666663</v>
      </c>
    </row>
    <row r="1628" spans="1:16" x14ac:dyDescent="0.25">
      <c r="A1628" t="s">
        <v>1003</v>
      </c>
      <c r="B1628" s="2">
        <v>44735</v>
      </c>
      <c r="C1628" t="str">
        <f>TEXT(B1628,"mm")</f>
        <v>06</v>
      </c>
      <c r="D1628" t="s">
        <v>20</v>
      </c>
      <c r="E1628" t="s">
        <v>1636</v>
      </c>
      <c r="F1628" s="5">
        <v>55700000</v>
      </c>
      <c r="G1628" s="5">
        <v>58700000</v>
      </c>
      <c r="H1628" s="5">
        <f>M1628*26000*1.20565</f>
        <v>57230035.330000006</v>
      </c>
      <c r="I1628" s="5">
        <f>G1628-H1628</f>
        <v>1469964.6699999943</v>
      </c>
      <c r="J1628" s="5">
        <v>3000000</v>
      </c>
      <c r="K1628" s="5">
        <v>5570000</v>
      </c>
      <c r="L1628" s="5">
        <v>5870000</v>
      </c>
      <c r="M1628" s="7">
        <v>1825.7</v>
      </c>
      <c r="N1628" s="5">
        <v>56200000</v>
      </c>
      <c r="O1628" s="5">
        <v>59200000</v>
      </c>
      <c r="P1628" s="3">
        <v>0.97916666666666663</v>
      </c>
    </row>
    <row r="1629" spans="1:16" x14ac:dyDescent="0.25">
      <c r="A1629" t="s">
        <v>1004</v>
      </c>
      <c r="B1629" s="2">
        <v>44736</v>
      </c>
      <c r="C1629" t="str">
        <f>TEXT(B1629,"mm")</f>
        <v>06</v>
      </c>
      <c r="D1629" t="s">
        <v>21</v>
      </c>
      <c r="E1629" t="s">
        <v>1636</v>
      </c>
      <c r="F1629" s="5">
        <v>55700000</v>
      </c>
      <c r="G1629" s="5">
        <v>58700000</v>
      </c>
      <c r="H1629" s="5">
        <f>M1629*26000*1.20565</f>
        <v>57255112.850000009</v>
      </c>
      <c r="I1629" s="5">
        <f>G1629-H1629</f>
        <v>1444887.1499999911</v>
      </c>
      <c r="J1629" s="5">
        <v>3000000</v>
      </c>
      <c r="K1629" s="5">
        <v>5570000</v>
      </c>
      <c r="L1629" s="5">
        <v>5870000</v>
      </c>
      <c r="M1629" s="7">
        <v>1826.5</v>
      </c>
      <c r="N1629" s="5">
        <v>56200000</v>
      </c>
      <c r="O1629" s="5">
        <v>59200000</v>
      </c>
      <c r="P1629" s="3">
        <v>0.97916666666666663</v>
      </c>
    </row>
    <row r="1630" spans="1:16" x14ac:dyDescent="0.25">
      <c r="A1630" t="s">
        <v>1005</v>
      </c>
      <c r="B1630" s="2">
        <v>44739</v>
      </c>
      <c r="C1630" t="str">
        <f>TEXT(B1630,"mm")</f>
        <v>06</v>
      </c>
      <c r="D1630" t="s">
        <v>16</v>
      </c>
      <c r="E1630" t="s">
        <v>1636</v>
      </c>
      <c r="F1630" s="5">
        <v>55500000</v>
      </c>
      <c r="G1630" s="5">
        <v>58500000</v>
      </c>
      <c r="H1630" s="5">
        <f>M1630*26000*1.20565</f>
        <v>57079570.210000008</v>
      </c>
      <c r="I1630" s="5">
        <f>G1630-H1630</f>
        <v>1420429.7899999917</v>
      </c>
      <c r="J1630" s="5">
        <v>3000000</v>
      </c>
      <c r="K1630" s="5">
        <v>5550000</v>
      </c>
      <c r="L1630" s="5">
        <v>5850000</v>
      </c>
      <c r="M1630" s="7">
        <v>1820.9</v>
      </c>
      <c r="N1630" s="5">
        <v>56000000</v>
      </c>
      <c r="O1630" s="5">
        <v>59000000</v>
      </c>
      <c r="P1630" s="3">
        <v>0.97916666666666663</v>
      </c>
    </row>
    <row r="1631" spans="1:16" x14ac:dyDescent="0.25">
      <c r="A1631" t="s">
        <v>1006</v>
      </c>
      <c r="B1631" s="2">
        <v>44740</v>
      </c>
      <c r="C1631" t="str">
        <f>TEXT(B1631,"mm")</f>
        <v>06</v>
      </c>
      <c r="D1631" t="s">
        <v>18</v>
      </c>
      <c r="E1631" t="s">
        <v>1636</v>
      </c>
      <c r="F1631" s="5">
        <v>55400000</v>
      </c>
      <c r="G1631" s="5">
        <v>58400000</v>
      </c>
      <c r="H1631" s="5">
        <f>M1631*26000*1.20565</f>
        <v>56972990.750000007</v>
      </c>
      <c r="I1631" s="5">
        <f>G1631-H1631</f>
        <v>1427009.2499999925</v>
      </c>
      <c r="J1631" s="5">
        <v>3000000</v>
      </c>
      <c r="K1631" s="5">
        <v>5540000</v>
      </c>
      <c r="L1631" s="5">
        <v>5840000</v>
      </c>
      <c r="M1631" s="7">
        <v>1817.5</v>
      </c>
      <c r="N1631" s="5">
        <v>55900000</v>
      </c>
      <c r="O1631" s="5">
        <v>58900000</v>
      </c>
      <c r="P1631" s="3">
        <v>0.97916666666666663</v>
      </c>
    </row>
    <row r="1632" spans="1:16" x14ac:dyDescent="0.25">
      <c r="A1632" t="s">
        <v>1007</v>
      </c>
      <c r="B1632" s="2">
        <v>44741</v>
      </c>
      <c r="C1632" t="str">
        <f>TEXT(B1632,"mm")</f>
        <v>06</v>
      </c>
      <c r="D1632" t="s">
        <v>19</v>
      </c>
      <c r="E1632" t="s">
        <v>1636</v>
      </c>
      <c r="F1632" s="5">
        <v>55300000</v>
      </c>
      <c r="G1632" s="5">
        <v>58300000</v>
      </c>
      <c r="H1632" s="5">
        <f>M1632*26000*1.20565</f>
        <v>56853872.530000009</v>
      </c>
      <c r="I1632" s="5">
        <f>G1632-H1632</f>
        <v>1446127.4699999914</v>
      </c>
      <c r="J1632" s="5">
        <v>3000000</v>
      </c>
      <c r="K1632" s="5">
        <v>5530000</v>
      </c>
      <c r="L1632" s="5">
        <v>5830000</v>
      </c>
      <c r="M1632" s="7">
        <v>1813.7</v>
      </c>
      <c r="N1632" s="5">
        <v>55800000</v>
      </c>
      <c r="O1632" s="5">
        <v>58800000</v>
      </c>
      <c r="P1632" s="3">
        <v>0.97916666666666663</v>
      </c>
    </row>
    <row r="1633" spans="1:16" x14ac:dyDescent="0.25">
      <c r="A1633" t="s">
        <v>1008</v>
      </c>
      <c r="B1633" s="2">
        <v>44742</v>
      </c>
      <c r="C1633" t="str">
        <f>TEXT(B1633,"mm")</f>
        <v>06</v>
      </c>
      <c r="D1633" t="s">
        <v>20</v>
      </c>
      <c r="E1633" t="s">
        <v>1636</v>
      </c>
      <c r="F1633" s="5">
        <v>55000000</v>
      </c>
      <c r="G1633" s="5">
        <v>58000000</v>
      </c>
      <c r="H1633" s="5">
        <f>M1633*26000*1.20565</f>
        <v>56552942.290000007</v>
      </c>
      <c r="I1633" s="5">
        <f>G1633-H1633</f>
        <v>1447057.7099999934</v>
      </c>
      <c r="J1633" s="5">
        <v>3000000</v>
      </c>
      <c r="K1633" s="5">
        <v>5500000</v>
      </c>
      <c r="L1633" s="5">
        <v>5800000</v>
      </c>
      <c r="M1633" s="7">
        <v>1804.1</v>
      </c>
      <c r="N1633" s="5">
        <v>55500000</v>
      </c>
      <c r="O1633" s="5">
        <v>58500000</v>
      </c>
      <c r="P1633" s="3">
        <v>0.97916666666666663</v>
      </c>
    </row>
    <row r="1634" spans="1:16" x14ac:dyDescent="0.25">
      <c r="A1634" s="2">
        <v>44568</v>
      </c>
      <c r="B1634" s="2">
        <v>44743</v>
      </c>
      <c r="C1634" t="str">
        <f>TEXT(B1634,"mm")</f>
        <v>07</v>
      </c>
      <c r="D1634" t="s">
        <v>21</v>
      </c>
      <c r="E1634" t="s">
        <v>1636</v>
      </c>
      <c r="F1634" s="5">
        <v>54800000</v>
      </c>
      <c r="G1634" s="5">
        <v>57800000</v>
      </c>
      <c r="H1634" s="5">
        <f>M1634*26000*1.20565</f>
        <v>56389938.410000004</v>
      </c>
      <c r="I1634" s="5">
        <f>G1634-H1634</f>
        <v>1410061.5899999961</v>
      </c>
      <c r="J1634" s="5">
        <v>3000000</v>
      </c>
      <c r="K1634" s="5">
        <v>5480000</v>
      </c>
      <c r="L1634" s="5">
        <v>5780000</v>
      </c>
      <c r="M1634" s="7">
        <v>1798.9</v>
      </c>
      <c r="N1634" s="5">
        <v>55300000</v>
      </c>
      <c r="O1634" s="5">
        <v>58300000</v>
      </c>
      <c r="P1634" s="3">
        <v>0.97916666666666663</v>
      </c>
    </row>
    <row r="1635" spans="1:16" x14ac:dyDescent="0.25">
      <c r="A1635" s="2">
        <v>44688</v>
      </c>
      <c r="B1635" s="2">
        <v>44747</v>
      </c>
      <c r="C1635" t="str">
        <f>TEXT(B1635,"mm")</f>
        <v>07</v>
      </c>
      <c r="D1635" t="s">
        <v>18</v>
      </c>
      <c r="E1635" t="s">
        <v>1636</v>
      </c>
      <c r="F1635" s="5">
        <v>53600000</v>
      </c>
      <c r="G1635" s="5">
        <v>56600000</v>
      </c>
      <c r="H1635" s="5">
        <f>M1635*26000*1.20565</f>
        <v>55226968.420000002</v>
      </c>
      <c r="I1635" s="5">
        <f>G1635-H1635</f>
        <v>1373031.5799999982</v>
      </c>
      <c r="J1635" s="5">
        <v>3000000</v>
      </c>
      <c r="K1635" s="5">
        <v>5360000</v>
      </c>
      <c r="L1635" s="5">
        <v>5660000</v>
      </c>
      <c r="M1635" s="7">
        <v>1761.8</v>
      </c>
      <c r="N1635" s="5">
        <v>54100000</v>
      </c>
      <c r="O1635" s="5">
        <v>57100000</v>
      </c>
      <c r="P1635" s="3">
        <v>0.97916666666666663</v>
      </c>
    </row>
    <row r="1636" spans="1:16" x14ac:dyDescent="0.25">
      <c r="A1636" s="2">
        <v>44719</v>
      </c>
      <c r="B1636" s="2">
        <v>44748</v>
      </c>
      <c r="C1636" t="str">
        <f>TEXT(B1636,"mm")</f>
        <v>07</v>
      </c>
      <c r="D1636" t="s">
        <v>19</v>
      </c>
      <c r="E1636" t="s">
        <v>1636</v>
      </c>
      <c r="F1636" s="5">
        <v>52800000</v>
      </c>
      <c r="G1636" s="5">
        <v>55800000</v>
      </c>
      <c r="H1636" s="5">
        <f>M1636*26000*1.20565</f>
        <v>54383736.810000002</v>
      </c>
      <c r="I1636" s="5">
        <f>G1636-H1636</f>
        <v>1416263.1899999976</v>
      </c>
      <c r="J1636" s="5">
        <v>3000000</v>
      </c>
      <c r="K1636" s="5">
        <v>5280000</v>
      </c>
      <c r="L1636" s="5">
        <v>5580000</v>
      </c>
      <c r="M1636" s="7">
        <v>1734.9</v>
      </c>
      <c r="N1636" s="5">
        <v>53300000</v>
      </c>
      <c r="O1636" s="5">
        <v>56300000</v>
      </c>
      <c r="P1636" s="3">
        <v>0.97916666666666663</v>
      </c>
    </row>
    <row r="1637" spans="1:16" x14ac:dyDescent="0.25">
      <c r="A1637" s="2">
        <v>44749</v>
      </c>
      <c r="B1637" s="2">
        <v>44749</v>
      </c>
      <c r="C1637" t="str">
        <f>TEXT(B1637,"mm")</f>
        <v>07</v>
      </c>
      <c r="D1637" t="s">
        <v>20</v>
      </c>
      <c r="E1637" t="s">
        <v>1636</v>
      </c>
      <c r="F1637" s="5">
        <v>52900000</v>
      </c>
      <c r="G1637" s="5">
        <v>55900000</v>
      </c>
      <c r="H1637" s="5">
        <f>M1637*26000*1.20565</f>
        <v>54477777.510000005</v>
      </c>
      <c r="I1637" s="5">
        <f>G1637-H1637</f>
        <v>1422222.4899999946</v>
      </c>
      <c r="J1637" s="5">
        <v>3000000</v>
      </c>
      <c r="K1637" s="5">
        <v>5290000</v>
      </c>
      <c r="L1637" s="5">
        <v>5590000</v>
      </c>
      <c r="M1637" s="7">
        <v>1737.9</v>
      </c>
      <c r="N1637" s="5">
        <v>53400000</v>
      </c>
      <c r="O1637" s="5">
        <v>56400000</v>
      </c>
      <c r="P1637" s="3">
        <v>0.97916666666666663</v>
      </c>
    </row>
    <row r="1638" spans="1:16" x14ac:dyDescent="0.25">
      <c r="A1638" s="2">
        <v>44780</v>
      </c>
      <c r="B1638" s="2">
        <v>44750</v>
      </c>
      <c r="C1638" t="str">
        <f>TEXT(B1638,"mm")</f>
        <v>07</v>
      </c>
      <c r="D1638" t="s">
        <v>21</v>
      </c>
      <c r="E1638" t="s">
        <v>1636</v>
      </c>
      <c r="F1638" s="5">
        <v>52900000</v>
      </c>
      <c r="G1638" s="5">
        <v>55900000</v>
      </c>
      <c r="H1638" s="5">
        <f>M1638*26000*1.20565</f>
        <v>54562414.140000008</v>
      </c>
      <c r="I1638" s="5">
        <f>G1638-H1638</f>
        <v>1337585.859999992</v>
      </c>
      <c r="J1638" s="5">
        <v>3000000</v>
      </c>
      <c r="K1638" s="5">
        <v>5290000</v>
      </c>
      <c r="L1638" s="5">
        <v>5590000</v>
      </c>
      <c r="M1638" s="7">
        <v>1740.6</v>
      </c>
      <c r="N1638" s="5">
        <v>53400000</v>
      </c>
      <c r="O1638" s="5">
        <v>56400000</v>
      </c>
      <c r="P1638" s="3">
        <v>0.97916666666666663</v>
      </c>
    </row>
    <row r="1639" spans="1:16" x14ac:dyDescent="0.25">
      <c r="A1639" s="2">
        <v>44872</v>
      </c>
      <c r="B1639" s="2">
        <v>44753</v>
      </c>
      <c r="C1639" t="str">
        <f>TEXT(B1639,"mm")</f>
        <v>07</v>
      </c>
      <c r="D1639" t="s">
        <v>16</v>
      </c>
      <c r="E1639" t="s">
        <v>1636</v>
      </c>
      <c r="F1639" s="5">
        <v>52600000</v>
      </c>
      <c r="G1639" s="5">
        <v>55600000</v>
      </c>
      <c r="H1639" s="5">
        <f>M1639*26000*1.20565</f>
        <v>54230137.000000007</v>
      </c>
      <c r="I1639" s="5">
        <f>G1639-H1639</f>
        <v>1369862.9999999925</v>
      </c>
      <c r="J1639" s="5">
        <v>3000000</v>
      </c>
      <c r="K1639" s="5">
        <v>5260000</v>
      </c>
      <c r="L1639" s="5">
        <v>5560000</v>
      </c>
      <c r="M1639" s="7">
        <v>1730</v>
      </c>
      <c r="N1639" s="5">
        <v>53100000</v>
      </c>
      <c r="O1639" s="5">
        <v>56100000</v>
      </c>
      <c r="P1639" s="3">
        <v>0.97916666666666663</v>
      </c>
    </row>
    <row r="1640" spans="1:16" x14ac:dyDescent="0.25">
      <c r="A1640" s="2">
        <v>44902</v>
      </c>
      <c r="B1640" s="2">
        <v>44754</v>
      </c>
      <c r="C1640" t="str">
        <f>TEXT(B1640,"mm")</f>
        <v>07</v>
      </c>
      <c r="D1640" t="s">
        <v>18</v>
      </c>
      <c r="E1640" t="s">
        <v>1636</v>
      </c>
      <c r="F1640" s="5">
        <v>52400000</v>
      </c>
      <c r="G1640" s="5">
        <v>55400000</v>
      </c>
      <c r="H1640" s="5">
        <f>M1640*26000*1.20565</f>
        <v>54020112.770000003</v>
      </c>
      <c r="I1640" s="5">
        <f>G1640-H1640</f>
        <v>1379887.2299999967</v>
      </c>
      <c r="J1640" s="5">
        <v>3000000</v>
      </c>
      <c r="K1640" s="5">
        <v>5240000</v>
      </c>
      <c r="L1640" s="5">
        <v>5540000</v>
      </c>
      <c r="M1640" s="7">
        <v>1723.3</v>
      </c>
      <c r="N1640" s="5">
        <v>52900000</v>
      </c>
      <c r="O1640" s="5">
        <v>55900000</v>
      </c>
      <c r="P1640" s="3">
        <v>0.97916666666666663</v>
      </c>
    </row>
    <row r="1641" spans="1:16" x14ac:dyDescent="0.25">
      <c r="A1641" t="s">
        <v>1009</v>
      </c>
      <c r="B1641" s="2">
        <v>44755</v>
      </c>
      <c r="C1641" t="str">
        <f>TEXT(B1641,"mm")</f>
        <v>07</v>
      </c>
      <c r="D1641" t="s">
        <v>19</v>
      </c>
      <c r="E1641" t="s">
        <v>1636</v>
      </c>
      <c r="F1641" s="5">
        <v>52700000</v>
      </c>
      <c r="G1641" s="5">
        <v>55700000</v>
      </c>
      <c r="H1641" s="5">
        <f>M1641*26000*1.20565</f>
        <v>54361793.980000004</v>
      </c>
      <c r="I1641" s="5">
        <f>G1641-H1641</f>
        <v>1338206.0199999958</v>
      </c>
      <c r="J1641" s="5">
        <v>3000000</v>
      </c>
      <c r="K1641" s="5">
        <v>5270000</v>
      </c>
      <c r="L1641" s="5">
        <v>5570000</v>
      </c>
      <c r="M1641" s="7">
        <v>1734.2</v>
      </c>
      <c r="N1641" s="5">
        <v>53200000</v>
      </c>
      <c r="O1641" s="5">
        <v>56200000</v>
      </c>
      <c r="P1641" s="3">
        <v>0.97916666666666663</v>
      </c>
    </row>
    <row r="1642" spans="1:16" x14ac:dyDescent="0.25">
      <c r="A1642" t="s">
        <v>1010</v>
      </c>
      <c r="B1642" s="2">
        <v>44756</v>
      </c>
      <c r="C1642" t="str">
        <f>TEXT(B1642,"mm")</f>
        <v>07</v>
      </c>
      <c r="D1642" t="s">
        <v>20</v>
      </c>
      <c r="E1642" t="s">
        <v>1636</v>
      </c>
      <c r="F1642" s="5">
        <v>51800000</v>
      </c>
      <c r="G1642" s="5">
        <v>54800000</v>
      </c>
      <c r="H1642" s="5">
        <f>M1642*26000*1.20565</f>
        <v>53430791.050000004</v>
      </c>
      <c r="I1642" s="5">
        <f>G1642-H1642</f>
        <v>1369208.9499999955</v>
      </c>
      <c r="J1642" s="5">
        <v>3000000</v>
      </c>
      <c r="K1642" s="5">
        <v>5180000</v>
      </c>
      <c r="L1642" s="5">
        <v>5480000</v>
      </c>
      <c r="M1642" s="7">
        <v>1704.5</v>
      </c>
      <c r="N1642" s="5">
        <v>52300000</v>
      </c>
      <c r="O1642" s="5">
        <v>55300000</v>
      </c>
      <c r="P1642" s="3">
        <v>0.97916666666666663</v>
      </c>
    </row>
    <row r="1643" spans="1:16" x14ac:dyDescent="0.25">
      <c r="A1643" t="s">
        <v>1011</v>
      </c>
      <c r="B1643" s="2">
        <v>44757</v>
      </c>
      <c r="C1643" t="str">
        <f>TEXT(B1643,"mm")</f>
        <v>07</v>
      </c>
      <c r="D1643" t="s">
        <v>21</v>
      </c>
      <c r="E1643" t="s">
        <v>1636</v>
      </c>
      <c r="F1643" s="5">
        <v>51700000</v>
      </c>
      <c r="G1643" s="5">
        <v>54700000</v>
      </c>
      <c r="H1643" s="5">
        <f>M1643*26000*1.20565</f>
        <v>53364962.560000002</v>
      </c>
      <c r="I1643" s="5">
        <f>G1643-H1643</f>
        <v>1335037.4399999976</v>
      </c>
      <c r="J1643" s="5">
        <v>3000000</v>
      </c>
      <c r="K1643" s="5">
        <v>5170000</v>
      </c>
      <c r="L1643" s="5">
        <v>5470000</v>
      </c>
      <c r="M1643" s="7">
        <v>1702.4</v>
      </c>
      <c r="N1643" s="5">
        <v>52200000</v>
      </c>
      <c r="O1643" s="5">
        <v>55200000</v>
      </c>
      <c r="P1643" s="3">
        <v>0.97916666666666663</v>
      </c>
    </row>
    <row r="1644" spans="1:16" x14ac:dyDescent="0.25">
      <c r="A1644" t="s">
        <v>1012</v>
      </c>
      <c r="B1644" s="2">
        <v>44760</v>
      </c>
      <c r="C1644" t="str">
        <f>TEXT(B1644,"mm")</f>
        <v>07</v>
      </c>
      <c r="D1644" t="s">
        <v>16</v>
      </c>
      <c r="E1644" t="s">
        <v>1636</v>
      </c>
      <c r="F1644" s="5">
        <v>51900000</v>
      </c>
      <c r="G1644" s="5">
        <v>54900000</v>
      </c>
      <c r="H1644" s="5">
        <f>M1644*26000*1.20565</f>
        <v>53578121.480000004</v>
      </c>
      <c r="I1644" s="5">
        <f>G1644-H1644</f>
        <v>1321878.5199999958</v>
      </c>
      <c r="J1644" s="5">
        <v>3000000</v>
      </c>
      <c r="K1644" s="5">
        <v>5190000</v>
      </c>
      <c r="L1644" s="5">
        <v>5490000</v>
      </c>
      <c r="M1644" s="7">
        <v>1709.2</v>
      </c>
      <c r="N1644" s="5">
        <v>52400000</v>
      </c>
      <c r="O1644" s="5">
        <v>55400000</v>
      </c>
      <c r="P1644" s="3">
        <v>0.97916666666666663</v>
      </c>
    </row>
    <row r="1645" spans="1:16" x14ac:dyDescent="0.25">
      <c r="A1645" t="s">
        <v>1013</v>
      </c>
      <c r="B1645" s="2">
        <v>44761</v>
      </c>
      <c r="C1645" t="str">
        <f>TEXT(B1645,"mm")</f>
        <v>07</v>
      </c>
      <c r="D1645" t="s">
        <v>18</v>
      </c>
      <c r="E1645" t="s">
        <v>1636</v>
      </c>
      <c r="F1645" s="5">
        <v>52000000</v>
      </c>
      <c r="G1645" s="5">
        <v>55000000</v>
      </c>
      <c r="H1645" s="5">
        <f>M1645*26000*1.20565</f>
        <v>53603199.000000007</v>
      </c>
      <c r="I1645" s="5">
        <f>G1645-H1645</f>
        <v>1396800.9999999925</v>
      </c>
      <c r="J1645" s="5">
        <v>3000000</v>
      </c>
      <c r="K1645" s="5">
        <v>5200000</v>
      </c>
      <c r="L1645" s="5">
        <v>5500000</v>
      </c>
      <c r="M1645" s="7">
        <v>1710</v>
      </c>
      <c r="N1645" s="5">
        <v>52500000</v>
      </c>
      <c r="O1645" s="5">
        <v>55500000</v>
      </c>
      <c r="P1645" s="3">
        <v>0.97916666666666663</v>
      </c>
    </row>
    <row r="1646" spans="1:16" x14ac:dyDescent="0.25">
      <c r="A1646" t="s">
        <v>1014</v>
      </c>
      <c r="B1646" s="2">
        <v>44762</v>
      </c>
      <c r="C1646" t="str">
        <f>TEXT(B1646,"mm")</f>
        <v>07</v>
      </c>
      <c r="D1646" t="s">
        <v>19</v>
      </c>
      <c r="E1646" t="s">
        <v>1636</v>
      </c>
      <c r="F1646" s="5">
        <v>51600000</v>
      </c>
      <c r="G1646" s="5">
        <v>54600000</v>
      </c>
      <c r="H1646" s="5">
        <f>M1646*26000*1.20565</f>
        <v>53274056.550000004</v>
      </c>
      <c r="I1646" s="5">
        <f>G1646-H1646</f>
        <v>1325943.4499999955</v>
      </c>
      <c r="J1646" s="5">
        <v>3000000</v>
      </c>
      <c r="K1646" s="5">
        <v>5160000</v>
      </c>
      <c r="L1646" s="5">
        <v>5460000</v>
      </c>
      <c r="M1646" s="7">
        <v>1699.5</v>
      </c>
      <c r="N1646" s="5">
        <v>52100000</v>
      </c>
      <c r="O1646" s="5">
        <v>55100000</v>
      </c>
      <c r="P1646" s="3">
        <v>0.97916666666666663</v>
      </c>
    </row>
    <row r="1647" spans="1:16" x14ac:dyDescent="0.25">
      <c r="A1647" t="s">
        <v>1015</v>
      </c>
      <c r="B1647" s="2">
        <v>44763</v>
      </c>
      <c r="C1647" t="str">
        <f>TEXT(B1647,"mm")</f>
        <v>07</v>
      </c>
      <c r="D1647" t="s">
        <v>20</v>
      </c>
      <c r="E1647" t="s">
        <v>1636</v>
      </c>
      <c r="F1647" s="5">
        <v>52000000</v>
      </c>
      <c r="G1647" s="5">
        <v>55000000</v>
      </c>
      <c r="H1647" s="5">
        <f>M1647*26000*1.20565</f>
        <v>53687835.630000003</v>
      </c>
      <c r="I1647" s="5">
        <f>G1647-H1647</f>
        <v>1312164.3699999973</v>
      </c>
      <c r="J1647" s="5">
        <v>3000000</v>
      </c>
      <c r="K1647" s="5">
        <v>5200000</v>
      </c>
      <c r="L1647" s="5">
        <v>5500000</v>
      </c>
      <c r="M1647" s="7">
        <v>1712.7</v>
      </c>
      <c r="N1647" s="5">
        <v>52500000</v>
      </c>
      <c r="O1647" s="5">
        <v>55500000</v>
      </c>
      <c r="P1647" s="3">
        <v>0.97916666666666663</v>
      </c>
    </row>
    <row r="1648" spans="1:16" x14ac:dyDescent="0.25">
      <c r="A1648" t="s">
        <v>1016</v>
      </c>
      <c r="B1648" s="2">
        <v>44764</v>
      </c>
      <c r="C1648" t="str">
        <f>TEXT(B1648,"mm")</f>
        <v>07</v>
      </c>
      <c r="D1648" t="s">
        <v>21</v>
      </c>
      <c r="E1648" t="s">
        <v>1636</v>
      </c>
      <c r="F1648" s="5">
        <v>52500000</v>
      </c>
      <c r="G1648" s="5">
        <v>55500000</v>
      </c>
      <c r="H1648" s="5">
        <f>M1648*26000*1.20565</f>
        <v>54139230.990000002</v>
      </c>
      <c r="I1648" s="5">
        <f>G1648-H1648</f>
        <v>1360769.0099999979</v>
      </c>
      <c r="J1648" s="5">
        <v>3000000</v>
      </c>
      <c r="K1648" s="5">
        <v>5250000</v>
      </c>
      <c r="L1648" s="5">
        <v>5550000</v>
      </c>
      <c r="M1648" s="7">
        <v>1727.1</v>
      </c>
      <c r="N1648" s="5">
        <v>53000000</v>
      </c>
      <c r="O1648" s="5">
        <v>56000000</v>
      </c>
      <c r="P1648" s="3">
        <v>0.97916666666666663</v>
      </c>
    </row>
    <row r="1649" spans="1:16" x14ac:dyDescent="0.25">
      <c r="A1649" t="s">
        <v>1017</v>
      </c>
      <c r="B1649" s="2">
        <v>44767</v>
      </c>
      <c r="C1649" t="str">
        <f>TEXT(B1649,"mm")</f>
        <v>07</v>
      </c>
      <c r="D1649" t="s">
        <v>16</v>
      </c>
      <c r="E1649" t="s">
        <v>1636</v>
      </c>
      <c r="F1649" s="5">
        <v>52200000</v>
      </c>
      <c r="G1649" s="5">
        <v>55200000</v>
      </c>
      <c r="H1649" s="5">
        <f>M1649*26000*1.20565</f>
        <v>53885321.100000001</v>
      </c>
      <c r="I1649" s="5">
        <f>G1649-H1649</f>
        <v>1314678.8999999985</v>
      </c>
      <c r="J1649" s="5">
        <v>3000000</v>
      </c>
      <c r="K1649" s="5">
        <v>5220000</v>
      </c>
      <c r="L1649" s="5">
        <v>5520000</v>
      </c>
      <c r="M1649" s="7">
        <v>1719</v>
      </c>
      <c r="N1649" s="5">
        <v>52700000</v>
      </c>
      <c r="O1649" s="5">
        <v>55700000</v>
      </c>
      <c r="P1649" s="3">
        <v>0.97916666666666663</v>
      </c>
    </row>
    <row r="1650" spans="1:16" x14ac:dyDescent="0.25">
      <c r="A1650" t="s">
        <v>1018</v>
      </c>
      <c r="B1650" s="2">
        <v>44768</v>
      </c>
      <c r="C1650" t="str">
        <f>TEXT(B1650,"mm")</f>
        <v>07</v>
      </c>
      <c r="D1650" t="s">
        <v>18</v>
      </c>
      <c r="E1650" t="s">
        <v>1636</v>
      </c>
      <c r="F1650" s="5">
        <v>52200000</v>
      </c>
      <c r="G1650" s="5">
        <v>55200000</v>
      </c>
      <c r="H1650" s="5">
        <f>M1650*26000*1.20565</f>
        <v>53844570.130000003</v>
      </c>
      <c r="I1650" s="5">
        <f>G1650-H1650</f>
        <v>1355429.8699999973</v>
      </c>
      <c r="J1650" s="5">
        <v>3000000</v>
      </c>
      <c r="K1650" s="5">
        <v>5220000</v>
      </c>
      <c r="L1650" s="5">
        <v>5520000</v>
      </c>
      <c r="M1650" s="7">
        <v>1717.7</v>
      </c>
      <c r="N1650" s="5">
        <v>52700000</v>
      </c>
      <c r="O1650" s="5">
        <v>55700000</v>
      </c>
      <c r="P1650" s="3">
        <v>0.97916666666666663</v>
      </c>
    </row>
    <row r="1651" spans="1:16" x14ac:dyDescent="0.25">
      <c r="A1651" t="s">
        <v>1019</v>
      </c>
      <c r="B1651" s="2">
        <v>44769</v>
      </c>
      <c r="C1651" t="str">
        <f>TEXT(B1651,"mm")</f>
        <v>07</v>
      </c>
      <c r="D1651" t="s">
        <v>19</v>
      </c>
      <c r="E1651" t="s">
        <v>1636</v>
      </c>
      <c r="F1651" s="5">
        <v>52200000</v>
      </c>
      <c r="G1651" s="5">
        <v>55200000</v>
      </c>
      <c r="H1651" s="5">
        <f>M1651*26000*1.20565</f>
        <v>53888455.790000007</v>
      </c>
      <c r="I1651" s="5">
        <f>G1651-H1651</f>
        <v>1311544.2099999934</v>
      </c>
      <c r="J1651" s="5">
        <v>3000000</v>
      </c>
      <c r="K1651" s="5">
        <v>5220000</v>
      </c>
      <c r="L1651" s="5">
        <v>5520000</v>
      </c>
      <c r="M1651" s="7">
        <v>1719.1</v>
      </c>
      <c r="N1651" s="5">
        <v>52700000</v>
      </c>
      <c r="O1651" s="5">
        <v>55700000</v>
      </c>
      <c r="P1651" s="3">
        <v>0.97916666666666663</v>
      </c>
    </row>
    <row r="1652" spans="1:16" x14ac:dyDescent="0.25">
      <c r="A1652" t="s">
        <v>1020</v>
      </c>
      <c r="B1652" s="2">
        <v>44770</v>
      </c>
      <c r="C1652" t="str">
        <f>TEXT(B1652,"mm")</f>
        <v>07</v>
      </c>
      <c r="D1652" t="s">
        <v>20</v>
      </c>
      <c r="E1652" t="s">
        <v>1636</v>
      </c>
      <c r="F1652" s="5">
        <v>53300000</v>
      </c>
      <c r="G1652" s="5">
        <v>56300000</v>
      </c>
      <c r="H1652" s="5">
        <f>M1652*26000*1.20565</f>
        <v>54866479.070000008</v>
      </c>
      <c r="I1652" s="5">
        <f>G1652-H1652</f>
        <v>1433520.9299999923</v>
      </c>
      <c r="J1652" s="5">
        <v>3000000</v>
      </c>
      <c r="K1652" s="5">
        <v>5330000</v>
      </c>
      <c r="L1652" s="5">
        <v>5630000</v>
      </c>
      <c r="M1652" s="7">
        <v>1750.3</v>
      </c>
      <c r="N1652" s="5">
        <v>53800000</v>
      </c>
      <c r="O1652" s="5">
        <v>56800000</v>
      </c>
      <c r="P1652" s="3">
        <v>0.97916666666666663</v>
      </c>
    </row>
    <row r="1653" spans="1:16" x14ac:dyDescent="0.25">
      <c r="A1653" t="s">
        <v>1021</v>
      </c>
      <c r="B1653" s="2">
        <v>44771</v>
      </c>
      <c r="C1653" t="str">
        <f>TEXT(B1653,"mm")</f>
        <v>07</v>
      </c>
      <c r="D1653" t="s">
        <v>21</v>
      </c>
      <c r="E1653" t="s">
        <v>1636</v>
      </c>
      <c r="F1653" s="5">
        <v>53700000</v>
      </c>
      <c r="G1653" s="5">
        <v>56700000</v>
      </c>
      <c r="H1653" s="5">
        <f>M1653*26000*1.20565</f>
        <v>55261450.010000005</v>
      </c>
      <c r="I1653" s="5">
        <f>G1653-H1653</f>
        <v>1438549.9899999946</v>
      </c>
      <c r="J1653" s="5">
        <v>3000000</v>
      </c>
      <c r="K1653" s="5">
        <v>5370000</v>
      </c>
      <c r="L1653" s="5">
        <v>5670000</v>
      </c>
      <c r="M1653" s="7">
        <v>1762.9</v>
      </c>
      <c r="N1653" s="5">
        <v>54200000</v>
      </c>
      <c r="O1653" s="5">
        <v>57200000</v>
      </c>
      <c r="P1653" s="3">
        <v>0.97916666666666663</v>
      </c>
    </row>
    <row r="1654" spans="1:16" x14ac:dyDescent="0.25">
      <c r="A1654" s="2">
        <v>44569</v>
      </c>
      <c r="B1654" s="2">
        <v>44774</v>
      </c>
      <c r="C1654" t="str">
        <f>TEXT(B1654,"mm")</f>
        <v>08</v>
      </c>
      <c r="D1654" t="s">
        <v>16</v>
      </c>
      <c r="E1654" t="s">
        <v>1636</v>
      </c>
      <c r="F1654" s="5">
        <v>53900000</v>
      </c>
      <c r="G1654" s="5">
        <v>56900000</v>
      </c>
      <c r="H1654" s="5">
        <f>M1654*26000*1.20565</f>
        <v>55452666.100000001</v>
      </c>
      <c r="I1654" s="5">
        <f>G1654-H1654</f>
        <v>1447333.8999999985</v>
      </c>
      <c r="J1654" s="5">
        <v>3000000</v>
      </c>
      <c r="K1654" s="5">
        <v>5390000</v>
      </c>
      <c r="L1654" s="5">
        <v>5690000</v>
      </c>
      <c r="M1654" s="7">
        <v>1769</v>
      </c>
      <c r="N1654" s="5">
        <v>54400000</v>
      </c>
      <c r="O1654" s="5">
        <v>57400000</v>
      </c>
      <c r="P1654" s="3">
        <v>0.97916666666666663</v>
      </c>
    </row>
    <row r="1655" spans="1:16" x14ac:dyDescent="0.25">
      <c r="A1655" s="2">
        <v>44600</v>
      </c>
      <c r="B1655" s="2">
        <v>44775</v>
      </c>
      <c r="C1655" t="str">
        <f>TEXT(B1655,"mm")</f>
        <v>08</v>
      </c>
      <c r="D1655" t="s">
        <v>18</v>
      </c>
      <c r="E1655" t="s">
        <v>1636</v>
      </c>
      <c r="F1655" s="5">
        <v>53900000</v>
      </c>
      <c r="G1655" s="5">
        <v>56900000</v>
      </c>
      <c r="H1655" s="5">
        <f>M1655*26000*1.20565</f>
        <v>55518494.590000004</v>
      </c>
      <c r="I1655" s="5">
        <f>G1655-H1655</f>
        <v>1381505.4099999964</v>
      </c>
      <c r="J1655" s="5">
        <v>3000000</v>
      </c>
      <c r="K1655" s="5">
        <v>5390000</v>
      </c>
      <c r="L1655" s="5">
        <v>5690000</v>
      </c>
      <c r="M1655" s="7">
        <v>1771.1</v>
      </c>
      <c r="N1655" s="5">
        <v>54400000</v>
      </c>
      <c r="O1655" s="5">
        <v>57400000</v>
      </c>
      <c r="P1655" s="3">
        <v>0.97916666666666663</v>
      </c>
    </row>
    <row r="1656" spans="1:16" x14ac:dyDescent="0.25">
      <c r="A1656" s="2">
        <v>44628</v>
      </c>
      <c r="B1656" s="2">
        <v>44776</v>
      </c>
      <c r="C1656" t="str">
        <f>TEXT(B1656,"mm")</f>
        <v>08</v>
      </c>
      <c r="D1656" t="s">
        <v>19</v>
      </c>
      <c r="E1656" t="s">
        <v>1636</v>
      </c>
      <c r="F1656" s="5">
        <v>53500000</v>
      </c>
      <c r="G1656" s="5">
        <v>56500000</v>
      </c>
      <c r="H1656" s="5">
        <f>M1656*26000*1.20565</f>
        <v>55107850.200000003</v>
      </c>
      <c r="I1656" s="5">
        <f>G1656-H1656</f>
        <v>1392149.799999997</v>
      </c>
      <c r="J1656" s="5">
        <v>3000000</v>
      </c>
      <c r="K1656" s="5">
        <v>5350000</v>
      </c>
      <c r="L1656" s="5">
        <v>5650000</v>
      </c>
      <c r="M1656" s="7">
        <v>1758</v>
      </c>
      <c r="N1656" s="5">
        <v>54000000</v>
      </c>
      <c r="O1656" s="5">
        <v>57000000</v>
      </c>
      <c r="P1656" s="3">
        <v>0.97916666666666663</v>
      </c>
    </row>
    <row r="1657" spans="1:16" x14ac:dyDescent="0.25">
      <c r="A1657" s="2">
        <v>44659</v>
      </c>
      <c r="B1657" s="2">
        <v>44777</v>
      </c>
      <c r="C1657" t="str">
        <f>TEXT(B1657,"mm")</f>
        <v>08</v>
      </c>
      <c r="D1657" t="s">
        <v>20</v>
      </c>
      <c r="E1657" t="s">
        <v>1636</v>
      </c>
      <c r="F1657" s="5">
        <v>54500000</v>
      </c>
      <c r="G1657" s="5">
        <v>57500000</v>
      </c>
      <c r="H1657" s="5">
        <f>M1657*26000*1.20565</f>
        <v>56063930.650000006</v>
      </c>
      <c r="I1657" s="5">
        <f>G1657-H1657</f>
        <v>1436069.349999994</v>
      </c>
      <c r="J1657" s="5">
        <v>3000000</v>
      </c>
      <c r="K1657" s="5">
        <v>5450000</v>
      </c>
      <c r="L1657" s="5">
        <v>5750000</v>
      </c>
      <c r="M1657" s="7">
        <v>1788.5</v>
      </c>
      <c r="N1657" s="5">
        <v>55000000</v>
      </c>
      <c r="O1657" s="5">
        <v>58000000</v>
      </c>
      <c r="P1657" s="3">
        <v>0.97916666666666663</v>
      </c>
    </row>
    <row r="1658" spans="1:16" x14ac:dyDescent="0.25">
      <c r="A1658" s="2">
        <v>44689</v>
      </c>
      <c r="B1658" s="2">
        <v>44778</v>
      </c>
      <c r="C1658" t="str">
        <f>TEXT(B1658,"mm")</f>
        <v>08</v>
      </c>
      <c r="D1658" t="s">
        <v>21</v>
      </c>
      <c r="E1658" t="s">
        <v>1636</v>
      </c>
      <c r="F1658" s="5">
        <v>54000000</v>
      </c>
      <c r="G1658" s="5">
        <v>57000000</v>
      </c>
      <c r="H1658" s="5">
        <f>M1658*26000*1.20565</f>
        <v>55574919.010000005</v>
      </c>
      <c r="I1658" s="5">
        <f>G1658-H1658</f>
        <v>1425080.9899999946</v>
      </c>
      <c r="J1658" s="5">
        <v>3000000</v>
      </c>
      <c r="K1658" s="5">
        <v>5400000</v>
      </c>
      <c r="L1658" s="5">
        <v>5700000</v>
      </c>
      <c r="M1658" s="7">
        <v>1772.9</v>
      </c>
      <c r="N1658" s="5">
        <v>54500000</v>
      </c>
      <c r="O1658" s="5">
        <v>57500000</v>
      </c>
      <c r="P1658" s="3">
        <v>0.97916666666666663</v>
      </c>
    </row>
    <row r="1659" spans="1:16" x14ac:dyDescent="0.25">
      <c r="A1659" s="2">
        <v>44781</v>
      </c>
      <c r="B1659" s="2">
        <v>44781</v>
      </c>
      <c r="C1659" t="str">
        <f>TEXT(B1659,"mm")</f>
        <v>08</v>
      </c>
      <c r="D1659" t="s">
        <v>16</v>
      </c>
      <c r="E1659" t="s">
        <v>1636</v>
      </c>
      <c r="F1659" s="5">
        <v>54400000</v>
      </c>
      <c r="G1659" s="5">
        <v>57400000</v>
      </c>
      <c r="H1659" s="5">
        <f>M1659*26000*1.20565</f>
        <v>56010640.920000002</v>
      </c>
      <c r="I1659" s="5">
        <f>G1659-H1659</f>
        <v>1389359.0799999982</v>
      </c>
      <c r="J1659" s="5">
        <v>3000000</v>
      </c>
      <c r="K1659" s="5">
        <v>5440000</v>
      </c>
      <c r="L1659" s="5">
        <v>5740000</v>
      </c>
      <c r="M1659" s="7">
        <v>1786.8</v>
      </c>
      <c r="N1659" s="5">
        <v>54900000</v>
      </c>
      <c r="O1659" s="5">
        <v>57900000</v>
      </c>
      <c r="P1659" s="3">
        <v>0.97916666666666663</v>
      </c>
    </row>
    <row r="1660" spans="1:16" x14ac:dyDescent="0.25">
      <c r="A1660" s="2">
        <v>44812</v>
      </c>
      <c r="B1660" s="2">
        <v>44782</v>
      </c>
      <c r="C1660" t="str">
        <f>TEXT(B1660,"mm")</f>
        <v>08</v>
      </c>
      <c r="D1660" t="s">
        <v>18</v>
      </c>
      <c r="E1660" t="s">
        <v>1636</v>
      </c>
      <c r="F1660" s="5">
        <v>54700000</v>
      </c>
      <c r="G1660" s="5">
        <v>57700000</v>
      </c>
      <c r="H1660" s="5">
        <f>M1660*26000*1.20565</f>
        <v>56236338.600000001</v>
      </c>
      <c r="I1660" s="5">
        <f>G1660-H1660</f>
        <v>1463661.3999999985</v>
      </c>
      <c r="J1660" s="5">
        <v>3000000</v>
      </c>
      <c r="K1660" s="5">
        <v>5470000</v>
      </c>
      <c r="L1660" s="5">
        <v>5770000</v>
      </c>
      <c r="M1660" s="7">
        <v>1794</v>
      </c>
      <c r="N1660" s="5">
        <v>55200000</v>
      </c>
      <c r="O1660" s="5">
        <v>58200000</v>
      </c>
      <c r="P1660" s="3">
        <v>0.97916666666666663</v>
      </c>
    </row>
    <row r="1661" spans="1:16" x14ac:dyDescent="0.25">
      <c r="A1661" s="2">
        <v>44842</v>
      </c>
      <c r="B1661" s="2">
        <v>44783</v>
      </c>
      <c r="C1661" t="str">
        <f>TEXT(B1661,"mm")</f>
        <v>08</v>
      </c>
      <c r="D1661" t="s">
        <v>19</v>
      </c>
      <c r="E1661" t="s">
        <v>1636</v>
      </c>
      <c r="F1661" s="5">
        <v>54700000</v>
      </c>
      <c r="G1661" s="5">
        <v>57700000</v>
      </c>
      <c r="H1661" s="5">
        <f>M1661*26000*1.20565</f>
        <v>56286493.640000008</v>
      </c>
      <c r="I1661" s="5">
        <f>G1661-H1661</f>
        <v>1413506.359999992</v>
      </c>
      <c r="J1661" s="5">
        <v>3000000</v>
      </c>
      <c r="K1661" s="5">
        <v>5470000</v>
      </c>
      <c r="L1661" s="5">
        <v>5770000</v>
      </c>
      <c r="M1661" s="7">
        <v>1795.6</v>
      </c>
      <c r="N1661" s="5">
        <v>55200000</v>
      </c>
      <c r="O1661" s="5">
        <v>58200000</v>
      </c>
      <c r="P1661" s="3">
        <v>0.97916666666666663</v>
      </c>
    </row>
    <row r="1662" spans="1:16" x14ac:dyDescent="0.25">
      <c r="A1662" s="2">
        <v>44873</v>
      </c>
      <c r="B1662" s="2">
        <v>44784</v>
      </c>
      <c r="C1662" t="str">
        <f>TEXT(B1662,"mm")</f>
        <v>08</v>
      </c>
      <c r="D1662" t="s">
        <v>20</v>
      </c>
      <c r="E1662" t="s">
        <v>1636</v>
      </c>
      <c r="F1662" s="5">
        <v>54500000</v>
      </c>
      <c r="G1662" s="5">
        <v>57500000</v>
      </c>
      <c r="H1662" s="5">
        <f>M1662*26000*1.20565</f>
        <v>56101546.930000007</v>
      </c>
      <c r="I1662" s="5">
        <f>G1662-H1662</f>
        <v>1398453.0699999928</v>
      </c>
      <c r="J1662" s="5">
        <v>3000000</v>
      </c>
      <c r="K1662" s="5">
        <v>5450000</v>
      </c>
      <c r="L1662" s="5">
        <v>5750000</v>
      </c>
      <c r="M1662" s="7">
        <v>1789.7</v>
      </c>
      <c r="N1662" s="5">
        <v>55000000</v>
      </c>
      <c r="O1662" s="5">
        <v>58000000</v>
      </c>
      <c r="P1662" s="3">
        <v>0.97916666666666663</v>
      </c>
    </row>
    <row r="1663" spans="1:16" x14ac:dyDescent="0.25">
      <c r="A1663" s="2">
        <v>44903</v>
      </c>
      <c r="B1663" s="2">
        <v>44785</v>
      </c>
      <c r="C1663" t="str">
        <f>TEXT(B1663,"mm")</f>
        <v>08</v>
      </c>
      <c r="D1663" t="s">
        <v>21</v>
      </c>
      <c r="E1663" t="s">
        <v>1636</v>
      </c>
      <c r="F1663" s="5">
        <v>54800000</v>
      </c>
      <c r="G1663" s="5">
        <v>57800000</v>
      </c>
      <c r="H1663" s="5">
        <f>M1663*26000*1.20565</f>
        <v>56380534.340000004</v>
      </c>
      <c r="I1663" s="5">
        <f>G1663-H1663</f>
        <v>1419465.6599999964</v>
      </c>
      <c r="J1663" s="5">
        <v>3000000</v>
      </c>
      <c r="K1663" s="5">
        <v>5480000</v>
      </c>
      <c r="L1663" s="5">
        <v>5780000</v>
      </c>
      <c r="M1663" s="7">
        <v>1798.6</v>
      </c>
      <c r="N1663" s="5">
        <v>55300000</v>
      </c>
      <c r="O1663" s="5">
        <v>58300000</v>
      </c>
      <c r="P1663" s="3">
        <v>0.97916666666666663</v>
      </c>
    </row>
    <row r="1664" spans="1:16" x14ac:dyDescent="0.25">
      <c r="A1664" t="s">
        <v>1022</v>
      </c>
      <c r="B1664" s="2">
        <v>44788</v>
      </c>
      <c r="C1664" t="str">
        <f>TEXT(B1664,"mm")</f>
        <v>08</v>
      </c>
      <c r="D1664" t="s">
        <v>16</v>
      </c>
      <c r="E1664" t="s">
        <v>1636</v>
      </c>
      <c r="F1664" s="5">
        <v>54300000</v>
      </c>
      <c r="G1664" s="5">
        <v>57300000</v>
      </c>
      <c r="H1664" s="5">
        <f>M1664*26000*1.20565</f>
        <v>55841367.660000004</v>
      </c>
      <c r="I1664" s="5">
        <f>G1664-H1664</f>
        <v>1458632.3399999961</v>
      </c>
      <c r="J1664" s="5">
        <v>3000000</v>
      </c>
      <c r="K1664" s="5">
        <v>5430000</v>
      </c>
      <c r="L1664" s="5">
        <v>5730000</v>
      </c>
      <c r="M1664" s="7">
        <v>1781.4</v>
      </c>
      <c r="N1664" s="5">
        <v>54800000</v>
      </c>
      <c r="O1664" s="5">
        <v>57800000</v>
      </c>
      <c r="P1664" s="3">
        <v>0.97916666666666663</v>
      </c>
    </row>
    <row r="1665" spans="1:16" x14ac:dyDescent="0.25">
      <c r="A1665" t="s">
        <v>1023</v>
      </c>
      <c r="B1665" s="2">
        <v>44789</v>
      </c>
      <c r="C1665" t="str">
        <f>TEXT(B1665,"mm")</f>
        <v>08</v>
      </c>
      <c r="D1665" t="s">
        <v>18</v>
      </c>
      <c r="E1665" t="s">
        <v>1636</v>
      </c>
      <c r="F1665" s="5">
        <v>54000000</v>
      </c>
      <c r="G1665" s="5">
        <v>57000000</v>
      </c>
      <c r="H1665" s="5">
        <f>M1665*26000*1.20565</f>
        <v>55584323.080000006</v>
      </c>
      <c r="I1665" s="5">
        <f>G1665-H1665</f>
        <v>1415676.9199999943</v>
      </c>
      <c r="J1665" s="5">
        <v>3000000</v>
      </c>
      <c r="K1665" s="5">
        <v>5400000</v>
      </c>
      <c r="L1665" s="5">
        <v>5700000</v>
      </c>
      <c r="M1665" s="7">
        <v>1773.2</v>
      </c>
      <c r="N1665" s="5">
        <v>54500000</v>
      </c>
      <c r="O1665" s="5">
        <v>57500000</v>
      </c>
      <c r="P1665" s="3">
        <v>0.97916666666666663</v>
      </c>
    </row>
    <row r="1666" spans="1:16" x14ac:dyDescent="0.25">
      <c r="A1666" t="s">
        <v>1024</v>
      </c>
      <c r="B1666" s="2">
        <v>44790</v>
      </c>
      <c r="C1666" t="str">
        <f>TEXT(B1666,"mm")</f>
        <v>08</v>
      </c>
      <c r="D1666" t="s">
        <v>19</v>
      </c>
      <c r="E1666" t="s">
        <v>1636</v>
      </c>
      <c r="F1666" s="5">
        <v>53600000</v>
      </c>
      <c r="G1666" s="5">
        <v>56600000</v>
      </c>
      <c r="H1666" s="5">
        <f>M1666*26000*1.20565</f>
        <v>55179948.070000008</v>
      </c>
      <c r="I1666" s="5">
        <f>G1666-H1666</f>
        <v>1420051.9299999923</v>
      </c>
      <c r="J1666" s="5">
        <v>3000000</v>
      </c>
      <c r="K1666" s="5">
        <v>5360000</v>
      </c>
      <c r="L1666" s="5">
        <v>5660000</v>
      </c>
      <c r="M1666" s="7">
        <v>1760.3</v>
      </c>
      <c r="N1666" s="5">
        <v>54100000</v>
      </c>
      <c r="O1666" s="5">
        <v>57100000</v>
      </c>
      <c r="P1666" s="3">
        <v>0.97916666666666663</v>
      </c>
    </row>
    <row r="1667" spans="1:16" x14ac:dyDescent="0.25">
      <c r="A1667" t="s">
        <v>1025</v>
      </c>
      <c r="B1667" s="2">
        <v>44791</v>
      </c>
      <c r="C1667" t="str">
        <f>TEXT(B1667,"mm")</f>
        <v>08</v>
      </c>
      <c r="D1667" t="s">
        <v>20</v>
      </c>
      <c r="E1667" t="s">
        <v>1636</v>
      </c>
      <c r="F1667" s="5">
        <v>53400000</v>
      </c>
      <c r="G1667" s="5">
        <v>56400000</v>
      </c>
      <c r="H1667" s="5">
        <f>M1667*26000*1.20565</f>
        <v>55023213.570000008</v>
      </c>
      <c r="I1667" s="5">
        <f>G1667-H1667</f>
        <v>1376786.4299999923</v>
      </c>
      <c r="J1667" s="5">
        <v>3000000</v>
      </c>
      <c r="K1667" s="5">
        <v>5340000</v>
      </c>
      <c r="L1667" s="5">
        <v>5640000</v>
      </c>
      <c r="M1667" s="7">
        <v>1755.3</v>
      </c>
      <c r="N1667" s="5">
        <v>53900000</v>
      </c>
      <c r="O1667" s="5">
        <v>56900000</v>
      </c>
      <c r="P1667" s="3">
        <v>0.97916666666666663</v>
      </c>
    </row>
    <row r="1668" spans="1:16" x14ac:dyDescent="0.25">
      <c r="A1668" t="s">
        <v>1026</v>
      </c>
      <c r="B1668" s="2">
        <v>44792</v>
      </c>
      <c r="C1668" t="str">
        <f>TEXT(B1668,"mm")</f>
        <v>08</v>
      </c>
      <c r="D1668" t="s">
        <v>21</v>
      </c>
      <c r="E1668" t="s">
        <v>1636</v>
      </c>
      <c r="F1668" s="5">
        <v>53200000</v>
      </c>
      <c r="G1668" s="5">
        <v>56200000</v>
      </c>
      <c r="H1668" s="5">
        <f>M1668*26000*1.20565</f>
        <v>54781842.440000005</v>
      </c>
      <c r="I1668" s="5">
        <f>G1668-H1668</f>
        <v>1418157.5599999949</v>
      </c>
      <c r="J1668" s="5">
        <v>3000000</v>
      </c>
      <c r="K1668" s="5">
        <v>5320000</v>
      </c>
      <c r="L1668" s="5">
        <v>5620000</v>
      </c>
      <c r="M1668" s="7">
        <v>1747.6</v>
      </c>
      <c r="N1668" s="5">
        <v>53700000</v>
      </c>
      <c r="O1668" s="5">
        <v>56700000</v>
      </c>
      <c r="P1668" s="3">
        <v>0.97916666666666663</v>
      </c>
    </row>
    <row r="1669" spans="1:16" x14ac:dyDescent="0.25">
      <c r="A1669" t="s">
        <v>1027</v>
      </c>
      <c r="B1669" s="2">
        <v>44795</v>
      </c>
      <c r="C1669" t="str">
        <f>TEXT(B1669,"mm")</f>
        <v>08</v>
      </c>
      <c r="D1669" t="s">
        <v>16</v>
      </c>
      <c r="E1669" t="s">
        <v>1636</v>
      </c>
      <c r="F1669" s="5">
        <v>52700000</v>
      </c>
      <c r="G1669" s="5">
        <v>55700000</v>
      </c>
      <c r="H1669" s="5">
        <f>M1669*26000*1.20565</f>
        <v>54355524.600000001</v>
      </c>
      <c r="I1669" s="5">
        <f>G1669-H1669</f>
        <v>1344475.3999999985</v>
      </c>
      <c r="J1669" s="5">
        <v>3000000</v>
      </c>
      <c r="K1669" s="5">
        <v>5270000</v>
      </c>
      <c r="L1669" s="5">
        <v>5570000</v>
      </c>
      <c r="M1669" s="7">
        <v>1734</v>
      </c>
      <c r="N1669" s="5">
        <v>53200000</v>
      </c>
      <c r="O1669" s="5">
        <v>56200000</v>
      </c>
      <c r="P1669" s="3">
        <v>0.97916666666666663</v>
      </c>
    </row>
    <row r="1670" spans="1:16" x14ac:dyDescent="0.25">
      <c r="A1670" t="s">
        <v>1028</v>
      </c>
      <c r="B1670" s="2">
        <v>44796</v>
      </c>
      <c r="C1670" t="str">
        <f>TEXT(B1670,"mm")</f>
        <v>08</v>
      </c>
      <c r="D1670" t="s">
        <v>18</v>
      </c>
      <c r="E1670" t="s">
        <v>1636</v>
      </c>
      <c r="F1670" s="5">
        <v>53100000</v>
      </c>
      <c r="G1670" s="5">
        <v>56100000</v>
      </c>
      <c r="H1670" s="5">
        <f>M1670*26000*1.20565</f>
        <v>54756764.920000002</v>
      </c>
      <c r="I1670" s="5">
        <f>G1670-H1670</f>
        <v>1343235.0799999982</v>
      </c>
      <c r="J1670" s="5">
        <v>3000000</v>
      </c>
      <c r="K1670" s="5">
        <v>5310000</v>
      </c>
      <c r="L1670" s="5">
        <v>5610000</v>
      </c>
      <c r="M1670" s="7">
        <v>1746.8</v>
      </c>
      <c r="N1670" s="5">
        <v>53600000</v>
      </c>
      <c r="O1670" s="5">
        <v>56600000</v>
      </c>
      <c r="P1670" s="3">
        <v>0.97916666666666663</v>
      </c>
    </row>
    <row r="1671" spans="1:16" x14ac:dyDescent="0.25">
      <c r="A1671" t="s">
        <v>1029</v>
      </c>
      <c r="B1671" s="2">
        <v>44797</v>
      </c>
      <c r="C1671" t="str">
        <f>TEXT(B1671,"mm")</f>
        <v>08</v>
      </c>
      <c r="D1671" t="s">
        <v>19</v>
      </c>
      <c r="E1671" t="s">
        <v>1636</v>
      </c>
      <c r="F1671" s="5">
        <v>53200000</v>
      </c>
      <c r="G1671" s="5">
        <v>56200000</v>
      </c>
      <c r="H1671" s="5">
        <f>M1671*26000*1.20565</f>
        <v>54788111.820000008</v>
      </c>
      <c r="I1671" s="5">
        <f>G1671-H1671</f>
        <v>1411888.1799999923</v>
      </c>
      <c r="J1671" s="5">
        <v>3000000</v>
      </c>
      <c r="K1671" s="5">
        <v>5320000</v>
      </c>
      <c r="L1671" s="5">
        <v>5620000</v>
      </c>
      <c r="M1671" s="7">
        <v>1747.8</v>
      </c>
      <c r="N1671" s="5">
        <v>53700000</v>
      </c>
      <c r="O1671" s="5">
        <v>56700000</v>
      </c>
      <c r="P1671" s="3">
        <v>0.97916666666666663</v>
      </c>
    </row>
    <row r="1672" spans="1:16" x14ac:dyDescent="0.25">
      <c r="A1672" t="s">
        <v>1030</v>
      </c>
      <c r="B1672" s="2">
        <v>44798</v>
      </c>
      <c r="C1672" t="str">
        <f>TEXT(B1672,"mm")</f>
        <v>08</v>
      </c>
      <c r="D1672" t="s">
        <v>20</v>
      </c>
      <c r="E1672" t="s">
        <v>1636</v>
      </c>
      <c r="F1672" s="5">
        <v>53500000</v>
      </c>
      <c r="G1672" s="5">
        <v>56500000</v>
      </c>
      <c r="H1672" s="5">
        <f>M1672*26000*1.20565</f>
        <v>55098446.130000003</v>
      </c>
      <c r="I1672" s="5">
        <f>G1672-H1672</f>
        <v>1401553.8699999973</v>
      </c>
      <c r="J1672" s="5">
        <v>3000000</v>
      </c>
      <c r="K1672" s="5">
        <v>5350000</v>
      </c>
      <c r="L1672" s="5">
        <v>5650000</v>
      </c>
      <c r="M1672" s="7">
        <v>1757.7</v>
      </c>
      <c r="N1672" s="5">
        <v>54000000</v>
      </c>
      <c r="O1672" s="5">
        <v>57000000</v>
      </c>
      <c r="P1672" s="3">
        <v>0.97916666666666663</v>
      </c>
    </row>
    <row r="1673" spans="1:16" x14ac:dyDescent="0.25">
      <c r="A1673" t="s">
        <v>1031</v>
      </c>
      <c r="B1673" s="2">
        <v>44799</v>
      </c>
      <c r="C1673" t="str">
        <f>TEXT(B1673,"mm")</f>
        <v>08</v>
      </c>
      <c r="D1673" t="s">
        <v>21</v>
      </c>
      <c r="E1673" t="s">
        <v>1636</v>
      </c>
      <c r="F1673" s="5">
        <v>52800000</v>
      </c>
      <c r="G1673" s="5">
        <v>55800000</v>
      </c>
      <c r="H1673" s="5">
        <f>M1673*26000*1.20565</f>
        <v>54421353.090000004</v>
      </c>
      <c r="I1673" s="5">
        <f>G1673-H1673</f>
        <v>1378646.9099999964</v>
      </c>
      <c r="J1673" s="5">
        <v>3000000</v>
      </c>
      <c r="K1673" s="5">
        <v>5280000</v>
      </c>
      <c r="L1673" s="5">
        <v>5580000</v>
      </c>
      <c r="M1673" s="7">
        <v>1736.1</v>
      </c>
      <c r="N1673" s="5">
        <v>53300000</v>
      </c>
      <c r="O1673" s="5">
        <v>56300000</v>
      </c>
      <c r="P1673" s="3">
        <v>0.97916666666666663</v>
      </c>
    </row>
    <row r="1674" spans="1:16" x14ac:dyDescent="0.25">
      <c r="A1674" t="s">
        <v>1032</v>
      </c>
      <c r="B1674" s="2">
        <v>44802</v>
      </c>
      <c r="C1674" t="str">
        <f>TEXT(B1674,"mm")</f>
        <v>08</v>
      </c>
      <c r="D1674" t="s">
        <v>16</v>
      </c>
      <c r="E1674" t="s">
        <v>1636</v>
      </c>
      <c r="F1674" s="5">
        <v>52800000</v>
      </c>
      <c r="G1674" s="5">
        <v>55800000</v>
      </c>
      <c r="H1674" s="5">
        <f>M1674*26000*1.20565</f>
        <v>54437026.540000007</v>
      </c>
      <c r="I1674" s="5">
        <f>G1674-H1674</f>
        <v>1362973.4599999934</v>
      </c>
      <c r="J1674" s="5">
        <v>3000000</v>
      </c>
      <c r="K1674" s="5">
        <v>5280000</v>
      </c>
      <c r="L1674" s="5">
        <v>5580000</v>
      </c>
      <c r="M1674" s="7">
        <v>1736.6</v>
      </c>
      <c r="N1674" s="5">
        <v>53300000</v>
      </c>
      <c r="O1674" s="5">
        <v>56300000</v>
      </c>
      <c r="P1674" s="3">
        <v>0.97916666666666663</v>
      </c>
    </row>
    <row r="1675" spans="1:16" x14ac:dyDescent="0.25">
      <c r="A1675" t="s">
        <v>1033</v>
      </c>
      <c r="B1675" s="2">
        <v>44803</v>
      </c>
      <c r="C1675" t="str">
        <f>TEXT(B1675,"mm")</f>
        <v>08</v>
      </c>
      <c r="D1675" t="s">
        <v>18</v>
      </c>
      <c r="E1675" t="s">
        <v>1636</v>
      </c>
      <c r="F1675" s="5">
        <v>52400000</v>
      </c>
      <c r="G1675" s="5">
        <v>55400000</v>
      </c>
      <c r="H1675" s="5">
        <f>M1675*26000*1.20565</f>
        <v>54016978.080000006</v>
      </c>
      <c r="I1675" s="5">
        <f>G1675-H1675</f>
        <v>1383021.9199999943</v>
      </c>
      <c r="J1675" s="5">
        <v>3000000</v>
      </c>
      <c r="K1675" s="5">
        <v>5240000</v>
      </c>
      <c r="L1675" s="5">
        <v>5540000</v>
      </c>
      <c r="M1675" s="7">
        <v>1723.2</v>
      </c>
      <c r="N1675" s="5">
        <v>52900000</v>
      </c>
      <c r="O1675" s="5">
        <v>55900000</v>
      </c>
      <c r="P1675" s="3">
        <v>0.97916666666666663</v>
      </c>
    </row>
    <row r="1676" spans="1:16" x14ac:dyDescent="0.25">
      <c r="A1676" t="s">
        <v>1034</v>
      </c>
      <c r="B1676" s="2">
        <v>44804</v>
      </c>
      <c r="C1676" t="str">
        <f>TEXT(B1676,"mm")</f>
        <v>08</v>
      </c>
      <c r="D1676" t="s">
        <v>19</v>
      </c>
      <c r="E1676" t="s">
        <v>1636</v>
      </c>
      <c r="F1676" s="5">
        <v>52000000</v>
      </c>
      <c r="G1676" s="5">
        <v>55000000</v>
      </c>
      <c r="H1676" s="5">
        <f>M1676*26000*1.20565</f>
        <v>53690970.320000008</v>
      </c>
      <c r="I1676" s="5">
        <f>G1676-H1676</f>
        <v>1309029.6799999923</v>
      </c>
      <c r="J1676" s="5">
        <v>3000000</v>
      </c>
      <c r="K1676" s="5">
        <v>5200000</v>
      </c>
      <c r="L1676" s="5">
        <v>5500000</v>
      </c>
      <c r="M1676" s="7">
        <v>1712.8</v>
      </c>
      <c r="N1676" s="5">
        <v>52500000</v>
      </c>
      <c r="O1676" s="5">
        <v>55500000</v>
      </c>
      <c r="P1676" s="3">
        <v>0.97916666666666663</v>
      </c>
    </row>
    <row r="1677" spans="1:16" x14ac:dyDescent="0.25">
      <c r="A1677" s="2">
        <v>44570</v>
      </c>
      <c r="B1677" s="2">
        <v>44805</v>
      </c>
      <c r="C1677" t="str">
        <f>TEXT(B1677,"mm")</f>
        <v>09</v>
      </c>
      <c r="D1677" t="s">
        <v>20</v>
      </c>
      <c r="E1677" t="s">
        <v>1636</v>
      </c>
      <c r="F1677" s="5">
        <v>51500000</v>
      </c>
      <c r="G1677" s="5">
        <v>54500000</v>
      </c>
      <c r="H1677" s="5">
        <f>M1677*26000*1.20565</f>
        <v>53183150.540000007</v>
      </c>
      <c r="I1677" s="5">
        <f>G1677-H1677</f>
        <v>1316849.4599999934</v>
      </c>
      <c r="J1677" s="5">
        <v>3000000</v>
      </c>
      <c r="K1677" s="5">
        <v>5150000</v>
      </c>
      <c r="L1677" s="5">
        <v>5450000</v>
      </c>
      <c r="M1677" s="7">
        <v>1696.6</v>
      </c>
      <c r="N1677" s="5">
        <v>52000000</v>
      </c>
      <c r="O1677" s="5">
        <v>55000000</v>
      </c>
      <c r="P1677" s="3">
        <v>0.97916666666666663</v>
      </c>
    </row>
    <row r="1678" spans="1:16" x14ac:dyDescent="0.25">
      <c r="A1678" s="2">
        <v>44601</v>
      </c>
      <c r="B1678" s="2">
        <v>44806</v>
      </c>
      <c r="C1678" t="str">
        <f>TEXT(B1678,"mm")</f>
        <v>09</v>
      </c>
      <c r="D1678" t="s">
        <v>21</v>
      </c>
      <c r="E1678" t="s">
        <v>1636</v>
      </c>
      <c r="F1678" s="5">
        <v>51900000</v>
      </c>
      <c r="G1678" s="5">
        <v>54900000</v>
      </c>
      <c r="H1678" s="5">
        <f>M1678*26000*1.20565</f>
        <v>53596929.620000005</v>
      </c>
      <c r="I1678" s="5">
        <f>G1678-H1678</f>
        <v>1303070.3799999952</v>
      </c>
      <c r="J1678" s="5">
        <v>3000000</v>
      </c>
      <c r="K1678" s="5">
        <v>5190000</v>
      </c>
      <c r="L1678" s="5">
        <v>5490000</v>
      </c>
      <c r="M1678" s="7">
        <v>1709.8</v>
      </c>
      <c r="N1678" s="5">
        <v>52400000</v>
      </c>
      <c r="O1678" s="5">
        <v>55400000</v>
      </c>
      <c r="P1678" s="3">
        <v>0.97916666666666663</v>
      </c>
    </row>
    <row r="1679" spans="1:16" x14ac:dyDescent="0.25">
      <c r="A1679" s="2">
        <v>44721</v>
      </c>
      <c r="B1679" s="2">
        <v>44810</v>
      </c>
      <c r="C1679" t="str">
        <f>TEXT(B1679,"mm")</f>
        <v>09</v>
      </c>
      <c r="D1679" t="s">
        <v>18</v>
      </c>
      <c r="E1679" t="s">
        <v>1636</v>
      </c>
      <c r="F1679" s="5">
        <v>51600000</v>
      </c>
      <c r="G1679" s="5">
        <v>54600000</v>
      </c>
      <c r="H1679" s="5">
        <f>M1679*26000*1.20565</f>
        <v>53302268.760000005</v>
      </c>
      <c r="I1679" s="5">
        <f>G1679-H1679</f>
        <v>1297731.2399999946</v>
      </c>
      <c r="J1679" s="5">
        <v>3000000</v>
      </c>
      <c r="K1679" s="5">
        <v>5160000</v>
      </c>
      <c r="L1679" s="5">
        <v>5460000</v>
      </c>
      <c r="M1679" s="7">
        <v>1700.4</v>
      </c>
      <c r="N1679" s="5">
        <v>52100000</v>
      </c>
      <c r="O1679" s="5">
        <v>55100000</v>
      </c>
      <c r="P1679" s="3">
        <v>0.97916666666666663</v>
      </c>
    </row>
    <row r="1680" spans="1:16" x14ac:dyDescent="0.25">
      <c r="A1680" s="2">
        <v>44751</v>
      </c>
      <c r="B1680" s="2">
        <v>44811</v>
      </c>
      <c r="C1680" t="str">
        <f>TEXT(B1680,"mm")</f>
        <v>09</v>
      </c>
      <c r="D1680" t="s">
        <v>19</v>
      </c>
      <c r="E1680" t="s">
        <v>1636</v>
      </c>
      <c r="F1680" s="5">
        <v>52100000</v>
      </c>
      <c r="G1680" s="5">
        <v>55100000</v>
      </c>
      <c r="H1680" s="5">
        <f>M1680*26000*1.20565</f>
        <v>53769337.570000008</v>
      </c>
      <c r="I1680" s="5">
        <f>G1680-H1680</f>
        <v>1330662.4299999923</v>
      </c>
      <c r="J1680" s="5">
        <v>3000000</v>
      </c>
      <c r="K1680" s="5">
        <v>5210000</v>
      </c>
      <c r="L1680" s="5">
        <v>5510000</v>
      </c>
      <c r="M1680" s="7">
        <v>1715.3</v>
      </c>
      <c r="N1680" s="5">
        <v>52600000</v>
      </c>
      <c r="O1680" s="5">
        <v>55600000</v>
      </c>
      <c r="P1680" s="3">
        <v>0.97916666666666663</v>
      </c>
    </row>
    <row r="1681" spans="1:16" x14ac:dyDescent="0.25">
      <c r="A1681" s="2">
        <v>44782</v>
      </c>
      <c r="B1681" s="2">
        <v>44812</v>
      </c>
      <c r="C1681" t="str">
        <f>TEXT(B1681,"mm")</f>
        <v>09</v>
      </c>
      <c r="D1681" t="s">
        <v>20</v>
      </c>
      <c r="E1681" t="s">
        <v>1636</v>
      </c>
      <c r="F1681" s="5">
        <v>51900000</v>
      </c>
      <c r="G1681" s="5">
        <v>54900000</v>
      </c>
      <c r="H1681" s="5">
        <f>M1681*26000*1.20565</f>
        <v>53540505.200000003</v>
      </c>
      <c r="I1681" s="5">
        <f>G1681-H1681</f>
        <v>1359494.799999997</v>
      </c>
      <c r="J1681" s="5">
        <v>3000000</v>
      </c>
      <c r="K1681" s="5">
        <v>5190000</v>
      </c>
      <c r="L1681" s="5">
        <v>5490000</v>
      </c>
      <c r="M1681" s="7">
        <v>1708</v>
      </c>
      <c r="N1681" s="5">
        <v>52400000</v>
      </c>
      <c r="O1681" s="5">
        <v>55400000</v>
      </c>
      <c r="P1681" s="3">
        <v>0.97916666666666663</v>
      </c>
    </row>
    <row r="1682" spans="1:16" x14ac:dyDescent="0.25">
      <c r="A1682" s="2">
        <v>44813</v>
      </c>
      <c r="B1682" s="2">
        <v>44813</v>
      </c>
      <c r="C1682" t="str">
        <f>TEXT(B1682,"mm")</f>
        <v>09</v>
      </c>
      <c r="D1682" t="s">
        <v>21</v>
      </c>
      <c r="E1682" t="s">
        <v>1636</v>
      </c>
      <c r="F1682" s="5">
        <v>52200000</v>
      </c>
      <c r="G1682" s="5">
        <v>55200000</v>
      </c>
      <c r="H1682" s="5">
        <f>M1682*26000*1.20565</f>
        <v>53797549.780000009</v>
      </c>
      <c r="I1682" s="5">
        <f>G1682-H1682</f>
        <v>1402450.2199999914</v>
      </c>
      <c r="J1682" s="5">
        <v>3000000</v>
      </c>
      <c r="K1682" s="5">
        <v>5220000</v>
      </c>
      <c r="L1682" s="5">
        <v>5520000</v>
      </c>
      <c r="M1682" s="7">
        <v>1716.2</v>
      </c>
      <c r="N1682" s="5">
        <v>52700000</v>
      </c>
      <c r="O1682" s="5">
        <v>55700000</v>
      </c>
      <c r="P1682" s="3">
        <v>0.97916666666666663</v>
      </c>
    </row>
    <row r="1683" spans="1:16" x14ac:dyDescent="0.25">
      <c r="A1683" s="2">
        <v>44904</v>
      </c>
      <c r="B1683" s="2">
        <v>44816</v>
      </c>
      <c r="C1683" t="str">
        <f>TEXT(B1683,"mm")</f>
        <v>09</v>
      </c>
      <c r="D1683" t="s">
        <v>16</v>
      </c>
      <c r="E1683" t="s">
        <v>1636</v>
      </c>
      <c r="F1683" s="5">
        <v>52500000</v>
      </c>
      <c r="G1683" s="5">
        <v>55500000</v>
      </c>
      <c r="H1683" s="5">
        <f>M1683*26000*1.20565</f>
        <v>54170577.890000008</v>
      </c>
      <c r="I1683" s="5">
        <f>G1683-H1683</f>
        <v>1329422.109999992</v>
      </c>
      <c r="J1683" s="5">
        <v>3000000</v>
      </c>
      <c r="K1683" s="5">
        <v>5250000</v>
      </c>
      <c r="L1683" s="5">
        <v>5550000</v>
      </c>
      <c r="M1683" s="7">
        <v>1728.1</v>
      </c>
      <c r="N1683" s="5">
        <v>53000000</v>
      </c>
      <c r="O1683" s="5">
        <v>56000000</v>
      </c>
      <c r="P1683" s="3">
        <v>0.97916666666666663</v>
      </c>
    </row>
    <row r="1684" spans="1:16" x14ac:dyDescent="0.25">
      <c r="A1684" t="s">
        <v>1035</v>
      </c>
      <c r="B1684" s="2">
        <v>44817</v>
      </c>
      <c r="C1684" t="str">
        <f>TEXT(B1684,"mm")</f>
        <v>09</v>
      </c>
      <c r="D1684" t="s">
        <v>18</v>
      </c>
      <c r="E1684" t="s">
        <v>1636</v>
      </c>
      <c r="F1684" s="5">
        <v>51800000</v>
      </c>
      <c r="G1684" s="5">
        <v>54800000</v>
      </c>
      <c r="H1684" s="5">
        <f>M1684*26000*1.20565</f>
        <v>53446464.500000007</v>
      </c>
      <c r="I1684" s="5">
        <f>G1684-H1684</f>
        <v>1353535.4999999925</v>
      </c>
      <c r="J1684" s="5">
        <v>3000000</v>
      </c>
      <c r="K1684" s="5">
        <v>5180000</v>
      </c>
      <c r="L1684" s="5">
        <v>5480000</v>
      </c>
      <c r="M1684" s="7">
        <v>1705</v>
      </c>
      <c r="N1684" s="5">
        <v>52300000</v>
      </c>
      <c r="O1684" s="5">
        <v>55300000</v>
      </c>
      <c r="P1684" s="3">
        <v>0.97916666666666663</v>
      </c>
    </row>
    <row r="1685" spans="1:16" x14ac:dyDescent="0.25">
      <c r="A1685" t="s">
        <v>1036</v>
      </c>
      <c r="B1685" s="2">
        <v>44818</v>
      </c>
      <c r="C1685" t="str">
        <f>TEXT(B1685,"mm")</f>
        <v>09</v>
      </c>
      <c r="D1685" t="s">
        <v>19</v>
      </c>
      <c r="E1685" t="s">
        <v>1636</v>
      </c>
      <c r="F1685" s="5">
        <v>51500000</v>
      </c>
      <c r="G1685" s="5">
        <v>54500000</v>
      </c>
      <c r="H1685" s="5">
        <f>M1685*26000*1.20565</f>
        <v>53180015.850000001</v>
      </c>
      <c r="I1685" s="5">
        <f>G1685-H1685</f>
        <v>1319984.1499999985</v>
      </c>
      <c r="J1685" s="5">
        <v>3000000</v>
      </c>
      <c r="K1685" s="5">
        <v>5150000</v>
      </c>
      <c r="L1685" s="5">
        <v>5450000</v>
      </c>
      <c r="M1685" s="7">
        <v>1696.5</v>
      </c>
      <c r="N1685" s="5">
        <v>52000000</v>
      </c>
      <c r="O1685" s="5">
        <v>55000000</v>
      </c>
      <c r="P1685" s="3">
        <v>0.97916666666666663</v>
      </c>
    </row>
    <row r="1686" spans="1:16" x14ac:dyDescent="0.25">
      <c r="A1686" t="s">
        <v>1037</v>
      </c>
      <c r="B1686" s="2">
        <v>44819</v>
      </c>
      <c r="C1686" t="str">
        <f>TEXT(B1686,"mm")</f>
        <v>09</v>
      </c>
      <c r="D1686" t="s">
        <v>20</v>
      </c>
      <c r="E1686" t="s">
        <v>1636</v>
      </c>
      <c r="F1686" s="5">
        <v>50500000</v>
      </c>
      <c r="G1686" s="5">
        <v>53500000</v>
      </c>
      <c r="H1686" s="5">
        <f>M1686*26000*1.20565</f>
        <v>52205127.260000005</v>
      </c>
      <c r="I1686" s="5">
        <f>G1686-H1686</f>
        <v>1294872.7399999946</v>
      </c>
      <c r="J1686" s="5">
        <v>3000000</v>
      </c>
      <c r="K1686" s="5">
        <v>5050000</v>
      </c>
      <c r="L1686" s="5">
        <v>5350000</v>
      </c>
      <c r="M1686" s="7">
        <v>1665.4</v>
      </c>
      <c r="N1686" s="5">
        <v>51000000</v>
      </c>
      <c r="O1686" s="5">
        <v>54000000</v>
      </c>
      <c r="P1686" s="3">
        <v>0.97916666666666663</v>
      </c>
    </row>
    <row r="1687" spans="1:16" x14ac:dyDescent="0.25">
      <c r="A1687" t="s">
        <v>1038</v>
      </c>
      <c r="B1687" s="2">
        <v>44820</v>
      </c>
      <c r="C1687" t="str">
        <f>TEXT(B1687,"mm")</f>
        <v>09</v>
      </c>
      <c r="D1687" t="s">
        <v>21</v>
      </c>
      <c r="E1687" t="s">
        <v>1636</v>
      </c>
      <c r="F1687" s="5">
        <v>50700000</v>
      </c>
      <c r="G1687" s="5">
        <v>53700000</v>
      </c>
      <c r="H1687" s="5">
        <f>M1687*26000*1.20565</f>
        <v>52402612.730000004</v>
      </c>
      <c r="I1687" s="5">
        <f>G1687-H1687</f>
        <v>1297387.2699999958</v>
      </c>
      <c r="J1687" s="5">
        <v>3000000</v>
      </c>
      <c r="K1687" s="5">
        <v>5070000</v>
      </c>
      <c r="L1687" s="5">
        <v>5370000</v>
      </c>
      <c r="M1687" s="7">
        <v>1671.7</v>
      </c>
      <c r="N1687" s="5">
        <v>51200000</v>
      </c>
      <c r="O1687" s="5">
        <v>54200000</v>
      </c>
      <c r="P1687" s="3">
        <v>0.97916666666666663</v>
      </c>
    </row>
    <row r="1688" spans="1:16" x14ac:dyDescent="0.25">
      <c r="A1688" t="s">
        <v>1039</v>
      </c>
      <c r="B1688" s="2">
        <v>44823</v>
      </c>
      <c r="C1688" t="str">
        <f>TEXT(B1688,"mm")</f>
        <v>09</v>
      </c>
      <c r="D1688" t="s">
        <v>16</v>
      </c>
      <c r="E1688" t="s">
        <v>1636</v>
      </c>
      <c r="F1688" s="5">
        <v>50500000</v>
      </c>
      <c r="G1688" s="5">
        <v>53500000</v>
      </c>
      <c r="H1688" s="5">
        <f>M1688*26000*1.20565</f>
        <v>52230204.780000001</v>
      </c>
      <c r="I1688" s="5">
        <f>G1688-H1688</f>
        <v>1269795.2199999988</v>
      </c>
      <c r="J1688" s="5">
        <v>3000000</v>
      </c>
      <c r="K1688" s="5">
        <v>5050000</v>
      </c>
      <c r="L1688" s="5">
        <v>5350000</v>
      </c>
      <c r="M1688" s="7">
        <v>1666.2</v>
      </c>
      <c r="N1688" s="5">
        <v>51000000</v>
      </c>
      <c r="O1688" s="5">
        <v>54000000</v>
      </c>
      <c r="P1688" s="3">
        <v>0.97916666666666663</v>
      </c>
    </row>
    <row r="1689" spans="1:16" x14ac:dyDescent="0.25">
      <c r="A1689" t="s">
        <v>1040</v>
      </c>
      <c r="B1689" s="2">
        <v>44824</v>
      </c>
      <c r="C1689" t="str">
        <f>TEXT(B1689,"mm")</f>
        <v>09</v>
      </c>
      <c r="D1689" t="s">
        <v>18</v>
      </c>
      <c r="E1689" t="s">
        <v>1636</v>
      </c>
      <c r="F1689" s="5">
        <v>50300000</v>
      </c>
      <c r="G1689" s="5">
        <v>53300000</v>
      </c>
      <c r="H1689" s="5">
        <f>M1689*26000*1.20565</f>
        <v>52026449.930000007</v>
      </c>
      <c r="I1689" s="5">
        <f>G1689-H1689</f>
        <v>1273550.0699999928</v>
      </c>
      <c r="J1689" s="5">
        <v>3000000</v>
      </c>
      <c r="K1689" s="5">
        <v>5030000</v>
      </c>
      <c r="L1689" s="5">
        <v>5330000</v>
      </c>
      <c r="M1689" s="7">
        <v>1659.7</v>
      </c>
      <c r="N1689" s="5">
        <v>50800000</v>
      </c>
      <c r="O1689" s="5">
        <v>53800000</v>
      </c>
      <c r="P1689" s="3">
        <v>0.97916666666666663</v>
      </c>
    </row>
    <row r="1690" spans="1:16" x14ac:dyDescent="0.25">
      <c r="A1690" t="s">
        <v>1041</v>
      </c>
      <c r="B1690" s="2">
        <v>44825</v>
      </c>
      <c r="C1690" t="str">
        <f>TEXT(B1690,"mm")</f>
        <v>09</v>
      </c>
      <c r="D1690" t="s">
        <v>19</v>
      </c>
      <c r="E1690" t="s">
        <v>1636</v>
      </c>
      <c r="F1690" s="5">
        <v>50500000</v>
      </c>
      <c r="G1690" s="5">
        <v>53500000</v>
      </c>
      <c r="H1690" s="5">
        <f>M1690*26000*1.20565</f>
        <v>52180049.740000002</v>
      </c>
      <c r="I1690" s="5">
        <f>G1690-H1690</f>
        <v>1319950.2599999979</v>
      </c>
      <c r="J1690" s="5">
        <v>3000000</v>
      </c>
      <c r="K1690" s="5">
        <v>5050000</v>
      </c>
      <c r="L1690" s="5">
        <v>5350000</v>
      </c>
      <c r="M1690" s="7">
        <v>1664.6</v>
      </c>
      <c r="N1690" s="5">
        <v>51000000</v>
      </c>
      <c r="O1690" s="5">
        <v>54000000</v>
      </c>
      <c r="P1690" s="3">
        <v>0.97916666666666663</v>
      </c>
    </row>
    <row r="1691" spans="1:16" x14ac:dyDescent="0.25">
      <c r="A1691" t="s">
        <v>1042</v>
      </c>
      <c r="B1691" s="2">
        <v>44826</v>
      </c>
      <c r="C1691" t="str">
        <f>TEXT(B1691,"mm")</f>
        <v>09</v>
      </c>
      <c r="D1691" t="s">
        <v>20</v>
      </c>
      <c r="E1691" t="s">
        <v>1636</v>
      </c>
      <c r="F1691" s="5">
        <v>50700000</v>
      </c>
      <c r="G1691" s="5">
        <v>53700000</v>
      </c>
      <c r="H1691" s="5">
        <f>M1691*26000*1.20565</f>
        <v>52374400.520000003</v>
      </c>
      <c r="I1691" s="5">
        <f>G1691-H1691</f>
        <v>1325599.4799999967</v>
      </c>
      <c r="J1691" s="5">
        <v>3000000</v>
      </c>
      <c r="K1691" s="5">
        <v>5070000</v>
      </c>
      <c r="L1691" s="5">
        <v>5370000</v>
      </c>
      <c r="M1691" s="7">
        <v>1670.8</v>
      </c>
      <c r="N1691" s="5">
        <v>51200000</v>
      </c>
      <c r="O1691" s="5">
        <v>54200000</v>
      </c>
      <c r="P1691" s="3">
        <v>0.97916666666666663</v>
      </c>
    </row>
    <row r="1692" spans="1:16" x14ac:dyDescent="0.25">
      <c r="A1692" t="s">
        <v>1043</v>
      </c>
      <c r="B1692" s="2">
        <v>44827</v>
      </c>
      <c r="C1692" t="str">
        <f>TEXT(B1692,"mm")</f>
        <v>09</v>
      </c>
      <c r="D1692" t="s">
        <v>21</v>
      </c>
      <c r="E1692" t="s">
        <v>1636</v>
      </c>
      <c r="F1692" s="5">
        <v>49900000</v>
      </c>
      <c r="G1692" s="5">
        <v>52900000</v>
      </c>
      <c r="H1692" s="5">
        <f>M1692*26000*1.20565</f>
        <v>51575054.570000008</v>
      </c>
      <c r="I1692" s="5">
        <f>G1692-H1692</f>
        <v>1324945.4299999923</v>
      </c>
      <c r="J1692" s="5">
        <v>3000000</v>
      </c>
      <c r="K1692" s="5">
        <v>4990000</v>
      </c>
      <c r="L1692" s="5">
        <v>5290000</v>
      </c>
      <c r="M1692" s="7">
        <v>1645.3</v>
      </c>
      <c r="N1692" s="5">
        <v>50400000</v>
      </c>
      <c r="O1692" s="5">
        <v>53400000</v>
      </c>
      <c r="P1692" s="3">
        <v>0.97916666666666663</v>
      </c>
    </row>
    <row r="1693" spans="1:16" x14ac:dyDescent="0.25">
      <c r="A1693" t="s">
        <v>1044</v>
      </c>
      <c r="B1693" s="2">
        <v>44830</v>
      </c>
      <c r="C1693" t="str">
        <f>TEXT(B1693,"mm")</f>
        <v>09</v>
      </c>
      <c r="D1693" t="s">
        <v>16</v>
      </c>
      <c r="E1693" t="s">
        <v>1636</v>
      </c>
      <c r="F1693" s="5">
        <v>49200000</v>
      </c>
      <c r="G1693" s="5">
        <v>52200000</v>
      </c>
      <c r="H1693" s="5">
        <f>M1693*26000*1.20565</f>
        <v>50885422.770000003</v>
      </c>
      <c r="I1693" s="5">
        <f>G1693-H1693</f>
        <v>1314577.2299999967</v>
      </c>
      <c r="J1693" s="5">
        <v>3000000</v>
      </c>
      <c r="K1693" s="5">
        <v>4920000</v>
      </c>
      <c r="L1693" s="5">
        <v>5220000</v>
      </c>
      <c r="M1693" s="7">
        <v>1623.3</v>
      </c>
      <c r="N1693" s="5">
        <v>49700000</v>
      </c>
      <c r="O1693" s="5">
        <v>52700000</v>
      </c>
      <c r="P1693" s="3">
        <v>0.97916666666666663</v>
      </c>
    </row>
    <row r="1694" spans="1:16" x14ac:dyDescent="0.25">
      <c r="A1694" t="s">
        <v>1045</v>
      </c>
      <c r="B1694" s="2">
        <v>44831</v>
      </c>
      <c r="C1694" t="str">
        <f>TEXT(B1694,"mm")</f>
        <v>09</v>
      </c>
      <c r="D1694" t="s">
        <v>18</v>
      </c>
      <c r="E1694" t="s">
        <v>1636</v>
      </c>
      <c r="F1694" s="5">
        <v>49300000</v>
      </c>
      <c r="G1694" s="5">
        <v>52300000</v>
      </c>
      <c r="H1694" s="5">
        <f>M1694*26000*1.20565</f>
        <v>50992002.230000004</v>
      </c>
      <c r="I1694" s="5">
        <f>G1694-H1694</f>
        <v>1307997.7699999958</v>
      </c>
      <c r="J1694" s="5">
        <v>3000000</v>
      </c>
      <c r="K1694" s="5">
        <v>4930000</v>
      </c>
      <c r="L1694" s="5">
        <v>5230000</v>
      </c>
      <c r="M1694" s="7">
        <v>1626.7</v>
      </c>
      <c r="N1694" s="5">
        <v>49800000</v>
      </c>
      <c r="O1694" s="5">
        <v>52800000</v>
      </c>
      <c r="P1694" s="3">
        <v>0.97916666666666663</v>
      </c>
    </row>
    <row r="1695" spans="1:16" x14ac:dyDescent="0.25">
      <c r="A1695" t="s">
        <v>1046</v>
      </c>
      <c r="B1695" s="2">
        <v>44832</v>
      </c>
      <c r="C1695" t="str">
        <f>TEXT(B1695,"mm")</f>
        <v>09</v>
      </c>
      <c r="D1695" t="s">
        <v>19</v>
      </c>
      <c r="E1695" t="s">
        <v>1636</v>
      </c>
      <c r="F1695" s="5">
        <v>50400000</v>
      </c>
      <c r="G1695" s="5">
        <v>53400000</v>
      </c>
      <c r="H1695" s="5">
        <f>M1695*26000*1.20565</f>
        <v>52048392.760000005</v>
      </c>
      <c r="I1695" s="5">
        <f>G1695-H1695</f>
        <v>1351607.2399999946</v>
      </c>
      <c r="J1695" s="5">
        <v>3000000</v>
      </c>
      <c r="K1695" s="5">
        <v>5040000</v>
      </c>
      <c r="L1695" s="5">
        <v>5340000</v>
      </c>
      <c r="M1695" s="7">
        <v>1660.4</v>
      </c>
      <c r="N1695" s="5">
        <v>50900000</v>
      </c>
      <c r="O1695" s="5">
        <v>53900000</v>
      </c>
      <c r="P1695" s="3">
        <v>0.97916666666666663</v>
      </c>
    </row>
    <row r="1696" spans="1:16" x14ac:dyDescent="0.25">
      <c r="A1696" t="s">
        <v>1047</v>
      </c>
      <c r="B1696" s="2">
        <v>44833</v>
      </c>
      <c r="C1696" t="str">
        <f>TEXT(B1696,"mm")</f>
        <v>09</v>
      </c>
      <c r="D1696" t="s">
        <v>20</v>
      </c>
      <c r="E1696" t="s">
        <v>1636</v>
      </c>
      <c r="F1696" s="5">
        <v>50300000</v>
      </c>
      <c r="G1696" s="5">
        <v>53300000</v>
      </c>
      <c r="H1696" s="5">
        <f>M1696*26000*1.20565</f>
        <v>51988833.650000006</v>
      </c>
      <c r="I1696" s="5">
        <f>G1696-H1696</f>
        <v>1311166.349999994</v>
      </c>
      <c r="J1696" s="5">
        <v>3000000</v>
      </c>
      <c r="K1696" s="5">
        <v>5030000</v>
      </c>
      <c r="L1696" s="5">
        <v>5330000</v>
      </c>
      <c r="M1696" s="7">
        <v>1658.5</v>
      </c>
      <c r="N1696" s="5">
        <v>50800000</v>
      </c>
      <c r="O1696" s="5">
        <v>53800000</v>
      </c>
      <c r="P1696" s="3">
        <v>0.97916666666666663</v>
      </c>
    </row>
    <row r="1697" spans="1:16" x14ac:dyDescent="0.25">
      <c r="A1697" t="s">
        <v>1048</v>
      </c>
      <c r="B1697" s="2">
        <v>44834</v>
      </c>
      <c r="C1697" t="str">
        <f>TEXT(B1697,"mm")</f>
        <v>09</v>
      </c>
      <c r="D1697" t="s">
        <v>21</v>
      </c>
      <c r="E1697" t="s">
        <v>1636</v>
      </c>
      <c r="F1697" s="5">
        <v>50400000</v>
      </c>
      <c r="G1697" s="5">
        <v>53400000</v>
      </c>
      <c r="H1697" s="5">
        <f>M1697*26000*1.20565</f>
        <v>52111086.560000002</v>
      </c>
      <c r="I1697" s="5">
        <f>G1697-H1697</f>
        <v>1288913.4399999976</v>
      </c>
      <c r="J1697" s="5">
        <v>3000000</v>
      </c>
      <c r="K1697" s="5">
        <v>5040000</v>
      </c>
      <c r="L1697" s="5">
        <v>5340000</v>
      </c>
      <c r="M1697" s="7">
        <v>1662.4</v>
      </c>
      <c r="N1697" s="5">
        <v>50900000</v>
      </c>
      <c r="O1697" s="5">
        <v>53900000</v>
      </c>
      <c r="P1697" s="3">
        <v>0.97916666666666663</v>
      </c>
    </row>
    <row r="1698" spans="1:16" x14ac:dyDescent="0.25">
      <c r="A1698" s="2">
        <v>44630</v>
      </c>
      <c r="B1698" s="2">
        <v>44837</v>
      </c>
      <c r="C1698" t="str">
        <f>TEXT(B1698,"mm")</f>
        <v>10</v>
      </c>
      <c r="D1698" t="s">
        <v>16</v>
      </c>
      <c r="E1698" t="s">
        <v>1636</v>
      </c>
      <c r="F1698" s="5">
        <v>51400000</v>
      </c>
      <c r="G1698" s="5">
        <v>54400000</v>
      </c>
      <c r="H1698" s="5">
        <f>M1698*26000*1.20565</f>
        <v>53067167.010000005</v>
      </c>
      <c r="I1698" s="5">
        <f>G1698-H1698</f>
        <v>1332832.9899999946</v>
      </c>
      <c r="J1698" s="5">
        <v>3000000</v>
      </c>
      <c r="K1698" s="5">
        <v>5140000</v>
      </c>
      <c r="L1698" s="5">
        <v>5440000</v>
      </c>
      <c r="M1698" s="7">
        <v>1692.9</v>
      </c>
      <c r="N1698" s="5">
        <v>51900000</v>
      </c>
      <c r="O1698" s="5">
        <v>54900000</v>
      </c>
      <c r="P1698" s="3">
        <v>0.97916666666666663</v>
      </c>
    </row>
    <row r="1699" spans="1:16" x14ac:dyDescent="0.25">
      <c r="A1699" s="2">
        <v>44661</v>
      </c>
      <c r="B1699" s="2">
        <v>44838</v>
      </c>
      <c r="C1699" t="str">
        <f>TEXT(B1699,"mm")</f>
        <v>10</v>
      </c>
      <c r="D1699" t="s">
        <v>18</v>
      </c>
      <c r="E1699" t="s">
        <v>1636</v>
      </c>
      <c r="F1699" s="5">
        <v>52300000</v>
      </c>
      <c r="G1699" s="5">
        <v>55300000</v>
      </c>
      <c r="H1699" s="5">
        <f>M1699*26000*1.20565</f>
        <v>53951149.590000004</v>
      </c>
      <c r="I1699" s="5">
        <f>G1699-H1699</f>
        <v>1348850.4099999964</v>
      </c>
      <c r="J1699" s="5">
        <v>3000000</v>
      </c>
      <c r="K1699" s="5">
        <v>5230000</v>
      </c>
      <c r="L1699" s="5">
        <v>5530000</v>
      </c>
      <c r="M1699" s="7">
        <v>1721.1</v>
      </c>
      <c r="N1699" s="5">
        <v>52800000</v>
      </c>
      <c r="O1699" s="5">
        <v>55800000</v>
      </c>
      <c r="P1699" s="3">
        <v>0.97916666666666663</v>
      </c>
    </row>
    <row r="1700" spans="1:16" x14ac:dyDescent="0.25">
      <c r="A1700" s="2">
        <v>44691</v>
      </c>
      <c r="B1700" s="2">
        <v>44839</v>
      </c>
      <c r="C1700" t="str">
        <f>TEXT(B1700,"mm")</f>
        <v>10</v>
      </c>
      <c r="D1700" t="s">
        <v>19</v>
      </c>
      <c r="E1700" t="s">
        <v>1636</v>
      </c>
      <c r="F1700" s="5">
        <v>52000000</v>
      </c>
      <c r="G1700" s="5">
        <v>55000000</v>
      </c>
      <c r="H1700" s="5">
        <f>M1700*26000*1.20565</f>
        <v>53647084.660000004</v>
      </c>
      <c r="I1700" s="5">
        <f>G1700-H1700</f>
        <v>1352915.3399999961</v>
      </c>
      <c r="J1700" s="5">
        <v>3000000</v>
      </c>
      <c r="K1700" s="5">
        <v>5200000</v>
      </c>
      <c r="L1700" s="5">
        <v>5500000</v>
      </c>
      <c r="M1700" s="7">
        <v>1711.4</v>
      </c>
      <c r="N1700" s="5">
        <v>52500000</v>
      </c>
      <c r="O1700" s="5">
        <v>55500000</v>
      </c>
      <c r="P1700" s="3">
        <v>0.97916666666666663</v>
      </c>
    </row>
    <row r="1701" spans="1:16" x14ac:dyDescent="0.25">
      <c r="A1701" s="2">
        <v>44722</v>
      </c>
      <c r="B1701" s="2">
        <v>44840</v>
      </c>
      <c r="C1701" t="str">
        <f>TEXT(B1701,"mm")</f>
        <v>10</v>
      </c>
      <c r="D1701" t="s">
        <v>20</v>
      </c>
      <c r="E1701" t="s">
        <v>1636</v>
      </c>
      <c r="F1701" s="5">
        <v>52000000</v>
      </c>
      <c r="G1701" s="5">
        <v>55000000</v>
      </c>
      <c r="H1701" s="5">
        <f>M1701*26000*1.20565</f>
        <v>53656488.730000004</v>
      </c>
      <c r="I1701" s="5">
        <f>G1701-H1701</f>
        <v>1343511.2699999958</v>
      </c>
      <c r="J1701" s="5">
        <v>3000000</v>
      </c>
      <c r="K1701" s="5">
        <v>5200000</v>
      </c>
      <c r="L1701" s="5">
        <v>5500000</v>
      </c>
      <c r="M1701" s="7">
        <v>1711.7</v>
      </c>
      <c r="N1701" s="5">
        <v>52500000</v>
      </c>
      <c r="O1701" s="5">
        <v>55500000</v>
      </c>
      <c r="P1701" s="3">
        <v>0.97916666666666663</v>
      </c>
    </row>
    <row r="1702" spans="1:16" x14ac:dyDescent="0.25">
      <c r="A1702" s="2">
        <v>44752</v>
      </c>
      <c r="B1702" s="2">
        <v>44841</v>
      </c>
      <c r="C1702" t="str">
        <f>TEXT(B1702,"mm")</f>
        <v>10</v>
      </c>
      <c r="D1702" t="s">
        <v>21</v>
      </c>
      <c r="E1702" t="s">
        <v>1636</v>
      </c>
      <c r="F1702" s="5">
        <v>51700000</v>
      </c>
      <c r="G1702" s="5">
        <v>54700000</v>
      </c>
      <c r="H1702" s="5">
        <f>M1702*26000*1.20565</f>
        <v>53305403.450000003</v>
      </c>
      <c r="I1702" s="5">
        <f>G1702-H1702</f>
        <v>1394596.549999997</v>
      </c>
      <c r="J1702" s="5">
        <v>3000000</v>
      </c>
      <c r="K1702" s="5">
        <v>5170000</v>
      </c>
      <c r="L1702" s="5">
        <v>5470000</v>
      </c>
      <c r="M1702" s="7">
        <v>1700.5</v>
      </c>
      <c r="N1702" s="5">
        <v>52200000</v>
      </c>
      <c r="O1702" s="5">
        <v>55200000</v>
      </c>
      <c r="P1702" s="3">
        <v>0.97916666666666663</v>
      </c>
    </row>
    <row r="1703" spans="1:16" x14ac:dyDescent="0.25">
      <c r="A1703" s="2">
        <v>44844</v>
      </c>
      <c r="B1703" s="2">
        <v>44844</v>
      </c>
      <c r="C1703" t="str">
        <f>TEXT(B1703,"mm")</f>
        <v>10</v>
      </c>
      <c r="D1703" t="s">
        <v>16</v>
      </c>
      <c r="E1703" t="s">
        <v>1636</v>
      </c>
      <c r="F1703" s="5">
        <v>50600000</v>
      </c>
      <c r="G1703" s="5">
        <v>53600000</v>
      </c>
      <c r="H1703" s="5">
        <f>M1703*26000*1.20565</f>
        <v>52264686.370000005</v>
      </c>
      <c r="I1703" s="5">
        <f>G1703-H1703</f>
        <v>1335313.6299999952</v>
      </c>
      <c r="J1703" s="5">
        <v>3000000</v>
      </c>
      <c r="K1703" s="5">
        <v>5060000</v>
      </c>
      <c r="L1703" s="5">
        <v>5360000</v>
      </c>
      <c r="M1703" s="7">
        <v>1667.3</v>
      </c>
      <c r="N1703" s="5">
        <v>51100000</v>
      </c>
      <c r="O1703" s="5">
        <v>54100000</v>
      </c>
      <c r="P1703" s="3">
        <v>0.97916666666666663</v>
      </c>
    </row>
    <row r="1704" spans="1:16" x14ac:dyDescent="0.25">
      <c r="A1704" s="2">
        <v>44875</v>
      </c>
      <c r="B1704" s="2">
        <v>44845</v>
      </c>
      <c r="C1704" t="str">
        <f>TEXT(B1704,"mm")</f>
        <v>10</v>
      </c>
      <c r="D1704" t="s">
        <v>18</v>
      </c>
      <c r="E1704" t="s">
        <v>1636</v>
      </c>
      <c r="F1704" s="5">
        <v>50900000</v>
      </c>
      <c r="G1704" s="5">
        <v>53900000</v>
      </c>
      <c r="H1704" s="5">
        <f>M1704*26000*1.20565</f>
        <v>52622041.030000001</v>
      </c>
      <c r="I1704" s="5">
        <f>G1704-H1704</f>
        <v>1277958.9699999988</v>
      </c>
      <c r="J1704" s="5">
        <v>3000000</v>
      </c>
      <c r="K1704" s="5">
        <v>5090000</v>
      </c>
      <c r="L1704" s="5">
        <v>5390000</v>
      </c>
      <c r="M1704" s="7">
        <v>1678.7</v>
      </c>
      <c r="N1704" s="5">
        <v>51400000</v>
      </c>
      <c r="O1704" s="5">
        <v>54400000</v>
      </c>
      <c r="P1704" s="3">
        <v>0.97916666666666663</v>
      </c>
    </row>
    <row r="1705" spans="1:16" x14ac:dyDescent="0.25">
      <c r="A1705" s="2">
        <v>44905</v>
      </c>
      <c r="B1705" s="2">
        <v>44846</v>
      </c>
      <c r="C1705" t="str">
        <f>TEXT(B1705,"mm")</f>
        <v>10</v>
      </c>
      <c r="D1705" t="s">
        <v>19</v>
      </c>
      <c r="E1705" t="s">
        <v>1636</v>
      </c>
      <c r="F1705" s="5">
        <v>50700000</v>
      </c>
      <c r="G1705" s="5">
        <v>53700000</v>
      </c>
      <c r="H1705" s="5">
        <f>M1705*26000*1.20565</f>
        <v>52358727.070000008</v>
      </c>
      <c r="I1705" s="5">
        <f>G1705-H1705</f>
        <v>1341272.9299999923</v>
      </c>
      <c r="J1705" s="5">
        <v>3000000</v>
      </c>
      <c r="K1705" s="5">
        <v>5070000</v>
      </c>
      <c r="L1705" s="5">
        <v>5370000</v>
      </c>
      <c r="M1705" s="7">
        <v>1670.3</v>
      </c>
      <c r="N1705" s="5">
        <v>51200000</v>
      </c>
      <c r="O1705" s="5">
        <v>54200000</v>
      </c>
      <c r="P1705" s="3">
        <v>0.97916666666666663</v>
      </c>
    </row>
    <row r="1706" spans="1:16" x14ac:dyDescent="0.25">
      <c r="A1706" t="s">
        <v>1049</v>
      </c>
      <c r="B1706" s="2">
        <v>44847</v>
      </c>
      <c r="C1706" t="str">
        <f>TEXT(B1706,"mm")</f>
        <v>10</v>
      </c>
      <c r="D1706" t="s">
        <v>20</v>
      </c>
      <c r="E1706" t="s">
        <v>1636</v>
      </c>
      <c r="F1706" s="5">
        <v>50700000</v>
      </c>
      <c r="G1706" s="5">
        <v>53700000</v>
      </c>
      <c r="H1706" s="5">
        <f>M1706*26000*1.20565</f>
        <v>52349323.000000007</v>
      </c>
      <c r="I1706" s="5">
        <f>G1706-H1706</f>
        <v>1350676.9999999925</v>
      </c>
      <c r="J1706" s="5">
        <v>3000000</v>
      </c>
      <c r="K1706" s="5">
        <v>5070000</v>
      </c>
      <c r="L1706" s="5">
        <v>5370000</v>
      </c>
      <c r="M1706" s="7">
        <v>1670</v>
      </c>
      <c r="N1706" s="5">
        <v>51200000</v>
      </c>
      <c r="O1706" s="5">
        <v>54200000</v>
      </c>
      <c r="P1706" s="3">
        <v>0.97916666666666663</v>
      </c>
    </row>
    <row r="1707" spans="1:16" x14ac:dyDescent="0.25">
      <c r="A1707" t="s">
        <v>1050</v>
      </c>
      <c r="B1707" s="2">
        <v>44848</v>
      </c>
      <c r="C1707" t="str">
        <f>TEXT(B1707,"mm")</f>
        <v>10</v>
      </c>
      <c r="D1707" t="s">
        <v>21</v>
      </c>
      <c r="E1707" t="s">
        <v>1636</v>
      </c>
      <c r="F1707" s="5">
        <v>49800000</v>
      </c>
      <c r="G1707" s="5">
        <v>52800000</v>
      </c>
      <c r="H1707" s="5">
        <f>M1707*26000*1.20565</f>
        <v>51462205.730000004</v>
      </c>
      <c r="I1707" s="5">
        <f>G1707-H1707</f>
        <v>1337794.2699999958</v>
      </c>
      <c r="J1707" s="5">
        <v>3000000</v>
      </c>
      <c r="K1707" s="5">
        <v>4980000</v>
      </c>
      <c r="L1707" s="5">
        <v>5280000</v>
      </c>
      <c r="M1707" s="7">
        <v>1641.7</v>
      </c>
      <c r="N1707" s="5">
        <v>50300000</v>
      </c>
      <c r="O1707" s="5">
        <v>53300000</v>
      </c>
      <c r="P1707" s="3">
        <v>0.97916666666666663</v>
      </c>
    </row>
    <row r="1708" spans="1:16" x14ac:dyDescent="0.25">
      <c r="A1708" t="s">
        <v>1051</v>
      </c>
      <c r="B1708" s="2">
        <v>44851</v>
      </c>
      <c r="C1708" t="str">
        <f>TEXT(B1708,"mm")</f>
        <v>10</v>
      </c>
      <c r="D1708" t="s">
        <v>16</v>
      </c>
      <c r="E1708" t="s">
        <v>1636</v>
      </c>
      <c r="F1708" s="5">
        <v>50300000</v>
      </c>
      <c r="G1708" s="5">
        <v>53300000</v>
      </c>
      <c r="H1708" s="5">
        <f>M1708*26000*1.20565</f>
        <v>51941813.300000004</v>
      </c>
      <c r="I1708" s="5">
        <f>G1708-H1708</f>
        <v>1358186.6999999955</v>
      </c>
      <c r="J1708" s="5">
        <v>3000000</v>
      </c>
      <c r="K1708" s="5">
        <v>5030000</v>
      </c>
      <c r="L1708" s="5">
        <v>5330000</v>
      </c>
      <c r="M1708" s="7">
        <v>1657</v>
      </c>
      <c r="N1708" s="5">
        <v>50800000</v>
      </c>
      <c r="O1708" s="5">
        <v>53800000</v>
      </c>
      <c r="P1708" s="3">
        <v>0.97916666666666663</v>
      </c>
    </row>
    <row r="1709" spans="1:16" x14ac:dyDescent="0.25">
      <c r="A1709" t="s">
        <v>1052</v>
      </c>
      <c r="B1709" s="2">
        <v>44852</v>
      </c>
      <c r="C1709" t="str">
        <f>TEXT(B1709,"mm")</f>
        <v>10</v>
      </c>
      <c r="D1709" t="s">
        <v>18</v>
      </c>
      <c r="E1709" t="s">
        <v>1636</v>
      </c>
      <c r="F1709" s="5">
        <v>50000000</v>
      </c>
      <c r="G1709" s="5">
        <v>53000000</v>
      </c>
      <c r="H1709" s="5">
        <f>M1709*26000*1.20565</f>
        <v>51691038.100000001</v>
      </c>
      <c r="I1709" s="5">
        <f>G1709-H1709</f>
        <v>1308961.8999999985</v>
      </c>
      <c r="J1709" s="5">
        <v>3000000</v>
      </c>
      <c r="K1709" s="5">
        <v>5000000</v>
      </c>
      <c r="L1709" s="5">
        <v>5300000</v>
      </c>
      <c r="M1709" s="7">
        <v>1649</v>
      </c>
      <c r="N1709" s="5">
        <v>50500000</v>
      </c>
      <c r="O1709" s="5">
        <v>53500000</v>
      </c>
      <c r="P1709" s="3">
        <v>0.97916666666666663</v>
      </c>
    </row>
    <row r="1710" spans="1:16" x14ac:dyDescent="0.25">
      <c r="A1710" t="s">
        <v>1053</v>
      </c>
      <c r="B1710" s="2">
        <v>44853</v>
      </c>
      <c r="C1710" t="str">
        <f>TEXT(B1710,"mm")</f>
        <v>10</v>
      </c>
      <c r="D1710" t="s">
        <v>19</v>
      </c>
      <c r="E1710" t="s">
        <v>1636</v>
      </c>
      <c r="F1710" s="5">
        <v>49300000</v>
      </c>
      <c r="G1710" s="5">
        <v>52300000</v>
      </c>
      <c r="H1710" s="5">
        <f>M1710*26000*1.20565</f>
        <v>51017079.750000007</v>
      </c>
      <c r="I1710" s="5">
        <f>G1710-H1710</f>
        <v>1282920.2499999925</v>
      </c>
      <c r="J1710" s="5">
        <v>3000000</v>
      </c>
      <c r="K1710" s="5">
        <v>4930000</v>
      </c>
      <c r="L1710" s="5">
        <v>5230000</v>
      </c>
      <c r="M1710" s="7">
        <v>1627.5</v>
      </c>
      <c r="N1710" s="5">
        <v>49800000</v>
      </c>
      <c r="O1710" s="5">
        <v>52800000</v>
      </c>
      <c r="P1710" s="3">
        <v>0.97916666666666663</v>
      </c>
    </row>
    <row r="1711" spans="1:16" x14ac:dyDescent="0.25">
      <c r="A1711" t="s">
        <v>1054</v>
      </c>
      <c r="B1711" s="2">
        <v>44854</v>
      </c>
      <c r="C1711" t="str">
        <f>TEXT(B1711,"mm")</f>
        <v>10</v>
      </c>
      <c r="D1711" t="s">
        <v>20</v>
      </c>
      <c r="E1711" t="s">
        <v>1636</v>
      </c>
      <c r="F1711" s="5">
        <v>49400000</v>
      </c>
      <c r="G1711" s="5">
        <v>52400000</v>
      </c>
      <c r="H1711" s="5">
        <f>M1711*26000*1.20565</f>
        <v>51120524.520000003</v>
      </c>
      <c r="I1711" s="5">
        <f>G1711-H1711</f>
        <v>1279475.4799999967</v>
      </c>
      <c r="J1711" s="5">
        <v>3000000</v>
      </c>
      <c r="K1711" s="5">
        <v>4940000</v>
      </c>
      <c r="L1711" s="5">
        <v>5240000</v>
      </c>
      <c r="M1711" s="7">
        <v>1630.8</v>
      </c>
      <c r="N1711" s="5">
        <v>49900000</v>
      </c>
      <c r="O1711" s="5">
        <v>52900000</v>
      </c>
      <c r="P1711" s="3">
        <v>0.97916666666666663</v>
      </c>
    </row>
    <row r="1712" spans="1:16" x14ac:dyDescent="0.25">
      <c r="A1712" t="s">
        <v>1055</v>
      </c>
      <c r="B1712" s="2">
        <v>44855</v>
      </c>
      <c r="C1712" t="str">
        <f>TEXT(B1712,"mm")</f>
        <v>10</v>
      </c>
      <c r="D1712" t="s">
        <v>21</v>
      </c>
      <c r="E1712" t="s">
        <v>1636</v>
      </c>
      <c r="F1712" s="5">
        <v>50100000</v>
      </c>
      <c r="G1712" s="5">
        <v>53100000</v>
      </c>
      <c r="H1712" s="5">
        <f>M1712*26000*1.20565</f>
        <v>51753731.900000006</v>
      </c>
      <c r="I1712" s="5">
        <f>G1712-H1712</f>
        <v>1346268.099999994</v>
      </c>
      <c r="J1712" s="5">
        <v>3000000</v>
      </c>
      <c r="K1712" s="5">
        <v>5010000</v>
      </c>
      <c r="L1712" s="5">
        <v>5310000</v>
      </c>
      <c r="M1712" s="7">
        <v>1651</v>
      </c>
      <c r="N1712" s="5">
        <v>50600000</v>
      </c>
      <c r="O1712" s="5">
        <v>53600000</v>
      </c>
      <c r="P1712" s="3">
        <v>0.97916666666666663</v>
      </c>
    </row>
    <row r="1713" spans="1:16" x14ac:dyDescent="0.25">
      <c r="A1713" t="s">
        <v>1056</v>
      </c>
      <c r="B1713" s="2">
        <v>44858</v>
      </c>
      <c r="C1713" t="str">
        <f>TEXT(B1713,"mm")</f>
        <v>10</v>
      </c>
      <c r="D1713" t="s">
        <v>16</v>
      </c>
      <c r="E1713" t="s">
        <v>1636</v>
      </c>
      <c r="F1713" s="5">
        <v>50000000</v>
      </c>
      <c r="G1713" s="5">
        <v>53000000</v>
      </c>
      <c r="H1713" s="5">
        <f>M1713*26000*1.20565</f>
        <v>51681634.030000001</v>
      </c>
      <c r="I1713" s="5">
        <f>G1713-H1713</f>
        <v>1318365.9699999988</v>
      </c>
      <c r="J1713" s="5">
        <v>3000000</v>
      </c>
      <c r="K1713" s="5">
        <v>5000000</v>
      </c>
      <c r="L1713" s="5">
        <v>5300000</v>
      </c>
      <c r="M1713" s="7">
        <v>1648.7</v>
      </c>
      <c r="N1713" s="5">
        <v>50500000</v>
      </c>
      <c r="O1713" s="5">
        <v>53500000</v>
      </c>
      <c r="P1713" s="3">
        <v>0.97916666666666663</v>
      </c>
    </row>
    <row r="1714" spans="1:16" x14ac:dyDescent="0.25">
      <c r="A1714" t="s">
        <v>1057</v>
      </c>
      <c r="B1714" s="2">
        <v>44859</v>
      </c>
      <c r="C1714" t="str">
        <f>TEXT(B1714,"mm")</f>
        <v>10</v>
      </c>
      <c r="D1714" t="s">
        <v>18</v>
      </c>
      <c r="E1714" t="s">
        <v>1636</v>
      </c>
      <c r="F1714" s="5">
        <v>50100000</v>
      </c>
      <c r="G1714" s="5">
        <v>53100000</v>
      </c>
      <c r="H1714" s="5">
        <f>M1714*26000*1.20565</f>
        <v>51810156.320000008</v>
      </c>
      <c r="I1714" s="5">
        <f>G1714-H1714</f>
        <v>1289843.6799999923</v>
      </c>
      <c r="J1714" s="5">
        <v>3000000</v>
      </c>
      <c r="K1714" s="5">
        <v>5010000</v>
      </c>
      <c r="L1714" s="5">
        <v>5310000</v>
      </c>
      <c r="M1714" s="7">
        <v>1652.8</v>
      </c>
      <c r="N1714" s="5">
        <v>50600000</v>
      </c>
      <c r="O1714" s="5">
        <v>53600000</v>
      </c>
      <c r="P1714" s="3">
        <v>0.97916666666666663</v>
      </c>
    </row>
    <row r="1715" spans="1:16" x14ac:dyDescent="0.25">
      <c r="A1715" t="s">
        <v>1058</v>
      </c>
      <c r="B1715" s="2">
        <v>44860</v>
      </c>
      <c r="C1715" t="str">
        <f>TEXT(B1715,"mm")</f>
        <v>10</v>
      </c>
      <c r="D1715" t="s">
        <v>19</v>
      </c>
      <c r="E1715" t="s">
        <v>1636</v>
      </c>
      <c r="F1715" s="5">
        <v>50500000</v>
      </c>
      <c r="G1715" s="5">
        <v>53500000</v>
      </c>
      <c r="H1715" s="5">
        <f>M1715*26000*1.20565</f>
        <v>52161241.600000001</v>
      </c>
      <c r="I1715" s="5">
        <f>G1715-H1715</f>
        <v>1338758.3999999985</v>
      </c>
      <c r="J1715" s="5">
        <v>3000000</v>
      </c>
      <c r="K1715" s="5">
        <v>5050000</v>
      </c>
      <c r="L1715" s="5">
        <v>5350000</v>
      </c>
      <c r="M1715" s="7">
        <v>1664</v>
      </c>
      <c r="N1715" s="5">
        <v>51000000</v>
      </c>
      <c r="O1715" s="5">
        <v>54000000</v>
      </c>
      <c r="P1715" s="3">
        <v>0.97916666666666663</v>
      </c>
    </row>
    <row r="1716" spans="1:16" x14ac:dyDescent="0.25">
      <c r="A1716" t="s">
        <v>1059</v>
      </c>
      <c r="B1716" s="2">
        <v>44861</v>
      </c>
      <c r="C1716" t="str">
        <f>TEXT(B1716,"mm")</f>
        <v>10</v>
      </c>
      <c r="D1716" t="s">
        <v>20</v>
      </c>
      <c r="E1716" t="s">
        <v>1636</v>
      </c>
      <c r="F1716" s="5">
        <v>50400000</v>
      </c>
      <c r="G1716" s="5">
        <v>53400000</v>
      </c>
      <c r="H1716" s="5">
        <f>M1716*26000*1.20565</f>
        <v>52057796.830000006</v>
      </c>
      <c r="I1716" s="5">
        <f>G1716-H1716</f>
        <v>1342203.1699999943</v>
      </c>
      <c r="J1716" s="5">
        <v>3000000</v>
      </c>
      <c r="K1716" s="5">
        <v>5040000</v>
      </c>
      <c r="L1716" s="5">
        <v>5340000</v>
      </c>
      <c r="M1716" s="7">
        <v>1660.7</v>
      </c>
      <c r="N1716" s="5">
        <v>50900000</v>
      </c>
      <c r="O1716" s="5">
        <v>53900000</v>
      </c>
      <c r="P1716" s="3">
        <v>0.97916666666666663</v>
      </c>
    </row>
    <row r="1717" spans="1:16" x14ac:dyDescent="0.25">
      <c r="A1717" t="s">
        <v>1060</v>
      </c>
      <c r="B1717" s="2">
        <v>44862</v>
      </c>
      <c r="C1717" t="str">
        <f>TEXT(B1717,"mm")</f>
        <v>10</v>
      </c>
      <c r="D1717" t="s">
        <v>21</v>
      </c>
      <c r="E1717" t="s">
        <v>1636</v>
      </c>
      <c r="F1717" s="5">
        <v>49700000</v>
      </c>
      <c r="G1717" s="5">
        <v>52700000</v>
      </c>
      <c r="H1717" s="5">
        <f>M1717*26000*1.20565</f>
        <v>51396377.240000002</v>
      </c>
      <c r="I1717" s="5">
        <f>G1717-H1717</f>
        <v>1303622.7599999979</v>
      </c>
      <c r="J1717" s="5">
        <v>3000000</v>
      </c>
      <c r="K1717" s="5">
        <v>4970000</v>
      </c>
      <c r="L1717" s="5">
        <v>5270000</v>
      </c>
      <c r="M1717" s="7">
        <v>1639.6</v>
      </c>
      <c r="N1717" s="5">
        <v>50200000</v>
      </c>
      <c r="O1717" s="5">
        <v>53200000</v>
      </c>
      <c r="P1717" s="3">
        <v>0.97916666666666663</v>
      </c>
    </row>
    <row r="1718" spans="1:16" x14ac:dyDescent="0.25">
      <c r="A1718" t="s">
        <v>1061</v>
      </c>
      <c r="B1718" s="2">
        <v>44865</v>
      </c>
      <c r="C1718" t="str">
        <f>TEXT(B1718,"mm")</f>
        <v>10</v>
      </c>
      <c r="D1718" t="s">
        <v>16</v>
      </c>
      <c r="E1718" t="s">
        <v>1636</v>
      </c>
      <c r="F1718" s="5">
        <v>49600000</v>
      </c>
      <c r="G1718" s="5">
        <v>52600000</v>
      </c>
      <c r="H1718" s="5">
        <f>M1718*26000*1.20565</f>
        <v>51280393.710000008</v>
      </c>
      <c r="I1718" s="5">
        <f>G1718-H1718</f>
        <v>1319606.2899999917</v>
      </c>
      <c r="J1718" s="5">
        <v>3000000</v>
      </c>
      <c r="K1718" s="5">
        <v>4960000</v>
      </c>
      <c r="L1718" s="5">
        <v>5260000</v>
      </c>
      <c r="M1718" s="7">
        <v>1635.9</v>
      </c>
      <c r="N1718" s="5">
        <v>50100000</v>
      </c>
      <c r="O1718" s="5">
        <v>53100000</v>
      </c>
      <c r="P1718" s="3">
        <v>0.97916666666666663</v>
      </c>
    </row>
    <row r="1719" spans="1:16" x14ac:dyDescent="0.25">
      <c r="A1719" s="2">
        <v>44572</v>
      </c>
      <c r="B1719" s="2">
        <v>44866</v>
      </c>
      <c r="C1719" t="str">
        <f>TEXT(B1719,"mm")</f>
        <v>11</v>
      </c>
      <c r="D1719" t="s">
        <v>18</v>
      </c>
      <c r="E1719" t="s">
        <v>1636</v>
      </c>
      <c r="F1719" s="5">
        <v>49900000</v>
      </c>
      <c r="G1719" s="5">
        <v>52900000</v>
      </c>
      <c r="H1719" s="5">
        <f>M1719*26000*1.20565</f>
        <v>51565650.500000007</v>
      </c>
      <c r="I1719" s="5">
        <f>G1719-H1719</f>
        <v>1334349.4999999925</v>
      </c>
      <c r="J1719" s="5">
        <v>3000000</v>
      </c>
      <c r="K1719" s="5">
        <v>4990000</v>
      </c>
      <c r="L1719" s="5">
        <v>5290000</v>
      </c>
      <c r="M1719" s="7">
        <v>1645</v>
      </c>
      <c r="N1719" s="5">
        <v>50400000</v>
      </c>
      <c r="O1719" s="5">
        <v>53400000</v>
      </c>
      <c r="P1719" s="3">
        <v>0.97916666666666663</v>
      </c>
    </row>
    <row r="1720" spans="1:16" x14ac:dyDescent="0.25">
      <c r="A1720" s="2">
        <v>44603</v>
      </c>
      <c r="B1720" s="2">
        <v>44867</v>
      </c>
      <c r="C1720" t="str">
        <f>TEXT(B1720,"mm")</f>
        <v>11</v>
      </c>
      <c r="D1720" t="s">
        <v>19</v>
      </c>
      <c r="E1720" t="s">
        <v>1636</v>
      </c>
      <c r="F1720" s="5">
        <v>49900000</v>
      </c>
      <c r="G1720" s="5">
        <v>52900000</v>
      </c>
      <c r="H1720" s="5">
        <f>M1720*26000*1.20565</f>
        <v>51587593.330000006</v>
      </c>
      <c r="I1720" s="5">
        <f>G1720-H1720</f>
        <v>1312406.6699999943</v>
      </c>
      <c r="J1720" s="5">
        <v>3000000</v>
      </c>
      <c r="K1720" s="5">
        <v>4990000</v>
      </c>
      <c r="L1720" s="5">
        <v>5290000</v>
      </c>
      <c r="M1720" s="7">
        <v>1645.7</v>
      </c>
      <c r="N1720" s="5">
        <v>50400000</v>
      </c>
      <c r="O1720" s="5">
        <v>53400000</v>
      </c>
      <c r="P1720" s="3">
        <v>0.97916666666666663</v>
      </c>
    </row>
    <row r="1721" spans="1:16" x14ac:dyDescent="0.25">
      <c r="A1721" s="2">
        <v>44631</v>
      </c>
      <c r="B1721" s="2">
        <v>44868</v>
      </c>
      <c r="C1721" t="str">
        <f>TEXT(B1721,"mm")</f>
        <v>11</v>
      </c>
      <c r="D1721" t="s">
        <v>20</v>
      </c>
      <c r="E1721" t="s">
        <v>1636</v>
      </c>
      <c r="F1721" s="5">
        <v>49300000</v>
      </c>
      <c r="G1721" s="5">
        <v>52300000</v>
      </c>
      <c r="H1721" s="5">
        <f>M1721*26000*1.20565</f>
        <v>51010810.370000005</v>
      </c>
      <c r="I1721" s="5">
        <f>G1721-H1721</f>
        <v>1289189.6299999952</v>
      </c>
      <c r="J1721" s="5">
        <v>3000000</v>
      </c>
      <c r="K1721" s="5">
        <v>4930000</v>
      </c>
      <c r="L1721" s="5">
        <v>5230000</v>
      </c>
      <c r="M1721" s="7">
        <v>1627.3</v>
      </c>
      <c r="N1721" s="5">
        <v>49800000</v>
      </c>
      <c r="O1721" s="5">
        <v>52800000</v>
      </c>
      <c r="P1721" s="3">
        <v>0.97916666666666663</v>
      </c>
    </row>
    <row r="1722" spans="1:16" x14ac:dyDescent="0.25">
      <c r="A1722" s="2">
        <v>44662</v>
      </c>
      <c r="B1722" s="2">
        <v>44869</v>
      </c>
      <c r="C1722" t="str">
        <f>TEXT(B1722,"mm")</f>
        <v>11</v>
      </c>
      <c r="D1722" t="s">
        <v>21</v>
      </c>
      <c r="E1722" t="s">
        <v>1636</v>
      </c>
      <c r="F1722" s="5">
        <v>50800000</v>
      </c>
      <c r="G1722" s="5">
        <v>53800000</v>
      </c>
      <c r="H1722" s="5">
        <f>M1722*26000*1.20565</f>
        <v>52427690.250000007</v>
      </c>
      <c r="I1722" s="5">
        <f>G1722-H1722</f>
        <v>1372309.7499999925</v>
      </c>
      <c r="J1722" s="5">
        <v>3000000</v>
      </c>
      <c r="K1722" s="5">
        <v>5080000</v>
      </c>
      <c r="L1722" s="5">
        <v>5380000</v>
      </c>
      <c r="M1722" s="7">
        <v>1672.5</v>
      </c>
      <c r="N1722" s="5">
        <v>51300000</v>
      </c>
      <c r="O1722" s="5">
        <v>54300000</v>
      </c>
      <c r="P1722" s="3">
        <v>0.97916666666666663</v>
      </c>
    </row>
    <row r="1723" spans="1:16" x14ac:dyDescent="0.25">
      <c r="A1723" s="2">
        <v>44753</v>
      </c>
      <c r="B1723" s="2">
        <v>44872</v>
      </c>
      <c r="C1723" t="str">
        <f>TEXT(B1723,"mm")</f>
        <v>11</v>
      </c>
      <c r="D1723" t="s">
        <v>16</v>
      </c>
      <c r="E1723" t="s">
        <v>1636</v>
      </c>
      <c r="F1723" s="5">
        <v>50900000</v>
      </c>
      <c r="G1723" s="5">
        <v>53900000</v>
      </c>
      <c r="H1723" s="5">
        <f>M1723*26000*1.20565</f>
        <v>52553077.850000001</v>
      </c>
      <c r="I1723" s="5">
        <f>G1723-H1723</f>
        <v>1346922.1499999985</v>
      </c>
      <c r="J1723" s="5">
        <v>3000000</v>
      </c>
      <c r="K1723" s="5">
        <v>5090000</v>
      </c>
      <c r="L1723" s="5">
        <v>5390000</v>
      </c>
      <c r="M1723" s="7">
        <v>1676.5</v>
      </c>
      <c r="N1723" s="5">
        <v>51400000</v>
      </c>
      <c r="O1723" s="5">
        <v>54400000</v>
      </c>
      <c r="P1723" s="3">
        <v>0.97916666666666663</v>
      </c>
    </row>
    <row r="1724" spans="1:16" x14ac:dyDescent="0.25">
      <c r="A1724" s="2">
        <v>44784</v>
      </c>
      <c r="B1724" s="2">
        <v>44873</v>
      </c>
      <c r="C1724" t="str">
        <f>TEXT(B1724,"mm")</f>
        <v>11</v>
      </c>
      <c r="D1724" t="s">
        <v>18</v>
      </c>
      <c r="E1724" t="s">
        <v>1636</v>
      </c>
      <c r="F1724" s="5">
        <v>52000000</v>
      </c>
      <c r="G1724" s="5">
        <v>55000000</v>
      </c>
      <c r="H1724" s="5">
        <f>M1724*26000*1.20565</f>
        <v>53669027.490000002</v>
      </c>
      <c r="I1724" s="5">
        <f>G1724-H1724</f>
        <v>1330972.5099999979</v>
      </c>
      <c r="J1724" s="5">
        <v>3000000</v>
      </c>
      <c r="K1724" s="5">
        <v>5200000</v>
      </c>
      <c r="L1724" s="5">
        <v>5500000</v>
      </c>
      <c r="M1724" s="7">
        <v>1712.1</v>
      </c>
      <c r="N1724" s="5">
        <v>52500000</v>
      </c>
      <c r="O1724" s="5">
        <v>55500000</v>
      </c>
      <c r="P1724" s="3">
        <v>0.97916666666666663</v>
      </c>
    </row>
    <row r="1725" spans="1:16" x14ac:dyDescent="0.25">
      <c r="A1725" s="2">
        <v>44815</v>
      </c>
      <c r="B1725" s="2">
        <v>44874</v>
      </c>
      <c r="C1725" t="str">
        <f>TEXT(B1725,"mm")</f>
        <v>11</v>
      </c>
      <c r="D1725" t="s">
        <v>19</v>
      </c>
      <c r="E1725" t="s">
        <v>1636</v>
      </c>
      <c r="F1725" s="5">
        <v>52000000</v>
      </c>
      <c r="G1725" s="5">
        <v>55000000</v>
      </c>
      <c r="H1725" s="5">
        <f>M1725*26000*1.20565</f>
        <v>53606333.690000005</v>
      </c>
      <c r="I1725" s="5">
        <f>G1725-H1725</f>
        <v>1393666.3099999949</v>
      </c>
      <c r="J1725" s="5">
        <v>3000000</v>
      </c>
      <c r="K1725" s="5">
        <v>5200000</v>
      </c>
      <c r="L1725" s="5">
        <v>5500000</v>
      </c>
      <c r="M1725" s="7">
        <v>1710.1</v>
      </c>
      <c r="N1725" s="5">
        <v>52500000</v>
      </c>
      <c r="O1725" s="5">
        <v>55500000</v>
      </c>
      <c r="P1725" s="3">
        <v>0.97916666666666663</v>
      </c>
    </row>
    <row r="1726" spans="1:16" x14ac:dyDescent="0.25">
      <c r="A1726" s="2">
        <v>44845</v>
      </c>
      <c r="B1726" s="2">
        <v>44875</v>
      </c>
      <c r="C1726" t="str">
        <f>TEXT(B1726,"mm")</f>
        <v>11</v>
      </c>
      <c r="D1726" t="s">
        <v>20</v>
      </c>
      <c r="E1726" t="s">
        <v>1636</v>
      </c>
      <c r="F1726" s="5">
        <v>53300000</v>
      </c>
      <c r="G1726" s="5">
        <v>56300000</v>
      </c>
      <c r="H1726" s="5">
        <f>M1726*26000*1.20565</f>
        <v>54866479.070000008</v>
      </c>
      <c r="I1726" s="5">
        <f>G1726-H1726</f>
        <v>1433520.9299999923</v>
      </c>
      <c r="J1726" s="5">
        <v>3000000</v>
      </c>
      <c r="K1726" s="5">
        <v>5330000</v>
      </c>
      <c r="L1726" s="5">
        <v>5630000</v>
      </c>
      <c r="M1726" s="7">
        <v>1750.3</v>
      </c>
      <c r="N1726" s="5">
        <v>53800000</v>
      </c>
      <c r="O1726" s="5">
        <v>56800000</v>
      </c>
      <c r="P1726" s="3">
        <v>0.97916666666666663</v>
      </c>
    </row>
    <row r="1727" spans="1:16" x14ac:dyDescent="0.25">
      <c r="A1727" s="2">
        <v>44876</v>
      </c>
      <c r="B1727" s="2">
        <v>44876</v>
      </c>
      <c r="C1727" t="str">
        <f>TEXT(B1727,"mm")</f>
        <v>11</v>
      </c>
      <c r="D1727" t="s">
        <v>21</v>
      </c>
      <c r="E1727" t="s">
        <v>1636</v>
      </c>
      <c r="F1727" s="5">
        <v>53800000</v>
      </c>
      <c r="G1727" s="5">
        <v>56800000</v>
      </c>
      <c r="H1727" s="5">
        <f>M1727*26000*1.20565</f>
        <v>55358625.400000006</v>
      </c>
      <c r="I1727" s="5">
        <f>G1727-H1727</f>
        <v>1441374.599999994</v>
      </c>
      <c r="J1727" s="5">
        <v>3000000</v>
      </c>
      <c r="K1727" s="5">
        <v>5380000</v>
      </c>
      <c r="L1727" s="5">
        <v>5680000</v>
      </c>
      <c r="M1727" s="7">
        <v>1766</v>
      </c>
      <c r="N1727" s="5">
        <v>54300000</v>
      </c>
      <c r="O1727" s="5">
        <v>57300000</v>
      </c>
      <c r="P1727" s="3">
        <v>0.97916666666666663</v>
      </c>
    </row>
    <row r="1728" spans="1:16" x14ac:dyDescent="0.25">
      <c r="A1728" t="s">
        <v>1062</v>
      </c>
      <c r="B1728" s="2">
        <v>44879</v>
      </c>
      <c r="C1728" t="str">
        <f>TEXT(B1728,"mm")</f>
        <v>11</v>
      </c>
      <c r="D1728" t="s">
        <v>16</v>
      </c>
      <c r="E1728" t="s">
        <v>1636</v>
      </c>
      <c r="F1728" s="5">
        <v>54000000</v>
      </c>
      <c r="G1728" s="5">
        <v>57000000</v>
      </c>
      <c r="H1728" s="5">
        <f>M1728*26000*1.20565</f>
        <v>55596861.840000004</v>
      </c>
      <c r="I1728" s="5">
        <f>G1728-H1728</f>
        <v>1403138.1599999964</v>
      </c>
      <c r="J1728" s="5">
        <v>3000000</v>
      </c>
      <c r="K1728" s="5">
        <v>5400000</v>
      </c>
      <c r="L1728" s="5">
        <v>5700000</v>
      </c>
      <c r="M1728" s="7">
        <v>1773.6</v>
      </c>
      <c r="N1728" s="5">
        <v>54500000</v>
      </c>
      <c r="O1728" s="5">
        <v>57500000</v>
      </c>
      <c r="P1728" s="3">
        <v>0.97916666666666663</v>
      </c>
    </row>
    <row r="1729" spans="1:16" x14ac:dyDescent="0.25">
      <c r="A1729" t="s">
        <v>1063</v>
      </c>
      <c r="B1729" s="2">
        <v>44880</v>
      </c>
      <c r="C1729" t="str">
        <f>TEXT(B1729,"mm")</f>
        <v>11</v>
      </c>
      <c r="D1729" t="s">
        <v>18</v>
      </c>
      <c r="E1729" t="s">
        <v>1636</v>
      </c>
      <c r="F1729" s="5">
        <v>54000000</v>
      </c>
      <c r="G1729" s="5">
        <v>57000000</v>
      </c>
      <c r="H1729" s="5">
        <f>M1729*26000*1.20565</f>
        <v>55603131.220000006</v>
      </c>
      <c r="I1729" s="5">
        <f>G1729-H1729</f>
        <v>1396868.7799999937</v>
      </c>
      <c r="J1729" s="5">
        <v>3000000</v>
      </c>
      <c r="K1729" s="5">
        <v>5400000</v>
      </c>
      <c r="L1729" s="5">
        <v>5700000</v>
      </c>
      <c r="M1729" s="7">
        <v>1773.8</v>
      </c>
      <c r="N1729" s="5">
        <v>54500000</v>
      </c>
      <c r="O1729" s="5">
        <v>57500000</v>
      </c>
      <c r="P1729" s="3">
        <v>0.97916666666666663</v>
      </c>
    </row>
    <row r="1730" spans="1:16" x14ac:dyDescent="0.25">
      <c r="A1730" t="s">
        <v>1064</v>
      </c>
      <c r="B1730" s="2">
        <v>44881</v>
      </c>
      <c r="C1730" t="str">
        <f>TEXT(B1730,"mm")</f>
        <v>11</v>
      </c>
      <c r="D1730" t="s">
        <v>19</v>
      </c>
      <c r="E1730" t="s">
        <v>1636</v>
      </c>
      <c r="F1730" s="5">
        <v>54000000</v>
      </c>
      <c r="G1730" s="5">
        <v>57000000</v>
      </c>
      <c r="H1730" s="5">
        <f>M1730*26000*1.20565</f>
        <v>55578053.700000003</v>
      </c>
      <c r="I1730" s="5">
        <f>G1730-H1730</f>
        <v>1421946.299999997</v>
      </c>
      <c r="J1730" s="5">
        <v>3000000</v>
      </c>
      <c r="K1730" s="5">
        <v>5400000</v>
      </c>
      <c r="L1730" s="5">
        <v>5700000</v>
      </c>
      <c r="M1730" s="7">
        <v>1773</v>
      </c>
      <c r="N1730" s="5">
        <v>54500000</v>
      </c>
      <c r="O1730" s="5">
        <v>57500000</v>
      </c>
      <c r="P1730" s="3">
        <v>0.97916666666666663</v>
      </c>
    </row>
    <row r="1731" spans="1:16" x14ac:dyDescent="0.25">
      <c r="A1731" t="s">
        <v>1065</v>
      </c>
      <c r="B1731" s="2">
        <v>44882</v>
      </c>
      <c r="C1731" t="str">
        <f>TEXT(B1731,"mm")</f>
        <v>11</v>
      </c>
      <c r="D1731" t="s">
        <v>20</v>
      </c>
      <c r="E1731" t="s">
        <v>1636</v>
      </c>
      <c r="F1731" s="5">
        <v>53600000</v>
      </c>
      <c r="G1731" s="5">
        <v>56600000</v>
      </c>
      <c r="H1731" s="5">
        <f>M1731*26000*1.20565</f>
        <v>55195621.520000003</v>
      </c>
      <c r="I1731" s="5">
        <f>G1731-H1731</f>
        <v>1404378.4799999967</v>
      </c>
      <c r="J1731" s="5">
        <v>3000000</v>
      </c>
      <c r="K1731" s="5">
        <v>5360000</v>
      </c>
      <c r="L1731" s="5">
        <v>5660000</v>
      </c>
      <c r="M1731" s="7">
        <v>1760.8</v>
      </c>
      <c r="N1731" s="5">
        <v>54100000</v>
      </c>
      <c r="O1731" s="5">
        <v>57100000</v>
      </c>
      <c r="P1731" s="3">
        <v>0.97916666666666663</v>
      </c>
    </row>
    <row r="1732" spans="1:16" x14ac:dyDescent="0.25">
      <c r="A1732" t="s">
        <v>1066</v>
      </c>
      <c r="B1732" s="2">
        <v>44883</v>
      </c>
      <c r="C1732" t="str">
        <f>TEXT(B1732,"mm")</f>
        <v>11</v>
      </c>
      <c r="D1732" t="s">
        <v>21</v>
      </c>
      <c r="E1732" t="s">
        <v>1636</v>
      </c>
      <c r="F1732" s="5">
        <v>53300000</v>
      </c>
      <c r="G1732" s="5">
        <v>56300000</v>
      </c>
      <c r="H1732" s="5">
        <f>M1732*26000*1.20565</f>
        <v>54916634.110000007</v>
      </c>
      <c r="I1732" s="5">
        <f>G1732-H1732</f>
        <v>1383365.8899999931</v>
      </c>
      <c r="J1732" s="5">
        <v>3000000</v>
      </c>
      <c r="K1732" s="5">
        <v>5330000</v>
      </c>
      <c r="L1732" s="5">
        <v>5630000</v>
      </c>
      <c r="M1732" s="7">
        <v>1751.9</v>
      </c>
      <c r="N1732" s="5">
        <v>53800000</v>
      </c>
      <c r="O1732" s="5">
        <v>56800000</v>
      </c>
      <c r="P1732" s="3">
        <v>0.97916666666666663</v>
      </c>
    </row>
    <row r="1733" spans="1:16" x14ac:dyDescent="0.25">
      <c r="A1733" t="s">
        <v>1067</v>
      </c>
      <c r="B1733" s="2">
        <v>44886</v>
      </c>
      <c r="C1733" t="str">
        <f>TEXT(B1733,"mm")</f>
        <v>11</v>
      </c>
      <c r="D1733" t="s">
        <v>16</v>
      </c>
      <c r="E1733" t="s">
        <v>1636</v>
      </c>
      <c r="F1733" s="5">
        <v>52800000</v>
      </c>
      <c r="G1733" s="5">
        <v>55800000</v>
      </c>
      <c r="H1733" s="5">
        <f>M1733*26000*1.20565</f>
        <v>54462104.060000002</v>
      </c>
      <c r="I1733" s="5">
        <f>G1733-H1733</f>
        <v>1337895.9399999976</v>
      </c>
      <c r="J1733" s="5">
        <v>3000000</v>
      </c>
      <c r="K1733" s="5">
        <v>5280000</v>
      </c>
      <c r="L1733" s="5">
        <v>5580000</v>
      </c>
      <c r="M1733" s="7">
        <v>1737.4</v>
      </c>
      <c r="N1733" s="5">
        <v>53300000</v>
      </c>
      <c r="O1733" s="5">
        <v>56300000</v>
      </c>
      <c r="P1733" s="3">
        <v>0.97916666666666663</v>
      </c>
    </row>
    <row r="1734" spans="1:16" x14ac:dyDescent="0.25">
      <c r="A1734" t="s">
        <v>1068</v>
      </c>
      <c r="B1734" s="2">
        <v>44887</v>
      </c>
      <c r="C1734" t="str">
        <f>TEXT(B1734,"mm")</f>
        <v>11</v>
      </c>
      <c r="D1734" t="s">
        <v>18</v>
      </c>
      <c r="E1734" t="s">
        <v>1636</v>
      </c>
      <c r="F1734" s="5">
        <v>52900000</v>
      </c>
      <c r="G1734" s="5">
        <v>55900000</v>
      </c>
      <c r="H1734" s="5">
        <f>M1734*26000*1.20565</f>
        <v>54490316.270000003</v>
      </c>
      <c r="I1734" s="5">
        <f>G1734-H1734</f>
        <v>1409683.7299999967</v>
      </c>
      <c r="J1734" s="5">
        <v>3000000</v>
      </c>
      <c r="K1734" s="5">
        <v>5290000</v>
      </c>
      <c r="L1734" s="5">
        <v>5590000</v>
      </c>
      <c r="M1734" s="7">
        <v>1738.3</v>
      </c>
      <c r="N1734" s="5">
        <v>53400000</v>
      </c>
      <c r="O1734" s="5">
        <v>56400000</v>
      </c>
      <c r="P1734" s="3">
        <v>0.97916666666666663</v>
      </c>
    </row>
    <row r="1735" spans="1:16" x14ac:dyDescent="0.25">
      <c r="A1735" t="s">
        <v>1069</v>
      </c>
      <c r="B1735" s="2">
        <v>44888</v>
      </c>
      <c r="C1735" t="str">
        <f>TEXT(B1735,"mm")</f>
        <v>11</v>
      </c>
      <c r="D1735" t="s">
        <v>19</v>
      </c>
      <c r="E1735" t="s">
        <v>1636</v>
      </c>
      <c r="F1735" s="5">
        <v>53100000</v>
      </c>
      <c r="G1735" s="5">
        <v>56100000</v>
      </c>
      <c r="H1735" s="5">
        <f>M1735*26000*1.20565</f>
        <v>54697205.810000002</v>
      </c>
      <c r="I1735" s="5">
        <f>G1735-H1735</f>
        <v>1402794.1899999976</v>
      </c>
      <c r="J1735" s="5">
        <v>3000000</v>
      </c>
      <c r="K1735" s="5">
        <v>5310000</v>
      </c>
      <c r="L1735" s="5">
        <v>5610000</v>
      </c>
      <c r="M1735" s="7">
        <v>1744.9</v>
      </c>
      <c r="N1735" s="5">
        <v>53600000</v>
      </c>
      <c r="O1735" s="5">
        <v>56600000</v>
      </c>
      <c r="P1735" s="3">
        <v>0.97916666666666663</v>
      </c>
    </row>
    <row r="1736" spans="1:16" x14ac:dyDescent="0.25">
      <c r="A1736" t="s">
        <v>1070</v>
      </c>
      <c r="B1736" s="2">
        <v>44890</v>
      </c>
      <c r="C1736" t="str">
        <f>TEXT(B1736,"mm")</f>
        <v>11</v>
      </c>
      <c r="D1736" t="s">
        <v>21</v>
      </c>
      <c r="E1736" t="s">
        <v>1636</v>
      </c>
      <c r="F1736" s="5">
        <v>53300000</v>
      </c>
      <c r="G1736" s="5">
        <v>56300000</v>
      </c>
      <c r="H1736" s="5">
        <f>M1736*26000*1.20565</f>
        <v>54960519.770000003</v>
      </c>
      <c r="I1736" s="5">
        <f>G1736-H1736</f>
        <v>1339480.2299999967</v>
      </c>
      <c r="J1736" s="5">
        <v>3000000</v>
      </c>
      <c r="K1736" s="5">
        <v>5330000</v>
      </c>
      <c r="L1736" s="5">
        <v>5630000</v>
      </c>
      <c r="M1736" s="7">
        <v>1753.3</v>
      </c>
      <c r="N1736" s="5">
        <v>53800000</v>
      </c>
      <c r="O1736" s="5">
        <v>56800000</v>
      </c>
      <c r="P1736" s="3">
        <v>0.97916666666666663</v>
      </c>
    </row>
    <row r="1737" spans="1:16" x14ac:dyDescent="0.25">
      <c r="A1737" t="s">
        <v>1071</v>
      </c>
      <c r="B1737" s="2">
        <v>44893</v>
      </c>
      <c r="C1737" t="str">
        <f>TEXT(B1737,"mm")</f>
        <v>11</v>
      </c>
      <c r="D1737" t="s">
        <v>16</v>
      </c>
      <c r="E1737" t="s">
        <v>1636</v>
      </c>
      <c r="F1737" s="5">
        <v>52900000</v>
      </c>
      <c r="G1737" s="5">
        <v>55900000</v>
      </c>
      <c r="H1737" s="5">
        <f>M1737*26000*1.20565</f>
        <v>54546740.690000005</v>
      </c>
      <c r="I1737" s="5">
        <f>G1737-H1737</f>
        <v>1353259.3099999949</v>
      </c>
      <c r="J1737" s="5">
        <v>3000000</v>
      </c>
      <c r="K1737" s="5">
        <v>5290000</v>
      </c>
      <c r="L1737" s="5">
        <v>5590000</v>
      </c>
      <c r="M1737" s="7">
        <v>1740.1</v>
      </c>
      <c r="N1737" s="5">
        <v>53400000</v>
      </c>
      <c r="O1737" s="5">
        <v>56400000</v>
      </c>
      <c r="P1737" s="3">
        <v>0.97916666666666663</v>
      </c>
    </row>
    <row r="1738" spans="1:16" x14ac:dyDescent="0.25">
      <c r="A1738" t="s">
        <v>1072</v>
      </c>
      <c r="B1738" s="2">
        <v>44894</v>
      </c>
      <c r="C1738" t="str">
        <f>TEXT(B1738,"mm")</f>
        <v>11</v>
      </c>
      <c r="D1738" t="s">
        <v>18</v>
      </c>
      <c r="E1738" t="s">
        <v>1636</v>
      </c>
      <c r="F1738" s="5">
        <v>53200000</v>
      </c>
      <c r="G1738" s="5">
        <v>56200000</v>
      </c>
      <c r="H1738" s="5">
        <f>M1738*26000*1.20565</f>
        <v>54806919.960000008</v>
      </c>
      <c r="I1738" s="5">
        <f>G1738-H1738</f>
        <v>1393080.0399999917</v>
      </c>
      <c r="J1738" s="5">
        <v>3000000</v>
      </c>
      <c r="K1738" s="5">
        <v>5320000</v>
      </c>
      <c r="L1738" s="5">
        <v>5620000</v>
      </c>
      <c r="M1738" s="7">
        <v>1748.4</v>
      </c>
      <c r="N1738" s="5">
        <v>53700000</v>
      </c>
      <c r="O1738" s="5">
        <v>56700000</v>
      </c>
      <c r="P1738" s="3">
        <v>0.97916666666666663</v>
      </c>
    </row>
    <row r="1739" spans="1:16" x14ac:dyDescent="0.25">
      <c r="A1739" t="s">
        <v>1073</v>
      </c>
      <c r="B1739" s="2">
        <v>44895</v>
      </c>
      <c r="C1739" t="str">
        <f>TEXT(B1739,"mm")</f>
        <v>11</v>
      </c>
      <c r="D1739" t="s">
        <v>19</v>
      </c>
      <c r="E1739" t="s">
        <v>1636</v>
      </c>
      <c r="F1739" s="5">
        <v>53100000</v>
      </c>
      <c r="G1739" s="5">
        <v>56100000</v>
      </c>
      <c r="H1739" s="5">
        <f>M1739*26000*1.20565</f>
        <v>54731687.400000006</v>
      </c>
      <c r="I1739" s="5">
        <f>G1739-H1739</f>
        <v>1368312.599999994</v>
      </c>
      <c r="J1739" s="5">
        <v>3000000</v>
      </c>
      <c r="K1739" s="5">
        <v>5310000</v>
      </c>
      <c r="L1739" s="5">
        <v>5610000</v>
      </c>
      <c r="M1739" s="7">
        <v>1746</v>
      </c>
      <c r="N1739" s="5">
        <v>53600000</v>
      </c>
      <c r="O1739" s="5">
        <v>56600000</v>
      </c>
      <c r="P1739" s="3">
        <v>0.97916666666666663</v>
      </c>
    </row>
    <row r="1740" spans="1:16" x14ac:dyDescent="0.25">
      <c r="A1740" s="2">
        <v>44573</v>
      </c>
      <c r="B1740" s="2">
        <v>44896</v>
      </c>
      <c r="C1740" t="str">
        <f>TEXT(B1740,"mm")</f>
        <v>12</v>
      </c>
      <c r="D1740" t="s">
        <v>20</v>
      </c>
      <c r="E1740" t="s">
        <v>1636</v>
      </c>
      <c r="F1740" s="5">
        <v>54900000</v>
      </c>
      <c r="G1740" s="5">
        <v>57900000</v>
      </c>
      <c r="H1740" s="5">
        <f>M1740*26000*1.20565</f>
        <v>56458901.590000004</v>
      </c>
      <c r="I1740" s="5">
        <f>G1740-H1740</f>
        <v>1441098.4099999964</v>
      </c>
      <c r="J1740" s="5">
        <v>3000000</v>
      </c>
      <c r="K1740" s="5">
        <v>5490000</v>
      </c>
      <c r="L1740" s="5">
        <v>5790000</v>
      </c>
      <c r="M1740" s="7">
        <v>1801.1</v>
      </c>
      <c r="N1740" s="5">
        <v>55400000</v>
      </c>
      <c r="O1740" s="5">
        <v>58400000</v>
      </c>
      <c r="P1740" s="3">
        <v>0.97916666666666663</v>
      </c>
    </row>
    <row r="1741" spans="1:16" x14ac:dyDescent="0.25">
      <c r="A1741" s="2">
        <v>44604</v>
      </c>
      <c r="B1741" s="2">
        <v>44897</v>
      </c>
      <c r="C1741" t="str">
        <f>TEXT(B1741,"mm")</f>
        <v>12</v>
      </c>
      <c r="D1741" t="s">
        <v>21</v>
      </c>
      <c r="E1741" t="s">
        <v>1636</v>
      </c>
      <c r="F1741" s="5">
        <v>54700000</v>
      </c>
      <c r="G1741" s="5">
        <v>57700000</v>
      </c>
      <c r="H1741" s="5">
        <f>M1741*26000*1.20565</f>
        <v>56295897.710000008</v>
      </c>
      <c r="I1741" s="5">
        <f>G1741-H1741</f>
        <v>1404102.2899999917</v>
      </c>
      <c r="J1741" s="5">
        <v>3000000</v>
      </c>
      <c r="K1741" s="5">
        <v>5470000</v>
      </c>
      <c r="L1741" s="5">
        <v>5770000</v>
      </c>
      <c r="M1741" s="7">
        <v>1795.9</v>
      </c>
      <c r="N1741" s="5">
        <v>55200000</v>
      </c>
      <c r="O1741" s="5">
        <v>58200000</v>
      </c>
      <c r="P1741" s="3">
        <v>0.97916666666666663</v>
      </c>
    </row>
    <row r="1742" spans="1:16" x14ac:dyDescent="0.25">
      <c r="A1742" s="2">
        <v>44693</v>
      </c>
      <c r="B1742" s="2">
        <v>44900</v>
      </c>
      <c r="C1742" t="str">
        <f>TEXT(B1742,"mm")</f>
        <v>12</v>
      </c>
      <c r="D1742" t="s">
        <v>16</v>
      </c>
      <c r="E1742" t="s">
        <v>1636</v>
      </c>
      <c r="F1742" s="5">
        <v>53800000</v>
      </c>
      <c r="G1742" s="5">
        <v>56800000</v>
      </c>
      <c r="H1742" s="5">
        <f>M1742*26000*1.20565</f>
        <v>55402511.060000002</v>
      </c>
      <c r="I1742" s="5">
        <f>G1742-H1742</f>
        <v>1397488.9399999976</v>
      </c>
      <c r="J1742" s="5">
        <v>3000000</v>
      </c>
      <c r="K1742" s="5">
        <v>5380000</v>
      </c>
      <c r="L1742" s="5">
        <v>5680000</v>
      </c>
      <c r="M1742" s="7">
        <v>1767.4</v>
      </c>
      <c r="N1742" s="5">
        <v>54300000</v>
      </c>
      <c r="O1742" s="5">
        <v>57300000</v>
      </c>
      <c r="P1742" s="3">
        <v>0.97916666666666663</v>
      </c>
    </row>
    <row r="1743" spans="1:16" x14ac:dyDescent="0.25">
      <c r="A1743" s="2">
        <v>44724</v>
      </c>
      <c r="B1743" s="2">
        <v>44901</v>
      </c>
      <c r="C1743" t="str">
        <f>TEXT(B1743,"mm")</f>
        <v>12</v>
      </c>
      <c r="D1743" t="s">
        <v>18</v>
      </c>
      <c r="E1743" t="s">
        <v>1636</v>
      </c>
      <c r="F1743" s="5">
        <v>53900000</v>
      </c>
      <c r="G1743" s="5">
        <v>56900000</v>
      </c>
      <c r="H1743" s="5">
        <f>M1743*26000*1.20565</f>
        <v>55462070.170000002</v>
      </c>
      <c r="I1743" s="5">
        <f>G1743-H1743</f>
        <v>1437929.8299999982</v>
      </c>
      <c r="J1743" s="5">
        <v>3000000</v>
      </c>
      <c r="K1743" s="5">
        <v>5390000</v>
      </c>
      <c r="L1743" s="5">
        <v>5690000</v>
      </c>
      <c r="M1743" s="7">
        <v>1769.3</v>
      </c>
      <c r="N1743" s="5">
        <v>54400000</v>
      </c>
      <c r="O1743" s="5">
        <v>57400000</v>
      </c>
      <c r="P1743" s="3">
        <v>0.97916666666666663</v>
      </c>
    </row>
    <row r="1744" spans="1:16" x14ac:dyDescent="0.25">
      <c r="A1744" s="2">
        <v>44754</v>
      </c>
      <c r="B1744" s="2">
        <v>44902</v>
      </c>
      <c r="C1744" t="str">
        <f>TEXT(B1744,"mm")</f>
        <v>12</v>
      </c>
      <c r="D1744" t="s">
        <v>19</v>
      </c>
      <c r="E1744" t="s">
        <v>1636</v>
      </c>
      <c r="F1744" s="5">
        <v>54400000</v>
      </c>
      <c r="G1744" s="5">
        <v>57400000</v>
      </c>
      <c r="H1744" s="5">
        <f>M1744*26000*1.20565</f>
        <v>55969889.950000003</v>
      </c>
      <c r="I1744" s="5">
        <f>G1744-H1744</f>
        <v>1430110.049999997</v>
      </c>
      <c r="J1744" s="5">
        <v>3000000</v>
      </c>
      <c r="K1744" s="5">
        <v>5440000</v>
      </c>
      <c r="L1744" s="5">
        <v>5740000</v>
      </c>
      <c r="M1744" s="7">
        <v>1785.5</v>
      </c>
      <c r="N1744" s="5">
        <v>54900000</v>
      </c>
      <c r="O1744" s="5">
        <v>57900000</v>
      </c>
      <c r="P1744" s="3">
        <v>0.97916666666666663</v>
      </c>
    </row>
    <row r="1745" spans="1:16" x14ac:dyDescent="0.25">
      <c r="A1745" s="2">
        <v>44785</v>
      </c>
      <c r="B1745" s="2">
        <v>44903</v>
      </c>
      <c r="C1745" t="str">
        <f>TEXT(B1745,"mm")</f>
        <v>12</v>
      </c>
      <c r="D1745" t="s">
        <v>20</v>
      </c>
      <c r="E1745" t="s">
        <v>1636</v>
      </c>
      <c r="F1745" s="5">
        <v>54500000</v>
      </c>
      <c r="G1745" s="5">
        <v>57500000</v>
      </c>
      <c r="H1745" s="5">
        <f>M1745*26000*1.20565</f>
        <v>56070200.030000009</v>
      </c>
      <c r="I1745" s="5">
        <f>G1745-H1745</f>
        <v>1429799.9699999914</v>
      </c>
      <c r="J1745" s="5">
        <v>3000000</v>
      </c>
      <c r="K1745" s="5">
        <v>5450000</v>
      </c>
      <c r="L1745" s="5">
        <v>5750000</v>
      </c>
      <c r="M1745" s="7">
        <v>1788.7</v>
      </c>
      <c r="N1745" s="5">
        <v>55000000</v>
      </c>
      <c r="O1745" s="5">
        <v>58000000</v>
      </c>
      <c r="P1745" s="3">
        <v>0.97916666666666663</v>
      </c>
    </row>
    <row r="1746" spans="1:16" x14ac:dyDescent="0.25">
      <c r="A1746" s="2">
        <v>44816</v>
      </c>
      <c r="B1746" s="2">
        <v>44904</v>
      </c>
      <c r="C1746" t="str">
        <f>TEXT(B1746,"mm")</f>
        <v>12</v>
      </c>
      <c r="D1746" t="s">
        <v>21</v>
      </c>
      <c r="E1746" t="s">
        <v>1636</v>
      </c>
      <c r="F1746" s="5">
        <v>54800000</v>
      </c>
      <c r="G1746" s="5">
        <v>57800000</v>
      </c>
      <c r="H1746" s="5">
        <f>M1746*26000*1.20565</f>
        <v>56364860.890000008</v>
      </c>
      <c r="I1746" s="5">
        <f>G1746-H1746</f>
        <v>1435139.109999992</v>
      </c>
      <c r="J1746" s="5">
        <v>3000000</v>
      </c>
      <c r="K1746" s="5">
        <v>5480000</v>
      </c>
      <c r="L1746" s="5">
        <v>5780000</v>
      </c>
      <c r="M1746" s="7">
        <v>1798.1</v>
      </c>
      <c r="N1746" s="5">
        <v>55300000</v>
      </c>
      <c r="O1746" s="5">
        <v>58300000</v>
      </c>
      <c r="P1746" s="3">
        <v>0.97916666666666663</v>
      </c>
    </row>
    <row r="1747" spans="1:16" x14ac:dyDescent="0.25">
      <c r="A1747" s="2">
        <v>44907</v>
      </c>
      <c r="B1747" s="2">
        <v>44907</v>
      </c>
      <c r="C1747" t="str">
        <f>TEXT(B1747,"mm")</f>
        <v>12</v>
      </c>
      <c r="D1747" t="s">
        <v>16</v>
      </c>
      <c r="E1747" t="s">
        <v>1636</v>
      </c>
      <c r="F1747" s="5">
        <v>54200000</v>
      </c>
      <c r="G1747" s="5">
        <v>57200000</v>
      </c>
      <c r="H1747" s="5">
        <f>M1747*26000*1.20565</f>
        <v>55813155.450000003</v>
      </c>
      <c r="I1747" s="5">
        <f>G1747-H1747</f>
        <v>1386844.549999997</v>
      </c>
      <c r="J1747" s="5">
        <v>3000000</v>
      </c>
      <c r="K1747" s="5">
        <v>5420000</v>
      </c>
      <c r="L1747" s="5">
        <v>5720000</v>
      </c>
      <c r="M1747" s="7">
        <v>1780.5</v>
      </c>
      <c r="N1747" s="5">
        <v>54700000</v>
      </c>
      <c r="O1747" s="5">
        <v>57700000</v>
      </c>
      <c r="P1747" s="3">
        <v>0.97916666666666663</v>
      </c>
    </row>
    <row r="1748" spans="1:16" x14ac:dyDescent="0.25">
      <c r="A1748" t="s">
        <v>1074</v>
      </c>
      <c r="B1748" s="2">
        <v>44908</v>
      </c>
      <c r="C1748" t="str">
        <f>TEXT(B1748,"mm")</f>
        <v>12</v>
      </c>
      <c r="D1748" t="s">
        <v>18</v>
      </c>
      <c r="E1748" t="s">
        <v>1636</v>
      </c>
      <c r="F1748" s="5">
        <v>55300000</v>
      </c>
      <c r="G1748" s="5">
        <v>58300000</v>
      </c>
      <c r="H1748" s="5">
        <f>M1748*26000*1.20565</f>
        <v>56860141.910000004</v>
      </c>
      <c r="I1748" s="5">
        <f>G1748-H1748</f>
        <v>1439858.0899999961</v>
      </c>
      <c r="J1748" s="5">
        <v>3000000</v>
      </c>
      <c r="K1748" s="5">
        <v>5530000</v>
      </c>
      <c r="L1748" s="5">
        <v>5830000</v>
      </c>
      <c r="M1748" s="7">
        <v>1813.9</v>
      </c>
      <c r="N1748" s="5">
        <v>55800000</v>
      </c>
      <c r="O1748" s="5">
        <v>58800000</v>
      </c>
      <c r="P1748" s="3">
        <v>0.97916666666666663</v>
      </c>
    </row>
    <row r="1749" spans="1:16" x14ac:dyDescent="0.25">
      <c r="A1749" t="s">
        <v>1075</v>
      </c>
      <c r="B1749" s="2">
        <v>44909</v>
      </c>
      <c r="C1749" t="str">
        <f>TEXT(B1749,"mm")</f>
        <v>12</v>
      </c>
      <c r="D1749" t="s">
        <v>19</v>
      </c>
      <c r="E1749" t="s">
        <v>1636</v>
      </c>
      <c r="F1749" s="5">
        <v>55100000</v>
      </c>
      <c r="G1749" s="5">
        <v>58100000</v>
      </c>
      <c r="H1749" s="5">
        <f>M1749*26000*1.20565</f>
        <v>56659521.750000007</v>
      </c>
      <c r="I1749" s="5">
        <f>G1749-H1749</f>
        <v>1440478.2499999925</v>
      </c>
      <c r="J1749" s="5">
        <v>3000000</v>
      </c>
      <c r="K1749" s="5">
        <v>5510000</v>
      </c>
      <c r="L1749" s="5">
        <v>5810000</v>
      </c>
      <c r="M1749" s="7">
        <v>1807.5</v>
      </c>
      <c r="N1749" s="5">
        <v>55600000</v>
      </c>
      <c r="O1749" s="5">
        <v>58600000</v>
      </c>
      <c r="P1749" s="3">
        <v>0.97916666666666663</v>
      </c>
    </row>
    <row r="1750" spans="1:16" x14ac:dyDescent="0.25">
      <c r="A1750" t="s">
        <v>1076</v>
      </c>
      <c r="B1750" s="2">
        <v>44910</v>
      </c>
      <c r="C1750" t="str">
        <f>TEXT(B1750,"mm")</f>
        <v>12</v>
      </c>
      <c r="D1750" t="s">
        <v>20</v>
      </c>
      <c r="E1750" t="s">
        <v>1636</v>
      </c>
      <c r="F1750" s="5">
        <v>54100000</v>
      </c>
      <c r="G1750" s="5">
        <v>57100000</v>
      </c>
      <c r="H1750" s="5">
        <f>M1750*26000*1.20565</f>
        <v>55709710.680000007</v>
      </c>
      <c r="I1750" s="5">
        <f>G1750-H1750</f>
        <v>1390289.3199999928</v>
      </c>
      <c r="J1750" s="5">
        <v>3000000</v>
      </c>
      <c r="K1750" s="5">
        <v>5410000</v>
      </c>
      <c r="L1750" s="5">
        <v>5710000</v>
      </c>
      <c r="M1750" s="7">
        <v>1777.2</v>
      </c>
      <c r="N1750" s="5">
        <v>54600000</v>
      </c>
      <c r="O1750" s="5">
        <v>57600000</v>
      </c>
      <c r="P1750" s="3">
        <v>0.97916666666666663</v>
      </c>
    </row>
    <row r="1751" spans="1:16" x14ac:dyDescent="0.25">
      <c r="A1751" t="s">
        <v>1077</v>
      </c>
      <c r="B1751" s="2">
        <v>44911</v>
      </c>
      <c r="C1751" t="str">
        <f>TEXT(B1751,"mm")</f>
        <v>12</v>
      </c>
      <c r="D1751" t="s">
        <v>21</v>
      </c>
      <c r="E1751" t="s">
        <v>1636</v>
      </c>
      <c r="F1751" s="5">
        <v>54500000</v>
      </c>
      <c r="G1751" s="5">
        <v>57500000</v>
      </c>
      <c r="H1751" s="5">
        <f>M1751*26000*1.20565</f>
        <v>56110951.000000007</v>
      </c>
      <c r="I1751" s="5">
        <f>G1751-H1751</f>
        <v>1389048.9999999925</v>
      </c>
      <c r="J1751" s="5">
        <v>3000000</v>
      </c>
      <c r="K1751" s="5">
        <v>5450000</v>
      </c>
      <c r="L1751" s="5">
        <v>5750000</v>
      </c>
      <c r="M1751" s="7">
        <v>1790</v>
      </c>
      <c r="N1751" s="5">
        <v>55000000</v>
      </c>
      <c r="O1751" s="5">
        <v>58000000</v>
      </c>
      <c r="P1751" s="3">
        <v>0.97916666666666663</v>
      </c>
    </row>
    <row r="1752" spans="1:16" x14ac:dyDescent="0.25">
      <c r="A1752" t="s">
        <v>1078</v>
      </c>
      <c r="B1752" s="2">
        <v>44914</v>
      </c>
      <c r="C1752" t="str">
        <f>TEXT(B1752,"mm")</f>
        <v>12</v>
      </c>
      <c r="D1752" t="s">
        <v>16</v>
      </c>
      <c r="E1752" t="s">
        <v>1636</v>
      </c>
      <c r="F1752" s="5">
        <v>54500000</v>
      </c>
      <c r="G1752" s="5">
        <v>57500000</v>
      </c>
      <c r="H1752" s="5">
        <f>M1752*26000*1.20565</f>
        <v>56038853.130000003</v>
      </c>
      <c r="I1752" s="5">
        <f>G1752-H1752</f>
        <v>1461146.8699999973</v>
      </c>
      <c r="J1752" s="5">
        <v>3000000</v>
      </c>
      <c r="K1752" s="5">
        <v>5450000</v>
      </c>
      <c r="L1752" s="5">
        <v>5750000</v>
      </c>
      <c r="M1752" s="7">
        <v>1787.7</v>
      </c>
      <c r="N1752" s="5">
        <v>55000000</v>
      </c>
      <c r="O1752" s="5">
        <v>58000000</v>
      </c>
      <c r="P1752" s="3">
        <v>0.97916666666666663</v>
      </c>
    </row>
    <row r="1753" spans="1:16" x14ac:dyDescent="0.25">
      <c r="A1753" t="s">
        <v>1079</v>
      </c>
      <c r="B1753" s="2">
        <v>44915</v>
      </c>
      <c r="C1753" t="str">
        <f>TEXT(B1753,"mm")</f>
        <v>12</v>
      </c>
      <c r="D1753" t="s">
        <v>18</v>
      </c>
      <c r="E1753" t="s">
        <v>1636</v>
      </c>
      <c r="F1753" s="5">
        <v>55400000</v>
      </c>
      <c r="G1753" s="5">
        <v>58400000</v>
      </c>
      <c r="H1753" s="5">
        <f>M1753*26000*1.20565</f>
        <v>56922835.710000008</v>
      </c>
      <c r="I1753" s="5">
        <f>G1753-H1753</f>
        <v>1477164.2899999917</v>
      </c>
      <c r="J1753" s="5">
        <v>3000000</v>
      </c>
      <c r="K1753" s="5">
        <v>5540000</v>
      </c>
      <c r="L1753" s="5">
        <v>5840000</v>
      </c>
      <c r="M1753" s="7">
        <v>1815.9</v>
      </c>
      <c r="N1753" s="5">
        <v>55900000</v>
      </c>
      <c r="O1753" s="5">
        <v>58900000</v>
      </c>
      <c r="P1753" s="3">
        <v>0.97916666666666663</v>
      </c>
    </row>
    <row r="1754" spans="1:16" x14ac:dyDescent="0.25">
      <c r="A1754" t="s">
        <v>1080</v>
      </c>
      <c r="B1754" s="2">
        <v>44916</v>
      </c>
      <c r="C1754" t="str">
        <f>TEXT(B1754,"mm")</f>
        <v>12</v>
      </c>
      <c r="D1754" t="s">
        <v>19</v>
      </c>
      <c r="E1754" t="s">
        <v>1636</v>
      </c>
      <c r="F1754" s="5">
        <v>55400000</v>
      </c>
      <c r="G1754" s="5">
        <v>58400000</v>
      </c>
      <c r="H1754" s="5">
        <f>M1754*26000*1.20565</f>
        <v>56922835.710000008</v>
      </c>
      <c r="I1754" s="5">
        <f>G1754-H1754</f>
        <v>1477164.2899999917</v>
      </c>
      <c r="J1754" s="5">
        <v>3000000</v>
      </c>
      <c r="K1754" s="5">
        <v>5540000</v>
      </c>
      <c r="L1754" s="5">
        <v>5840000</v>
      </c>
      <c r="M1754" s="7">
        <v>1815.9</v>
      </c>
      <c r="N1754" s="5">
        <v>55900000</v>
      </c>
      <c r="O1754" s="5">
        <v>58900000</v>
      </c>
      <c r="P1754" s="3">
        <v>0.97916666666666663</v>
      </c>
    </row>
    <row r="1755" spans="1:16" x14ac:dyDescent="0.25">
      <c r="A1755" t="s">
        <v>1081</v>
      </c>
      <c r="B1755" s="2">
        <v>44917</v>
      </c>
      <c r="C1755" t="str">
        <f>TEXT(B1755,"mm")</f>
        <v>12</v>
      </c>
      <c r="D1755" t="s">
        <v>20</v>
      </c>
      <c r="E1755" t="s">
        <v>1636</v>
      </c>
      <c r="F1755" s="5">
        <v>54400000</v>
      </c>
      <c r="G1755" s="5">
        <v>57400000</v>
      </c>
      <c r="H1755" s="5">
        <f>M1755*26000*1.20565</f>
        <v>56016910.300000004</v>
      </c>
      <c r="I1755" s="5">
        <f>G1755-H1755</f>
        <v>1383089.6999999955</v>
      </c>
      <c r="J1755" s="5">
        <v>3000000</v>
      </c>
      <c r="K1755" s="5">
        <v>5440000</v>
      </c>
      <c r="L1755" s="5">
        <v>5740000</v>
      </c>
      <c r="M1755" s="7">
        <v>1787</v>
      </c>
      <c r="N1755" s="5">
        <v>54900000</v>
      </c>
      <c r="O1755" s="5">
        <v>57900000</v>
      </c>
      <c r="P1755" s="3">
        <v>0.97916666666666663</v>
      </c>
    </row>
    <row r="1756" spans="1:16" x14ac:dyDescent="0.25">
      <c r="A1756" t="s">
        <v>1082</v>
      </c>
      <c r="B1756" s="2">
        <v>44918</v>
      </c>
      <c r="C1756" t="str">
        <f>TEXT(B1756,"mm")</f>
        <v>12</v>
      </c>
      <c r="D1756" t="s">
        <v>21</v>
      </c>
      <c r="E1756" t="s">
        <v>1636</v>
      </c>
      <c r="F1756" s="5">
        <v>54700000</v>
      </c>
      <c r="G1756" s="5">
        <v>57700000</v>
      </c>
      <c r="H1756" s="5">
        <f>M1756*26000*1.20565</f>
        <v>56295897.710000008</v>
      </c>
      <c r="I1756" s="5">
        <f>G1756-H1756</f>
        <v>1404102.2899999917</v>
      </c>
      <c r="J1756" s="5">
        <v>3000000</v>
      </c>
      <c r="K1756" s="5">
        <v>5470000</v>
      </c>
      <c r="L1756" s="5">
        <v>5770000</v>
      </c>
      <c r="M1756" s="7">
        <v>1795.9</v>
      </c>
      <c r="N1756" s="5">
        <v>55200000</v>
      </c>
      <c r="O1756" s="5">
        <v>58200000</v>
      </c>
      <c r="P1756" s="3">
        <v>0.97916666666666663</v>
      </c>
    </row>
    <row r="1757" spans="1:16" x14ac:dyDescent="0.25">
      <c r="A1757" t="s">
        <v>1083</v>
      </c>
      <c r="B1757" s="2">
        <v>44922</v>
      </c>
      <c r="C1757" t="str">
        <f>TEXT(B1757,"mm")</f>
        <v>12</v>
      </c>
      <c r="D1757" t="s">
        <v>18</v>
      </c>
      <c r="E1757" t="s">
        <v>1636</v>
      </c>
      <c r="F1757" s="5">
        <v>55300000</v>
      </c>
      <c r="G1757" s="5">
        <v>58300000</v>
      </c>
      <c r="H1757" s="5">
        <f>M1757*26000*1.20565</f>
        <v>56888354.120000005</v>
      </c>
      <c r="I1757" s="5">
        <f>G1757-H1757</f>
        <v>1411645.8799999952</v>
      </c>
      <c r="J1757" s="5">
        <v>3000000</v>
      </c>
      <c r="K1757" s="5">
        <v>5530000</v>
      </c>
      <c r="L1757" s="5">
        <v>5830000</v>
      </c>
      <c r="M1757" s="7">
        <v>1814.8</v>
      </c>
      <c r="N1757" s="5">
        <v>55800000</v>
      </c>
      <c r="O1757" s="5">
        <v>58800000</v>
      </c>
      <c r="P1757" s="3">
        <v>0.97916666666666663</v>
      </c>
    </row>
    <row r="1758" spans="1:16" x14ac:dyDescent="0.25">
      <c r="A1758" t="s">
        <v>1084</v>
      </c>
      <c r="B1758" s="2">
        <v>44923</v>
      </c>
      <c r="C1758" t="str">
        <f>TEXT(B1758,"mm")</f>
        <v>12</v>
      </c>
      <c r="D1758" t="s">
        <v>19</v>
      </c>
      <c r="E1758" t="s">
        <v>1636</v>
      </c>
      <c r="F1758" s="5">
        <v>55100000</v>
      </c>
      <c r="G1758" s="5">
        <v>58100000</v>
      </c>
      <c r="H1758" s="5">
        <f>M1758*26000*1.20565</f>
        <v>56672060.510000005</v>
      </c>
      <c r="I1758" s="5">
        <f>G1758-H1758</f>
        <v>1427939.4899999946</v>
      </c>
      <c r="J1758" s="5">
        <v>3000000</v>
      </c>
      <c r="K1758" s="5">
        <v>5510000</v>
      </c>
      <c r="L1758" s="5">
        <v>5810000</v>
      </c>
      <c r="M1758" s="7">
        <v>1807.9</v>
      </c>
      <c r="N1758" s="5">
        <v>55600000</v>
      </c>
      <c r="O1758" s="5">
        <v>58600000</v>
      </c>
      <c r="P1758" s="3">
        <v>0.97916666666666663</v>
      </c>
    </row>
    <row r="1759" spans="1:16" x14ac:dyDescent="0.25">
      <c r="A1759" t="s">
        <v>1085</v>
      </c>
      <c r="B1759" s="2">
        <v>44924</v>
      </c>
      <c r="C1759" t="str">
        <f>TEXT(B1759,"mm")</f>
        <v>12</v>
      </c>
      <c r="D1759" t="s">
        <v>20</v>
      </c>
      <c r="E1759" t="s">
        <v>1636</v>
      </c>
      <c r="F1759" s="5">
        <v>55500000</v>
      </c>
      <c r="G1759" s="5">
        <v>58500000</v>
      </c>
      <c r="H1759" s="5">
        <f>M1759*26000*1.20565</f>
        <v>57035684.550000004</v>
      </c>
      <c r="I1759" s="5">
        <f>G1759-H1759</f>
        <v>1464315.4499999955</v>
      </c>
      <c r="J1759" s="5">
        <v>3000000</v>
      </c>
      <c r="K1759" s="5">
        <v>5550000</v>
      </c>
      <c r="L1759" s="5">
        <v>5850000</v>
      </c>
      <c r="M1759" s="7">
        <v>1819.5</v>
      </c>
      <c r="N1759" s="5">
        <v>56000000</v>
      </c>
      <c r="O1759" s="5">
        <v>59000000</v>
      </c>
      <c r="P1759" s="3">
        <v>0.97916666666666663</v>
      </c>
    </row>
    <row r="1760" spans="1:16" x14ac:dyDescent="0.25">
      <c r="A1760" t="s">
        <v>1086</v>
      </c>
      <c r="B1760" s="2">
        <v>44925</v>
      </c>
      <c r="C1760" t="str">
        <f>TEXT(B1760,"mm")</f>
        <v>12</v>
      </c>
      <c r="D1760" t="s">
        <v>21</v>
      </c>
      <c r="E1760" t="s">
        <v>1636</v>
      </c>
      <c r="F1760" s="5">
        <v>55500000</v>
      </c>
      <c r="G1760" s="5">
        <v>58500000</v>
      </c>
      <c r="H1760" s="5">
        <f>M1760*26000*1.20565</f>
        <v>57041953.930000007</v>
      </c>
      <c r="I1760" s="5">
        <f>G1760-H1760</f>
        <v>1458046.0699999928</v>
      </c>
      <c r="J1760" s="5">
        <v>3000000</v>
      </c>
      <c r="K1760" s="5">
        <v>5550000</v>
      </c>
      <c r="L1760" s="5">
        <v>5850000</v>
      </c>
      <c r="M1760" s="7">
        <v>1819.7</v>
      </c>
      <c r="N1760" s="5">
        <v>56000000</v>
      </c>
      <c r="O1760" s="5">
        <v>59000000</v>
      </c>
      <c r="P1760" s="3">
        <v>0.97916666666666663</v>
      </c>
    </row>
    <row r="1761" spans="1:16" x14ac:dyDescent="0.25">
      <c r="A1761" s="2">
        <v>44986</v>
      </c>
      <c r="B1761" s="2">
        <v>44929</v>
      </c>
      <c r="C1761" t="str">
        <f>TEXT(B1761,"mm")</f>
        <v>01</v>
      </c>
      <c r="D1761" t="s">
        <v>18</v>
      </c>
      <c r="E1761" t="s">
        <v>1636</v>
      </c>
      <c r="F1761" s="5">
        <v>58200000</v>
      </c>
      <c r="G1761" s="5">
        <v>61200000</v>
      </c>
      <c r="H1761" s="5">
        <f>M1761*26000*1.20565</f>
        <v>57668891.930000007</v>
      </c>
      <c r="I1761" s="5">
        <f>G1761-H1761</f>
        <v>3531108.0699999928</v>
      </c>
      <c r="J1761" s="5">
        <v>3000000</v>
      </c>
      <c r="K1761" s="5">
        <v>5820000</v>
      </c>
      <c r="L1761" s="5">
        <v>6120000</v>
      </c>
      <c r="M1761" s="7">
        <v>1839.7</v>
      </c>
      <c r="N1761" s="5">
        <v>58700000</v>
      </c>
      <c r="O1761" s="5">
        <v>61700000</v>
      </c>
      <c r="P1761" s="3">
        <v>0.97916666666666663</v>
      </c>
    </row>
    <row r="1762" spans="1:16" x14ac:dyDescent="0.25">
      <c r="A1762" s="2">
        <v>45017</v>
      </c>
      <c r="B1762" s="2">
        <v>44930</v>
      </c>
      <c r="C1762" t="str">
        <f>TEXT(B1762,"mm")</f>
        <v>01</v>
      </c>
      <c r="D1762" t="s">
        <v>19</v>
      </c>
      <c r="E1762" t="s">
        <v>1636</v>
      </c>
      <c r="F1762" s="5">
        <v>58600000</v>
      </c>
      <c r="G1762" s="5">
        <v>61600000</v>
      </c>
      <c r="H1762" s="5">
        <f>M1762*26000*1.20565</f>
        <v>58079536.320000008</v>
      </c>
      <c r="I1762" s="5">
        <f>G1762-H1762</f>
        <v>3520463.6799999923</v>
      </c>
      <c r="J1762" s="5">
        <v>3000000</v>
      </c>
      <c r="K1762" s="5">
        <v>5860000</v>
      </c>
      <c r="L1762" s="5">
        <v>6160000</v>
      </c>
      <c r="M1762" s="7">
        <v>1852.8</v>
      </c>
      <c r="N1762" s="5">
        <v>59100000</v>
      </c>
      <c r="O1762" s="5">
        <v>62100000</v>
      </c>
      <c r="P1762" s="3">
        <v>0.97916666666666663</v>
      </c>
    </row>
    <row r="1763" spans="1:16" x14ac:dyDescent="0.25">
      <c r="A1763" s="2">
        <v>45047</v>
      </c>
      <c r="B1763" s="2">
        <v>44931</v>
      </c>
      <c r="C1763" t="str">
        <f>TEXT(B1763,"mm")</f>
        <v>01</v>
      </c>
      <c r="D1763" t="s">
        <v>20</v>
      </c>
      <c r="E1763" t="s">
        <v>1636</v>
      </c>
      <c r="F1763" s="5">
        <v>58000000</v>
      </c>
      <c r="G1763" s="5">
        <v>61000000</v>
      </c>
      <c r="H1763" s="5">
        <f>M1763*26000*1.20565</f>
        <v>57515292.120000005</v>
      </c>
      <c r="I1763" s="5">
        <f>G1763-H1763</f>
        <v>3484707.8799999952</v>
      </c>
      <c r="J1763" s="5">
        <v>3000000</v>
      </c>
      <c r="K1763" s="5">
        <v>5800000</v>
      </c>
      <c r="L1763" s="5">
        <v>6100000</v>
      </c>
      <c r="M1763" s="7">
        <v>1834.8</v>
      </c>
      <c r="N1763" s="5">
        <v>58500000</v>
      </c>
      <c r="O1763" s="5">
        <v>61500000</v>
      </c>
      <c r="P1763" s="3">
        <v>0.97916666666666663</v>
      </c>
    </row>
    <row r="1764" spans="1:16" x14ac:dyDescent="0.25">
      <c r="A1764" s="2">
        <v>45078</v>
      </c>
      <c r="B1764" s="2">
        <v>44932</v>
      </c>
      <c r="C1764" t="str">
        <f>TEXT(B1764,"mm")</f>
        <v>01</v>
      </c>
      <c r="D1764" t="s">
        <v>21</v>
      </c>
      <c r="E1764" t="s">
        <v>1636</v>
      </c>
      <c r="F1764" s="5">
        <v>59000000</v>
      </c>
      <c r="G1764" s="5">
        <v>62000000</v>
      </c>
      <c r="H1764" s="5">
        <f>M1764*26000*1.20565</f>
        <v>58436890.980000004</v>
      </c>
      <c r="I1764" s="5">
        <f>G1764-H1764</f>
        <v>3563109.0199999958</v>
      </c>
      <c r="J1764" s="5">
        <v>3000000</v>
      </c>
      <c r="K1764" s="5">
        <v>5900000</v>
      </c>
      <c r="L1764" s="5">
        <v>6200000</v>
      </c>
      <c r="M1764" s="7">
        <v>1864.2</v>
      </c>
      <c r="N1764" s="5">
        <v>59500000</v>
      </c>
      <c r="O1764" s="5">
        <v>62500000</v>
      </c>
      <c r="P1764" s="3">
        <v>0.97916666666666663</v>
      </c>
    </row>
    <row r="1765" spans="1:16" x14ac:dyDescent="0.25">
      <c r="A1765" s="2">
        <v>45170</v>
      </c>
      <c r="B1765" s="2">
        <v>44935</v>
      </c>
      <c r="C1765" t="str">
        <f>TEXT(B1765,"mm")</f>
        <v>01</v>
      </c>
      <c r="D1765" t="s">
        <v>16</v>
      </c>
      <c r="E1765" t="s">
        <v>1636</v>
      </c>
      <c r="F1765" s="5">
        <v>59300000</v>
      </c>
      <c r="G1765" s="5">
        <v>62300000</v>
      </c>
      <c r="H1765" s="5">
        <f>M1765*26000*1.20565</f>
        <v>58703339.630000003</v>
      </c>
      <c r="I1765" s="5">
        <f>G1765-H1765</f>
        <v>3596660.3699999973</v>
      </c>
      <c r="J1765" s="5">
        <v>3000000</v>
      </c>
      <c r="K1765" s="5">
        <v>5930000</v>
      </c>
      <c r="L1765" s="5">
        <v>6230000</v>
      </c>
      <c r="M1765" s="7">
        <v>1872.7</v>
      </c>
      <c r="N1765" s="5">
        <v>59800000</v>
      </c>
      <c r="O1765" s="5">
        <v>62800000</v>
      </c>
      <c r="P1765" s="3">
        <v>0.97916666666666663</v>
      </c>
    </row>
    <row r="1766" spans="1:16" x14ac:dyDescent="0.25">
      <c r="A1766" s="2">
        <v>45200</v>
      </c>
      <c r="B1766" s="2">
        <v>44936</v>
      </c>
      <c r="C1766" t="str">
        <f>TEXT(B1766,"mm")</f>
        <v>01</v>
      </c>
      <c r="D1766" t="s">
        <v>18</v>
      </c>
      <c r="E1766" t="s">
        <v>1636</v>
      </c>
      <c r="F1766" s="5">
        <v>59300000</v>
      </c>
      <c r="G1766" s="5">
        <v>62300000</v>
      </c>
      <c r="H1766" s="5">
        <f>M1766*26000*1.20565</f>
        <v>58668858.040000007</v>
      </c>
      <c r="I1766" s="5">
        <f>G1766-H1766</f>
        <v>3631141.9599999934</v>
      </c>
      <c r="J1766" s="5">
        <v>3000000</v>
      </c>
      <c r="K1766" s="5">
        <v>5930000</v>
      </c>
      <c r="L1766" s="5">
        <v>6230000</v>
      </c>
      <c r="M1766" s="7">
        <v>1871.6</v>
      </c>
      <c r="N1766" s="5">
        <v>59800000</v>
      </c>
      <c r="O1766" s="5">
        <v>62800000</v>
      </c>
      <c r="P1766" s="3">
        <v>0.97916666666666663</v>
      </c>
    </row>
    <row r="1767" spans="1:16" x14ac:dyDescent="0.25">
      <c r="A1767" s="2">
        <v>45231</v>
      </c>
      <c r="B1767" s="2">
        <v>44937</v>
      </c>
      <c r="C1767" t="str">
        <f>TEXT(B1767,"mm")</f>
        <v>01</v>
      </c>
      <c r="D1767" t="s">
        <v>19</v>
      </c>
      <c r="E1767" t="s">
        <v>1636</v>
      </c>
      <c r="F1767" s="5">
        <v>59400000</v>
      </c>
      <c r="G1767" s="5">
        <v>62400000</v>
      </c>
      <c r="H1767" s="5">
        <f>M1767*26000*1.20565</f>
        <v>58762898.740000002</v>
      </c>
      <c r="I1767" s="5">
        <f>G1767-H1767</f>
        <v>3637101.2599999979</v>
      </c>
      <c r="J1767" s="5">
        <v>3000000</v>
      </c>
      <c r="K1767" s="5">
        <v>5940000</v>
      </c>
      <c r="L1767" s="5">
        <v>6240000</v>
      </c>
      <c r="M1767" s="7">
        <v>1874.6</v>
      </c>
      <c r="N1767" s="5">
        <v>59900000</v>
      </c>
      <c r="O1767" s="5">
        <v>62900000</v>
      </c>
      <c r="P1767" s="3">
        <v>0.97916666666666663</v>
      </c>
    </row>
    <row r="1768" spans="1:16" x14ac:dyDescent="0.25">
      <c r="A1768" s="2">
        <v>45261</v>
      </c>
      <c r="B1768" s="2">
        <v>44938</v>
      </c>
      <c r="C1768" t="str">
        <f>TEXT(B1768,"mm")</f>
        <v>01</v>
      </c>
      <c r="D1768" t="s">
        <v>20</v>
      </c>
      <c r="E1768" t="s">
        <v>1636</v>
      </c>
      <c r="F1768" s="5">
        <v>60000000</v>
      </c>
      <c r="G1768" s="5">
        <v>63000000</v>
      </c>
      <c r="H1768" s="5">
        <f>M1768*26000*1.20565</f>
        <v>59418048.950000003</v>
      </c>
      <c r="I1768" s="5">
        <f>G1768-H1768</f>
        <v>3581951.049999997</v>
      </c>
      <c r="J1768" s="5">
        <v>3000000</v>
      </c>
      <c r="K1768" s="5">
        <v>6000000</v>
      </c>
      <c r="L1768" s="5">
        <v>6300000</v>
      </c>
      <c r="M1768" s="7">
        <v>1895.5</v>
      </c>
      <c r="N1768" s="5">
        <v>60500000</v>
      </c>
      <c r="O1768" s="5">
        <v>63500000</v>
      </c>
      <c r="P1768" s="3">
        <v>0.97916666666666663</v>
      </c>
    </row>
    <row r="1769" spans="1:16" x14ac:dyDescent="0.25">
      <c r="A1769" t="s">
        <v>1087</v>
      </c>
      <c r="B1769" s="2">
        <v>44939</v>
      </c>
      <c r="C1769" t="str">
        <f>TEXT(B1769,"mm")</f>
        <v>01</v>
      </c>
      <c r="D1769" t="s">
        <v>21</v>
      </c>
      <c r="E1769" t="s">
        <v>1636</v>
      </c>
      <c r="F1769" s="5">
        <v>60800000</v>
      </c>
      <c r="G1769" s="5">
        <v>63800000</v>
      </c>
      <c r="H1769" s="5">
        <f>M1769*26000*1.20565</f>
        <v>60135892.960000008</v>
      </c>
      <c r="I1769" s="5">
        <f>G1769-H1769</f>
        <v>3664107.0399999917</v>
      </c>
      <c r="J1769" s="5">
        <v>3000000</v>
      </c>
      <c r="K1769" s="5">
        <v>6080000</v>
      </c>
      <c r="L1769" s="5">
        <v>6380000</v>
      </c>
      <c r="M1769" s="7">
        <v>1918.4</v>
      </c>
      <c r="N1769" s="5">
        <v>61300000</v>
      </c>
      <c r="O1769" s="5">
        <v>64300000</v>
      </c>
      <c r="P1769" s="3">
        <v>0.97916666666666663</v>
      </c>
    </row>
    <row r="1770" spans="1:16" x14ac:dyDescent="0.25">
      <c r="A1770" t="s">
        <v>1088</v>
      </c>
      <c r="B1770" s="2">
        <v>44943</v>
      </c>
      <c r="C1770" t="str">
        <f>TEXT(B1770,"mm")</f>
        <v>01</v>
      </c>
      <c r="D1770" t="s">
        <v>18</v>
      </c>
      <c r="E1770" t="s">
        <v>1636</v>
      </c>
      <c r="F1770" s="5">
        <v>60400000</v>
      </c>
      <c r="G1770" s="5">
        <v>63400000</v>
      </c>
      <c r="H1770" s="5">
        <f>M1770*26000*1.20565</f>
        <v>59784807.680000007</v>
      </c>
      <c r="I1770" s="5">
        <f>G1770-H1770</f>
        <v>3615192.3199999928</v>
      </c>
      <c r="J1770" s="5">
        <v>3000000</v>
      </c>
      <c r="K1770" s="5">
        <v>6040000</v>
      </c>
      <c r="L1770" s="5">
        <v>6340000</v>
      </c>
      <c r="M1770" s="7">
        <v>1907.2</v>
      </c>
      <c r="N1770" s="5">
        <v>60900000</v>
      </c>
      <c r="O1770" s="5">
        <v>63900000</v>
      </c>
      <c r="P1770" s="3">
        <v>0.97916666666666663</v>
      </c>
    </row>
    <row r="1771" spans="1:16" x14ac:dyDescent="0.25">
      <c r="A1771" t="s">
        <v>1089</v>
      </c>
      <c r="B1771" s="2">
        <v>44944</v>
      </c>
      <c r="C1771" t="str">
        <f>TEXT(B1771,"mm")</f>
        <v>01</v>
      </c>
      <c r="D1771" t="s">
        <v>19</v>
      </c>
      <c r="E1771" t="s">
        <v>1636</v>
      </c>
      <c r="F1771" s="5">
        <v>60300000</v>
      </c>
      <c r="G1771" s="5">
        <v>63300000</v>
      </c>
      <c r="H1771" s="5">
        <f>M1771*26000*1.20565</f>
        <v>59697036.360000007</v>
      </c>
      <c r="I1771" s="5">
        <f>G1771-H1771</f>
        <v>3602963.6399999931</v>
      </c>
      <c r="J1771" s="5">
        <v>3000000</v>
      </c>
      <c r="K1771" s="5">
        <v>6030000</v>
      </c>
      <c r="L1771" s="5">
        <v>6330000</v>
      </c>
      <c r="M1771" s="7">
        <v>1904.4</v>
      </c>
      <c r="N1771" s="5">
        <v>60800000</v>
      </c>
      <c r="O1771" s="5">
        <v>63800000</v>
      </c>
      <c r="P1771" s="3">
        <v>0.97916666666666663</v>
      </c>
    </row>
    <row r="1772" spans="1:16" x14ac:dyDescent="0.25">
      <c r="A1772" t="s">
        <v>1090</v>
      </c>
      <c r="B1772" s="2">
        <v>44945</v>
      </c>
      <c r="C1772" t="str">
        <f>TEXT(B1772,"mm")</f>
        <v>01</v>
      </c>
      <c r="D1772" t="s">
        <v>20</v>
      </c>
      <c r="E1772" t="s">
        <v>1636</v>
      </c>
      <c r="F1772" s="5">
        <v>60900000</v>
      </c>
      <c r="G1772" s="5">
        <v>63900000</v>
      </c>
      <c r="H1772" s="5">
        <f>M1772*26000*1.20565</f>
        <v>60251876.490000002</v>
      </c>
      <c r="I1772" s="5">
        <f>G1772-H1772</f>
        <v>3648123.5099999979</v>
      </c>
      <c r="J1772" s="5">
        <v>3000000</v>
      </c>
      <c r="K1772" s="5">
        <v>6090000</v>
      </c>
      <c r="L1772" s="5">
        <v>6390000</v>
      </c>
      <c r="M1772" s="7">
        <v>1922.1</v>
      </c>
      <c r="N1772" s="5">
        <v>61400000</v>
      </c>
      <c r="O1772" s="5">
        <v>64400000</v>
      </c>
      <c r="P1772" s="3">
        <v>0.97916666666666663</v>
      </c>
    </row>
    <row r="1773" spans="1:16" x14ac:dyDescent="0.25">
      <c r="A1773" t="s">
        <v>1091</v>
      </c>
      <c r="B1773" s="2">
        <v>44946</v>
      </c>
      <c r="C1773" t="str">
        <f>TEXT(B1773,"mm")</f>
        <v>01</v>
      </c>
      <c r="D1773" t="s">
        <v>21</v>
      </c>
      <c r="E1773" t="s">
        <v>1636</v>
      </c>
      <c r="F1773" s="5">
        <v>61100000</v>
      </c>
      <c r="G1773" s="5">
        <v>64100000</v>
      </c>
      <c r="H1773" s="5">
        <f>M1773*26000*1.20565</f>
        <v>60386668.160000004</v>
      </c>
      <c r="I1773" s="5">
        <f>G1773-H1773</f>
        <v>3713331.8399999961</v>
      </c>
      <c r="J1773" s="5">
        <v>3000000</v>
      </c>
      <c r="K1773" s="5">
        <v>6110000</v>
      </c>
      <c r="L1773" s="5">
        <v>6410000</v>
      </c>
      <c r="M1773" s="7">
        <v>1926.4</v>
      </c>
      <c r="N1773" s="5">
        <v>61600000</v>
      </c>
      <c r="O1773" s="5">
        <v>64600000</v>
      </c>
      <c r="P1773" s="3">
        <v>0.97916666666666663</v>
      </c>
    </row>
    <row r="1774" spans="1:16" x14ac:dyDescent="0.25">
      <c r="A1774" t="s">
        <v>1092</v>
      </c>
      <c r="B1774" s="2">
        <v>44949</v>
      </c>
      <c r="C1774" t="str">
        <f>TEXT(B1774,"mm")</f>
        <v>01</v>
      </c>
      <c r="D1774" t="s">
        <v>16</v>
      </c>
      <c r="E1774" t="s">
        <v>1636</v>
      </c>
      <c r="F1774" s="5">
        <v>61100000</v>
      </c>
      <c r="G1774" s="5">
        <v>64100000</v>
      </c>
      <c r="H1774" s="5">
        <f>M1774*26000*1.20565</f>
        <v>60408610.990000002</v>
      </c>
      <c r="I1774" s="5">
        <f>G1774-H1774</f>
        <v>3691389.0099999979</v>
      </c>
      <c r="J1774" s="5">
        <v>3000000</v>
      </c>
      <c r="K1774" s="5">
        <v>6110000</v>
      </c>
      <c r="L1774" s="5">
        <v>6410000</v>
      </c>
      <c r="M1774" s="7">
        <v>1927.1</v>
      </c>
      <c r="N1774" s="5">
        <v>61600000</v>
      </c>
      <c r="O1774" s="5">
        <v>64600000</v>
      </c>
      <c r="P1774" s="3">
        <v>0.97916666666666663</v>
      </c>
    </row>
    <row r="1775" spans="1:16" x14ac:dyDescent="0.25">
      <c r="A1775" t="s">
        <v>1093</v>
      </c>
      <c r="B1775" s="2">
        <v>44950</v>
      </c>
      <c r="C1775" t="str">
        <f>TEXT(B1775,"mm")</f>
        <v>01</v>
      </c>
      <c r="D1775" t="s">
        <v>18</v>
      </c>
      <c r="E1775" t="s">
        <v>1636</v>
      </c>
      <c r="F1775" s="5">
        <v>61300000</v>
      </c>
      <c r="G1775" s="5">
        <v>64300000</v>
      </c>
      <c r="H1775" s="5">
        <f>M1775*26000*1.20565</f>
        <v>60621769.910000004</v>
      </c>
      <c r="I1775" s="5">
        <f>G1775-H1775</f>
        <v>3678230.0899999961</v>
      </c>
      <c r="J1775" s="5">
        <v>3000000</v>
      </c>
      <c r="K1775" s="5">
        <v>6130000</v>
      </c>
      <c r="L1775" s="5">
        <v>6430000</v>
      </c>
      <c r="M1775" s="7">
        <v>1933.9</v>
      </c>
      <c r="N1775" s="5">
        <v>61800000</v>
      </c>
      <c r="O1775" s="5">
        <v>64800000</v>
      </c>
      <c r="P1775" s="3">
        <v>0.97916666666666663</v>
      </c>
    </row>
    <row r="1776" spans="1:16" x14ac:dyDescent="0.25">
      <c r="A1776" t="s">
        <v>1094</v>
      </c>
      <c r="B1776" s="2">
        <v>44951</v>
      </c>
      <c r="C1776" t="str">
        <f>TEXT(B1776,"mm")</f>
        <v>01</v>
      </c>
      <c r="D1776" t="s">
        <v>19</v>
      </c>
      <c r="E1776" t="s">
        <v>1636</v>
      </c>
      <c r="F1776" s="5">
        <v>61600000</v>
      </c>
      <c r="G1776" s="5">
        <v>64600000</v>
      </c>
      <c r="H1776" s="5">
        <f>M1776*26000*1.20565</f>
        <v>60850602.280000009</v>
      </c>
      <c r="I1776" s="5">
        <f>G1776-H1776</f>
        <v>3749397.7199999914</v>
      </c>
      <c r="J1776" s="5">
        <v>3000000</v>
      </c>
      <c r="K1776" s="5">
        <v>6160000</v>
      </c>
      <c r="L1776" s="5">
        <v>6460000</v>
      </c>
      <c r="M1776" s="7">
        <v>1941.2</v>
      </c>
      <c r="N1776" s="5">
        <v>62100000</v>
      </c>
      <c r="O1776" s="5">
        <v>65100000</v>
      </c>
      <c r="P1776" s="3">
        <v>0.97916666666666663</v>
      </c>
    </row>
    <row r="1777" spans="1:16" x14ac:dyDescent="0.25">
      <c r="A1777" t="s">
        <v>1095</v>
      </c>
      <c r="B1777" s="2">
        <v>44952</v>
      </c>
      <c r="C1777" t="str">
        <f>TEXT(B1777,"mm")</f>
        <v>01</v>
      </c>
      <c r="D1777" t="s">
        <v>20</v>
      </c>
      <c r="E1777" t="s">
        <v>1636</v>
      </c>
      <c r="F1777" s="5">
        <v>61200000</v>
      </c>
      <c r="G1777" s="5">
        <v>64200000</v>
      </c>
      <c r="H1777" s="5">
        <f>M1777*26000*1.20565</f>
        <v>60471304.790000007</v>
      </c>
      <c r="I1777" s="5">
        <f>G1777-H1777</f>
        <v>3728695.2099999934</v>
      </c>
      <c r="J1777" s="5">
        <v>3000000</v>
      </c>
      <c r="K1777" s="5">
        <v>6120000</v>
      </c>
      <c r="L1777" s="5">
        <v>6420000</v>
      </c>
      <c r="M1777" s="7">
        <v>1929.1</v>
      </c>
      <c r="N1777" s="5">
        <v>61700000</v>
      </c>
      <c r="O1777" s="5">
        <v>64700000</v>
      </c>
      <c r="P1777" s="3">
        <v>0.97916666666666663</v>
      </c>
    </row>
    <row r="1778" spans="1:16" x14ac:dyDescent="0.25">
      <c r="A1778" t="s">
        <v>1096</v>
      </c>
      <c r="B1778" s="2">
        <v>44953</v>
      </c>
      <c r="C1778" t="str">
        <f>TEXT(B1778,"mm")</f>
        <v>01</v>
      </c>
      <c r="D1778" t="s">
        <v>21</v>
      </c>
      <c r="E1778" t="s">
        <v>1636</v>
      </c>
      <c r="F1778" s="5">
        <v>61100000</v>
      </c>
      <c r="G1778" s="5">
        <v>64100000</v>
      </c>
      <c r="H1778" s="5">
        <f>M1778*26000*1.20565</f>
        <v>60455631.340000004</v>
      </c>
      <c r="I1778" s="5">
        <f>G1778-H1778</f>
        <v>3644368.6599999964</v>
      </c>
      <c r="J1778" s="5">
        <v>3000000</v>
      </c>
      <c r="K1778" s="5">
        <v>6110000</v>
      </c>
      <c r="L1778" s="5">
        <v>6410000</v>
      </c>
      <c r="M1778" s="7">
        <v>1928.6</v>
      </c>
      <c r="N1778" s="5">
        <v>61600000</v>
      </c>
      <c r="O1778" s="5">
        <v>64600000</v>
      </c>
      <c r="P1778" s="3">
        <v>0.97916666666666663</v>
      </c>
    </row>
    <row r="1779" spans="1:16" x14ac:dyDescent="0.25">
      <c r="A1779" t="s">
        <v>1097</v>
      </c>
      <c r="B1779" s="2">
        <v>44956</v>
      </c>
      <c r="C1779" t="str">
        <f>TEXT(B1779,"mm")</f>
        <v>01</v>
      </c>
      <c r="D1779" t="s">
        <v>16</v>
      </c>
      <c r="E1779" t="s">
        <v>1636</v>
      </c>
      <c r="F1779" s="5">
        <v>61000000</v>
      </c>
      <c r="G1779" s="5">
        <v>64000000</v>
      </c>
      <c r="H1779" s="5">
        <f>M1779*26000*1.20565</f>
        <v>60276954.010000005</v>
      </c>
      <c r="I1779" s="5">
        <f>G1779-H1779</f>
        <v>3723045.9899999946</v>
      </c>
      <c r="J1779" s="5">
        <v>3000000</v>
      </c>
      <c r="K1779" s="5">
        <v>6100000</v>
      </c>
      <c r="L1779" s="5">
        <v>6400000</v>
      </c>
      <c r="M1779" s="7">
        <v>1922.9</v>
      </c>
      <c r="N1779" s="5">
        <v>61500000</v>
      </c>
      <c r="O1779" s="5">
        <v>64500000</v>
      </c>
      <c r="P1779" s="3">
        <v>0.97916666666666663</v>
      </c>
    </row>
    <row r="1780" spans="1:16" x14ac:dyDescent="0.25">
      <c r="A1780" t="s">
        <v>1098</v>
      </c>
      <c r="B1780" s="2">
        <v>44957</v>
      </c>
      <c r="C1780" t="str">
        <f>TEXT(B1780,"mm")</f>
        <v>01</v>
      </c>
      <c r="D1780" t="s">
        <v>18</v>
      </c>
      <c r="E1780" t="s">
        <v>1636</v>
      </c>
      <c r="F1780" s="5">
        <v>61200000</v>
      </c>
      <c r="G1780" s="5">
        <v>64200000</v>
      </c>
      <c r="H1780" s="5">
        <f>M1780*26000*1.20565</f>
        <v>60483843.550000004</v>
      </c>
      <c r="I1780" s="5">
        <f>G1780-H1780</f>
        <v>3716156.4499999955</v>
      </c>
      <c r="J1780" s="5">
        <v>3000000</v>
      </c>
      <c r="K1780" s="5">
        <v>6120000</v>
      </c>
      <c r="L1780" s="5">
        <v>6420000</v>
      </c>
      <c r="M1780" s="7">
        <v>1929.5</v>
      </c>
      <c r="N1780" s="5">
        <v>61700000</v>
      </c>
      <c r="O1780" s="5">
        <v>64700000</v>
      </c>
      <c r="P1780" s="3">
        <v>0.97916666666666663</v>
      </c>
    </row>
    <row r="1781" spans="1:16" x14ac:dyDescent="0.25">
      <c r="A1781" s="2">
        <v>44928</v>
      </c>
      <c r="B1781" s="2">
        <v>44958</v>
      </c>
      <c r="C1781" t="str">
        <f>TEXT(B1781,"mm")</f>
        <v>02</v>
      </c>
      <c r="D1781" t="s">
        <v>19</v>
      </c>
      <c r="E1781" t="s">
        <v>1636</v>
      </c>
      <c r="F1781" s="5">
        <v>61100000</v>
      </c>
      <c r="G1781" s="5">
        <v>64100000</v>
      </c>
      <c r="H1781" s="5">
        <f>M1781*26000*1.20565</f>
        <v>60430553.820000008</v>
      </c>
      <c r="I1781" s="5">
        <f>G1781-H1781</f>
        <v>3669446.1799999923</v>
      </c>
      <c r="J1781" s="5">
        <v>3000000</v>
      </c>
      <c r="K1781" s="5">
        <v>6110000</v>
      </c>
      <c r="L1781" s="5">
        <v>6410000</v>
      </c>
      <c r="M1781" s="7">
        <v>1927.8</v>
      </c>
      <c r="N1781" s="5">
        <v>61600000</v>
      </c>
      <c r="O1781" s="5">
        <v>64600000</v>
      </c>
      <c r="P1781" s="3">
        <v>0.97916666666666663</v>
      </c>
    </row>
    <row r="1782" spans="1:16" x14ac:dyDescent="0.25">
      <c r="A1782" s="2">
        <v>44959</v>
      </c>
      <c r="B1782" s="2">
        <v>44959</v>
      </c>
      <c r="C1782" t="str">
        <f>TEXT(B1782,"mm")</f>
        <v>02</v>
      </c>
      <c r="D1782" t="s">
        <v>20</v>
      </c>
      <c r="E1782" t="s">
        <v>1636</v>
      </c>
      <c r="F1782" s="5">
        <v>60700000</v>
      </c>
      <c r="G1782" s="5">
        <v>63700000</v>
      </c>
      <c r="H1782" s="5">
        <f>M1782*26000*1.20565</f>
        <v>60070064.470000006</v>
      </c>
      <c r="I1782" s="5">
        <f>G1782-H1782</f>
        <v>3629935.5299999937</v>
      </c>
      <c r="J1782" s="5">
        <v>3000000</v>
      </c>
      <c r="K1782" s="5">
        <v>6070000</v>
      </c>
      <c r="L1782" s="5">
        <v>6370000</v>
      </c>
      <c r="M1782" s="7">
        <v>1916.3</v>
      </c>
      <c r="N1782" s="5">
        <v>61200000</v>
      </c>
      <c r="O1782" s="5">
        <v>64200000</v>
      </c>
      <c r="P1782" s="3">
        <v>0.97916666666666663</v>
      </c>
    </row>
    <row r="1783" spans="1:16" x14ac:dyDescent="0.25">
      <c r="A1783" s="2">
        <v>44987</v>
      </c>
      <c r="B1783" s="2">
        <v>44960</v>
      </c>
      <c r="C1783" t="str">
        <f>TEXT(B1783,"mm")</f>
        <v>02</v>
      </c>
      <c r="D1783" t="s">
        <v>21</v>
      </c>
      <c r="E1783" t="s">
        <v>1636</v>
      </c>
      <c r="F1783" s="5">
        <v>59000000</v>
      </c>
      <c r="G1783" s="5">
        <v>62000000</v>
      </c>
      <c r="H1783" s="5">
        <f>M1783*26000*1.20565</f>
        <v>58396140.010000005</v>
      </c>
      <c r="I1783" s="5">
        <f>G1783-H1783</f>
        <v>3603859.9899999946</v>
      </c>
      <c r="J1783" s="5">
        <v>3000000</v>
      </c>
      <c r="K1783" s="5">
        <v>5900000</v>
      </c>
      <c r="L1783" s="5">
        <v>6200000</v>
      </c>
      <c r="M1783" s="7">
        <v>1862.9</v>
      </c>
      <c r="N1783" s="5">
        <v>59500000</v>
      </c>
      <c r="O1783" s="5">
        <v>62500000</v>
      </c>
      <c r="P1783" s="3">
        <v>0.97916666666666663</v>
      </c>
    </row>
    <row r="1784" spans="1:16" x14ac:dyDescent="0.25">
      <c r="A1784" s="2">
        <v>45079</v>
      </c>
      <c r="B1784" s="2">
        <v>44963</v>
      </c>
      <c r="C1784" t="str">
        <f>TEXT(B1784,"mm")</f>
        <v>02</v>
      </c>
      <c r="D1784" t="s">
        <v>16</v>
      </c>
      <c r="E1784" t="s">
        <v>1636</v>
      </c>
      <c r="F1784" s="5">
        <v>59100000</v>
      </c>
      <c r="G1784" s="5">
        <v>62100000</v>
      </c>
      <c r="H1784" s="5">
        <f>M1784*26000*1.20565</f>
        <v>58499584.780000009</v>
      </c>
      <c r="I1784" s="5">
        <f>G1784-H1784</f>
        <v>3600415.2199999914</v>
      </c>
      <c r="J1784" s="5">
        <v>3000000</v>
      </c>
      <c r="K1784" s="5">
        <v>5910000</v>
      </c>
      <c r="L1784" s="5">
        <v>6210000</v>
      </c>
      <c r="M1784" s="7">
        <v>1866.2</v>
      </c>
      <c r="N1784" s="5">
        <v>59600000</v>
      </c>
      <c r="O1784" s="5">
        <v>62600000</v>
      </c>
      <c r="P1784" s="3">
        <v>0.97916666666666663</v>
      </c>
    </row>
    <row r="1785" spans="1:16" x14ac:dyDescent="0.25">
      <c r="A1785" s="2">
        <v>45109</v>
      </c>
      <c r="B1785" s="2">
        <v>44964</v>
      </c>
      <c r="C1785" t="str">
        <f>TEXT(B1785,"mm")</f>
        <v>02</v>
      </c>
      <c r="D1785" t="s">
        <v>18</v>
      </c>
      <c r="E1785" t="s">
        <v>1636</v>
      </c>
      <c r="F1785" s="5">
        <v>59300000</v>
      </c>
      <c r="G1785" s="5">
        <v>62300000</v>
      </c>
      <c r="H1785" s="5">
        <f>M1785*26000*1.20565</f>
        <v>58671992.730000004</v>
      </c>
      <c r="I1785" s="5">
        <f>G1785-H1785</f>
        <v>3628007.2699999958</v>
      </c>
      <c r="J1785" s="5">
        <v>3000000</v>
      </c>
      <c r="K1785" s="5">
        <v>5930000</v>
      </c>
      <c r="L1785" s="5">
        <v>6230000</v>
      </c>
      <c r="M1785" s="7">
        <v>1871.7</v>
      </c>
      <c r="N1785" s="5">
        <v>59800000</v>
      </c>
      <c r="O1785" s="5">
        <v>62800000</v>
      </c>
      <c r="P1785" s="3">
        <v>0.97916666666666663</v>
      </c>
    </row>
    <row r="1786" spans="1:16" x14ac:dyDescent="0.25">
      <c r="A1786" s="2">
        <v>45140</v>
      </c>
      <c r="B1786" s="2">
        <v>44965</v>
      </c>
      <c r="C1786" t="str">
        <f>TEXT(B1786,"mm")</f>
        <v>02</v>
      </c>
      <c r="D1786" t="s">
        <v>19</v>
      </c>
      <c r="E1786" t="s">
        <v>1636</v>
      </c>
      <c r="F1786" s="5">
        <v>59400000</v>
      </c>
      <c r="G1786" s="5">
        <v>62400000</v>
      </c>
      <c r="H1786" s="5">
        <f>M1786*26000*1.20565</f>
        <v>58850670.060000002</v>
      </c>
      <c r="I1786" s="5">
        <f>G1786-H1786</f>
        <v>3549329.9399999976</v>
      </c>
      <c r="J1786" s="5">
        <v>3000000</v>
      </c>
      <c r="K1786" s="5">
        <v>5940000</v>
      </c>
      <c r="L1786" s="5">
        <v>6240000</v>
      </c>
      <c r="M1786" s="7">
        <v>1877.4</v>
      </c>
      <c r="N1786" s="5">
        <v>59900000</v>
      </c>
      <c r="O1786" s="5">
        <v>62900000</v>
      </c>
      <c r="P1786" s="3">
        <v>0.97916666666666663</v>
      </c>
    </row>
    <row r="1787" spans="1:16" x14ac:dyDescent="0.25">
      <c r="A1787" s="2">
        <v>45171</v>
      </c>
      <c r="B1787" s="2">
        <v>44966</v>
      </c>
      <c r="C1787" t="str">
        <f>TEXT(B1787,"mm")</f>
        <v>02</v>
      </c>
      <c r="D1787" t="s">
        <v>20</v>
      </c>
      <c r="E1787" t="s">
        <v>1636</v>
      </c>
      <c r="F1787" s="5">
        <v>59100000</v>
      </c>
      <c r="G1787" s="5">
        <v>62100000</v>
      </c>
      <c r="H1787" s="5">
        <f>M1787*26000*1.20565</f>
        <v>58499584.780000009</v>
      </c>
      <c r="I1787" s="5">
        <f>G1787-H1787</f>
        <v>3600415.2199999914</v>
      </c>
      <c r="J1787" s="5">
        <v>3000000</v>
      </c>
      <c r="K1787" s="5">
        <v>5910000</v>
      </c>
      <c r="L1787" s="5">
        <v>6210000</v>
      </c>
      <c r="M1787" s="7">
        <v>1866.2</v>
      </c>
      <c r="N1787" s="5">
        <v>59600000</v>
      </c>
      <c r="O1787" s="5">
        <v>62600000</v>
      </c>
      <c r="P1787" s="3">
        <v>0.97916666666666663</v>
      </c>
    </row>
    <row r="1788" spans="1:16" x14ac:dyDescent="0.25">
      <c r="A1788" s="2">
        <v>45201</v>
      </c>
      <c r="B1788" s="2">
        <v>44967</v>
      </c>
      <c r="C1788" t="str">
        <f>TEXT(B1788,"mm")</f>
        <v>02</v>
      </c>
      <c r="D1788" t="s">
        <v>21</v>
      </c>
      <c r="E1788" t="s">
        <v>1636</v>
      </c>
      <c r="F1788" s="5">
        <v>59000000</v>
      </c>
      <c r="G1788" s="5">
        <v>62000000</v>
      </c>
      <c r="H1788" s="5">
        <f>M1788*26000*1.20565</f>
        <v>58393005.320000008</v>
      </c>
      <c r="I1788" s="5">
        <f>G1788-H1788</f>
        <v>3606994.6799999923</v>
      </c>
      <c r="J1788" s="5">
        <v>3000000</v>
      </c>
      <c r="K1788" s="5">
        <v>5900000</v>
      </c>
      <c r="L1788" s="5">
        <v>6200000</v>
      </c>
      <c r="M1788" s="7">
        <v>1862.8</v>
      </c>
      <c r="N1788" s="5">
        <v>59500000</v>
      </c>
      <c r="O1788" s="5">
        <v>62500000</v>
      </c>
      <c r="P1788" s="3">
        <v>0.97916666666666663</v>
      </c>
    </row>
    <row r="1789" spans="1:16" x14ac:dyDescent="0.25">
      <c r="A1789" t="s">
        <v>1099</v>
      </c>
      <c r="B1789" s="2">
        <v>44970</v>
      </c>
      <c r="C1789" t="str">
        <f>TEXT(B1789,"mm")</f>
        <v>02</v>
      </c>
      <c r="D1789" t="s">
        <v>16</v>
      </c>
      <c r="E1789" t="s">
        <v>1636</v>
      </c>
      <c r="F1789" s="5">
        <v>58600000</v>
      </c>
      <c r="G1789" s="5">
        <v>61600000</v>
      </c>
      <c r="H1789" s="5">
        <f>M1789*26000*1.20565</f>
        <v>58051324.110000007</v>
      </c>
      <c r="I1789" s="5">
        <f>G1789-H1789</f>
        <v>3548675.8899999931</v>
      </c>
      <c r="J1789" s="5">
        <v>3000000</v>
      </c>
      <c r="K1789" s="5">
        <v>5860000</v>
      </c>
      <c r="L1789" s="5">
        <v>6160000</v>
      </c>
      <c r="M1789" s="7">
        <v>1851.9</v>
      </c>
      <c r="N1789" s="5">
        <v>59100000</v>
      </c>
      <c r="O1789" s="5">
        <v>62100000</v>
      </c>
      <c r="P1789" s="3">
        <v>0.97916666666666663</v>
      </c>
    </row>
    <row r="1790" spans="1:16" x14ac:dyDescent="0.25">
      <c r="A1790" t="s">
        <v>1100</v>
      </c>
      <c r="B1790" s="2">
        <v>44971</v>
      </c>
      <c r="C1790" t="str">
        <f>TEXT(B1790,"mm")</f>
        <v>02</v>
      </c>
      <c r="D1790" t="s">
        <v>18</v>
      </c>
      <c r="E1790" t="s">
        <v>1636</v>
      </c>
      <c r="F1790" s="5">
        <v>58700000</v>
      </c>
      <c r="G1790" s="5">
        <v>61700000</v>
      </c>
      <c r="H1790" s="5">
        <f>M1790*26000*1.20565</f>
        <v>58117152.600000009</v>
      </c>
      <c r="I1790" s="5">
        <f>G1790-H1790</f>
        <v>3582847.3999999911</v>
      </c>
      <c r="J1790" s="5">
        <v>3000000</v>
      </c>
      <c r="K1790" s="5">
        <v>5870000</v>
      </c>
      <c r="L1790" s="5">
        <v>6170000</v>
      </c>
      <c r="M1790" s="7">
        <v>1854</v>
      </c>
      <c r="N1790" s="5">
        <v>59200000</v>
      </c>
      <c r="O1790" s="5">
        <v>62200000</v>
      </c>
      <c r="P1790" s="3">
        <v>0.97916666666666663</v>
      </c>
    </row>
    <row r="1791" spans="1:16" x14ac:dyDescent="0.25">
      <c r="A1791" t="s">
        <v>1101</v>
      </c>
      <c r="B1791" s="2">
        <v>44972</v>
      </c>
      <c r="C1791" t="str">
        <f>TEXT(B1791,"mm")</f>
        <v>02</v>
      </c>
      <c r="D1791" t="s">
        <v>19</v>
      </c>
      <c r="E1791" t="s">
        <v>1636</v>
      </c>
      <c r="F1791" s="5">
        <v>58000000</v>
      </c>
      <c r="G1791" s="5">
        <v>61000000</v>
      </c>
      <c r="H1791" s="5">
        <f>M1791*26000*1.20565</f>
        <v>57496483.980000004</v>
      </c>
      <c r="I1791" s="5">
        <f>G1791-H1791</f>
        <v>3503516.0199999958</v>
      </c>
      <c r="J1791" s="5">
        <v>3000000</v>
      </c>
      <c r="K1791" s="5">
        <v>5800000</v>
      </c>
      <c r="L1791" s="5">
        <v>6100000</v>
      </c>
      <c r="M1791" s="7">
        <v>1834.2</v>
      </c>
      <c r="N1791" s="5">
        <v>58500000</v>
      </c>
      <c r="O1791" s="5">
        <v>61500000</v>
      </c>
      <c r="P1791" s="3">
        <v>0.97916666666666663</v>
      </c>
    </row>
    <row r="1792" spans="1:16" x14ac:dyDescent="0.25">
      <c r="A1792" t="s">
        <v>1102</v>
      </c>
      <c r="B1792" s="2">
        <v>44973</v>
      </c>
      <c r="C1792" t="str">
        <f>TEXT(B1792,"mm")</f>
        <v>02</v>
      </c>
      <c r="D1792" t="s">
        <v>20</v>
      </c>
      <c r="E1792" t="s">
        <v>1636</v>
      </c>
      <c r="F1792" s="5">
        <v>58300000</v>
      </c>
      <c r="G1792" s="5">
        <v>61300000</v>
      </c>
      <c r="H1792" s="5">
        <f>M1792*26000*1.20565</f>
        <v>57740989.800000004</v>
      </c>
      <c r="I1792" s="5">
        <f>G1792-H1792</f>
        <v>3559010.1999999955</v>
      </c>
      <c r="J1792" s="5">
        <v>3000000</v>
      </c>
      <c r="K1792" s="5">
        <v>5830000</v>
      </c>
      <c r="L1792" s="5">
        <v>6130000</v>
      </c>
      <c r="M1792" s="7">
        <v>1842</v>
      </c>
      <c r="N1792" s="5">
        <v>58800000</v>
      </c>
      <c r="O1792" s="5">
        <v>61800000</v>
      </c>
      <c r="P1792" s="3">
        <v>0.97916666666666663</v>
      </c>
    </row>
    <row r="1793" spans="1:16" x14ac:dyDescent="0.25">
      <c r="A1793" t="s">
        <v>1103</v>
      </c>
      <c r="B1793" s="2">
        <v>44974</v>
      </c>
      <c r="C1793" t="str">
        <f>TEXT(B1793,"mm")</f>
        <v>02</v>
      </c>
      <c r="D1793" t="s">
        <v>21</v>
      </c>
      <c r="E1793" t="s">
        <v>1636</v>
      </c>
      <c r="F1793" s="5">
        <v>58200000</v>
      </c>
      <c r="G1793" s="5">
        <v>61200000</v>
      </c>
      <c r="H1793" s="5">
        <f>M1793*26000*1.20565</f>
        <v>57690834.760000005</v>
      </c>
      <c r="I1793" s="5">
        <f>G1793-H1793</f>
        <v>3509165.2399999946</v>
      </c>
      <c r="J1793" s="5">
        <v>3000000</v>
      </c>
      <c r="K1793" s="5">
        <v>5820000</v>
      </c>
      <c r="L1793" s="5">
        <v>6120000</v>
      </c>
      <c r="M1793" s="7">
        <v>1840.4</v>
      </c>
      <c r="N1793" s="5">
        <v>58700000</v>
      </c>
      <c r="O1793" s="5">
        <v>61700000</v>
      </c>
      <c r="P1793" s="3">
        <v>0.97916666666666663</v>
      </c>
    </row>
    <row r="1794" spans="1:16" x14ac:dyDescent="0.25">
      <c r="A1794" t="s">
        <v>1104</v>
      </c>
      <c r="B1794" s="2">
        <v>44978</v>
      </c>
      <c r="C1794" t="str">
        <f>TEXT(B1794,"mm")</f>
        <v>02</v>
      </c>
      <c r="D1794" t="s">
        <v>18</v>
      </c>
      <c r="E1794" t="s">
        <v>1636</v>
      </c>
      <c r="F1794" s="5">
        <v>58000000</v>
      </c>
      <c r="G1794" s="5">
        <v>61000000</v>
      </c>
      <c r="H1794" s="5">
        <f>M1794*26000*1.20565</f>
        <v>57458867.700000003</v>
      </c>
      <c r="I1794" s="5">
        <f>G1794-H1794</f>
        <v>3541132.299999997</v>
      </c>
      <c r="J1794" s="5">
        <v>3000000</v>
      </c>
      <c r="K1794" s="5">
        <v>5800000</v>
      </c>
      <c r="L1794" s="5">
        <v>6100000</v>
      </c>
      <c r="M1794" s="7">
        <v>1833</v>
      </c>
      <c r="N1794" s="5">
        <v>58500000</v>
      </c>
      <c r="O1794" s="5">
        <v>61500000</v>
      </c>
      <c r="P1794" s="3">
        <v>0.97916666666666663</v>
      </c>
    </row>
    <row r="1795" spans="1:16" x14ac:dyDescent="0.25">
      <c r="A1795" t="s">
        <v>1105</v>
      </c>
      <c r="B1795" s="2">
        <v>44979</v>
      </c>
      <c r="C1795" t="str">
        <f>TEXT(B1795,"mm")</f>
        <v>02</v>
      </c>
      <c r="D1795" t="s">
        <v>19</v>
      </c>
      <c r="E1795" t="s">
        <v>1636</v>
      </c>
      <c r="F1795" s="5">
        <v>57900000</v>
      </c>
      <c r="G1795" s="5">
        <v>60900000</v>
      </c>
      <c r="H1795" s="5">
        <f>M1795*26000*1.20565</f>
        <v>57427520.800000004</v>
      </c>
      <c r="I1795" s="5">
        <f>G1795-H1795</f>
        <v>3472479.1999999955</v>
      </c>
      <c r="J1795" s="5">
        <v>3000000</v>
      </c>
      <c r="K1795" s="5">
        <v>5790000</v>
      </c>
      <c r="L1795" s="5">
        <v>6090000</v>
      </c>
      <c r="M1795" s="7">
        <v>1832</v>
      </c>
      <c r="N1795" s="5">
        <v>58400000</v>
      </c>
      <c r="O1795" s="5">
        <v>61400000</v>
      </c>
      <c r="P1795" s="3">
        <v>0.97916666666666663</v>
      </c>
    </row>
    <row r="1796" spans="1:16" x14ac:dyDescent="0.25">
      <c r="A1796" t="s">
        <v>1106</v>
      </c>
      <c r="B1796" s="2">
        <v>44980</v>
      </c>
      <c r="C1796" t="str">
        <f>TEXT(B1796,"mm")</f>
        <v>02</v>
      </c>
      <c r="D1796" t="s">
        <v>20</v>
      </c>
      <c r="E1796" t="s">
        <v>1636</v>
      </c>
      <c r="F1796" s="5">
        <v>57500000</v>
      </c>
      <c r="G1796" s="5">
        <v>60500000</v>
      </c>
      <c r="H1796" s="5">
        <f>M1796*26000*1.20565</f>
        <v>56988664.200000003</v>
      </c>
      <c r="I1796" s="5">
        <f>G1796-H1796</f>
        <v>3511335.799999997</v>
      </c>
      <c r="J1796" s="5">
        <v>3000000</v>
      </c>
      <c r="K1796" s="5">
        <v>5750000</v>
      </c>
      <c r="L1796" s="5">
        <v>6050000</v>
      </c>
      <c r="M1796" s="7">
        <v>1818</v>
      </c>
      <c r="N1796" s="5">
        <v>58000000</v>
      </c>
      <c r="O1796" s="5">
        <v>61000000</v>
      </c>
      <c r="P1796" s="3">
        <v>0.97916666666666663</v>
      </c>
    </row>
    <row r="1797" spans="1:16" x14ac:dyDescent="0.25">
      <c r="A1797" t="s">
        <v>1107</v>
      </c>
      <c r="B1797" s="2">
        <v>44981</v>
      </c>
      <c r="C1797" t="str">
        <f>TEXT(B1797,"mm")</f>
        <v>02</v>
      </c>
      <c r="D1797" t="s">
        <v>21</v>
      </c>
      <c r="E1797" t="s">
        <v>1636</v>
      </c>
      <c r="F1797" s="5">
        <v>57200000</v>
      </c>
      <c r="G1797" s="5">
        <v>60200000</v>
      </c>
      <c r="H1797" s="5">
        <f>M1797*26000*1.20565</f>
        <v>56700272.720000006</v>
      </c>
      <c r="I1797" s="5">
        <f>G1797-H1797</f>
        <v>3499727.2799999937</v>
      </c>
      <c r="J1797" s="5">
        <v>3000000</v>
      </c>
      <c r="K1797" s="5">
        <v>5720000</v>
      </c>
      <c r="L1797" s="5">
        <v>6020000</v>
      </c>
      <c r="M1797" s="7">
        <v>1808.8</v>
      </c>
      <c r="N1797" s="5">
        <v>57700000</v>
      </c>
      <c r="O1797" s="5">
        <v>60700000</v>
      </c>
      <c r="P1797" s="3">
        <v>0.97916666666666663</v>
      </c>
    </row>
    <row r="1798" spans="1:16" x14ac:dyDescent="0.25">
      <c r="A1798" t="s">
        <v>1108</v>
      </c>
      <c r="B1798" s="2">
        <v>44984</v>
      </c>
      <c r="C1798" t="str">
        <f>TEXT(B1798,"mm")</f>
        <v>02</v>
      </c>
      <c r="D1798" t="s">
        <v>16</v>
      </c>
      <c r="E1798" t="s">
        <v>1636</v>
      </c>
      <c r="F1798" s="5">
        <v>57400000</v>
      </c>
      <c r="G1798" s="5">
        <v>60400000</v>
      </c>
      <c r="H1798" s="5">
        <f>M1798*26000*1.20565</f>
        <v>56957317.300000004</v>
      </c>
      <c r="I1798" s="5">
        <f>G1798-H1798</f>
        <v>3442682.6999999955</v>
      </c>
      <c r="J1798" s="5">
        <v>3000000</v>
      </c>
      <c r="K1798" s="5">
        <v>5740000</v>
      </c>
      <c r="L1798" s="5">
        <v>6040000</v>
      </c>
      <c r="M1798" s="7">
        <v>1817</v>
      </c>
      <c r="N1798" s="5">
        <v>57900000</v>
      </c>
      <c r="O1798" s="5">
        <v>60900000</v>
      </c>
      <c r="P1798" s="3">
        <v>0.97916666666666663</v>
      </c>
    </row>
    <row r="1799" spans="1:16" x14ac:dyDescent="0.25">
      <c r="A1799" t="s">
        <v>1109</v>
      </c>
      <c r="B1799" s="2">
        <v>44985</v>
      </c>
      <c r="C1799" t="str">
        <f>TEXT(B1799,"mm")</f>
        <v>02</v>
      </c>
      <c r="D1799" t="s">
        <v>18</v>
      </c>
      <c r="E1799" t="s">
        <v>1636</v>
      </c>
      <c r="F1799" s="5">
        <v>57800000</v>
      </c>
      <c r="G1799" s="5">
        <v>60800000</v>
      </c>
      <c r="H1799" s="5">
        <f>M1799*26000*1.20565</f>
        <v>57330345.410000004</v>
      </c>
      <c r="I1799" s="5">
        <f>G1799-H1799</f>
        <v>3469654.5899999961</v>
      </c>
      <c r="J1799" s="5">
        <v>3000000</v>
      </c>
      <c r="K1799" s="5">
        <v>5780000</v>
      </c>
      <c r="L1799" s="5">
        <v>6080000</v>
      </c>
      <c r="M1799" s="7">
        <v>1828.9</v>
      </c>
      <c r="N1799" s="5">
        <v>58300000</v>
      </c>
      <c r="O1799" s="5">
        <v>61300000</v>
      </c>
      <c r="P1799" s="3">
        <v>0.97916666666666663</v>
      </c>
    </row>
    <row r="1800" spans="1:16" x14ac:dyDescent="0.25">
      <c r="A1800" s="2">
        <v>44929</v>
      </c>
      <c r="B1800" s="2">
        <v>44986</v>
      </c>
      <c r="C1800" t="str">
        <f>TEXT(B1800,"mm")</f>
        <v>03</v>
      </c>
      <c r="D1800" t="s">
        <v>19</v>
      </c>
      <c r="E1800" t="s">
        <v>1636</v>
      </c>
      <c r="F1800" s="5">
        <v>58100000</v>
      </c>
      <c r="G1800" s="5">
        <v>61100000</v>
      </c>
      <c r="H1800" s="5">
        <f>M1800*26000*1.20565</f>
        <v>57606198.130000003</v>
      </c>
      <c r="I1800" s="5">
        <f>G1800-H1800</f>
        <v>3493801.8699999973</v>
      </c>
      <c r="J1800" s="5">
        <v>3000000</v>
      </c>
      <c r="K1800" s="5">
        <v>5810000</v>
      </c>
      <c r="L1800" s="5">
        <v>6110000</v>
      </c>
      <c r="M1800" s="7">
        <v>1837.7</v>
      </c>
      <c r="N1800" s="5">
        <v>58600000</v>
      </c>
      <c r="O1800" s="5">
        <v>61600000</v>
      </c>
      <c r="P1800" s="3">
        <v>0.97916666666666663</v>
      </c>
    </row>
    <row r="1801" spans="1:16" x14ac:dyDescent="0.25">
      <c r="A1801" s="2">
        <v>44960</v>
      </c>
      <c r="B1801" s="2">
        <v>44987</v>
      </c>
      <c r="C1801" t="str">
        <f>TEXT(B1801,"mm")</f>
        <v>03</v>
      </c>
      <c r="D1801" t="s">
        <v>20</v>
      </c>
      <c r="E1801" t="s">
        <v>1636</v>
      </c>
      <c r="F1801" s="5">
        <v>58000000</v>
      </c>
      <c r="G1801" s="5">
        <v>61000000</v>
      </c>
      <c r="H1801" s="5">
        <f>M1801*26000*1.20565</f>
        <v>57474541.150000006</v>
      </c>
      <c r="I1801" s="5">
        <f>G1801-H1801</f>
        <v>3525458.849999994</v>
      </c>
      <c r="J1801" s="5">
        <v>3000000</v>
      </c>
      <c r="K1801" s="5">
        <v>5800000</v>
      </c>
      <c r="L1801" s="5">
        <v>6100000</v>
      </c>
      <c r="M1801" s="7">
        <v>1833.5</v>
      </c>
      <c r="N1801" s="5">
        <v>58500000</v>
      </c>
      <c r="O1801" s="5">
        <v>61500000</v>
      </c>
      <c r="P1801" s="3">
        <v>0.97916666666666663</v>
      </c>
    </row>
    <row r="1802" spans="1:16" x14ac:dyDescent="0.25">
      <c r="A1802" s="2">
        <v>44988</v>
      </c>
      <c r="B1802" s="2">
        <v>44988</v>
      </c>
      <c r="C1802" t="str">
        <f>TEXT(B1802,"mm")</f>
        <v>03</v>
      </c>
      <c r="D1802" t="s">
        <v>21</v>
      </c>
      <c r="E1802" t="s">
        <v>1636</v>
      </c>
      <c r="F1802" s="5">
        <v>58500000</v>
      </c>
      <c r="G1802" s="5">
        <v>61500000</v>
      </c>
      <c r="H1802" s="5">
        <f>M1802*26000*1.20565</f>
        <v>57919667.130000003</v>
      </c>
      <c r="I1802" s="5">
        <f>G1802-H1802</f>
        <v>3580332.8699999973</v>
      </c>
      <c r="J1802" s="5">
        <v>3000000</v>
      </c>
      <c r="K1802" s="5">
        <v>5850000</v>
      </c>
      <c r="L1802" s="5">
        <v>6150000</v>
      </c>
      <c r="M1802" s="7">
        <v>1847.7</v>
      </c>
      <c r="N1802" s="5">
        <v>59000000</v>
      </c>
      <c r="O1802" s="5">
        <v>62000000</v>
      </c>
      <c r="P1802" s="3">
        <v>0.97916666666666663</v>
      </c>
    </row>
    <row r="1803" spans="1:16" x14ac:dyDescent="0.25">
      <c r="A1803" s="2">
        <v>45080</v>
      </c>
      <c r="B1803" s="2">
        <v>44991</v>
      </c>
      <c r="C1803" t="str">
        <f>TEXT(B1803,"mm")</f>
        <v>03</v>
      </c>
      <c r="D1803" t="s">
        <v>16</v>
      </c>
      <c r="E1803" t="s">
        <v>1636</v>
      </c>
      <c r="F1803" s="5">
        <v>58500000</v>
      </c>
      <c r="G1803" s="5">
        <v>61500000</v>
      </c>
      <c r="H1803" s="5">
        <f>M1803*26000*1.20565</f>
        <v>57925936.510000005</v>
      </c>
      <c r="I1803" s="5">
        <f>G1803-H1803</f>
        <v>3574063.4899999946</v>
      </c>
      <c r="J1803" s="5">
        <v>3000000</v>
      </c>
      <c r="K1803" s="5">
        <v>5850000</v>
      </c>
      <c r="L1803" s="5">
        <v>6150000</v>
      </c>
      <c r="M1803" s="7">
        <v>1847.9</v>
      </c>
      <c r="N1803" s="5">
        <v>59000000</v>
      </c>
      <c r="O1803" s="5">
        <v>62000000</v>
      </c>
      <c r="P1803" s="3">
        <v>0.97916666666666663</v>
      </c>
    </row>
    <row r="1804" spans="1:16" x14ac:dyDescent="0.25">
      <c r="A1804" s="2">
        <v>45110</v>
      </c>
      <c r="B1804" s="2">
        <v>44992</v>
      </c>
      <c r="C1804" t="str">
        <f>TEXT(B1804,"mm")</f>
        <v>03</v>
      </c>
      <c r="D1804" t="s">
        <v>18</v>
      </c>
      <c r="E1804" t="s">
        <v>1636</v>
      </c>
      <c r="F1804" s="5">
        <v>57300000</v>
      </c>
      <c r="G1804" s="5">
        <v>60300000</v>
      </c>
      <c r="H1804" s="5">
        <f>M1804*26000*1.20565</f>
        <v>56860141.910000004</v>
      </c>
      <c r="I1804" s="5">
        <f>G1804-H1804</f>
        <v>3439858.0899999961</v>
      </c>
      <c r="J1804" s="5">
        <v>3000000</v>
      </c>
      <c r="K1804" s="5">
        <v>5730000</v>
      </c>
      <c r="L1804" s="5">
        <v>6030000</v>
      </c>
      <c r="M1804" s="7">
        <v>1813.9</v>
      </c>
      <c r="N1804" s="5">
        <v>57800000</v>
      </c>
      <c r="O1804" s="5">
        <v>60800000</v>
      </c>
      <c r="P1804" s="3">
        <v>0.97916666666666663</v>
      </c>
    </row>
    <row r="1805" spans="1:16" x14ac:dyDescent="0.25">
      <c r="A1805" s="2">
        <v>45141</v>
      </c>
      <c r="B1805" s="2">
        <v>44993</v>
      </c>
      <c r="C1805" t="str">
        <f>TEXT(B1805,"mm")</f>
        <v>03</v>
      </c>
      <c r="D1805" t="s">
        <v>19</v>
      </c>
      <c r="E1805" t="s">
        <v>1636</v>
      </c>
      <c r="F1805" s="5">
        <v>57300000</v>
      </c>
      <c r="G1805" s="5">
        <v>60300000</v>
      </c>
      <c r="H1805" s="5">
        <f>M1805*26000*1.20565</f>
        <v>56822525.630000003</v>
      </c>
      <c r="I1805" s="5">
        <f>G1805-H1805</f>
        <v>3477474.3699999973</v>
      </c>
      <c r="J1805" s="5">
        <v>3000000</v>
      </c>
      <c r="K1805" s="5">
        <v>5730000</v>
      </c>
      <c r="L1805" s="5">
        <v>6030000</v>
      </c>
      <c r="M1805" s="7">
        <v>1812.7</v>
      </c>
      <c r="N1805" s="5">
        <v>57800000</v>
      </c>
      <c r="O1805" s="5">
        <v>60800000</v>
      </c>
      <c r="P1805" s="3">
        <v>0.97916666666666663</v>
      </c>
    </row>
    <row r="1806" spans="1:16" x14ac:dyDescent="0.25">
      <c r="A1806" s="2">
        <v>45172</v>
      </c>
      <c r="B1806" s="2">
        <v>44994</v>
      </c>
      <c r="C1806" t="str">
        <f>TEXT(B1806,"mm")</f>
        <v>03</v>
      </c>
      <c r="D1806" t="s">
        <v>20</v>
      </c>
      <c r="E1806" t="s">
        <v>1636</v>
      </c>
      <c r="F1806" s="5">
        <v>57800000</v>
      </c>
      <c r="G1806" s="5">
        <v>60800000</v>
      </c>
      <c r="H1806" s="5">
        <f>M1806*26000*1.20565</f>
        <v>57342884.170000002</v>
      </c>
      <c r="I1806" s="5">
        <f>G1806-H1806</f>
        <v>3457115.8299999982</v>
      </c>
      <c r="J1806" s="5">
        <v>3000000</v>
      </c>
      <c r="K1806" s="5">
        <v>5780000</v>
      </c>
      <c r="L1806" s="5">
        <v>6080000</v>
      </c>
      <c r="M1806" s="7">
        <v>1829.3</v>
      </c>
      <c r="N1806" s="5">
        <v>58300000</v>
      </c>
      <c r="O1806" s="5">
        <v>61300000</v>
      </c>
      <c r="P1806" s="3">
        <v>0.97916666666666663</v>
      </c>
    </row>
    <row r="1807" spans="1:16" x14ac:dyDescent="0.25">
      <c r="A1807" s="2">
        <v>45202</v>
      </c>
      <c r="B1807" s="2">
        <v>44995</v>
      </c>
      <c r="C1807" t="str">
        <f>TEXT(B1807,"mm")</f>
        <v>03</v>
      </c>
      <c r="D1807" t="s">
        <v>21</v>
      </c>
      <c r="E1807" t="s">
        <v>1636</v>
      </c>
      <c r="F1807" s="5">
        <v>58900000</v>
      </c>
      <c r="G1807" s="5">
        <v>61900000</v>
      </c>
      <c r="H1807" s="5">
        <f>M1807*26000*1.20565</f>
        <v>58367927.800000004</v>
      </c>
      <c r="I1807" s="5">
        <f>G1807-H1807</f>
        <v>3532072.1999999955</v>
      </c>
      <c r="J1807" s="5">
        <v>3000000</v>
      </c>
      <c r="K1807" s="5">
        <v>5890000</v>
      </c>
      <c r="L1807" s="5">
        <v>6190000</v>
      </c>
      <c r="M1807" s="7">
        <v>1862</v>
      </c>
      <c r="N1807" s="5">
        <v>59400000</v>
      </c>
      <c r="O1807" s="5">
        <v>62400000</v>
      </c>
      <c r="P1807" s="3">
        <v>0.97916666666666663</v>
      </c>
    </row>
    <row r="1808" spans="1:16" x14ac:dyDescent="0.25">
      <c r="A1808" t="s">
        <v>1110</v>
      </c>
      <c r="B1808" s="2">
        <v>44998</v>
      </c>
      <c r="C1808" t="str">
        <f>TEXT(B1808,"mm")</f>
        <v>03</v>
      </c>
      <c r="D1808" t="s">
        <v>16</v>
      </c>
      <c r="E1808" t="s">
        <v>1636</v>
      </c>
      <c r="F1808" s="5">
        <v>60600000</v>
      </c>
      <c r="G1808" s="5">
        <v>63600000</v>
      </c>
      <c r="H1808" s="5">
        <f>M1808*26000*1.20565</f>
        <v>59925868.730000004</v>
      </c>
      <c r="I1808" s="5">
        <f>G1808-H1808</f>
        <v>3674131.2699999958</v>
      </c>
      <c r="J1808" s="5">
        <v>3000000</v>
      </c>
      <c r="K1808" s="5">
        <v>6060000</v>
      </c>
      <c r="L1808" s="5">
        <v>6360000</v>
      </c>
      <c r="M1808" s="7">
        <v>1911.7</v>
      </c>
      <c r="N1808" s="5">
        <v>61100000</v>
      </c>
      <c r="O1808" s="5">
        <v>64100000</v>
      </c>
      <c r="P1808" s="3">
        <v>0.97916666666666663</v>
      </c>
    </row>
    <row r="1809" spans="1:16" x14ac:dyDescent="0.25">
      <c r="A1809" t="s">
        <v>1111</v>
      </c>
      <c r="B1809" s="2">
        <v>44999</v>
      </c>
      <c r="C1809" t="str">
        <f>TEXT(B1809,"mm")</f>
        <v>03</v>
      </c>
      <c r="D1809" t="s">
        <v>18</v>
      </c>
      <c r="E1809" t="s">
        <v>1636</v>
      </c>
      <c r="F1809" s="5">
        <v>60400000</v>
      </c>
      <c r="G1809" s="5">
        <v>63400000</v>
      </c>
      <c r="H1809" s="5">
        <f>M1809*26000*1.20565</f>
        <v>59753460.780000009</v>
      </c>
      <c r="I1809" s="5">
        <f>G1809-H1809</f>
        <v>3646539.2199999914</v>
      </c>
      <c r="J1809" s="5">
        <v>3000000</v>
      </c>
      <c r="K1809" s="5">
        <v>6040000</v>
      </c>
      <c r="L1809" s="5">
        <v>6340000</v>
      </c>
      <c r="M1809" s="7">
        <v>1906.2</v>
      </c>
      <c r="N1809" s="5">
        <v>60900000</v>
      </c>
      <c r="O1809" s="5">
        <v>63900000</v>
      </c>
      <c r="P1809" s="3">
        <v>0.97916666666666663</v>
      </c>
    </row>
    <row r="1810" spans="1:16" x14ac:dyDescent="0.25">
      <c r="A1810" t="s">
        <v>1112</v>
      </c>
      <c r="B1810" s="2">
        <v>45000</v>
      </c>
      <c r="C1810" t="str">
        <f>TEXT(B1810,"mm")</f>
        <v>03</v>
      </c>
      <c r="D1810" t="s">
        <v>19</v>
      </c>
      <c r="E1810" t="s">
        <v>1636</v>
      </c>
      <c r="F1810" s="5">
        <v>61100000</v>
      </c>
      <c r="G1810" s="5">
        <v>64100000</v>
      </c>
      <c r="H1810" s="5">
        <f>M1810*26000*1.20565</f>
        <v>60392937.540000007</v>
      </c>
      <c r="I1810" s="5">
        <f>G1810-H1810</f>
        <v>3707062.4599999934</v>
      </c>
      <c r="J1810" s="5">
        <v>3000000</v>
      </c>
      <c r="K1810" s="5">
        <v>6110000</v>
      </c>
      <c r="L1810" s="5">
        <v>6410000</v>
      </c>
      <c r="M1810" s="7">
        <v>1926.6</v>
      </c>
      <c r="N1810" s="5">
        <v>61600000</v>
      </c>
      <c r="O1810" s="5">
        <v>64600000</v>
      </c>
      <c r="P1810" s="3">
        <v>0.97916666666666663</v>
      </c>
    </row>
    <row r="1811" spans="1:16" x14ac:dyDescent="0.25">
      <c r="A1811" t="s">
        <v>1113</v>
      </c>
      <c r="B1811" s="2">
        <v>45001</v>
      </c>
      <c r="C1811" t="str">
        <f>TEXT(B1811,"mm")</f>
        <v>03</v>
      </c>
      <c r="D1811" t="s">
        <v>20</v>
      </c>
      <c r="E1811" t="s">
        <v>1636</v>
      </c>
      <c r="F1811" s="5">
        <v>60800000</v>
      </c>
      <c r="G1811" s="5">
        <v>63800000</v>
      </c>
      <c r="H1811" s="5">
        <f>M1811*26000*1.20565</f>
        <v>60154701.100000009</v>
      </c>
      <c r="I1811" s="5">
        <f>G1811-H1811</f>
        <v>3645298.8999999911</v>
      </c>
      <c r="J1811" s="5">
        <v>3000000</v>
      </c>
      <c r="K1811" s="5">
        <v>6080000</v>
      </c>
      <c r="L1811" s="5">
        <v>6380000</v>
      </c>
      <c r="M1811" s="7">
        <v>1919</v>
      </c>
      <c r="N1811" s="5">
        <v>61300000</v>
      </c>
      <c r="O1811" s="5">
        <v>64300000</v>
      </c>
      <c r="P1811" s="3">
        <v>0.97916666666666663</v>
      </c>
    </row>
    <row r="1812" spans="1:16" x14ac:dyDescent="0.25">
      <c r="A1812" t="s">
        <v>1114</v>
      </c>
      <c r="B1812" s="2">
        <v>45002</v>
      </c>
      <c r="C1812" t="str">
        <f>TEXT(B1812,"mm")</f>
        <v>03</v>
      </c>
      <c r="D1812" t="s">
        <v>21</v>
      </c>
      <c r="E1812" t="s">
        <v>1636</v>
      </c>
      <c r="F1812" s="5">
        <v>62500000</v>
      </c>
      <c r="G1812" s="5">
        <v>65500000</v>
      </c>
      <c r="H1812" s="5">
        <f>M1812*26000*1.20565</f>
        <v>61747123.620000005</v>
      </c>
      <c r="I1812" s="5">
        <f>G1812-H1812</f>
        <v>3752876.3799999952</v>
      </c>
      <c r="J1812" s="5">
        <v>3000000</v>
      </c>
      <c r="K1812" s="5">
        <v>6250000</v>
      </c>
      <c r="L1812" s="5">
        <v>6550000</v>
      </c>
      <c r="M1812" s="7">
        <v>1969.8</v>
      </c>
      <c r="N1812" s="5">
        <v>63000000</v>
      </c>
      <c r="O1812" s="5">
        <v>66000000</v>
      </c>
      <c r="P1812" s="3">
        <v>0.97916666666666663</v>
      </c>
    </row>
    <row r="1813" spans="1:16" x14ac:dyDescent="0.25">
      <c r="A1813" t="s">
        <v>1115</v>
      </c>
      <c r="B1813" s="2">
        <v>45005</v>
      </c>
      <c r="C1813" t="str">
        <f>TEXT(B1813,"mm")</f>
        <v>03</v>
      </c>
      <c r="D1813" t="s">
        <v>16</v>
      </c>
      <c r="E1813" t="s">
        <v>1636</v>
      </c>
      <c r="F1813" s="5">
        <v>62800000</v>
      </c>
      <c r="G1813" s="5">
        <v>65800000</v>
      </c>
      <c r="H1813" s="5">
        <f>M1813*26000*1.20565</f>
        <v>62041784.480000004</v>
      </c>
      <c r="I1813" s="5">
        <f>G1813-H1813</f>
        <v>3758215.5199999958</v>
      </c>
      <c r="J1813" s="5">
        <v>3000000</v>
      </c>
      <c r="K1813" s="5">
        <v>6280000</v>
      </c>
      <c r="L1813" s="5">
        <v>6580000</v>
      </c>
      <c r="M1813" s="7">
        <v>1979.2</v>
      </c>
      <c r="N1813" s="5">
        <v>63300000</v>
      </c>
      <c r="O1813" s="5">
        <v>66300000</v>
      </c>
      <c r="P1813" s="3">
        <v>0.97916666666666663</v>
      </c>
    </row>
    <row r="1814" spans="1:16" x14ac:dyDescent="0.25">
      <c r="A1814" t="s">
        <v>1116</v>
      </c>
      <c r="B1814" s="2">
        <v>45006</v>
      </c>
      <c r="C1814" t="str">
        <f>TEXT(B1814,"mm")</f>
        <v>03</v>
      </c>
      <c r="D1814" t="s">
        <v>18</v>
      </c>
      <c r="E1814" t="s">
        <v>1636</v>
      </c>
      <c r="F1814" s="5">
        <v>61500000</v>
      </c>
      <c r="G1814" s="5">
        <v>64500000</v>
      </c>
      <c r="H1814" s="5">
        <f>M1814*26000*1.20565</f>
        <v>60750292.200000003</v>
      </c>
      <c r="I1814" s="5">
        <f>G1814-H1814</f>
        <v>3749707.799999997</v>
      </c>
      <c r="J1814" s="5">
        <v>3000000</v>
      </c>
      <c r="K1814" s="5">
        <v>6150000</v>
      </c>
      <c r="L1814" s="5">
        <v>6450000</v>
      </c>
      <c r="M1814" s="7">
        <v>1938</v>
      </c>
      <c r="N1814" s="5">
        <v>62000000</v>
      </c>
      <c r="O1814" s="5">
        <v>65000000</v>
      </c>
      <c r="P1814" s="3">
        <v>0.97916666666666663</v>
      </c>
    </row>
    <row r="1815" spans="1:16" x14ac:dyDescent="0.25">
      <c r="A1815" t="s">
        <v>1117</v>
      </c>
      <c r="B1815" s="2">
        <v>45007</v>
      </c>
      <c r="C1815" t="str">
        <f>TEXT(B1815,"mm")</f>
        <v>03</v>
      </c>
      <c r="D1815" t="s">
        <v>19</v>
      </c>
      <c r="E1815" t="s">
        <v>1636</v>
      </c>
      <c r="F1815" s="5">
        <v>61800000</v>
      </c>
      <c r="G1815" s="5">
        <v>64800000</v>
      </c>
      <c r="H1815" s="5">
        <f>M1815*26000*1.20565</f>
        <v>61026144.920000009</v>
      </c>
      <c r="I1815" s="5">
        <f>G1815-H1815</f>
        <v>3773855.0799999908</v>
      </c>
      <c r="J1815" s="5">
        <v>3000000</v>
      </c>
      <c r="K1815" s="5">
        <v>6180000</v>
      </c>
      <c r="L1815" s="5">
        <v>6480000</v>
      </c>
      <c r="M1815" s="7">
        <v>1946.8</v>
      </c>
      <c r="N1815" s="5">
        <v>62300000</v>
      </c>
      <c r="O1815" s="5">
        <v>65300000</v>
      </c>
      <c r="P1815" s="3">
        <v>0.97916666666666663</v>
      </c>
    </row>
    <row r="1816" spans="1:16" x14ac:dyDescent="0.25">
      <c r="A1816" t="s">
        <v>1118</v>
      </c>
      <c r="B1816" s="2">
        <v>45008</v>
      </c>
      <c r="C1816" t="str">
        <f>TEXT(B1816,"mm")</f>
        <v>03</v>
      </c>
      <c r="D1816" t="s">
        <v>20</v>
      </c>
      <c r="E1816" t="s">
        <v>1636</v>
      </c>
      <c r="F1816" s="5">
        <v>63300000</v>
      </c>
      <c r="G1816" s="5">
        <v>66300000</v>
      </c>
      <c r="H1816" s="5">
        <f>M1816*26000*1.20565</f>
        <v>62499449.220000006</v>
      </c>
      <c r="I1816" s="5">
        <f>G1816-H1816</f>
        <v>3800550.7799999937</v>
      </c>
      <c r="J1816" s="5">
        <v>3000000</v>
      </c>
      <c r="K1816" s="5">
        <v>6330000</v>
      </c>
      <c r="L1816" s="5">
        <v>6630000</v>
      </c>
      <c r="M1816" s="7">
        <v>1993.8</v>
      </c>
      <c r="N1816" s="5">
        <v>63800000</v>
      </c>
      <c r="O1816" s="5">
        <v>66800000</v>
      </c>
      <c r="P1816" s="3">
        <v>0.97916666666666663</v>
      </c>
    </row>
    <row r="1817" spans="1:16" x14ac:dyDescent="0.25">
      <c r="A1817" t="s">
        <v>1119</v>
      </c>
      <c r="B1817" s="2">
        <v>45009</v>
      </c>
      <c r="C1817" t="str">
        <f>TEXT(B1817,"mm")</f>
        <v>03</v>
      </c>
      <c r="D1817" t="s">
        <v>21</v>
      </c>
      <c r="E1817" t="s">
        <v>1636</v>
      </c>
      <c r="F1817" s="5">
        <v>62900000</v>
      </c>
      <c r="G1817" s="5">
        <v>65900000</v>
      </c>
      <c r="H1817" s="5">
        <f>M1817*26000*1.20565</f>
        <v>62132690.490000002</v>
      </c>
      <c r="I1817" s="5">
        <f>G1817-H1817</f>
        <v>3767309.5099999979</v>
      </c>
      <c r="J1817" s="5">
        <v>3000000</v>
      </c>
      <c r="K1817" s="5">
        <v>6290000</v>
      </c>
      <c r="L1817" s="5">
        <v>6590000</v>
      </c>
      <c r="M1817" s="7">
        <v>1982.1</v>
      </c>
      <c r="N1817" s="5">
        <v>63400000</v>
      </c>
      <c r="O1817" s="5">
        <v>66400000</v>
      </c>
      <c r="P1817" s="3">
        <v>0.97916666666666663</v>
      </c>
    </row>
    <row r="1818" spans="1:16" x14ac:dyDescent="0.25">
      <c r="A1818" t="s">
        <v>1120</v>
      </c>
      <c r="B1818" s="2">
        <v>45012</v>
      </c>
      <c r="C1818" t="str">
        <f>TEXT(B1818,"mm")</f>
        <v>03</v>
      </c>
      <c r="D1818" t="s">
        <v>16</v>
      </c>
      <c r="E1818" t="s">
        <v>1636</v>
      </c>
      <c r="F1818" s="5">
        <v>61900000</v>
      </c>
      <c r="G1818" s="5">
        <v>64900000</v>
      </c>
      <c r="H1818" s="5">
        <f>M1818*26000*1.20565</f>
        <v>61201687.560000002</v>
      </c>
      <c r="I1818" s="5">
        <f>G1818-H1818</f>
        <v>3698312.4399999976</v>
      </c>
      <c r="J1818" s="5">
        <v>3000000</v>
      </c>
      <c r="K1818" s="5">
        <v>6190000</v>
      </c>
      <c r="L1818" s="5">
        <v>6490000</v>
      </c>
      <c r="M1818" s="7">
        <v>1952.4</v>
      </c>
      <c r="N1818" s="5">
        <v>62400000</v>
      </c>
      <c r="O1818" s="5">
        <v>65400000</v>
      </c>
      <c r="P1818" s="3">
        <v>0.97916666666666663</v>
      </c>
    </row>
    <row r="1819" spans="1:16" x14ac:dyDescent="0.25">
      <c r="A1819" t="s">
        <v>1121</v>
      </c>
      <c r="B1819" s="2">
        <v>45013</v>
      </c>
      <c r="C1819" t="str">
        <f>TEXT(B1819,"mm")</f>
        <v>03</v>
      </c>
      <c r="D1819" t="s">
        <v>18</v>
      </c>
      <c r="E1819" t="s">
        <v>1636</v>
      </c>
      <c r="F1819" s="5">
        <v>62600000</v>
      </c>
      <c r="G1819" s="5">
        <v>65600000</v>
      </c>
      <c r="H1819" s="5">
        <f>M1819*26000*1.20565</f>
        <v>61828625.560000002</v>
      </c>
      <c r="I1819" s="5">
        <f>G1819-H1819</f>
        <v>3771374.4399999976</v>
      </c>
      <c r="J1819" s="5">
        <v>3000000</v>
      </c>
      <c r="K1819" s="5">
        <v>6260000</v>
      </c>
      <c r="L1819" s="5">
        <v>6560000</v>
      </c>
      <c r="M1819" s="7">
        <v>1972.4</v>
      </c>
      <c r="N1819" s="5">
        <v>63100000</v>
      </c>
      <c r="O1819" s="5">
        <v>66100000</v>
      </c>
      <c r="P1819" s="3">
        <v>0.97916666666666663</v>
      </c>
    </row>
    <row r="1820" spans="1:16" x14ac:dyDescent="0.25">
      <c r="A1820" t="s">
        <v>1122</v>
      </c>
      <c r="B1820" s="2">
        <v>45014</v>
      </c>
      <c r="C1820" t="str">
        <f>TEXT(B1820,"mm")</f>
        <v>03</v>
      </c>
      <c r="D1820" t="s">
        <v>19</v>
      </c>
      <c r="E1820" t="s">
        <v>1636</v>
      </c>
      <c r="F1820" s="5">
        <v>62400000</v>
      </c>
      <c r="G1820" s="5">
        <v>65400000</v>
      </c>
      <c r="H1820" s="5">
        <f>M1820*26000*1.20565</f>
        <v>61631140.090000004</v>
      </c>
      <c r="I1820" s="5">
        <f>G1820-H1820</f>
        <v>3768859.9099999964</v>
      </c>
      <c r="J1820" s="5">
        <v>3000000</v>
      </c>
      <c r="K1820" s="5">
        <v>6240000</v>
      </c>
      <c r="L1820" s="5">
        <v>6540000</v>
      </c>
      <c r="M1820" s="7">
        <v>1966.1</v>
      </c>
      <c r="N1820" s="5">
        <v>62900000</v>
      </c>
      <c r="O1820" s="5">
        <v>65900000</v>
      </c>
      <c r="P1820" s="3">
        <v>0.97916666666666663</v>
      </c>
    </row>
    <row r="1821" spans="1:16" x14ac:dyDescent="0.25">
      <c r="A1821" t="s">
        <v>1123</v>
      </c>
      <c r="B1821" s="2">
        <v>45015</v>
      </c>
      <c r="C1821" t="str">
        <f>TEXT(B1821,"mm")</f>
        <v>03</v>
      </c>
      <c r="D1821" t="s">
        <v>20</v>
      </c>
      <c r="E1821" t="s">
        <v>1636</v>
      </c>
      <c r="F1821" s="5">
        <v>62900000</v>
      </c>
      <c r="G1821" s="5">
        <v>65900000</v>
      </c>
      <c r="H1821" s="5">
        <f>M1821*26000*1.20565</f>
        <v>62076266.070000008</v>
      </c>
      <c r="I1821" s="5">
        <f>G1821-H1821</f>
        <v>3823733.9299999923</v>
      </c>
      <c r="J1821" s="5">
        <v>3000000</v>
      </c>
      <c r="K1821" s="5">
        <v>6290000</v>
      </c>
      <c r="L1821" s="5">
        <v>6590000</v>
      </c>
      <c r="M1821" s="7">
        <v>1980.3</v>
      </c>
      <c r="N1821" s="5">
        <v>63400000</v>
      </c>
      <c r="O1821" s="5">
        <v>66400000</v>
      </c>
      <c r="P1821" s="3">
        <v>0.97916666666666663</v>
      </c>
    </row>
    <row r="1822" spans="1:16" x14ac:dyDescent="0.25">
      <c r="A1822" t="s">
        <v>1124</v>
      </c>
      <c r="B1822" s="2">
        <v>45016</v>
      </c>
      <c r="C1822" t="str">
        <f>TEXT(B1822,"mm")</f>
        <v>03</v>
      </c>
      <c r="D1822" t="s">
        <v>21</v>
      </c>
      <c r="E1822" t="s">
        <v>1636</v>
      </c>
      <c r="F1822" s="5">
        <v>62500000</v>
      </c>
      <c r="G1822" s="5">
        <v>65500000</v>
      </c>
      <c r="H1822" s="5">
        <f>M1822*26000*1.20565</f>
        <v>61722046.100000009</v>
      </c>
      <c r="I1822" s="5">
        <f>G1822-H1822</f>
        <v>3777953.8999999911</v>
      </c>
      <c r="J1822" s="5">
        <v>3000000</v>
      </c>
      <c r="K1822" s="5">
        <v>6250000</v>
      </c>
      <c r="L1822" s="5">
        <v>6550000</v>
      </c>
      <c r="M1822" s="7">
        <v>1969</v>
      </c>
      <c r="N1822" s="5">
        <v>63000000</v>
      </c>
      <c r="O1822" s="5">
        <v>66000000</v>
      </c>
      <c r="P1822" s="3">
        <v>0.97916666666666663</v>
      </c>
    </row>
    <row r="1823" spans="1:16" x14ac:dyDescent="0.25">
      <c r="A1823" s="2">
        <v>44989</v>
      </c>
      <c r="B1823" s="2">
        <v>45019</v>
      </c>
      <c r="C1823" t="str">
        <f>TEXT(B1823,"mm")</f>
        <v>04</v>
      </c>
      <c r="D1823" t="s">
        <v>16</v>
      </c>
      <c r="E1823" t="s">
        <v>1636</v>
      </c>
      <c r="F1823" s="5">
        <v>63000000</v>
      </c>
      <c r="G1823" s="5">
        <v>66000000</v>
      </c>
      <c r="H1823" s="5">
        <f>M1823*26000*1.20565</f>
        <v>62189114.910000004</v>
      </c>
      <c r="I1823" s="5">
        <f>G1823-H1823</f>
        <v>3810885.0899999961</v>
      </c>
      <c r="J1823" s="5">
        <v>3000000</v>
      </c>
      <c r="K1823" s="5">
        <v>6300000</v>
      </c>
      <c r="L1823" s="5">
        <v>6600000</v>
      </c>
      <c r="M1823" s="7">
        <v>1983.9</v>
      </c>
      <c r="N1823" s="5">
        <v>63500000</v>
      </c>
      <c r="O1823" s="5">
        <v>66500000</v>
      </c>
      <c r="P1823" s="3">
        <v>0.97916666666666663</v>
      </c>
    </row>
    <row r="1824" spans="1:16" x14ac:dyDescent="0.25">
      <c r="A1824" s="2">
        <v>45020</v>
      </c>
      <c r="B1824" s="2">
        <v>45020</v>
      </c>
      <c r="C1824" t="str">
        <f>TEXT(B1824,"mm")</f>
        <v>04</v>
      </c>
      <c r="D1824" t="s">
        <v>18</v>
      </c>
      <c r="E1824" t="s">
        <v>1636</v>
      </c>
      <c r="F1824" s="5">
        <v>64300000</v>
      </c>
      <c r="G1824" s="5">
        <v>67300000</v>
      </c>
      <c r="H1824" s="5">
        <f>M1824*26000*1.20565</f>
        <v>63389701.180000007</v>
      </c>
      <c r="I1824" s="5">
        <f>G1824-H1824</f>
        <v>3910298.8199999928</v>
      </c>
      <c r="J1824" s="5">
        <v>3000000</v>
      </c>
      <c r="K1824" s="5">
        <v>6430000</v>
      </c>
      <c r="L1824" s="5">
        <v>6730000</v>
      </c>
      <c r="M1824" s="7">
        <v>2022.2</v>
      </c>
      <c r="N1824" s="5">
        <v>64800000</v>
      </c>
      <c r="O1824" s="5">
        <v>67800000</v>
      </c>
      <c r="P1824" s="3">
        <v>0.97916666666666663</v>
      </c>
    </row>
    <row r="1825" spans="1:16" x14ac:dyDescent="0.25">
      <c r="A1825" s="2">
        <v>45050</v>
      </c>
      <c r="B1825" s="2">
        <v>45021</v>
      </c>
      <c r="C1825" t="str">
        <f>TEXT(B1825,"mm")</f>
        <v>04</v>
      </c>
      <c r="D1825" t="s">
        <v>19</v>
      </c>
      <c r="E1825" t="s">
        <v>1636</v>
      </c>
      <c r="F1825" s="5">
        <v>64200000</v>
      </c>
      <c r="G1825" s="5">
        <v>67200000</v>
      </c>
      <c r="H1825" s="5">
        <f>M1825*26000*1.20565</f>
        <v>63348950.210000008</v>
      </c>
      <c r="I1825" s="5">
        <f>G1825-H1825</f>
        <v>3851049.7899999917</v>
      </c>
      <c r="J1825" s="5">
        <v>3000000</v>
      </c>
      <c r="K1825" s="5">
        <v>6420000</v>
      </c>
      <c r="L1825" s="5">
        <v>6720000</v>
      </c>
      <c r="M1825" s="7">
        <v>2020.9</v>
      </c>
      <c r="N1825" s="5">
        <v>64700000</v>
      </c>
      <c r="O1825" s="5">
        <v>67700000</v>
      </c>
      <c r="P1825" s="3">
        <v>0.97916666666666663</v>
      </c>
    </row>
    <row r="1826" spans="1:16" x14ac:dyDescent="0.25">
      <c r="A1826" s="2">
        <v>45081</v>
      </c>
      <c r="B1826" s="2">
        <v>45022</v>
      </c>
      <c r="C1826" t="str">
        <f>TEXT(B1826,"mm")</f>
        <v>04</v>
      </c>
      <c r="D1826" t="s">
        <v>20</v>
      </c>
      <c r="E1826" t="s">
        <v>1636</v>
      </c>
      <c r="F1826" s="5">
        <v>63900000</v>
      </c>
      <c r="G1826" s="5">
        <v>66900000</v>
      </c>
      <c r="H1826" s="5">
        <f>M1826*26000*1.20565</f>
        <v>63066828.110000007</v>
      </c>
      <c r="I1826" s="5">
        <f>G1826-H1826</f>
        <v>3833171.8899999931</v>
      </c>
      <c r="J1826" s="5">
        <v>3000000</v>
      </c>
      <c r="K1826" s="5">
        <v>6390000</v>
      </c>
      <c r="L1826" s="5">
        <v>6690000</v>
      </c>
      <c r="M1826" s="7">
        <v>2011.9</v>
      </c>
      <c r="N1826" s="5">
        <v>64400000</v>
      </c>
      <c r="O1826" s="5">
        <v>67400000</v>
      </c>
      <c r="P1826" s="3">
        <v>0.97916666666666663</v>
      </c>
    </row>
    <row r="1827" spans="1:16" x14ac:dyDescent="0.25">
      <c r="A1827" s="2">
        <v>45203</v>
      </c>
      <c r="B1827" s="2">
        <v>45026</v>
      </c>
      <c r="C1827" t="str">
        <f>TEXT(B1827,"mm")</f>
        <v>04</v>
      </c>
      <c r="D1827" t="s">
        <v>16</v>
      </c>
      <c r="E1827" t="s">
        <v>1636</v>
      </c>
      <c r="F1827" s="5">
        <v>63200000</v>
      </c>
      <c r="G1827" s="5">
        <v>66200000</v>
      </c>
      <c r="H1827" s="5">
        <f>M1827*26000*1.20565</f>
        <v>62352118.790000007</v>
      </c>
      <c r="I1827" s="5">
        <f>G1827-H1827</f>
        <v>3847881.2099999934</v>
      </c>
      <c r="J1827" s="5">
        <v>3000000</v>
      </c>
      <c r="K1827" s="5">
        <v>6320000</v>
      </c>
      <c r="L1827" s="5">
        <v>6620000</v>
      </c>
      <c r="M1827" s="7">
        <v>1989.1</v>
      </c>
      <c r="N1827" s="5">
        <v>63700000</v>
      </c>
      <c r="O1827" s="5">
        <v>66700000</v>
      </c>
      <c r="P1827" s="3">
        <v>0.97916666666666663</v>
      </c>
    </row>
    <row r="1828" spans="1:16" x14ac:dyDescent="0.25">
      <c r="A1828" s="2">
        <v>45234</v>
      </c>
      <c r="B1828" s="2">
        <v>45027</v>
      </c>
      <c r="C1828" t="str">
        <f>TEXT(B1828,"mm")</f>
        <v>04</v>
      </c>
      <c r="D1828" t="s">
        <v>18</v>
      </c>
      <c r="E1828" t="s">
        <v>1636</v>
      </c>
      <c r="F1828" s="5">
        <v>63700000</v>
      </c>
      <c r="G1828" s="5">
        <v>66700000</v>
      </c>
      <c r="H1828" s="5">
        <f>M1828*26000*1.20565</f>
        <v>62844265.120000005</v>
      </c>
      <c r="I1828" s="5">
        <f>G1828-H1828</f>
        <v>3855734.8799999952</v>
      </c>
      <c r="J1828" s="5">
        <v>3000000</v>
      </c>
      <c r="K1828" s="5">
        <v>6370000</v>
      </c>
      <c r="L1828" s="5">
        <v>6670000</v>
      </c>
      <c r="M1828" s="7">
        <v>2004.8</v>
      </c>
      <c r="N1828" s="5">
        <v>64200000</v>
      </c>
      <c r="O1828" s="5">
        <v>67200000</v>
      </c>
      <c r="P1828" s="3">
        <v>0.97916666666666663</v>
      </c>
    </row>
    <row r="1829" spans="1:16" x14ac:dyDescent="0.25">
      <c r="A1829" s="2">
        <v>45264</v>
      </c>
      <c r="B1829" s="2">
        <v>45028</v>
      </c>
      <c r="C1829" t="str">
        <f>TEXT(B1829,"mm")</f>
        <v>04</v>
      </c>
      <c r="D1829" t="s">
        <v>19</v>
      </c>
      <c r="E1829" t="s">
        <v>1636</v>
      </c>
      <c r="F1829" s="5">
        <v>63900000</v>
      </c>
      <c r="G1829" s="5">
        <v>66900000</v>
      </c>
      <c r="H1829" s="5">
        <f>M1829*26000*1.20565</f>
        <v>63035481.210000008</v>
      </c>
      <c r="I1829" s="5">
        <f>G1829-H1829</f>
        <v>3864518.7899999917</v>
      </c>
      <c r="J1829" s="5">
        <v>3000000</v>
      </c>
      <c r="K1829" s="5">
        <v>6390000</v>
      </c>
      <c r="L1829" s="5">
        <v>6690000</v>
      </c>
      <c r="M1829" s="7">
        <v>2010.9</v>
      </c>
      <c r="N1829" s="5">
        <v>64400000</v>
      </c>
      <c r="O1829" s="5">
        <v>67400000</v>
      </c>
      <c r="P1829" s="3">
        <v>0.97916666666666663</v>
      </c>
    </row>
    <row r="1830" spans="1:16" x14ac:dyDescent="0.25">
      <c r="A1830" t="s">
        <v>1125</v>
      </c>
      <c r="B1830" s="2">
        <v>45029</v>
      </c>
      <c r="C1830" t="str">
        <f>TEXT(B1830,"mm")</f>
        <v>04</v>
      </c>
      <c r="D1830" t="s">
        <v>20</v>
      </c>
      <c r="E1830" t="s">
        <v>1636</v>
      </c>
      <c r="F1830" s="5">
        <v>64900000</v>
      </c>
      <c r="G1830" s="5">
        <v>67900000</v>
      </c>
      <c r="H1830" s="5">
        <f>M1830*26000*1.20565</f>
        <v>63988426.970000006</v>
      </c>
      <c r="I1830" s="5">
        <f>G1830-H1830</f>
        <v>3911573.0299999937</v>
      </c>
      <c r="J1830" s="5">
        <v>3000000</v>
      </c>
      <c r="K1830" s="5">
        <v>6490000</v>
      </c>
      <c r="L1830" s="5">
        <v>6790000</v>
      </c>
      <c r="M1830" s="7">
        <v>2041.3</v>
      </c>
      <c r="N1830" s="5">
        <v>65400000</v>
      </c>
      <c r="O1830" s="5">
        <v>68400000</v>
      </c>
      <c r="P1830" s="3">
        <v>0.97916666666666663</v>
      </c>
    </row>
    <row r="1831" spans="1:16" x14ac:dyDescent="0.25">
      <c r="A1831" t="s">
        <v>1126</v>
      </c>
      <c r="B1831" s="2">
        <v>45030</v>
      </c>
      <c r="C1831" t="str">
        <f>TEXT(B1831,"mm")</f>
        <v>04</v>
      </c>
      <c r="D1831" t="s">
        <v>21</v>
      </c>
      <c r="E1831" t="s">
        <v>1636</v>
      </c>
      <c r="F1831" s="5">
        <v>63600000</v>
      </c>
      <c r="G1831" s="5">
        <v>66600000</v>
      </c>
      <c r="H1831" s="5">
        <f>M1831*26000*1.20565</f>
        <v>62762763.180000007</v>
      </c>
      <c r="I1831" s="5">
        <f>G1831-H1831</f>
        <v>3837236.8199999928</v>
      </c>
      <c r="J1831" s="5">
        <v>3000000</v>
      </c>
      <c r="K1831" s="5">
        <v>6360000</v>
      </c>
      <c r="L1831" s="5">
        <v>6660000</v>
      </c>
      <c r="M1831" s="7">
        <v>2002.2</v>
      </c>
      <c r="N1831" s="5">
        <v>64100000</v>
      </c>
      <c r="O1831" s="5">
        <v>67100000</v>
      </c>
      <c r="P1831" s="3">
        <v>0.97916666666666663</v>
      </c>
    </row>
    <row r="1832" spans="1:16" x14ac:dyDescent="0.25">
      <c r="A1832" t="s">
        <v>1127</v>
      </c>
      <c r="B1832" s="2">
        <v>45033</v>
      </c>
      <c r="C1832" t="str">
        <f>TEXT(B1832,"mm")</f>
        <v>04</v>
      </c>
      <c r="D1832" t="s">
        <v>16</v>
      </c>
      <c r="E1832" t="s">
        <v>1636</v>
      </c>
      <c r="F1832" s="5">
        <v>63300000</v>
      </c>
      <c r="G1832" s="5">
        <v>66300000</v>
      </c>
      <c r="H1832" s="5">
        <f>M1832*26000*1.20565</f>
        <v>62511987.980000004</v>
      </c>
      <c r="I1832" s="5">
        <f>G1832-H1832</f>
        <v>3788012.0199999958</v>
      </c>
      <c r="J1832" s="5">
        <v>3000000</v>
      </c>
      <c r="K1832" s="5">
        <v>6330000</v>
      </c>
      <c r="L1832" s="5">
        <v>6630000</v>
      </c>
      <c r="M1832" s="7">
        <v>1994.2</v>
      </c>
      <c r="N1832" s="5">
        <v>63800000</v>
      </c>
      <c r="O1832" s="5">
        <v>66800000</v>
      </c>
      <c r="P1832" s="3">
        <v>0.97916666666666663</v>
      </c>
    </row>
    <row r="1833" spans="1:16" x14ac:dyDescent="0.25">
      <c r="A1833" t="s">
        <v>1128</v>
      </c>
      <c r="B1833" s="2">
        <v>45034</v>
      </c>
      <c r="C1833" t="str">
        <f>TEXT(B1833,"mm")</f>
        <v>04</v>
      </c>
      <c r="D1833" t="s">
        <v>18</v>
      </c>
      <c r="E1833" t="s">
        <v>1636</v>
      </c>
      <c r="F1833" s="5">
        <v>63800000</v>
      </c>
      <c r="G1833" s="5">
        <v>66800000</v>
      </c>
      <c r="H1833" s="5">
        <f>M1833*26000*1.20565</f>
        <v>62925767.060000002</v>
      </c>
      <c r="I1833" s="5">
        <f>G1833-H1833</f>
        <v>3874232.9399999976</v>
      </c>
      <c r="J1833" s="5">
        <v>3000000</v>
      </c>
      <c r="K1833" s="5">
        <v>6380000</v>
      </c>
      <c r="L1833" s="5">
        <v>6680000</v>
      </c>
      <c r="M1833" s="7">
        <v>2007.4</v>
      </c>
      <c r="N1833" s="5">
        <v>64300000</v>
      </c>
      <c r="O1833" s="5">
        <v>67300000</v>
      </c>
      <c r="P1833" s="3">
        <v>0.97916666666666663</v>
      </c>
    </row>
    <row r="1834" spans="1:16" x14ac:dyDescent="0.25">
      <c r="A1834" t="s">
        <v>1129</v>
      </c>
      <c r="B1834" s="2">
        <v>45035</v>
      </c>
      <c r="C1834" t="str">
        <f>TEXT(B1834,"mm")</f>
        <v>04</v>
      </c>
      <c r="D1834" t="s">
        <v>19</v>
      </c>
      <c r="E1834" t="s">
        <v>1636</v>
      </c>
      <c r="F1834" s="5">
        <v>63400000</v>
      </c>
      <c r="G1834" s="5">
        <v>66400000</v>
      </c>
      <c r="H1834" s="5">
        <f>M1834*26000*1.20565</f>
        <v>62543334.880000003</v>
      </c>
      <c r="I1834" s="5">
        <f>G1834-H1834</f>
        <v>3856665.1199999973</v>
      </c>
      <c r="J1834" s="5">
        <v>3000000</v>
      </c>
      <c r="K1834" s="5">
        <v>6340000</v>
      </c>
      <c r="L1834" s="5">
        <v>6640000</v>
      </c>
      <c r="M1834" s="7">
        <v>1995.2</v>
      </c>
      <c r="N1834" s="5">
        <v>63900000</v>
      </c>
      <c r="O1834" s="5">
        <v>66900000</v>
      </c>
      <c r="P1834" s="3">
        <v>0.97916666666666663</v>
      </c>
    </row>
    <row r="1835" spans="1:16" x14ac:dyDescent="0.25">
      <c r="A1835" t="s">
        <v>1130</v>
      </c>
      <c r="B1835" s="2">
        <v>45036</v>
      </c>
      <c r="C1835" t="str">
        <f>TEXT(B1835,"mm")</f>
        <v>04</v>
      </c>
      <c r="D1835" t="s">
        <v>20</v>
      </c>
      <c r="E1835" t="s">
        <v>1636</v>
      </c>
      <c r="F1835" s="5">
        <v>63800000</v>
      </c>
      <c r="G1835" s="5">
        <v>66800000</v>
      </c>
      <c r="H1835" s="5">
        <f>M1835*26000*1.20565</f>
        <v>62932036.440000005</v>
      </c>
      <c r="I1835" s="5">
        <f>G1835-H1835</f>
        <v>3867963.5599999949</v>
      </c>
      <c r="J1835" s="5">
        <v>3000000</v>
      </c>
      <c r="K1835" s="5">
        <v>6380000</v>
      </c>
      <c r="L1835" s="5">
        <v>6680000</v>
      </c>
      <c r="M1835" s="7">
        <v>2007.6</v>
      </c>
      <c r="N1835" s="5">
        <v>64300000</v>
      </c>
      <c r="O1835" s="5">
        <v>67300000</v>
      </c>
      <c r="P1835" s="3">
        <v>0.97916666666666663</v>
      </c>
    </row>
    <row r="1836" spans="1:16" x14ac:dyDescent="0.25">
      <c r="A1836" t="s">
        <v>1131</v>
      </c>
      <c r="B1836" s="2">
        <v>45037</v>
      </c>
      <c r="C1836" t="str">
        <f>TEXT(B1836,"mm")</f>
        <v>04</v>
      </c>
      <c r="D1836" t="s">
        <v>21</v>
      </c>
      <c r="E1836" t="s">
        <v>1636</v>
      </c>
      <c r="F1836" s="5">
        <v>62800000</v>
      </c>
      <c r="G1836" s="5">
        <v>65800000</v>
      </c>
      <c r="H1836" s="5">
        <f>M1836*26000*1.20565</f>
        <v>62051188.550000004</v>
      </c>
      <c r="I1836" s="5">
        <f>G1836-H1836</f>
        <v>3748811.4499999955</v>
      </c>
      <c r="J1836" s="5">
        <v>3000000</v>
      </c>
      <c r="K1836" s="5">
        <v>6280000</v>
      </c>
      <c r="L1836" s="5">
        <v>6580000</v>
      </c>
      <c r="M1836" s="7">
        <v>1979.5</v>
      </c>
      <c r="N1836" s="5">
        <v>63300000</v>
      </c>
      <c r="O1836" s="5">
        <v>66300000</v>
      </c>
      <c r="P1836" s="3">
        <v>0.97916666666666663</v>
      </c>
    </row>
    <row r="1837" spans="1:16" x14ac:dyDescent="0.25">
      <c r="A1837" t="s">
        <v>1132</v>
      </c>
      <c r="B1837" s="2">
        <v>45040</v>
      </c>
      <c r="C1837" t="str">
        <f>TEXT(B1837,"mm")</f>
        <v>04</v>
      </c>
      <c r="D1837" t="s">
        <v>16</v>
      </c>
      <c r="E1837" t="s">
        <v>1636</v>
      </c>
      <c r="F1837" s="5">
        <v>63200000</v>
      </c>
      <c r="G1837" s="5">
        <v>66200000</v>
      </c>
      <c r="H1837" s="5">
        <f>M1837*26000*1.20565</f>
        <v>62352118.790000007</v>
      </c>
      <c r="I1837" s="5">
        <f>G1837-H1837</f>
        <v>3847881.2099999934</v>
      </c>
      <c r="J1837" s="5">
        <v>3000000</v>
      </c>
      <c r="K1837" s="5">
        <v>6320000</v>
      </c>
      <c r="L1837" s="5">
        <v>6620000</v>
      </c>
      <c r="M1837" s="7">
        <v>1989.1</v>
      </c>
      <c r="N1837" s="5">
        <v>63700000</v>
      </c>
      <c r="O1837" s="5">
        <v>66700000</v>
      </c>
      <c r="P1837" s="3">
        <v>0.97916666666666663</v>
      </c>
    </row>
    <row r="1838" spans="1:16" x14ac:dyDescent="0.25">
      <c r="A1838" t="s">
        <v>1133</v>
      </c>
      <c r="B1838" s="2">
        <v>45041</v>
      </c>
      <c r="C1838" t="str">
        <f>TEXT(B1838,"mm")</f>
        <v>04</v>
      </c>
      <c r="D1838" t="s">
        <v>18</v>
      </c>
      <c r="E1838" t="s">
        <v>1636</v>
      </c>
      <c r="F1838" s="5">
        <v>63300000</v>
      </c>
      <c r="G1838" s="5">
        <v>66300000</v>
      </c>
      <c r="H1838" s="5">
        <f>M1838*26000*1.20565</f>
        <v>62505718.600000009</v>
      </c>
      <c r="I1838" s="5">
        <f>G1838-H1838</f>
        <v>3794281.3999999911</v>
      </c>
      <c r="J1838" s="5">
        <v>3000000</v>
      </c>
      <c r="K1838" s="5">
        <v>6330000</v>
      </c>
      <c r="L1838" s="5">
        <v>6630000</v>
      </c>
      <c r="M1838" s="7">
        <v>1994</v>
      </c>
      <c r="N1838" s="5">
        <v>63800000</v>
      </c>
      <c r="O1838" s="5">
        <v>66800000</v>
      </c>
      <c r="P1838" s="3">
        <v>0.97916666666666663</v>
      </c>
    </row>
    <row r="1839" spans="1:16" x14ac:dyDescent="0.25">
      <c r="A1839" t="s">
        <v>1134</v>
      </c>
      <c r="B1839" s="2">
        <v>45042</v>
      </c>
      <c r="C1839" t="str">
        <f>TEXT(B1839,"mm")</f>
        <v>04</v>
      </c>
      <c r="D1839" t="s">
        <v>19</v>
      </c>
      <c r="E1839" t="s">
        <v>1636</v>
      </c>
      <c r="F1839" s="5">
        <v>63000000</v>
      </c>
      <c r="G1839" s="5">
        <v>66000000</v>
      </c>
      <c r="H1839" s="5">
        <f>M1839*26000*1.20565</f>
        <v>62245539.330000006</v>
      </c>
      <c r="I1839" s="5">
        <f>G1839-H1839</f>
        <v>3754460.6699999943</v>
      </c>
      <c r="J1839" s="5">
        <v>3000000</v>
      </c>
      <c r="K1839" s="5">
        <v>6300000</v>
      </c>
      <c r="L1839" s="5">
        <v>6600000</v>
      </c>
      <c r="M1839" s="7">
        <v>1985.7</v>
      </c>
      <c r="N1839" s="5">
        <v>63500000</v>
      </c>
      <c r="O1839" s="5">
        <v>66500000</v>
      </c>
      <c r="P1839" s="3">
        <v>0.97916666666666663</v>
      </c>
    </row>
    <row r="1840" spans="1:16" x14ac:dyDescent="0.25">
      <c r="A1840" t="s">
        <v>1135</v>
      </c>
      <c r="B1840" s="2">
        <v>45043</v>
      </c>
      <c r="C1840" t="str">
        <f>TEXT(B1840,"mm")</f>
        <v>04</v>
      </c>
      <c r="D1840" t="s">
        <v>20</v>
      </c>
      <c r="E1840" t="s">
        <v>1636</v>
      </c>
      <c r="F1840" s="5">
        <v>63200000</v>
      </c>
      <c r="G1840" s="5">
        <v>66200000</v>
      </c>
      <c r="H1840" s="5">
        <f>M1840*26000*1.20565</f>
        <v>62377196.310000002</v>
      </c>
      <c r="I1840" s="5">
        <f>G1840-H1840</f>
        <v>3822803.6899999976</v>
      </c>
      <c r="J1840" s="5">
        <v>3000000</v>
      </c>
      <c r="K1840" s="5">
        <v>6320000</v>
      </c>
      <c r="L1840" s="5">
        <v>6620000</v>
      </c>
      <c r="M1840" s="7">
        <v>1989.9</v>
      </c>
      <c r="N1840" s="5">
        <v>63700000</v>
      </c>
      <c r="O1840" s="5">
        <v>66700000</v>
      </c>
      <c r="P1840" s="3">
        <v>0.97916666666666663</v>
      </c>
    </row>
    <row r="1841" spans="1:16" x14ac:dyDescent="0.25">
      <c r="A1841" t="s">
        <v>1136</v>
      </c>
      <c r="B1841" s="2">
        <v>45044</v>
      </c>
      <c r="C1841" t="str">
        <f>TEXT(B1841,"mm")</f>
        <v>04</v>
      </c>
      <c r="D1841" t="s">
        <v>21</v>
      </c>
      <c r="E1841" t="s">
        <v>1636</v>
      </c>
      <c r="F1841" s="5">
        <v>63200000</v>
      </c>
      <c r="G1841" s="5">
        <v>66200000</v>
      </c>
      <c r="H1841" s="5">
        <f>M1841*26000*1.20565</f>
        <v>62383465.690000005</v>
      </c>
      <c r="I1841" s="5">
        <f>G1841-H1841</f>
        <v>3816534.3099999949</v>
      </c>
      <c r="J1841" s="5">
        <v>3000000</v>
      </c>
      <c r="K1841" s="5">
        <v>6320000</v>
      </c>
      <c r="L1841" s="5">
        <v>6620000</v>
      </c>
      <c r="M1841" s="7">
        <v>1990.1</v>
      </c>
      <c r="N1841" s="5">
        <v>63700000</v>
      </c>
      <c r="O1841" s="5">
        <v>66700000</v>
      </c>
      <c r="P1841" s="3">
        <v>0.97916666666666663</v>
      </c>
    </row>
    <row r="1842" spans="1:16" x14ac:dyDescent="0.25">
      <c r="A1842" s="2">
        <v>44931</v>
      </c>
      <c r="B1842" s="2">
        <v>45047</v>
      </c>
      <c r="C1842" t="str">
        <f>TEXT(B1842,"mm")</f>
        <v>05</v>
      </c>
      <c r="D1842" t="s">
        <v>16</v>
      </c>
      <c r="E1842" t="s">
        <v>1636</v>
      </c>
      <c r="F1842" s="5">
        <v>63000000</v>
      </c>
      <c r="G1842" s="5">
        <v>66000000</v>
      </c>
      <c r="H1842" s="5">
        <f>M1842*26000*1.20565</f>
        <v>62173441.460000008</v>
      </c>
      <c r="I1842" s="5">
        <f>G1842-H1842</f>
        <v>3826558.5399999917</v>
      </c>
      <c r="J1842" s="5">
        <v>3000000</v>
      </c>
      <c r="K1842" s="5">
        <v>6300000</v>
      </c>
      <c r="L1842" s="5">
        <v>6600000</v>
      </c>
      <c r="M1842" s="7">
        <v>1983.4</v>
      </c>
      <c r="N1842" s="5">
        <v>63500000</v>
      </c>
      <c r="O1842" s="5">
        <v>66500000</v>
      </c>
      <c r="P1842" s="3">
        <v>0.97916666666666663</v>
      </c>
    </row>
    <row r="1843" spans="1:16" x14ac:dyDescent="0.25">
      <c r="A1843" s="2">
        <v>44962</v>
      </c>
      <c r="B1843" s="2">
        <v>45048</v>
      </c>
      <c r="C1843" t="str">
        <f>TEXT(B1843,"mm")</f>
        <v>05</v>
      </c>
      <c r="D1843" t="s">
        <v>18</v>
      </c>
      <c r="E1843" t="s">
        <v>1636</v>
      </c>
      <c r="F1843" s="5">
        <v>64000000</v>
      </c>
      <c r="G1843" s="5">
        <v>67000000</v>
      </c>
      <c r="H1843" s="5">
        <f>M1843*26000*1.20565</f>
        <v>63142060.670000009</v>
      </c>
      <c r="I1843" s="5">
        <f>G1843-H1843</f>
        <v>3857939.3299999908</v>
      </c>
      <c r="J1843" s="5">
        <v>3000000</v>
      </c>
      <c r="K1843" s="5">
        <v>6400000</v>
      </c>
      <c r="L1843" s="5">
        <v>6700000</v>
      </c>
      <c r="M1843" s="7">
        <v>2014.3</v>
      </c>
      <c r="N1843" s="5">
        <v>64500000</v>
      </c>
      <c r="O1843" s="5">
        <v>67500000</v>
      </c>
      <c r="P1843" s="3">
        <v>0.97916666666666663</v>
      </c>
    </row>
    <row r="1844" spans="1:16" x14ac:dyDescent="0.25">
      <c r="A1844" s="2">
        <v>44990</v>
      </c>
      <c r="B1844" s="2">
        <v>45049</v>
      </c>
      <c r="C1844" t="str">
        <f>TEXT(B1844,"mm")</f>
        <v>05</v>
      </c>
      <c r="D1844" t="s">
        <v>19</v>
      </c>
      <c r="E1844" t="s">
        <v>1636</v>
      </c>
      <c r="F1844" s="5">
        <v>64500000</v>
      </c>
      <c r="G1844" s="5">
        <v>67500000</v>
      </c>
      <c r="H1844" s="5">
        <f>M1844*26000*1.20565</f>
        <v>63590321.340000004</v>
      </c>
      <c r="I1844" s="5">
        <f>G1844-H1844</f>
        <v>3909678.6599999964</v>
      </c>
      <c r="J1844" s="5">
        <v>3000000</v>
      </c>
      <c r="K1844" s="5">
        <v>6450000</v>
      </c>
      <c r="L1844" s="5">
        <v>6750000</v>
      </c>
      <c r="M1844" s="7">
        <v>2028.6</v>
      </c>
      <c r="N1844" s="5">
        <v>65000000</v>
      </c>
      <c r="O1844" s="5">
        <v>68000000</v>
      </c>
      <c r="P1844" s="3">
        <v>0.97916666666666663</v>
      </c>
    </row>
    <row r="1845" spans="1:16" x14ac:dyDescent="0.25">
      <c r="A1845" s="2">
        <v>45021</v>
      </c>
      <c r="B1845" s="2">
        <v>45050</v>
      </c>
      <c r="C1845" t="str">
        <f>TEXT(B1845,"mm")</f>
        <v>05</v>
      </c>
      <c r="D1845" t="s">
        <v>20</v>
      </c>
      <c r="E1845" t="s">
        <v>1636</v>
      </c>
      <c r="F1845" s="5">
        <v>65100000</v>
      </c>
      <c r="G1845" s="5">
        <v>68100000</v>
      </c>
      <c r="H1845" s="5">
        <f>M1845*26000*1.20565</f>
        <v>64198451.200000003</v>
      </c>
      <c r="I1845" s="5">
        <f>G1845-H1845</f>
        <v>3901548.799999997</v>
      </c>
      <c r="J1845" s="5">
        <v>3000000</v>
      </c>
      <c r="K1845" s="5">
        <v>6510000</v>
      </c>
      <c r="L1845" s="5">
        <v>6810000</v>
      </c>
      <c r="M1845" s="7">
        <v>2048</v>
      </c>
      <c r="N1845" s="5">
        <v>65600000</v>
      </c>
      <c r="O1845" s="5">
        <v>68600000</v>
      </c>
      <c r="P1845" s="3">
        <v>0.97916666666666663</v>
      </c>
    </row>
    <row r="1846" spans="1:16" x14ac:dyDescent="0.25">
      <c r="A1846" s="2">
        <v>45051</v>
      </c>
      <c r="B1846" s="2">
        <v>45051</v>
      </c>
      <c r="C1846" t="str">
        <f>TEXT(B1846,"mm")</f>
        <v>05</v>
      </c>
      <c r="D1846" t="s">
        <v>21</v>
      </c>
      <c r="E1846" t="s">
        <v>1636</v>
      </c>
      <c r="F1846" s="5">
        <v>64100000</v>
      </c>
      <c r="G1846" s="5">
        <v>67100000</v>
      </c>
      <c r="H1846" s="5">
        <f>M1846*26000*1.20565</f>
        <v>63239236.060000002</v>
      </c>
      <c r="I1846" s="5">
        <f>G1846-H1846</f>
        <v>3860763.9399999976</v>
      </c>
      <c r="J1846" s="5">
        <v>3000000</v>
      </c>
      <c r="K1846" s="5">
        <v>6410000</v>
      </c>
      <c r="L1846" s="5">
        <v>6710000</v>
      </c>
      <c r="M1846" s="7">
        <v>2017.4</v>
      </c>
      <c r="N1846" s="5">
        <v>64600000</v>
      </c>
      <c r="O1846" s="5">
        <v>67600000</v>
      </c>
      <c r="P1846" s="3">
        <v>0.97916666666666663</v>
      </c>
    </row>
    <row r="1847" spans="1:16" x14ac:dyDescent="0.25">
      <c r="A1847" s="2">
        <v>45143</v>
      </c>
      <c r="B1847" s="2">
        <v>45054</v>
      </c>
      <c r="C1847" t="str">
        <f>TEXT(B1847,"mm")</f>
        <v>05</v>
      </c>
      <c r="D1847" t="s">
        <v>16</v>
      </c>
      <c r="E1847" t="s">
        <v>1636</v>
      </c>
      <c r="F1847" s="5">
        <v>64400000</v>
      </c>
      <c r="G1847" s="5">
        <v>67400000</v>
      </c>
      <c r="H1847" s="5">
        <f>M1847*26000*1.20565</f>
        <v>63518223.470000006</v>
      </c>
      <c r="I1847" s="5">
        <f>G1847-H1847</f>
        <v>3881776.5299999937</v>
      </c>
      <c r="J1847" s="5">
        <v>3000000</v>
      </c>
      <c r="K1847" s="5">
        <v>6440000</v>
      </c>
      <c r="L1847" s="5">
        <v>6740000</v>
      </c>
      <c r="M1847" s="7">
        <v>2026.3</v>
      </c>
      <c r="N1847" s="5">
        <v>64900000</v>
      </c>
      <c r="O1847" s="5">
        <v>67900000</v>
      </c>
      <c r="P1847" s="3">
        <v>0.97916666666666663</v>
      </c>
    </row>
    <row r="1848" spans="1:16" x14ac:dyDescent="0.25">
      <c r="A1848" s="2">
        <v>45174</v>
      </c>
      <c r="B1848" s="2">
        <v>45055</v>
      </c>
      <c r="C1848" t="str">
        <f>TEXT(B1848,"mm")</f>
        <v>05</v>
      </c>
      <c r="D1848" t="s">
        <v>18</v>
      </c>
      <c r="E1848" t="s">
        <v>1636</v>
      </c>
      <c r="F1848" s="5">
        <v>64700000</v>
      </c>
      <c r="G1848" s="5">
        <v>67700000</v>
      </c>
      <c r="H1848" s="5">
        <f>M1848*26000*1.20565</f>
        <v>63828557.780000009</v>
      </c>
      <c r="I1848" s="5">
        <f>G1848-H1848</f>
        <v>3871442.2199999914</v>
      </c>
      <c r="J1848" s="5">
        <v>3000000</v>
      </c>
      <c r="K1848" s="5">
        <v>6470000</v>
      </c>
      <c r="L1848" s="5">
        <v>6770000</v>
      </c>
      <c r="M1848" s="7">
        <v>2036.2</v>
      </c>
      <c r="N1848" s="5">
        <v>65200000</v>
      </c>
      <c r="O1848" s="5">
        <v>68200000</v>
      </c>
      <c r="P1848" s="3">
        <v>0.97916666666666663</v>
      </c>
    </row>
    <row r="1849" spans="1:16" x14ac:dyDescent="0.25">
      <c r="A1849" s="2">
        <v>45204</v>
      </c>
      <c r="B1849" s="2">
        <v>45056</v>
      </c>
      <c r="C1849" t="str">
        <f>TEXT(B1849,"mm")</f>
        <v>05</v>
      </c>
      <c r="D1849" t="s">
        <v>19</v>
      </c>
      <c r="E1849" t="s">
        <v>1636</v>
      </c>
      <c r="F1849" s="5">
        <v>64500000</v>
      </c>
      <c r="G1849" s="5">
        <v>67500000</v>
      </c>
      <c r="H1849" s="5">
        <f>M1849*26000*1.20565</f>
        <v>63649880.450000003</v>
      </c>
      <c r="I1849" s="5">
        <f>G1849-H1849</f>
        <v>3850119.549999997</v>
      </c>
      <c r="J1849" s="5">
        <v>3000000</v>
      </c>
      <c r="K1849" s="5">
        <v>6450000</v>
      </c>
      <c r="L1849" s="5">
        <v>6750000</v>
      </c>
      <c r="M1849" s="7">
        <v>2030.5</v>
      </c>
      <c r="N1849" s="5">
        <v>65000000</v>
      </c>
      <c r="O1849" s="5">
        <v>68000000</v>
      </c>
      <c r="P1849" s="3">
        <v>0.97916666666666663</v>
      </c>
    </row>
    <row r="1850" spans="1:16" x14ac:dyDescent="0.25">
      <c r="A1850" s="2">
        <v>45235</v>
      </c>
      <c r="B1850" s="2">
        <v>45057</v>
      </c>
      <c r="C1850" t="str">
        <f>TEXT(B1850,"mm")</f>
        <v>05</v>
      </c>
      <c r="D1850" t="s">
        <v>20</v>
      </c>
      <c r="E1850" t="s">
        <v>1636</v>
      </c>
      <c r="F1850" s="5">
        <v>64000000</v>
      </c>
      <c r="G1850" s="5">
        <v>67000000</v>
      </c>
      <c r="H1850" s="5">
        <f>M1850*26000*1.20565</f>
        <v>63154599.430000007</v>
      </c>
      <c r="I1850" s="5">
        <f>G1850-H1850</f>
        <v>3845400.5699999928</v>
      </c>
      <c r="J1850" s="5">
        <v>3000000</v>
      </c>
      <c r="K1850" s="5">
        <v>6400000</v>
      </c>
      <c r="L1850" s="5">
        <v>6700000</v>
      </c>
      <c r="M1850" s="7">
        <v>2014.7</v>
      </c>
      <c r="N1850" s="5">
        <v>64500000</v>
      </c>
      <c r="O1850" s="5">
        <v>67500000</v>
      </c>
      <c r="P1850" s="3">
        <v>0.97916666666666663</v>
      </c>
    </row>
    <row r="1851" spans="1:16" x14ac:dyDescent="0.25">
      <c r="A1851" s="2">
        <v>45265</v>
      </c>
      <c r="B1851" s="2">
        <v>45058</v>
      </c>
      <c r="C1851" t="str">
        <f>TEXT(B1851,"mm")</f>
        <v>05</v>
      </c>
      <c r="D1851" t="s">
        <v>21</v>
      </c>
      <c r="E1851" t="s">
        <v>1636</v>
      </c>
      <c r="F1851" s="5">
        <v>64000000</v>
      </c>
      <c r="G1851" s="5">
        <v>67000000</v>
      </c>
      <c r="H1851" s="5">
        <f>M1851*26000*1.20565</f>
        <v>63148330.050000004</v>
      </c>
      <c r="I1851" s="5">
        <f>G1851-H1851</f>
        <v>3851669.9499999955</v>
      </c>
      <c r="J1851" s="5">
        <v>3000000</v>
      </c>
      <c r="K1851" s="5">
        <v>6400000</v>
      </c>
      <c r="L1851" s="5">
        <v>6700000</v>
      </c>
      <c r="M1851" s="7">
        <v>2014.5</v>
      </c>
      <c r="N1851" s="5">
        <v>64500000</v>
      </c>
      <c r="O1851" s="5">
        <v>67500000</v>
      </c>
      <c r="P1851" s="3">
        <v>0.97916666666666663</v>
      </c>
    </row>
    <row r="1852" spans="1:16" x14ac:dyDescent="0.25">
      <c r="A1852" t="s">
        <v>1137</v>
      </c>
      <c r="B1852" s="2">
        <v>45061</v>
      </c>
      <c r="C1852" t="str">
        <f>TEXT(B1852,"mm")</f>
        <v>05</v>
      </c>
      <c r="D1852" t="s">
        <v>16</v>
      </c>
      <c r="E1852" t="s">
        <v>1636</v>
      </c>
      <c r="F1852" s="5">
        <v>64100000</v>
      </c>
      <c r="G1852" s="5">
        <v>67100000</v>
      </c>
      <c r="H1852" s="5">
        <f>M1852*26000*1.20565</f>
        <v>63258044.200000003</v>
      </c>
      <c r="I1852" s="5">
        <f>G1852-H1852</f>
        <v>3841955.799999997</v>
      </c>
      <c r="J1852" s="5">
        <v>3000000</v>
      </c>
      <c r="K1852" s="5">
        <v>6410000</v>
      </c>
      <c r="L1852" s="5">
        <v>6710000</v>
      </c>
      <c r="M1852" s="7">
        <v>2018</v>
      </c>
      <c r="N1852" s="5">
        <v>64600000</v>
      </c>
      <c r="O1852" s="5">
        <v>67600000</v>
      </c>
      <c r="P1852" s="3">
        <v>0.97916666666666663</v>
      </c>
    </row>
    <row r="1853" spans="1:16" x14ac:dyDescent="0.25">
      <c r="A1853" t="s">
        <v>1138</v>
      </c>
      <c r="B1853" s="2">
        <v>45062</v>
      </c>
      <c r="C1853" t="str">
        <f>TEXT(B1853,"mm")</f>
        <v>05</v>
      </c>
      <c r="D1853" t="s">
        <v>18</v>
      </c>
      <c r="E1853" t="s">
        <v>1636</v>
      </c>
      <c r="F1853" s="5">
        <v>63100000</v>
      </c>
      <c r="G1853" s="5">
        <v>66100000</v>
      </c>
      <c r="H1853" s="5">
        <f>M1853*26000*1.20565</f>
        <v>62330175.960000008</v>
      </c>
      <c r="I1853" s="5">
        <f>G1853-H1853</f>
        <v>3769824.0399999917</v>
      </c>
      <c r="J1853" s="5">
        <v>3000000</v>
      </c>
      <c r="K1853" s="5">
        <v>6310000</v>
      </c>
      <c r="L1853" s="5">
        <v>6610000</v>
      </c>
      <c r="M1853" s="7">
        <v>1988.4</v>
      </c>
      <c r="N1853" s="5">
        <v>63600000</v>
      </c>
      <c r="O1853" s="5">
        <v>66600000</v>
      </c>
      <c r="P1853" s="3">
        <v>0.97916666666666663</v>
      </c>
    </row>
    <row r="1854" spans="1:16" x14ac:dyDescent="0.25">
      <c r="A1854" t="s">
        <v>1139</v>
      </c>
      <c r="B1854" s="2">
        <v>45063</v>
      </c>
      <c r="C1854" t="str">
        <f>TEXT(B1854,"mm")</f>
        <v>05</v>
      </c>
      <c r="D1854" t="s">
        <v>19</v>
      </c>
      <c r="E1854" t="s">
        <v>1636</v>
      </c>
      <c r="F1854" s="5">
        <v>62900000</v>
      </c>
      <c r="G1854" s="5">
        <v>65900000</v>
      </c>
      <c r="H1854" s="5">
        <f>M1854*26000*1.20565</f>
        <v>62088804.830000006</v>
      </c>
      <c r="I1854" s="5">
        <f>G1854-H1854</f>
        <v>3811195.1699999943</v>
      </c>
      <c r="J1854" s="5">
        <v>3000000</v>
      </c>
      <c r="K1854" s="5">
        <v>6290000</v>
      </c>
      <c r="L1854" s="5">
        <v>6590000</v>
      </c>
      <c r="M1854" s="7">
        <v>1980.7</v>
      </c>
      <c r="N1854" s="5">
        <v>63400000</v>
      </c>
      <c r="O1854" s="5">
        <v>66400000</v>
      </c>
      <c r="P1854" s="3">
        <v>0.97916666666666663</v>
      </c>
    </row>
    <row r="1855" spans="1:16" x14ac:dyDescent="0.25">
      <c r="A1855" t="s">
        <v>1140</v>
      </c>
      <c r="B1855" s="2">
        <v>45064</v>
      </c>
      <c r="C1855" t="str">
        <f>TEXT(B1855,"mm")</f>
        <v>05</v>
      </c>
      <c r="D1855" t="s">
        <v>20</v>
      </c>
      <c r="E1855" t="s">
        <v>1636</v>
      </c>
      <c r="F1855" s="5">
        <v>62100000</v>
      </c>
      <c r="G1855" s="5">
        <v>65100000</v>
      </c>
      <c r="H1855" s="5">
        <f>M1855*26000*1.20565</f>
        <v>61330209.850000009</v>
      </c>
      <c r="I1855" s="5">
        <f>G1855-H1855</f>
        <v>3769790.1499999911</v>
      </c>
      <c r="J1855" s="5">
        <v>3000000</v>
      </c>
      <c r="K1855" s="5">
        <v>6210000</v>
      </c>
      <c r="L1855" s="5">
        <v>6510000</v>
      </c>
      <c r="M1855" s="7">
        <v>1956.5</v>
      </c>
      <c r="N1855" s="5">
        <v>62600000</v>
      </c>
      <c r="O1855" s="5">
        <v>65600000</v>
      </c>
      <c r="P1855" s="3">
        <v>0.97916666666666663</v>
      </c>
    </row>
    <row r="1856" spans="1:16" x14ac:dyDescent="0.25">
      <c r="A1856" t="s">
        <v>1141</v>
      </c>
      <c r="B1856" s="2">
        <v>45065</v>
      </c>
      <c r="C1856" t="str">
        <f>TEXT(B1856,"mm")</f>
        <v>05</v>
      </c>
      <c r="D1856" t="s">
        <v>21</v>
      </c>
      <c r="E1856" t="s">
        <v>1636</v>
      </c>
      <c r="F1856" s="5">
        <v>62800000</v>
      </c>
      <c r="G1856" s="5">
        <v>65800000</v>
      </c>
      <c r="H1856" s="5">
        <f>M1856*26000*1.20565</f>
        <v>62026111.030000009</v>
      </c>
      <c r="I1856" s="5">
        <f>G1856-H1856</f>
        <v>3773888.9699999914</v>
      </c>
      <c r="J1856" s="5">
        <v>3000000</v>
      </c>
      <c r="K1856" s="5">
        <v>6280000</v>
      </c>
      <c r="L1856" s="5">
        <v>6580000</v>
      </c>
      <c r="M1856" s="7">
        <v>1978.7</v>
      </c>
      <c r="N1856" s="5">
        <v>63300000</v>
      </c>
      <c r="O1856" s="5">
        <v>66300000</v>
      </c>
      <c r="P1856" s="3">
        <v>0.97916666666666663</v>
      </c>
    </row>
    <row r="1857" spans="1:16" x14ac:dyDescent="0.25">
      <c r="A1857" t="s">
        <v>1142</v>
      </c>
      <c r="B1857" s="2">
        <v>45068</v>
      </c>
      <c r="C1857" t="str">
        <f>TEXT(B1857,"mm")</f>
        <v>05</v>
      </c>
      <c r="D1857" t="s">
        <v>16</v>
      </c>
      <c r="E1857" t="s">
        <v>1636</v>
      </c>
      <c r="F1857" s="5">
        <v>62700000</v>
      </c>
      <c r="G1857" s="5">
        <v>65700000</v>
      </c>
      <c r="H1857" s="5">
        <f>M1857*26000*1.20565</f>
        <v>61903858.120000005</v>
      </c>
      <c r="I1857" s="5">
        <f>G1857-H1857</f>
        <v>3796141.8799999952</v>
      </c>
      <c r="J1857" s="5">
        <v>3000000</v>
      </c>
      <c r="K1857" s="5">
        <v>6270000</v>
      </c>
      <c r="L1857" s="5">
        <v>6570000</v>
      </c>
      <c r="M1857" s="7">
        <v>1974.8</v>
      </c>
      <c r="N1857" s="5">
        <v>63200000</v>
      </c>
      <c r="O1857" s="5">
        <v>66200000</v>
      </c>
      <c r="P1857" s="3">
        <v>0.97916666666666663</v>
      </c>
    </row>
    <row r="1858" spans="1:16" x14ac:dyDescent="0.25">
      <c r="A1858" t="s">
        <v>1143</v>
      </c>
      <c r="B1858" s="2">
        <v>45069</v>
      </c>
      <c r="C1858" t="str">
        <f>TEXT(B1858,"mm")</f>
        <v>05</v>
      </c>
      <c r="D1858" t="s">
        <v>18</v>
      </c>
      <c r="E1858" t="s">
        <v>1636</v>
      </c>
      <c r="F1858" s="5">
        <v>62600000</v>
      </c>
      <c r="G1858" s="5">
        <v>65600000</v>
      </c>
      <c r="H1858" s="5">
        <f>M1858*26000*1.20565</f>
        <v>61828625.560000002</v>
      </c>
      <c r="I1858" s="5">
        <f>G1858-H1858</f>
        <v>3771374.4399999976</v>
      </c>
      <c r="J1858" s="5">
        <v>3000000</v>
      </c>
      <c r="K1858" s="5">
        <v>6260000</v>
      </c>
      <c r="L1858" s="5">
        <v>6560000</v>
      </c>
      <c r="M1858" s="7">
        <v>1972.4</v>
      </c>
      <c r="N1858" s="5">
        <v>63100000</v>
      </c>
      <c r="O1858" s="5">
        <v>66100000</v>
      </c>
      <c r="P1858" s="3">
        <v>0.97916666666666663</v>
      </c>
    </row>
    <row r="1859" spans="1:16" x14ac:dyDescent="0.25">
      <c r="A1859" t="s">
        <v>1144</v>
      </c>
      <c r="B1859" s="2">
        <v>45070</v>
      </c>
      <c r="C1859" t="str">
        <f>TEXT(B1859,"mm")</f>
        <v>05</v>
      </c>
      <c r="D1859" t="s">
        <v>19</v>
      </c>
      <c r="E1859" t="s">
        <v>1636</v>
      </c>
      <c r="F1859" s="5">
        <v>62300000</v>
      </c>
      <c r="G1859" s="5">
        <v>65300000</v>
      </c>
      <c r="H1859" s="5">
        <f>M1859*26000*1.20565</f>
        <v>61527695.320000008</v>
      </c>
      <c r="I1859" s="5">
        <f>G1859-H1859</f>
        <v>3772304.6799999923</v>
      </c>
      <c r="J1859" s="5">
        <v>3000000</v>
      </c>
      <c r="K1859" s="5">
        <v>6230000</v>
      </c>
      <c r="L1859" s="5">
        <v>6530000</v>
      </c>
      <c r="M1859" s="7">
        <v>1962.8</v>
      </c>
      <c r="N1859" s="5">
        <v>62800000</v>
      </c>
      <c r="O1859" s="5">
        <v>65800000</v>
      </c>
      <c r="P1859" s="3">
        <v>0.97916666666666663</v>
      </c>
    </row>
    <row r="1860" spans="1:16" x14ac:dyDescent="0.25">
      <c r="A1860" t="s">
        <v>1145</v>
      </c>
      <c r="B1860" s="2">
        <v>45071</v>
      </c>
      <c r="C1860" t="str">
        <f>TEXT(B1860,"mm")</f>
        <v>05</v>
      </c>
      <c r="D1860" t="s">
        <v>20</v>
      </c>
      <c r="E1860" t="s">
        <v>1636</v>
      </c>
      <c r="F1860" s="5">
        <v>61600000</v>
      </c>
      <c r="G1860" s="5">
        <v>64600000</v>
      </c>
      <c r="H1860" s="5">
        <f>M1860*26000*1.20565</f>
        <v>60910161.390000008</v>
      </c>
      <c r="I1860" s="5">
        <f>G1860-H1860</f>
        <v>3689838.609999992</v>
      </c>
      <c r="J1860" s="5">
        <v>3000000</v>
      </c>
      <c r="K1860" s="5">
        <v>6160000</v>
      </c>
      <c r="L1860" s="5">
        <v>6460000</v>
      </c>
      <c r="M1860" s="7">
        <v>1943.1</v>
      </c>
      <c r="N1860" s="5">
        <v>62100000</v>
      </c>
      <c r="O1860" s="5">
        <v>65100000</v>
      </c>
      <c r="P1860" s="3">
        <v>0.97916666666666663</v>
      </c>
    </row>
    <row r="1861" spans="1:16" x14ac:dyDescent="0.25">
      <c r="A1861" t="s">
        <v>1146</v>
      </c>
      <c r="B1861" s="2">
        <v>45072</v>
      </c>
      <c r="C1861" t="str">
        <f>TEXT(B1861,"mm")</f>
        <v>05</v>
      </c>
      <c r="D1861" t="s">
        <v>21</v>
      </c>
      <c r="E1861" t="s">
        <v>1636</v>
      </c>
      <c r="F1861" s="5">
        <v>61700000</v>
      </c>
      <c r="G1861" s="5">
        <v>64700000</v>
      </c>
      <c r="H1861" s="5">
        <f>M1861*26000*1.20565</f>
        <v>60941508.290000007</v>
      </c>
      <c r="I1861" s="5">
        <f>G1861-H1861</f>
        <v>3758491.7099999934</v>
      </c>
      <c r="J1861" s="5">
        <v>3000000</v>
      </c>
      <c r="K1861" s="5">
        <v>6170000</v>
      </c>
      <c r="L1861" s="5">
        <v>6470000</v>
      </c>
      <c r="M1861" s="7">
        <v>1944.1</v>
      </c>
      <c r="N1861" s="5">
        <v>62200000</v>
      </c>
      <c r="O1861" s="5">
        <v>65200000</v>
      </c>
      <c r="P1861" s="3">
        <v>0.97916666666666663</v>
      </c>
    </row>
    <row r="1862" spans="1:16" x14ac:dyDescent="0.25">
      <c r="A1862" t="s">
        <v>1147</v>
      </c>
      <c r="B1862" s="2">
        <v>45076</v>
      </c>
      <c r="C1862" t="str">
        <f>TEXT(B1862,"mm")</f>
        <v>05</v>
      </c>
      <c r="D1862" t="s">
        <v>18</v>
      </c>
      <c r="E1862" t="s">
        <v>1636</v>
      </c>
      <c r="F1862" s="5">
        <v>62100000</v>
      </c>
      <c r="G1862" s="5">
        <v>65100000</v>
      </c>
      <c r="H1862" s="5">
        <f>M1862*26000*1.20565</f>
        <v>61377230.200000003</v>
      </c>
      <c r="I1862" s="5">
        <f>G1862-H1862</f>
        <v>3722769.799999997</v>
      </c>
      <c r="J1862" s="5">
        <v>3000000</v>
      </c>
      <c r="K1862" s="5">
        <v>6210000</v>
      </c>
      <c r="L1862" s="5">
        <v>6510000</v>
      </c>
      <c r="M1862" s="7">
        <v>1958</v>
      </c>
      <c r="N1862" s="5">
        <v>62600000</v>
      </c>
      <c r="O1862" s="5">
        <v>65600000</v>
      </c>
      <c r="P1862" s="3">
        <v>0.97916666666666663</v>
      </c>
    </row>
    <row r="1863" spans="1:16" x14ac:dyDescent="0.25">
      <c r="A1863" t="s">
        <v>1148</v>
      </c>
      <c r="B1863" s="2">
        <v>45077</v>
      </c>
      <c r="C1863" t="str">
        <f>TEXT(B1863,"mm")</f>
        <v>05</v>
      </c>
      <c r="D1863" t="s">
        <v>19</v>
      </c>
      <c r="E1863" t="s">
        <v>1636</v>
      </c>
      <c r="F1863" s="5">
        <v>62300000</v>
      </c>
      <c r="G1863" s="5">
        <v>65300000</v>
      </c>
      <c r="H1863" s="5">
        <f>M1863*26000*1.20565</f>
        <v>61562176.910000004</v>
      </c>
      <c r="I1863" s="5">
        <f>G1863-H1863</f>
        <v>3737823.0899999961</v>
      </c>
      <c r="J1863" s="5">
        <v>3000000</v>
      </c>
      <c r="K1863" s="5">
        <v>6230000</v>
      </c>
      <c r="L1863" s="5">
        <v>6530000</v>
      </c>
      <c r="M1863" s="7">
        <v>1963.9</v>
      </c>
      <c r="N1863" s="5">
        <v>62800000</v>
      </c>
      <c r="O1863" s="5">
        <v>65800000</v>
      </c>
      <c r="P1863" s="3">
        <v>0.97916666666666663</v>
      </c>
    </row>
    <row r="1864" spans="1:16" x14ac:dyDescent="0.25">
      <c r="A1864" s="2">
        <v>44932</v>
      </c>
      <c r="B1864" s="2">
        <v>45078</v>
      </c>
      <c r="C1864" t="str">
        <f>TEXT(B1864,"mm")</f>
        <v>06</v>
      </c>
      <c r="D1864" t="s">
        <v>20</v>
      </c>
      <c r="E1864" t="s">
        <v>1636</v>
      </c>
      <c r="F1864" s="5">
        <v>62800000</v>
      </c>
      <c r="G1864" s="5">
        <v>65800000</v>
      </c>
      <c r="H1864" s="5">
        <f>M1864*26000*1.20565</f>
        <v>62004168.200000003</v>
      </c>
      <c r="I1864" s="5">
        <f>G1864-H1864</f>
        <v>3795831.799999997</v>
      </c>
      <c r="J1864" s="5">
        <v>3000000</v>
      </c>
      <c r="K1864" s="5">
        <v>6280000</v>
      </c>
      <c r="L1864" s="5">
        <v>6580000</v>
      </c>
      <c r="M1864" s="7">
        <v>1978</v>
      </c>
      <c r="N1864" s="5">
        <v>63300000</v>
      </c>
      <c r="O1864" s="5">
        <v>66300000</v>
      </c>
      <c r="P1864" s="3">
        <v>0.97916666666666663</v>
      </c>
    </row>
    <row r="1865" spans="1:16" x14ac:dyDescent="0.25">
      <c r="A1865" s="2">
        <v>44963</v>
      </c>
      <c r="B1865" s="2">
        <v>45079</v>
      </c>
      <c r="C1865" t="str">
        <f>TEXT(B1865,"mm")</f>
        <v>06</v>
      </c>
      <c r="D1865" t="s">
        <v>21</v>
      </c>
      <c r="E1865" t="s">
        <v>1636</v>
      </c>
      <c r="F1865" s="5">
        <v>61900000</v>
      </c>
      <c r="G1865" s="5">
        <v>64900000</v>
      </c>
      <c r="H1865" s="5">
        <f>M1865*26000*1.20565</f>
        <v>61201687.560000002</v>
      </c>
      <c r="I1865" s="5">
        <f>G1865-H1865</f>
        <v>3698312.4399999976</v>
      </c>
      <c r="J1865" s="5">
        <v>3000000</v>
      </c>
      <c r="K1865" s="5">
        <v>6190000</v>
      </c>
      <c r="L1865" s="5">
        <v>6490000</v>
      </c>
      <c r="M1865" s="7">
        <v>1952.4</v>
      </c>
      <c r="N1865" s="5">
        <v>62400000</v>
      </c>
      <c r="O1865" s="5">
        <v>65400000</v>
      </c>
      <c r="P1865" s="3">
        <v>0.97916666666666663</v>
      </c>
    </row>
    <row r="1866" spans="1:16" x14ac:dyDescent="0.25">
      <c r="A1866" s="2">
        <v>45052</v>
      </c>
      <c r="B1866" s="2">
        <v>45082</v>
      </c>
      <c r="C1866" t="str">
        <f>TEXT(B1866,"mm")</f>
        <v>06</v>
      </c>
      <c r="D1866" t="s">
        <v>16</v>
      </c>
      <c r="E1866" t="s">
        <v>1636</v>
      </c>
      <c r="F1866" s="5">
        <v>62100000</v>
      </c>
      <c r="G1866" s="5">
        <v>65100000</v>
      </c>
      <c r="H1866" s="5">
        <f>M1866*26000*1.20565</f>
        <v>61377230.200000003</v>
      </c>
      <c r="I1866" s="5">
        <f>G1866-H1866</f>
        <v>3722769.799999997</v>
      </c>
      <c r="J1866" s="5">
        <v>3000000</v>
      </c>
      <c r="K1866" s="5">
        <v>6210000</v>
      </c>
      <c r="L1866" s="5">
        <v>6510000</v>
      </c>
      <c r="M1866" s="7">
        <v>1958</v>
      </c>
      <c r="N1866" s="5">
        <v>62600000</v>
      </c>
      <c r="O1866" s="5">
        <v>65600000</v>
      </c>
      <c r="P1866" s="3">
        <v>0.97916666666666663</v>
      </c>
    </row>
    <row r="1867" spans="1:16" x14ac:dyDescent="0.25">
      <c r="A1867" s="2">
        <v>45083</v>
      </c>
      <c r="B1867" s="2">
        <v>45083</v>
      </c>
      <c r="C1867" t="str">
        <f>TEXT(B1867,"mm")</f>
        <v>06</v>
      </c>
      <c r="D1867" t="s">
        <v>18</v>
      </c>
      <c r="E1867" t="s">
        <v>1636</v>
      </c>
      <c r="F1867" s="5">
        <v>62400000</v>
      </c>
      <c r="G1867" s="5">
        <v>65400000</v>
      </c>
      <c r="H1867" s="5">
        <f>M1867*26000*1.20565</f>
        <v>61612331.950000003</v>
      </c>
      <c r="I1867" s="5">
        <f>G1867-H1867</f>
        <v>3787668.049999997</v>
      </c>
      <c r="J1867" s="5">
        <v>3000000</v>
      </c>
      <c r="K1867" s="5">
        <v>6240000</v>
      </c>
      <c r="L1867" s="5">
        <v>6540000</v>
      </c>
      <c r="M1867" s="7">
        <v>1965.5</v>
      </c>
      <c r="N1867" s="5">
        <v>62900000</v>
      </c>
      <c r="O1867" s="5">
        <v>65900000</v>
      </c>
      <c r="P1867" s="3">
        <v>0.97916666666666663</v>
      </c>
    </row>
    <row r="1868" spans="1:16" x14ac:dyDescent="0.25">
      <c r="A1868" s="2">
        <v>45113</v>
      </c>
      <c r="B1868" s="2">
        <v>45084</v>
      </c>
      <c r="C1868" t="str">
        <f>TEXT(B1868,"mm")</f>
        <v>06</v>
      </c>
      <c r="D1868" t="s">
        <v>19</v>
      </c>
      <c r="E1868" t="s">
        <v>1636</v>
      </c>
      <c r="F1868" s="5">
        <v>61600000</v>
      </c>
      <c r="G1868" s="5">
        <v>64600000</v>
      </c>
      <c r="H1868" s="5">
        <f>M1868*26000*1.20565</f>
        <v>60897622.630000003</v>
      </c>
      <c r="I1868" s="5">
        <f>G1868-H1868</f>
        <v>3702377.3699999973</v>
      </c>
      <c r="J1868" s="5">
        <v>3000000</v>
      </c>
      <c r="K1868" s="5">
        <v>6160000</v>
      </c>
      <c r="L1868" s="5">
        <v>6460000</v>
      </c>
      <c r="M1868" s="7">
        <v>1942.7</v>
      </c>
      <c r="N1868" s="5">
        <v>62100000</v>
      </c>
      <c r="O1868" s="5">
        <v>65100000</v>
      </c>
      <c r="P1868" s="3">
        <v>0.97916666666666663</v>
      </c>
    </row>
    <row r="1869" spans="1:16" x14ac:dyDescent="0.25">
      <c r="A1869" s="2">
        <v>45144</v>
      </c>
      <c r="B1869" s="2">
        <v>45085</v>
      </c>
      <c r="C1869" t="str">
        <f>TEXT(B1869,"mm")</f>
        <v>06</v>
      </c>
      <c r="D1869" t="s">
        <v>20</v>
      </c>
      <c r="E1869" t="s">
        <v>1636</v>
      </c>
      <c r="F1869" s="5">
        <v>62300000</v>
      </c>
      <c r="G1869" s="5">
        <v>65300000</v>
      </c>
      <c r="H1869" s="5">
        <f>M1869*26000*1.20565</f>
        <v>61552772.840000004</v>
      </c>
      <c r="I1869" s="5">
        <f>G1869-H1869</f>
        <v>3747227.1599999964</v>
      </c>
      <c r="J1869" s="5">
        <v>3000000</v>
      </c>
      <c r="K1869" s="5">
        <v>6230000</v>
      </c>
      <c r="L1869" s="5">
        <v>6530000</v>
      </c>
      <c r="M1869" s="7">
        <v>1963.6</v>
      </c>
      <c r="N1869" s="5">
        <v>62800000</v>
      </c>
      <c r="O1869" s="5">
        <v>65800000</v>
      </c>
      <c r="P1869" s="3">
        <v>0.97916666666666663</v>
      </c>
    </row>
    <row r="1870" spans="1:16" x14ac:dyDescent="0.25">
      <c r="A1870" s="2">
        <v>45175</v>
      </c>
      <c r="B1870" s="2">
        <v>45086</v>
      </c>
      <c r="C1870" t="str">
        <f>TEXT(B1870,"mm")</f>
        <v>06</v>
      </c>
      <c r="D1870" t="s">
        <v>21</v>
      </c>
      <c r="E1870" t="s">
        <v>1636</v>
      </c>
      <c r="F1870" s="5">
        <v>62300000</v>
      </c>
      <c r="G1870" s="5">
        <v>65300000</v>
      </c>
      <c r="H1870" s="5">
        <f>M1870*26000*1.20565</f>
        <v>61508887.180000007</v>
      </c>
      <c r="I1870" s="5">
        <f>G1870-H1870</f>
        <v>3791112.8199999928</v>
      </c>
      <c r="J1870" s="5">
        <v>3000000</v>
      </c>
      <c r="K1870" s="5">
        <v>6230000</v>
      </c>
      <c r="L1870" s="5">
        <v>6530000</v>
      </c>
      <c r="M1870" s="7">
        <v>1962.2</v>
      </c>
      <c r="N1870" s="5">
        <v>62800000</v>
      </c>
      <c r="O1870" s="5">
        <v>65800000</v>
      </c>
      <c r="P1870" s="3">
        <v>0.97916666666666663</v>
      </c>
    </row>
    <row r="1871" spans="1:16" x14ac:dyDescent="0.25">
      <c r="A1871" s="2">
        <v>45266</v>
      </c>
      <c r="B1871" s="2">
        <v>45089</v>
      </c>
      <c r="C1871" t="str">
        <f>TEXT(B1871,"mm")</f>
        <v>06</v>
      </c>
      <c r="D1871" t="s">
        <v>16</v>
      </c>
      <c r="E1871" t="s">
        <v>1636</v>
      </c>
      <c r="F1871" s="5">
        <v>62000000</v>
      </c>
      <c r="G1871" s="5">
        <v>65000000</v>
      </c>
      <c r="H1871" s="5">
        <f>M1871*26000*1.20565</f>
        <v>61292593.570000008</v>
      </c>
      <c r="I1871" s="5">
        <f>G1871-H1871</f>
        <v>3707406.4299999923</v>
      </c>
      <c r="J1871" s="5">
        <v>3000000</v>
      </c>
      <c r="K1871" s="5">
        <v>6200000</v>
      </c>
      <c r="L1871" s="5">
        <v>6500000</v>
      </c>
      <c r="M1871" s="7">
        <v>1955.3</v>
      </c>
      <c r="N1871" s="5">
        <v>62500000</v>
      </c>
      <c r="O1871" s="5">
        <v>65500000</v>
      </c>
      <c r="P1871" s="3">
        <v>0.97916666666666663</v>
      </c>
    </row>
    <row r="1872" spans="1:16" x14ac:dyDescent="0.25">
      <c r="A1872" t="s">
        <v>1149</v>
      </c>
      <c r="B1872" s="2">
        <v>45090</v>
      </c>
      <c r="C1872" t="str">
        <f>TEXT(B1872,"mm")</f>
        <v>06</v>
      </c>
      <c r="D1872" t="s">
        <v>18</v>
      </c>
      <c r="E1872" t="s">
        <v>1636</v>
      </c>
      <c r="F1872" s="5">
        <v>61700000</v>
      </c>
      <c r="G1872" s="5">
        <v>64700000</v>
      </c>
      <c r="H1872" s="5">
        <f>M1872*26000*1.20565</f>
        <v>60957181.740000002</v>
      </c>
      <c r="I1872" s="5">
        <f>G1872-H1872</f>
        <v>3742818.2599999979</v>
      </c>
      <c r="J1872" s="5">
        <v>3000000</v>
      </c>
      <c r="K1872" s="5">
        <v>6170000</v>
      </c>
      <c r="L1872" s="5">
        <v>6470000</v>
      </c>
      <c r="M1872" s="7">
        <v>1944.6</v>
      </c>
      <c r="N1872" s="5">
        <v>62200000</v>
      </c>
      <c r="O1872" s="5">
        <v>65200000</v>
      </c>
      <c r="P1872" s="3">
        <v>0.97916666666666663</v>
      </c>
    </row>
    <row r="1873" spans="1:16" x14ac:dyDescent="0.25">
      <c r="A1873" t="s">
        <v>1150</v>
      </c>
      <c r="B1873" s="2">
        <v>45091</v>
      </c>
      <c r="C1873" t="str">
        <f>TEXT(B1873,"mm")</f>
        <v>06</v>
      </c>
      <c r="D1873" t="s">
        <v>19</v>
      </c>
      <c r="E1873" t="s">
        <v>1636</v>
      </c>
      <c r="F1873" s="5">
        <v>62000000</v>
      </c>
      <c r="G1873" s="5">
        <v>65000000</v>
      </c>
      <c r="H1873" s="5">
        <f>M1873*26000*1.20565</f>
        <v>61292593.570000008</v>
      </c>
      <c r="I1873" s="5">
        <f>G1873-H1873</f>
        <v>3707406.4299999923</v>
      </c>
      <c r="J1873" s="5">
        <v>3000000</v>
      </c>
      <c r="K1873" s="5">
        <v>6200000</v>
      </c>
      <c r="L1873" s="5">
        <v>6500000</v>
      </c>
      <c r="M1873" s="7">
        <v>1955.3</v>
      </c>
      <c r="N1873" s="5">
        <v>62500000</v>
      </c>
      <c r="O1873" s="5">
        <v>65500000</v>
      </c>
      <c r="P1873" s="3">
        <v>0.97916666666666663</v>
      </c>
    </row>
    <row r="1874" spans="1:16" x14ac:dyDescent="0.25">
      <c r="A1874" t="s">
        <v>1151</v>
      </c>
      <c r="B1874" s="2">
        <v>45092</v>
      </c>
      <c r="C1874" t="str">
        <f>TEXT(B1874,"mm")</f>
        <v>06</v>
      </c>
      <c r="D1874" t="s">
        <v>20</v>
      </c>
      <c r="E1874" t="s">
        <v>1636</v>
      </c>
      <c r="F1874" s="5">
        <v>62100000</v>
      </c>
      <c r="G1874" s="5">
        <v>65100000</v>
      </c>
      <c r="H1874" s="5">
        <f>M1874*26000*1.20565</f>
        <v>61370960.820000008</v>
      </c>
      <c r="I1874" s="5">
        <f>G1874-H1874</f>
        <v>3729039.1799999923</v>
      </c>
      <c r="J1874" s="5">
        <v>3000000</v>
      </c>
      <c r="K1874" s="5">
        <v>6210000</v>
      </c>
      <c r="L1874" s="5">
        <v>6510000</v>
      </c>
      <c r="M1874" s="7">
        <v>1957.8</v>
      </c>
      <c r="N1874" s="5">
        <v>62600000</v>
      </c>
      <c r="O1874" s="5">
        <v>65600000</v>
      </c>
      <c r="P1874" s="3">
        <v>0.97916666666666663</v>
      </c>
    </row>
    <row r="1875" spans="1:16" x14ac:dyDescent="0.25">
      <c r="A1875" t="s">
        <v>1152</v>
      </c>
      <c r="B1875" s="2">
        <v>45093</v>
      </c>
      <c r="C1875" t="str">
        <f>TEXT(B1875,"mm")</f>
        <v>06</v>
      </c>
      <c r="D1875" t="s">
        <v>21</v>
      </c>
      <c r="E1875" t="s">
        <v>1636</v>
      </c>
      <c r="F1875" s="5">
        <v>62100000</v>
      </c>
      <c r="G1875" s="5">
        <v>65100000</v>
      </c>
      <c r="H1875" s="5">
        <f>M1875*26000*1.20565</f>
        <v>61389768.960000008</v>
      </c>
      <c r="I1875" s="5">
        <f>G1875-H1875</f>
        <v>3710231.0399999917</v>
      </c>
      <c r="J1875" s="5">
        <v>3000000</v>
      </c>
      <c r="K1875" s="5">
        <v>6210000</v>
      </c>
      <c r="L1875" s="5">
        <v>6510000</v>
      </c>
      <c r="M1875" s="7">
        <v>1958.4</v>
      </c>
      <c r="N1875" s="5">
        <v>62600000</v>
      </c>
      <c r="O1875" s="5">
        <v>65600000</v>
      </c>
      <c r="P1875" s="3">
        <v>0.97916666666666663</v>
      </c>
    </row>
    <row r="1876" spans="1:16" x14ac:dyDescent="0.25">
      <c r="A1876" t="s">
        <v>1153</v>
      </c>
      <c r="B1876" s="2">
        <v>45097</v>
      </c>
      <c r="C1876" t="str">
        <f>TEXT(B1876,"mm")</f>
        <v>06</v>
      </c>
      <c r="D1876" t="s">
        <v>18</v>
      </c>
      <c r="E1876" t="s">
        <v>1636</v>
      </c>
      <c r="F1876" s="5">
        <v>61400000</v>
      </c>
      <c r="G1876" s="5">
        <v>64400000</v>
      </c>
      <c r="H1876" s="5">
        <f>M1876*26000*1.20565</f>
        <v>60671924.950000003</v>
      </c>
      <c r="I1876" s="5">
        <f>G1876-H1876</f>
        <v>3728075.049999997</v>
      </c>
      <c r="J1876" s="5">
        <v>3000000</v>
      </c>
      <c r="K1876" s="5">
        <v>6140000</v>
      </c>
      <c r="L1876" s="5">
        <v>6440000</v>
      </c>
      <c r="M1876" s="7">
        <v>1935.5</v>
      </c>
      <c r="N1876" s="5">
        <v>61900000</v>
      </c>
      <c r="O1876" s="5">
        <v>64900000</v>
      </c>
      <c r="P1876" s="3">
        <v>0.97916666666666663</v>
      </c>
    </row>
    <row r="1877" spans="1:16" x14ac:dyDescent="0.25">
      <c r="A1877" t="s">
        <v>1154</v>
      </c>
      <c r="B1877" s="2">
        <v>45098</v>
      </c>
      <c r="C1877" t="str">
        <f>TEXT(B1877,"mm")</f>
        <v>06</v>
      </c>
      <c r="D1877" t="s">
        <v>19</v>
      </c>
      <c r="E1877" t="s">
        <v>1636</v>
      </c>
      <c r="F1877" s="5">
        <v>61300000</v>
      </c>
      <c r="G1877" s="5">
        <v>64300000</v>
      </c>
      <c r="H1877" s="5">
        <f>M1877*26000*1.20565</f>
        <v>60602961.770000003</v>
      </c>
      <c r="I1877" s="5">
        <f>G1877-H1877</f>
        <v>3697038.2299999967</v>
      </c>
      <c r="J1877" s="5">
        <v>3000000</v>
      </c>
      <c r="K1877" s="5">
        <v>6130000</v>
      </c>
      <c r="L1877" s="5">
        <v>6430000</v>
      </c>
      <c r="M1877" s="7">
        <v>1933.3</v>
      </c>
      <c r="N1877" s="5">
        <v>61800000</v>
      </c>
      <c r="O1877" s="5">
        <v>64800000</v>
      </c>
      <c r="P1877" s="3">
        <v>0.97916666666666663</v>
      </c>
    </row>
    <row r="1878" spans="1:16" x14ac:dyDescent="0.25">
      <c r="A1878" t="s">
        <v>1155</v>
      </c>
      <c r="B1878" s="2">
        <v>45099</v>
      </c>
      <c r="C1878" t="str">
        <f>TEXT(B1878,"mm")</f>
        <v>06</v>
      </c>
      <c r="D1878" t="s">
        <v>20</v>
      </c>
      <c r="E1878" t="s">
        <v>1636</v>
      </c>
      <c r="F1878" s="5">
        <v>60600000</v>
      </c>
      <c r="G1878" s="5">
        <v>63600000</v>
      </c>
      <c r="H1878" s="5">
        <f>M1878*26000*1.20565</f>
        <v>59957215.630000003</v>
      </c>
      <c r="I1878" s="5">
        <f>G1878-H1878</f>
        <v>3642784.3699999973</v>
      </c>
      <c r="J1878" s="5">
        <v>3000000</v>
      </c>
      <c r="K1878" s="5">
        <v>6060000</v>
      </c>
      <c r="L1878" s="5">
        <v>6360000</v>
      </c>
      <c r="M1878" s="7">
        <v>1912.7</v>
      </c>
      <c r="N1878" s="5">
        <v>61100000</v>
      </c>
      <c r="O1878" s="5">
        <v>64100000</v>
      </c>
      <c r="P1878" s="3">
        <v>0.97916666666666663</v>
      </c>
    </row>
    <row r="1879" spans="1:16" x14ac:dyDescent="0.25">
      <c r="A1879" t="s">
        <v>1156</v>
      </c>
      <c r="B1879" s="2">
        <v>45100</v>
      </c>
      <c r="C1879" t="str">
        <f>TEXT(B1879,"mm")</f>
        <v>06</v>
      </c>
      <c r="D1879" t="s">
        <v>21</v>
      </c>
      <c r="E1879" t="s">
        <v>1636</v>
      </c>
      <c r="F1879" s="5">
        <v>60800000</v>
      </c>
      <c r="G1879" s="5">
        <v>63800000</v>
      </c>
      <c r="H1879" s="5">
        <f>M1879*26000*1.20565</f>
        <v>60157835.790000007</v>
      </c>
      <c r="I1879" s="5">
        <f>G1879-H1879</f>
        <v>3642164.2099999934</v>
      </c>
      <c r="J1879" s="5">
        <v>3000000</v>
      </c>
      <c r="K1879" s="5">
        <v>6080000</v>
      </c>
      <c r="L1879" s="5">
        <v>6380000</v>
      </c>
      <c r="M1879" s="7">
        <v>1919.1</v>
      </c>
      <c r="N1879" s="5">
        <v>61300000</v>
      </c>
      <c r="O1879" s="5">
        <v>64300000</v>
      </c>
      <c r="P1879" s="3">
        <v>0.97916666666666663</v>
      </c>
    </row>
    <row r="1880" spans="1:16" x14ac:dyDescent="0.25">
      <c r="A1880" t="s">
        <v>1157</v>
      </c>
      <c r="B1880" s="2">
        <v>45103</v>
      </c>
      <c r="C1880" t="str">
        <f>TEXT(B1880,"mm")</f>
        <v>06</v>
      </c>
      <c r="D1880" t="s">
        <v>16</v>
      </c>
      <c r="E1880" t="s">
        <v>1636</v>
      </c>
      <c r="F1880" s="5">
        <v>61000000</v>
      </c>
      <c r="G1880" s="5">
        <v>64000000</v>
      </c>
      <c r="H1880" s="5">
        <f>M1880*26000*1.20565</f>
        <v>60302031.530000009</v>
      </c>
      <c r="I1880" s="5">
        <f>G1880-H1880</f>
        <v>3697968.4699999914</v>
      </c>
      <c r="J1880" s="5">
        <v>3000000</v>
      </c>
      <c r="K1880" s="5">
        <v>6100000</v>
      </c>
      <c r="L1880" s="5">
        <v>6400000</v>
      </c>
      <c r="M1880" s="7">
        <v>1923.7</v>
      </c>
      <c r="N1880" s="5">
        <v>61500000</v>
      </c>
      <c r="O1880" s="5">
        <v>64500000</v>
      </c>
      <c r="P1880" s="3">
        <v>0.97916666666666663</v>
      </c>
    </row>
    <row r="1881" spans="1:16" x14ac:dyDescent="0.25">
      <c r="A1881" t="s">
        <v>1158</v>
      </c>
      <c r="B1881" s="2">
        <v>45104</v>
      </c>
      <c r="C1881" t="str">
        <f>TEXT(B1881,"mm")</f>
        <v>06</v>
      </c>
      <c r="D1881" t="s">
        <v>18</v>
      </c>
      <c r="E1881" t="s">
        <v>1636</v>
      </c>
      <c r="F1881" s="5">
        <v>60700000</v>
      </c>
      <c r="G1881" s="5">
        <v>63700000</v>
      </c>
      <c r="H1881" s="5">
        <f>M1881*26000*1.20565</f>
        <v>59997966.600000009</v>
      </c>
      <c r="I1881" s="5">
        <f>G1881-H1881</f>
        <v>3702033.3999999911</v>
      </c>
      <c r="J1881" s="5">
        <v>3000000</v>
      </c>
      <c r="K1881" s="5">
        <v>6070000</v>
      </c>
      <c r="L1881" s="5">
        <v>6370000</v>
      </c>
      <c r="M1881" s="7">
        <v>1914</v>
      </c>
      <c r="N1881" s="5">
        <v>61200000</v>
      </c>
      <c r="O1881" s="5">
        <v>64200000</v>
      </c>
      <c r="P1881" s="3">
        <v>0.97916666666666663</v>
      </c>
    </row>
    <row r="1882" spans="1:16" x14ac:dyDescent="0.25">
      <c r="A1882" t="s">
        <v>1159</v>
      </c>
      <c r="B1882" s="2">
        <v>45105</v>
      </c>
      <c r="C1882" t="str">
        <f>TEXT(B1882,"mm")</f>
        <v>06</v>
      </c>
      <c r="D1882" t="s">
        <v>19</v>
      </c>
      <c r="E1882" t="s">
        <v>1636</v>
      </c>
      <c r="F1882" s="5">
        <v>60600000</v>
      </c>
      <c r="G1882" s="5">
        <v>63600000</v>
      </c>
      <c r="H1882" s="5">
        <f>M1882*26000*1.20565</f>
        <v>59944676.870000005</v>
      </c>
      <c r="I1882" s="5">
        <f>G1882-H1882</f>
        <v>3655323.1299999952</v>
      </c>
      <c r="J1882" s="5">
        <v>3000000</v>
      </c>
      <c r="K1882" s="5">
        <v>6060000</v>
      </c>
      <c r="L1882" s="5">
        <v>6360000</v>
      </c>
      <c r="M1882" s="7">
        <v>1912.3</v>
      </c>
      <c r="N1882" s="5">
        <v>61100000</v>
      </c>
      <c r="O1882" s="5">
        <v>64100000</v>
      </c>
      <c r="P1882" s="3">
        <v>0.97916666666666663</v>
      </c>
    </row>
    <row r="1883" spans="1:16" x14ac:dyDescent="0.25">
      <c r="A1883" t="s">
        <v>1160</v>
      </c>
      <c r="B1883" s="2">
        <v>45106</v>
      </c>
      <c r="C1883" t="str">
        <f>TEXT(B1883,"mm")</f>
        <v>06</v>
      </c>
      <c r="D1883" t="s">
        <v>20</v>
      </c>
      <c r="E1883" t="s">
        <v>1636</v>
      </c>
      <c r="F1883" s="5">
        <v>60500000</v>
      </c>
      <c r="G1883" s="5">
        <v>63500000</v>
      </c>
      <c r="H1883" s="5">
        <f>M1883*26000*1.20565</f>
        <v>59847501.480000004</v>
      </c>
      <c r="I1883" s="5">
        <f>G1883-H1883</f>
        <v>3652498.5199999958</v>
      </c>
      <c r="J1883" s="5">
        <v>3000000</v>
      </c>
      <c r="K1883" s="5">
        <v>6050000</v>
      </c>
      <c r="L1883" s="5">
        <v>6350000</v>
      </c>
      <c r="M1883" s="7">
        <v>1909.2</v>
      </c>
      <c r="N1883" s="5">
        <v>61000000</v>
      </c>
      <c r="O1883" s="5">
        <v>64000000</v>
      </c>
      <c r="P1883" s="3">
        <v>0.97916666666666663</v>
      </c>
    </row>
    <row r="1884" spans="1:16" x14ac:dyDescent="0.25">
      <c r="A1884" t="s">
        <v>1161</v>
      </c>
      <c r="B1884" s="2">
        <v>45107</v>
      </c>
      <c r="C1884" t="str">
        <f>TEXT(B1884,"mm")</f>
        <v>06</v>
      </c>
      <c r="D1884" t="s">
        <v>21</v>
      </c>
      <c r="E1884" t="s">
        <v>1636</v>
      </c>
      <c r="F1884" s="5">
        <v>60900000</v>
      </c>
      <c r="G1884" s="5">
        <v>63900000</v>
      </c>
      <c r="H1884" s="5">
        <f>M1884*26000*1.20565</f>
        <v>60220529.590000004</v>
      </c>
      <c r="I1884" s="5">
        <f>G1884-H1884</f>
        <v>3679470.4099999964</v>
      </c>
      <c r="J1884" s="5">
        <v>3000000</v>
      </c>
      <c r="K1884" s="5">
        <v>6090000</v>
      </c>
      <c r="L1884" s="5">
        <v>6390000</v>
      </c>
      <c r="M1884" s="7">
        <v>1921.1</v>
      </c>
      <c r="N1884" s="5">
        <v>61400000</v>
      </c>
      <c r="O1884" s="5">
        <v>64400000</v>
      </c>
      <c r="P1884" s="3">
        <v>0.97916666666666663</v>
      </c>
    </row>
    <row r="1885" spans="1:16" x14ac:dyDescent="0.25">
      <c r="A1885" s="2">
        <v>44992</v>
      </c>
      <c r="B1885" s="2">
        <v>45110</v>
      </c>
      <c r="C1885" t="str">
        <f>TEXT(B1885,"mm")</f>
        <v>07</v>
      </c>
      <c r="D1885" t="s">
        <v>16</v>
      </c>
      <c r="E1885" t="s">
        <v>1636</v>
      </c>
      <c r="F1885" s="5">
        <v>60900000</v>
      </c>
      <c r="G1885" s="5">
        <v>63900000</v>
      </c>
      <c r="H1885" s="5">
        <f>M1885*26000*1.20565</f>
        <v>60239337.730000004</v>
      </c>
      <c r="I1885" s="5">
        <f>G1885-H1885</f>
        <v>3660662.2699999958</v>
      </c>
      <c r="J1885" s="5">
        <v>3000000</v>
      </c>
      <c r="K1885" s="5">
        <v>6090000</v>
      </c>
      <c r="L1885" s="5">
        <v>6390000</v>
      </c>
      <c r="M1885" s="7">
        <v>1921.7</v>
      </c>
      <c r="N1885" s="5">
        <v>61400000</v>
      </c>
      <c r="O1885" s="5">
        <v>64400000</v>
      </c>
      <c r="P1885" s="3">
        <v>0.97916666666666663</v>
      </c>
    </row>
    <row r="1886" spans="1:16" x14ac:dyDescent="0.25">
      <c r="A1886" s="2">
        <v>45053</v>
      </c>
      <c r="B1886" s="2">
        <v>45112</v>
      </c>
      <c r="C1886" t="str">
        <f>TEXT(B1886,"mm")</f>
        <v>07</v>
      </c>
      <c r="D1886" t="s">
        <v>19</v>
      </c>
      <c r="E1886" t="s">
        <v>1636</v>
      </c>
      <c r="F1886" s="5">
        <v>60800000</v>
      </c>
      <c r="G1886" s="5">
        <v>63800000</v>
      </c>
      <c r="H1886" s="5">
        <f>M1886*26000*1.20565</f>
        <v>60173509.240000002</v>
      </c>
      <c r="I1886" s="5">
        <f>G1886-H1886</f>
        <v>3626490.7599999979</v>
      </c>
      <c r="J1886" s="5">
        <v>3000000</v>
      </c>
      <c r="K1886" s="5">
        <v>6080000</v>
      </c>
      <c r="L1886" s="5">
        <v>6380000</v>
      </c>
      <c r="M1886" s="7">
        <v>1919.6</v>
      </c>
      <c r="N1886" s="5">
        <v>61300000</v>
      </c>
      <c r="O1886" s="5">
        <v>64300000</v>
      </c>
      <c r="P1886" s="3">
        <v>0.97916666666666663</v>
      </c>
    </row>
    <row r="1887" spans="1:16" x14ac:dyDescent="0.25">
      <c r="A1887" s="2">
        <v>45084</v>
      </c>
      <c r="B1887" s="2">
        <v>45113</v>
      </c>
      <c r="C1887" t="str">
        <f>TEXT(B1887,"mm")</f>
        <v>07</v>
      </c>
      <c r="D1887" t="s">
        <v>20</v>
      </c>
      <c r="E1887" t="s">
        <v>1636</v>
      </c>
      <c r="F1887" s="5">
        <v>60500000</v>
      </c>
      <c r="G1887" s="5">
        <v>63500000</v>
      </c>
      <c r="H1887" s="5">
        <f>M1887*26000*1.20565</f>
        <v>59831828.030000009</v>
      </c>
      <c r="I1887" s="5">
        <f>G1887-H1887</f>
        <v>3668171.9699999914</v>
      </c>
      <c r="J1887" s="5">
        <v>3000000</v>
      </c>
      <c r="K1887" s="5">
        <v>6050000</v>
      </c>
      <c r="L1887" s="5">
        <v>6350000</v>
      </c>
      <c r="M1887" s="7">
        <v>1908.7</v>
      </c>
      <c r="N1887" s="5">
        <v>61000000</v>
      </c>
      <c r="O1887" s="5">
        <v>64000000</v>
      </c>
      <c r="P1887" s="3">
        <v>0.97916666666666663</v>
      </c>
    </row>
    <row r="1888" spans="1:16" x14ac:dyDescent="0.25">
      <c r="A1888" s="2">
        <v>45114</v>
      </c>
      <c r="B1888" s="2">
        <v>45114</v>
      </c>
      <c r="C1888" t="str">
        <f>TEXT(B1888,"mm")</f>
        <v>07</v>
      </c>
      <c r="D1888" t="s">
        <v>21</v>
      </c>
      <c r="E1888" t="s">
        <v>1636</v>
      </c>
      <c r="F1888" s="5">
        <v>61100000</v>
      </c>
      <c r="G1888" s="5">
        <v>64100000</v>
      </c>
      <c r="H1888" s="5">
        <f>M1888*26000*1.20565</f>
        <v>60380398.780000009</v>
      </c>
      <c r="I1888" s="5">
        <f>G1888-H1888</f>
        <v>3719601.2199999914</v>
      </c>
      <c r="J1888" s="5">
        <v>3000000</v>
      </c>
      <c r="K1888" s="5">
        <v>6110000</v>
      </c>
      <c r="L1888" s="5">
        <v>6410000</v>
      </c>
      <c r="M1888" s="7">
        <v>1926.2</v>
      </c>
      <c r="N1888" s="5">
        <v>61600000</v>
      </c>
      <c r="O1888" s="5">
        <v>64600000</v>
      </c>
      <c r="P1888" s="3">
        <v>0.97916666666666663</v>
      </c>
    </row>
    <row r="1889" spans="1:16" x14ac:dyDescent="0.25">
      <c r="A1889" s="2">
        <v>45206</v>
      </c>
      <c r="B1889" s="2">
        <v>45117</v>
      </c>
      <c r="C1889" t="str">
        <f>TEXT(B1889,"mm")</f>
        <v>07</v>
      </c>
      <c r="D1889" t="s">
        <v>16</v>
      </c>
      <c r="E1889" t="s">
        <v>1636</v>
      </c>
      <c r="F1889" s="5">
        <v>61000000</v>
      </c>
      <c r="G1889" s="5">
        <v>64000000</v>
      </c>
      <c r="H1889" s="5">
        <f>M1889*26000*1.20565</f>
        <v>60342782.500000007</v>
      </c>
      <c r="I1889" s="5">
        <f>G1889-H1889</f>
        <v>3657217.4999999925</v>
      </c>
      <c r="J1889" s="5">
        <v>3000000</v>
      </c>
      <c r="K1889" s="5">
        <v>6100000</v>
      </c>
      <c r="L1889" s="5">
        <v>6400000</v>
      </c>
      <c r="M1889" s="7">
        <v>1925</v>
      </c>
      <c r="N1889" s="5">
        <v>61500000</v>
      </c>
      <c r="O1889" s="5">
        <v>64500000</v>
      </c>
      <c r="P1889" s="3">
        <v>0.97916666666666663</v>
      </c>
    </row>
    <row r="1890" spans="1:16" x14ac:dyDescent="0.25">
      <c r="A1890" s="2">
        <v>45237</v>
      </c>
      <c r="B1890" s="2">
        <v>45118</v>
      </c>
      <c r="C1890" t="str">
        <f>TEXT(B1890,"mm")</f>
        <v>07</v>
      </c>
      <c r="D1890" t="s">
        <v>18</v>
      </c>
      <c r="E1890" t="s">
        <v>1636</v>
      </c>
      <c r="F1890" s="5">
        <v>61200000</v>
      </c>
      <c r="G1890" s="5">
        <v>64200000</v>
      </c>
      <c r="H1890" s="5">
        <f>M1890*26000*1.20565</f>
        <v>60540267.970000006</v>
      </c>
      <c r="I1890" s="5">
        <f>G1890-H1890</f>
        <v>3659732.0299999937</v>
      </c>
      <c r="J1890" s="5">
        <v>3000000</v>
      </c>
      <c r="K1890" s="5">
        <v>6120000</v>
      </c>
      <c r="L1890" s="5">
        <v>6420000</v>
      </c>
      <c r="M1890" s="7">
        <v>1931.3</v>
      </c>
      <c r="N1890" s="5">
        <v>61700000</v>
      </c>
      <c r="O1890" s="5">
        <v>64700000</v>
      </c>
      <c r="P1890" s="3">
        <v>0.97916666666666663</v>
      </c>
    </row>
    <row r="1891" spans="1:16" x14ac:dyDescent="0.25">
      <c r="A1891" s="2">
        <v>45267</v>
      </c>
      <c r="B1891" s="2">
        <v>45119</v>
      </c>
      <c r="C1891" t="str">
        <f>TEXT(B1891,"mm")</f>
        <v>07</v>
      </c>
      <c r="D1891" t="s">
        <v>19</v>
      </c>
      <c r="E1891" t="s">
        <v>1636</v>
      </c>
      <c r="F1891" s="5">
        <v>62100000</v>
      </c>
      <c r="G1891" s="5">
        <v>65100000</v>
      </c>
      <c r="H1891" s="5">
        <f>M1891*26000*1.20565</f>
        <v>61320805.780000009</v>
      </c>
      <c r="I1891" s="5">
        <f>G1891-H1891</f>
        <v>3779194.2199999914</v>
      </c>
      <c r="J1891" s="5">
        <v>3000000</v>
      </c>
      <c r="K1891" s="5">
        <v>6210000</v>
      </c>
      <c r="L1891" s="5">
        <v>6510000</v>
      </c>
      <c r="M1891" s="7">
        <v>1956.2</v>
      </c>
      <c r="N1891" s="5">
        <v>62600000</v>
      </c>
      <c r="O1891" s="5">
        <v>65600000</v>
      </c>
      <c r="P1891" s="3">
        <v>0.97916666666666663</v>
      </c>
    </row>
    <row r="1892" spans="1:16" x14ac:dyDescent="0.25">
      <c r="A1892" t="s">
        <v>1162</v>
      </c>
      <c r="B1892" s="2">
        <v>45120</v>
      </c>
      <c r="C1892" t="str">
        <f>TEXT(B1892,"mm")</f>
        <v>07</v>
      </c>
      <c r="D1892" t="s">
        <v>20</v>
      </c>
      <c r="E1892" t="s">
        <v>1636</v>
      </c>
      <c r="F1892" s="5">
        <v>62200000</v>
      </c>
      <c r="G1892" s="5">
        <v>65200000</v>
      </c>
      <c r="H1892" s="5">
        <f>M1892*26000*1.20565</f>
        <v>61414846.480000004</v>
      </c>
      <c r="I1892" s="5">
        <f>G1892-H1892</f>
        <v>3785153.5199999958</v>
      </c>
      <c r="J1892" s="5">
        <v>3000000</v>
      </c>
      <c r="K1892" s="5">
        <v>6220000</v>
      </c>
      <c r="L1892" s="5">
        <v>6520000</v>
      </c>
      <c r="M1892" s="7">
        <v>1959.2</v>
      </c>
      <c r="N1892" s="5">
        <v>62700000</v>
      </c>
      <c r="O1892" s="5">
        <v>65700000</v>
      </c>
      <c r="P1892" s="3">
        <v>0.97916666666666663</v>
      </c>
    </row>
    <row r="1893" spans="1:16" x14ac:dyDescent="0.25">
      <c r="A1893" t="s">
        <v>1163</v>
      </c>
      <c r="B1893" s="2">
        <v>45121</v>
      </c>
      <c r="C1893" t="str">
        <f>TEXT(B1893,"mm")</f>
        <v>07</v>
      </c>
      <c r="D1893" t="s">
        <v>21</v>
      </c>
      <c r="E1893" t="s">
        <v>1636</v>
      </c>
      <c r="F1893" s="5">
        <v>62200000</v>
      </c>
      <c r="G1893" s="5">
        <v>65200000</v>
      </c>
      <c r="H1893" s="5">
        <f>M1893*26000*1.20565</f>
        <v>61443058.690000005</v>
      </c>
      <c r="I1893" s="5">
        <f>G1893-H1893</f>
        <v>3756941.3099999949</v>
      </c>
      <c r="J1893" s="5">
        <v>3000000</v>
      </c>
      <c r="K1893" s="5">
        <v>6220000</v>
      </c>
      <c r="L1893" s="5">
        <v>6520000</v>
      </c>
      <c r="M1893" s="7">
        <v>1960.1</v>
      </c>
      <c r="N1893" s="5">
        <v>62700000</v>
      </c>
      <c r="O1893" s="5">
        <v>65700000</v>
      </c>
      <c r="P1893" s="3">
        <v>0.97916666666666663</v>
      </c>
    </row>
    <row r="1894" spans="1:16" x14ac:dyDescent="0.25">
      <c r="A1894" t="s">
        <v>1164</v>
      </c>
      <c r="B1894" s="2">
        <v>45124</v>
      </c>
      <c r="C1894" t="str">
        <f>TEXT(B1894,"mm")</f>
        <v>07</v>
      </c>
      <c r="D1894" t="s">
        <v>16</v>
      </c>
      <c r="E1894" t="s">
        <v>1636</v>
      </c>
      <c r="F1894" s="5">
        <v>61900000</v>
      </c>
      <c r="G1894" s="5">
        <v>64900000</v>
      </c>
      <c r="H1894" s="5">
        <f>M1894*26000*1.20565</f>
        <v>61201687.560000002</v>
      </c>
      <c r="I1894" s="5">
        <f>G1894-H1894</f>
        <v>3698312.4399999976</v>
      </c>
      <c r="J1894" s="5">
        <v>3000000</v>
      </c>
      <c r="K1894" s="5">
        <v>6190000</v>
      </c>
      <c r="L1894" s="5">
        <v>6490000</v>
      </c>
      <c r="M1894" s="7">
        <v>1952.4</v>
      </c>
      <c r="N1894" s="5">
        <v>62400000</v>
      </c>
      <c r="O1894" s="5">
        <v>65400000</v>
      </c>
      <c r="P1894" s="3">
        <v>0.97916666666666663</v>
      </c>
    </row>
    <row r="1895" spans="1:16" x14ac:dyDescent="0.25">
      <c r="A1895" t="s">
        <v>1165</v>
      </c>
      <c r="B1895" s="2">
        <v>45125</v>
      </c>
      <c r="C1895" t="str">
        <f>TEXT(B1895,"mm")</f>
        <v>07</v>
      </c>
      <c r="D1895" t="s">
        <v>18</v>
      </c>
      <c r="E1895" t="s">
        <v>1636</v>
      </c>
      <c r="F1895" s="5">
        <v>62800000</v>
      </c>
      <c r="G1895" s="5">
        <v>65800000</v>
      </c>
      <c r="H1895" s="5">
        <f>M1895*26000*1.20565</f>
        <v>61979090.680000007</v>
      </c>
      <c r="I1895" s="5">
        <f>G1895-H1895</f>
        <v>3820909.3199999928</v>
      </c>
      <c r="J1895" s="5">
        <v>3000000</v>
      </c>
      <c r="K1895" s="5">
        <v>6280000</v>
      </c>
      <c r="L1895" s="5">
        <v>6580000</v>
      </c>
      <c r="M1895" s="7">
        <v>1977.2</v>
      </c>
      <c r="N1895" s="5">
        <v>63300000</v>
      </c>
      <c r="O1895" s="5">
        <v>66300000</v>
      </c>
      <c r="P1895" s="3">
        <v>0.97916666666666663</v>
      </c>
    </row>
    <row r="1896" spans="1:16" x14ac:dyDescent="0.25">
      <c r="A1896" t="s">
        <v>1166</v>
      </c>
      <c r="B1896" s="2">
        <v>45126</v>
      </c>
      <c r="C1896" t="str">
        <f>TEXT(B1896,"mm")</f>
        <v>07</v>
      </c>
      <c r="D1896" t="s">
        <v>19</v>
      </c>
      <c r="E1896" t="s">
        <v>1636</v>
      </c>
      <c r="F1896" s="5">
        <v>62800000</v>
      </c>
      <c r="G1896" s="5">
        <v>65800000</v>
      </c>
      <c r="H1896" s="5">
        <f>M1896*26000*1.20565</f>
        <v>61988494.750000007</v>
      </c>
      <c r="I1896" s="5">
        <f>G1896-H1896</f>
        <v>3811505.2499999925</v>
      </c>
      <c r="J1896" s="5">
        <v>3000000</v>
      </c>
      <c r="K1896" s="5">
        <v>6280000</v>
      </c>
      <c r="L1896" s="5">
        <v>6580000</v>
      </c>
      <c r="M1896" s="7">
        <v>1977.5</v>
      </c>
      <c r="N1896" s="5">
        <v>63300000</v>
      </c>
      <c r="O1896" s="5">
        <v>66300000</v>
      </c>
      <c r="P1896" s="3">
        <v>0.97916666666666663</v>
      </c>
    </row>
    <row r="1897" spans="1:16" x14ac:dyDescent="0.25">
      <c r="A1897" t="s">
        <v>1167</v>
      </c>
      <c r="B1897" s="2">
        <v>45127</v>
      </c>
      <c r="C1897" t="str">
        <f>TEXT(B1897,"mm")</f>
        <v>07</v>
      </c>
      <c r="D1897" t="s">
        <v>20</v>
      </c>
      <c r="E1897" t="s">
        <v>1636</v>
      </c>
      <c r="F1897" s="5">
        <v>62500000</v>
      </c>
      <c r="G1897" s="5">
        <v>65500000</v>
      </c>
      <c r="H1897" s="5">
        <f>M1897*26000*1.20565</f>
        <v>61700103.270000003</v>
      </c>
      <c r="I1897" s="5">
        <f>G1897-H1897</f>
        <v>3799896.7299999967</v>
      </c>
      <c r="J1897" s="5">
        <v>3000000</v>
      </c>
      <c r="K1897" s="5">
        <v>6250000</v>
      </c>
      <c r="L1897" s="5">
        <v>6550000</v>
      </c>
      <c r="M1897" s="7">
        <v>1968.3</v>
      </c>
      <c r="N1897" s="5">
        <v>63000000</v>
      </c>
      <c r="O1897" s="5">
        <v>66000000</v>
      </c>
      <c r="P1897" s="3">
        <v>0.97916666666666663</v>
      </c>
    </row>
    <row r="1898" spans="1:16" x14ac:dyDescent="0.25">
      <c r="A1898" t="s">
        <v>1168</v>
      </c>
      <c r="B1898" s="2">
        <v>45128</v>
      </c>
      <c r="C1898" t="str">
        <f>TEXT(B1898,"mm")</f>
        <v>07</v>
      </c>
      <c r="D1898" t="s">
        <v>21</v>
      </c>
      <c r="E1898" t="s">
        <v>1636</v>
      </c>
      <c r="F1898" s="5">
        <v>62300000</v>
      </c>
      <c r="G1898" s="5">
        <v>65300000</v>
      </c>
      <c r="H1898" s="5">
        <f>M1898*26000*1.20565</f>
        <v>61574715.670000009</v>
      </c>
      <c r="I1898" s="5">
        <f>G1898-H1898</f>
        <v>3725284.3299999908</v>
      </c>
      <c r="J1898" s="5">
        <v>3000000</v>
      </c>
      <c r="K1898" s="5">
        <v>6230000</v>
      </c>
      <c r="L1898" s="5">
        <v>6530000</v>
      </c>
      <c r="M1898" s="7">
        <v>1964.3</v>
      </c>
      <c r="N1898" s="5">
        <v>62800000</v>
      </c>
      <c r="O1898" s="5">
        <v>65800000</v>
      </c>
      <c r="P1898" s="3">
        <v>0.97916666666666663</v>
      </c>
    </row>
    <row r="1899" spans="1:16" x14ac:dyDescent="0.25">
      <c r="A1899" t="s">
        <v>1169</v>
      </c>
      <c r="B1899" s="2">
        <v>45131</v>
      </c>
      <c r="C1899" t="str">
        <f>TEXT(B1899,"mm")</f>
        <v>07</v>
      </c>
      <c r="D1899" t="s">
        <v>16</v>
      </c>
      <c r="E1899" t="s">
        <v>1636</v>
      </c>
      <c r="F1899" s="5">
        <v>62200000</v>
      </c>
      <c r="G1899" s="5">
        <v>65200000</v>
      </c>
      <c r="H1899" s="5">
        <f>M1899*26000*1.20565</f>
        <v>61449328.070000008</v>
      </c>
      <c r="I1899" s="5">
        <f>G1899-H1899</f>
        <v>3750671.9299999923</v>
      </c>
      <c r="J1899" s="5">
        <v>3000000</v>
      </c>
      <c r="K1899" s="5">
        <v>6220000</v>
      </c>
      <c r="L1899" s="5">
        <v>6520000</v>
      </c>
      <c r="M1899" s="7">
        <v>1960.3</v>
      </c>
      <c r="N1899" s="5">
        <v>62700000</v>
      </c>
      <c r="O1899" s="5">
        <v>65700000</v>
      </c>
      <c r="P1899" s="3">
        <v>0.97916666666666663</v>
      </c>
    </row>
    <row r="1900" spans="1:16" x14ac:dyDescent="0.25">
      <c r="A1900" t="s">
        <v>1170</v>
      </c>
      <c r="B1900" s="2">
        <v>45132</v>
      </c>
      <c r="C1900" t="str">
        <f>TEXT(B1900,"mm")</f>
        <v>07</v>
      </c>
      <c r="D1900" t="s">
        <v>18</v>
      </c>
      <c r="E1900" t="s">
        <v>1636</v>
      </c>
      <c r="F1900" s="5">
        <v>62300000</v>
      </c>
      <c r="G1900" s="5">
        <v>65300000</v>
      </c>
      <c r="H1900" s="5">
        <f>M1900*26000*1.20565</f>
        <v>61505752.490000002</v>
      </c>
      <c r="I1900" s="5">
        <f>G1900-H1900</f>
        <v>3794247.5099999979</v>
      </c>
      <c r="J1900" s="5">
        <v>3000000</v>
      </c>
      <c r="K1900" s="5">
        <v>6230000</v>
      </c>
      <c r="L1900" s="5">
        <v>6530000</v>
      </c>
      <c r="M1900" s="7">
        <v>1962.1</v>
      </c>
      <c r="N1900" s="5">
        <v>62800000</v>
      </c>
      <c r="O1900" s="5">
        <v>65800000</v>
      </c>
      <c r="P1900" s="3">
        <v>0.97916666666666663</v>
      </c>
    </row>
    <row r="1901" spans="1:16" x14ac:dyDescent="0.25">
      <c r="A1901" t="s">
        <v>1171</v>
      </c>
      <c r="B1901" s="2">
        <v>45133</v>
      </c>
      <c r="C1901" t="str">
        <f>TEXT(B1901,"mm")</f>
        <v>07</v>
      </c>
      <c r="D1901" t="s">
        <v>19</v>
      </c>
      <c r="E1901" t="s">
        <v>1636</v>
      </c>
      <c r="F1901" s="5">
        <v>62500000</v>
      </c>
      <c r="G1901" s="5">
        <v>65500000</v>
      </c>
      <c r="H1901" s="5">
        <f>M1901*26000*1.20565</f>
        <v>61718911.410000004</v>
      </c>
      <c r="I1901" s="5">
        <f>G1901-H1901</f>
        <v>3781088.5899999961</v>
      </c>
      <c r="J1901" s="5">
        <v>3000000</v>
      </c>
      <c r="K1901" s="5">
        <v>6250000</v>
      </c>
      <c r="L1901" s="5">
        <v>6550000</v>
      </c>
      <c r="M1901" s="7">
        <v>1968.9</v>
      </c>
      <c r="N1901" s="5">
        <v>63000000</v>
      </c>
      <c r="O1901" s="5">
        <v>66000000</v>
      </c>
      <c r="P1901" s="3">
        <v>0.97916666666666663</v>
      </c>
    </row>
    <row r="1902" spans="1:16" x14ac:dyDescent="0.25">
      <c r="A1902" t="s">
        <v>1172</v>
      </c>
      <c r="B1902" s="2">
        <v>45134</v>
      </c>
      <c r="C1902" t="str">
        <f>TEXT(B1902,"mm")</f>
        <v>07</v>
      </c>
      <c r="D1902" t="s">
        <v>20</v>
      </c>
      <c r="E1902" t="s">
        <v>1636</v>
      </c>
      <c r="F1902" s="5">
        <v>61700000</v>
      </c>
      <c r="G1902" s="5">
        <v>64700000</v>
      </c>
      <c r="H1902" s="5">
        <f>M1902*26000*1.20565</f>
        <v>60982259.260000005</v>
      </c>
      <c r="I1902" s="5">
        <f>G1902-H1902</f>
        <v>3717740.7399999946</v>
      </c>
      <c r="J1902" s="5">
        <v>3000000</v>
      </c>
      <c r="K1902" s="5">
        <v>6170000</v>
      </c>
      <c r="L1902" s="5">
        <v>6470000</v>
      </c>
      <c r="M1902" s="7">
        <v>1945.4</v>
      </c>
      <c r="N1902" s="5">
        <v>62200000</v>
      </c>
      <c r="O1902" s="5">
        <v>65200000</v>
      </c>
      <c r="P1902" s="3">
        <v>0.97916666666666663</v>
      </c>
    </row>
    <row r="1903" spans="1:16" x14ac:dyDescent="0.25">
      <c r="A1903" t="s">
        <v>1173</v>
      </c>
      <c r="B1903" s="2">
        <v>45135</v>
      </c>
      <c r="C1903" t="str">
        <f>TEXT(B1903,"mm")</f>
        <v>07</v>
      </c>
      <c r="D1903" t="s">
        <v>21</v>
      </c>
      <c r="E1903" t="s">
        <v>1636</v>
      </c>
      <c r="F1903" s="5">
        <v>62200000</v>
      </c>
      <c r="G1903" s="5">
        <v>65200000</v>
      </c>
      <c r="H1903" s="5">
        <f>M1903*26000*1.20565</f>
        <v>61452462.760000005</v>
      </c>
      <c r="I1903" s="5">
        <f>G1903-H1903</f>
        <v>3747537.2399999946</v>
      </c>
      <c r="J1903" s="5">
        <v>3000000</v>
      </c>
      <c r="K1903" s="5">
        <v>6220000</v>
      </c>
      <c r="L1903" s="5">
        <v>6520000</v>
      </c>
      <c r="M1903" s="7">
        <v>1960.4</v>
      </c>
      <c r="N1903" s="5">
        <v>62700000</v>
      </c>
      <c r="O1903" s="5">
        <v>65700000</v>
      </c>
      <c r="P1903" s="3">
        <v>0.97916666666666663</v>
      </c>
    </row>
    <row r="1904" spans="1:16" x14ac:dyDescent="0.25">
      <c r="A1904" t="s">
        <v>1174</v>
      </c>
      <c r="B1904" s="2">
        <v>45138</v>
      </c>
      <c r="C1904" t="str">
        <f>TEXT(B1904,"mm")</f>
        <v>07</v>
      </c>
      <c r="D1904" t="s">
        <v>16</v>
      </c>
      <c r="E1904" t="s">
        <v>1636</v>
      </c>
      <c r="F1904" s="5">
        <v>62500000</v>
      </c>
      <c r="G1904" s="5">
        <v>65500000</v>
      </c>
      <c r="H1904" s="5">
        <f>M1904*26000*1.20565</f>
        <v>61769066.450000003</v>
      </c>
      <c r="I1904" s="5">
        <f>G1904-H1904</f>
        <v>3730933.549999997</v>
      </c>
      <c r="J1904" s="5">
        <v>3000000</v>
      </c>
      <c r="K1904" s="5">
        <v>6250000</v>
      </c>
      <c r="L1904" s="5">
        <v>6550000</v>
      </c>
      <c r="M1904" s="7">
        <v>1970.5</v>
      </c>
      <c r="N1904" s="5">
        <v>63000000</v>
      </c>
      <c r="O1904" s="5">
        <v>66000000</v>
      </c>
      <c r="P1904" s="3">
        <v>0.97916666666666663</v>
      </c>
    </row>
    <row r="1905" spans="1:16" x14ac:dyDescent="0.25">
      <c r="A1905" s="2">
        <v>44934</v>
      </c>
      <c r="B1905" s="2">
        <v>45139</v>
      </c>
      <c r="C1905" t="str">
        <f>TEXT(B1905,"mm")</f>
        <v>08</v>
      </c>
      <c r="D1905" t="s">
        <v>18</v>
      </c>
      <c r="E1905" t="s">
        <v>1636</v>
      </c>
      <c r="F1905" s="5">
        <v>61600000</v>
      </c>
      <c r="G1905" s="5">
        <v>64600000</v>
      </c>
      <c r="H1905" s="5">
        <f>M1905*26000*1.20565</f>
        <v>60834928.830000006</v>
      </c>
      <c r="I1905" s="5">
        <f>G1905-H1905</f>
        <v>3765071.1699999943</v>
      </c>
      <c r="J1905" s="5">
        <v>3000000</v>
      </c>
      <c r="K1905" s="5">
        <v>6160000</v>
      </c>
      <c r="L1905" s="5">
        <v>6460000</v>
      </c>
      <c r="M1905" s="7">
        <v>1940.7</v>
      </c>
      <c r="N1905" s="5">
        <v>62100000</v>
      </c>
      <c r="O1905" s="5">
        <v>65100000</v>
      </c>
      <c r="P1905" s="3">
        <v>0.97916666666666663</v>
      </c>
    </row>
    <row r="1906" spans="1:16" x14ac:dyDescent="0.25">
      <c r="A1906" s="2">
        <v>44965</v>
      </c>
      <c r="B1906" s="2">
        <v>45140</v>
      </c>
      <c r="C1906" t="str">
        <f>TEXT(B1906,"mm")</f>
        <v>08</v>
      </c>
      <c r="D1906" t="s">
        <v>19</v>
      </c>
      <c r="E1906" t="s">
        <v>1636</v>
      </c>
      <c r="F1906" s="5">
        <v>61400000</v>
      </c>
      <c r="G1906" s="5">
        <v>64400000</v>
      </c>
      <c r="H1906" s="5">
        <f>M1906*26000*1.20565</f>
        <v>60731484.060000002</v>
      </c>
      <c r="I1906" s="5">
        <f>G1906-H1906</f>
        <v>3668515.9399999976</v>
      </c>
      <c r="J1906" s="5">
        <v>3000000</v>
      </c>
      <c r="K1906" s="5">
        <v>6140000</v>
      </c>
      <c r="L1906" s="5">
        <v>6440000</v>
      </c>
      <c r="M1906" s="7">
        <v>1937.4</v>
      </c>
      <c r="N1906" s="5">
        <v>61900000</v>
      </c>
      <c r="O1906" s="5">
        <v>64900000</v>
      </c>
      <c r="P1906" s="3">
        <v>0.97916666666666663</v>
      </c>
    </row>
    <row r="1907" spans="1:16" x14ac:dyDescent="0.25">
      <c r="A1907" s="2">
        <v>44993</v>
      </c>
      <c r="B1907" s="2">
        <v>45141</v>
      </c>
      <c r="C1907" t="str">
        <f>TEXT(B1907,"mm")</f>
        <v>08</v>
      </c>
      <c r="D1907" t="s">
        <v>20</v>
      </c>
      <c r="E1907" t="s">
        <v>1636</v>
      </c>
      <c r="F1907" s="5">
        <v>61300000</v>
      </c>
      <c r="G1907" s="5">
        <v>64300000</v>
      </c>
      <c r="H1907" s="5">
        <f>M1907*26000*1.20565</f>
        <v>60562210.800000004</v>
      </c>
      <c r="I1907" s="5">
        <f>G1907-H1907</f>
        <v>3737789.1999999955</v>
      </c>
      <c r="J1907" s="5">
        <v>3000000</v>
      </c>
      <c r="K1907" s="5">
        <v>6130000</v>
      </c>
      <c r="L1907" s="5">
        <v>6430000</v>
      </c>
      <c r="M1907" s="7">
        <v>1932</v>
      </c>
      <c r="N1907" s="5">
        <v>61800000</v>
      </c>
      <c r="O1907" s="5">
        <v>64800000</v>
      </c>
      <c r="P1907" s="3">
        <v>0.97916666666666663</v>
      </c>
    </row>
    <row r="1908" spans="1:16" x14ac:dyDescent="0.25">
      <c r="A1908" s="2">
        <v>45024</v>
      </c>
      <c r="B1908" s="2">
        <v>45142</v>
      </c>
      <c r="C1908" t="str">
        <f>TEXT(B1908,"mm")</f>
        <v>08</v>
      </c>
      <c r="D1908" t="s">
        <v>21</v>
      </c>
      <c r="E1908" t="s">
        <v>1636</v>
      </c>
      <c r="F1908" s="5">
        <v>61500000</v>
      </c>
      <c r="G1908" s="5">
        <v>64500000</v>
      </c>
      <c r="H1908" s="5">
        <f>M1908*26000*1.20565</f>
        <v>60800447.240000002</v>
      </c>
      <c r="I1908" s="5">
        <f>G1908-H1908</f>
        <v>3699552.7599999979</v>
      </c>
      <c r="J1908" s="5">
        <v>3000000</v>
      </c>
      <c r="K1908" s="5">
        <v>6150000</v>
      </c>
      <c r="L1908" s="5">
        <v>6450000</v>
      </c>
      <c r="M1908" s="7">
        <v>1939.6</v>
      </c>
      <c r="N1908" s="5">
        <v>62000000</v>
      </c>
      <c r="O1908" s="5">
        <v>65000000</v>
      </c>
      <c r="P1908" s="3">
        <v>0.97916666666666663</v>
      </c>
    </row>
    <row r="1909" spans="1:16" x14ac:dyDescent="0.25">
      <c r="A1909" s="2">
        <v>45115</v>
      </c>
      <c r="B1909" s="2">
        <v>45145</v>
      </c>
      <c r="C1909" t="str">
        <f>TEXT(B1909,"mm")</f>
        <v>08</v>
      </c>
      <c r="D1909" t="s">
        <v>16</v>
      </c>
      <c r="E1909" t="s">
        <v>1636</v>
      </c>
      <c r="F1909" s="5">
        <v>61300000</v>
      </c>
      <c r="G1909" s="5">
        <v>64300000</v>
      </c>
      <c r="H1909" s="5">
        <f>M1909*26000*1.20565</f>
        <v>60609231.150000006</v>
      </c>
      <c r="I1909" s="5">
        <f>G1909-H1909</f>
        <v>3690768.849999994</v>
      </c>
      <c r="J1909" s="5">
        <v>3000000</v>
      </c>
      <c r="K1909" s="5">
        <v>6130000</v>
      </c>
      <c r="L1909" s="5">
        <v>6430000</v>
      </c>
      <c r="M1909" s="7">
        <v>1933.5</v>
      </c>
      <c r="N1909" s="5">
        <v>61800000</v>
      </c>
      <c r="O1909" s="5">
        <v>64800000</v>
      </c>
      <c r="P1909" s="3">
        <v>0.97916666666666663</v>
      </c>
    </row>
    <row r="1910" spans="1:16" x14ac:dyDescent="0.25">
      <c r="A1910" s="2">
        <v>45146</v>
      </c>
      <c r="B1910" s="2">
        <v>45146</v>
      </c>
      <c r="C1910" t="str">
        <f>TEXT(B1910,"mm")</f>
        <v>08</v>
      </c>
      <c r="D1910" t="s">
        <v>18</v>
      </c>
      <c r="E1910" t="s">
        <v>1636</v>
      </c>
      <c r="F1910" s="5">
        <v>61000000</v>
      </c>
      <c r="G1910" s="5">
        <v>64000000</v>
      </c>
      <c r="H1910" s="5">
        <f>M1910*26000*1.20565</f>
        <v>60314570.290000007</v>
      </c>
      <c r="I1910" s="5">
        <f>G1910-H1910</f>
        <v>3685429.7099999934</v>
      </c>
      <c r="J1910" s="5">
        <v>3000000</v>
      </c>
      <c r="K1910" s="5">
        <v>6100000</v>
      </c>
      <c r="L1910" s="5">
        <v>6400000</v>
      </c>
      <c r="M1910" s="7">
        <v>1924.1</v>
      </c>
      <c r="N1910" s="5">
        <v>61500000</v>
      </c>
      <c r="O1910" s="5">
        <v>64500000</v>
      </c>
      <c r="P1910" s="3">
        <v>0.97916666666666663</v>
      </c>
    </row>
    <row r="1911" spans="1:16" x14ac:dyDescent="0.25">
      <c r="A1911" s="2">
        <v>45177</v>
      </c>
      <c r="B1911" s="2">
        <v>45147</v>
      </c>
      <c r="C1911" t="str">
        <f>TEXT(B1911,"mm")</f>
        <v>08</v>
      </c>
      <c r="D1911" t="s">
        <v>19</v>
      </c>
      <c r="E1911" t="s">
        <v>1636</v>
      </c>
      <c r="F1911" s="5">
        <v>60700000</v>
      </c>
      <c r="G1911" s="5">
        <v>63700000</v>
      </c>
      <c r="H1911" s="5">
        <f>M1911*26000*1.20565</f>
        <v>60041852.260000005</v>
      </c>
      <c r="I1911" s="5">
        <f>G1911-H1911</f>
        <v>3658147.7399999946</v>
      </c>
      <c r="J1911" s="5">
        <v>3000000</v>
      </c>
      <c r="K1911" s="5">
        <v>6070000</v>
      </c>
      <c r="L1911" s="5">
        <v>6370000</v>
      </c>
      <c r="M1911" s="7">
        <v>1915.4</v>
      </c>
      <c r="N1911" s="5">
        <v>61200000</v>
      </c>
      <c r="O1911" s="5">
        <v>64200000</v>
      </c>
      <c r="P1911" s="3">
        <v>0.97916666666666663</v>
      </c>
    </row>
    <row r="1912" spans="1:16" x14ac:dyDescent="0.25">
      <c r="A1912" s="2">
        <v>45207</v>
      </c>
      <c r="B1912" s="2">
        <v>45148</v>
      </c>
      <c r="C1912" t="str">
        <f>TEXT(B1912,"mm")</f>
        <v>08</v>
      </c>
      <c r="D1912" t="s">
        <v>20</v>
      </c>
      <c r="E1912" t="s">
        <v>1636</v>
      </c>
      <c r="F1912" s="5">
        <v>60700000</v>
      </c>
      <c r="G1912" s="5">
        <v>63700000</v>
      </c>
      <c r="H1912" s="5">
        <f>M1912*26000*1.20565</f>
        <v>60010505.360000007</v>
      </c>
      <c r="I1912" s="5">
        <f>G1912-H1912</f>
        <v>3689494.6399999931</v>
      </c>
      <c r="J1912" s="5">
        <v>3000000</v>
      </c>
      <c r="K1912" s="5">
        <v>6070000</v>
      </c>
      <c r="L1912" s="5">
        <v>6370000</v>
      </c>
      <c r="M1912" s="7">
        <v>1914.4</v>
      </c>
      <c r="N1912" s="5">
        <v>61200000</v>
      </c>
      <c r="O1912" s="5">
        <v>64200000</v>
      </c>
      <c r="P1912" s="3">
        <v>0.97916666666666663</v>
      </c>
    </row>
    <row r="1913" spans="1:16" x14ac:dyDescent="0.25">
      <c r="A1913" s="2">
        <v>45238</v>
      </c>
      <c r="B1913" s="2">
        <v>45149</v>
      </c>
      <c r="C1913" t="str">
        <f>TEXT(B1913,"mm")</f>
        <v>08</v>
      </c>
      <c r="D1913" t="s">
        <v>21</v>
      </c>
      <c r="E1913" t="s">
        <v>1636</v>
      </c>
      <c r="F1913" s="5">
        <v>60600000</v>
      </c>
      <c r="G1913" s="5">
        <v>63600000</v>
      </c>
      <c r="H1913" s="5">
        <f>M1913*26000*1.20565</f>
        <v>59963485.010000005</v>
      </c>
      <c r="I1913" s="5">
        <f>G1913-H1913</f>
        <v>3636514.9899999946</v>
      </c>
      <c r="J1913" s="5">
        <v>3000000</v>
      </c>
      <c r="K1913" s="5">
        <v>6060000</v>
      </c>
      <c r="L1913" s="5">
        <v>6360000</v>
      </c>
      <c r="M1913" s="7">
        <v>1912.9</v>
      </c>
      <c r="N1913" s="5">
        <v>61100000</v>
      </c>
      <c r="O1913" s="5">
        <v>64100000</v>
      </c>
      <c r="P1913" s="3">
        <v>0.97916666666666663</v>
      </c>
    </row>
    <row r="1914" spans="1:16" x14ac:dyDescent="0.25">
      <c r="A1914" t="s">
        <v>1175</v>
      </c>
      <c r="B1914" s="2">
        <v>45152</v>
      </c>
      <c r="C1914" t="str">
        <f>TEXT(B1914,"mm")</f>
        <v>08</v>
      </c>
      <c r="D1914" t="s">
        <v>16</v>
      </c>
      <c r="E1914" t="s">
        <v>1636</v>
      </c>
      <c r="F1914" s="5">
        <v>60500000</v>
      </c>
      <c r="G1914" s="5">
        <v>63500000</v>
      </c>
      <c r="H1914" s="5">
        <f>M1914*26000*1.20565</f>
        <v>59891387.140000008</v>
      </c>
      <c r="I1914" s="5">
        <f>G1914-H1914</f>
        <v>3608612.859999992</v>
      </c>
      <c r="J1914" s="5">
        <v>3000000</v>
      </c>
      <c r="K1914" s="5">
        <v>6050000</v>
      </c>
      <c r="L1914" s="5">
        <v>6350000</v>
      </c>
      <c r="M1914" s="7">
        <v>1910.6</v>
      </c>
      <c r="N1914" s="5">
        <v>61000000</v>
      </c>
      <c r="O1914" s="5">
        <v>64000000</v>
      </c>
      <c r="P1914" s="3">
        <v>0.97916666666666663</v>
      </c>
    </row>
    <row r="1915" spans="1:16" x14ac:dyDescent="0.25">
      <c r="A1915" t="s">
        <v>1176</v>
      </c>
      <c r="B1915" s="2">
        <v>45153</v>
      </c>
      <c r="C1915" t="str">
        <f>TEXT(B1915,"mm")</f>
        <v>08</v>
      </c>
      <c r="D1915" t="s">
        <v>18</v>
      </c>
      <c r="E1915" t="s">
        <v>1636</v>
      </c>
      <c r="F1915" s="5">
        <v>60300000</v>
      </c>
      <c r="G1915" s="5">
        <v>63300000</v>
      </c>
      <c r="H1915" s="5">
        <f>M1915*26000*1.20565</f>
        <v>59637477.250000007</v>
      </c>
      <c r="I1915" s="5">
        <f>G1915-H1915</f>
        <v>3662522.7499999925</v>
      </c>
      <c r="J1915" s="5">
        <v>3000000</v>
      </c>
      <c r="K1915" s="5">
        <v>6030000</v>
      </c>
      <c r="L1915" s="5">
        <v>6330000</v>
      </c>
      <c r="M1915" s="7">
        <v>1902.5</v>
      </c>
      <c r="N1915" s="5">
        <v>60800000</v>
      </c>
      <c r="O1915" s="5">
        <v>63800000</v>
      </c>
      <c r="P1915" s="3">
        <v>0.97916666666666663</v>
      </c>
    </row>
    <row r="1916" spans="1:16" x14ac:dyDescent="0.25">
      <c r="A1916" t="s">
        <v>1177</v>
      </c>
      <c r="B1916" s="2">
        <v>45154</v>
      </c>
      <c r="C1916" t="str">
        <f>TEXT(B1916,"mm")</f>
        <v>08</v>
      </c>
      <c r="D1916" t="s">
        <v>19</v>
      </c>
      <c r="E1916" t="s">
        <v>1636</v>
      </c>
      <c r="F1916" s="5">
        <v>60100000</v>
      </c>
      <c r="G1916" s="5">
        <v>63100000</v>
      </c>
      <c r="H1916" s="5">
        <f>M1916*26000*1.20565</f>
        <v>59436857.090000004</v>
      </c>
      <c r="I1916" s="5">
        <f>G1916-H1916</f>
        <v>3663142.9099999964</v>
      </c>
      <c r="J1916" s="5">
        <v>3000000</v>
      </c>
      <c r="K1916" s="5">
        <v>6010000</v>
      </c>
      <c r="L1916" s="5">
        <v>6310000</v>
      </c>
      <c r="M1916" s="7">
        <v>1896.1</v>
      </c>
      <c r="N1916" s="5">
        <v>60600000</v>
      </c>
      <c r="O1916" s="5">
        <v>63600000</v>
      </c>
      <c r="P1916" s="3">
        <v>0.97916666666666663</v>
      </c>
    </row>
    <row r="1917" spans="1:16" x14ac:dyDescent="0.25">
      <c r="A1917" t="s">
        <v>1178</v>
      </c>
      <c r="B1917" s="2">
        <v>45155</v>
      </c>
      <c r="C1917" t="str">
        <f>TEXT(B1917,"mm")</f>
        <v>08</v>
      </c>
      <c r="D1917" t="s">
        <v>20</v>
      </c>
      <c r="E1917" t="s">
        <v>1636</v>
      </c>
      <c r="F1917" s="5">
        <v>59700000</v>
      </c>
      <c r="G1917" s="5">
        <v>62700000</v>
      </c>
      <c r="H1917" s="5">
        <f>M1917*26000*1.20565</f>
        <v>59060694.290000007</v>
      </c>
      <c r="I1917" s="5">
        <f>G1917-H1917</f>
        <v>3639305.7099999934</v>
      </c>
      <c r="J1917" s="5">
        <v>3000000</v>
      </c>
      <c r="K1917" s="5">
        <v>5970000</v>
      </c>
      <c r="L1917" s="5">
        <v>6270000</v>
      </c>
      <c r="M1917" s="7">
        <v>1884.1</v>
      </c>
      <c r="N1917" s="5">
        <v>60200000</v>
      </c>
      <c r="O1917" s="5">
        <v>63200000</v>
      </c>
      <c r="P1917" s="3">
        <v>0.97916666666666663</v>
      </c>
    </row>
    <row r="1918" spans="1:16" x14ac:dyDescent="0.25">
      <c r="A1918" t="s">
        <v>1179</v>
      </c>
      <c r="B1918" s="2">
        <v>45156</v>
      </c>
      <c r="C1918" t="str">
        <f>TEXT(B1918,"mm")</f>
        <v>08</v>
      </c>
      <c r="D1918" t="s">
        <v>21</v>
      </c>
      <c r="E1918" t="s">
        <v>1636</v>
      </c>
      <c r="F1918" s="5">
        <v>59700000</v>
      </c>
      <c r="G1918" s="5">
        <v>62700000</v>
      </c>
      <c r="H1918" s="5">
        <f>M1918*26000*1.20565</f>
        <v>59123388.090000004</v>
      </c>
      <c r="I1918" s="5">
        <f>G1918-H1918</f>
        <v>3576611.9099999964</v>
      </c>
      <c r="J1918" s="5">
        <v>3000000</v>
      </c>
      <c r="K1918" s="5">
        <v>5970000</v>
      </c>
      <c r="L1918" s="5">
        <v>6270000</v>
      </c>
      <c r="M1918" s="7">
        <v>1886.1</v>
      </c>
      <c r="N1918" s="5">
        <v>60200000</v>
      </c>
      <c r="O1918" s="5">
        <v>63200000</v>
      </c>
      <c r="P1918" s="3">
        <v>0.97916666666666663</v>
      </c>
    </row>
    <row r="1919" spans="1:16" x14ac:dyDescent="0.25">
      <c r="A1919" t="s">
        <v>1180</v>
      </c>
      <c r="B1919" s="2">
        <v>45159</v>
      </c>
      <c r="C1919" t="str">
        <f>TEXT(B1919,"mm")</f>
        <v>08</v>
      </c>
      <c r="D1919" t="s">
        <v>16</v>
      </c>
      <c r="E1919" t="s">
        <v>1636</v>
      </c>
      <c r="F1919" s="5">
        <v>60000000</v>
      </c>
      <c r="G1919" s="5">
        <v>63000000</v>
      </c>
      <c r="H1919" s="5">
        <f>M1919*26000*1.20565</f>
        <v>59349085.770000003</v>
      </c>
      <c r="I1919" s="5">
        <f>G1919-H1919</f>
        <v>3650914.2299999967</v>
      </c>
      <c r="J1919" s="5">
        <v>3000000</v>
      </c>
      <c r="K1919" s="5">
        <v>6000000</v>
      </c>
      <c r="L1919" s="5">
        <v>6300000</v>
      </c>
      <c r="M1919" s="7">
        <v>1893.3</v>
      </c>
      <c r="N1919" s="5">
        <v>60500000</v>
      </c>
      <c r="O1919" s="5">
        <v>63500000</v>
      </c>
      <c r="P1919" s="3">
        <v>0.97916666666666663</v>
      </c>
    </row>
    <row r="1920" spans="1:16" x14ac:dyDescent="0.25">
      <c r="A1920" t="s">
        <v>1181</v>
      </c>
      <c r="B1920" s="2">
        <v>45160</v>
      </c>
      <c r="C1920" t="str">
        <f>TEXT(B1920,"mm")</f>
        <v>08</v>
      </c>
      <c r="D1920" t="s">
        <v>18</v>
      </c>
      <c r="E1920" t="s">
        <v>1636</v>
      </c>
      <c r="F1920" s="5">
        <v>60100000</v>
      </c>
      <c r="G1920" s="5">
        <v>63100000</v>
      </c>
      <c r="H1920" s="5">
        <f>M1920*26000*1.20565</f>
        <v>59446261.160000004</v>
      </c>
      <c r="I1920" s="5">
        <f>G1920-H1920</f>
        <v>3653738.8399999961</v>
      </c>
      <c r="J1920" s="5">
        <v>3000000</v>
      </c>
      <c r="K1920" s="5">
        <v>6010000</v>
      </c>
      <c r="L1920" s="5">
        <v>6310000</v>
      </c>
      <c r="M1920" s="7">
        <v>1896.4</v>
      </c>
      <c r="N1920" s="5">
        <v>60600000</v>
      </c>
      <c r="O1920" s="5">
        <v>63600000</v>
      </c>
      <c r="P1920" s="3">
        <v>0.97916666666666663</v>
      </c>
    </row>
    <row r="1921" spans="1:16" x14ac:dyDescent="0.25">
      <c r="A1921" t="s">
        <v>1182</v>
      </c>
      <c r="B1921" s="2">
        <v>45161</v>
      </c>
      <c r="C1921" t="str">
        <f>TEXT(B1921,"mm")</f>
        <v>08</v>
      </c>
      <c r="D1921" t="s">
        <v>19</v>
      </c>
      <c r="E1921" t="s">
        <v>1636</v>
      </c>
      <c r="F1921" s="5">
        <v>60800000</v>
      </c>
      <c r="G1921" s="5">
        <v>63800000</v>
      </c>
      <c r="H1921" s="5">
        <f>M1921*26000*1.20565</f>
        <v>60139027.650000006</v>
      </c>
      <c r="I1921" s="5">
        <f>G1921-H1921</f>
        <v>3660972.349999994</v>
      </c>
      <c r="J1921" s="5">
        <v>3000000</v>
      </c>
      <c r="K1921" s="5">
        <v>6080000</v>
      </c>
      <c r="L1921" s="5">
        <v>6380000</v>
      </c>
      <c r="M1921" s="7">
        <v>1918.5</v>
      </c>
      <c r="N1921" s="5">
        <v>61300000</v>
      </c>
      <c r="O1921" s="5">
        <v>64300000</v>
      </c>
      <c r="P1921" s="3">
        <v>0.97916666666666663</v>
      </c>
    </row>
    <row r="1922" spans="1:16" x14ac:dyDescent="0.25">
      <c r="A1922" t="s">
        <v>1183</v>
      </c>
      <c r="B1922" s="2">
        <v>45162</v>
      </c>
      <c r="C1922" t="str">
        <f>TEXT(B1922,"mm")</f>
        <v>08</v>
      </c>
      <c r="D1922" t="s">
        <v>20</v>
      </c>
      <c r="E1922" t="s">
        <v>1636</v>
      </c>
      <c r="F1922" s="5">
        <v>60800000</v>
      </c>
      <c r="G1922" s="5">
        <v>63800000</v>
      </c>
      <c r="H1922" s="5">
        <f>M1922*26000*1.20565</f>
        <v>60129623.580000006</v>
      </c>
      <c r="I1922" s="5">
        <f>G1922-H1922</f>
        <v>3670376.4199999943</v>
      </c>
      <c r="J1922" s="5">
        <v>3000000</v>
      </c>
      <c r="K1922" s="5">
        <v>6080000</v>
      </c>
      <c r="L1922" s="5">
        <v>6380000</v>
      </c>
      <c r="M1922" s="7">
        <v>1918.2</v>
      </c>
      <c r="N1922" s="5">
        <v>61300000</v>
      </c>
      <c r="O1922" s="5">
        <v>64300000</v>
      </c>
      <c r="P1922" s="3">
        <v>0.97916666666666663</v>
      </c>
    </row>
    <row r="1923" spans="1:16" x14ac:dyDescent="0.25">
      <c r="A1923" t="s">
        <v>1184</v>
      </c>
      <c r="B1923" s="2">
        <v>45163</v>
      </c>
      <c r="C1923" t="str">
        <f>TEXT(B1923,"mm")</f>
        <v>08</v>
      </c>
      <c r="D1923" t="s">
        <v>21</v>
      </c>
      <c r="E1923" t="s">
        <v>1636</v>
      </c>
      <c r="F1923" s="5">
        <v>60600000</v>
      </c>
      <c r="G1923" s="5">
        <v>63600000</v>
      </c>
      <c r="H1923" s="5">
        <f>M1923*26000*1.20565</f>
        <v>59907060.590000004</v>
      </c>
      <c r="I1923" s="5">
        <f>G1923-H1923</f>
        <v>3692939.4099999964</v>
      </c>
      <c r="J1923" s="5">
        <v>3000000</v>
      </c>
      <c r="K1923" s="5">
        <v>6060000</v>
      </c>
      <c r="L1923" s="5">
        <v>6360000</v>
      </c>
      <c r="M1923" s="7">
        <v>1911.1</v>
      </c>
      <c r="N1923" s="5">
        <v>61100000</v>
      </c>
      <c r="O1923" s="5">
        <v>64100000</v>
      </c>
      <c r="P1923" s="3">
        <v>0.97916666666666663</v>
      </c>
    </row>
    <row r="1924" spans="1:16" x14ac:dyDescent="0.25">
      <c r="A1924" t="s">
        <v>1185</v>
      </c>
      <c r="B1924" s="2">
        <v>45166</v>
      </c>
      <c r="C1924" t="str">
        <f>TEXT(B1924,"mm")</f>
        <v>08</v>
      </c>
      <c r="D1924" t="s">
        <v>16</v>
      </c>
      <c r="E1924" t="s">
        <v>1636</v>
      </c>
      <c r="F1924" s="5">
        <v>60800000</v>
      </c>
      <c r="G1924" s="5">
        <v>63800000</v>
      </c>
      <c r="H1924" s="5">
        <f>M1924*26000*1.20565</f>
        <v>60120219.510000005</v>
      </c>
      <c r="I1924" s="5">
        <f>G1924-H1924</f>
        <v>3679780.4899999946</v>
      </c>
      <c r="J1924" s="5">
        <v>3000000</v>
      </c>
      <c r="K1924" s="5">
        <v>6080000</v>
      </c>
      <c r="L1924" s="5">
        <v>6380000</v>
      </c>
      <c r="M1924" s="7">
        <v>1917.9</v>
      </c>
      <c r="N1924" s="5">
        <v>61300000</v>
      </c>
      <c r="O1924" s="5">
        <v>64300000</v>
      </c>
      <c r="P1924" s="3">
        <v>0.97916666666666663</v>
      </c>
    </row>
    <row r="1925" spans="1:16" x14ac:dyDescent="0.25">
      <c r="A1925" t="s">
        <v>1186</v>
      </c>
      <c r="B1925" s="2">
        <v>45167</v>
      </c>
      <c r="C1925" t="str">
        <f>TEXT(B1925,"mm")</f>
        <v>08</v>
      </c>
      <c r="D1925" t="s">
        <v>18</v>
      </c>
      <c r="E1925" t="s">
        <v>1636</v>
      </c>
      <c r="F1925" s="5">
        <v>61400000</v>
      </c>
      <c r="G1925" s="5">
        <v>64400000</v>
      </c>
      <c r="H1925" s="5">
        <f>M1925*26000*1.20565</f>
        <v>60703271.850000009</v>
      </c>
      <c r="I1925" s="5">
        <f>G1925-H1925</f>
        <v>3696728.1499999911</v>
      </c>
      <c r="J1925" s="5">
        <v>3000000</v>
      </c>
      <c r="K1925" s="5">
        <v>6140000</v>
      </c>
      <c r="L1925" s="5">
        <v>6440000</v>
      </c>
      <c r="M1925" s="7">
        <v>1936.5</v>
      </c>
      <c r="N1925" s="5">
        <v>61900000</v>
      </c>
      <c r="O1925" s="5">
        <v>64900000</v>
      </c>
      <c r="P1925" s="3">
        <v>0.97916666666666663</v>
      </c>
    </row>
    <row r="1926" spans="1:16" x14ac:dyDescent="0.25">
      <c r="A1926" t="s">
        <v>1187</v>
      </c>
      <c r="B1926" s="2">
        <v>45168</v>
      </c>
      <c r="C1926" t="str">
        <f>TEXT(B1926,"mm")</f>
        <v>08</v>
      </c>
      <c r="D1926" t="s">
        <v>19</v>
      </c>
      <c r="E1926" t="s">
        <v>1636</v>
      </c>
      <c r="F1926" s="5">
        <v>61700000</v>
      </c>
      <c r="G1926" s="5">
        <v>64700000</v>
      </c>
      <c r="H1926" s="5">
        <f>M1926*26000*1.20565</f>
        <v>60947777.670000009</v>
      </c>
      <c r="I1926" s="5">
        <f>G1926-H1926</f>
        <v>3752222.3299999908</v>
      </c>
      <c r="J1926" s="5">
        <v>3000000</v>
      </c>
      <c r="K1926" s="5">
        <v>6170000</v>
      </c>
      <c r="L1926" s="5">
        <v>6470000</v>
      </c>
      <c r="M1926" s="7">
        <v>1944.3</v>
      </c>
      <c r="N1926" s="5">
        <v>62200000</v>
      </c>
      <c r="O1926" s="5">
        <v>65200000</v>
      </c>
      <c r="P1926" s="3">
        <v>0.97916666666666663</v>
      </c>
    </row>
    <row r="1927" spans="1:16" x14ac:dyDescent="0.25">
      <c r="A1927" t="s">
        <v>1188</v>
      </c>
      <c r="B1927" s="2">
        <v>45169</v>
      </c>
      <c r="C1927" t="str">
        <f>TEXT(B1927,"mm")</f>
        <v>08</v>
      </c>
      <c r="D1927" t="s">
        <v>20</v>
      </c>
      <c r="E1927" t="s">
        <v>1636</v>
      </c>
      <c r="F1927" s="5">
        <v>61500000</v>
      </c>
      <c r="G1927" s="5">
        <v>64500000</v>
      </c>
      <c r="H1927" s="5">
        <f>M1927*26000*1.20565</f>
        <v>60756561.580000006</v>
      </c>
      <c r="I1927" s="5">
        <f>G1927-H1927</f>
        <v>3743438.4199999943</v>
      </c>
      <c r="J1927" s="5">
        <v>3000000</v>
      </c>
      <c r="K1927" s="5">
        <v>6150000</v>
      </c>
      <c r="L1927" s="5">
        <v>6450000</v>
      </c>
      <c r="M1927" s="7">
        <v>1938.2</v>
      </c>
      <c r="N1927" s="5">
        <v>62000000</v>
      </c>
      <c r="O1927" s="5">
        <v>65000000</v>
      </c>
      <c r="P1927" s="3">
        <v>0.97916666666666663</v>
      </c>
    </row>
    <row r="1928" spans="1:16" x14ac:dyDescent="0.25">
      <c r="A1928" s="2">
        <v>44935</v>
      </c>
      <c r="B1928" s="2">
        <v>45170</v>
      </c>
      <c r="C1928" t="str">
        <f>TEXT(B1928,"mm")</f>
        <v>09</v>
      </c>
      <c r="D1928" t="s">
        <v>21</v>
      </c>
      <c r="E1928" t="s">
        <v>1636</v>
      </c>
      <c r="F1928" s="5">
        <v>61500000</v>
      </c>
      <c r="G1928" s="5">
        <v>64500000</v>
      </c>
      <c r="H1928" s="5">
        <f>M1928*26000*1.20565</f>
        <v>60806716.620000005</v>
      </c>
      <c r="I1928" s="5">
        <f>G1928-H1928</f>
        <v>3693283.3799999952</v>
      </c>
      <c r="J1928" s="5">
        <v>3000000</v>
      </c>
      <c r="K1928" s="5">
        <v>6150000</v>
      </c>
      <c r="L1928" s="5">
        <v>6450000</v>
      </c>
      <c r="M1928" s="7">
        <v>1939.8</v>
      </c>
      <c r="N1928" s="5">
        <v>62000000</v>
      </c>
      <c r="O1928" s="5">
        <v>65000000</v>
      </c>
      <c r="P1928" s="3">
        <v>0.97916666666666663</v>
      </c>
    </row>
    <row r="1929" spans="1:16" x14ac:dyDescent="0.25">
      <c r="A1929" s="2">
        <v>45055</v>
      </c>
      <c r="B1929" s="2">
        <v>45174</v>
      </c>
      <c r="C1929" t="str">
        <f>TEXT(B1929,"mm")</f>
        <v>09</v>
      </c>
      <c r="D1929" t="s">
        <v>18</v>
      </c>
      <c r="E1929" t="s">
        <v>1636</v>
      </c>
      <c r="F1929" s="5">
        <v>61100000</v>
      </c>
      <c r="G1929" s="5">
        <v>64100000</v>
      </c>
      <c r="H1929" s="5">
        <f>M1929*26000*1.20565</f>
        <v>60380398.780000009</v>
      </c>
      <c r="I1929" s="5">
        <f>G1929-H1929</f>
        <v>3719601.2199999914</v>
      </c>
      <c r="J1929" s="5">
        <v>3000000</v>
      </c>
      <c r="K1929" s="5">
        <v>6110000</v>
      </c>
      <c r="L1929" s="5">
        <v>6410000</v>
      </c>
      <c r="M1929" s="7">
        <v>1926.2</v>
      </c>
      <c r="N1929" s="5">
        <v>61600000</v>
      </c>
      <c r="O1929" s="5">
        <v>64600000</v>
      </c>
      <c r="P1929" s="3">
        <v>0.97916666666666663</v>
      </c>
    </row>
    <row r="1930" spans="1:16" x14ac:dyDescent="0.25">
      <c r="A1930" s="2">
        <v>45086</v>
      </c>
      <c r="B1930" s="2">
        <v>45175</v>
      </c>
      <c r="C1930" t="str">
        <f>TEXT(B1930,"mm")</f>
        <v>09</v>
      </c>
      <c r="D1930" t="s">
        <v>19</v>
      </c>
      <c r="E1930" t="s">
        <v>1636</v>
      </c>
      <c r="F1930" s="5">
        <v>60800000</v>
      </c>
      <c r="G1930" s="5">
        <v>63800000</v>
      </c>
      <c r="H1930" s="5">
        <f>M1930*26000*1.20565</f>
        <v>60126488.890000008</v>
      </c>
      <c r="I1930" s="5">
        <f>G1930-H1930</f>
        <v>3673511.109999992</v>
      </c>
      <c r="J1930" s="5">
        <v>3000000</v>
      </c>
      <c r="K1930" s="5">
        <v>6080000</v>
      </c>
      <c r="L1930" s="5">
        <v>6380000</v>
      </c>
      <c r="M1930" s="7">
        <v>1918.1</v>
      </c>
      <c r="N1930" s="5">
        <v>61300000</v>
      </c>
      <c r="O1930" s="5">
        <v>64300000</v>
      </c>
      <c r="P1930" s="3">
        <v>0.97916666666666663</v>
      </c>
    </row>
    <row r="1931" spans="1:16" x14ac:dyDescent="0.25">
      <c r="A1931" s="2">
        <v>45116</v>
      </c>
      <c r="B1931" s="2">
        <v>45176</v>
      </c>
      <c r="C1931" t="str">
        <f>TEXT(B1931,"mm")</f>
        <v>09</v>
      </c>
      <c r="D1931" t="s">
        <v>20</v>
      </c>
      <c r="E1931" t="s">
        <v>1636</v>
      </c>
      <c r="F1931" s="5">
        <v>60800000</v>
      </c>
      <c r="G1931" s="5">
        <v>63800000</v>
      </c>
      <c r="H1931" s="5">
        <f>M1931*26000*1.20565</f>
        <v>60107680.750000007</v>
      </c>
      <c r="I1931" s="5">
        <f>G1931-H1931</f>
        <v>3692319.2499999925</v>
      </c>
      <c r="J1931" s="5">
        <v>3000000</v>
      </c>
      <c r="K1931" s="5">
        <v>6080000</v>
      </c>
      <c r="L1931" s="5">
        <v>6380000</v>
      </c>
      <c r="M1931" s="7">
        <v>1917.5</v>
      </c>
      <c r="N1931" s="5">
        <v>61300000</v>
      </c>
      <c r="O1931" s="5">
        <v>64300000</v>
      </c>
      <c r="P1931" s="3">
        <v>0.97916666666666663</v>
      </c>
    </row>
    <row r="1932" spans="1:16" x14ac:dyDescent="0.25">
      <c r="A1932" s="2">
        <v>45147</v>
      </c>
      <c r="B1932" s="2">
        <v>45177</v>
      </c>
      <c r="C1932" t="str">
        <f>TEXT(B1932,"mm")</f>
        <v>09</v>
      </c>
      <c r="D1932" t="s">
        <v>21</v>
      </c>
      <c r="E1932" t="s">
        <v>1636</v>
      </c>
      <c r="F1932" s="5">
        <v>60800000</v>
      </c>
      <c r="G1932" s="5">
        <v>63800000</v>
      </c>
      <c r="H1932" s="5">
        <f>M1932*26000*1.20565</f>
        <v>60135892.960000008</v>
      </c>
      <c r="I1932" s="5">
        <f>G1932-H1932</f>
        <v>3664107.0399999917</v>
      </c>
      <c r="J1932" s="5">
        <v>3000000</v>
      </c>
      <c r="K1932" s="5">
        <v>6080000</v>
      </c>
      <c r="L1932" s="5">
        <v>6380000</v>
      </c>
      <c r="M1932" s="7">
        <v>1918.4</v>
      </c>
      <c r="N1932" s="5">
        <v>61300000</v>
      </c>
      <c r="O1932" s="5">
        <v>64300000</v>
      </c>
      <c r="P1932" s="3">
        <v>0.97916666666666663</v>
      </c>
    </row>
    <row r="1933" spans="1:16" x14ac:dyDescent="0.25">
      <c r="A1933" s="2">
        <v>45239</v>
      </c>
      <c r="B1933" s="2">
        <v>45180</v>
      </c>
      <c r="C1933" t="str">
        <f>TEXT(B1933,"mm")</f>
        <v>09</v>
      </c>
      <c r="D1933" t="s">
        <v>16</v>
      </c>
      <c r="E1933" t="s">
        <v>1636</v>
      </c>
      <c r="F1933" s="5">
        <v>61000000</v>
      </c>
      <c r="G1933" s="5">
        <v>64000000</v>
      </c>
      <c r="H1933" s="5">
        <f>M1933*26000*1.20565</f>
        <v>60289492.770000003</v>
      </c>
      <c r="I1933" s="5">
        <f>G1933-H1933</f>
        <v>3710507.2299999967</v>
      </c>
      <c r="J1933" s="5">
        <v>3000000</v>
      </c>
      <c r="K1933" s="5">
        <v>6100000</v>
      </c>
      <c r="L1933" s="5">
        <v>6400000</v>
      </c>
      <c r="M1933" s="7">
        <v>1923.3</v>
      </c>
      <c r="N1933" s="5">
        <v>61500000</v>
      </c>
      <c r="O1933" s="5">
        <v>64500000</v>
      </c>
      <c r="P1933" s="3">
        <v>0.97916666666666663</v>
      </c>
    </row>
    <row r="1934" spans="1:16" x14ac:dyDescent="0.25">
      <c r="A1934" s="2">
        <v>45269</v>
      </c>
      <c r="B1934" s="2">
        <v>45181</v>
      </c>
      <c r="C1934" t="str">
        <f>TEXT(B1934,"mm")</f>
        <v>09</v>
      </c>
      <c r="D1934" t="s">
        <v>18</v>
      </c>
      <c r="E1934" t="s">
        <v>1636</v>
      </c>
      <c r="F1934" s="5">
        <v>60600000</v>
      </c>
      <c r="G1934" s="5">
        <v>63600000</v>
      </c>
      <c r="H1934" s="5">
        <f>M1934*26000*1.20565</f>
        <v>59913329.970000006</v>
      </c>
      <c r="I1934" s="5">
        <f>G1934-H1934</f>
        <v>3686670.0299999937</v>
      </c>
      <c r="J1934" s="5">
        <v>3000000</v>
      </c>
      <c r="K1934" s="5">
        <v>6060000</v>
      </c>
      <c r="L1934" s="5">
        <v>6360000</v>
      </c>
      <c r="M1934" s="7">
        <v>1911.3</v>
      </c>
      <c r="N1934" s="5">
        <v>61100000</v>
      </c>
      <c r="O1934" s="5">
        <v>64100000</v>
      </c>
      <c r="P1934" s="3">
        <v>0.97916666666666663</v>
      </c>
    </row>
    <row r="1935" spans="1:16" x14ac:dyDescent="0.25">
      <c r="A1935" t="s">
        <v>1189</v>
      </c>
      <c r="B1935" s="2">
        <v>45182</v>
      </c>
      <c r="C1935" t="str">
        <f>TEXT(B1935,"mm")</f>
        <v>09</v>
      </c>
      <c r="D1935" t="s">
        <v>19</v>
      </c>
      <c r="E1935" t="s">
        <v>1636</v>
      </c>
      <c r="F1935" s="5">
        <v>60500000</v>
      </c>
      <c r="G1935" s="5">
        <v>63500000</v>
      </c>
      <c r="H1935" s="5">
        <f>M1935*26000*1.20565</f>
        <v>59844366.790000007</v>
      </c>
      <c r="I1935" s="5">
        <f>G1935-H1935</f>
        <v>3655633.2099999934</v>
      </c>
      <c r="J1935" s="5">
        <v>3000000</v>
      </c>
      <c r="K1935" s="5">
        <v>6050000</v>
      </c>
      <c r="L1935" s="5">
        <v>6350000</v>
      </c>
      <c r="M1935" s="7">
        <v>1909.1</v>
      </c>
      <c r="N1935" s="5">
        <v>61000000</v>
      </c>
      <c r="O1935" s="5">
        <v>64000000</v>
      </c>
      <c r="P1935" s="3">
        <v>0.97916666666666663</v>
      </c>
    </row>
    <row r="1936" spans="1:16" x14ac:dyDescent="0.25">
      <c r="A1936" t="s">
        <v>1190</v>
      </c>
      <c r="B1936" s="2">
        <v>45183</v>
      </c>
      <c r="C1936" t="str">
        <f>TEXT(B1936,"mm")</f>
        <v>09</v>
      </c>
      <c r="D1936" t="s">
        <v>20</v>
      </c>
      <c r="E1936" t="s">
        <v>1636</v>
      </c>
      <c r="F1936" s="5">
        <v>60500000</v>
      </c>
      <c r="G1936" s="5">
        <v>63500000</v>
      </c>
      <c r="H1936" s="5">
        <f>M1936*26000*1.20565</f>
        <v>59872579.000000007</v>
      </c>
      <c r="I1936" s="5">
        <f>G1936-H1936</f>
        <v>3627420.9999999925</v>
      </c>
      <c r="J1936" s="5">
        <v>3000000</v>
      </c>
      <c r="K1936" s="5">
        <v>6050000</v>
      </c>
      <c r="L1936" s="5">
        <v>6350000</v>
      </c>
      <c r="M1936" s="7">
        <v>1910</v>
      </c>
      <c r="N1936" s="5">
        <v>61000000</v>
      </c>
      <c r="O1936" s="5">
        <v>64000000</v>
      </c>
      <c r="P1936" s="3">
        <v>0.97916666666666663</v>
      </c>
    </row>
    <row r="1937" spans="1:16" x14ac:dyDescent="0.25">
      <c r="A1937" t="s">
        <v>1191</v>
      </c>
      <c r="B1937" s="2">
        <v>45184</v>
      </c>
      <c r="C1937" t="str">
        <f>TEXT(B1937,"mm")</f>
        <v>09</v>
      </c>
      <c r="D1937" t="s">
        <v>21</v>
      </c>
      <c r="E1937" t="s">
        <v>1636</v>
      </c>
      <c r="F1937" s="5">
        <v>61000000</v>
      </c>
      <c r="G1937" s="5">
        <v>64000000</v>
      </c>
      <c r="H1937" s="5">
        <f>M1937*26000*1.20565</f>
        <v>60302031.530000009</v>
      </c>
      <c r="I1937" s="5">
        <f>G1937-H1937</f>
        <v>3697968.4699999914</v>
      </c>
      <c r="J1937" s="5">
        <v>3000000</v>
      </c>
      <c r="K1937" s="5">
        <v>6100000</v>
      </c>
      <c r="L1937" s="5">
        <v>6400000</v>
      </c>
      <c r="M1937" s="7">
        <v>1923.7</v>
      </c>
      <c r="N1937" s="5">
        <v>61500000</v>
      </c>
      <c r="O1937" s="5">
        <v>64500000</v>
      </c>
      <c r="P1937" s="3">
        <v>0.97916666666666663</v>
      </c>
    </row>
    <row r="1938" spans="1:16" x14ac:dyDescent="0.25">
      <c r="A1938" t="s">
        <v>1192</v>
      </c>
      <c r="B1938" s="2">
        <v>45187</v>
      </c>
      <c r="C1938" t="str">
        <f>TEXT(B1938,"mm")</f>
        <v>09</v>
      </c>
      <c r="D1938" t="s">
        <v>16</v>
      </c>
      <c r="E1938" t="s">
        <v>1636</v>
      </c>
      <c r="F1938" s="5">
        <v>61200000</v>
      </c>
      <c r="G1938" s="5">
        <v>64200000</v>
      </c>
      <c r="H1938" s="5">
        <f>M1938*26000*1.20565</f>
        <v>60546537.350000009</v>
      </c>
      <c r="I1938" s="5">
        <f>G1938-H1938</f>
        <v>3653462.6499999911</v>
      </c>
      <c r="J1938" s="5">
        <v>3000000</v>
      </c>
      <c r="K1938" s="5">
        <v>6120000</v>
      </c>
      <c r="L1938" s="5">
        <v>6420000</v>
      </c>
      <c r="M1938" s="7">
        <v>1931.5</v>
      </c>
      <c r="N1938" s="5">
        <v>61700000</v>
      </c>
      <c r="O1938" s="5">
        <v>64700000</v>
      </c>
      <c r="P1938" s="3">
        <v>0.97916666666666663</v>
      </c>
    </row>
    <row r="1939" spans="1:16" x14ac:dyDescent="0.25">
      <c r="A1939" t="s">
        <v>1193</v>
      </c>
      <c r="B1939" s="2">
        <v>45188</v>
      </c>
      <c r="C1939" t="str">
        <f>TEXT(B1939,"mm")</f>
        <v>09</v>
      </c>
      <c r="D1939" t="s">
        <v>18</v>
      </c>
      <c r="E1939" t="s">
        <v>1636</v>
      </c>
      <c r="F1939" s="5">
        <v>61300000</v>
      </c>
      <c r="G1939" s="5">
        <v>64300000</v>
      </c>
      <c r="H1939" s="5">
        <f>M1939*26000*1.20565</f>
        <v>60562210.800000004</v>
      </c>
      <c r="I1939" s="5">
        <f>G1939-H1939</f>
        <v>3737789.1999999955</v>
      </c>
      <c r="J1939" s="5">
        <v>3000000</v>
      </c>
      <c r="K1939" s="5">
        <v>6130000</v>
      </c>
      <c r="L1939" s="5">
        <v>6430000</v>
      </c>
      <c r="M1939" s="7">
        <v>1932</v>
      </c>
      <c r="N1939" s="5">
        <v>61800000</v>
      </c>
      <c r="O1939" s="5">
        <v>64800000</v>
      </c>
      <c r="P1939" s="3">
        <v>0.97916666666666663</v>
      </c>
    </row>
    <row r="1940" spans="1:16" x14ac:dyDescent="0.25">
      <c r="A1940" t="s">
        <v>1194</v>
      </c>
      <c r="B1940" s="2">
        <v>45189</v>
      </c>
      <c r="C1940" t="str">
        <f>TEXT(B1940,"mm")</f>
        <v>09</v>
      </c>
      <c r="D1940" t="s">
        <v>19</v>
      </c>
      <c r="E1940" t="s">
        <v>1636</v>
      </c>
      <c r="F1940" s="5">
        <v>61700000</v>
      </c>
      <c r="G1940" s="5">
        <v>64700000</v>
      </c>
      <c r="H1940" s="5">
        <f>M1940*26000*1.20565</f>
        <v>60988528.640000008</v>
      </c>
      <c r="I1940" s="5">
        <f>G1940-H1940</f>
        <v>3711471.359999992</v>
      </c>
      <c r="J1940" s="5">
        <v>3000000</v>
      </c>
      <c r="K1940" s="5">
        <v>6170000</v>
      </c>
      <c r="L1940" s="5">
        <v>6470000</v>
      </c>
      <c r="M1940" s="7">
        <v>1945.6</v>
      </c>
      <c r="N1940" s="5">
        <v>62200000</v>
      </c>
      <c r="O1940" s="5">
        <v>65200000</v>
      </c>
      <c r="P1940" s="3">
        <v>0.97916666666666663</v>
      </c>
    </row>
    <row r="1941" spans="1:16" x14ac:dyDescent="0.25">
      <c r="A1941" t="s">
        <v>1195</v>
      </c>
      <c r="B1941" s="2">
        <v>45190</v>
      </c>
      <c r="C1941" t="str">
        <f>TEXT(B1941,"mm")</f>
        <v>09</v>
      </c>
      <c r="D1941" t="s">
        <v>20</v>
      </c>
      <c r="E1941" t="s">
        <v>1636</v>
      </c>
      <c r="F1941" s="5">
        <v>60800000</v>
      </c>
      <c r="G1941" s="5">
        <v>63800000</v>
      </c>
      <c r="H1941" s="5">
        <f>M1941*26000*1.20565</f>
        <v>60160970.480000004</v>
      </c>
      <c r="I1941" s="5">
        <f>G1941-H1941</f>
        <v>3639029.5199999958</v>
      </c>
      <c r="J1941" s="5">
        <v>3000000</v>
      </c>
      <c r="K1941" s="5">
        <v>6080000</v>
      </c>
      <c r="L1941" s="5">
        <v>6380000</v>
      </c>
      <c r="M1941" s="7">
        <v>1919.2</v>
      </c>
      <c r="N1941" s="5">
        <v>61300000</v>
      </c>
      <c r="O1941" s="5">
        <v>64300000</v>
      </c>
      <c r="P1941" s="3">
        <v>0.97916666666666663</v>
      </c>
    </row>
    <row r="1942" spans="1:16" x14ac:dyDescent="0.25">
      <c r="A1942" t="s">
        <v>1196</v>
      </c>
      <c r="B1942" s="2">
        <v>45191</v>
      </c>
      <c r="C1942" t="str">
        <f>TEXT(B1942,"mm")</f>
        <v>09</v>
      </c>
      <c r="D1942" t="s">
        <v>21</v>
      </c>
      <c r="E1942" t="s">
        <v>1636</v>
      </c>
      <c r="F1942" s="5">
        <v>61000000</v>
      </c>
      <c r="G1942" s="5">
        <v>64000000</v>
      </c>
      <c r="H1942" s="5">
        <f>M1942*26000*1.20565</f>
        <v>60355321.260000005</v>
      </c>
      <c r="I1942" s="5">
        <f>G1942-H1942</f>
        <v>3644678.7399999946</v>
      </c>
      <c r="J1942" s="5">
        <v>3000000</v>
      </c>
      <c r="K1942" s="5">
        <v>6100000</v>
      </c>
      <c r="L1942" s="5">
        <v>6400000</v>
      </c>
      <c r="M1942" s="7">
        <v>1925.4</v>
      </c>
      <c r="N1942" s="5">
        <v>61500000</v>
      </c>
      <c r="O1942" s="5">
        <v>64500000</v>
      </c>
      <c r="P1942" s="3">
        <v>0.97916666666666663</v>
      </c>
    </row>
    <row r="1943" spans="1:16" x14ac:dyDescent="0.25">
      <c r="A1943" t="s">
        <v>1197</v>
      </c>
      <c r="B1943" s="2">
        <v>45194</v>
      </c>
      <c r="C1943" t="str">
        <f>TEXT(B1943,"mm")</f>
        <v>09</v>
      </c>
      <c r="D1943" t="s">
        <v>16</v>
      </c>
      <c r="E1943" t="s">
        <v>1636</v>
      </c>
      <c r="F1943" s="5">
        <v>60700000</v>
      </c>
      <c r="G1943" s="5">
        <v>63700000</v>
      </c>
      <c r="H1943" s="5">
        <f>M1943*26000*1.20565</f>
        <v>60079468.540000007</v>
      </c>
      <c r="I1943" s="5">
        <f>G1943-H1943</f>
        <v>3620531.4599999934</v>
      </c>
      <c r="J1943" s="5">
        <v>3000000</v>
      </c>
      <c r="K1943" s="5">
        <v>6070000</v>
      </c>
      <c r="L1943" s="5">
        <v>6370000</v>
      </c>
      <c r="M1943" s="7">
        <v>1916.6</v>
      </c>
      <c r="N1943" s="5">
        <v>61200000</v>
      </c>
      <c r="O1943" s="5">
        <v>64200000</v>
      </c>
      <c r="P1943" s="3">
        <v>0.97916666666666663</v>
      </c>
    </row>
    <row r="1944" spans="1:16" x14ac:dyDescent="0.25">
      <c r="A1944" t="s">
        <v>1198</v>
      </c>
      <c r="B1944" s="2">
        <v>45195</v>
      </c>
      <c r="C1944" t="str">
        <f>TEXT(B1944,"mm")</f>
        <v>09</v>
      </c>
      <c r="D1944" t="s">
        <v>18</v>
      </c>
      <c r="E1944" t="s">
        <v>1636</v>
      </c>
      <c r="F1944" s="5">
        <v>60200000</v>
      </c>
      <c r="G1944" s="5">
        <v>63200000</v>
      </c>
      <c r="H1944" s="5">
        <f>M1944*26000*1.20565</f>
        <v>59571648.760000005</v>
      </c>
      <c r="I1944" s="5">
        <f>G1944-H1944</f>
        <v>3628351.2399999946</v>
      </c>
      <c r="J1944" s="5">
        <v>3000000</v>
      </c>
      <c r="K1944" s="5">
        <v>6020000</v>
      </c>
      <c r="L1944" s="5">
        <v>6320000</v>
      </c>
      <c r="M1944" s="7">
        <v>1900.4</v>
      </c>
      <c r="N1944" s="5">
        <v>60700000</v>
      </c>
      <c r="O1944" s="5">
        <v>63700000</v>
      </c>
      <c r="P1944" s="3">
        <v>0.97916666666666663</v>
      </c>
    </row>
    <row r="1945" spans="1:16" x14ac:dyDescent="0.25">
      <c r="A1945" t="s">
        <v>1199</v>
      </c>
      <c r="B1945" s="2">
        <v>45196</v>
      </c>
      <c r="C1945" t="str">
        <f>TEXT(B1945,"mm")</f>
        <v>09</v>
      </c>
      <c r="D1945" t="s">
        <v>19</v>
      </c>
      <c r="E1945" t="s">
        <v>1636</v>
      </c>
      <c r="F1945" s="5">
        <v>59300000</v>
      </c>
      <c r="G1945" s="5">
        <v>62300000</v>
      </c>
      <c r="H1945" s="5">
        <f>M1945*26000*1.20565</f>
        <v>58668858.040000007</v>
      </c>
      <c r="I1945" s="5">
        <f>G1945-H1945</f>
        <v>3631141.9599999934</v>
      </c>
      <c r="J1945" s="5">
        <v>3000000</v>
      </c>
      <c r="K1945" s="5">
        <v>5930000</v>
      </c>
      <c r="L1945" s="5">
        <v>6230000</v>
      </c>
      <c r="M1945" s="7">
        <v>1871.6</v>
      </c>
      <c r="N1945" s="5">
        <v>59800000</v>
      </c>
      <c r="O1945" s="5">
        <v>62800000</v>
      </c>
      <c r="P1945" s="3">
        <v>0.97916666666666663</v>
      </c>
    </row>
    <row r="1946" spans="1:16" x14ac:dyDescent="0.25">
      <c r="A1946" t="s">
        <v>1200</v>
      </c>
      <c r="B1946" s="2">
        <v>45197</v>
      </c>
      <c r="C1946" t="str">
        <f>TEXT(B1946,"mm")</f>
        <v>09</v>
      </c>
      <c r="D1946" t="s">
        <v>20</v>
      </c>
      <c r="E1946" t="s">
        <v>1636</v>
      </c>
      <c r="F1946" s="5">
        <v>58900000</v>
      </c>
      <c r="G1946" s="5">
        <v>61900000</v>
      </c>
      <c r="H1946" s="5">
        <f>M1946*26000*1.20565</f>
        <v>58317772.760000005</v>
      </c>
      <c r="I1946" s="5">
        <f>G1946-H1946</f>
        <v>3582227.2399999946</v>
      </c>
      <c r="J1946" s="5">
        <v>3000000</v>
      </c>
      <c r="K1946" s="5">
        <v>5890000</v>
      </c>
      <c r="L1946" s="5">
        <v>6190000</v>
      </c>
      <c r="M1946" s="7">
        <v>1860.4</v>
      </c>
      <c r="N1946" s="5">
        <v>59400000</v>
      </c>
      <c r="O1946" s="5">
        <v>62400000</v>
      </c>
      <c r="P1946" s="3">
        <v>0.97916666666666663</v>
      </c>
    </row>
    <row r="1947" spans="1:16" x14ac:dyDescent="0.25">
      <c r="A1947" t="s">
        <v>1201</v>
      </c>
      <c r="B1947" s="2">
        <v>45198</v>
      </c>
      <c r="C1947" t="str">
        <f>TEXT(B1947,"mm")</f>
        <v>09</v>
      </c>
      <c r="D1947" t="s">
        <v>21</v>
      </c>
      <c r="E1947" t="s">
        <v>1636</v>
      </c>
      <c r="F1947" s="5">
        <v>58500000</v>
      </c>
      <c r="G1947" s="5">
        <v>61500000</v>
      </c>
      <c r="H1947" s="5">
        <f>M1947*26000*1.20565</f>
        <v>57932205.890000008</v>
      </c>
      <c r="I1947" s="5">
        <f>G1947-H1947</f>
        <v>3567794.109999992</v>
      </c>
      <c r="J1947" s="5">
        <v>3000000</v>
      </c>
      <c r="K1947" s="5">
        <v>5850000</v>
      </c>
      <c r="L1947" s="5">
        <v>6150000</v>
      </c>
      <c r="M1947" s="7">
        <v>1848.1</v>
      </c>
      <c r="N1947" s="5">
        <v>59000000</v>
      </c>
      <c r="O1947" s="5">
        <v>62000000</v>
      </c>
      <c r="P1947" s="3">
        <v>0.97916666666666663</v>
      </c>
    </row>
    <row r="1948" spans="1:16" x14ac:dyDescent="0.25">
      <c r="A1948" s="2">
        <v>44967</v>
      </c>
      <c r="B1948" s="2">
        <v>45201</v>
      </c>
      <c r="C1948" t="str">
        <f>TEXT(B1948,"mm")</f>
        <v>10</v>
      </c>
      <c r="D1948" t="s">
        <v>16</v>
      </c>
      <c r="E1948" t="s">
        <v>1636</v>
      </c>
      <c r="F1948" s="5">
        <v>57900000</v>
      </c>
      <c r="G1948" s="5">
        <v>60900000</v>
      </c>
      <c r="H1948" s="5">
        <f>M1948*26000*1.20565</f>
        <v>57364827.000000007</v>
      </c>
      <c r="I1948" s="5">
        <f>G1948-H1948</f>
        <v>3535172.9999999925</v>
      </c>
      <c r="J1948" s="5">
        <v>3000000</v>
      </c>
      <c r="K1948" s="5">
        <v>5790000</v>
      </c>
      <c r="L1948" s="5">
        <v>6090000</v>
      </c>
      <c r="M1948" s="7">
        <v>1830</v>
      </c>
      <c r="N1948" s="5">
        <v>58400000</v>
      </c>
      <c r="O1948" s="5">
        <v>61400000</v>
      </c>
      <c r="P1948" s="3">
        <v>0.97916666666666663</v>
      </c>
    </row>
    <row r="1949" spans="1:16" x14ac:dyDescent="0.25">
      <c r="A1949" s="2">
        <v>44995</v>
      </c>
      <c r="B1949" s="2">
        <v>45202</v>
      </c>
      <c r="C1949" t="str">
        <f>TEXT(B1949,"mm")</f>
        <v>10</v>
      </c>
      <c r="D1949" t="s">
        <v>18</v>
      </c>
      <c r="E1949" t="s">
        <v>1636</v>
      </c>
      <c r="F1949" s="5">
        <v>57700000</v>
      </c>
      <c r="G1949" s="5">
        <v>60700000</v>
      </c>
      <c r="H1949" s="5">
        <f>M1949*26000*1.20565</f>
        <v>57195553.740000002</v>
      </c>
      <c r="I1949" s="5">
        <f>G1949-H1949</f>
        <v>3504446.2599999979</v>
      </c>
      <c r="J1949" s="5">
        <v>3000000</v>
      </c>
      <c r="K1949" s="5">
        <v>5770000</v>
      </c>
      <c r="L1949" s="5">
        <v>6070000</v>
      </c>
      <c r="M1949" s="7">
        <v>1824.6</v>
      </c>
      <c r="N1949" s="5">
        <v>58200000</v>
      </c>
      <c r="O1949" s="5">
        <v>61200000</v>
      </c>
      <c r="P1949" s="3">
        <v>0.97916666666666663</v>
      </c>
    </row>
    <row r="1950" spans="1:16" x14ac:dyDescent="0.25">
      <c r="A1950" s="2">
        <v>45026</v>
      </c>
      <c r="B1950" s="2">
        <v>45203</v>
      </c>
      <c r="C1950" t="str">
        <f>TEXT(B1950,"mm")</f>
        <v>10</v>
      </c>
      <c r="D1950" t="s">
        <v>19</v>
      </c>
      <c r="E1950" t="s">
        <v>1636</v>
      </c>
      <c r="F1950" s="5">
        <v>57500000</v>
      </c>
      <c r="G1950" s="5">
        <v>60500000</v>
      </c>
      <c r="H1950" s="5">
        <f>M1950*26000*1.20565</f>
        <v>57004337.650000006</v>
      </c>
      <c r="I1950" s="5">
        <f>G1950-H1950</f>
        <v>3495662.349999994</v>
      </c>
      <c r="J1950" s="5">
        <v>3000000</v>
      </c>
      <c r="K1950" s="5">
        <v>5750000</v>
      </c>
      <c r="L1950" s="5">
        <v>6050000</v>
      </c>
      <c r="M1950" s="7">
        <v>1818.5</v>
      </c>
      <c r="N1950" s="5">
        <v>58000000</v>
      </c>
      <c r="O1950" s="5">
        <v>61000000</v>
      </c>
      <c r="P1950" s="3">
        <v>0.97916666666666663</v>
      </c>
    </row>
    <row r="1951" spans="1:16" x14ac:dyDescent="0.25">
      <c r="A1951" s="2">
        <v>45056</v>
      </c>
      <c r="B1951" s="2">
        <v>45204</v>
      </c>
      <c r="C1951" t="str">
        <f>TEXT(B1951,"mm")</f>
        <v>10</v>
      </c>
      <c r="D1951" t="s">
        <v>20</v>
      </c>
      <c r="E1951" t="s">
        <v>1636</v>
      </c>
      <c r="F1951" s="5">
        <v>57400000</v>
      </c>
      <c r="G1951" s="5">
        <v>60400000</v>
      </c>
      <c r="H1951" s="5">
        <f>M1951*26000*1.20565</f>
        <v>56944778.540000007</v>
      </c>
      <c r="I1951" s="5">
        <f>G1951-H1951</f>
        <v>3455221.4599999934</v>
      </c>
      <c r="J1951" s="5">
        <v>3000000</v>
      </c>
      <c r="K1951" s="5">
        <v>5740000</v>
      </c>
      <c r="L1951" s="5">
        <v>6040000</v>
      </c>
      <c r="M1951" s="7">
        <v>1816.6</v>
      </c>
      <c r="N1951" s="5">
        <v>57900000</v>
      </c>
      <c r="O1951" s="5">
        <v>60900000</v>
      </c>
      <c r="P1951" s="3">
        <v>0.97916666666666663</v>
      </c>
    </row>
    <row r="1952" spans="1:16" x14ac:dyDescent="0.25">
      <c r="A1952" s="2">
        <v>45087</v>
      </c>
      <c r="B1952" s="2">
        <v>45205</v>
      </c>
      <c r="C1952" t="str">
        <f>TEXT(B1952,"mm")</f>
        <v>10</v>
      </c>
      <c r="D1952" t="s">
        <v>21</v>
      </c>
      <c r="E1952" t="s">
        <v>1636</v>
      </c>
      <c r="F1952" s="5">
        <v>57900000</v>
      </c>
      <c r="G1952" s="5">
        <v>60900000</v>
      </c>
      <c r="H1952" s="5">
        <f>M1952*26000*1.20565</f>
        <v>57371096.380000003</v>
      </c>
      <c r="I1952" s="5">
        <f>G1952-H1952</f>
        <v>3528903.6199999973</v>
      </c>
      <c r="J1952" s="5">
        <v>3000000</v>
      </c>
      <c r="K1952" s="5">
        <v>5790000</v>
      </c>
      <c r="L1952" s="5">
        <v>6090000</v>
      </c>
      <c r="M1952" s="7">
        <v>1830.2</v>
      </c>
      <c r="N1952" s="5">
        <v>58400000</v>
      </c>
      <c r="O1952" s="5">
        <v>61400000</v>
      </c>
      <c r="P1952" s="3">
        <v>0.97916666666666663</v>
      </c>
    </row>
    <row r="1953" spans="1:16" x14ac:dyDescent="0.25">
      <c r="A1953" s="2">
        <v>45179</v>
      </c>
      <c r="B1953" s="2">
        <v>45208</v>
      </c>
      <c r="C1953" t="str">
        <f>TEXT(B1953,"mm")</f>
        <v>10</v>
      </c>
      <c r="D1953" t="s">
        <v>16</v>
      </c>
      <c r="E1953" t="s">
        <v>1636</v>
      </c>
      <c r="F1953" s="5">
        <v>58500000</v>
      </c>
      <c r="G1953" s="5">
        <v>61500000</v>
      </c>
      <c r="H1953" s="5">
        <f>M1953*26000*1.20565</f>
        <v>57976091.550000004</v>
      </c>
      <c r="I1953" s="5">
        <f>G1953-H1953</f>
        <v>3523908.4499999955</v>
      </c>
      <c r="J1953" s="5">
        <v>3000000</v>
      </c>
      <c r="K1953" s="5">
        <v>5850000</v>
      </c>
      <c r="L1953" s="5">
        <v>6150000</v>
      </c>
      <c r="M1953" s="7">
        <v>1849.5</v>
      </c>
      <c r="N1953" s="5">
        <v>59000000</v>
      </c>
      <c r="O1953" s="5">
        <v>62000000</v>
      </c>
      <c r="P1953" s="3">
        <v>0.97916666666666663</v>
      </c>
    </row>
    <row r="1954" spans="1:16" x14ac:dyDescent="0.25">
      <c r="A1954" s="2">
        <v>45209</v>
      </c>
      <c r="B1954" s="2">
        <v>45209</v>
      </c>
      <c r="C1954" t="str">
        <f>TEXT(B1954,"mm")</f>
        <v>10</v>
      </c>
      <c r="D1954" t="s">
        <v>18</v>
      </c>
      <c r="E1954" t="s">
        <v>1636</v>
      </c>
      <c r="F1954" s="5">
        <v>58900000</v>
      </c>
      <c r="G1954" s="5">
        <v>61900000</v>
      </c>
      <c r="H1954" s="5">
        <f>M1954*26000*1.20565</f>
        <v>58336580.900000006</v>
      </c>
      <c r="I1954" s="5">
        <f>G1954-H1954</f>
        <v>3563419.099999994</v>
      </c>
      <c r="J1954" s="5">
        <v>3000000</v>
      </c>
      <c r="K1954" s="5">
        <v>5890000</v>
      </c>
      <c r="L1954" s="5">
        <v>6190000</v>
      </c>
      <c r="M1954" s="7">
        <v>1861</v>
      </c>
      <c r="N1954" s="5">
        <v>59400000</v>
      </c>
      <c r="O1954" s="5">
        <v>62400000</v>
      </c>
      <c r="P1954" s="3">
        <v>0.97916666666666663</v>
      </c>
    </row>
    <row r="1955" spans="1:16" x14ac:dyDescent="0.25">
      <c r="A1955" s="2">
        <v>45240</v>
      </c>
      <c r="B1955" s="2">
        <v>45210</v>
      </c>
      <c r="C1955" t="str">
        <f>TEXT(B1955,"mm")</f>
        <v>10</v>
      </c>
      <c r="D1955" t="s">
        <v>19</v>
      </c>
      <c r="E1955" t="s">
        <v>1636</v>
      </c>
      <c r="F1955" s="5">
        <v>59300000</v>
      </c>
      <c r="G1955" s="5">
        <v>62300000</v>
      </c>
      <c r="H1955" s="5">
        <f>M1955*26000*1.20565</f>
        <v>58706474.320000008</v>
      </c>
      <c r="I1955" s="5">
        <f>G1955-H1955</f>
        <v>3593525.6799999923</v>
      </c>
      <c r="J1955" s="5">
        <v>3000000</v>
      </c>
      <c r="K1955" s="5">
        <v>5930000</v>
      </c>
      <c r="L1955" s="5">
        <v>6230000</v>
      </c>
      <c r="M1955" s="7">
        <v>1872.8</v>
      </c>
      <c r="N1955" s="5">
        <v>59800000</v>
      </c>
      <c r="O1955" s="5">
        <v>62800000</v>
      </c>
      <c r="P1955" s="3">
        <v>0.97916666666666663</v>
      </c>
    </row>
    <row r="1956" spans="1:16" x14ac:dyDescent="0.25">
      <c r="A1956" s="2">
        <v>45270</v>
      </c>
      <c r="B1956" s="2">
        <v>45211</v>
      </c>
      <c r="C1956" t="str">
        <f>TEXT(B1956,"mm")</f>
        <v>10</v>
      </c>
      <c r="D1956" t="s">
        <v>20</v>
      </c>
      <c r="E1956" t="s">
        <v>1636</v>
      </c>
      <c r="F1956" s="5">
        <v>59200000</v>
      </c>
      <c r="G1956" s="5">
        <v>62200000</v>
      </c>
      <c r="H1956" s="5">
        <f>M1956*26000*1.20565</f>
        <v>58596760.170000002</v>
      </c>
      <c r="I1956" s="5">
        <f>G1956-H1956</f>
        <v>3603239.8299999982</v>
      </c>
      <c r="J1956" s="5">
        <v>3000000</v>
      </c>
      <c r="K1956" s="5">
        <v>5920000</v>
      </c>
      <c r="L1956" s="5">
        <v>6220000</v>
      </c>
      <c r="M1956" s="7">
        <v>1869.3</v>
      </c>
      <c r="N1956" s="5">
        <v>59700000</v>
      </c>
      <c r="O1956" s="5">
        <v>62700000</v>
      </c>
      <c r="P1956" s="3">
        <v>0.97916666666666663</v>
      </c>
    </row>
    <row r="1957" spans="1:16" x14ac:dyDescent="0.25">
      <c r="A1957" t="s">
        <v>1202</v>
      </c>
      <c r="B1957" s="2">
        <v>45212</v>
      </c>
      <c r="C1957" t="str">
        <f>TEXT(B1957,"mm")</f>
        <v>10</v>
      </c>
      <c r="D1957" t="s">
        <v>21</v>
      </c>
      <c r="E1957" t="s">
        <v>1636</v>
      </c>
      <c r="F1957" s="5">
        <v>61100000</v>
      </c>
      <c r="G1957" s="5">
        <v>64100000</v>
      </c>
      <c r="H1957" s="5">
        <f>M1957*26000*1.20565</f>
        <v>60418015.060000002</v>
      </c>
      <c r="I1957" s="5">
        <f>G1957-H1957</f>
        <v>3681984.9399999976</v>
      </c>
      <c r="J1957" s="5">
        <v>3000000</v>
      </c>
      <c r="K1957" s="5">
        <v>6110000</v>
      </c>
      <c r="L1957" s="5">
        <v>6410000</v>
      </c>
      <c r="M1957" s="7">
        <v>1927.4</v>
      </c>
      <c r="N1957" s="5">
        <v>61600000</v>
      </c>
      <c r="O1957" s="5">
        <v>64600000</v>
      </c>
      <c r="P1957" s="3">
        <v>0.97916666666666663</v>
      </c>
    </row>
    <row r="1958" spans="1:16" x14ac:dyDescent="0.25">
      <c r="A1958" t="s">
        <v>1203</v>
      </c>
      <c r="B1958" s="2">
        <v>45215</v>
      </c>
      <c r="C1958" t="str">
        <f>TEXT(B1958,"mm")</f>
        <v>10</v>
      </c>
      <c r="D1958" t="s">
        <v>16</v>
      </c>
      <c r="E1958" t="s">
        <v>1636</v>
      </c>
      <c r="F1958" s="5">
        <v>60900000</v>
      </c>
      <c r="G1958" s="5">
        <v>63900000</v>
      </c>
      <c r="H1958" s="5">
        <f>M1958*26000*1.20565</f>
        <v>60220529.590000004</v>
      </c>
      <c r="I1958" s="5">
        <f>G1958-H1958</f>
        <v>3679470.4099999964</v>
      </c>
      <c r="J1958" s="5">
        <v>3000000</v>
      </c>
      <c r="K1958" s="5">
        <v>6090000</v>
      </c>
      <c r="L1958" s="5">
        <v>6390000</v>
      </c>
      <c r="M1958" s="7">
        <v>1921.1</v>
      </c>
      <c r="N1958" s="5">
        <v>61400000</v>
      </c>
      <c r="O1958" s="5">
        <v>64400000</v>
      </c>
      <c r="P1958" s="3">
        <v>0.97916666666666663</v>
      </c>
    </row>
    <row r="1959" spans="1:16" x14ac:dyDescent="0.25">
      <c r="A1959" t="s">
        <v>1204</v>
      </c>
      <c r="B1959" s="2">
        <v>45216</v>
      </c>
      <c r="C1959" t="str">
        <f>TEXT(B1959,"mm")</f>
        <v>10</v>
      </c>
      <c r="D1959" t="s">
        <v>18</v>
      </c>
      <c r="E1959" t="s">
        <v>1636</v>
      </c>
      <c r="F1959" s="5">
        <v>61000000</v>
      </c>
      <c r="G1959" s="5">
        <v>64000000</v>
      </c>
      <c r="H1959" s="5">
        <f>M1959*26000*1.20565</f>
        <v>60270684.630000003</v>
      </c>
      <c r="I1959" s="5">
        <f>G1959-H1959</f>
        <v>3729315.3699999973</v>
      </c>
      <c r="J1959" s="5">
        <v>3000000</v>
      </c>
      <c r="K1959" s="5">
        <v>6100000</v>
      </c>
      <c r="L1959" s="5">
        <v>6400000</v>
      </c>
      <c r="M1959" s="7">
        <v>1922.7</v>
      </c>
      <c r="N1959" s="5">
        <v>61500000</v>
      </c>
      <c r="O1959" s="5">
        <v>64500000</v>
      </c>
      <c r="P1959" s="3">
        <v>0.97916666666666663</v>
      </c>
    </row>
    <row r="1960" spans="1:16" x14ac:dyDescent="0.25">
      <c r="A1960" t="s">
        <v>1205</v>
      </c>
      <c r="B1960" s="2">
        <v>45217</v>
      </c>
      <c r="C1960" t="str">
        <f>TEXT(B1960,"mm")</f>
        <v>10</v>
      </c>
      <c r="D1960" t="s">
        <v>19</v>
      </c>
      <c r="E1960" t="s">
        <v>1636</v>
      </c>
      <c r="F1960" s="5">
        <v>62000000</v>
      </c>
      <c r="G1960" s="5">
        <v>65000000</v>
      </c>
      <c r="H1960" s="5">
        <f>M1960*26000*1.20565</f>
        <v>61292593.570000008</v>
      </c>
      <c r="I1960" s="5">
        <f>G1960-H1960</f>
        <v>3707406.4299999923</v>
      </c>
      <c r="J1960" s="5">
        <v>3000000</v>
      </c>
      <c r="K1960" s="5">
        <v>6200000</v>
      </c>
      <c r="L1960" s="5">
        <v>6500000</v>
      </c>
      <c r="M1960" s="7">
        <v>1955.3</v>
      </c>
      <c r="N1960" s="5">
        <v>62500000</v>
      </c>
      <c r="O1960" s="5">
        <v>65500000</v>
      </c>
      <c r="P1960" s="3">
        <v>0.97916666666666663</v>
      </c>
    </row>
    <row r="1961" spans="1:16" x14ac:dyDescent="0.25">
      <c r="A1961" t="s">
        <v>1206</v>
      </c>
      <c r="B1961" s="2">
        <v>45218</v>
      </c>
      <c r="C1961" t="str">
        <f>TEXT(B1961,"mm")</f>
        <v>10</v>
      </c>
      <c r="D1961" t="s">
        <v>20</v>
      </c>
      <c r="E1961" t="s">
        <v>1636</v>
      </c>
      <c r="F1961" s="5">
        <v>62500000</v>
      </c>
      <c r="G1961" s="5">
        <v>65500000</v>
      </c>
      <c r="H1961" s="5">
        <f>M1961*26000*1.20565</f>
        <v>61703237.960000008</v>
      </c>
      <c r="I1961" s="5">
        <f>G1961-H1961</f>
        <v>3796762.0399999917</v>
      </c>
      <c r="J1961" s="5">
        <v>3000000</v>
      </c>
      <c r="K1961" s="5">
        <v>6250000</v>
      </c>
      <c r="L1961" s="5">
        <v>6550000</v>
      </c>
      <c r="M1961" s="7">
        <v>1968.4</v>
      </c>
      <c r="N1961" s="5">
        <v>63000000</v>
      </c>
      <c r="O1961" s="5">
        <v>66000000</v>
      </c>
      <c r="P1961" s="3">
        <v>0.97916666666666663</v>
      </c>
    </row>
    <row r="1962" spans="1:16" x14ac:dyDescent="0.25">
      <c r="A1962" t="s">
        <v>1207</v>
      </c>
      <c r="B1962" s="2">
        <v>45219</v>
      </c>
      <c r="C1962" t="str">
        <f>TEXT(B1962,"mm")</f>
        <v>10</v>
      </c>
      <c r="D1962" t="s">
        <v>21</v>
      </c>
      <c r="E1962" t="s">
        <v>1636</v>
      </c>
      <c r="F1962" s="5">
        <v>62900000</v>
      </c>
      <c r="G1962" s="5">
        <v>65900000</v>
      </c>
      <c r="H1962" s="5">
        <f>M1962*26000*1.20565</f>
        <v>62145229.250000007</v>
      </c>
      <c r="I1962" s="5">
        <f>G1962-H1962</f>
        <v>3754770.7499999925</v>
      </c>
      <c r="J1962" s="5">
        <v>3000000</v>
      </c>
      <c r="K1962" s="5">
        <v>6290000</v>
      </c>
      <c r="L1962" s="5">
        <v>6590000</v>
      </c>
      <c r="M1962" s="7">
        <v>1982.5</v>
      </c>
      <c r="N1962" s="5">
        <v>63400000</v>
      </c>
      <c r="O1962" s="5">
        <v>66400000</v>
      </c>
      <c r="P1962" s="3">
        <v>0.97916666666666663</v>
      </c>
    </row>
    <row r="1963" spans="1:16" x14ac:dyDescent="0.25">
      <c r="A1963" t="s">
        <v>1208</v>
      </c>
      <c r="B1963" s="2">
        <v>45222</v>
      </c>
      <c r="C1963" t="str">
        <f>TEXT(B1963,"mm")</f>
        <v>10</v>
      </c>
      <c r="D1963" t="s">
        <v>16</v>
      </c>
      <c r="E1963" t="s">
        <v>1636</v>
      </c>
      <c r="F1963" s="5">
        <v>62700000</v>
      </c>
      <c r="G1963" s="5">
        <v>65700000</v>
      </c>
      <c r="H1963" s="5">
        <f>M1963*26000*1.20565</f>
        <v>61950878.470000006</v>
      </c>
      <c r="I1963" s="5">
        <f>G1963-H1963</f>
        <v>3749121.5299999937</v>
      </c>
      <c r="J1963" s="5">
        <v>3000000</v>
      </c>
      <c r="K1963" s="5">
        <v>6270000</v>
      </c>
      <c r="L1963" s="5">
        <v>6570000</v>
      </c>
      <c r="M1963" s="7">
        <v>1976.3</v>
      </c>
      <c r="N1963" s="5">
        <v>63200000</v>
      </c>
      <c r="O1963" s="5">
        <v>66200000</v>
      </c>
      <c r="P1963" s="3">
        <v>0.97916666666666663</v>
      </c>
    </row>
    <row r="1964" spans="1:16" x14ac:dyDescent="0.25">
      <c r="A1964" t="s">
        <v>1209</v>
      </c>
      <c r="B1964" s="2">
        <v>45223</v>
      </c>
      <c r="C1964" t="str">
        <f>TEXT(B1964,"mm")</f>
        <v>10</v>
      </c>
      <c r="D1964" t="s">
        <v>18</v>
      </c>
      <c r="E1964" t="s">
        <v>1636</v>
      </c>
      <c r="F1964" s="5">
        <v>62700000</v>
      </c>
      <c r="G1964" s="5">
        <v>65700000</v>
      </c>
      <c r="H1964" s="5">
        <f>M1964*26000*1.20565</f>
        <v>61910127.500000007</v>
      </c>
      <c r="I1964" s="5">
        <f>G1964-H1964</f>
        <v>3789872.4999999925</v>
      </c>
      <c r="J1964" s="5">
        <v>3000000</v>
      </c>
      <c r="K1964" s="5">
        <v>6270000</v>
      </c>
      <c r="L1964" s="5">
        <v>6570000</v>
      </c>
      <c r="M1964" s="7">
        <v>1975</v>
      </c>
      <c r="N1964" s="5">
        <v>63200000</v>
      </c>
      <c r="O1964" s="5">
        <v>66200000</v>
      </c>
      <c r="P1964" s="3">
        <v>0.97916666666666663</v>
      </c>
    </row>
    <row r="1965" spans="1:16" x14ac:dyDescent="0.25">
      <c r="A1965" t="s">
        <v>1210</v>
      </c>
      <c r="B1965" s="2">
        <v>45224</v>
      </c>
      <c r="C1965" t="str">
        <f>TEXT(B1965,"mm")</f>
        <v>10</v>
      </c>
      <c r="D1965" t="s">
        <v>19</v>
      </c>
      <c r="E1965" t="s">
        <v>1636</v>
      </c>
      <c r="F1965" s="5">
        <v>63000000</v>
      </c>
      <c r="G1965" s="5">
        <v>66000000</v>
      </c>
      <c r="H1965" s="5">
        <f>M1965*26000*1.20565</f>
        <v>62195384.290000007</v>
      </c>
      <c r="I1965" s="5">
        <f>G1965-H1965</f>
        <v>3804615.7099999934</v>
      </c>
      <c r="J1965" s="5">
        <v>3000000</v>
      </c>
      <c r="K1965" s="5">
        <v>6300000</v>
      </c>
      <c r="L1965" s="5">
        <v>6600000</v>
      </c>
      <c r="M1965" s="7">
        <v>1984.1</v>
      </c>
      <c r="N1965" s="5">
        <v>63500000</v>
      </c>
      <c r="O1965" s="5">
        <v>66500000</v>
      </c>
      <c r="P1965" s="3">
        <v>0.97916666666666663</v>
      </c>
    </row>
    <row r="1966" spans="1:16" x14ac:dyDescent="0.25">
      <c r="A1966" t="s">
        <v>1211</v>
      </c>
      <c r="B1966" s="2">
        <v>45225</v>
      </c>
      <c r="C1966" t="str">
        <f>TEXT(B1966,"mm")</f>
        <v>10</v>
      </c>
      <c r="D1966" t="s">
        <v>20</v>
      </c>
      <c r="E1966" t="s">
        <v>1636</v>
      </c>
      <c r="F1966" s="5">
        <v>63100000</v>
      </c>
      <c r="G1966" s="5">
        <v>66100000</v>
      </c>
      <c r="H1966" s="5">
        <f>M1966*26000*1.20565</f>
        <v>62292559.680000007</v>
      </c>
      <c r="I1966" s="5">
        <f>G1966-H1966</f>
        <v>3807440.3199999928</v>
      </c>
      <c r="J1966" s="5">
        <v>3000000</v>
      </c>
      <c r="K1966" s="5">
        <v>6310000</v>
      </c>
      <c r="L1966" s="5">
        <v>6610000</v>
      </c>
      <c r="M1966" s="7">
        <v>1987.2</v>
      </c>
      <c r="N1966" s="5">
        <v>63600000</v>
      </c>
      <c r="O1966" s="5">
        <v>66600000</v>
      </c>
      <c r="P1966" s="3">
        <v>0.97916666666666663</v>
      </c>
    </row>
    <row r="1967" spans="1:16" x14ac:dyDescent="0.25">
      <c r="A1967" t="s">
        <v>1212</v>
      </c>
      <c r="B1967" s="2">
        <v>45226</v>
      </c>
      <c r="C1967" t="str">
        <f>TEXT(B1967,"mm")</f>
        <v>10</v>
      </c>
      <c r="D1967" t="s">
        <v>21</v>
      </c>
      <c r="E1967" t="s">
        <v>1636</v>
      </c>
      <c r="F1967" s="5">
        <v>63100000</v>
      </c>
      <c r="G1967" s="5">
        <v>66100000</v>
      </c>
      <c r="H1967" s="5">
        <f>M1967*26000*1.20565</f>
        <v>62336445.340000004</v>
      </c>
      <c r="I1967" s="5">
        <f>G1967-H1967</f>
        <v>3763554.6599999964</v>
      </c>
      <c r="J1967" s="5">
        <v>3000000</v>
      </c>
      <c r="K1967" s="5">
        <v>6310000</v>
      </c>
      <c r="L1967" s="5">
        <v>6610000</v>
      </c>
      <c r="M1967" s="7">
        <v>1988.6</v>
      </c>
      <c r="N1967" s="5">
        <v>63600000</v>
      </c>
      <c r="O1967" s="5">
        <v>66600000</v>
      </c>
      <c r="P1967" s="3">
        <v>0.97916666666666663</v>
      </c>
    </row>
    <row r="1968" spans="1:16" x14ac:dyDescent="0.25">
      <c r="A1968" t="s">
        <v>1213</v>
      </c>
      <c r="B1968" s="2">
        <v>45229</v>
      </c>
      <c r="C1968" t="str">
        <f>TEXT(B1968,"mm")</f>
        <v>10</v>
      </c>
      <c r="D1968" t="s">
        <v>16</v>
      </c>
      <c r="E1968" t="s">
        <v>1636</v>
      </c>
      <c r="F1968" s="5">
        <v>63400000</v>
      </c>
      <c r="G1968" s="5">
        <v>66400000</v>
      </c>
      <c r="H1968" s="5">
        <f>M1968*26000*1.20565</f>
        <v>62574681.780000009</v>
      </c>
      <c r="I1968" s="5">
        <f>G1968-H1968</f>
        <v>3825318.2199999914</v>
      </c>
      <c r="J1968" s="5">
        <v>3000000</v>
      </c>
      <c r="K1968" s="5">
        <v>6340000</v>
      </c>
      <c r="L1968" s="5">
        <v>6640000</v>
      </c>
      <c r="M1968" s="7">
        <v>1996.2</v>
      </c>
      <c r="N1968" s="5">
        <v>63900000</v>
      </c>
      <c r="O1968" s="5">
        <v>66900000</v>
      </c>
      <c r="P1968" s="3">
        <v>0.97916666666666663</v>
      </c>
    </row>
    <row r="1969" spans="1:16" x14ac:dyDescent="0.25">
      <c r="A1969" t="s">
        <v>1214</v>
      </c>
      <c r="B1969" s="2">
        <v>45230</v>
      </c>
      <c r="C1969" t="str">
        <f>TEXT(B1969,"mm")</f>
        <v>10</v>
      </c>
      <c r="D1969" t="s">
        <v>18</v>
      </c>
      <c r="E1969" t="s">
        <v>1636</v>
      </c>
      <c r="F1969" s="5">
        <v>63000000</v>
      </c>
      <c r="G1969" s="5">
        <v>66000000</v>
      </c>
      <c r="H1969" s="5">
        <f>M1969*26000*1.20565</f>
        <v>62229865.880000003</v>
      </c>
      <c r="I1969" s="5">
        <f>G1969-H1969</f>
        <v>3770134.1199999973</v>
      </c>
      <c r="J1969" s="5">
        <v>3000000</v>
      </c>
      <c r="K1969" s="5">
        <v>6300000</v>
      </c>
      <c r="L1969" s="5">
        <v>6600000</v>
      </c>
      <c r="M1969" s="7">
        <v>1985.2</v>
      </c>
      <c r="N1969" s="5">
        <v>63500000</v>
      </c>
      <c r="O1969" s="5">
        <v>66500000</v>
      </c>
      <c r="P1969" s="3">
        <v>0.97916666666666663</v>
      </c>
    </row>
    <row r="1970" spans="1:16" x14ac:dyDescent="0.25">
      <c r="A1970" s="2">
        <v>44937</v>
      </c>
      <c r="B1970" s="2">
        <v>45231</v>
      </c>
      <c r="C1970" t="str">
        <f>TEXT(B1970,"mm")</f>
        <v>11</v>
      </c>
      <c r="D1970" t="s">
        <v>19</v>
      </c>
      <c r="E1970" t="s">
        <v>1636</v>
      </c>
      <c r="F1970" s="5">
        <v>62800000</v>
      </c>
      <c r="G1970" s="5">
        <v>65800000</v>
      </c>
      <c r="H1970" s="5">
        <f>M1970*26000*1.20565</f>
        <v>62029245.720000006</v>
      </c>
      <c r="I1970" s="5">
        <f>G1970-H1970</f>
        <v>3770754.2799999937</v>
      </c>
      <c r="J1970" s="5">
        <v>3000000</v>
      </c>
      <c r="K1970" s="5">
        <v>6280000</v>
      </c>
      <c r="L1970" s="5">
        <v>6580000</v>
      </c>
      <c r="M1970" s="7">
        <v>1978.8</v>
      </c>
      <c r="N1970" s="5">
        <v>63300000</v>
      </c>
      <c r="O1970" s="5">
        <v>66300000</v>
      </c>
      <c r="P1970" s="3">
        <v>0.97916666666666663</v>
      </c>
    </row>
    <row r="1971" spans="1:16" x14ac:dyDescent="0.25">
      <c r="A1971" s="2">
        <v>44968</v>
      </c>
      <c r="B1971" s="2">
        <v>45232</v>
      </c>
      <c r="C1971" t="str">
        <f>TEXT(B1971,"mm")</f>
        <v>11</v>
      </c>
      <c r="D1971" t="s">
        <v>20</v>
      </c>
      <c r="E1971" t="s">
        <v>1636</v>
      </c>
      <c r="F1971" s="5">
        <v>63000000</v>
      </c>
      <c r="G1971" s="5">
        <v>66000000</v>
      </c>
      <c r="H1971" s="5">
        <f>M1971*26000*1.20565</f>
        <v>62242404.640000008</v>
      </c>
      <c r="I1971" s="5">
        <f>G1971-H1971</f>
        <v>3757595.359999992</v>
      </c>
      <c r="J1971" s="5">
        <v>3000000</v>
      </c>
      <c r="K1971" s="5">
        <v>6300000</v>
      </c>
      <c r="L1971" s="5">
        <v>6600000</v>
      </c>
      <c r="M1971" s="7">
        <v>1985.6</v>
      </c>
      <c r="N1971" s="5">
        <v>63500000</v>
      </c>
      <c r="O1971" s="5">
        <v>66500000</v>
      </c>
      <c r="P1971" s="3">
        <v>0.97916666666666663</v>
      </c>
    </row>
    <row r="1972" spans="1:16" x14ac:dyDescent="0.25">
      <c r="A1972" s="2">
        <v>44996</v>
      </c>
      <c r="B1972" s="2">
        <v>45233</v>
      </c>
      <c r="C1972" t="str">
        <f>TEXT(B1972,"mm")</f>
        <v>11</v>
      </c>
      <c r="D1972" t="s">
        <v>21</v>
      </c>
      <c r="E1972" t="s">
        <v>1636</v>
      </c>
      <c r="F1972" s="5">
        <v>63200000</v>
      </c>
      <c r="G1972" s="5">
        <v>66200000</v>
      </c>
      <c r="H1972" s="5">
        <f>M1972*26000*1.20565</f>
        <v>62427351.350000009</v>
      </c>
      <c r="I1972" s="5">
        <f>G1972-H1972</f>
        <v>3772648.6499999911</v>
      </c>
      <c r="J1972" s="5">
        <v>3000000</v>
      </c>
      <c r="K1972" s="5">
        <v>6320000</v>
      </c>
      <c r="L1972" s="5">
        <v>6620000</v>
      </c>
      <c r="M1972" s="7">
        <v>1991.5</v>
      </c>
      <c r="N1972" s="5">
        <v>63700000</v>
      </c>
      <c r="O1972" s="5">
        <v>66700000</v>
      </c>
      <c r="P1972" s="3">
        <v>0.97916666666666663</v>
      </c>
    </row>
    <row r="1973" spans="1:16" x14ac:dyDescent="0.25">
      <c r="A1973" s="2">
        <v>45088</v>
      </c>
      <c r="B1973" s="2">
        <v>45236</v>
      </c>
      <c r="C1973" t="str">
        <f>TEXT(B1973,"mm")</f>
        <v>11</v>
      </c>
      <c r="D1973" t="s">
        <v>16</v>
      </c>
      <c r="E1973" t="s">
        <v>1636</v>
      </c>
      <c r="F1973" s="5">
        <v>62900000</v>
      </c>
      <c r="G1973" s="5">
        <v>65900000</v>
      </c>
      <c r="H1973" s="5">
        <f>M1973*26000*1.20565</f>
        <v>62117017.040000007</v>
      </c>
      <c r="I1973" s="5">
        <f>G1973-H1973</f>
        <v>3782982.9599999934</v>
      </c>
      <c r="J1973" s="5">
        <v>3000000</v>
      </c>
      <c r="K1973" s="5">
        <v>6290000</v>
      </c>
      <c r="L1973" s="5">
        <v>6590000</v>
      </c>
      <c r="M1973" s="7">
        <v>1981.6</v>
      </c>
      <c r="N1973" s="5">
        <v>63400000</v>
      </c>
      <c r="O1973" s="5">
        <v>66400000</v>
      </c>
      <c r="P1973" s="3">
        <v>0.97916666666666663</v>
      </c>
    </row>
    <row r="1974" spans="1:16" x14ac:dyDescent="0.25">
      <c r="A1974" s="2">
        <v>45118</v>
      </c>
      <c r="B1974" s="2">
        <v>45237</v>
      </c>
      <c r="C1974" t="str">
        <f>TEXT(B1974,"mm")</f>
        <v>11</v>
      </c>
      <c r="D1974" t="s">
        <v>18</v>
      </c>
      <c r="E1974" t="s">
        <v>1636</v>
      </c>
      <c r="F1974" s="5">
        <v>62400000</v>
      </c>
      <c r="G1974" s="5">
        <v>65400000</v>
      </c>
      <c r="H1974" s="5">
        <f>M1974*26000*1.20565</f>
        <v>61653082.920000009</v>
      </c>
      <c r="I1974" s="5">
        <f>G1974-H1974</f>
        <v>3746917.0799999908</v>
      </c>
      <c r="J1974" s="5">
        <v>3000000</v>
      </c>
      <c r="K1974" s="5">
        <v>6240000</v>
      </c>
      <c r="L1974" s="5">
        <v>6540000</v>
      </c>
      <c r="M1974" s="7">
        <v>1966.8</v>
      </c>
      <c r="N1974" s="5">
        <v>62900000</v>
      </c>
      <c r="O1974" s="5">
        <v>65900000</v>
      </c>
      <c r="P1974" s="3">
        <v>0.97916666666666663</v>
      </c>
    </row>
    <row r="1975" spans="1:16" x14ac:dyDescent="0.25">
      <c r="A1975" s="2">
        <v>45149</v>
      </c>
      <c r="B1975" s="2">
        <v>45238</v>
      </c>
      <c r="C1975" t="str">
        <f>TEXT(B1975,"mm")</f>
        <v>11</v>
      </c>
      <c r="D1975" t="s">
        <v>19</v>
      </c>
      <c r="E1975" t="s">
        <v>1636</v>
      </c>
      <c r="F1975" s="5">
        <v>61900000</v>
      </c>
      <c r="G1975" s="5">
        <v>64900000</v>
      </c>
      <c r="H1975" s="5">
        <f>M1975*26000*1.20565</f>
        <v>61173475.350000009</v>
      </c>
      <c r="I1975" s="5">
        <f>G1975-H1975</f>
        <v>3726524.6499999911</v>
      </c>
      <c r="J1975" s="5">
        <v>3000000</v>
      </c>
      <c r="K1975" s="5">
        <v>6190000</v>
      </c>
      <c r="L1975" s="5">
        <v>6490000</v>
      </c>
      <c r="M1975" s="7">
        <v>1951.5</v>
      </c>
      <c r="N1975" s="5">
        <v>62400000</v>
      </c>
      <c r="O1975" s="5">
        <v>65400000</v>
      </c>
      <c r="P1975" s="3">
        <v>0.97916666666666663</v>
      </c>
    </row>
    <row r="1976" spans="1:16" x14ac:dyDescent="0.25">
      <c r="A1976" s="2">
        <v>45180</v>
      </c>
      <c r="B1976" s="2">
        <v>45239</v>
      </c>
      <c r="C1976" t="str">
        <f>TEXT(B1976,"mm")</f>
        <v>11</v>
      </c>
      <c r="D1976" t="s">
        <v>20</v>
      </c>
      <c r="E1976" t="s">
        <v>1636</v>
      </c>
      <c r="F1976" s="5">
        <v>62300000</v>
      </c>
      <c r="G1976" s="5">
        <v>65300000</v>
      </c>
      <c r="H1976" s="5">
        <f>M1976*26000*1.20565</f>
        <v>61571580.980000004</v>
      </c>
      <c r="I1976" s="5">
        <f>G1976-H1976</f>
        <v>3728419.0199999958</v>
      </c>
      <c r="J1976" s="5">
        <v>3000000</v>
      </c>
      <c r="K1976" s="5">
        <v>6230000</v>
      </c>
      <c r="L1976" s="5">
        <v>6530000</v>
      </c>
      <c r="M1976" s="7">
        <v>1964.2</v>
      </c>
      <c r="N1976" s="5">
        <v>62800000</v>
      </c>
      <c r="O1976" s="5">
        <v>65800000</v>
      </c>
      <c r="P1976" s="3">
        <v>0.97916666666666663</v>
      </c>
    </row>
    <row r="1977" spans="1:16" x14ac:dyDescent="0.25">
      <c r="A1977" s="2">
        <v>45210</v>
      </c>
      <c r="B1977" s="2">
        <v>45240</v>
      </c>
      <c r="C1977" t="str">
        <f>TEXT(B1977,"mm")</f>
        <v>11</v>
      </c>
      <c r="D1977" t="s">
        <v>21</v>
      </c>
      <c r="E1977" t="s">
        <v>1636</v>
      </c>
      <c r="F1977" s="5">
        <v>61300000</v>
      </c>
      <c r="G1977" s="5">
        <v>64300000</v>
      </c>
      <c r="H1977" s="5">
        <f>M1977*26000*1.20565</f>
        <v>60581018.940000005</v>
      </c>
      <c r="I1977" s="5">
        <f>G1977-H1977</f>
        <v>3718981.0599999949</v>
      </c>
      <c r="J1977" s="5">
        <v>3000000</v>
      </c>
      <c r="K1977" s="5">
        <v>6130000</v>
      </c>
      <c r="L1977" s="5">
        <v>6430000</v>
      </c>
      <c r="M1977" s="7">
        <v>1932.6</v>
      </c>
      <c r="N1977" s="5">
        <v>61800000</v>
      </c>
      <c r="O1977" s="5">
        <v>64800000</v>
      </c>
      <c r="P1977" s="3">
        <v>0.97916666666666663</v>
      </c>
    </row>
    <row r="1978" spans="1:16" x14ac:dyDescent="0.25">
      <c r="A1978" t="s">
        <v>1215</v>
      </c>
      <c r="B1978" s="2">
        <v>45243</v>
      </c>
      <c r="C1978" t="str">
        <f>TEXT(B1978,"mm")</f>
        <v>11</v>
      </c>
      <c r="D1978" t="s">
        <v>16</v>
      </c>
      <c r="E1978" t="s">
        <v>1636</v>
      </c>
      <c r="F1978" s="5">
        <v>61700000</v>
      </c>
      <c r="G1978" s="5">
        <v>64700000</v>
      </c>
      <c r="H1978" s="5">
        <f>M1978*26000*1.20565</f>
        <v>60985393.950000003</v>
      </c>
      <c r="I1978" s="5">
        <f>G1978-H1978</f>
        <v>3714606.049999997</v>
      </c>
      <c r="J1978" s="5">
        <v>3000000</v>
      </c>
      <c r="K1978" s="5">
        <v>6170000</v>
      </c>
      <c r="L1978" s="5">
        <v>6470000</v>
      </c>
      <c r="M1978" s="7">
        <v>1945.5</v>
      </c>
      <c r="N1978" s="5">
        <v>62200000</v>
      </c>
      <c r="O1978" s="5">
        <v>65200000</v>
      </c>
      <c r="P1978" s="3">
        <v>0.97916666666666663</v>
      </c>
    </row>
    <row r="1979" spans="1:16" x14ac:dyDescent="0.25">
      <c r="A1979" t="s">
        <v>1216</v>
      </c>
      <c r="B1979" s="2">
        <v>45244</v>
      </c>
      <c r="C1979" t="str">
        <f>TEXT(B1979,"mm")</f>
        <v>11</v>
      </c>
      <c r="D1979" t="s">
        <v>18</v>
      </c>
      <c r="E1979" t="s">
        <v>1636</v>
      </c>
      <c r="F1979" s="5">
        <v>62300000</v>
      </c>
      <c r="G1979" s="5">
        <v>65300000</v>
      </c>
      <c r="H1979" s="5">
        <f>M1979*26000*1.20565</f>
        <v>61496348.420000009</v>
      </c>
      <c r="I1979" s="5">
        <f>G1979-H1979</f>
        <v>3803651.5799999908</v>
      </c>
      <c r="J1979" s="5">
        <v>3000000</v>
      </c>
      <c r="K1979" s="5">
        <v>6230000</v>
      </c>
      <c r="L1979" s="5">
        <v>6530000</v>
      </c>
      <c r="M1979" s="7">
        <v>1961.8</v>
      </c>
      <c r="N1979" s="5">
        <v>62800000</v>
      </c>
      <c r="O1979" s="5">
        <v>65800000</v>
      </c>
      <c r="P1979" s="3">
        <v>0.97916666666666663</v>
      </c>
    </row>
    <row r="1980" spans="1:16" x14ac:dyDescent="0.25">
      <c r="A1980" t="s">
        <v>1217</v>
      </c>
      <c r="B1980" s="2">
        <v>45245</v>
      </c>
      <c r="C1980" t="str">
        <f>TEXT(B1980,"mm")</f>
        <v>11</v>
      </c>
      <c r="D1980" t="s">
        <v>19</v>
      </c>
      <c r="E1980" t="s">
        <v>1636</v>
      </c>
      <c r="F1980" s="5">
        <v>62200000</v>
      </c>
      <c r="G1980" s="5">
        <v>65200000</v>
      </c>
      <c r="H1980" s="5">
        <f>M1980*26000*1.20565</f>
        <v>61443058.690000005</v>
      </c>
      <c r="I1980" s="5">
        <f>G1980-H1980</f>
        <v>3756941.3099999949</v>
      </c>
      <c r="J1980" s="5">
        <v>3000000</v>
      </c>
      <c r="K1980" s="5">
        <v>6220000</v>
      </c>
      <c r="L1980" s="5">
        <v>6520000</v>
      </c>
      <c r="M1980" s="7">
        <v>1960.1</v>
      </c>
      <c r="N1980" s="5">
        <v>62700000</v>
      </c>
      <c r="O1980" s="5">
        <v>65700000</v>
      </c>
      <c r="P1980" s="3">
        <v>0.97916666666666663</v>
      </c>
    </row>
    <row r="1981" spans="1:16" x14ac:dyDescent="0.25">
      <c r="A1981" t="s">
        <v>1218</v>
      </c>
      <c r="B1981" s="2">
        <v>45246</v>
      </c>
      <c r="C1981" t="str">
        <f>TEXT(B1981,"mm")</f>
        <v>11</v>
      </c>
      <c r="D1981" t="s">
        <v>20</v>
      </c>
      <c r="E1981" t="s">
        <v>1636</v>
      </c>
      <c r="F1981" s="5">
        <v>63000000</v>
      </c>
      <c r="G1981" s="5">
        <v>66000000</v>
      </c>
      <c r="H1981" s="5">
        <f>M1981*26000*1.20565</f>
        <v>62189114.910000004</v>
      </c>
      <c r="I1981" s="5">
        <f>G1981-H1981</f>
        <v>3810885.0899999961</v>
      </c>
      <c r="J1981" s="5">
        <v>3000000</v>
      </c>
      <c r="K1981" s="5">
        <v>6300000</v>
      </c>
      <c r="L1981" s="5">
        <v>6600000</v>
      </c>
      <c r="M1981" s="7">
        <v>1983.9</v>
      </c>
      <c r="N1981" s="5">
        <v>63500000</v>
      </c>
      <c r="O1981" s="5">
        <v>66500000</v>
      </c>
      <c r="P1981" s="3">
        <v>0.97916666666666663</v>
      </c>
    </row>
    <row r="1982" spans="1:16" x14ac:dyDescent="0.25">
      <c r="A1982" t="s">
        <v>1219</v>
      </c>
      <c r="B1982" s="2">
        <v>45247</v>
      </c>
      <c r="C1982" t="str">
        <f>TEXT(B1982,"mm")</f>
        <v>11</v>
      </c>
      <c r="D1982" t="s">
        <v>21</v>
      </c>
      <c r="E1982" t="s">
        <v>1636</v>
      </c>
      <c r="F1982" s="5">
        <v>62900000</v>
      </c>
      <c r="G1982" s="5">
        <v>65900000</v>
      </c>
      <c r="H1982" s="5">
        <f>M1982*26000*1.20565</f>
        <v>62117017.040000007</v>
      </c>
      <c r="I1982" s="5">
        <f>G1982-H1982</f>
        <v>3782982.9599999934</v>
      </c>
      <c r="J1982" s="5">
        <v>3000000</v>
      </c>
      <c r="K1982" s="5">
        <v>6290000</v>
      </c>
      <c r="L1982" s="5">
        <v>6590000</v>
      </c>
      <c r="M1982" s="7">
        <v>1981.6</v>
      </c>
      <c r="N1982" s="5">
        <v>63400000</v>
      </c>
      <c r="O1982" s="5">
        <v>66400000</v>
      </c>
      <c r="P1982" s="3">
        <v>0.97916666666666663</v>
      </c>
    </row>
    <row r="1983" spans="1:16" x14ac:dyDescent="0.25">
      <c r="A1983" t="s">
        <v>1220</v>
      </c>
      <c r="B1983" s="2">
        <v>45250</v>
      </c>
      <c r="C1983" t="str">
        <f>TEXT(B1983,"mm")</f>
        <v>11</v>
      </c>
      <c r="D1983" t="s">
        <v>16</v>
      </c>
      <c r="E1983" t="s">
        <v>1636</v>
      </c>
      <c r="F1983" s="5">
        <v>62800000</v>
      </c>
      <c r="G1983" s="5">
        <v>65800000</v>
      </c>
      <c r="H1983" s="5">
        <f>M1983*26000*1.20565</f>
        <v>61994764.130000003</v>
      </c>
      <c r="I1983" s="5">
        <f>G1983-H1983</f>
        <v>3805235.8699999973</v>
      </c>
      <c r="J1983" s="5">
        <v>3000000</v>
      </c>
      <c r="K1983" s="5">
        <v>6280000</v>
      </c>
      <c r="L1983" s="5">
        <v>6580000</v>
      </c>
      <c r="M1983" s="7">
        <v>1977.7</v>
      </c>
      <c r="N1983" s="5">
        <v>63300000</v>
      </c>
      <c r="O1983" s="5">
        <v>66300000</v>
      </c>
      <c r="P1983" s="3">
        <v>0.97916666666666663</v>
      </c>
    </row>
    <row r="1984" spans="1:16" x14ac:dyDescent="0.25">
      <c r="A1984" t="s">
        <v>1221</v>
      </c>
      <c r="B1984" s="2">
        <v>45251</v>
      </c>
      <c r="C1984" t="str">
        <f>TEXT(B1984,"mm")</f>
        <v>11</v>
      </c>
      <c r="D1984" t="s">
        <v>18</v>
      </c>
      <c r="E1984" t="s">
        <v>1636</v>
      </c>
      <c r="F1984" s="5">
        <v>63500000</v>
      </c>
      <c r="G1984" s="5">
        <v>66500000</v>
      </c>
      <c r="H1984" s="5">
        <f>M1984*26000*1.20565</f>
        <v>62671857.170000009</v>
      </c>
      <c r="I1984" s="5">
        <f>G1984-H1984</f>
        <v>3828142.8299999908</v>
      </c>
      <c r="J1984" s="5">
        <v>3000000</v>
      </c>
      <c r="K1984" s="5">
        <v>6350000</v>
      </c>
      <c r="L1984" s="5">
        <v>6650000</v>
      </c>
      <c r="M1984" s="7">
        <v>1999.3</v>
      </c>
      <c r="N1984" s="5">
        <v>64000000</v>
      </c>
      <c r="O1984" s="5">
        <v>67000000</v>
      </c>
      <c r="P1984" s="3">
        <v>0.97916666666666663</v>
      </c>
    </row>
    <row r="1985" spans="1:16" x14ac:dyDescent="0.25">
      <c r="A1985" t="s">
        <v>1222</v>
      </c>
      <c r="B1985" s="2">
        <v>45252</v>
      </c>
      <c r="C1985" t="str">
        <f>TEXT(B1985,"mm")</f>
        <v>11</v>
      </c>
      <c r="D1985" t="s">
        <v>19</v>
      </c>
      <c r="E1985" t="s">
        <v>1636</v>
      </c>
      <c r="F1985" s="5">
        <v>63200000</v>
      </c>
      <c r="G1985" s="5">
        <v>66200000</v>
      </c>
      <c r="H1985" s="5">
        <f>M1985*26000*1.20565</f>
        <v>62424216.660000004</v>
      </c>
      <c r="I1985" s="5">
        <f>G1985-H1985</f>
        <v>3775783.3399999961</v>
      </c>
      <c r="J1985" s="5">
        <v>3000000</v>
      </c>
      <c r="K1985" s="5">
        <v>6320000</v>
      </c>
      <c r="L1985" s="5">
        <v>6620000</v>
      </c>
      <c r="M1985" s="7">
        <v>1991.4</v>
      </c>
      <c r="N1985" s="5">
        <v>63700000</v>
      </c>
      <c r="O1985" s="5">
        <v>66700000</v>
      </c>
      <c r="P1985" s="3">
        <v>0.97916666666666663</v>
      </c>
    </row>
    <row r="1986" spans="1:16" x14ac:dyDescent="0.25">
      <c r="A1986" t="s">
        <v>1223</v>
      </c>
      <c r="B1986" s="2">
        <v>45254</v>
      </c>
      <c r="C1986" t="str">
        <f>TEXT(B1986,"mm")</f>
        <v>11</v>
      </c>
      <c r="D1986" t="s">
        <v>21</v>
      </c>
      <c r="E1986" t="s">
        <v>1636</v>
      </c>
      <c r="F1986" s="5">
        <v>63600000</v>
      </c>
      <c r="G1986" s="5">
        <v>66600000</v>
      </c>
      <c r="H1986" s="5">
        <f>M1986*26000*1.20565</f>
        <v>62762763.180000007</v>
      </c>
      <c r="I1986" s="5">
        <f>G1986-H1986</f>
        <v>3837236.8199999928</v>
      </c>
      <c r="J1986" s="5">
        <v>3000000</v>
      </c>
      <c r="K1986" s="5">
        <v>6360000</v>
      </c>
      <c r="L1986" s="5">
        <v>6660000</v>
      </c>
      <c r="M1986" s="7">
        <v>2002.2</v>
      </c>
      <c r="N1986" s="5">
        <v>64100000</v>
      </c>
      <c r="O1986" s="5">
        <v>67100000</v>
      </c>
      <c r="P1986" s="3">
        <v>0.97916666666666663</v>
      </c>
    </row>
    <row r="1987" spans="1:16" x14ac:dyDescent="0.25">
      <c r="A1987" t="s">
        <v>1224</v>
      </c>
      <c r="B1987" s="2">
        <v>45257</v>
      </c>
      <c r="C1987" t="str">
        <f>TEXT(B1987,"mm")</f>
        <v>11</v>
      </c>
      <c r="D1987" t="s">
        <v>16</v>
      </c>
      <c r="E1987" t="s">
        <v>1636</v>
      </c>
      <c r="F1987" s="5">
        <v>63900000</v>
      </c>
      <c r="G1987" s="5">
        <v>66900000</v>
      </c>
      <c r="H1987" s="5">
        <f>M1987*26000*1.20565</f>
        <v>63063693.420000009</v>
      </c>
      <c r="I1987" s="5">
        <f>G1987-H1987</f>
        <v>3836306.5799999908</v>
      </c>
      <c r="J1987" s="5">
        <v>3000000</v>
      </c>
      <c r="K1987" s="5">
        <v>6390000</v>
      </c>
      <c r="L1987" s="5">
        <v>6690000</v>
      </c>
      <c r="M1987" s="7">
        <v>2011.8</v>
      </c>
      <c r="N1987" s="5">
        <v>64400000</v>
      </c>
      <c r="O1987" s="5">
        <v>67400000</v>
      </c>
      <c r="P1987" s="3">
        <v>0.97916666666666663</v>
      </c>
    </row>
    <row r="1988" spans="1:16" x14ac:dyDescent="0.25">
      <c r="A1988" t="s">
        <v>1225</v>
      </c>
      <c r="B1988" s="2">
        <v>45258</v>
      </c>
      <c r="C1988" t="str">
        <f>TEXT(B1988,"mm")</f>
        <v>11</v>
      </c>
      <c r="D1988" t="s">
        <v>18</v>
      </c>
      <c r="E1988" t="s">
        <v>1636</v>
      </c>
      <c r="F1988" s="5">
        <v>64800000</v>
      </c>
      <c r="G1988" s="5">
        <v>67800000</v>
      </c>
      <c r="H1988" s="5">
        <f>M1988*26000*1.20565</f>
        <v>63938271.930000007</v>
      </c>
      <c r="I1988" s="5">
        <f>G1988-H1988</f>
        <v>3861728.0699999928</v>
      </c>
      <c r="J1988" s="5">
        <v>3000000</v>
      </c>
      <c r="K1988" s="5">
        <v>6480000</v>
      </c>
      <c r="L1988" s="5">
        <v>6780000</v>
      </c>
      <c r="M1988" s="7">
        <v>2039.7</v>
      </c>
      <c r="N1988" s="5">
        <v>65300000</v>
      </c>
      <c r="O1988" s="5">
        <v>68300000</v>
      </c>
      <c r="P1988" s="3">
        <v>0.97916666666666663</v>
      </c>
    </row>
    <row r="1989" spans="1:16" x14ac:dyDescent="0.25">
      <c r="A1989" t="s">
        <v>1226</v>
      </c>
      <c r="B1989" s="2">
        <v>45259</v>
      </c>
      <c r="C1989" t="str">
        <f>TEXT(B1989,"mm")</f>
        <v>11</v>
      </c>
      <c r="D1989" t="s">
        <v>19</v>
      </c>
      <c r="E1989" t="s">
        <v>1636</v>
      </c>
      <c r="F1989" s="5">
        <v>65100000</v>
      </c>
      <c r="G1989" s="5">
        <v>68100000</v>
      </c>
      <c r="H1989" s="5">
        <f>M1989*26000*1.20565</f>
        <v>64170238.99000001</v>
      </c>
      <c r="I1989" s="5">
        <f>G1989-H1989</f>
        <v>3929761.0099999905</v>
      </c>
      <c r="J1989" s="5">
        <v>3000000</v>
      </c>
      <c r="K1989" s="5">
        <v>6510000</v>
      </c>
      <c r="L1989" s="5">
        <v>6810000</v>
      </c>
      <c r="M1989" s="7">
        <v>2047.1</v>
      </c>
      <c r="N1989" s="5">
        <v>65600000</v>
      </c>
      <c r="O1989" s="5">
        <v>68600000</v>
      </c>
      <c r="P1989" s="3">
        <v>0.97916666666666663</v>
      </c>
    </row>
    <row r="1990" spans="1:16" x14ac:dyDescent="0.25">
      <c r="A1990" t="s">
        <v>1227</v>
      </c>
      <c r="B1990" s="2">
        <v>45260</v>
      </c>
      <c r="C1990" t="str">
        <f>TEXT(B1990,"mm")</f>
        <v>11</v>
      </c>
      <c r="D1990" t="s">
        <v>20</v>
      </c>
      <c r="E1990" t="s">
        <v>1636</v>
      </c>
      <c r="F1990" s="5">
        <v>64800000</v>
      </c>
      <c r="G1990" s="5">
        <v>67800000</v>
      </c>
      <c r="H1990" s="5">
        <f>M1990*26000*1.20565</f>
        <v>63888116.890000008</v>
      </c>
      <c r="I1990" s="5">
        <f>G1990-H1990</f>
        <v>3911883.109999992</v>
      </c>
      <c r="J1990" s="5">
        <v>3000000</v>
      </c>
      <c r="K1990" s="5">
        <v>6480000</v>
      </c>
      <c r="L1990" s="5">
        <v>6780000</v>
      </c>
      <c r="M1990" s="7">
        <v>2038.1</v>
      </c>
      <c r="N1990" s="5">
        <v>65300000</v>
      </c>
      <c r="O1990" s="5">
        <v>68300000</v>
      </c>
      <c r="P1990" s="3">
        <v>0.97916666666666663</v>
      </c>
    </row>
    <row r="1991" spans="1:16" x14ac:dyDescent="0.25">
      <c r="A1991" s="2">
        <v>44938</v>
      </c>
      <c r="B1991" s="2">
        <v>45261</v>
      </c>
      <c r="C1991" t="str">
        <f>TEXT(B1991,"mm")</f>
        <v>12</v>
      </c>
      <c r="D1991" t="s">
        <v>21</v>
      </c>
      <c r="E1991" t="s">
        <v>1636</v>
      </c>
      <c r="F1991" s="5">
        <v>65900000</v>
      </c>
      <c r="G1991" s="5">
        <v>68900000</v>
      </c>
      <c r="H1991" s="5">
        <f>M1991*26000*1.20565</f>
        <v>64919429.900000006</v>
      </c>
      <c r="I1991" s="5">
        <f>G1991-H1991</f>
        <v>3980570.099999994</v>
      </c>
      <c r="J1991" s="5">
        <v>3000000</v>
      </c>
      <c r="K1991" s="5">
        <v>6590000</v>
      </c>
      <c r="L1991" s="5">
        <v>6890000</v>
      </c>
      <c r="M1991" s="7">
        <v>2071</v>
      </c>
      <c r="N1991" s="5">
        <v>66400000</v>
      </c>
      <c r="O1991" s="5">
        <v>69400000</v>
      </c>
      <c r="P1991" s="3">
        <v>0.97916666666666663</v>
      </c>
    </row>
    <row r="1992" spans="1:16" x14ac:dyDescent="0.25">
      <c r="A1992" s="2">
        <v>45028</v>
      </c>
      <c r="B1992" s="2">
        <v>45264</v>
      </c>
      <c r="C1992" t="str">
        <f>TEXT(B1992,"mm")</f>
        <v>12</v>
      </c>
      <c r="D1992" t="s">
        <v>16</v>
      </c>
      <c r="E1992" t="s">
        <v>1636</v>
      </c>
      <c r="F1992" s="5">
        <v>64300000</v>
      </c>
      <c r="G1992" s="5">
        <v>67300000</v>
      </c>
      <c r="H1992" s="5">
        <f>M1992*26000*1.20565</f>
        <v>63449260.290000007</v>
      </c>
      <c r="I1992" s="5">
        <f>G1992-H1992</f>
        <v>3850739.7099999934</v>
      </c>
      <c r="J1992" s="5">
        <v>3000000</v>
      </c>
      <c r="K1992" s="5">
        <v>6430000</v>
      </c>
      <c r="L1992" s="5">
        <v>6730000</v>
      </c>
      <c r="M1992" s="7">
        <v>2024.1</v>
      </c>
      <c r="N1992" s="5">
        <v>64800000</v>
      </c>
      <c r="O1992" s="5">
        <v>67800000</v>
      </c>
      <c r="P1992" s="3">
        <v>0.97916666666666663</v>
      </c>
    </row>
    <row r="1993" spans="1:16" x14ac:dyDescent="0.25">
      <c r="A1993" s="2">
        <v>45058</v>
      </c>
      <c r="B1993" s="2">
        <v>45265</v>
      </c>
      <c r="C1993" t="str">
        <f>TEXT(B1993,"mm")</f>
        <v>12</v>
      </c>
      <c r="D1993" t="s">
        <v>18</v>
      </c>
      <c r="E1993" t="s">
        <v>1636</v>
      </c>
      <c r="F1993" s="5">
        <v>64100000</v>
      </c>
      <c r="G1993" s="5">
        <v>67100000</v>
      </c>
      <c r="H1993" s="5">
        <f>M1993*26000*1.20565</f>
        <v>63273717.650000006</v>
      </c>
      <c r="I1993" s="5">
        <f>G1993-H1993</f>
        <v>3826282.349999994</v>
      </c>
      <c r="J1993" s="5">
        <v>3000000</v>
      </c>
      <c r="K1993" s="5">
        <v>6410000</v>
      </c>
      <c r="L1993" s="5">
        <v>6710000</v>
      </c>
      <c r="M1993" s="7">
        <v>2018.5</v>
      </c>
      <c r="N1993" s="5">
        <v>64600000</v>
      </c>
      <c r="O1993" s="5">
        <v>67600000</v>
      </c>
      <c r="P1993" s="3">
        <v>0.97916666666666663</v>
      </c>
    </row>
    <row r="1994" spans="1:16" x14ac:dyDescent="0.25">
      <c r="A1994" s="2">
        <v>45089</v>
      </c>
      <c r="B1994" s="2">
        <v>45266</v>
      </c>
      <c r="C1994" t="str">
        <f>TEXT(B1994,"mm")</f>
        <v>12</v>
      </c>
      <c r="D1994" t="s">
        <v>19</v>
      </c>
      <c r="E1994" t="s">
        <v>1636</v>
      </c>
      <c r="F1994" s="5">
        <v>64500000</v>
      </c>
      <c r="G1994" s="5">
        <v>67500000</v>
      </c>
      <c r="H1994" s="5">
        <f>M1994*26000*1.20565</f>
        <v>63649880.450000003</v>
      </c>
      <c r="I1994" s="5">
        <f>G1994-H1994</f>
        <v>3850119.549999997</v>
      </c>
      <c r="J1994" s="5">
        <v>3000000</v>
      </c>
      <c r="K1994" s="5">
        <v>6450000</v>
      </c>
      <c r="L1994" s="5">
        <v>6750000</v>
      </c>
      <c r="M1994" s="7">
        <v>2030.5</v>
      </c>
      <c r="N1994" s="5">
        <v>65000000</v>
      </c>
      <c r="O1994" s="5">
        <v>68000000</v>
      </c>
      <c r="P1994" s="3">
        <v>0.97916666666666663</v>
      </c>
    </row>
    <row r="1995" spans="1:16" x14ac:dyDescent="0.25">
      <c r="A1995" s="2">
        <v>45119</v>
      </c>
      <c r="B1995" s="2">
        <v>45267</v>
      </c>
      <c r="C1995" t="str">
        <f>TEXT(B1995,"mm")</f>
        <v>12</v>
      </c>
      <c r="D1995" t="s">
        <v>20</v>
      </c>
      <c r="E1995" t="s">
        <v>1636</v>
      </c>
      <c r="F1995" s="5">
        <v>64500000</v>
      </c>
      <c r="G1995" s="5">
        <v>67500000</v>
      </c>
      <c r="H1995" s="5">
        <f>M1995*26000*1.20565</f>
        <v>63631072.310000002</v>
      </c>
      <c r="I1995" s="5">
        <f>G1995-H1995</f>
        <v>3868927.6899999976</v>
      </c>
      <c r="J1995" s="5">
        <v>3000000</v>
      </c>
      <c r="K1995" s="5">
        <v>6450000</v>
      </c>
      <c r="L1995" s="5">
        <v>6750000</v>
      </c>
      <c r="M1995" s="7">
        <v>2029.9</v>
      </c>
      <c r="N1995" s="5">
        <v>65000000</v>
      </c>
      <c r="O1995" s="5">
        <v>68000000</v>
      </c>
      <c r="P1995" s="3">
        <v>0.97916666666666663</v>
      </c>
    </row>
    <row r="1996" spans="1:16" x14ac:dyDescent="0.25">
      <c r="A1996" s="2">
        <v>45150</v>
      </c>
      <c r="B1996" s="2">
        <v>45268</v>
      </c>
      <c r="C1996" t="str">
        <f>TEXT(B1996,"mm")</f>
        <v>12</v>
      </c>
      <c r="D1996" t="s">
        <v>21</v>
      </c>
      <c r="E1996" t="s">
        <v>1636</v>
      </c>
      <c r="F1996" s="5">
        <v>63500000</v>
      </c>
      <c r="G1996" s="5">
        <v>66500000</v>
      </c>
      <c r="H1996" s="5">
        <f>M1996*26000*1.20565</f>
        <v>62640510.270000003</v>
      </c>
      <c r="I1996" s="5">
        <f>G1996-H1996</f>
        <v>3859489.7299999967</v>
      </c>
      <c r="J1996" s="5">
        <v>3000000</v>
      </c>
      <c r="K1996" s="5">
        <v>6350000</v>
      </c>
      <c r="L1996" s="5">
        <v>6650000</v>
      </c>
      <c r="M1996" s="7">
        <v>1998.3</v>
      </c>
      <c r="N1996" s="5">
        <v>64000000</v>
      </c>
      <c r="O1996" s="5">
        <v>67000000</v>
      </c>
      <c r="P1996" s="3">
        <v>0.97916666666666663</v>
      </c>
    </row>
    <row r="1997" spans="1:16" x14ac:dyDescent="0.25">
      <c r="A1997" s="2">
        <v>45242</v>
      </c>
      <c r="B1997" s="2">
        <v>45271</v>
      </c>
      <c r="C1997" t="str">
        <f>TEXT(B1997,"mm")</f>
        <v>12</v>
      </c>
      <c r="D1997" t="s">
        <v>16</v>
      </c>
      <c r="E1997" t="s">
        <v>1636</v>
      </c>
      <c r="F1997" s="5">
        <v>62800000</v>
      </c>
      <c r="G1997" s="5">
        <v>65800000</v>
      </c>
      <c r="H1997" s="5">
        <f>M1997*26000*1.20565</f>
        <v>62004168.200000003</v>
      </c>
      <c r="I1997" s="5">
        <f>G1997-H1997</f>
        <v>3795831.799999997</v>
      </c>
      <c r="J1997" s="5">
        <v>3000000</v>
      </c>
      <c r="K1997" s="5">
        <v>6280000</v>
      </c>
      <c r="L1997" s="5">
        <v>6580000</v>
      </c>
      <c r="M1997" s="7">
        <v>1978</v>
      </c>
      <c r="N1997" s="5">
        <v>63300000</v>
      </c>
      <c r="O1997" s="5">
        <v>66300000</v>
      </c>
      <c r="P1997" s="3">
        <v>0.97916666666666663</v>
      </c>
    </row>
    <row r="1998" spans="1:16" x14ac:dyDescent="0.25">
      <c r="A1998" s="2">
        <v>45272</v>
      </c>
      <c r="B1998" s="2">
        <v>45272</v>
      </c>
      <c r="C1998" t="str">
        <f>TEXT(B1998,"mm")</f>
        <v>12</v>
      </c>
      <c r="D1998" t="s">
        <v>18</v>
      </c>
      <c r="E1998" t="s">
        <v>1636</v>
      </c>
      <c r="F1998" s="5">
        <v>62800000</v>
      </c>
      <c r="G1998" s="5">
        <v>65800000</v>
      </c>
      <c r="H1998" s="5">
        <f>M1998*26000*1.20565</f>
        <v>61997898.820000008</v>
      </c>
      <c r="I1998" s="5">
        <f>G1998-H1998</f>
        <v>3802101.1799999923</v>
      </c>
      <c r="J1998" s="5">
        <v>3000000</v>
      </c>
      <c r="K1998" s="5">
        <v>6280000</v>
      </c>
      <c r="L1998" s="5">
        <v>6580000</v>
      </c>
      <c r="M1998" s="7">
        <v>1977.8</v>
      </c>
      <c r="N1998" s="5">
        <v>63300000</v>
      </c>
      <c r="O1998" s="5">
        <v>66300000</v>
      </c>
      <c r="P1998" s="3">
        <v>0.97916666666666663</v>
      </c>
    </row>
    <row r="1999" spans="1:16" x14ac:dyDescent="0.25">
      <c r="A1999" t="s">
        <v>1228</v>
      </c>
      <c r="B1999" s="2">
        <v>45273</v>
      </c>
      <c r="C1999" t="str">
        <f>TEXT(B1999,"mm")</f>
        <v>12</v>
      </c>
      <c r="D1999" t="s">
        <v>19</v>
      </c>
      <c r="E1999" t="s">
        <v>1636</v>
      </c>
      <c r="F1999" s="5">
        <v>62900000</v>
      </c>
      <c r="G1999" s="5">
        <v>65900000</v>
      </c>
      <c r="H1999" s="5">
        <f>M1999*26000*1.20565</f>
        <v>62138959.870000005</v>
      </c>
      <c r="I1999" s="5">
        <f>G1999-H1999</f>
        <v>3761040.1299999952</v>
      </c>
      <c r="J1999" s="5">
        <v>3000000</v>
      </c>
      <c r="K1999" s="5">
        <v>6290000</v>
      </c>
      <c r="L1999" s="5">
        <v>6590000</v>
      </c>
      <c r="M1999" s="7">
        <v>1982.3</v>
      </c>
      <c r="N1999" s="5">
        <v>63400000</v>
      </c>
      <c r="O1999" s="5">
        <v>66400000</v>
      </c>
      <c r="P1999" s="3">
        <v>0.97916666666666663</v>
      </c>
    </row>
    <row r="2000" spans="1:16" x14ac:dyDescent="0.25">
      <c r="A2000" t="s">
        <v>1229</v>
      </c>
      <c r="B2000" s="2">
        <v>45274</v>
      </c>
      <c r="C2000" t="str">
        <f>TEXT(B2000,"mm")</f>
        <v>12</v>
      </c>
      <c r="D2000" t="s">
        <v>20</v>
      </c>
      <c r="E2000" t="s">
        <v>1636</v>
      </c>
      <c r="F2000" s="5">
        <v>64500000</v>
      </c>
      <c r="G2000" s="5">
        <v>67500000</v>
      </c>
      <c r="H2000" s="5">
        <f>M2000*26000*1.20565</f>
        <v>63640476.380000003</v>
      </c>
      <c r="I2000" s="5">
        <f>G2000-H2000</f>
        <v>3859523.6199999973</v>
      </c>
      <c r="J2000" s="5">
        <v>3000000</v>
      </c>
      <c r="K2000" s="5">
        <v>6450000</v>
      </c>
      <c r="L2000" s="5">
        <v>6750000</v>
      </c>
      <c r="M2000" s="7">
        <v>2030.2</v>
      </c>
      <c r="N2000" s="5">
        <v>65000000</v>
      </c>
      <c r="O2000" s="5">
        <v>68000000</v>
      </c>
      <c r="P2000" s="3">
        <v>0.97916666666666663</v>
      </c>
    </row>
    <row r="2001" spans="1:16" x14ac:dyDescent="0.25">
      <c r="A2001" t="s">
        <v>1230</v>
      </c>
      <c r="B2001" s="2">
        <v>45275</v>
      </c>
      <c r="C2001" t="str">
        <f>TEXT(B2001,"mm")</f>
        <v>12</v>
      </c>
      <c r="D2001" t="s">
        <v>21</v>
      </c>
      <c r="E2001" t="s">
        <v>1636</v>
      </c>
      <c r="F2001" s="5">
        <v>64200000</v>
      </c>
      <c r="G2001" s="5">
        <v>67200000</v>
      </c>
      <c r="H2001" s="5">
        <f>M2001*26000*1.20565</f>
        <v>63355219.590000004</v>
      </c>
      <c r="I2001" s="5">
        <f>G2001-H2001</f>
        <v>3844780.4099999964</v>
      </c>
      <c r="J2001" s="5">
        <v>3000000</v>
      </c>
      <c r="K2001" s="5">
        <v>6420000</v>
      </c>
      <c r="L2001" s="5">
        <v>6720000</v>
      </c>
      <c r="M2001" s="7">
        <v>2021.1</v>
      </c>
      <c r="N2001" s="5">
        <v>64700000</v>
      </c>
      <c r="O2001" s="5">
        <v>67700000</v>
      </c>
      <c r="P2001" s="3">
        <v>0.97916666666666663</v>
      </c>
    </row>
    <row r="2002" spans="1:16" x14ac:dyDescent="0.25">
      <c r="A2002" t="s">
        <v>1231</v>
      </c>
      <c r="B2002" s="2">
        <v>45278</v>
      </c>
      <c r="C2002" t="str">
        <f>TEXT(B2002,"mm")</f>
        <v>12</v>
      </c>
      <c r="D2002" t="s">
        <v>16</v>
      </c>
      <c r="E2002" t="s">
        <v>1636</v>
      </c>
      <c r="F2002" s="5">
        <v>64400000</v>
      </c>
      <c r="G2002" s="5">
        <v>67400000</v>
      </c>
      <c r="H2002" s="5">
        <f>M2002*26000*1.20565</f>
        <v>63518223.470000006</v>
      </c>
      <c r="I2002" s="5">
        <f>G2002-H2002</f>
        <v>3881776.5299999937</v>
      </c>
      <c r="J2002" s="5">
        <v>3000000</v>
      </c>
      <c r="K2002" s="5">
        <v>6440000</v>
      </c>
      <c r="L2002" s="5">
        <v>6740000</v>
      </c>
      <c r="M2002" s="7">
        <v>2026.3</v>
      </c>
      <c r="N2002" s="5">
        <v>64900000</v>
      </c>
      <c r="O2002" s="5">
        <v>67900000</v>
      </c>
      <c r="P2002" s="3">
        <v>0.97916666666666663</v>
      </c>
    </row>
    <row r="2003" spans="1:16" x14ac:dyDescent="0.25">
      <c r="A2003" t="s">
        <v>1232</v>
      </c>
      <c r="B2003" s="2">
        <v>45279</v>
      </c>
      <c r="C2003" t="str">
        <f>TEXT(B2003,"mm")</f>
        <v>12</v>
      </c>
      <c r="D2003" t="s">
        <v>18</v>
      </c>
      <c r="E2003" t="s">
        <v>1636</v>
      </c>
      <c r="F2003" s="5">
        <v>64800000</v>
      </c>
      <c r="G2003" s="5">
        <v>67800000</v>
      </c>
      <c r="H2003" s="5">
        <f>M2003*26000*1.20565</f>
        <v>63897520.960000008</v>
      </c>
      <c r="I2003" s="5">
        <f>G2003-H2003</f>
        <v>3902479.0399999917</v>
      </c>
      <c r="J2003" s="5">
        <v>3000000</v>
      </c>
      <c r="K2003" s="5">
        <v>6480000</v>
      </c>
      <c r="L2003" s="5">
        <v>6780000</v>
      </c>
      <c r="M2003" s="7">
        <v>2038.4</v>
      </c>
      <c r="N2003" s="5">
        <v>65300000</v>
      </c>
      <c r="O2003" s="5">
        <v>68300000</v>
      </c>
      <c r="P2003" s="3">
        <v>0.97916666666666663</v>
      </c>
    </row>
    <row r="2004" spans="1:16" x14ac:dyDescent="0.25">
      <c r="A2004" t="s">
        <v>1233</v>
      </c>
      <c r="B2004" s="2">
        <v>45280</v>
      </c>
      <c r="C2004" t="str">
        <f>TEXT(B2004,"mm")</f>
        <v>12</v>
      </c>
      <c r="D2004" t="s">
        <v>19</v>
      </c>
      <c r="E2004" t="s">
        <v>1636</v>
      </c>
      <c r="F2004" s="5">
        <v>64700000</v>
      </c>
      <c r="G2004" s="5">
        <v>67700000</v>
      </c>
      <c r="H2004" s="5">
        <f>M2004*26000*1.20565</f>
        <v>63775268.050000004</v>
      </c>
      <c r="I2004" s="5">
        <f>G2004-H2004</f>
        <v>3924731.9499999955</v>
      </c>
      <c r="J2004" s="5">
        <v>3000000</v>
      </c>
      <c r="K2004" s="5">
        <v>6470000</v>
      </c>
      <c r="L2004" s="5">
        <v>6770000</v>
      </c>
      <c r="M2004" s="7">
        <v>2034.5</v>
      </c>
      <c r="N2004" s="5">
        <v>65200000</v>
      </c>
      <c r="O2004" s="5">
        <v>68200000</v>
      </c>
      <c r="P2004" s="3">
        <v>0.97916666666666663</v>
      </c>
    </row>
    <row r="2005" spans="1:16" x14ac:dyDescent="0.25">
      <c r="A2005" t="s">
        <v>1234</v>
      </c>
      <c r="B2005" s="2">
        <v>45281</v>
      </c>
      <c r="C2005" t="str">
        <f>TEXT(B2005,"mm")</f>
        <v>12</v>
      </c>
      <c r="D2005" t="s">
        <v>20</v>
      </c>
      <c r="E2005" t="s">
        <v>1636</v>
      </c>
      <c r="F2005" s="5">
        <v>64800000</v>
      </c>
      <c r="G2005" s="5">
        <v>67800000</v>
      </c>
      <c r="H2005" s="5">
        <f>M2005*26000*1.20565</f>
        <v>63919463.790000007</v>
      </c>
      <c r="I2005" s="5">
        <f>G2005-H2005</f>
        <v>3880536.2099999934</v>
      </c>
      <c r="J2005" s="5">
        <v>3000000</v>
      </c>
      <c r="K2005" s="5">
        <v>6480000</v>
      </c>
      <c r="L2005" s="5">
        <v>6780000</v>
      </c>
      <c r="M2005" s="7">
        <v>2039.1</v>
      </c>
      <c r="N2005" s="5">
        <v>65300000</v>
      </c>
      <c r="O2005" s="5">
        <v>68300000</v>
      </c>
      <c r="P2005" s="3">
        <v>0.97916666666666663</v>
      </c>
    </row>
    <row r="2006" spans="1:16" x14ac:dyDescent="0.25">
      <c r="A2006" t="s">
        <v>1235</v>
      </c>
      <c r="B2006" s="2">
        <v>45282</v>
      </c>
      <c r="C2006" t="str">
        <f>TEXT(B2006,"mm")</f>
        <v>12</v>
      </c>
      <c r="D2006" t="s">
        <v>21</v>
      </c>
      <c r="E2006" t="s">
        <v>1636</v>
      </c>
      <c r="F2006" s="5">
        <v>65400000</v>
      </c>
      <c r="G2006" s="5">
        <v>68400000</v>
      </c>
      <c r="H2006" s="5">
        <f>M2006*26000*1.20565</f>
        <v>64483707.99000001</v>
      </c>
      <c r="I2006" s="5">
        <f>G2006-H2006</f>
        <v>3916292.0099999905</v>
      </c>
      <c r="J2006" s="5">
        <v>3000000</v>
      </c>
      <c r="K2006" s="5">
        <v>6540000</v>
      </c>
      <c r="L2006" s="5">
        <v>6840000</v>
      </c>
      <c r="M2006" s="7">
        <v>2057.1</v>
      </c>
      <c r="N2006" s="5">
        <v>65900000</v>
      </c>
      <c r="O2006" s="5">
        <v>68900000</v>
      </c>
      <c r="P2006" s="3">
        <v>0.97916666666666663</v>
      </c>
    </row>
    <row r="2007" spans="1:16" x14ac:dyDescent="0.25">
      <c r="A2007" t="s">
        <v>1236</v>
      </c>
      <c r="B2007" s="2">
        <v>45286</v>
      </c>
      <c r="C2007" t="str">
        <f>TEXT(B2007,"mm")</f>
        <v>12</v>
      </c>
      <c r="D2007" t="s">
        <v>18</v>
      </c>
      <c r="E2007" t="s">
        <v>1636</v>
      </c>
      <c r="F2007" s="5">
        <v>65500000</v>
      </c>
      <c r="G2007" s="5">
        <v>68500000</v>
      </c>
      <c r="H2007" s="5">
        <f>M2007*26000*1.20565</f>
        <v>64518189.579999998</v>
      </c>
      <c r="I2007" s="5">
        <f>G2007-H2007</f>
        <v>3981810.4200000018</v>
      </c>
      <c r="J2007" s="5">
        <v>3000000</v>
      </c>
      <c r="K2007" s="5">
        <v>6550000</v>
      </c>
      <c r="L2007" s="5">
        <v>6850000</v>
      </c>
      <c r="M2007" s="7">
        <v>2058.1999999999998</v>
      </c>
      <c r="N2007" s="5">
        <v>66000000</v>
      </c>
      <c r="O2007" s="5">
        <v>69000000</v>
      </c>
      <c r="P2007" s="3">
        <v>0.97916666666666663</v>
      </c>
    </row>
    <row r="2008" spans="1:16" x14ac:dyDescent="0.25">
      <c r="A2008" t="s">
        <v>1237</v>
      </c>
      <c r="B2008" s="2">
        <v>45287</v>
      </c>
      <c r="C2008" t="str">
        <f>TEXT(B2008,"mm")</f>
        <v>12</v>
      </c>
      <c r="D2008" t="s">
        <v>19</v>
      </c>
      <c r="E2008" t="s">
        <v>1636</v>
      </c>
      <c r="F2008" s="5">
        <v>66200000</v>
      </c>
      <c r="G2008" s="5">
        <v>69200000</v>
      </c>
      <c r="H2008" s="5">
        <f>M2008*26000*1.20565</f>
        <v>65261111.110000007</v>
      </c>
      <c r="I2008" s="5">
        <f>G2008-H2008</f>
        <v>3938888.8899999931</v>
      </c>
      <c r="J2008" s="5">
        <v>3000000</v>
      </c>
      <c r="K2008" s="5">
        <v>6620000</v>
      </c>
      <c r="L2008" s="5">
        <v>6920000</v>
      </c>
      <c r="M2008" s="7">
        <v>2081.9</v>
      </c>
      <c r="N2008" s="5">
        <v>66700000</v>
      </c>
      <c r="O2008" s="5">
        <v>69700000</v>
      </c>
      <c r="P2008" s="3">
        <v>0.97916666666666663</v>
      </c>
    </row>
    <row r="2009" spans="1:16" x14ac:dyDescent="0.25">
      <c r="A2009" t="s">
        <v>1238</v>
      </c>
      <c r="B2009" s="2">
        <v>45288</v>
      </c>
      <c r="C2009" t="str">
        <f>TEXT(B2009,"mm")</f>
        <v>12</v>
      </c>
      <c r="D2009" t="s">
        <v>20</v>
      </c>
      <c r="E2009" t="s">
        <v>1636</v>
      </c>
      <c r="F2009" s="5">
        <v>66000000</v>
      </c>
      <c r="G2009" s="5">
        <v>69000000</v>
      </c>
      <c r="H2009" s="5">
        <f>M2009*26000*1.20565</f>
        <v>65010335.910000004</v>
      </c>
      <c r="I2009" s="5">
        <f>G2009-H2009</f>
        <v>3989664.0899999961</v>
      </c>
      <c r="J2009" s="5">
        <v>3000000</v>
      </c>
      <c r="K2009" s="5">
        <v>6600000</v>
      </c>
      <c r="L2009" s="5">
        <v>6900000</v>
      </c>
      <c r="M2009" s="7">
        <v>2073.9</v>
      </c>
      <c r="N2009" s="5">
        <v>66500000</v>
      </c>
      <c r="O2009" s="5">
        <v>69500000</v>
      </c>
      <c r="P2009" s="3">
        <v>0.97916666666666663</v>
      </c>
    </row>
    <row r="2010" spans="1:16" x14ac:dyDescent="0.25">
      <c r="A2010" t="s">
        <v>1239</v>
      </c>
      <c r="B2010" s="2">
        <v>45289</v>
      </c>
      <c r="C2010" t="str">
        <f>TEXT(B2010,"mm")</f>
        <v>12</v>
      </c>
      <c r="D2010" t="s">
        <v>21</v>
      </c>
      <c r="E2010" t="s">
        <v>1636</v>
      </c>
      <c r="F2010" s="5">
        <v>65600000</v>
      </c>
      <c r="G2010" s="5">
        <v>68600000</v>
      </c>
      <c r="H2010" s="5">
        <f>M2010*26000*1.20565</f>
        <v>64649846.560000002</v>
      </c>
      <c r="I2010" s="5">
        <f>G2010-H2010</f>
        <v>3950153.4399999976</v>
      </c>
      <c r="J2010" s="5">
        <v>3000000</v>
      </c>
      <c r="K2010" s="5">
        <v>6560000</v>
      </c>
      <c r="L2010" s="5">
        <v>6860000</v>
      </c>
      <c r="M2010" s="7">
        <v>2062.4</v>
      </c>
      <c r="N2010" s="5">
        <v>66100000</v>
      </c>
      <c r="O2010" s="5">
        <v>69100000</v>
      </c>
      <c r="P2010" s="3">
        <v>0.97916666666666663</v>
      </c>
    </row>
    <row r="2011" spans="1:16" x14ac:dyDescent="0.25">
      <c r="A2011" s="2">
        <v>45323</v>
      </c>
      <c r="B2011" s="2">
        <v>45293</v>
      </c>
      <c r="C2011" t="str">
        <f>TEXT(B2011,"mm")</f>
        <v>01</v>
      </c>
      <c r="D2011" t="s">
        <v>18</v>
      </c>
      <c r="E2011" t="s">
        <v>1636</v>
      </c>
      <c r="F2011" s="5">
        <v>68000000</v>
      </c>
      <c r="G2011" s="5">
        <v>71000000</v>
      </c>
      <c r="H2011" s="5">
        <f>M2011*26000*1.20565</f>
        <v>64712540.360000007</v>
      </c>
      <c r="I2011" s="5">
        <f>G2011-H2011</f>
        <v>6287459.6399999931</v>
      </c>
      <c r="J2011" s="5">
        <v>3000000</v>
      </c>
      <c r="K2011" s="5">
        <v>6800000</v>
      </c>
      <c r="L2011" s="5">
        <v>7100000</v>
      </c>
      <c r="M2011" s="7">
        <v>2064.4</v>
      </c>
      <c r="N2011" s="5">
        <v>68500000</v>
      </c>
      <c r="O2011" s="5">
        <v>71500000</v>
      </c>
      <c r="P2011" s="3">
        <v>0.97916666666666663</v>
      </c>
    </row>
    <row r="2012" spans="1:16" x14ac:dyDescent="0.25">
      <c r="A2012" s="2">
        <v>45352</v>
      </c>
      <c r="B2012" s="2">
        <v>45294</v>
      </c>
      <c r="C2012" t="str">
        <f>TEXT(B2012,"mm")</f>
        <v>01</v>
      </c>
      <c r="D2012" t="s">
        <v>19</v>
      </c>
      <c r="E2012" t="s">
        <v>1636</v>
      </c>
      <c r="F2012" s="5">
        <v>67000000</v>
      </c>
      <c r="G2012" s="5">
        <v>70000000</v>
      </c>
      <c r="H2012" s="5">
        <f>M2012*26000*1.20565</f>
        <v>63765863.980000004</v>
      </c>
      <c r="I2012" s="5">
        <f>G2012-H2012</f>
        <v>6234136.0199999958</v>
      </c>
      <c r="J2012" s="5">
        <v>3000000</v>
      </c>
      <c r="K2012" s="5">
        <v>6700000</v>
      </c>
      <c r="L2012" s="5">
        <v>7000000</v>
      </c>
      <c r="M2012" s="7">
        <v>2034.2</v>
      </c>
      <c r="N2012" s="5">
        <v>67500000</v>
      </c>
      <c r="O2012" s="5">
        <v>70500000</v>
      </c>
      <c r="P2012" s="3">
        <v>0.97916666666666663</v>
      </c>
    </row>
    <row r="2013" spans="1:16" x14ac:dyDescent="0.25">
      <c r="A2013" s="2">
        <v>45383</v>
      </c>
      <c r="B2013" s="2">
        <v>45295</v>
      </c>
      <c r="C2013" t="str">
        <f>TEXT(B2013,"mm")</f>
        <v>01</v>
      </c>
      <c r="D2013" t="s">
        <v>20</v>
      </c>
      <c r="E2013" t="s">
        <v>1636</v>
      </c>
      <c r="F2013" s="5">
        <v>67300000</v>
      </c>
      <c r="G2013" s="5">
        <v>70300000</v>
      </c>
      <c r="H2013" s="5">
        <f>M2013*26000*1.20565</f>
        <v>64019773.870000005</v>
      </c>
      <c r="I2013" s="5">
        <f>G2013-H2013</f>
        <v>6280226.1299999952</v>
      </c>
      <c r="J2013" s="5">
        <v>3000000</v>
      </c>
      <c r="K2013" s="5">
        <v>6730000</v>
      </c>
      <c r="L2013" s="5">
        <v>7030000</v>
      </c>
      <c r="M2013" s="7">
        <v>2042.3</v>
      </c>
      <c r="N2013" s="5">
        <v>67800000</v>
      </c>
      <c r="O2013" s="5">
        <v>70800000</v>
      </c>
      <c r="P2013" s="3">
        <v>0.97916666666666663</v>
      </c>
    </row>
    <row r="2014" spans="1:16" x14ac:dyDescent="0.25">
      <c r="A2014" s="2">
        <v>45413</v>
      </c>
      <c r="B2014" s="2">
        <v>45296</v>
      </c>
      <c r="C2014" t="str">
        <f>TEXT(B2014,"mm")</f>
        <v>01</v>
      </c>
      <c r="D2014" t="s">
        <v>21</v>
      </c>
      <c r="E2014" t="s">
        <v>1636</v>
      </c>
      <c r="F2014" s="5">
        <v>67300000</v>
      </c>
      <c r="G2014" s="5">
        <v>70300000</v>
      </c>
      <c r="H2014" s="5">
        <f>M2014*26000*1.20565</f>
        <v>64022908.560000002</v>
      </c>
      <c r="I2014" s="5">
        <f>G2014-H2014</f>
        <v>6277091.4399999976</v>
      </c>
      <c r="J2014" s="5">
        <v>3000000</v>
      </c>
      <c r="K2014" s="5">
        <v>6730000</v>
      </c>
      <c r="L2014" s="5">
        <v>7030000</v>
      </c>
      <c r="M2014" s="7">
        <v>2042.4</v>
      </c>
      <c r="N2014" s="5">
        <v>67800000</v>
      </c>
      <c r="O2014" s="5">
        <v>70800000</v>
      </c>
      <c r="P2014" s="3">
        <v>0.97916666666666663</v>
      </c>
    </row>
    <row r="2015" spans="1:16" x14ac:dyDescent="0.25">
      <c r="A2015" s="2">
        <v>45505</v>
      </c>
      <c r="B2015" s="2">
        <v>45299</v>
      </c>
      <c r="C2015" t="str">
        <f>TEXT(B2015,"mm")</f>
        <v>01</v>
      </c>
      <c r="D2015" t="s">
        <v>16</v>
      </c>
      <c r="E2015" t="s">
        <v>1636</v>
      </c>
      <c r="F2015" s="5">
        <v>66700000</v>
      </c>
      <c r="G2015" s="5">
        <v>69700000</v>
      </c>
      <c r="H2015" s="5">
        <f>M2015*26000*1.20565</f>
        <v>63527627.540000007</v>
      </c>
      <c r="I2015" s="5">
        <f>G2015-H2015</f>
        <v>6172372.4599999934</v>
      </c>
      <c r="J2015" s="5">
        <v>3000000</v>
      </c>
      <c r="K2015" s="5">
        <v>6670000</v>
      </c>
      <c r="L2015" s="5">
        <v>6970000</v>
      </c>
      <c r="M2015" s="7">
        <v>2026.6</v>
      </c>
      <c r="N2015" s="5">
        <v>67200000</v>
      </c>
      <c r="O2015" s="5">
        <v>70200000</v>
      </c>
      <c r="P2015" s="3">
        <v>0.97916666666666663</v>
      </c>
    </row>
    <row r="2016" spans="1:16" x14ac:dyDescent="0.25">
      <c r="A2016" s="2">
        <v>45536</v>
      </c>
      <c r="B2016" s="2">
        <v>45300</v>
      </c>
      <c r="C2016" t="str">
        <f>TEXT(B2016,"mm")</f>
        <v>01</v>
      </c>
      <c r="D2016" t="s">
        <v>18</v>
      </c>
      <c r="E2016" t="s">
        <v>1636</v>
      </c>
      <c r="F2016" s="5">
        <v>66700000</v>
      </c>
      <c r="G2016" s="5">
        <v>69700000</v>
      </c>
      <c r="H2016" s="5">
        <f>M2016*26000*1.20565</f>
        <v>63521358.160000004</v>
      </c>
      <c r="I2016" s="5">
        <f>G2016-H2016</f>
        <v>6178641.8399999961</v>
      </c>
      <c r="J2016" s="5">
        <v>3000000</v>
      </c>
      <c r="K2016" s="5">
        <v>6670000</v>
      </c>
      <c r="L2016" s="5">
        <v>6970000</v>
      </c>
      <c r="M2016" s="7">
        <v>2026.4</v>
      </c>
      <c r="N2016" s="5">
        <v>67200000</v>
      </c>
      <c r="O2016" s="5">
        <v>70200000</v>
      </c>
      <c r="P2016" s="3">
        <v>0.97916666666666663</v>
      </c>
    </row>
    <row r="2017" spans="1:16" x14ac:dyDescent="0.25">
      <c r="A2017" s="2">
        <v>45566</v>
      </c>
      <c r="B2017" s="2">
        <v>45301</v>
      </c>
      <c r="C2017" t="str">
        <f>TEXT(B2017,"mm")</f>
        <v>01</v>
      </c>
      <c r="D2017" t="s">
        <v>19</v>
      </c>
      <c r="E2017" t="s">
        <v>1636</v>
      </c>
      <c r="F2017" s="5">
        <v>66600000</v>
      </c>
      <c r="G2017" s="5">
        <v>69600000</v>
      </c>
      <c r="H2017" s="5">
        <f>M2017*26000*1.20565</f>
        <v>63374027.730000004</v>
      </c>
      <c r="I2017" s="5">
        <f>G2017-H2017</f>
        <v>6225972.2699999958</v>
      </c>
      <c r="J2017" s="5">
        <v>3000000</v>
      </c>
      <c r="K2017" s="5">
        <v>6660000</v>
      </c>
      <c r="L2017" s="5">
        <v>6960000</v>
      </c>
      <c r="M2017" s="7">
        <v>2021.7</v>
      </c>
      <c r="N2017" s="5">
        <v>67100000</v>
      </c>
      <c r="O2017" s="5">
        <v>70100000</v>
      </c>
      <c r="P2017" s="3">
        <v>0.97916666666666663</v>
      </c>
    </row>
    <row r="2018" spans="1:16" x14ac:dyDescent="0.25">
      <c r="A2018" s="2">
        <v>45597</v>
      </c>
      <c r="B2018" s="2">
        <v>45302</v>
      </c>
      <c r="C2018" t="str">
        <f>TEXT(B2018,"mm")</f>
        <v>01</v>
      </c>
      <c r="D2018" t="s">
        <v>20</v>
      </c>
      <c r="E2018" t="s">
        <v>1636</v>
      </c>
      <c r="F2018" s="5">
        <v>66300000</v>
      </c>
      <c r="G2018" s="5">
        <v>69300000</v>
      </c>
      <c r="H2018" s="5">
        <f>M2018*26000*1.20565</f>
        <v>63142060.670000009</v>
      </c>
      <c r="I2018" s="5">
        <f>G2018-H2018</f>
        <v>6157939.3299999908</v>
      </c>
      <c r="J2018" s="5">
        <v>3000000</v>
      </c>
      <c r="K2018" s="5">
        <v>6630000</v>
      </c>
      <c r="L2018" s="5">
        <v>6930000</v>
      </c>
      <c r="M2018" s="7">
        <v>2014.3</v>
      </c>
      <c r="N2018" s="5">
        <v>66800000</v>
      </c>
      <c r="O2018" s="5">
        <v>69800000</v>
      </c>
      <c r="P2018" s="3">
        <v>0.97916666666666663</v>
      </c>
    </row>
    <row r="2019" spans="1:16" x14ac:dyDescent="0.25">
      <c r="A2019" s="2">
        <v>45627</v>
      </c>
      <c r="B2019" s="2">
        <v>45303</v>
      </c>
      <c r="C2019" t="str">
        <f>TEXT(B2019,"mm")</f>
        <v>01</v>
      </c>
      <c r="D2019" t="s">
        <v>21</v>
      </c>
      <c r="E2019" t="s">
        <v>1636</v>
      </c>
      <c r="F2019" s="5">
        <v>67400000</v>
      </c>
      <c r="G2019" s="5">
        <v>70400000</v>
      </c>
      <c r="H2019" s="5">
        <f>M2019*26000*1.20565</f>
        <v>64157700.230000004</v>
      </c>
      <c r="I2019" s="5">
        <f>G2019-H2019</f>
        <v>6242299.7699999958</v>
      </c>
      <c r="J2019" s="5">
        <v>3000000</v>
      </c>
      <c r="K2019" s="5">
        <v>6740000</v>
      </c>
      <c r="L2019" s="5">
        <v>7040000</v>
      </c>
      <c r="M2019" s="7">
        <v>2046.7</v>
      </c>
      <c r="N2019" s="5">
        <v>67900000</v>
      </c>
      <c r="O2019" s="5">
        <v>70900000</v>
      </c>
      <c r="P2019" s="3">
        <v>0.97916666666666663</v>
      </c>
    </row>
    <row r="2020" spans="1:16" x14ac:dyDescent="0.25">
      <c r="A2020" t="s">
        <v>1240</v>
      </c>
      <c r="B2020" s="2">
        <v>45307</v>
      </c>
      <c r="C2020" t="str">
        <f>TEXT(B2020,"mm")</f>
        <v>01</v>
      </c>
      <c r="D2020" t="s">
        <v>18</v>
      </c>
      <c r="E2020" t="s">
        <v>1636</v>
      </c>
      <c r="F2020" s="5">
        <v>66700000</v>
      </c>
      <c r="G2020" s="5">
        <v>69700000</v>
      </c>
      <c r="H2020" s="5">
        <f>M2020*26000*1.20565</f>
        <v>63508819.400000006</v>
      </c>
      <c r="I2020" s="5">
        <f>G2020-H2020</f>
        <v>6191180.599999994</v>
      </c>
      <c r="J2020" s="5">
        <v>3000000</v>
      </c>
      <c r="K2020" s="5">
        <v>6670000</v>
      </c>
      <c r="L2020" s="5">
        <v>6970000</v>
      </c>
      <c r="M2020" s="7">
        <v>2026</v>
      </c>
      <c r="N2020" s="5">
        <v>67200000</v>
      </c>
      <c r="O2020" s="5">
        <v>70200000</v>
      </c>
      <c r="P2020" s="3">
        <v>0.97916666666666663</v>
      </c>
    </row>
    <row r="2021" spans="1:16" x14ac:dyDescent="0.25">
      <c r="A2021" t="s">
        <v>1241</v>
      </c>
      <c r="B2021" s="2">
        <v>45308</v>
      </c>
      <c r="C2021" t="str">
        <f>TEXT(B2021,"mm")</f>
        <v>01</v>
      </c>
      <c r="D2021" t="s">
        <v>19</v>
      </c>
      <c r="E2021" t="s">
        <v>1636</v>
      </c>
      <c r="F2021" s="5">
        <v>65900000</v>
      </c>
      <c r="G2021" s="5">
        <v>68900000</v>
      </c>
      <c r="H2021" s="5">
        <f>M2021*26000*1.20565</f>
        <v>62775301.940000005</v>
      </c>
      <c r="I2021" s="5">
        <f>G2021-H2021</f>
        <v>6124698.0599999949</v>
      </c>
      <c r="J2021" s="5">
        <v>3000000</v>
      </c>
      <c r="K2021" s="5">
        <v>6590000</v>
      </c>
      <c r="L2021" s="5">
        <v>6890000</v>
      </c>
      <c r="M2021" s="7">
        <v>2002.6</v>
      </c>
      <c r="N2021" s="5">
        <v>66400000</v>
      </c>
      <c r="O2021" s="5">
        <v>69400000</v>
      </c>
      <c r="P2021" s="3">
        <v>0.97916666666666663</v>
      </c>
    </row>
    <row r="2022" spans="1:16" x14ac:dyDescent="0.25">
      <c r="A2022" t="s">
        <v>1242</v>
      </c>
      <c r="B2022" s="2">
        <v>45309</v>
      </c>
      <c r="C2022" t="str">
        <f>TEXT(B2022,"mm")</f>
        <v>01</v>
      </c>
      <c r="D2022" t="s">
        <v>20</v>
      </c>
      <c r="E2022" t="s">
        <v>1636</v>
      </c>
      <c r="F2022" s="5">
        <v>66400000</v>
      </c>
      <c r="G2022" s="5">
        <v>69400000</v>
      </c>
      <c r="H2022" s="5">
        <f>M2022*26000*1.20565</f>
        <v>63276852.340000004</v>
      </c>
      <c r="I2022" s="5">
        <f>G2022-H2022</f>
        <v>6123147.6599999964</v>
      </c>
      <c r="J2022" s="5">
        <v>3000000</v>
      </c>
      <c r="K2022" s="5">
        <v>6640000</v>
      </c>
      <c r="L2022" s="5">
        <v>6940000</v>
      </c>
      <c r="M2022" s="7">
        <v>2018.6</v>
      </c>
      <c r="N2022" s="5">
        <v>66900000</v>
      </c>
      <c r="O2022" s="5">
        <v>69900000</v>
      </c>
      <c r="P2022" s="3">
        <v>0.97916666666666663</v>
      </c>
    </row>
    <row r="2023" spans="1:16" x14ac:dyDescent="0.25">
      <c r="A2023" t="s">
        <v>1243</v>
      </c>
      <c r="B2023" s="2">
        <v>45310</v>
      </c>
      <c r="C2023" t="str">
        <f>TEXT(B2023,"mm")</f>
        <v>01</v>
      </c>
      <c r="D2023" t="s">
        <v>21</v>
      </c>
      <c r="E2023" t="s">
        <v>1636</v>
      </c>
      <c r="F2023" s="5">
        <v>66700000</v>
      </c>
      <c r="G2023" s="5">
        <v>69700000</v>
      </c>
      <c r="H2023" s="5">
        <f>M2023*26000*1.20565</f>
        <v>63524492.850000009</v>
      </c>
      <c r="I2023" s="5">
        <f>G2023-H2023</f>
        <v>6175507.1499999911</v>
      </c>
      <c r="J2023" s="5">
        <v>3000000</v>
      </c>
      <c r="K2023" s="5">
        <v>6670000</v>
      </c>
      <c r="L2023" s="5">
        <v>6970000</v>
      </c>
      <c r="M2023" s="7">
        <v>2026.5</v>
      </c>
      <c r="N2023" s="5">
        <v>67200000</v>
      </c>
      <c r="O2023" s="5">
        <v>70200000</v>
      </c>
      <c r="P2023" s="3">
        <v>0.97916666666666663</v>
      </c>
    </row>
    <row r="2024" spans="1:16" x14ac:dyDescent="0.25">
      <c r="A2024" t="s">
        <v>1244</v>
      </c>
      <c r="B2024" s="2">
        <v>45313</v>
      </c>
      <c r="C2024" t="str">
        <f>TEXT(B2024,"mm")</f>
        <v>01</v>
      </c>
      <c r="D2024" t="s">
        <v>16</v>
      </c>
      <c r="E2024" t="s">
        <v>1636</v>
      </c>
      <c r="F2024" s="5">
        <v>66500000</v>
      </c>
      <c r="G2024" s="5">
        <v>69500000</v>
      </c>
      <c r="H2024" s="5">
        <f>M2024*26000*1.20565</f>
        <v>63314468.620000005</v>
      </c>
      <c r="I2024" s="5">
        <f>G2024-H2024</f>
        <v>6185531.3799999952</v>
      </c>
      <c r="J2024" s="5">
        <v>3000000</v>
      </c>
      <c r="K2024" s="5">
        <v>6650000</v>
      </c>
      <c r="L2024" s="5">
        <v>6950000</v>
      </c>
      <c r="M2024" s="7">
        <v>2019.8</v>
      </c>
      <c r="N2024" s="5">
        <v>67000000</v>
      </c>
      <c r="O2024" s="5">
        <v>70000000</v>
      </c>
      <c r="P2024" s="3">
        <v>0.97916666666666663</v>
      </c>
    </row>
    <row r="2025" spans="1:16" x14ac:dyDescent="0.25">
      <c r="A2025" t="s">
        <v>1245</v>
      </c>
      <c r="B2025" s="2">
        <v>45314</v>
      </c>
      <c r="C2025" t="str">
        <f>TEXT(B2025,"mm")</f>
        <v>01</v>
      </c>
      <c r="D2025" t="s">
        <v>18</v>
      </c>
      <c r="E2025" t="s">
        <v>1636</v>
      </c>
      <c r="F2025" s="5">
        <v>66600000</v>
      </c>
      <c r="G2025" s="5">
        <v>69600000</v>
      </c>
      <c r="H2025" s="5">
        <f>M2025*26000*1.20565</f>
        <v>63436721.530000009</v>
      </c>
      <c r="I2025" s="5">
        <f>G2025-H2025</f>
        <v>6163278.4699999914</v>
      </c>
      <c r="J2025" s="5">
        <v>3000000</v>
      </c>
      <c r="K2025" s="5">
        <v>6660000</v>
      </c>
      <c r="L2025" s="5">
        <v>6960000</v>
      </c>
      <c r="M2025" s="7">
        <v>2023.7</v>
      </c>
      <c r="N2025" s="5">
        <v>67100000</v>
      </c>
      <c r="O2025" s="5">
        <v>70100000</v>
      </c>
      <c r="P2025" s="3">
        <v>0.97916666666666663</v>
      </c>
    </row>
    <row r="2026" spans="1:16" x14ac:dyDescent="0.25">
      <c r="A2026" t="s">
        <v>1246</v>
      </c>
      <c r="B2026" s="2">
        <v>45315</v>
      </c>
      <c r="C2026" t="str">
        <f>TEXT(B2026,"mm")</f>
        <v>01</v>
      </c>
      <c r="D2026" t="s">
        <v>19</v>
      </c>
      <c r="E2026" t="s">
        <v>1636</v>
      </c>
      <c r="F2026" s="5">
        <v>66300000</v>
      </c>
      <c r="G2026" s="5">
        <v>69300000</v>
      </c>
      <c r="H2026" s="5">
        <f>M2026*26000*1.20565</f>
        <v>63129521.910000004</v>
      </c>
      <c r="I2026" s="5">
        <f>G2026-H2026</f>
        <v>6170478.0899999961</v>
      </c>
      <c r="J2026" s="5">
        <v>3000000</v>
      </c>
      <c r="K2026" s="5">
        <v>6630000</v>
      </c>
      <c r="L2026" s="5">
        <v>6930000</v>
      </c>
      <c r="M2026" s="7">
        <v>2013.9</v>
      </c>
      <c r="N2026" s="5">
        <v>66800000</v>
      </c>
      <c r="O2026" s="5">
        <v>69800000</v>
      </c>
      <c r="P2026" s="3">
        <v>0.97916666666666663</v>
      </c>
    </row>
    <row r="2027" spans="1:16" x14ac:dyDescent="0.25">
      <c r="A2027" t="s">
        <v>1247</v>
      </c>
      <c r="B2027" s="2">
        <v>45316</v>
      </c>
      <c r="C2027" t="str">
        <f>TEXT(B2027,"mm")</f>
        <v>01</v>
      </c>
      <c r="D2027" t="s">
        <v>20</v>
      </c>
      <c r="E2027" t="s">
        <v>1636</v>
      </c>
      <c r="F2027" s="5">
        <v>66400000</v>
      </c>
      <c r="G2027" s="5">
        <v>69400000</v>
      </c>
      <c r="H2027" s="5">
        <f>M2027*26000*1.20565</f>
        <v>63223562.610000007</v>
      </c>
      <c r="I2027" s="5">
        <f>G2027-H2027</f>
        <v>6176437.3899999931</v>
      </c>
      <c r="J2027" s="5">
        <v>3000000</v>
      </c>
      <c r="K2027" s="5">
        <v>6640000</v>
      </c>
      <c r="L2027" s="5">
        <v>6940000</v>
      </c>
      <c r="M2027" s="7">
        <v>2016.9</v>
      </c>
      <c r="N2027" s="5">
        <v>66900000</v>
      </c>
      <c r="O2027" s="5">
        <v>69900000</v>
      </c>
      <c r="P2027" s="3">
        <v>0.97916666666666663</v>
      </c>
    </row>
    <row r="2028" spans="1:16" x14ac:dyDescent="0.25">
      <c r="A2028" t="s">
        <v>1248</v>
      </c>
      <c r="B2028" s="2">
        <v>45317</v>
      </c>
      <c r="C2028" t="str">
        <f>TEXT(B2028,"mm")</f>
        <v>01</v>
      </c>
      <c r="D2028" t="s">
        <v>21</v>
      </c>
      <c r="E2028" t="s">
        <v>1636</v>
      </c>
      <c r="F2028" s="5">
        <v>66400000</v>
      </c>
      <c r="G2028" s="5">
        <v>69400000</v>
      </c>
      <c r="H2028" s="5">
        <f>M2028*26000*1.20565</f>
        <v>63220427.920000009</v>
      </c>
      <c r="I2028" s="5">
        <f>G2028-H2028</f>
        <v>6179572.0799999908</v>
      </c>
      <c r="J2028" s="5">
        <v>3000000</v>
      </c>
      <c r="K2028" s="5">
        <v>6640000</v>
      </c>
      <c r="L2028" s="5">
        <v>6940000</v>
      </c>
      <c r="M2028" s="7">
        <v>2016.8</v>
      </c>
      <c r="N2028" s="5">
        <v>66900000</v>
      </c>
      <c r="O2028" s="5">
        <v>69900000</v>
      </c>
      <c r="P2028" s="3">
        <v>0.97916666666666663</v>
      </c>
    </row>
    <row r="2029" spans="1:16" x14ac:dyDescent="0.25">
      <c r="A2029" t="s">
        <v>1249</v>
      </c>
      <c r="B2029" s="2">
        <v>45320</v>
      </c>
      <c r="C2029" t="str">
        <f>TEXT(B2029,"mm")</f>
        <v>01</v>
      </c>
      <c r="D2029" t="s">
        <v>16</v>
      </c>
      <c r="E2029" t="s">
        <v>1636</v>
      </c>
      <c r="F2029" s="5">
        <v>66700000</v>
      </c>
      <c r="G2029" s="5">
        <v>69700000</v>
      </c>
      <c r="H2029" s="5">
        <f>M2029*26000*1.20565</f>
        <v>63483741.880000003</v>
      </c>
      <c r="I2029" s="5">
        <f>G2029-H2029</f>
        <v>6216258.1199999973</v>
      </c>
      <c r="J2029" s="5">
        <v>3000000</v>
      </c>
      <c r="K2029" s="5">
        <v>6670000</v>
      </c>
      <c r="L2029" s="5">
        <v>6970000</v>
      </c>
      <c r="M2029" s="7">
        <v>2025.2</v>
      </c>
      <c r="N2029" s="5">
        <v>67200000</v>
      </c>
      <c r="O2029" s="5">
        <v>70200000</v>
      </c>
      <c r="P2029" s="3">
        <v>0.97916666666666663</v>
      </c>
    </row>
    <row r="2030" spans="1:16" x14ac:dyDescent="0.25">
      <c r="A2030" t="s">
        <v>1250</v>
      </c>
      <c r="B2030" s="2">
        <v>45321</v>
      </c>
      <c r="C2030" t="str">
        <f>TEXT(B2030,"mm")</f>
        <v>01</v>
      </c>
      <c r="D2030" t="s">
        <v>18</v>
      </c>
      <c r="E2030" t="s">
        <v>1636</v>
      </c>
      <c r="F2030" s="5">
        <v>66900000</v>
      </c>
      <c r="G2030" s="5">
        <v>69900000</v>
      </c>
      <c r="H2030" s="5">
        <f>M2030*26000*1.20565</f>
        <v>63681227.350000009</v>
      </c>
      <c r="I2030" s="5">
        <f>G2030-H2030</f>
        <v>6218772.6499999911</v>
      </c>
      <c r="J2030" s="5">
        <v>3000000</v>
      </c>
      <c r="K2030" s="5">
        <v>6690000</v>
      </c>
      <c r="L2030" s="5">
        <v>6990000</v>
      </c>
      <c r="M2030" s="7">
        <v>2031.5</v>
      </c>
      <c r="N2030" s="5">
        <v>67400000</v>
      </c>
      <c r="O2030" s="5">
        <v>70400000</v>
      </c>
      <c r="P2030" s="3">
        <v>0.97916666666666663</v>
      </c>
    </row>
    <row r="2031" spans="1:16" x14ac:dyDescent="0.25">
      <c r="A2031" t="s">
        <v>1251</v>
      </c>
      <c r="B2031" s="2">
        <v>45322</v>
      </c>
      <c r="C2031" t="str">
        <f>TEXT(B2031,"mm")</f>
        <v>01</v>
      </c>
      <c r="D2031" t="s">
        <v>19</v>
      </c>
      <c r="E2031" t="s">
        <v>1636</v>
      </c>
      <c r="F2031" s="5">
        <v>67500000</v>
      </c>
      <c r="G2031" s="5">
        <v>70500000</v>
      </c>
      <c r="H2031" s="5">
        <f>M2031*26000*1.20565</f>
        <v>64210989.960000008</v>
      </c>
      <c r="I2031" s="5">
        <f>G2031-H2031</f>
        <v>6289010.0399999917</v>
      </c>
      <c r="J2031" s="5">
        <v>3000000</v>
      </c>
      <c r="K2031" s="5">
        <v>6750000</v>
      </c>
      <c r="L2031" s="5">
        <v>7050000</v>
      </c>
      <c r="M2031" s="7">
        <v>2048.4</v>
      </c>
      <c r="N2031" s="5">
        <v>68000000</v>
      </c>
      <c r="O2031" s="5">
        <v>71000000</v>
      </c>
      <c r="P2031" s="3">
        <v>0.97916666666666663</v>
      </c>
    </row>
    <row r="2032" spans="1:16" x14ac:dyDescent="0.25">
      <c r="A2032" s="2">
        <v>45293</v>
      </c>
      <c r="B2032" s="2">
        <v>45323</v>
      </c>
      <c r="C2032" t="str">
        <f>TEXT(B2032,"mm")</f>
        <v>02</v>
      </c>
      <c r="D2032" t="s">
        <v>20</v>
      </c>
      <c r="E2032" t="s">
        <v>1636</v>
      </c>
      <c r="F2032" s="5">
        <v>67600000</v>
      </c>
      <c r="G2032" s="5">
        <v>70600000</v>
      </c>
      <c r="H2032" s="5">
        <f>M2032*26000*1.20565</f>
        <v>64355185.700000003</v>
      </c>
      <c r="I2032" s="5">
        <f>G2032-H2032</f>
        <v>6244814.299999997</v>
      </c>
      <c r="J2032" s="5">
        <v>3000000</v>
      </c>
      <c r="K2032" s="5">
        <v>6760000</v>
      </c>
      <c r="L2032" s="5">
        <v>7060000</v>
      </c>
      <c r="M2032" s="7">
        <v>2053</v>
      </c>
      <c r="N2032" s="5">
        <v>68100000</v>
      </c>
      <c r="O2032" s="5">
        <v>71100000</v>
      </c>
      <c r="P2032" s="3">
        <v>0.97916666666666663</v>
      </c>
    </row>
    <row r="2033" spans="1:16" x14ac:dyDescent="0.25">
      <c r="A2033" s="2">
        <v>45324</v>
      </c>
      <c r="B2033" s="2">
        <v>45324</v>
      </c>
      <c r="C2033" t="str">
        <f>TEXT(B2033,"mm")</f>
        <v>02</v>
      </c>
      <c r="D2033" t="s">
        <v>21</v>
      </c>
      <c r="E2033" t="s">
        <v>1636</v>
      </c>
      <c r="F2033" s="5">
        <v>67100000</v>
      </c>
      <c r="G2033" s="5">
        <v>70100000</v>
      </c>
      <c r="H2033" s="5">
        <f>M2033*26000*1.20565</f>
        <v>63825423.090000004</v>
      </c>
      <c r="I2033" s="5">
        <f>G2033-H2033</f>
        <v>6274576.9099999964</v>
      </c>
      <c r="J2033" s="5">
        <v>3000000</v>
      </c>
      <c r="K2033" s="5">
        <v>6710000</v>
      </c>
      <c r="L2033" s="5">
        <v>7010000</v>
      </c>
      <c r="M2033" s="7">
        <v>2036.1</v>
      </c>
      <c r="N2033" s="5">
        <v>67600000</v>
      </c>
      <c r="O2033" s="5">
        <v>70600000</v>
      </c>
      <c r="P2033" s="3">
        <v>0.97916666666666663</v>
      </c>
    </row>
    <row r="2034" spans="1:16" x14ac:dyDescent="0.25">
      <c r="A2034" s="2">
        <v>45414</v>
      </c>
      <c r="B2034" s="2">
        <v>45327</v>
      </c>
      <c r="C2034" t="str">
        <f>TEXT(B2034,"mm")</f>
        <v>02</v>
      </c>
      <c r="D2034" t="s">
        <v>16</v>
      </c>
      <c r="E2034" t="s">
        <v>1636</v>
      </c>
      <c r="F2034" s="5">
        <v>66700000</v>
      </c>
      <c r="G2034" s="5">
        <v>69700000</v>
      </c>
      <c r="H2034" s="5">
        <f>M2034*26000*1.20565</f>
        <v>63499415.330000006</v>
      </c>
      <c r="I2034" s="5">
        <f>G2034-H2034</f>
        <v>6200584.6699999943</v>
      </c>
      <c r="J2034" s="5">
        <v>3000000</v>
      </c>
      <c r="K2034" s="5">
        <v>6670000</v>
      </c>
      <c r="L2034" s="5">
        <v>6970000</v>
      </c>
      <c r="M2034" s="7">
        <v>2025.7</v>
      </c>
      <c r="N2034" s="5">
        <v>67200000</v>
      </c>
      <c r="O2034" s="5">
        <v>70200000</v>
      </c>
      <c r="P2034" s="3">
        <v>0.97916666666666663</v>
      </c>
    </row>
    <row r="2035" spans="1:16" x14ac:dyDescent="0.25">
      <c r="A2035" s="2">
        <v>45445</v>
      </c>
      <c r="B2035" s="2">
        <v>45328</v>
      </c>
      <c r="C2035" t="str">
        <f>TEXT(B2035,"mm")</f>
        <v>02</v>
      </c>
      <c r="D2035" t="s">
        <v>18</v>
      </c>
      <c r="E2035" t="s">
        <v>1636</v>
      </c>
      <c r="F2035" s="5">
        <v>67000000</v>
      </c>
      <c r="G2035" s="5">
        <v>70000000</v>
      </c>
      <c r="H2035" s="5">
        <f>M2035*26000*1.20565</f>
        <v>63775268.050000004</v>
      </c>
      <c r="I2035" s="5">
        <f>G2035-H2035</f>
        <v>6224731.9499999955</v>
      </c>
      <c r="J2035" s="5">
        <v>3000000</v>
      </c>
      <c r="K2035" s="5">
        <v>6700000</v>
      </c>
      <c r="L2035" s="5">
        <v>7000000</v>
      </c>
      <c r="M2035" s="7">
        <v>2034.5</v>
      </c>
      <c r="N2035" s="5">
        <v>67500000</v>
      </c>
      <c r="O2035" s="5">
        <v>70500000</v>
      </c>
      <c r="P2035" s="3">
        <v>0.97916666666666663</v>
      </c>
    </row>
    <row r="2036" spans="1:16" x14ac:dyDescent="0.25">
      <c r="A2036" s="2">
        <v>45475</v>
      </c>
      <c r="B2036" s="2">
        <v>45329</v>
      </c>
      <c r="C2036" t="str">
        <f>TEXT(B2036,"mm")</f>
        <v>02</v>
      </c>
      <c r="D2036" t="s">
        <v>19</v>
      </c>
      <c r="E2036" t="s">
        <v>1636</v>
      </c>
      <c r="F2036" s="5">
        <v>67000000</v>
      </c>
      <c r="G2036" s="5">
        <v>70000000</v>
      </c>
      <c r="H2036" s="5">
        <f>M2036*26000*1.20565</f>
        <v>63797210.880000003</v>
      </c>
      <c r="I2036" s="5">
        <f>G2036-H2036</f>
        <v>6202789.1199999973</v>
      </c>
      <c r="J2036" s="5">
        <v>3000000</v>
      </c>
      <c r="K2036" s="5">
        <v>6700000</v>
      </c>
      <c r="L2036" s="5">
        <v>7000000</v>
      </c>
      <c r="M2036" s="7">
        <v>2035.2</v>
      </c>
      <c r="N2036" s="5">
        <v>67500000</v>
      </c>
      <c r="O2036" s="5">
        <v>70500000</v>
      </c>
      <c r="P2036" s="3">
        <v>0.97916666666666663</v>
      </c>
    </row>
    <row r="2037" spans="1:16" x14ac:dyDescent="0.25">
      <c r="A2037" s="2">
        <v>45506</v>
      </c>
      <c r="B2037" s="2">
        <v>45330</v>
      </c>
      <c r="C2037" t="str">
        <f>TEXT(B2037,"mm")</f>
        <v>02</v>
      </c>
      <c r="D2037" t="s">
        <v>20</v>
      </c>
      <c r="E2037" t="s">
        <v>1636</v>
      </c>
      <c r="F2037" s="5">
        <v>66900000</v>
      </c>
      <c r="G2037" s="5">
        <v>69900000</v>
      </c>
      <c r="H2037" s="5">
        <f>M2037*26000*1.20565</f>
        <v>63703170.180000007</v>
      </c>
      <c r="I2037" s="5">
        <f>G2037-H2037</f>
        <v>6196829.8199999928</v>
      </c>
      <c r="J2037" s="5">
        <v>3000000</v>
      </c>
      <c r="K2037" s="5">
        <v>6690000</v>
      </c>
      <c r="L2037" s="5">
        <v>6990000</v>
      </c>
      <c r="M2037" s="7">
        <v>2032.2</v>
      </c>
      <c r="N2037" s="5">
        <v>67400000</v>
      </c>
      <c r="O2037" s="5">
        <v>70400000</v>
      </c>
      <c r="P2037" s="3">
        <v>0.97916666666666663</v>
      </c>
    </row>
    <row r="2038" spans="1:16" x14ac:dyDescent="0.25">
      <c r="A2038" s="2">
        <v>45537</v>
      </c>
      <c r="B2038" s="2">
        <v>45331</v>
      </c>
      <c r="C2038" t="str">
        <f>TEXT(B2038,"mm")</f>
        <v>02</v>
      </c>
      <c r="D2038" t="s">
        <v>21</v>
      </c>
      <c r="E2038" t="s">
        <v>1636</v>
      </c>
      <c r="F2038" s="5">
        <v>66600000</v>
      </c>
      <c r="G2038" s="5">
        <v>69600000</v>
      </c>
      <c r="H2038" s="5">
        <f>M2038*26000*1.20565</f>
        <v>63424182.770000003</v>
      </c>
      <c r="I2038" s="5">
        <f>G2038-H2038</f>
        <v>6175817.2299999967</v>
      </c>
      <c r="J2038" s="5">
        <v>3000000</v>
      </c>
      <c r="K2038" s="5">
        <v>6660000</v>
      </c>
      <c r="L2038" s="5">
        <v>6960000</v>
      </c>
      <c r="M2038" s="7">
        <v>2023.3</v>
      </c>
      <c r="N2038" s="5">
        <v>67100000</v>
      </c>
      <c r="O2038" s="5">
        <v>70100000</v>
      </c>
      <c r="P2038" s="3">
        <v>0.97916666666666663</v>
      </c>
    </row>
    <row r="2039" spans="1:16" x14ac:dyDescent="0.25">
      <c r="A2039" s="2">
        <v>45628</v>
      </c>
      <c r="B2039" s="2">
        <v>45334</v>
      </c>
      <c r="C2039" t="str">
        <f>TEXT(B2039,"mm")</f>
        <v>02</v>
      </c>
      <c r="D2039" t="s">
        <v>16</v>
      </c>
      <c r="E2039" t="s">
        <v>1636</v>
      </c>
      <c r="F2039" s="5">
        <v>66400000</v>
      </c>
      <c r="G2039" s="5">
        <v>69400000</v>
      </c>
      <c r="H2039" s="5">
        <f>M2039*26000*1.20565</f>
        <v>63264313.580000006</v>
      </c>
      <c r="I2039" s="5">
        <f>G2039-H2039</f>
        <v>6135686.4199999943</v>
      </c>
      <c r="J2039" s="5">
        <v>3000000</v>
      </c>
      <c r="K2039" s="5">
        <v>6640000</v>
      </c>
      <c r="L2039" s="5">
        <v>6940000</v>
      </c>
      <c r="M2039" s="7">
        <v>2018.2</v>
      </c>
      <c r="N2039" s="5">
        <v>66900000</v>
      </c>
      <c r="O2039" s="5">
        <v>69900000</v>
      </c>
      <c r="P2039" s="3">
        <v>0.97916666666666663</v>
      </c>
    </row>
    <row r="2040" spans="1:16" x14ac:dyDescent="0.25">
      <c r="A2040" t="s">
        <v>1252</v>
      </c>
      <c r="B2040" s="2">
        <v>45335</v>
      </c>
      <c r="C2040" t="str">
        <f>TEXT(B2040,"mm")</f>
        <v>02</v>
      </c>
      <c r="D2040" t="s">
        <v>18</v>
      </c>
      <c r="E2040" t="s">
        <v>1636</v>
      </c>
      <c r="F2040" s="5">
        <v>65600000</v>
      </c>
      <c r="G2040" s="5">
        <v>68600000</v>
      </c>
      <c r="H2040" s="5">
        <f>M2040*26000*1.20565</f>
        <v>62471237.010000005</v>
      </c>
      <c r="I2040" s="5">
        <f>G2040-H2040</f>
        <v>6128762.9899999946</v>
      </c>
      <c r="J2040" s="5">
        <v>3000000</v>
      </c>
      <c r="K2040" s="5">
        <v>6560000</v>
      </c>
      <c r="L2040" s="5">
        <v>6860000</v>
      </c>
      <c r="M2040" s="7">
        <v>1992.9</v>
      </c>
      <c r="N2040" s="5">
        <v>66100000</v>
      </c>
      <c r="O2040" s="5">
        <v>69100000</v>
      </c>
      <c r="P2040" s="3">
        <v>0.97916666666666663</v>
      </c>
    </row>
    <row r="2041" spans="1:16" x14ac:dyDescent="0.25">
      <c r="A2041" t="s">
        <v>1253</v>
      </c>
      <c r="B2041" s="2">
        <v>45336</v>
      </c>
      <c r="C2041" t="str">
        <f>TEXT(B2041,"mm")</f>
        <v>02</v>
      </c>
      <c r="D2041" t="s">
        <v>19</v>
      </c>
      <c r="E2041" t="s">
        <v>1636</v>
      </c>
      <c r="F2041" s="5">
        <v>65500000</v>
      </c>
      <c r="G2041" s="5">
        <v>68500000</v>
      </c>
      <c r="H2041" s="5">
        <f>M2041*26000*1.20565</f>
        <v>62389735.070000008</v>
      </c>
      <c r="I2041" s="5">
        <f>G2041-H2041</f>
        <v>6110264.9299999923</v>
      </c>
      <c r="J2041" s="5">
        <v>3000000</v>
      </c>
      <c r="K2041" s="5">
        <v>6550000</v>
      </c>
      <c r="L2041" s="5">
        <v>6850000</v>
      </c>
      <c r="M2041" s="7">
        <v>1990.3</v>
      </c>
      <c r="N2041" s="5">
        <v>66000000</v>
      </c>
      <c r="O2041" s="5">
        <v>69000000</v>
      </c>
      <c r="P2041" s="3">
        <v>0.97916666666666663</v>
      </c>
    </row>
    <row r="2042" spans="1:16" x14ac:dyDescent="0.25">
      <c r="A2042" t="s">
        <v>1254</v>
      </c>
      <c r="B2042" s="2">
        <v>45337</v>
      </c>
      <c r="C2042" t="str">
        <f>TEXT(B2042,"mm")</f>
        <v>02</v>
      </c>
      <c r="D2042" t="s">
        <v>20</v>
      </c>
      <c r="E2042" t="s">
        <v>1636</v>
      </c>
      <c r="F2042" s="5">
        <v>65900000</v>
      </c>
      <c r="G2042" s="5">
        <v>68900000</v>
      </c>
      <c r="H2042" s="5">
        <f>M2042*26000*1.20565</f>
        <v>62759628.490000002</v>
      </c>
      <c r="I2042" s="5">
        <f>G2042-H2042</f>
        <v>6140371.5099999979</v>
      </c>
      <c r="J2042" s="5">
        <v>3000000</v>
      </c>
      <c r="K2042" s="5">
        <v>6590000</v>
      </c>
      <c r="L2042" s="5">
        <v>6890000</v>
      </c>
      <c r="M2042" s="7">
        <v>2002.1</v>
      </c>
      <c r="N2042" s="5">
        <v>66400000</v>
      </c>
      <c r="O2042" s="5">
        <v>69400000</v>
      </c>
      <c r="P2042" s="3">
        <v>0.97916666666666663</v>
      </c>
    </row>
    <row r="2043" spans="1:16" x14ac:dyDescent="0.25">
      <c r="A2043" t="s">
        <v>1255</v>
      </c>
      <c r="B2043" s="2">
        <v>45338</v>
      </c>
      <c r="C2043" t="str">
        <f>TEXT(B2043,"mm")</f>
        <v>02</v>
      </c>
      <c r="D2043" t="s">
        <v>21</v>
      </c>
      <c r="E2043" t="s">
        <v>1636</v>
      </c>
      <c r="F2043" s="5">
        <v>66200000</v>
      </c>
      <c r="G2043" s="5">
        <v>69200000</v>
      </c>
      <c r="H2043" s="5">
        <f>M2043*26000*1.20565</f>
        <v>63054289.350000009</v>
      </c>
      <c r="I2043" s="5">
        <f>G2043-H2043</f>
        <v>6145710.6499999911</v>
      </c>
      <c r="J2043" s="5">
        <v>3000000</v>
      </c>
      <c r="K2043" s="5">
        <v>6620000</v>
      </c>
      <c r="L2043" s="5">
        <v>6920000</v>
      </c>
      <c r="M2043" s="7">
        <v>2011.5</v>
      </c>
      <c r="N2043" s="5">
        <v>66700000</v>
      </c>
      <c r="O2043" s="5">
        <v>69700000</v>
      </c>
      <c r="P2043" s="3">
        <v>0.97916666666666663</v>
      </c>
    </row>
    <row r="2044" spans="1:16" x14ac:dyDescent="0.25">
      <c r="A2044" t="s">
        <v>1256</v>
      </c>
      <c r="B2044" s="2">
        <v>45342</v>
      </c>
      <c r="C2044" t="str">
        <f>TEXT(B2044,"mm")</f>
        <v>02</v>
      </c>
      <c r="D2044" t="s">
        <v>18</v>
      </c>
      <c r="E2044" t="s">
        <v>1636</v>
      </c>
      <c r="F2044" s="5">
        <v>66800000</v>
      </c>
      <c r="G2044" s="5">
        <v>69800000</v>
      </c>
      <c r="H2044" s="5">
        <f>M2044*26000*1.20565</f>
        <v>63555839.750000007</v>
      </c>
      <c r="I2044" s="5">
        <f>G2044-H2044</f>
        <v>6244160.2499999925</v>
      </c>
      <c r="J2044" s="5">
        <v>3000000</v>
      </c>
      <c r="K2044" s="5">
        <v>6680000</v>
      </c>
      <c r="L2044" s="5">
        <v>6980000</v>
      </c>
      <c r="M2044" s="7">
        <v>2027.5</v>
      </c>
      <c r="N2044" s="5">
        <v>67300000</v>
      </c>
      <c r="O2044" s="5">
        <v>70300000</v>
      </c>
      <c r="P2044" s="3">
        <v>0.97916666666666663</v>
      </c>
    </row>
    <row r="2045" spans="1:16" x14ac:dyDescent="0.25">
      <c r="A2045" t="s">
        <v>1257</v>
      </c>
      <c r="B2045" s="2">
        <v>45343</v>
      </c>
      <c r="C2045" t="str">
        <f>TEXT(B2045,"mm")</f>
        <v>02</v>
      </c>
      <c r="D2045" t="s">
        <v>19</v>
      </c>
      <c r="E2045" t="s">
        <v>1636</v>
      </c>
      <c r="F2045" s="5">
        <v>66600000</v>
      </c>
      <c r="G2045" s="5">
        <v>69600000</v>
      </c>
      <c r="H2045" s="5">
        <f>M2045*26000*1.20565</f>
        <v>63392835.870000005</v>
      </c>
      <c r="I2045" s="5">
        <f>G2045-H2045</f>
        <v>6207164.1299999952</v>
      </c>
      <c r="J2045" s="5">
        <v>3000000</v>
      </c>
      <c r="K2045" s="5">
        <v>6660000</v>
      </c>
      <c r="L2045" s="5">
        <v>6960000</v>
      </c>
      <c r="M2045" s="7">
        <v>2022.3</v>
      </c>
      <c r="N2045" s="5">
        <v>67100000</v>
      </c>
      <c r="O2045" s="5">
        <v>70100000</v>
      </c>
      <c r="P2045" s="3">
        <v>0.97916666666666663</v>
      </c>
    </row>
    <row r="2046" spans="1:16" x14ac:dyDescent="0.25">
      <c r="A2046" t="s">
        <v>1258</v>
      </c>
      <c r="B2046" s="2">
        <v>45344</v>
      </c>
      <c r="C2046" t="str">
        <f>TEXT(B2046,"mm")</f>
        <v>02</v>
      </c>
      <c r="D2046" t="s">
        <v>20</v>
      </c>
      <c r="E2046" t="s">
        <v>1636</v>
      </c>
      <c r="F2046" s="5">
        <v>66500000</v>
      </c>
      <c r="G2046" s="5">
        <v>69500000</v>
      </c>
      <c r="H2046" s="5">
        <f>M2046*26000*1.20565</f>
        <v>63311333.930000007</v>
      </c>
      <c r="I2046" s="5">
        <f>G2046-H2046</f>
        <v>6188666.0699999928</v>
      </c>
      <c r="J2046" s="5">
        <v>3000000</v>
      </c>
      <c r="K2046" s="5">
        <v>6650000</v>
      </c>
      <c r="L2046" s="5">
        <v>6950000</v>
      </c>
      <c r="M2046" s="7">
        <v>2019.7</v>
      </c>
      <c r="N2046" s="5">
        <v>67000000</v>
      </c>
      <c r="O2046" s="5">
        <v>70000000</v>
      </c>
      <c r="P2046" s="3">
        <v>0.97916666666666663</v>
      </c>
    </row>
    <row r="2047" spans="1:16" x14ac:dyDescent="0.25">
      <c r="A2047" t="s">
        <v>1259</v>
      </c>
      <c r="B2047" s="2">
        <v>45345</v>
      </c>
      <c r="C2047" t="str">
        <f>TEXT(B2047,"mm")</f>
        <v>02</v>
      </c>
      <c r="D2047" t="s">
        <v>21</v>
      </c>
      <c r="E2047" t="s">
        <v>1636</v>
      </c>
      <c r="F2047" s="5">
        <v>67100000</v>
      </c>
      <c r="G2047" s="5">
        <v>70100000</v>
      </c>
      <c r="H2047" s="5">
        <f>M2047*26000*1.20565</f>
        <v>63903790.340000004</v>
      </c>
      <c r="I2047" s="5">
        <f>G2047-H2047</f>
        <v>6196209.6599999964</v>
      </c>
      <c r="J2047" s="5">
        <v>3000000</v>
      </c>
      <c r="K2047" s="5">
        <v>6710000</v>
      </c>
      <c r="L2047" s="5">
        <v>7010000</v>
      </c>
      <c r="M2047" s="7">
        <v>2038.6</v>
      </c>
      <c r="N2047" s="5">
        <v>67600000</v>
      </c>
      <c r="O2047" s="5">
        <v>70600000</v>
      </c>
      <c r="P2047" s="3">
        <v>0.97916666666666663</v>
      </c>
    </row>
    <row r="2048" spans="1:16" x14ac:dyDescent="0.25">
      <c r="A2048" t="s">
        <v>1260</v>
      </c>
      <c r="B2048" s="2">
        <v>45348</v>
      </c>
      <c r="C2048" t="str">
        <f>TEXT(B2048,"mm")</f>
        <v>02</v>
      </c>
      <c r="D2048" t="s">
        <v>16</v>
      </c>
      <c r="E2048" t="s">
        <v>1636</v>
      </c>
      <c r="F2048" s="5">
        <v>66800000</v>
      </c>
      <c r="G2048" s="5">
        <v>69800000</v>
      </c>
      <c r="H2048" s="5">
        <f>M2048*26000*1.20565</f>
        <v>63587186.650000006</v>
      </c>
      <c r="I2048" s="5">
        <f>G2048-H2048</f>
        <v>6212813.349999994</v>
      </c>
      <c r="J2048" s="5">
        <v>3000000</v>
      </c>
      <c r="K2048" s="5">
        <v>6680000</v>
      </c>
      <c r="L2048" s="5">
        <v>6980000</v>
      </c>
      <c r="M2048" s="7">
        <v>2028.5</v>
      </c>
      <c r="N2048" s="5">
        <v>67300000</v>
      </c>
      <c r="O2048" s="5">
        <v>70300000</v>
      </c>
      <c r="P2048" s="3">
        <v>0.97916666666666663</v>
      </c>
    </row>
    <row r="2049" spans="1:16" x14ac:dyDescent="0.25">
      <c r="A2049" t="s">
        <v>1261</v>
      </c>
      <c r="B2049" s="2">
        <v>45349</v>
      </c>
      <c r="C2049" t="str">
        <f>TEXT(B2049,"mm")</f>
        <v>02</v>
      </c>
      <c r="D2049" t="s">
        <v>18</v>
      </c>
      <c r="E2049" t="s">
        <v>1636</v>
      </c>
      <c r="F2049" s="5">
        <v>67000000</v>
      </c>
      <c r="G2049" s="5">
        <v>70000000</v>
      </c>
      <c r="H2049" s="5">
        <f>M2049*26000*1.20565</f>
        <v>63759594.600000009</v>
      </c>
      <c r="I2049" s="5">
        <f>G2049-H2049</f>
        <v>6240405.3999999911</v>
      </c>
      <c r="J2049" s="5">
        <v>3000000</v>
      </c>
      <c r="K2049" s="5">
        <v>6700000</v>
      </c>
      <c r="L2049" s="5">
        <v>7000000</v>
      </c>
      <c r="M2049" s="7">
        <v>2034</v>
      </c>
      <c r="N2049" s="5">
        <v>67500000</v>
      </c>
      <c r="O2049" s="5">
        <v>70500000</v>
      </c>
      <c r="P2049" s="3">
        <v>0.97916666666666663</v>
      </c>
    </row>
    <row r="2050" spans="1:16" x14ac:dyDescent="0.25">
      <c r="A2050" t="s">
        <v>1262</v>
      </c>
      <c r="B2050" s="2">
        <v>45350</v>
      </c>
      <c r="C2050" t="str">
        <f>TEXT(B2050,"mm")</f>
        <v>02</v>
      </c>
      <c r="D2050" t="s">
        <v>19</v>
      </c>
      <c r="E2050" t="s">
        <v>1636</v>
      </c>
      <c r="F2050" s="5">
        <v>66900000</v>
      </c>
      <c r="G2050" s="5">
        <v>69900000</v>
      </c>
      <c r="H2050" s="5">
        <f>M2050*26000*1.20565</f>
        <v>63728247.700000003</v>
      </c>
      <c r="I2050" s="5">
        <f>G2050-H2050</f>
        <v>6171752.299999997</v>
      </c>
      <c r="J2050" s="5">
        <v>3000000</v>
      </c>
      <c r="K2050" s="5">
        <v>6690000</v>
      </c>
      <c r="L2050" s="5">
        <v>6990000</v>
      </c>
      <c r="M2050" s="7">
        <v>2033</v>
      </c>
      <c r="N2050" s="5">
        <v>67400000</v>
      </c>
      <c r="O2050" s="5">
        <v>70400000</v>
      </c>
      <c r="P2050" s="3">
        <v>0.97916666666666663</v>
      </c>
    </row>
    <row r="2051" spans="1:16" x14ac:dyDescent="0.25">
      <c r="A2051" t="s">
        <v>1263</v>
      </c>
      <c r="B2051" s="2">
        <v>45351</v>
      </c>
      <c r="C2051" t="str">
        <f>TEXT(B2051,"mm")</f>
        <v>02</v>
      </c>
      <c r="D2051" t="s">
        <v>20</v>
      </c>
      <c r="E2051" t="s">
        <v>1636</v>
      </c>
      <c r="F2051" s="5">
        <v>67400000</v>
      </c>
      <c r="G2051" s="5">
        <v>70400000</v>
      </c>
      <c r="H2051" s="5">
        <f>M2051*26000*1.20565</f>
        <v>64126353.330000006</v>
      </c>
      <c r="I2051" s="5">
        <f>G2051-H2051</f>
        <v>6273646.6699999943</v>
      </c>
      <c r="J2051" s="5">
        <v>3000000</v>
      </c>
      <c r="K2051" s="5">
        <v>6740000</v>
      </c>
      <c r="L2051" s="5">
        <v>7040000</v>
      </c>
      <c r="M2051" s="7">
        <v>2045.7</v>
      </c>
      <c r="N2051" s="5">
        <v>67900000</v>
      </c>
      <c r="O2051" s="5">
        <v>70900000</v>
      </c>
      <c r="P2051" s="3">
        <v>0.97916666666666663</v>
      </c>
    </row>
    <row r="2052" spans="1:16" x14ac:dyDescent="0.25">
      <c r="A2052" s="2">
        <v>45294</v>
      </c>
      <c r="B2052" s="2">
        <v>45352</v>
      </c>
      <c r="C2052" t="str">
        <f>TEXT(B2052,"mm")</f>
        <v>03</v>
      </c>
      <c r="D2052" t="s">
        <v>21</v>
      </c>
      <c r="E2052" t="s">
        <v>1636</v>
      </c>
      <c r="F2052" s="5">
        <v>68800000</v>
      </c>
      <c r="G2052" s="5">
        <v>71800000</v>
      </c>
      <c r="H2052" s="5">
        <f>M2052*26000*1.20565</f>
        <v>65417845.610000007</v>
      </c>
      <c r="I2052" s="5">
        <f>G2052-H2052</f>
        <v>6382154.3899999931</v>
      </c>
      <c r="J2052" s="5">
        <v>3000000</v>
      </c>
      <c r="K2052" s="5">
        <v>6880000</v>
      </c>
      <c r="L2052" s="5">
        <v>7180000</v>
      </c>
      <c r="M2052" s="7">
        <v>2086.9</v>
      </c>
      <c r="N2052" s="5">
        <v>69300000</v>
      </c>
      <c r="O2052" s="5">
        <v>72300000</v>
      </c>
      <c r="P2052" s="3">
        <v>0.97916666666666663</v>
      </c>
    </row>
    <row r="2053" spans="1:16" x14ac:dyDescent="0.25">
      <c r="A2053" s="2">
        <v>45385</v>
      </c>
      <c r="B2053" s="2">
        <v>45355</v>
      </c>
      <c r="C2053" t="str">
        <f>TEXT(B2053,"mm")</f>
        <v>03</v>
      </c>
      <c r="D2053" t="s">
        <v>16</v>
      </c>
      <c r="E2053" t="s">
        <v>1636</v>
      </c>
      <c r="F2053" s="5">
        <v>69900000</v>
      </c>
      <c r="G2053" s="5">
        <v>72900000</v>
      </c>
      <c r="H2053" s="5">
        <f>M2053*26000*1.20565</f>
        <v>66383330.129999995</v>
      </c>
      <c r="I2053" s="5">
        <f>G2053-H2053</f>
        <v>6516669.8700000048</v>
      </c>
      <c r="J2053" s="5">
        <v>3000000</v>
      </c>
      <c r="K2053" s="5">
        <v>6990000</v>
      </c>
      <c r="L2053" s="5">
        <v>7290000</v>
      </c>
      <c r="M2053" s="7">
        <v>2117.6999999999998</v>
      </c>
      <c r="N2053" s="5">
        <v>70400000</v>
      </c>
      <c r="O2053" s="5">
        <v>73400000</v>
      </c>
      <c r="P2053" s="3">
        <v>0.97916666666666663</v>
      </c>
    </row>
    <row r="2054" spans="1:16" x14ac:dyDescent="0.25">
      <c r="A2054" s="2">
        <v>45415</v>
      </c>
      <c r="B2054" s="2">
        <v>45356</v>
      </c>
      <c r="C2054" t="str">
        <f>TEXT(B2054,"mm")</f>
        <v>03</v>
      </c>
      <c r="D2054" t="s">
        <v>18</v>
      </c>
      <c r="E2054" t="s">
        <v>1636</v>
      </c>
      <c r="F2054" s="5">
        <v>70400000</v>
      </c>
      <c r="G2054" s="5">
        <v>73400000</v>
      </c>
      <c r="H2054" s="5">
        <f>M2054*26000*1.20565</f>
        <v>66878611.150000006</v>
      </c>
      <c r="I2054" s="5">
        <f>G2054-H2054</f>
        <v>6521388.849999994</v>
      </c>
      <c r="J2054" s="5">
        <v>3000000</v>
      </c>
      <c r="K2054" s="5">
        <v>7040000</v>
      </c>
      <c r="L2054" s="5">
        <v>7340000</v>
      </c>
      <c r="M2054" s="7">
        <v>2133.5</v>
      </c>
      <c r="N2054" s="5">
        <v>70900000</v>
      </c>
      <c r="O2054" s="5">
        <v>73900000</v>
      </c>
      <c r="P2054" s="3">
        <v>0.97916666666666663</v>
      </c>
    </row>
    <row r="2055" spans="1:16" x14ac:dyDescent="0.25">
      <c r="A2055" s="2">
        <v>45446</v>
      </c>
      <c r="B2055" s="2">
        <v>45357</v>
      </c>
      <c r="C2055" t="str">
        <f>TEXT(B2055,"mm")</f>
        <v>03</v>
      </c>
      <c r="D2055" t="s">
        <v>19</v>
      </c>
      <c r="E2055" t="s">
        <v>1636</v>
      </c>
      <c r="F2055" s="5">
        <v>71000000</v>
      </c>
      <c r="G2055" s="5">
        <v>74000000</v>
      </c>
      <c r="H2055" s="5">
        <f>M2055*26000*1.20565</f>
        <v>67405239.070000008</v>
      </c>
      <c r="I2055" s="5">
        <f>G2055-H2055</f>
        <v>6594760.9299999923</v>
      </c>
      <c r="J2055" s="5">
        <v>3000000</v>
      </c>
      <c r="K2055" s="5">
        <v>7100000</v>
      </c>
      <c r="L2055" s="5">
        <v>7400000</v>
      </c>
      <c r="M2055" s="7">
        <v>2150.3000000000002</v>
      </c>
      <c r="N2055" s="5">
        <v>71500000</v>
      </c>
      <c r="O2055" s="5">
        <v>74500000</v>
      </c>
      <c r="P2055" s="3">
        <v>0.97916666666666663</v>
      </c>
    </row>
    <row r="2056" spans="1:16" x14ac:dyDescent="0.25">
      <c r="A2056" s="2">
        <v>45476</v>
      </c>
      <c r="B2056" s="2">
        <v>45358</v>
      </c>
      <c r="C2056" t="str">
        <f>TEXT(B2056,"mm")</f>
        <v>03</v>
      </c>
      <c r="D2056" t="s">
        <v>20</v>
      </c>
      <c r="E2056" t="s">
        <v>1636</v>
      </c>
      <c r="F2056" s="5">
        <v>71200000</v>
      </c>
      <c r="G2056" s="5">
        <v>74200000</v>
      </c>
      <c r="H2056" s="5">
        <f>M2056*26000*1.20565</f>
        <v>67646610.200000003</v>
      </c>
      <c r="I2056" s="5">
        <f>G2056-H2056</f>
        <v>6553389.799999997</v>
      </c>
      <c r="J2056" s="5">
        <v>3000000</v>
      </c>
      <c r="K2056" s="5">
        <v>7120000</v>
      </c>
      <c r="L2056" s="5">
        <v>7420000</v>
      </c>
      <c r="M2056" s="7">
        <v>2158</v>
      </c>
      <c r="N2056" s="5">
        <v>71700000</v>
      </c>
      <c r="O2056" s="5">
        <v>74700000</v>
      </c>
      <c r="P2056" s="3">
        <v>0.97916666666666663</v>
      </c>
    </row>
    <row r="2057" spans="1:16" x14ac:dyDescent="0.25">
      <c r="A2057" s="2">
        <v>45507</v>
      </c>
      <c r="B2057" s="2">
        <v>45359</v>
      </c>
      <c r="C2057" t="str">
        <f>TEXT(B2057,"mm")</f>
        <v>03</v>
      </c>
      <c r="D2057" t="s">
        <v>21</v>
      </c>
      <c r="E2057" t="s">
        <v>1636</v>
      </c>
      <c r="F2057" s="5">
        <v>72000000</v>
      </c>
      <c r="G2057" s="5">
        <v>75000000</v>
      </c>
      <c r="H2057" s="5">
        <f>M2057*26000*1.20565</f>
        <v>68292356.340000004</v>
      </c>
      <c r="I2057" s="5">
        <f>G2057-H2057</f>
        <v>6707643.6599999964</v>
      </c>
      <c r="J2057" s="5">
        <v>3000000</v>
      </c>
      <c r="K2057" s="5">
        <v>7200000</v>
      </c>
      <c r="L2057" s="5">
        <v>7500000</v>
      </c>
      <c r="M2057" s="7">
        <v>2178.6</v>
      </c>
      <c r="N2057" s="5">
        <v>72500000</v>
      </c>
      <c r="O2057" s="5">
        <v>75500000</v>
      </c>
      <c r="P2057" s="3">
        <v>0.97916666666666663</v>
      </c>
    </row>
    <row r="2058" spans="1:16" x14ac:dyDescent="0.25">
      <c r="A2058" s="2">
        <v>45599</v>
      </c>
      <c r="B2058" s="2">
        <v>45362</v>
      </c>
      <c r="C2058" t="str">
        <f>TEXT(B2058,"mm")</f>
        <v>03</v>
      </c>
      <c r="D2058" t="s">
        <v>16</v>
      </c>
      <c r="E2058" t="s">
        <v>1636</v>
      </c>
      <c r="F2058" s="5">
        <v>72100000</v>
      </c>
      <c r="G2058" s="5">
        <v>75100000</v>
      </c>
      <c r="H2058" s="5">
        <f>M2058*26000*1.20565</f>
        <v>68414609.25</v>
      </c>
      <c r="I2058" s="5">
        <f>G2058-H2058</f>
        <v>6685390.75</v>
      </c>
      <c r="J2058" s="5">
        <v>3000000</v>
      </c>
      <c r="K2058" s="5">
        <v>7210000</v>
      </c>
      <c r="L2058" s="5">
        <v>7510000</v>
      </c>
      <c r="M2058" s="7">
        <v>2182.5</v>
      </c>
      <c r="N2058" s="5">
        <v>72600000</v>
      </c>
      <c r="O2058" s="5">
        <v>75600000</v>
      </c>
      <c r="P2058" s="3">
        <v>0.97916666666666663</v>
      </c>
    </row>
    <row r="2059" spans="1:16" x14ac:dyDescent="0.25">
      <c r="A2059" s="2">
        <v>45629</v>
      </c>
      <c r="B2059" s="2">
        <v>45363</v>
      </c>
      <c r="C2059" t="str">
        <f>TEXT(B2059,"mm")</f>
        <v>03</v>
      </c>
      <c r="D2059" t="s">
        <v>18</v>
      </c>
      <c r="E2059" t="s">
        <v>1636</v>
      </c>
      <c r="F2059" s="5">
        <v>71300000</v>
      </c>
      <c r="G2059" s="5">
        <v>74300000</v>
      </c>
      <c r="H2059" s="5">
        <f>M2059*26000*1.20565</f>
        <v>67721842.760000005</v>
      </c>
      <c r="I2059" s="5">
        <f>G2059-H2059</f>
        <v>6578157.2399999946</v>
      </c>
      <c r="J2059" s="5">
        <v>3000000</v>
      </c>
      <c r="K2059" s="5">
        <v>7130000</v>
      </c>
      <c r="L2059" s="5">
        <v>7430000</v>
      </c>
      <c r="M2059" s="7">
        <v>2160.4</v>
      </c>
      <c r="N2059" s="5">
        <v>71800000</v>
      </c>
      <c r="O2059" s="5">
        <v>74800000</v>
      </c>
      <c r="P2059" s="3">
        <v>0.97916666666666663</v>
      </c>
    </row>
    <row r="2060" spans="1:16" x14ac:dyDescent="0.25">
      <c r="A2060" t="s">
        <v>1264</v>
      </c>
      <c r="B2060" s="2">
        <v>45364</v>
      </c>
      <c r="C2060" t="str">
        <f>TEXT(B2060,"mm")</f>
        <v>03</v>
      </c>
      <c r="D2060" t="s">
        <v>19</v>
      </c>
      <c r="E2060" t="s">
        <v>1636</v>
      </c>
      <c r="F2060" s="5">
        <v>71800000</v>
      </c>
      <c r="G2060" s="5">
        <v>74800000</v>
      </c>
      <c r="H2060" s="5">
        <f>M2060*26000*1.20565</f>
        <v>68192046.260000005</v>
      </c>
      <c r="I2060" s="5">
        <f>G2060-H2060</f>
        <v>6607953.7399999946</v>
      </c>
      <c r="J2060" s="5">
        <v>3000000</v>
      </c>
      <c r="K2060" s="5">
        <v>7180000</v>
      </c>
      <c r="L2060" s="5">
        <v>7480000</v>
      </c>
      <c r="M2060" s="7">
        <v>2175.4</v>
      </c>
      <c r="N2060" s="5">
        <v>72300000</v>
      </c>
      <c r="O2060" s="5">
        <v>75300000</v>
      </c>
      <c r="P2060" s="3">
        <v>0.97916666666666663</v>
      </c>
    </row>
    <row r="2061" spans="1:16" x14ac:dyDescent="0.25">
      <c r="A2061" t="s">
        <v>1265</v>
      </c>
      <c r="B2061" s="2">
        <v>45365</v>
      </c>
      <c r="C2061" t="str">
        <f>TEXT(B2061,"mm")</f>
        <v>03</v>
      </c>
      <c r="D2061" t="s">
        <v>20</v>
      </c>
      <c r="E2061" t="s">
        <v>1636</v>
      </c>
      <c r="F2061" s="5">
        <v>71400000</v>
      </c>
      <c r="G2061" s="5">
        <v>74400000</v>
      </c>
      <c r="H2061" s="5">
        <f>M2061*26000*1.20565</f>
        <v>67803344.700000003</v>
      </c>
      <c r="I2061" s="5">
        <f>G2061-H2061</f>
        <v>6596655.299999997</v>
      </c>
      <c r="J2061" s="5">
        <v>3000000</v>
      </c>
      <c r="K2061" s="5">
        <v>7140000</v>
      </c>
      <c r="L2061" s="5">
        <v>7440000</v>
      </c>
      <c r="M2061" s="7">
        <v>2163</v>
      </c>
      <c r="N2061" s="5">
        <v>71900000</v>
      </c>
      <c r="O2061" s="5">
        <v>74900000</v>
      </c>
      <c r="P2061" s="3">
        <v>0.97916666666666663</v>
      </c>
    </row>
    <row r="2062" spans="1:16" x14ac:dyDescent="0.25">
      <c r="A2062" t="s">
        <v>1266</v>
      </c>
      <c r="B2062" s="2">
        <v>45366</v>
      </c>
      <c r="C2062" t="str">
        <f>TEXT(B2062,"mm")</f>
        <v>03</v>
      </c>
      <c r="D2062" t="s">
        <v>21</v>
      </c>
      <c r="E2062" t="s">
        <v>1636</v>
      </c>
      <c r="F2062" s="5">
        <v>71200000</v>
      </c>
      <c r="G2062" s="5">
        <v>74200000</v>
      </c>
      <c r="H2062" s="5">
        <f>M2062*26000*1.20565</f>
        <v>67624667.37000002</v>
      </c>
      <c r="I2062" s="5">
        <f>G2062-H2062</f>
        <v>6575332.6299999803</v>
      </c>
      <c r="J2062" s="5">
        <v>3000000</v>
      </c>
      <c r="K2062" s="5">
        <v>7120000</v>
      </c>
      <c r="L2062" s="5">
        <v>7420000</v>
      </c>
      <c r="M2062" s="7">
        <v>2157.3000000000002</v>
      </c>
      <c r="N2062" s="5">
        <v>71700000</v>
      </c>
      <c r="O2062" s="5">
        <v>74700000</v>
      </c>
      <c r="P2062" s="3">
        <v>0.97916666666666663</v>
      </c>
    </row>
    <row r="2063" spans="1:16" x14ac:dyDescent="0.25">
      <c r="A2063" t="s">
        <v>1267</v>
      </c>
      <c r="B2063" s="2">
        <v>45369</v>
      </c>
      <c r="C2063" t="str">
        <f>TEXT(B2063,"mm")</f>
        <v>03</v>
      </c>
      <c r="D2063" t="s">
        <v>16</v>
      </c>
      <c r="E2063" t="s">
        <v>1636</v>
      </c>
      <c r="F2063" s="5">
        <v>71300000</v>
      </c>
      <c r="G2063" s="5">
        <v>74300000</v>
      </c>
      <c r="H2063" s="5">
        <f>M2063*26000*1.20565</f>
        <v>67731246.829999998</v>
      </c>
      <c r="I2063" s="5">
        <f>G2063-H2063</f>
        <v>6568753.1700000018</v>
      </c>
      <c r="J2063" s="5">
        <v>3000000</v>
      </c>
      <c r="K2063" s="5">
        <v>7130000</v>
      </c>
      <c r="L2063" s="5">
        <v>7430000</v>
      </c>
      <c r="M2063" s="7">
        <v>2160.6999999999998</v>
      </c>
      <c r="N2063" s="5">
        <v>71800000</v>
      </c>
      <c r="O2063" s="5">
        <v>74800000</v>
      </c>
      <c r="P2063" s="3">
        <v>0.97916666666666663</v>
      </c>
    </row>
    <row r="2064" spans="1:16" x14ac:dyDescent="0.25">
      <c r="A2064" t="s">
        <v>1268</v>
      </c>
      <c r="B2064" s="2">
        <v>45370</v>
      </c>
      <c r="C2064" t="str">
        <f>TEXT(B2064,"mm")</f>
        <v>03</v>
      </c>
      <c r="D2064" t="s">
        <v>18</v>
      </c>
      <c r="E2064" t="s">
        <v>1636</v>
      </c>
      <c r="F2064" s="5">
        <v>71200000</v>
      </c>
      <c r="G2064" s="5">
        <v>74200000</v>
      </c>
      <c r="H2064" s="5">
        <f>M2064*26000*1.20565</f>
        <v>67593320.470000014</v>
      </c>
      <c r="I2064" s="5">
        <f>G2064-H2064</f>
        <v>6606679.5299999863</v>
      </c>
      <c r="J2064" s="5">
        <v>3000000</v>
      </c>
      <c r="K2064" s="5">
        <v>7120000</v>
      </c>
      <c r="L2064" s="5">
        <v>7420000</v>
      </c>
      <c r="M2064" s="7">
        <v>2156.3000000000002</v>
      </c>
      <c r="N2064" s="5">
        <v>71700000</v>
      </c>
      <c r="O2064" s="5">
        <v>74700000</v>
      </c>
      <c r="P2064" s="3">
        <v>0.97916666666666663</v>
      </c>
    </row>
    <row r="2065" spans="1:16" x14ac:dyDescent="0.25">
      <c r="A2065" t="s">
        <v>1269</v>
      </c>
      <c r="B2065" s="2">
        <v>45371</v>
      </c>
      <c r="C2065" t="str">
        <f>TEXT(B2065,"mm")</f>
        <v>03</v>
      </c>
      <c r="D2065" t="s">
        <v>19</v>
      </c>
      <c r="E2065" t="s">
        <v>1636</v>
      </c>
      <c r="F2065" s="5">
        <v>71200000</v>
      </c>
      <c r="G2065" s="5">
        <v>74200000</v>
      </c>
      <c r="H2065" s="5">
        <f>M2065*26000*1.20565</f>
        <v>67643475.510000005</v>
      </c>
      <c r="I2065" s="5">
        <f>G2065-H2065</f>
        <v>6556524.4899999946</v>
      </c>
      <c r="J2065" s="5">
        <v>3000000</v>
      </c>
      <c r="K2065" s="5">
        <v>7120000</v>
      </c>
      <c r="L2065" s="5">
        <v>7420000</v>
      </c>
      <c r="M2065" s="7">
        <v>2157.9</v>
      </c>
      <c r="N2065" s="5">
        <v>71700000</v>
      </c>
      <c r="O2065" s="5">
        <v>74700000</v>
      </c>
      <c r="P2065" s="3">
        <v>0.97916666666666663</v>
      </c>
    </row>
    <row r="2066" spans="1:16" x14ac:dyDescent="0.25">
      <c r="A2066" t="s">
        <v>1270</v>
      </c>
      <c r="B2066" s="2">
        <v>45372</v>
      </c>
      <c r="C2066" t="str">
        <f>TEXT(B2066,"mm")</f>
        <v>03</v>
      </c>
      <c r="D2066" t="s">
        <v>20</v>
      </c>
      <c r="E2066" t="s">
        <v>1636</v>
      </c>
      <c r="F2066" s="5">
        <v>72100000</v>
      </c>
      <c r="G2066" s="5">
        <v>75100000</v>
      </c>
      <c r="H2066" s="5">
        <f>M2066*26000*1.20565</f>
        <v>68411474.560000002</v>
      </c>
      <c r="I2066" s="5">
        <f>G2066-H2066</f>
        <v>6688525.4399999976</v>
      </c>
      <c r="J2066" s="5">
        <v>3000000</v>
      </c>
      <c r="K2066" s="5">
        <v>7210000</v>
      </c>
      <c r="L2066" s="5">
        <v>7510000</v>
      </c>
      <c r="M2066" s="7">
        <v>2182.4</v>
      </c>
      <c r="N2066" s="5">
        <v>72600000</v>
      </c>
      <c r="O2066" s="5">
        <v>75600000</v>
      </c>
      <c r="P2066" s="3">
        <v>0.97916666666666663</v>
      </c>
    </row>
    <row r="2067" spans="1:16" x14ac:dyDescent="0.25">
      <c r="A2067" t="s">
        <v>1271</v>
      </c>
      <c r="B2067" s="2">
        <v>45373</v>
      </c>
      <c r="C2067" t="str">
        <f>TEXT(B2067,"mm")</f>
        <v>03</v>
      </c>
      <c r="D2067" t="s">
        <v>21</v>
      </c>
      <c r="E2067" t="s">
        <v>1636</v>
      </c>
      <c r="F2067" s="5">
        <v>71200000</v>
      </c>
      <c r="G2067" s="5">
        <v>74200000</v>
      </c>
      <c r="H2067" s="5">
        <f>M2067*26000*1.20565</f>
        <v>67649744.890000001</v>
      </c>
      <c r="I2067" s="5">
        <f>G2067-H2067</f>
        <v>6550255.1099999994</v>
      </c>
      <c r="J2067" s="5">
        <v>3000000</v>
      </c>
      <c r="K2067" s="5">
        <v>7120000</v>
      </c>
      <c r="L2067" s="5">
        <v>7420000</v>
      </c>
      <c r="M2067" s="7">
        <v>2158.1</v>
      </c>
      <c r="N2067" s="5">
        <v>71700000</v>
      </c>
      <c r="O2067" s="5">
        <v>74700000</v>
      </c>
      <c r="P2067" s="3">
        <v>0.97916666666666663</v>
      </c>
    </row>
    <row r="2068" spans="1:16" x14ac:dyDescent="0.25">
      <c r="A2068" t="s">
        <v>1272</v>
      </c>
      <c r="B2068" s="2">
        <v>45376</v>
      </c>
      <c r="C2068" t="str">
        <f>TEXT(B2068,"mm")</f>
        <v>03</v>
      </c>
      <c r="D2068" t="s">
        <v>16</v>
      </c>
      <c r="E2068" t="s">
        <v>1636</v>
      </c>
      <c r="F2068" s="5">
        <v>71800000</v>
      </c>
      <c r="G2068" s="5">
        <v>74800000</v>
      </c>
      <c r="H2068" s="5">
        <f>M2068*26000*1.20565</f>
        <v>68173238.12000002</v>
      </c>
      <c r="I2068" s="5">
        <f>G2068-H2068</f>
        <v>6626761.8799999803</v>
      </c>
      <c r="J2068" s="5">
        <v>3000000</v>
      </c>
      <c r="K2068" s="5">
        <v>7180000</v>
      </c>
      <c r="L2068" s="5">
        <v>7480000</v>
      </c>
      <c r="M2068" s="7">
        <v>2174.8000000000002</v>
      </c>
      <c r="N2068" s="5">
        <v>72300000</v>
      </c>
      <c r="O2068" s="5">
        <v>75300000</v>
      </c>
      <c r="P2068" s="3">
        <v>0.97916666666666663</v>
      </c>
    </row>
    <row r="2069" spans="1:16" x14ac:dyDescent="0.25">
      <c r="A2069" t="s">
        <v>1273</v>
      </c>
      <c r="B2069" s="2">
        <v>45377</v>
      </c>
      <c r="C2069" t="str">
        <f>TEXT(B2069,"mm")</f>
        <v>03</v>
      </c>
      <c r="D2069" t="s">
        <v>18</v>
      </c>
      <c r="E2069" t="s">
        <v>1636</v>
      </c>
      <c r="F2069" s="5">
        <v>71900000</v>
      </c>
      <c r="G2069" s="5">
        <v>74900000</v>
      </c>
      <c r="H2069" s="5">
        <f>M2069*26000*1.20565</f>
        <v>68198315.640000001</v>
      </c>
      <c r="I2069" s="5">
        <f>G2069-H2069</f>
        <v>6701684.3599999994</v>
      </c>
      <c r="J2069" s="5">
        <v>3000000</v>
      </c>
      <c r="K2069" s="5">
        <v>7190000</v>
      </c>
      <c r="L2069" s="5">
        <v>7490000</v>
      </c>
      <c r="M2069" s="7">
        <v>2175.6</v>
      </c>
      <c r="N2069" s="5">
        <v>72400000</v>
      </c>
      <c r="O2069" s="5">
        <v>75400000</v>
      </c>
      <c r="P2069" s="3">
        <v>0.97916666666666663</v>
      </c>
    </row>
    <row r="2070" spans="1:16" x14ac:dyDescent="0.25">
      <c r="A2070" t="s">
        <v>1274</v>
      </c>
      <c r="B2070" s="2">
        <v>45378</v>
      </c>
      <c r="C2070" t="str">
        <f>TEXT(B2070,"mm")</f>
        <v>03</v>
      </c>
      <c r="D2070" t="s">
        <v>19</v>
      </c>
      <c r="E2070" t="s">
        <v>1636</v>
      </c>
      <c r="F2070" s="5">
        <v>72400000</v>
      </c>
      <c r="G2070" s="5">
        <v>75400000</v>
      </c>
      <c r="H2070" s="5">
        <f>M2070*26000*1.20565</f>
        <v>68668519.140000001</v>
      </c>
      <c r="I2070" s="5">
        <f>G2070-H2070</f>
        <v>6731480.8599999994</v>
      </c>
      <c r="J2070" s="5">
        <v>3000000</v>
      </c>
      <c r="K2070" s="5">
        <v>7240000</v>
      </c>
      <c r="L2070" s="5">
        <v>7540000</v>
      </c>
      <c r="M2070" s="7">
        <v>2190.6</v>
      </c>
      <c r="N2070" s="5">
        <v>72900000</v>
      </c>
      <c r="O2070" s="5">
        <v>75900000</v>
      </c>
      <c r="P2070" s="3">
        <v>0.97916666666666663</v>
      </c>
    </row>
    <row r="2071" spans="1:16" x14ac:dyDescent="0.25">
      <c r="A2071" t="s">
        <v>1275</v>
      </c>
      <c r="B2071" s="2">
        <v>45379</v>
      </c>
      <c r="C2071" t="str">
        <f>TEXT(B2071,"mm")</f>
        <v>03</v>
      </c>
      <c r="D2071" t="s">
        <v>20</v>
      </c>
      <c r="E2071" t="s">
        <v>1636</v>
      </c>
      <c r="F2071" s="5">
        <v>73300000</v>
      </c>
      <c r="G2071" s="5">
        <v>76300000</v>
      </c>
      <c r="H2071" s="5">
        <f>M2071*26000*1.20565</f>
        <v>69508616.060000002</v>
      </c>
      <c r="I2071" s="5">
        <f>G2071-H2071</f>
        <v>6791383.9399999976</v>
      </c>
      <c r="J2071" s="5">
        <v>3000000</v>
      </c>
      <c r="K2071" s="5">
        <v>7330000</v>
      </c>
      <c r="L2071" s="5">
        <v>7630000</v>
      </c>
      <c r="M2071" s="7">
        <v>2217.4</v>
      </c>
      <c r="N2071" s="5">
        <v>73800000</v>
      </c>
      <c r="O2071" s="5">
        <v>76800000</v>
      </c>
      <c r="P2071" s="3">
        <v>0.97916666666666663</v>
      </c>
    </row>
    <row r="2072" spans="1:16" x14ac:dyDescent="0.25">
      <c r="A2072" s="2">
        <v>45295</v>
      </c>
      <c r="B2072" s="2">
        <v>45383</v>
      </c>
      <c r="C2072" t="str">
        <f>TEXT(B2072,"mm")</f>
        <v>04</v>
      </c>
      <c r="D2072" t="s">
        <v>16</v>
      </c>
      <c r="E2072" t="s">
        <v>1636</v>
      </c>
      <c r="F2072" s="5">
        <v>73900000</v>
      </c>
      <c r="G2072" s="5">
        <v>76900000</v>
      </c>
      <c r="H2072" s="5">
        <f>M2072*26000*1.20565</f>
        <v>70107341.850000009</v>
      </c>
      <c r="I2072" s="5">
        <f>G2072-H2072</f>
        <v>6792658.1499999911</v>
      </c>
      <c r="J2072" s="5">
        <v>3000000</v>
      </c>
      <c r="K2072" s="5">
        <v>7390000</v>
      </c>
      <c r="L2072" s="5">
        <v>7690000</v>
      </c>
      <c r="M2072" s="7">
        <v>2236.5</v>
      </c>
      <c r="N2072" s="5">
        <v>74400000</v>
      </c>
      <c r="O2072" s="5">
        <v>77400000</v>
      </c>
      <c r="P2072" s="3">
        <v>0.97916666666666663</v>
      </c>
    </row>
    <row r="2073" spans="1:16" x14ac:dyDescent="0.25">
      <c r="A2073" s="2">
        <v>45326</v>
      </c>
      <c r="B2073" s="2">
        <v>45384</v>
      </c>
      <c r="C2073" t="str">
        <f>TEXT(B2073,"mm")</f>
        <v>04</v>
      </c>
      <c r="D2073" t="s">
        <v>18</v>
      </c>
      <c r="E2073" t="s">
        <v>1636</v>
      </c>
      <c r="F2073" s="5">
        <v>74800000</v>
      </c>
      <c r="G2073" s="5">
        <v>77800000</v>
      </c>
      <c r="H2073" s="5">
        <f>M2073*26000*1.20565</f>
        <v>70875340.900000006</v>
      </c>
      <c r="I2073" s="5">
        <f>G2073-H2073</f>
        <v>6924659.099999994</v>
      </c>
      <c r="J2073" s="5">
        <v>3000000</v>
      </c>
      <c r="K2073" s="5">
        <v>7480000</v>
      </c>
      <c r="L2073" s="5">
        <v>7780000</v>
      </c>
      <c r="M2073" s="7">
        <v>2261</v>
      </c>
      <c r="N2073" s="5">
        <v>75300000</v>
      </c>
      <c r="O2073" s="5">
        <v>78300000</v>
      </c>
      <c r="P2073" s="3">
        <v>0.97916666666666663</v>
      </c>
    </row>
    <row r="2074" spans="1:16" x14ac:dyDescent="0.25">
      <c r="A2074" s="2">
        <v>45355</v>
      </c>
      <c r="B2074" s="2">
        <v>45385</v>
      </c>
      <c r="C2074" t="str">
        <f>TEXT(B2074,"mm")</f>
        <v>04</v>
      </c>
      <c r="D2074" t="s">
        <v>19</v>
      </c>
      <c r="E2074" t="s">
        <v>1636</v>
      </c>
      <c r="F2074" s="5">
        <v>75900000</v>
      </c>
      <c r="G2074" s="5">
        <v>78900000</v>
      </c>
      <c r="H2074" s="5">
        <f>M2074*26000*1.20565</f>
        <v>71922327.359999999</v>
      </c>
      <c r="I2074" s="5">
        <f>G2074-H2074</f>
        <v>6977672.6400000006</v>
      </c>
      <c r="J2074" s="5">
        <v>3000000</v>
      </c>
      <c r="K2074" s="5">
        <v>7590000</v>
      </c>
      <c r="L2074" s="5">
        <v>7890000</v>
      </c>
      <c r="M2074" s="7">
        <v>2294.4</v>
      </c>
      <c r="N2074" s="5">
        <v>76400000</v>
      </c>
      <c r="O2074" s="5">
        <v>79400000</v>
      </c>
      <c r="P2074" s="3">
        <v>0.97916666666666663</v>
      </c>
    </row>
    <row r="2075" spans="1:16" x14ac:dyDescent="0.25">
      <c r="A2075" s="2">
        <v>45386</v>
      </c>
      <c r="B2075" s="2">
        <v>45386</v>
      </c>
      <c r="C2075" t="str">
        <f>TEXT(B2075,"mm")</f>
        <v>04</v>
      </c>
      <c r="D2075" t="s">
        <v>20</v>
      </c>
      <c r="E2075" t="s">
        <v>1636</v>
      </c>
      <c r="F2075" s="5">
        <v>75700000</v>
      </c>
      <c r="G2075" s="5">
        <v>78700000</v>
      </c>
      <c r="H2075" s="5">
        <f>M2075*26000*1.20565</f>
        <v>71746784.720000014</v>
      </c>
      <c r="I2075" s="5">
        <f>G2075-H2075</f>
        <v>6953215.2799999863</v>
      </c>
      <c r="J2075" s="5">
        <v>3000000</v>
      </c>
      <c r="K2075" s="5">
        <v>7570000</v>
      </c>
      <c r="L2075" s="5">
        <v>7870000</v>
      </c>
      <c r="M2075" s="7">
        <v>2288.8000000000002</v>
      </c>
      <c r="N2075" s="5">
        <v>76200000</v>
      </c>
      <c r="O2075" s="5">
        <v>79200000</v>
      </c>
      <c r="P2075" s="3">
        <v>0.97916666666666663</v>
      </c>
    </row>
    <row r="2076" spans="1:16" x14ac:dyDescent="0.25">
      <c r="A2076" s="2">
        <v>45416</v>
      </c>
      <c r="B2076" s="2">
        <v>45387</v>
      </c>
      <c r="C2076" t="str">
        <f>TEXT(B2076,"mm")</f>
        <v>04</v>
      </c>
      <c r="D2076" t="s">
        <v>21</v>
      </c>
      <c r="E2076" t="s">
        <v>1636</v>
      </c>
      <c r="F2076" s="5">
        <v>77000000</v>
      </c>
      <c r="G2076" s="5">
        <v>80000000</v>
      </c>
      <c r="H2076" s="5">
        <f>M2076*26000*1.20565</f>
        <v>72903485.329999998</v>
      </c>
      <c r="I2076" s="5">
        <f>G2076-H2076</f>
        <v>7096514.6700000018</v>
      </c>
      <c r="J2076" s="5">
        <v>3000000</v>
      </c>
      <c r="K2076" s="5">
        <v>7700000</v>
      </c>
      <c r="L2076" s="5">
        <v>8000000</v>
      </c>
      <c r="M2076" s="7">
        <v>2325.6999999999998</v>
      </c>
      <c r="N2076" s="5">
        <v>77500000</v>
      </c>
      <c r="O2076" s="5">
        <v>80500000</v>
      </c>
      <c r="P2076" s="3">
        <v>0.97916666666666663</v>
      </c>
    </row>
    <row r="2077" spans="1:16" x14ac:dyDescent="0.25">
      <c r="A2077" s="2">
        <v>45508</v>
      </c>
      <c r="B2077" s="2">
        <v>45390</v>
      </c>
      <c r="C2077" t="str">
        <f>TEXT(B2077,"mm")</f>
        <v>04</v>
      </c>
      <c r="D2077" t="s">
        <v>16</v>
      </c>
      <c r="E2077" t="s">
        <v>1636</v>
      </c>
      <c r="F2077" s="5">
        <v>77200000</v>
      </c>
      <c r="G2077" s="5">
        <v>80200000</v>
      </c>
      <c r="H2077" s="5">
        <f>M2077*26000*1.20565</f>
        <v>73091566.730000004</v>
      </c>
      <c r="I2077" s="5">
        <f>G2077-H2077</f>
        <v>7108433.2699999958</v>
      </c>
      <c r="J2077" s="5">
        <v>3000000</v>
      </c>
      <c r="K2077" s="5">
        <v>7720000</v>
      </c>
      <c r="L2077" s="5">
        <v>8020000</v>
      </c>
      <c r="M2077" s="7">
        <v>2331.6999999999998</v>
      </c>
      <c r="N2077" s="5">
        <v>77700000</v>
      </c>
      <c r="O2077" s="5">
        <v>80700000</v>
      </c>
      <c r="P2077" s="3">
        <v>0.97916666666666663</v>
      </c>
    </row>
    <row r="2078" spans="1:16" x14ac:dyDescent="0.25">
      <c r="A2078" s="2">
        <v>45539</v>
      </c>
      <c r="B2078" s="2">
        <v>45391</v>
      </c>
      <c r="C2078" t="str">
        <f>TEXT(B2078,"mm")</f>
        <v>04</v>
      </c>
      <c r="D2078" t="s">
        <v>18</v>
      </c>
      <c r="E2078" t="s">
        <v>1636</v>
      </c>
      <c r="F2078" s="5">
        <v>77600000</v>
      </c>
      <c r="G2078" s="5">
        <v>80600000</v>
      </c>
      <c r="H2078" s="5">
        <f>M2078*26000*1.20565</f>
        <v>73461460.150000006</v>
      </c>
      <c r="I2078" s="5">
        <f>G2078-H2078</f>
        <v>7138539.849999994</v>
      </c>
      <c r="J2078" s="5">
        <v>3000000</v>
      </c>
      <c r="K2078" s="5">
        <v>7760000</v>
      </c>
      <c r="L2078" s="5">
        <v>8060000</v>
      </c>
      <c r="M2078" s="7">
        <v>2343.5</v>
      </c>
      <c r="N2078" s="5">
        <v>78100000</v>
      </c>
      <c r="O2078" s="5">
        <v>81100000</v>
      </c>
      <c r="P2078" s="3">
        <v>0.97916666666666663</v>
      </c>
    </row>
    <row r="2079" spans="1:16" x14ac:dyDescent="0.25">
      <c r="A2079" s="2">
        <v>45569</v>
      </c>
      <c r="B2079" s="2">
        <v>45392</v>
      </c>
      <c r="C2079" t="str">
        <f>TEXT(B2079,"mm")</f>
        <v>04</v>
      </c>
      <c r="D2079" t="s">
        <v>19</v>
      </c>
      <c r="E2079" t="s">
        <v>1636</v>
      </c>
      <c r="F2079" s="5">
        <v>77100000</v>
      </c>
      <c r="G2079" s="5">
        <v>80100000</v>
      </c>
      <c r="H2079" s="5">
        <f>M2079*26000*1.20565</f>
        <v>73025738.24000001</v>
      </c>
      <c r="I2079" s="5">
        <f>G2079-H2079</f>
        <v>7074261.7599999905</v>
      </c>
      <c r="J2079" s="5">
        <v>3000000</v>
      </c>
      <c r="K2079" s="5">
        <v>7710000</v>
      </c>
      <c r="L2079" s="5">
        <v>8010000</v>
      </c>
      <c r="M2079" s="7">
        <v>2329.6</v>
      </c>
      <c r="N2079" s="5">
        <v>77600000</v>
      </c>
      <c r="O2079" s="5">
        <v>80600000</v>
      </c>
      <c r="P2079" s="3">
        <v>0.97916666666666663</v>
      </c>
    </row>
    <row r="2080" spans="1:16" x14ac:dyDescent="0.25">
      <c r="A2080" s="2">
        <v>45600</v>
      </c>
      <c r="B2080" s="2">
        <v>45393</v>
      </c>
      <c r="C2080" t="str">
        <f>TEXT(B2080,"mm")</f>
        <v>04</v>
      </c>
      <c r="D2080" t="s">
        <v>20</v>
      </c>
      <c r="E2080" t="s">
        <v>1636</v>
      </c>
      <c r="F2080" s="5">
        <v>78000000</v>
      </c>
      <c r="G2080" s="5">
        <v>81000000</v>
      </c>
      <c r="H2080" s="5">
        <f>M2080*26000*1.20565</f>
        <v>73815680.12000002</v>
      </c>
      <c r="I2080" s="5">
        <f>G2080-H2080</f>
        <v>7184319.8799999803</v>
      </c>
      <c r="J2080" s="5">
        <v>3000000</v>
      </c>
      <c r="K2080" s="5">
        <v>7800000</v>
      </c>
      <c r="L2080" s="5">
        <v>8100000</v>
      </c>
      <c r="M2080" s="7">
        <v>2354.8000000000002</v>
      </c>
      <c r="N2080" s="5">
        <v>78500000</v>
      </c>
      <c r="O2080" s="5">
        <v>81500000</v>
      </c>
      <c r="P2080" s="3">
        <v>0.97916666666666663</v>
      </c>
    </row>
    <row r="2081" spans="1:16" x14ac:dyDescent="0.25">
      <c r="A2081" s="2">
        <v>45630</v>
      </c>
      <c r="B2081" s="2">
        <v>45394</v>
      </c>
      <c r="C2081" t="str">
        <f>TEXT(B2081,"mm")</f>
        <v>04</v>
      </c>
      <c r="D2081" t="s">
        <v>21</v>
      </c>
      <c r="E2081" t="s">
        <v>1636</v>
      </c>
      <c r="F2081" s="5">
        <v>78100000</v>
      </c>
      <c r="G2081" s="5">
        <v>81100000</v>
      </c>
      <c r="H2081" s="5">
        <f>M2081*26000*1.20565</f>
        <v>73859565.780000001</v>
      </c>
      <c r="I2081" s="5">
        <f>G2081-H2081</f>
        <v>7240434.2199999988</v>
      </c>
      <c r="J2081" s="5">
        <v>3000000</v>
      </c>
      <c r="K2081" s="5">
        <v>7810000</v>
      </c>
      <c r="L2081" s="5">
        <v>8110000</v>
      </c>
      <c r="M2081" s="7">
        <v>2356.1999999999998</v>
      </c>
      <c r="N2081" s="5">
        <v>78600000</v>
      </c>
      <c r="O2081" s="5">
        <v>81600000</v>
      </c>
      <c r="P2081" s="3">
        <v>0.97916666666666663</v>
      </c>
    </row>
    <row r="2082" spans="1:16" x14ac:dyDescent="0.25">
      <c r="A2082" t="s">
        <v>1276</v>
      </c>
      <c r="B2082" s="2">
        <v>45397</v>
      </c>
      <c r="C2082" t="str">
        <f>TEXT(B2082,"mm")</f>
        <v>04</v>
      </c>
      <c r="D2082" t="s">
        <v>16</v>
      </c>
      <c r="E2082" t="s">
        <v>1636</v>
      </c>
      <c r="F2082" s="5">
        <v>78400000</v>
      </c>
      <c r="G2082" s="5">
        <v>81400000</v>
      </c>
      <c r="H2082" s="5">
        <f>M2082*26000*1.20565</f>
        <v>74160496.020000011</v>
      </c>
      <c r="I2082" s="5">
        <f>G2082-H2082</f>
        <v>7239503.9799999893</v>
      </c>
      <c r="J2082" s="5">
        <v>3000000</v>
      </c>
      <c r="K2082" s="5">
        <v>7840000</v>
      </c>
      <c r="L2082" s="5">
        <v>8140000</v>
      </c>
      <c r="M2082" s="7">
        <v>2365.8000000000002</v>
      </c>
      <c r="N2082" s="5">
        <v>78900000</v>
      </c>
      <c r="O2082" s="5">
        <v>81900000</v>
      </c>
      <c r="P2082" s="3">
        <v>0.97916666666666663</v>
      </c>
    </row>
    <row r="2083" spans="1:16" x14ac:dyDescent="0.25">
      <c r="A2083" t="s">
        <v>1277</v>
      </c>
      <c r="B2083" s="2">
        <v>45398</v>
      </c>
      <c r="C2083" t="str">
        <f>TEXT(B2083,"mm")</f>
        <v>04</v>
      </c>
      <c r="D2083" t="s">
        <v>18</v>
      </c>
      <c r="E2083" t="s">
        <v>1636</v>
      </c>
      <c r="F2083" s="5">
        <v>79300000</v>
      </c>
      <c r="G2083" s="5">
        <v>82300000</v>
      </c>
      <c r="H2083" s="5">
        <f>M2083*26000*1.20565</f>
        <v>74944168.520000011</v>
      </c>
      <c r="I2083" s="5">
        <f>G2083-H2083</f>
        <v>7355831.4799999893</v>
      </c>
      <c r="J2083" s="5">
        <v>3000000</v>
      </c>
      <c r="K2083" s="5">
        <v>7930000</v>
      </c>
      <c r="L2083" s="5">
        <v>8230000</v>
      </c>
      <c r="M2083" s="7">
        <v>2390.8000000000002</v>
      </c>
      <c r="N2083" s="5">
        <v>79800000</v>
      </c>
      <c r="O2083" s="5">
        <v>82800000</v>
      </c>
      <c r="P2083" s="3">
        <v>0.97916666666666663</v>
      </c>
    </row>
    <row r="2084" spans="1:16" x14ac:dyDescent="0.25">
      <c r="A2084" t="s">
        <v>1278</v>
      </c>
      <c r="B2084" s="2">
        <v>45399</v>
      </c>
      <c r="C2084" t="str">
        <f>TEXT(B2084,"mm")</f>
        <v>04</v>
      </c>
      <c r="D2084" t="s">
        <v>19</v>
      </c>
      <c r="E2084" t="s">
        <v>1636</v>
      </c>
      <c r="F2084" s="5">
        <v>78600000</v>
      </c>
      <c r="G2084" s="5">
        <v>81600000</v>
      </c>
      <c r="H2084" s="5">
        <f>M2084*26000*1.20565</f>
        <v>74345442.730000004</v>
      </c>
      <c r="I2084" s="5">
        <f>G2084-H2084</f>
        <v>7254557.2699999958</v>
      </c>
      <c r="J2084" s="5">
        <v>3000000</v>
      </c>
      <c r="K2084" s="5">
        <v>7860000</v>
      </c>
      <c r="L2084" s="5">
        <v>8160000</v>
      </c>
      <c r="M2084" s="7">
        <v>2371.6999999999998</v>
      </c>
      <c r="N2084" s="5">
        <v>79100000</v>
      </c>
      <c r="O2084" s="5">
        <v>82100000</v>
      </c>
      <c r="P2084" s="3">
        <v>0.97916666666666663</v>
      </c>
    </row>
    <row r="2085" spans="1:16" x14ac:dyDescent="0.25">
      <c r="A2085" t="s">
        <v>1279</v>
      </c>
      <c r="B2085" s="2">
        <v>45400</v>
      </c>
      <c r="C2085" t="str">
        <f>TEXT(B2085,"mm")</f>
        <v>04</v>
      </c>
      <c r="D2085" t="s">
        <v>20</v>
      </c>
      <c r="E2085" t="s">
        <v>1636</v>
      </c>
      <c r="F2085" s="5">
        <v>79000000</v>
      </c>
      <c r="G2085" s="5">
        <v>82000000</v>
      </c>
      <c r="H2085" s="5">
        <f>M2085*26000*1.20565</f>
        <v>74677719.87000002</v>
      </c>
      <c r="I2085" s="5">
        <f>G2085-H2085</f>
        <v>7322280.1299999803</v>
      </c>
      <c r="J2085" s="5">
        <v>3000000</v>
      </c>
      <c r="K2085" s="5">
        <v>7900000</v>
      </c>
      <c r="L2085" s="5">
        <v>8200000</v>
      </c>
      <c r="M2085" s="7">
        <v>2382.3000000000002</v>
      </c>
      <c r="N2085" s="5">
        <v>79500000</v>
      </c>
      <c r="O2085" s="5">
        <v>82500000</v>
      </c>
      <c r="P2085" s="3">
        <v>0.97916666666666663</v>
      </c>
    </row>
    <row r="2086" spans="1:16" x14ac:dyDescent="0.25">
      <c r="A2086" t="s">
        <v>1280</v>
      </c>
      <c r="B2086" s="2">
        <v>45401</v>
      </c>
      <c r="C2086" t="str">
        <f>TEXT(B2086,"mm")</f>
        <v>04</v>
      </c>
      <c r="D2086" t="s">
        <v>21</v>
      </c>
      <c r="E2086" t="s">
        <v>1636</v>
      </c>
      <c r="F2086" s="5">
        <v>79500000</v>
      </c>
      <c r="G2086" s="5">
        <v>82500000</v>
      </c>
      <c r="H2086" s="5">
        <f>M2086*26000*1.20565</f>
        <v>75182404.960000008</v>
      </c>
      <c r="I2086" s="5">
        <f>G2086-H2086</f>
        <v>7317595.0399999917</v>
      </c>
      <c r="J2086" s="5">
        <v>3000000</v>
      </c>
      <c r="K2086" s="5">
        <v>7950000</v>
      </c>
      <c r="L2086" s="5">
        <v>8250000</v>
      </c>
      <c r="M2086" s="7">
        <v>2398.4</v>
      </c>
      <c r="N2086" s="5">
        <v>80000000</v>
      </c>
      <c r="O2086" s="5">
        <v>83000000</v>
      </c>
      <c r="P2086" s="3">
        <v>0.97916666666666663</v>
      </c>
    </row>
    <row r="2087" spans="1:16" x14ac:dyDescent="0.25">
      <c r="A2087" t="s">
        <v>1281</v>
      </c>
      <c r="B2087" s="2">
        <v>45404</v>
      </c>
      <c r="C2087" t="str">
        <f>TEXT(B2087,"mm")</f>
        <v>04</v>
      </c>
      <c r="D2087" t="s">
        <v>16</v>
      </c>
      <c r="E2087" t="s">
        <v>1636</v>
      </c>
      <c r="F2087" s="5">
        <v>77200000</v>
      </c>
      <c r="G2087" s="5">
        <v>80200000</v>
      </c>
      <c r="H2087" s="5">
        <f>M2087*26000*1.20565</f>
        <v>73107240.179999992</v>
      </c>
      <c r="I2087" s="5">
        <f>G2087-H2087</f>
        <v>7092759.8200000077</v>
      </c>
      <c r="J2087" s="5">
        <v>3000000</v>
      </c>
      <c r="K2087" s="5">
        <v>7720000</v>
      </c>
      <c r="L2087" s="5">
        <v>8020000</v>
      </c>
      <c r="M2087" s="7">
        <v>2332.1999999999998</v>
      </c>
      <c r="N2087" s="5">
        <v>77700000</v>
      </c>
      <c r="O2087" s="5">
        <v>80700000</v>
      </c>
      <c r="P2087" s="3">
        <v>0.97916666666666663</v>
      </c>
    </row>
    <row r="2088" spans="1:16" x14ac:dyDescent="0.25">
      <c r="A2088" t="s">
        <v>1282</v>
      </c>
      <c r="B2088" s="2">
        <v>45405</v>
      </c>
      <c r="C2088" t="str">
        <f>TEXT(B2088,"mm")</f>
        <v>04</v>
      </c>
      <c r="D2088" t="s">
        <v>18</v>
      </c>
      <c r="E2088" t="s">
        <v>1636</v>
      </c>
      <c r="F2088" s="5">
        <v>77100000</v>
      </c>
      <c r="G2088" s="5">
        <v>80100000</v>
      </c>
      <c r="H2088" s="5">
        <f>M2088*26000*1.20565</f>
        <v>72966179.129999995</v>
      </c>
      <c r="I2088" s="5">
        <f>G2088-H2088</f>
        <v>7133820.8700000048</v>
      </c>
      <c r="J2088" s="5">
        <v>3000000</v>
      </c>
      <c r="K2088" s="5">
        <v>7710000</v>
      </c>
      <c r="L2088" s="5">
        <v>8010000</v>
      </c>
      <c r="M2088" s="7">
        <v>2327.6999999999998</v>
      </c>
      <c r="N2088" s="5">
        <v>77600000</v>
      </c>
      <c r="O2088" s="5">
        <v>80600000</v>
      </c>
      <c r="P2088" s="3">
        <v>0.97916666666666663</v>
      </c>
    </row>
    <row r="2089" spans="1:16" x14ac:dyDescent="0.25">
      <c r="A2089" t="s">
        <v>1283</v>
      </c>
      <c r="B2089" s="2">
        <v>45406</v>
      </c>
      <c r="C2089" t="str">
        <f>TEXT(B2089,"mm")</f>
        <v>04</v>
      </c>
      <c r="D2089" t="s">
        <v>19</v>
      </c>
      <c r="E2089" t="s">
        <v>1636</v>
      </c>
      <c r="F2089" s="5">
        <v>77000000</v>
      </c>
      <c r="G2089" s="5">
        <v>80000000</v>
      </c>
      <c r="H2089" s="5">
        <f>M2089*26000*1.20565</f>
        <v>72865869.050000012</v>
      </c>
      <c r="I2089" s="5">
        <f>G2089-H2089</f>
        <v>7134130.9499999881</v>
      </c>
      <c r="J2089" s="5">
        <v>3000000</v>
      </c>
      <c r="K2089" s="5">
        <v>7700000</v>
      </c>
      <c r="L2089" s="5">
        <v>8000000</v>
      </c>
      <c r="M2089" s="7">
        <v>2324.5</v>
      </c>
      <c r="N2089" s="5">
        <v>77500000</v>
      </c>
      <c r="O2089" s="5">
        <v>80500000</v>
      </c>
      <c r="P2089" s="3">
        <v>0.97916666666666663</v>
      </c>
    </row>
    <row r="2090" spans="1:16" x14ac:dyDescent="0.25">
      <c r="A2090" t="s">
        <v>1284</v>
      </c>
      <c r="B2090" s="2">
        <v>45407</v>
      </c>
      <c r="C2090" t="str">
        <f>TEXT(B2090,"mm")</f>
        <v>04</v>
      </c>
      <c r="D2090" t="s">
        <v>20</v>
      </c>
      <c r="E2090" t="s">
        <v>1636</v>
      </c>
      <c r="F2090" s="5">
        <v>77200000</v>
      </c>
      <c r="G2090" s="5">
        <v>80200000</v>
      </c>
      <c r="H2090" s="5">
        <f>M2090*26000*1.20565</f>
        <v>73032007.62000002</v>
      </c>
      <c r="I2090" s="5">
        <f>G2090-H2090</f>
        <v>7167992.3799999803</v>
      </c>
      <c r="J2090" s="5">
        <v>3000000</v>
      </c>
      <c r="K2090" s="5">
        <v>7720000</v>
      </c>
      <c r="L2090" s="5">
        <v>8020000</v>
      </c>
      <c r="M2090" s="7">
        <v>2329.8000000000002</v>
      </c>
      <c r="N2090" s="5">
        <v>77700000</v>
      </c>
      <c r="O2090" s="5">
        <v>80700000</v>
      </c>
      <c r="P2090" s="3">
        <v>0.97916666666666663</v>
      </c>
    </row>
    <row r="2091" spans="1:16" x14ac:dyDescent="0.25">
      <c r="A2091" t="s">
        <v>1285</v>
      </c>
      <c r="B2091" s="2">
        <v>45408</v>
      </c>
      <c r="C2091" t="str">
        <f>TEXT(B2091,"mm")</f>
        <v>04</v>
      </c>
      <c r="D2091" t="s">
        <v>21</v>
      </c>
      <c r="E2091" t="s">
        <v>1636</v>
      </c>
      <c r="F2091" s="5">
        <v>77300000</v>
      </c>
      <c r="G2091" s="5">
        <v>80300000</v>
      </c>
      <c r="H2091" s="5">
        <f>M2091*26000*1.20565</f>
        <v>73188742.12000002</v>
      </c>
      <c r="I2091" s="5">
        <f>G2091-H2091</f>
        <v>7111257.8799999803</v>
      </c>
      <c r="J2091" s="5">
        <v>3000000</v>
      </c>
      <c r="K2091" s="5">
        <v>7730000</v>
      </c>
      <c r="L2091" s="5">
        <v>8030000</v>
      </c>
      <c r="M2091" s="7">
        <v>2334.8000000000002</v>
      </c>
      <c r="N2091" s="5">
        <v>77800000</v>
      </c>
      <c r="O2091" s="5">
        <v>80800000</v>
      </c>
      <c r="P2091" s="3">
        <v>0.97916666666666663</v>
      </c>
    </row>
    <row r="2092" spans="1:16" x14ac:dyDescent="0.25">
      <c r="A2092" t="s">
        <v>1286</v>
      </c>
      <c r="B2092" s="2">
        <v>45411</v>
      </c>
      <c r="C2092" t="str">
        <f>TEXT(B2092,"mm")</f>
        <v>04</v>
      </c>
      <c r="D2092" t="s">
        <v>16</v>
      </c>
      <c r="E2092" t="s">
        <v>1636</v>
      </c>
      <c r="F2092" s="5">
        <v>77700000</v>
      </c>
      <c r="G2092" s="5">
        <v>80700000</v>
      </c>
      <c r="H2092" s="5">
        <f>M2092*26000*1.20565</f>
        <v>73521019.260000005</v>
      </c>
      <c r="I2092" s="5">
        <f>G2092-H2092</f>
        <v>7178980.7399999946</v>
      </c>
      <c r="J2092" s="5">
        <v>3000000</v>
      </c>
      <c r="K2092" s="5">
        <v>7770000</v>
      </c>
      <c r="L2092" s="5">
        <v>8070000</v>
      </c>
      <c r="M2092" s="7">
        <v>2345.4</v>
      </c>
      <c r="N2092" s="5">
        <v>78200000</v>
      </c>
      <c r="O2092" s="5">
        <v>81200000</v>
      </c>
      <c r="P2092" s="3">
        <v>0.97916666666666663</v>
      </c>
    </row>
    <row r="2093" spans="1:16" x14ac:dyDescent="0.25">
      <c r="A2093" t="s">
        <v>1287</v>
      </c>
      <c r="B2093" s="2">
        <v>45412</v>
      </c>
      <c r="C2093" t="str">
        <f>TEXT(B2093,"mm")</f>
        <v>04</v>
      </c>
      <c r="D2093" t="s">
        <v>18</v>
      </c>
      <c r="E2093" t="s">
        <v>1636</v>
      </c>
      <c r="F2093" s="5">
        <v>75800000</v>
      </c>
      <c r="G2093" s="5">
        <v>78800000</v>
      </c>
      <c r="H2093" s="5">
        <f>M2093*26000*1.20565</f>
        <v>71828286.660000011</v>
      </c>
      <c r="I2093" s="5">
        <f>G2093-H2093</f>
        <v>6971713.3399999887</v>
      </c>
      <c r="J2093" s="5">
        <v>3000000</v>
      </c>
      <c r="K2093" s="5">
        <v>7580000</v>
      </c>
      <c r="L2093" s="5">
        <v>7880000</v>
      </c>
      <c r="M2093" s="7">
        <v>2291.4</v>
      </c>
      <c r="N2093" s="5">
        <v>76300000</v>
      </c>
      <c r="O2093" s="5">
        <v>79300000</v>
      </c>
      <c r="P2093" s="3">
        <v>0.97916666666666663</v>
      </c>
    </row>
    <row r="2094" spans="1:16" x14ac:dyDescent="0.25">
      <c r="A2094" s="2">
        <v>45296</v>
      </c>
      <c r="B2094" s="2">
        <v>45413</v>
      </c>
      <c r="C2094" t="str">
        <f>TEXT(B2094,"mm")</f>
        <v>05</v>
      </c>
      <c r="D2094" t="s">
        <v>19</v>
      </c>
      <c r="E2094" t="s">
        <v>1636</v>
      </c>
      <c r="F2094" s="5">
        <v>76100000</v>
      </c>
      <c r="G2094" s="5">
        <v>79100000</v>
      </c>
      <c r="H2094" s="5">
        <f>M2094*26000*1.20565</f>
        <v>72094735.310000002</v>
      </c>
      <c r="I2094" s="5">
        <f>G2094-H2094</f>
        <v>7005264.6899999976</v>
      </c>
      <c r="J2094" s="5">
        <v>3000000</v>
      </c>
      <c r="K2094" s="5">
        <v>7610000</v>
      </c>
      <c r="L2094" s="5">
        <v>7910000</v>
      </c>
      <c r="M2094" s="7">
        <v>2299.9</v>
      </c>
      <c r="N2094" s="5">
        <v>76600000</v>
      </c>
      <c r="O2094" s="5">
        <v>79600000</v>
      </c>
      <c r="P2094" s="3">
        <v>0.97916666666666663</v>
      </c>
    </row>
    <row r="2095" spans="1:16" x14ac:dyDescent="0.25">
      <c r="A2095" s="2">
        <v>45327</v>
      </c>
      <c r="B2095" s="2">
        <v>45414</v>
      </c>
      <c r="C2095" t="str">
        <f>TEXT(B2095,"mm")</f>
        <v>05</v>
      </c>
      <c r="D2095" t="s">
        <v>20</v>
      </c>
      <c r="E2095" t="s">
        <v>1636</v>
      </c>
      <c r="F2095" s="5">
        <v>76100000</v>
      </c>
      <c r="G2095" s="5">
        <v>79100000</v>
      </c>
      <c r="H2095" s="5">
        <f>M2095*26000*1.20565</f>
        <v>72072792.480000004</v>
      </c>
      <c r="I2095" s="5">
        <f>G2095-H2095</f>
        <v>7027207.5199999958</v>
      </c>
      <c r="J2095" s="5">
        <v>3000000</v>
      </c>
      <c r="K2095" s="5">
        <v>7610000</v>
      </c>
      <c r="L2095" s="5">
        <v>7910000</v>
      </c>
      <c r="M2095" s="7">
        <v>2299.1999999999998</v>
      </c>
      <c r="N2095" s="5">
        <v>76600000</v>
      </c>
      <c r="O2095" s="5">
        <v>79600000</v>
      </c>
      <c r="P2095" s="3">
        <v>0.97916666666666663</v>
      </c>
    </row>
    <row r="2096" spans="1:16" x14ac:dyDescent="0.25">
      <c r="A2096" s="2">
        <v>45356</v>
      </c>
      <c r="B2096" s="2">
        <v>45415</v>
      </c>
      <c r="C2096" t="str">
        <f>TEXT(B2096,"mm")</f>
        <v>05</v>
      </c>
      <c r="D2096" t="s">
        <v>21</v>
      </c>
      <c r="E2096" t="s">
        <v>1636</v>
      </c>
      <c r="F2096" s="5">
        <v>76100000</v>
      </c>
      <c r="G2096" s="5">
        <v>79100000</v>
      </c>
      <c r="H2096" s="5">
        <f>M2096*26000*1.20565</f>
        <v>72066523.100000009</v>
      </c>
      <c r="I2096" s="5">
        <f>G2096-H2096</f>
        <v>7033476.8999999911</v>
      </c>
      <c r="J2096" s="5">
        <v>3000000</v>
      </c>
      <c r="K2096" s="5">
        <v>7610000</v>
      </c>
      <c r="L2096" s="5">
        <v>7910000</v>
      </c>
      <c r="M2096" s="7">
        <v>2299</v>
      </c>
      <c r="N2096" s="5">
        <v>76600000</v>
      </c>
      <c r="O2096" s="5">
        <v>79600000</v>
      </c>
      <c r="P2096" s="3">
        <v>0.97916666666666663</v>
      </c>
    </row>
    <row r="2097" spans="1:16" x14ac:dyDescent="0.25">
      <c r="A2097" s="2">
        <v>45448</v>
      </c>
      <c r="B2097" s="2">
        <v>45418</v>
      </c>
      <c r="C2097" t="str">
        <f>TEXT(B2097,"mm")</f>
        <v>05</v>
      </c>
      <c r="D2097" t="s">
        <v>16</v>
      </c>
      <c r="E2097" t="s">
        <v>1636</v>
      </c>
      <c r="F2097" s="5">
        <v>76900000</v>
      </c>
      <c r="G2097" s="5">
        <v>79900000</v>
      </c>
      <c r="H2097" s="5">
        <f>M2097*26000*1.20565</f>
        <v>72774963.040000007</v>
      </c>
      <c r="I2097" s="5">
        <f>G2097-H2097</f>
        <v>7125036.9599999934</v>
      </c>
      <c r="J2097" s="5">
        <v>3000000</v>
      </c>
      <c r="K2097" s="5">
        <v>7690000</v>
      </c>
      <c r="L2097" s="5">
        <v>7990000</v>
      </c>
      <c r="M2097" s="7">
        <v>2321.6</v>
      </c>
      <c r="N2097" s="5">
        <v>77400000</v>
      </c>
      <c r="O2097" s="5">
        <v>80400000</v>
      </c>
      <c r="P2097" s="3">
        <v>0.97916666666666663</v>
      </c>
    </row>
    <row r="2098" spans="1:16" x14ac:dyDescent="0.25">
      <c r="A2098" s="2">
        <v>45478</v>
      </c>
      <c r="B2098" s="2">
        <v>45419</v>
      </c>
      <c r="C2098" t="str">
        <f>TEXT(B2098,"mm")</f>
        <v>05</v>
      </c>
      <c r="D2098" t="s">
        <v>18</v>
      </c>
      <c r="E2098" t="s">
        <v>1636</v>
      </c>
      <c r="F2098" s="5">
        <v>76700000</v>
      </c>
      <c r="G2098" s="5">
        <v>79700000</v>
      </c>
      <c r="H2098" s="5">
        <f>M2098*26000*1.20565</f>
        <v>72574342.879999995</v>
      </c>
      <c r="I2098" s="5">
        <f>G2098-H2098</f>
        <v>7125657.1200000048</v>
      </c>
      <c r="J2098" s="5">
        <v>3000000</v>
      </c>
      <c r="K2098" s="5">
        <v>7670000</v>
      </c>
      <c r="L2098" s="5">
        <v>7970000</v>
      </c>
      <c r="M2098" s="7">
        <v>2315.1999999999998</v>
      </c>
      <c r="N2098" s="5">
        <v>77200000</v>
      </c>
      <c r="O2098" s="5">
        <v>80200000</v>
      </c>
      <c r="P2098" s="3">
        <v>0.97916666666666663</v>
      </c>
    </row>
    <row r="2099" spans="1:16" x14ac:dyDescent="0.25">
      <c r="A2099" s="2">
        <v>45509</v>
      </c>
      <c r="B2099" s="2">
        <v>45420</v>
      </c>
      <c r="C2099" t="str">
        <f>TEXT(B2099,"mm")</f>
        <v>05</v>
      </c>
      <c r="D2099" t="s">
        <v>19</v>
      </c>
      <c r="E2099" t="s">
        <v>1636</v>
      </c>
      <c r="F2099" s="5">
        <v>76600000</v>
      </c>
      <c r="G2099" s="5">
        <v>79600000</v>
      </c>
      <c r="H2099" s="5">
        <f>M2099*26000*1.20565</f>
        <v>72524187.840000004</v>
      </c>
      <c r="I2099" s="5">
        <f>G2099-H2099</f>
        <v>7075812.1599999964</v>
      </c>
      <c r="J2099" s="5">
        <v>3000000</v>
      </c>
      <c r="K2099" s="5">
        <v>7660000</v>
      </c>
      <c r="L2099" s="5">
        <v>7960000</v>
      </c>
      <c r="M2099" s="7">
        <v>2313.6</v>
      </c>
      <c r="N2099" s="5">
        <v>77100000</v>
      </c>
      <c r="O2099" s="5">
        <v>80100000</v>
      </c>
      <c r="P2099" s="3">
        <v>0.97916666666666663</v>
      </c>
    </row>
    <row r="2100" spans="1:16" x14ac:dyDescent="0.25">
      <c r="A2100" s="2">
        <v>45540</v>
      </c>
      <c r="B2100" s="2">
        <v>45421</v>
      </c>
      <c r="C2100" t="str">
        <f>TEXT(B2100,"mm")</f>
        <v>05</v>
      </c>
      <c r="D2100" t="s">
        <v>20</v>
      </c>
      <c r="E2100" t="s">
        <v>1636</v>
      </c>
      <c r="F2100" s="5">
        <v>77200000</v>
      </c>
      <c r="G2100" s="5">
        <v>80200000</v>
      </c>
      <c r="H2100" s="5">
        <f>M2100*26000*1.20565</f>
        <v>73104105.49000001</v>
      </c>
      <c r="I2100" s="5">
        <f>G2100-H2100</f>
        <v>7095894.5099999905</v>
      </c>
      <c r="J2100" s="5">
        <v>3000000</v>
      </c>
      <c r="K2100" s="5">
        <v>7720000</v>
      </c>
      <c r="L2100" s="5">
        <v>8020000</v>
      </c>
      <c r="M2100" s="7">
        <v>2332.1</v>
      </c>
      <c r="N2100" s="5">
        <v>77700000</v>
      </c>
      <c r="O2100" s="5">
        <v>80700000</v>
      </c>
      <c r="P2100" s="3">
        <v>0.97916666666666663</v>
      </c>
    </row>
    <row r="2101" spans="1:16" x14ac:dyDescent="0.25">
      <c r="A2101" s="2">
        <v>45570</v>
      </c>
      <c r="B2101" s="2">
        <v>45422</v>
      </c>
      <c r="C2101" t="str">
        <f>TEXT(B2101,"mm")</f>
        <v>05</v>
      </c>
      <c r="D2101" t="s">
        <v>21</v>
      </c>
      <c r="E2101" t="s">
        <v>1636</v>
      </c>
      <c r="F2101" s="5">
        <v>78400000</v>
      </c>
      <c r="G2101" s="5">
        <v>81400000</v>
      </c>
      <c r="H2101" s="5">
        <f>M2101*26000*1.20565</f>
        <v>74207516.37000002</v>
      </c>
      <c r="I2101" s="5">
        <f>G2101-H2101</f>
        <v>7192483.6299999803</v>
      </c>
      <c r="J2101" s="5">
        <v>3000000</v>
      </c>
      <c r="K2101" s="5">
        <v>7840000</v>
      </c>
      <c r="L2101" s="5">
        <v>8140000</v>
      </c>
      <c r="M2101" s="7">
        <v>2367.3000000000002</v>
      </c>
      <c r="N2101" s="5">
        <v>78900000</v>
      </c>
      <c r="O2101" s="5">
        <v>81900000</v>
      </c>
      <c r="P2101" s="3">
        <v>0.97916666666666663</v>
      </c>
    </row>
    <row r="2102" spans="1:16" x14ac:dyDescent="0.25">
      <c r="A2102" t="s">
        <v>1288</v>
      </c>
      <c r="B2102" s="2">
        <v>45425</v>
      </c>
      <c r="C2102" t="str">
        <f>TEXT(B2102,"mm")</f>
        <v>05</v>
      </c>
      <c r="D2102" t="s">
        <v>16</v>
      </c>
      <c r="E2102" t="s">
        <v>1636</v>
      </c>
      <c r="F2102" s="5">
        <v>77400000</v>
      </c>
      <c r="G2102" s="5">
        <v>80400000</v>
      </c>
      <c r="H2102" s="5">
        <f>M2102*26000*1.20565</f>
        <v>73229493.090000004</v>
      </c>
      <c r="I2102" s="5">
        <f>G2102-H2102</f>
        <v>7170506.9099999964</v>
      </c>
      <c r="J2102" s="5">
        <v>3000000</v>
      </c>
      <c r="K2102" s="5">
        <v>7740000</v>
      </c>
      <c r="L2102" s="5">
        <v>8040000</v>
      </c>
      <c r="M2102" s="7">
        <v>2336.1</v>
      </c>
      <c r="N2102" s="5">
        <v>77900000</v>
      </c>
      <c r="O2102" s="5">
        <v>80900000</v>
      </c>
      <c r="P2102" s="3">
        <v>0.97916666666666663</v>
      </c>
    </row>
    <row r="2103" spans="1:16" x14ac:dyDescent="0.25">
      <c r="A2103" t="s">
        <v>1289</v>
      </c>
      <c r="B2103" s="2">
        <v>45426</v>
      </c>
      <c r="C2103" t="str">
        <f>TEXT(B2103,"mm")</f>
        <v>05</v>
      </c>
      <c r="D2103" t="s">
        <v>18</v>
      </c>
      <c r="E2103" t="s">
        <v>1636</v>
      </c>
      <c r="F2103" s="5">
        <v>78000000</v>
      </c>
      <c r="G2103" s="5">
        <v>81000000</v>
      </c>
      <c r="H2103" s="5">
        <f>M2103*26000*1.20565</f>
        <v>73771794.460000008</v>
      </c>
      <c r="I2103" s="5">
        <f>G2103-H2103</f>
        <v>7228205.5399999917</v>
      </c>
      <c r="J2103" s="5">
        <v>3000000</v>
      </c>
      <c r="K2103" s="5">
        <v>7800000</v>
      </c>
      <c r="L2103" s="5">
        <v>8100000</v>
      </c>
      <c r="M2103" s="7">
        <v>2353.4</v>
      </c>
      <c r="N2103" s="5">
        <v>78500000</v>
      </c>
      <c r="O2103" s="5">
        <v>81500000</v>
      </c>
      <c r="P2103" s="3">
        <v>0.97916666666666663</v>
      </c>
    </row>
    <row r="2104" spans="1:16" x14ac:dyDescent="0.25">
      <c r="A2104" t="s">
        <v>1290</v>
      </c>
      <c r="B2104" s="2">
        <v>45427</v>
      </c>
      <c r="C2104" t="str">
        <f>TEXT(B2104,"mm")</f>
        <v>05</v>
      </c>
      <c r="D2104" t="s">
        <v>19</v>
      </c>
      <c r="E2104" t="s">
        <v>1636</v>
      </c>
      <c r="F2104" s="5">
        <v>79200000</v>
      </c>
      <c r="G2104" s="5">
        <v>82200000</v>
      </c>
      <c r="H2104" s="5">
        <f>M2104*26000*1.20565</f>
        <v>74878340.030000001</v>
      </c>
      <c r="I2104" s="5">
        <f>G2104-H2104</f>
        <v>7321659.9699999988</v>
      </c>
      <c r="J2104" s="5">
        <v>3000000</v>
      </c>
      <c r="K2104" s="5">
        <v>7920000</v>
      </c>
      <c r="L2104" s="5">
        <v>8220000</v>
      </c>
      <c r="M2104" s="7">
        <v>2388.6999999999998</v>
      </c>
      <c r="N2104" s="5">
        <v>79700000</v>
      </c>
      <c r="O2104" s="5">
        <v>82700000</v>
      </c>
      <c r="P2104" s="3">
        <v>0.97916666666666663</v>
      </c>
    </row>
    <row r="2105" spans="1:16" x14ac:dyDescent="0.25">
      <c r="A2105" t="s">
        <v>1291</v>
      </c>
      <c r="B2105" s="2">
        <v>45428</v>
      </c>
      <c r="C2105" t="str">
        <f>TEXT(B2105,"mm")</f>
        <v>05</v>
      </c>
      <c r="D2105" t="s">
        <v>20</v>
      </c>
      <c r="E2105" t="s">
        <v>1636</v>
      </c>
      <c r="F2105" s="5">
        <v>78900000</v>
      </c>
      <c r="G2105" s="5">
        <v>81900000</v>
      </c>
      <c r="H2105" s="5">
        <f>M2105*26000*1.20565</f>
        <v>74605622</v>
      </c>
      <c r="I2105" s="5">
        <f>G2105-H2105</f>
        <v>7294378</v>
      </c>
      <c r="J2105" s="5">
        <v>3000000</v>
      </c>
      <c r="K2105" s="5">
        <v>7890000</v>
      </c>
      <c r="L2105" s="5">
        <v>8190000</v>
      </c>
      <c r="M2105" s="7">
        <v>2380</v>
      </c>
      <c r="N2105" s="5">
        <v>79400000</v>
      </c>
      <c r="O2105" s="5">
        <v>82400000</v>
      </c>
      <c r="P2105" s="3">
        <v>0.97916666666666663</v>
      </c>
    </row>
    <row r="2106" spans="1:16" x14ac:dyDescent="0.25">
      <c r="A2106" t="s">
        <v>1292</v>
      </c>
      <c r="B2106" s="2">
        <v>45429</v>
      </c>
      <c r="C2106" t="str">
        <f>TEXT(B2106,"mm")</f>
        <v>05</v>
      </c>
      <c r="D2106" t="s">
        <v>21</v>
      </c>
      <c r="E2106" t="s">
        <v>1636</v>
      </c>
      <c r="F2106" s="5">
        <v>80000000</v>
      </c>
      <c r="G2106" s="5">
        <v>83000000</v>
      </c>
      <c r="H2106" s="5">
        <f>M2106*26000*1.20565</f>
        <v>75614992.179999992</v>
      </c>
      <c r="I2106" s="5">
        <f>G2106-H2106</f>
        <v>7385007.8200000077</v>
      </c>
      <c r="J2106" s="5">
        <v>3000000</v>
      </c>
      <c r="K2106" s="5">
        <v>8000000</v>
      </c>
      <c r="L2106" s="5">
        <v>8300000</v>
      </c>
      <c r="M2106" s="7">
        <v>2412.1999999999998</v>
      </c>
      <c r="N2106" s="5">
        <v>80500000</v>
      </c>
      <c r="O2106" s="5">
        <v>83500000</v>
      </c>
      <c r="P2106" s="3">
        <v>0.97916666666666663</v>
      </c>
    </row>
    <row r="2107" spans="1:16" x14ac:dyDescent="0.25">
      <c r="A2107" t="s">
        <v>1293</v>
      </c>
      <c r="B2107" s="2">
        <v>45432</v>
      </c>
      <c r="C2107" t="str">
        <f>TEXT(B2107,"mm")</f>
        <v>05</v>
      </c>
      <c r="D2107" t="s">
        <v>16</v>
      </c>
      <c r="E2107" t="s">
        <v>1636</v>
      </c>
      <c r="F2107" s="5">
        <v>80700000</v>
      </c>
      <c r="G2107" s="5">
        <v>83700000</v>
      </c>
      <c r="H2107" s="5">
        <f>M2107*26000*1.20565</f>
        <v>76295219.910000011</v>
      </c>
      <c r="I2107" s="5">
        <f>G2107-H2107</f>
        <v>7404780.0899999887</v>
      </c>
      <c r="J2107" s="5">
        <v>3000000</v>
      </c>
      <c r="K2107" s="5">
        <v>8070000</v>
      </c>
      <c r="L2107" s="5">
        <v>8370000</v>
      </c>
      <c r="M2107" s="7">
        <v>2433.9</v>
      </c>
      <c r="N2107" s="5">
        <v>81200000</v>
      </c>
      <c r="O2107" s="5">
        <v>84200000</v>
      </c>
      <c r="P2107" s="3">
        <v>0.97916666666666663</v>
      </c>
    </row>
    <row r="2108" spans="1:16" x14ac:dyDescent="0.25">
      <c r="A2108" t="s">
        <v>1294</v>
      </c>
      <c r="B2108" s="2">
        <v>45433</v>
      </c>
      <c r="C2108" t="str">
        <f>TEXT(B2108,"mm")</f>
        <v>05</v>
      </c>
      <c r="D2108" t="s">
        <v>18</v>
      </c>
      <c r="E2108" t="s">
        <v>1636</v>
      </c>
      <c r="F2108" s="5">
        <v>80300000</v>
      </c>
      <c r="G2108" s="5">
        <v>83300000</v>
      </c>
      <c r="H2108" s="5">
        <f>M2108*26000*1.20565</f>
        <v>75912787.730000004</v>
      </c>
      <c r="I2108" s="5">
        <f>G2108-H2108</f>
        <v>7387212.2699999958</v>
      </c>
      <c r="J2108" s="5">
        <v>3000000</v>
      </c>
      <c r="K2108" s="5">
        <v>8030000</v>
      </c>
      <c r="L2108" s="5">
        <v>8330000</v>
      </c>
      <c r="M2108" s="7">
        <v>2421.6999999999998</v>
      </c>
      <c r="N2108" s="5">
        <v>80800000</v>
      </c>
      <c r="O2108" s="5">
        <v>83800000</v>
      </c>
      <c r="P2108" s="3">
        <v>0.97916666666666663</v>
      </c>
    </row>
    <row r="2109" spans="1:16" x14ac:dyDescent="0.25">
      <c r="A2109" t="s">
        <v>1295</v>
      </c>
      <c r="B2109" s="2">
        <v>45434</v>
      </c>
      <c r="C2109" t="str">
        <f>TEXT(B2109,"mm")</f>
        <v>05</v>
      </c>
      <c r="D2109" t="s">
        <v>19</v>
      </c>
      <c r="E2109" t="s">
        <v>1636</v>
      </c>
      <c r="F2109" s="5">
        <v>79200000</v>
      </c>
      <c r="G2109" s="5">
        <v>82200000</v>
      </c>
      <c r="H2109" s="5">
        <f>M2109*26000*1.20565</f>
        <v>74894013.480000004</v>
      </c>
      <c r="I2109" s="5">
        <f>G2109-H2109</f>
        <v>7305986.5199999958</v>
      </c>
      <c r="J2109" s="5">
        <v>3000000</v>
      </c>
      <c r="K2109" s="5">
        <v>7920000</v>
      </c>
      <c r="L2109" s="5">
        <v>8220000</v>
      </c>
      <c r="M2109" s="7">
        <v>2389.1999999999998</v>
      </c>
      <c r="N2109" s="5">
        <v>79700000</v>
      </c>
      <c r="O2109" s="5">
        <v>82700000</v>
      </c>
      <c r="P2109" s="3">
        <v>0.97916666666666663</v>
      </c>
    </row>
    <row r="2110" spans="1:16" x14ac:dyDescent="0.25">
      <c r="A2110" t="s">
        <v>1296</v>
      </c>
      <c r="B2110" s="2">
        <v>45435</v>
      </c>
      <c r="C2110" t="str">
        <f>TEXT(B2110,"mm")</f>
        <v>05</v>
      </c>
      <c r="D2110" t="s">
        <v>20</v>
      </c>
      <c r="E2110" t="s">
        <v>1636</v>
      </c>
      <c r="F2110" s="5">
        <v>77300000</v>
      </c>
      <c r="G2110" s="5">
        <v>80300000</v>
      </c>
      <c r="H2110" s="5">
        <f>M2110*26000*1.20565</f>
        <v>73195011.5</v>
      </c>
      <c r="I2110" s="5">
        <f>G2110-H2110</f>
        <v>7104988.5</v>
      </c>
      <c r="J2110" s="5">
        <v>3000000</v>
      </c>
      <c r="K2110" s="5">
        <v>7730000</v>
      </c>
      <c r="L2110" s="5">
        <v>8030000</v>
      </c>
      <c r="M2110" s="7">
        <v>2335</v>
      </c>
      <c r="N2110" s="5">
        <v>77800000</v>
      </c>
      <c r="O2110" s="5">
        <v>80800000</v>
      </c>
      <c r="P2110" s="3">
        <v>0.97916666666666663</v>
      </c>
    </row>
    <row r="2111" spans="1:16" x14ac:dyDescent="0.25">
      <c r="A2111" t="s">
        <v>1297</v>
      </c>
      <c r="B2111" s="2">
        <v>45436</v>
      </c>
      <c r="C2111" t="str">
        <f>TEXT(B2111,"mm")</f>
        <v>05</v>
      </c>
      <c r="D2111" t="s">
        <v>21</v>
      </c>
      <c r="E2111" t="s">
        <v>1636</v>
      </c>
      <c r="F2111" s="5">
        <v>77200000</v>
      </c>
      <c r="G2111" s="5">
        <v>80200000</v>
      </c>
      <c r="H2111" s="5">
        <f>M2111*26000*1.20565</f>
        <v>73116644.25</v>
      </c>
      <c r="I2111" s="5">
        <f>G2111-H2111</f>
        <v>7083355.75</v>
      </c>
      <c r="J2111" s="5">
        <v>3000000</v>
      </c>
      <c r="K2111" s="5">
        <v>7720000</v>
      </c>
      <c r="L2111" s="5">
        <v>8020000</v>
      </c>
      <c r="M2111" s="7">
        <v>2332.5</v>
      </c>
      <c r="N2111" s="5">
        <v>77700000</v>
      </c>
      <c r="O2111" s="5">
        <v>80700000</v>
      </c>
      <c r="P2111" s="3">
        <v>0.97916666666666663</v>
      </c>
    </row>
    <row r="2112" spans="1:16" x14ac:dyDescent="0.25">
      <c r="A2112" t="s">
        <v>1298</v>
      </c>
      <c r="B2112" s="2">
        <v>45440</v>
      </c>
      <c r="C2112" t="str">
        <f>TEXT(B2112,"mm")</f>
        <v>05</v>
      </c>
      <c r="D2112" t="s">
        <v>18</v>
      </c>
      <c r="E2112" t="s">
        <v>1636</v>
      </c>
      <c r="F2112" s="5">
        <v>78000000</v>
      </c>
      <c r="G2112" s="5">
        <v>81000000</v>
      </c>
      <c r="H2112" s="5">
        <f>M2112*26000*1.20565</f>
        <v>73828218.879999995</v>
      </c>
      <c r="I2112" s="5">
        <f>G2112-H2112</f>
        <v>7171781.1200000048</v>
      </c>
      <c r="J2112" s="5">
        <v>3000000</v>
      </c>
      <c r="K2112" s="5">
        <v>7800000</v>
      </c>
      <c r="L2112" s="5">
        <v>8100000</v>
      </c>
      <c r="M2112" s="7">
        <v>2355.1999999999998</v>
      </c>
      <c r="N2112" s="5">
        <v>78500000</v>
      </c>
      <c r="O2112" s="5">
        <v>81500000</v>
      </c>
      <c r="P2112" s="3">
        <v>0.97916666666666663</v>
      </c>
    </row>
    <row r="2113" spans="1:16" x14ac:dyDescent="0.25">
      <c r="A2113" t="s">
        <v>1299</v>
      </c>
      <c r="B2113" s="2">
        <v>45441</v>
      </c>
      <c r="C2113" t="str">
        <f>TEXT(B2113,"mm")</f>
        <v>05</v>
      </c>
      <c r="D2113" t="s">
        <v>19</v>
      </c>
      <c r="E2113" t="s">
        <v>1636</v>
      </c>
      <c r="F2113" s="5">
        <v>77500000</v>
      </c>
      <c r="G2113" s="5">
        <v>80500000</v>
      </c>
      <c r="H2113" s="5">
        <f>M2113*26000*1.20565</f>
        <v>73361150.070000023</v>
      </c>
      <c r="I2113" s="5">
        <f>G2113-H2113</f>
        <v>7138849.9299999774</v>
      </c>
      <c r="J2113" s="5">
        <v>3000000</v>
      </c>
      <c r="K2113" s="5">
        <v>7750000</v>
      </c>
      <c r="L2113" s="5">
        <v>8050000</v>
      </c>
      <c r="M2113" s="7">
        <v>2340.3000000000002</v>
      </c>
      <c r="N2113" s="5">
        <v>78000000</v>
      </c>
      <c r="O2113" s="5">
        <v>81000000</v>
      </c>
      <c r="P2113" s="3">
        <v>0.97916666666666663</v>
      </c>
    </row>
    <row r="2114" spans="1:16" x14ac:dyDescent="0.25">
      <c r="A2114" t="s">
        <v>1300</v>
      </c>
      <c r="B2114" s="2">
        <v>45442</v>
      </c>
      <c r="C2114" t="str">
        <f>TEXT(B2114,"mm")</f>
        <v>05</v>
      </c>
      <c r="D2114" t="s">
        <v>20</v>
      </c>
      <c r="E2114" t="s">
        <v>1636</v>
      </c>
      <c r="F2114" s="5">
        <v>77600000</v>
      </c>
      <c r="G2114" s="5">
        <v>80600000</v>
      </c>
      <c r="H2114" s="5">
        <f>M2114*26000*1.20565</f>
        <v>73442652.010000005</v>
      </c>
      <c r="I2114" s="5">
        <f>G2114-H2114</f>
        <v>7157347.9899999946</v>
      </c>
      <c r="J2114" s="5">
        <v>3000000</v>
      </c>
      <c r="K2114" s="5">
        <v>7760000</v>
      </c>
      <c r="L2114" s="5">
        <v>8060000</v>
      </c>
      <c r="M2114" s="7">
        <v>2342.9</v>
      </c>
      <c r="N2114" s="5">
        <v>78100000</v>
      </c>
      <c r="O2114" s="5">
        <v>81100000</v>
      </c>
      <c r="P2114" s="3">
        <v>0.97916666666666663</v>
      </c>
    </row>
    <row r="2115" spans="1:16" x14ac:dyDescent="0.25">
      <c r="A2115" t="s">
        <v>1301</v>
      </c>
      <c r="B2115" s="2">
        <v>45443</v>
      </c>
      <c r="C2115" t="str">
        <f>TEXT(B2115,"mm")</f>
        <v>05</v>
      </c>
      <c r="D2115" t="s">
        <v>21</v>
      </c>
      <c r="E2115" t="s">
        <v>1636</v>
      </c>
      <c r="F2115" s="5">
        <v>76900000</v>
      </c>
      <c r="G2115" s="5">
        <v>79900000</v>
      </c>
      <c r="H2115" s="5">
        <f>M2115*26000*1.20565</f>
        <v>72815714.010000005</v>
      </c>
      <c r="I2115" s="5">
        <f>G2115-H2115</f>
        <v>7084285.9899999946</v>
      </c>
      <c r="J2115" s="5">
        <v>3000000</v>
      </c>
      <c r="K2115" s="5">
        <v>7690000</v>
      </c>
      <c r="L2115" s="5">
        <v>7990000</v>
      </c>
      <c r="M2115" s="7">
        <v>2322.9</v>
      </c>
      <c r="N2115" s="5">
        <v>77400000</v>
      </c>
      <c r="O2115" s="5">
        <v>80400000</v>
      </c>
      <c r="P2115" s="3">
        <v>0.97916666666666663</v>
      </c>
    </row>
    <row r="2116" spans="1:16" x14ac:dyDescent="0.25">
      <c r="A2116" s="2">
        <v>45357</v>
      </c>
      <c r="B2116" s="2">
        <v>45446</v>
      </c>
      <c r="C2116" t="str">
        <f>TEXT(B2116,"mm")</f>
        <v>06</v>
      </c>
      <c r="D2116" t="s">
        <v>16</v>
      </c>
      <c r="E2116" t="s">
        <v>1636</v>
      </c>
      <c r="F2116" s="5">
        <v>77700000</v>
      </c>
      <c r="G2116" s="5">
        <v>80700000</v>
      </c>
      <c r="H2116" s="5">
        <f>M2116*26000*1.20565</f>
        <v>73558635.540000007</v>
      </c>
      <c r="I2116" s="5">
        <f>G2116-H2116</f>
        <v>7141364.4599999934</v>
      </c>
      <c r="J2116" s="5">
        <v>3000000</v>
      </c>
      <c r="K2116" s="5">
        <v>7770000</v>
      </c>
      <c r="L2116" s="5">
        <v>8070000</v>
      </c>
      <c r="M2116" s="7">
        <v>2346.6</v>
      </c>
      <c r="N2116" s="5">
        <v>78200000</v>
      </c>
      <c r="O2116" s="5">
        <v>81200000</v>
      </c>
      <c r="P2116" s="3">
        <v>0.97916666666666663</v>
      </c>
    </row>
    <row r="2117" spans="1:16" x14ac:dyDescent="0.25">
      <c r="A2117" s="2">
        <v>45388</v>
      </c>
      <c r="B2117" s="2">
        <v>45447</v>
      </c>
      <c r="C2117" t="str">
        <f>TEXT(B2117,"mm")</f>
        <v>06</v>
      </c>
      <c r="D2117" t="s">
        <v>18</v>
      </c>
      <c r="E2117" t="s">
        <v>1636</v>
      </c>
      <c r="F2117" s="5">
        <v>77000000</v>
      </c>
      <c r="G2117" s="5">
        <v>80000000</v>
      </c>
      <c r="H2117" s="5">
        <f>M2117*26000*1.20565</f>
        <v>72897215.950000003</v>
      </c>
      <c r="I2117" s="5">
        <f>G2117-H2117</f>
        <v>7102784.049999997</v>
      </c>
      <c r="J2117" s="5">
        <v>3000000</v>
      </c>
      <c r="K2117" s="5">
        <v>7700000</v>
      </c>
      <c r="L2117" s="5">
        <v>8000000</v>
      </c>
      <c r="M2117" s="7">
        <v>2325.5</v>
      </c>
      <c r="N2117" s="5">
        <v>77500000</v>
      </c>
      <c r="O2117" s="5">
        <v>80500000</v>
      </c>
      <c r="P2117" s="3">
        <v>0.97916666666666663</v>
      </c>
    </row>
    <row r="2118" spans="1:16" x14ac:dyDescent="0.25">
      <c r="A2118" s="2">
        <v>45418</v>
      </c>
      <c r="B2118" s="2">
        <v>45448</v>
      </c>
      <c r="C2118" t="str">
        <f>TEXT(B2118,"mm")</f>
        <v>06</v>
      </c>
      <c r="D2118" t="s">
        <v>19</v>
      </c>
      <c r="E2118" t="s">
        <v>1636</v>
      </c>
      <c r="F2118" s="5">
        <v>78000000</v>
      </c>
      <c r="G2118" s="5">
        <v>81000000</v>
      </c>
      <c r="H2118" s="5">
        <f>M2118*26000*1.20565</f>
        <v>73793737.290000007</v>
      </c>
      <c r="I2118" s="5">
        <f>G2118-H2118</f>
        <v>7206262.7099999934</v>
      </c>
      <c r="J2118" s="5">
        <v>3000000</v>
      </c>
      <c r="K2118" s="5">
        <v>7800000</v>
      </c>
      <c r="L2118" s="5">
        <v>8100000</v>
      </c>
      <c r="M2118" s="7">
        <v>2354.1</v>
      </c>
      <c r="N2118" s="5">
        <v>78500000</v>
      </c>
      <c r="O2118" s="5">
        <v>81500000</v>
      </c>
      <c r="P2118" s="3">
        <v>0.97916666666666663</v>
      </c>
    </row>
    <row r="2119" spans="1:16" x14ac:dyDescent="0.25">
      <c r="A2119" s="2">
        <v>45449</v>
      </c>
      <c r="B2119" s="2">
        <v>45449</v>
      </c>
      <c r="C2119" t="str">
        <f>TEXT(B2119,"mm")</f>
        <v>06</v>
      </c>
      <c r="D2119" t="s">
        <v>20</v>
      </c>
      <c r="E2119" t="s">
        <v>1636</v>
      </c>
      <c r="F2119" s="5">
        <v>78500000</v>
      </c>
      <c r="G2119" s="5">
        <v>81500000</v>
      </c>
      <c r="H2119" s="5">
        <f>M2119*26000*1.20565</f>
        <v>74301557.070000023</v>
      </c>
      <c r="I2119" s="5">
        <f>G2119-H2119</f>
        <v>7198442.9299999774</v>
      </c>
      <c r="J2119" s="5">
        <v>3000000</v>
      </c>
      <c r="K2119" s="5">
        <v>7850000</v>
      </c>
      <c r="L2119" s="5">
        <v>8150000</v>
      </c>
      <c r="M2119" s="7">
        <v>2370.3000000000002</v>
      </c>
      <c r="N2119" s="5">
        <v>79000000</v>
      </c>
      <c r="O2119" s="5">
        <v>82000000</v>
      </c>
      <c r="P2119" s="3">
        <v>0.97916666666666663</v>
      </c>
    </row>
    <row r="2120" spans="1:16" x14ac:dyDescent="0.25">
      <c r="A2120" s="2">
        <v>45479</v>
      </c>
      <c r="B2120" s="2">
        <v>45450</v>
      </c>
      <c r="C2120" t="str">
        <f>TEXT(B2120,"mm")</f>
        <v>06</v>
      </c>
      <c r="D2120" t="s">
        <v>21</v>
      </c>
      <c r="E2120" t="s">
        <v>1636</v>
      </c>
      <c r="F2120" s="5">
        <v>76300000</v>
      </c>
      <c r="G2120" s="5">
        <v>79300000</v>
      </c>
      <c r="H2120" s="5">
        <f>M2120*26000*1.20565</f>
        <v>72260873.879999995</v>
      </c>
      <c r="I2120" s="5">
        <f>G2120-H2120</f>
        <v>7039126.1200000048</v>
      </c>
      <c r="J2120" s="5">
        <v>3000000</v>
      </c>
      <c r="K2120" s="5">
        <v>7630000</v>
      </c>
      <c r="L2120" s="5">
        <v>7930000</v>
      </c>
      <c r="M2120" s="7">
        <v>2305.1999999999998</v>
      </c>
      <c r="N2120" s="5">
        <v>76800000</v>
      </c>
      <c r="O2120" s="5">
        <v>79800000</v>
      </c>
      <c r="P2120" s="3">
        <v>0.97916666666666663</v>
      </c>
    </row>
    <row r="2121" spans="1:16" x14ac:dyDescent="0.25">
      <c r="A2121" s="2">
        <v>45571</v>
      </c>
      <c r="B2121" s="2">
        <v>45453</v>
      </c>
      <c r="C2121" t="str">
        <f>TEXT(B2121,"mm")</f>
        <v>06</v>
      </c>
      <c r="D2121" t="s">
        <v>16</v>
      </c>
      <c r="E2121" t="s">
        <v>1636</v>
      </c>
      <c r="F2121" s="5">
        <v>76400000</v>
      </c>
      <c r="G2121" s="5">
        <v>79400000</v>
      </c>
      <c r="H2121" s="5">
        <f>M2121*26000*1.20565</f>
        <v>72339241.129999995</v>
      </c>
      <c r="I2121" s="5">
        <f>G2121-H2121</f>
        <v>7060758.8700000048</v>
      </c>
      <c r="J2121" s="5">
        <v>3000000</v>
      </c>
      <c r="K2121" s="5">
        <v>7640000</v>
      </c>
      <c r="L2121" s="5">
        <v>7940000</v>
      </c>
      <c r="M2121" s="7">
        <v>2307.6999999999998</v>
      </c>
      <c r="N2121" s="5">
        <v>76900000</v>
      </c>
      <c r="O2121" s="5">
        <v>79900000</v>
      </c>
      <c r="P2121" s="3">
        <v>0.97916666666666663</v>
      </c>
    </row>
    <row r="2122" spans="1:16" x14ac:dyDescent="0.25">
      <c r="A2122" s="2">
        <v>45602</v>
      </c>
      <c r="B2122" s="2">
        <v>45454</v>
      </c>
      <c r="C2122" t="str">
        <f>TEXT(B2122,"mm")</f>
        <v>06</v>
      </c>
      <c r="D2122" t="s">
        <v>18</v>
      </c>
      <c r="E2122" t="s">
        <v>1636</v>
      </c>
      <c r="F2122" s="5">
        <v>76400000</v>
      </c>
      <c r="G2122" s="5">
        <v>79400000</v>
      </c>
      <c r="H2122" s="5">
        <f>M2122*26000*1.20565</f>
        <v>72332971.75</v>
      </c>
      <c r="I2122" s="5">
        <f>G2122-H2122</f>
        <v>7067028.25</v>
      </c>
      <c r="J2122" s="5">
        <v>3000000</v>
      </c>
      <c r="K2122" s="5">
        <v>7640000</v>
      </c>
      <c r="L2122" s="5">
        <v>7940000</v>
      </c>
      <c r="M2122" s="7">
        <v>2307.5</v>
      </c>
      <c r="N2122" s="5">
        <v>76900000</v>
      </c>
      <c r="O2122" s="5">
        <v>79900000</v>
      </c>
      <c r="P2122" s="3">
        <v>0.97916666666666663</v>
      </c>
    </row>
    <row r="2123" spans="1:16" x14ac:dyDescent="0.25">
      <c r="A2123" s="2">
        <v>45632</v>
      </c>
      <c r="B2123" s="2">
        <v>45455</v>
      </c>
      <c r="C2123" t="str">
        <f>TEXT(B2123,"mm")</f>
        <v>06</v>
      </c>
      <c r="D2123" t="s">
        <v>19</v>
      </c>
      <c r="E2123" t="s">
        <v>1636</v>
      </c>
      <c r="F2123" s="5">
        <v>77400000</v>
      </c>
      <c r="G2123" s="5">
        <v>80400000</v>
      </c>
      <c r="H2123" s="5">
        <f>M2123*26000*1.20565</f>
        <v>73226358.400000006</v>
      </c>
      <c r="I2123" s="5">
        <f>G2123-H2123</f>
        <v>7173641.599999994</v>
      </c>
      <c r="J2123" s="5">
        <v>3000000</v>
      </c>
      <c r="K2123" s="5">
        <v>7740000</v>
      </c>
      <c r="L2123" s="5">
        <v>8040000</v>
      </c>
      <c r="M2123" s="7">
        <v>2336</v>
      </c>
      <c r="N2123" s="5">
        <v>77900000</v>
      </c>
      <c r="O2123" s="5">
        <v>80900000</v>
      </c>
      <c r="P2123" s="3">
        <v>0.97916666666666663</v>
      </c>
    </row>
    <row r="2124" spans="1:16" x14ac:dyDescent="0.25">
      <c r="A2124" t="s">
        <v>1302</v>
      </c>
      <c r="B2124" s="2">
        <v>45456</v>
      </c>
      <c r="C2124" t="str">
        <f>TEXT(B2124,"mm")</f>
        <v>06</v>
      </c>
      <c r="D2124" t="s">
        <v>20</v>
      </c>
      <c r="E2124" t="s">
        <v>1636</v>
      </c>
      <c r="F2124" s="5">
        <v>76100000</v>
      </c>
      <c r="G2124" s="5">
        <v>79100000</v>
      </c>
      <c r="H2124" s="5">
        <f>M2124*26000*1.20565</f>
        <v>72104139.379999995</v>
      </c>
      <c r="I2124" s="5">
        <f>G2124-H2124</f>
        <v>6995860.6200000048</v>
      </c>
      <c r="J2124" s="5">
        <v>3000000</v>
      </c>
      <c r="K2124" s="5">
        <v>7610000</v>
      </c>
      <c r="L2124" s="5">
        <v>7910000</v>
      </c>
      <c r="M2124" s="7">
        <v>2300.1999999999998</v>
      </c>
      <c r="N2124" s="5">
        <v>76600000</v>
      </c>
      <c r="O2124" s="5">
        <v>79600000</v>
      </c>
      <c r="P2124" s="3">
        <v>0.97916666666666663</v>
      </c>
    </row>
    <row r="2125" spans="1:16" x14ac:dyDescent="0.25">
      <c r="A2125" t="s">
        <v>1303</v>
      </c>
      <c r="B2125" s="2">
        <v>45457</v>
      </c>
      <c r="C2125" t="str">
        <f>TEXT(B2125,"mm")</f>
        <v>06</v>
      </c>
      <c r="D2125" t="s">
        <v>21</v>
      </c>
      <c r="E2125" t="s">
        <v>1636</v>
      </c>
      <c r="F2125" s="5">
        <v>77200000</v>
      </c>
      <c r="G2125" s="5">
        <v>80200000</v>
      </c>
      <c r="H2125" s="5">
        <f>M2125*26000*1.20565</f>
        <v>73082162.660000011</v>
      </c>
      <c r="I2125" s="5">
        <f>G2125-H2125</f>
        <v>7117837.3399999887</v>
      </c>
      <c r="J2125" s="5">
        <v>3000000</v>
      </c>
      <c r="K2125" s="5">
        <v>7720000</v>
      </c>
      <c r="L2125" s="5">
        <v>8020000</v>
      </c>
      <c r="M2125" s="7">
        <v>2331.4</v>
      </c>
      <c r="N2125" s="5">
        <v>77700000</v>
      </c>
      <c r="O2125" s="5">
        <v>80700000</v>
      </c>
      <c r="P2125" s="3">
        <v>0.97916666666666663</v>
      </c>
    </row>
    <row r="2126" spans="1:16" x14ac:dyDescent="0.25">
      <c r="A2126" t="s">
        <v>1304</v>
      </c>
      <c r="B2126" s="2">
        <v>45460</v>
      </c>
      <c r="C2126" t="str">
        <f>TEXT(B2126,"mm")</f>
        <v>06</v>
      </c>
      <c r="D2126" t="s">
        <v>16</v>
      </c>
      <c r="E2126" t="s">
        <v>1636</v>
      </c>
      <c r="F2126" s="5">
        <v>76600000</v>
      </c>
      <c r="G2126" s="5">
        <v>79600000</v>
      </c>
      <c r="H2126" s="5">
        <f>M2126*26000*1.20565</f>
        <v>72486571.560000002</v>
      </c>
      <c r="I2126" s="5">
        <f>G2126-H2126</f>
        <v>7113428.4399999976</v>
      </c>
      <c r="J2126" s="5">
        <v>3000000</v>
      </c>
      <c r="K2126" s="5">
        <v>7660000</v>
      </c>
      <c r="L2126" s="5">
        <v>7960000</v>
      </c>
      <c r="M2126" s="7">
        <v>2312.4</v>
      </c>
      <c r="N2126" s="5">
        <v>77100000</v>
      </c>
      <c r="O2126" s="5">
        <v>80100000</v>
      </c>
      <c r="P2126" s="3">
        <v>0.97916666666666663</v>
      </c>
    </row>
    <row r="2127" spans="1:16" x14ac:dyDescent="0.25">
      <c r="A2127" t="s">
        <v>1305</v>
      </c>
      <c r="B2127" s="2">
        <v>45461</v>
      </c>
      <c r="C2127" t="str">
        <f>TEXT(B2127,"mm")</f>
        <v>06</v>
      </c>
      <c r="D2127" t="s">
        <v>18</v>
      </c>
      <c r="E2127" t="s">
        <v>1636</v>
      </c>
      <c r="F2127" s="5">
        <v>77200000</v>
      </c>
      <c r="G2127" s="5">
        <v>80200000</v>
      </c>
      <c r="H2127" s="5">
        <f>M2127*26000*1.20565</f>
        <v>73050815.760000005</v>
      </c>
      <c r="I2127" s="5">
        <f>G2127-H2127</f>
        <v>7149184.2399999946</v>
      </c>
      <c r="J2127" s="5">
        <v>3000000</v>
      </c>
      <c r="K2127" s="5">
        <v>7720000</v>
      </c>
      <c r="L2127" s="5">
        <v>8020000</v>
      </c>
      <c r="M2127" s="7">
        <v>2330.4</v>
      </c>
      <c r="N2127" s="5">
        <v>77700000</v>
      </c>
      <c r="O2127" s="5">
        <v>80700000</v>
      </c>
      <c r="P2127" s="3">
        <v>0.97916666666666663</v>
      </c>
    </row>
    <row r="2128" spans="1:16" x14ac:dyDescent="0.25">
      <c r="A2128" t="s">
        <v>1306</v>
      </c>
      <c r="B2128" s="2">
        <v>45463</v>
      </c>
      <c r="C2128" t="str">
        <f>TEXT(B2128,"mm")</f>
        <v>06</v>
      </c>
      <c r="D2128" t="s">
        <v>20</v>
      </c>
      <c r="E2128" t="s">
        <v>1636</v>
      </c>
      <c r="F2128" s="5">
        <v>78000000</v>
      </c>
      <c r="G2128" s="5">
        <v>81000000</v>
      </c>
      <c r="H2128" s="5">
        <f>M2128*26000*1.20565</f>
        <v>73784333.220000014</v>
      </c>
      <c r="I2128" s="5">
        <f>G2128-H2128</f>
        <v>7215666.7799999863</v>
      </c>
      <c r="J2128" s="5">
        <v>3000000</v>
      </c>
      <c r="K2128" s="5">
        <v>7800000</v>
      </c>
      <c r="L2128" s="5">
        <v>8100000</v>
      </c>
      <c r="M2128" s="7">
        <v>2353.8000000000002</v>
      </c>
      <c r="N2128" s="5">
        <v>78500000</v>
      </c>
      <c r="O2128" s="5">
        <v>81500000</v>
      </c>
      <c r="P2128" s="3">
        <v>0.97916666666666663</v>
      </c>
    </row>
    <row r="2129" spans="1:16" x14ac:dyDescent="0.25">
      <c r="A2129" t="s">
        <v>1307</v>
      </c>
      <c r="B2129" s="2">
        <v>45464</v>
      </c>
      <c r="C2129" t="str">
        <f>TEXT(B2129,"mm")</f>
        <v>06</v>
      </c>
      <c r="D2129" t="s">
        <v>21</v>
      </c>
      <c r="E2129" t="s">
        <v>1636</v>
      </c>
      <c r="F2129" s="5">
        <v>76700000</v>
      </c>
      <c r="G2129" s="5">
        <v>79700000</v>
      </c>
      <c r="H2129" s="5">
        <f>M2129*26000*1.20565</f>
        <v>72611959.160000011</v>
      </c>
      <c r="I2129" s="5">
        <f>G2129-H2129</f>
        <v>7088040.8399999887</v>
      </c>
      <c r="J2129" s="5">
        <v>3000000</v>
      </c>
      <c r="K2129" s="5">
        <v>7670000</v>
      </c>
      <c r="L2129" s="5">
        <v>7970000</v>
      </c>
      <c r="M2129" s="7">
        <v>2316.4</v>
      </c>
      <c r="N2129" s="5">
        <v>77200000</v>
      </c>
      <c r="O2129" s="5">
        <v>80200000</v>
      </c>
      <c r="P2129" s="3">
        <v>0.97916666666666663</v>
      </c>
    </row>
    <row r="2130" spans="1:16" x14ac:dyDescent="0.25">
      <c r="A2130" t="s">
        <v>1308</v>
      </c>
      <c r="B2130" s="2">
        <v>45467</v>
      </c>
      <c r="C2130" t="str">
        <f>TEXT(B2130,"mm")</f>
        <v>06</v>
      </c>
      <c r="D2130" t="s">
        <v>16</v>
      </c>
      <c r="E2130" t="s">
        <v>1636</v>
      </c>
      <c r="F2130" s="5">
        <v>77200000</v>
      </c>
      <c r="G2130" s="5">
        <v>80200000</v>
      </c>
      <c r="H2130" s="5">
        <f>M2130*26000*1.20565</f>
        <v>73038277</v>
      </c>
      <c r="I2130" s="5">
        <f>G2130-H2130</f>
        <v>7161723</v>
      </c>
      <c r="J2130" s="5">
        <v>3000000</v>
      </c>
      <c r="K2130" s="5">
        <v>7720000</v>
      </c>
      <c r="L2130" s="5">
        <v>8020000</v>
      </c>
      <c r="M2130" s="7">
        <v>2330</v>
      </c>
      <c r="N2130" s="5">
        <v>77700000</v>
      </c>
      <c r="O2130" s="5">
        <v>80700000</v>
      </c>
      <c r="P2130" s="3">
        <v>0.97916666666666663</v>
      </c>
    </row>
    <row r="2131" spans="1:16" x14ac:dyDescent="0.25">
      <c r="A2131" t="s">
        <v>1309</v>
      </c>
      <c r="B2131" s="2">
        <v>45468</v>
      </c>
      <c r="C2131" t="str">
        <f>TEXT(B2131,"mm")</f>
        <v>06</v>
      </c>
      <c r="D2131" t="s">
        <v>18</v>
      </c>
      <c r="E2131" t="s">
        <v>1636</v>
      </c>
      <c r="F2131" s="5">
        <v>76700000</v>
      </c>
      <c r="G2131" s="5">
        <v>79700000</v>
      </c>
      <c r="H2131" s="5">
        <f>M2131*26000*1.20565</f>
        <v>72618228.540000007</v>
      </c>
      <c r="I2131" s="5">
        <f>G2131-H2131</f>
        <v>7081771.4599999934</v>
      </c>
      <c r="J2131" s="5">
        <v>3000000</v>
      </c>
      <c r="K2131" s="5">
        <v>7670000</v>
      </c>
      <c r="L2131" s="5">
        <v>7970000</v>
      </c>
      <c r="M2131" s="7">
        <v>2316.6</v>
      </c>
      <c r="N2131" s="5">
        <v>77200000</v>
      </c>
      <c r="O2131" s="5">
        <v>80200000</v>
      </c>
      <c r="P2131" s="3">
        <v>0.97916666666666663</v>
      </c>
    </row>
    <row r="2132" spans="1:16" x14ac:dyDescent="0.25">
      <c r="A2132" t="s">
        <v>1310</v>
      </c>
      <c r="B2132" s="2">
        <v>45469</v>
      </c>
      <c r="C2132" t="str">
        <f>TEXT(B2132,"mm")</f>
        <v>06</v>
      </c>
      <c r="D2132" t="s">
        <v>19</v>
      </c>
      <c r="E2132" t="s">
        <v>1636</v>
      </c>
      <c r="F2132" s="5">
        <v>76100000</v>
      </c>
      <c r="G2132" s="5">
        <v>79100000</v>
      </c>
      <c r="H2132" s="5">
        <f>M2132*26000*1.20565</f>
        <v>72072792.480000004</v>
      </c>
      <c r="I2132" s="5">
        <f>G2132-H2132</f>
        <v>7027207.5199999958</v>
      </c>
      <c r="J2132" s="5">
        <v>3000000</v>
      </c>
      <c r="K2132" s="5">
        <v>7610000</v>
      </c>
      <c r="L2132" s="5">
        <v>7910000</v>
      </c>
      <c r="M2132" s="7">
        <v>2299.1999999999998</v>
      </c>
      <c r="N2132" s="5">
        <v>76600000</v>
      </c>
      <c r="O2132" s="5">
        <v>79600000</v>
      </c>
      <c r="P2132" s="3">
        <v>0.97916666666666663</v>
      </c>
    </row>
    <row r="2133" spans="1:16" x14ac:dyDescent="0.25">
      <c r="A2133" t="s">
        <v>1311</v>
      </c>
      <c r="B2133" s="2">
        <v>45470</v>
      </c>
      <c r="C2133" t="str">
        <f>TEXT(B2133,"mm")</f>
        <v>06</v>
      </c>
      <c r="D2133" t="s">
        <v>20</v>
      </c>
      <c r="E2133" t="s">
        <v>1636</v>
      </c>
      <c r="F2133" s="5">
        <v>77000000</v>
      </c>
      <c r="G2133" s="5">
        <v>80000000</v>
      </c>
      <c r="H2133" s="5">
        <f>M2133*26000*1.20565</f>
        <v>72865869.050000012</v>
      </c>
      <c r="I2133" s="5">
        <f>G2133-H2133</f>
        <v>7134130.9499999881</v>
      </c>
      <c r="J2133" s="5">
        <v>3000000</v>
      </c>
      <c r="K2133" s="5">
        <v>7700000</v>
      </c>
      <c r="L2133" s="5">
        <v>8000000</v>
      </c>
      <c r="M2133" s="7">
        <v>2324.5</v>
      </c>
      <c r="N2133" s="5">
        <v>77500000</v>
      </c>
      <c r="O2133" s="5">
        <v>80500000</v>
      </c>
      <c r="P2133" s="3">
        <v>0.97916666666666663</v>
      </c>
    </row>
    <row r="2134" spans="1:16" x14ac:dyDescent="0.25">
      <c r="A2134" t="s">
        <v>1312</v>
      </c>
      <c r="B2134" s="2">
        <v>45471</v>
      </c>
      <c r="C2134" t="str">
        <f>TEXT(B2134,"mm")</f>
        <v>06</v>
      </c>
      <c r="D2134" t="s">
        <v>21</v>
      </c>
      <c r="E2134" t="s">
        <v>1636</v>
      </c>
      <c r="F2134" s="5">
        <v>77100000</v>
      </c>
      <c r="G2134" s="5">
        <v>80100000</v>
      </c>
      <c r="H2134" s="5">
        <f>M2134*26000*1.20565</f>
        <v>72966179.129999995</v>
      </c>
      <c r="I2134" s="5">
        <f>G2134-H2134</f>
        <v>7133820.8700000048</v>
      </c>
      <c r="J2134" s="5">
        <v>3000000</v>
      </c>
      <c r="K2134" s="5">
        <v>7710000</v>
      </c>
      <c r="L2134" s="5">
        <v>8010000</v>
      </c>
      <c r="M2134" s="7">
        <v>2327.6999999999998</v>
      </c>
      <c r="N2134" s="5">
        <v>77600000</v>
      </c>
      <c r="O2134" s="5">
        <v>80600000</v>
      </c>
      <c r="P2134" s="3">
        <v>0.97916666666666663</v>
      </c>
    </row>
    <row r="2135" spans="1:16" x14ac:dyDescent="0.25">
      <c r="A2135" s="2">
        <v>45298</v>
      </c>
      <c r="B2135" s="2">
        <v>45474</v>
      </c>
      <c r="C2135" t="str">
        <f>TEXT(B2135,"mm")</f>
        <v>07</v>
      </c>
      <c r="D2135" t="s">
        <v>16</v>
      </c>
      <c r="E2135" t="s">
        <v>1636</v>
      </c>
      <c r="F2135" s="5">
        <v>77100000</v>
      </c>
      <c r="G2135" s="5">
        <v>80100000</v>
      </c>
      <c r="H2135" s="5">
        <f>M2135*26000*1.20565</f>
        <v>72963044.440000013</v>
      </c>
      <c r="I2135" s="5">
        <f>G2135-H2135</f>
        <v>7136955.5599999875</v>
      </c>
      <c r="J2135" s="5">
        <v>3000000</v>
      </c>
      <c r="K2135" s="5">
        <v>7710000</v>
      </c>
      <c r="L2135" s="5">
        <v>8010000</v>
      </c>
      <c r="M2135" s="7">
        <v>2327.6</v>
      </c>
      <c r="N2135" s="5">
        <v>77600000</v>
      </c>
      <c r="O2135" s="5">
        <v>80600000</v>
      </c>
      <c r="P2135" s="3">
        <v>0.97916666666666663</v>
      </c>
    </row>
    <row r="2136" spans="1:16" x14ac:dyDescent="0.25">
      <c r="A2136" s="2">
        <v>45329</v>
      </c>
      <c r="B2136" s="2">
        <v>45475</v>
      </c>
      <c r="C2136" t="str">
        <f>TEXT(B2136,"mm")</f>
        <v>07</v>
      </c>
      <c r="D2136" t="s">
        <v>18</v>
      </c>
      <c r="E2136" t="s">
        <v>1636</v>
      </c>
      <c r="F2136" s="5">
        <v>76900000</v>
      </c>
      <c r="G2136" s="5">
        <v>79900000</v>
      </c>
      <c r="H2136" s="5">
        <f>M2136*26000*1.20565</f>
        <v>72818848.700000003</v>
      </c>
      <c r="I2136" s="5">
        <f>G2136-H2136</f>
        <v>7081151.299999997</v>
      </c>
      <c r="J2136" s="5">
        <v>3000000</v>
      </c>
      <c r="K2136" s="5">
        <v>7690000</v>
      </c>
      <c r="L2136" s="5">
        <v>7990000</v>
      </c>
      <c r="M2136" s="7">
        <v>2323</v>
      </c>
      <c r="N2136" s="5">
        <v>77400000</v>
      </c>
      <c r="O2136" s="5">
        <v>80400000</v>
      </c>
      <c r="P2136" s="3">
        <v>0.97916666666666663</v>
      </c>
    </row>
    <row r="2137" spans="1:16" x14ac:dyDescent="0.25">
      <c r="A2137" s="2">
        <v>45358</v>
      </c>
      <c r="B2137" s="2">
        <v>45476</v>
      </c>
      <c r="C2137" t="str">
        <f>TEXT(B2137,"mm")</f>
        <v>07</v>
      </c>
      <c r="D2137" t="s">
        <v>19</v>
      </c>
      <c r="E2137" t="s">
        <v>1636</v>
      </c>
      <c r="F2137" s="5">
        <v>78200000</v>
      </c>
      <c r="G2137" s="5">
        <v>81200000</v>
      </c>
      <c r="H2137" s="5">
        <f>M2137*26000*1.20565</f>
        <v>73972414.62000002</v>
      </c>
      <c r="I2137" s="5">
        <f>G2137-H2137</f>
        <v>7227585.3799999803</v>
      </c>
      <c r="J2137" s="5">
        <v>3000000</v>
      </c>
      <c r="K2137" s="5">
        <v>7820000</v>
      </c>
      <c r="L2137" s="5">
        <v>8120000</v>
      </c>
      <c r="M2137" s="7">
        <v>2359.8000000000002</v>
      </c>
      <c r="N2137" s="5">
        <v>78700000</v>
      </c>
      <c r="O2137" s="5">
        <v>81700000</v>
      </c>
      <c r="P2137" s="3">
        <v>0.97916666666666663</v>
      </c>
    </row>
    <row r="2138" spans="1:16" x14ac:dyDescent="0.25">
      <c r="A2138" s="2">
        <v>45419</v>
      </c>
      <c r="B2138" s="2">
        <v>45478</v>
      </c>
      <c r="C2138" t="str">
        <f>TEXT(B2138,"mm")</f>
        <v>07</v>
      </c>
      <c r="D2138" t="s">
        <v>21</v>
      </c>
      <c r="E2138" t="s">
        <v>1636</v>
      </c>
      <c r="F2138" s="5">
        <v>79200000</v>
      </c>
      <c r="G2138" s="5">
        <v>82200000</v>
      </c>
      <c r="H2138" s="5">
        <f>M2138*26000*1.20565</f>
        <v>74872070.650000006</v>
      </c>
      <c r="I2138" s="5">
        <f>G2138-H2138</f>
        <v>7327929.349999994</v>
      </c>
      <c r="J2138" s="5">
        <v>3000000</v>
      </c>
      <c r="K2138" s="5">
        <v>7920000</v>
      </c>
      <c r="L2138" s="5">
        <v>8220000</v>
      </c>
      <c r="M2138" s="7">
        <v>2388.5</v>
      </c>
      <c r="N2138" s="5">
        <v>79700000</v>
      </c>
      <c r="O2138" s="5">
        <v>82700000</v>
      </c>
      <c r="P2138" s="3">
        <v>0.97916666666666663</v>
      </c>
    </row>
    <row r="2139" spans="1:16" x14ac:dyDescent="0.25">
      <c r="A2139" s="2">
        <v>45511</v>
      </c>
      <c r="B2139" s="2">
        <v>45481</v>
      </c>
      <c r="C2139" t="str">
        <f>TEXT(B2139,"mm")</f>
        <v>07</v>
      </c>
      <c r="D2139" t="s">
        <v>16</v>
      </c>
      <c r="E2139" t="s">
        <v>1636</v>
      </c>
      <c r="F2139" s="5">
        <v>78000000</v>
      </c>
      <c r="G2139" s="5">
        <v>81000000</v>
      </c>
      <c r="H2139" s="5">
        <f>M2139*26000*1.20565</f>
        <v>73828218.879999995</v>
      </c>
      <c r="I2139" s="5">
        <f>G2139-H2139</f>
        <v>7171781.1200000048</v>
      </c>
      <c r="J2139" s="5">
        <v>3000000</v>
      </c>
      <c r="K2139" s="5">
        <v>7800000</v>
      </c>
      <c r="L2139" s="5">
        <v>8100000</v>
      </c>
      <c r="M2139" s="7">
        <v>2355.1999999999998</v>
      </c>
      <c r="N2139" s="5">
        <v>78500000</v>
      </c>
      <c r="O2139" s="5">
        <v>81500000</v>
      </c>
      <c r="P2139" s="3">
        <v>0.97916666666666663</v>
      </c>
    </row>
    <row r="2140" spans="1:16" x14ac:dyDescent="0.25">
      <c r="A2140" s="2">
        <v>45542</v>
      </c>
      <c r="B2140" s="2">
        <v>45482</v>
      </c>
      <c r="C2140" t="str">
        <f>TEXT(B2140,"mm")</f>
        <v>07</v>
      </c>
      <c r="D2140" t="s">
        <v>18</v>
      </c>
      <c r="E2140" t="s">
        <v>1636</v>
      </c>
      <c r="F2140" s="5">
        <v>78200000</v>
      </c>
      <c r="G2140" s="5">
        <v>81200000</v>
      </c>
      <c r="H2140" s="5">
        <f>M2140*26000*1.20565</f>
        <v>73981818.690000013</v>
      </c>
      <c r="I2140" s="5">
        <f>G2140-H2140</f>
        <v>7218181.3099999875</v>
      </c>
      <c r="J2140" s="5">
        <v>3000000</v>
      </c>
      <c r="K2140" s="5">
        <v>7820000</v>
      </c>
      <c r="L2140" s="5">
        <v>8120000</v>
      </c>
      <c r="M2140" s="7">
        <v>2360.1</v>
      </c>
      <c r="N2140" s="5">
        <v>78700000</v>
      </c>
      <c r="O2140" s="5">
        <v>81700000</v>
      </c>
      <c r="P2140" s="3">
        <v>0.97916666666666663</v>
      </c>
    </row>
    <row r="2141" spans="1:16" x14ac:dyDescent="0.25">
      <c r="A2141" s="2">
        <v>45572</v>
      </c>
      <c r="B2141" s="2">
        <v>45483</v>
      </c>
      <c r="C2141" t="str">
        <f>TEXT(B2141,"mm")</f>
        <v>07</v>
      </c>
      <c r="D2141" t="s">
        <v>19</v>
      </c>
      <c r="E2141" t="s">
        <v>1636</v>
      </c>
      <c r="F2141" s="5">
        <v>78600000</v>
      </c>
      <c r="G2141" s="5">
        <v>81600000</v>
      </c>
      <c r="H2141" s="5">
        <f>M2141*26000*1.20565</f>
        <v>74361116.179999992</v>
      </c>
      <c r="I2141" s="5">
        <f>G2141-H2141</f>
        <v>7238883.8200000077</v>
      </c>
      <c r="J2141" s="5">
        <v>3000000</v>
      </c>
      <c r="K2141" s="5">
        <v>7860000</v>
      </c>
      <c r="L2141" s="5">
        <v>8160000</v>
      </c>
      <c r="M2141" s="7">
        <v>2372.1999999999998</v>
      </c>
      <c r="N2141" s="5">
        <v>79100000</v>
      </c>
      <c r="O2141" s="5">
        <v>82100000</v>
      </c>
      <c r="P2141" s="3">
        <v>0.97916666666666663</v>
      </c>
    </row>
    <row r="2142" spans="1:16" x14ac:dyDescent="0.25">
      <c r="A2142" s="2">
        <v>45603</v>
      </c>
      <c r="B2142" s="2">
        <v>45484</v>
      </c>
      <c r="C2142" t="str">
        <f>TEXT(B2142,"mm")</f>
        <v>07</v>
      </c>
      <c r="D2142" t="s">
        <v>20</v>
      </c>
      <c r="E2142" t="s">
        <v>1636</v>
      </c>
      <c r="F2142" s="5">
        <v>80100000</v>
      </c>
      <c r="G2142" s="5">
        <v>83100000</v>
      </c>
      <c r="H2142" s="5">
        <f>M2142*26000*1.20565</f>
        <v>75702763.5</v>
      </c>
      <c r="I2142" s="5">
        <f>G2142-H2142</f>
        <v>7397236.5</v>
      </c>
      <c r="J2142" s="5">
        <v>3000000</v>
      </c>
      <c r="K2142" s="5">
        <v>8010000</v>
      </c>
      <c r="L2142" s="5">
        <v>8310000</v>
      </c>
      <c r="M2142" s="7">
        <v>2415</v>
      </c>
      <c r="N2142" s="5">
        <v>80600000</v>
      </c>
      <c r="O2142" s="5">
        <v>83600000</v>
      </c>
      <c r="P2142" s="3">
        <v>0.97916666666666663</v>
      </c>
    </row>
    <row r="2143" spans="1:16" x14ac:dyDescent="0.25">
      <c r="A2143" s="2">
        <v>45633</v>
      </c>
      <c r="B2143" s="2">
        <v>45485</v>
      </c>
      <c r="C2143" t="str">
        <f>TEXT(B2143,"mm")</f>
        <v>07</v>
      </c>
      <c r="D2143" t="s">
        <v>21</v>
      </c>
      <c r="E2143" t="s">
        <v>1636</v>
      </c>
      <c r="F2143" s="5">
        <v>80100000</v>
      </c>
      <c r="G2143" s="5">
        <v>83100000</v>
      </c>
      <c r="H2143" s="5">
        <f>M2143*26000*1.20565</f>
        <v>75671416.600000009</v>
      </c>
      <c r="I2143" s="5">
        <f>G2143-H2143</f>
        <v>7428583.3999999911</v>
      </c>
      <c r="J2143" s="5">
        <v>3000000</v>
      </c>
      <c r="K2143" s="5">
        <v>8010000</v>
      </c>
      <c r="L2143" s="5">
        <v>8310000</v>
      </c>
      <c r="M2143" s="7">
        <v>2414</v>
      </c>
      <c r="N2143" s="5">
        <v>80600000</v>
      </c>
      <c r="O2143" s="5">
        <v>83600000</v>
      </c>
      <c r="P2143" s="3">
        <v>0.97916666666666663</v>
      </c>
    </row>
    <row r="2144" spans="1:16" x14ac:dyDescent="0.25">
      <c r="A2144" t="s">
        <v>1313</v>
      </c>
      <c r="B2144" s="2">
        <v>45488</v>
      </c>
      <c r="C2144" t="str">
        <f>TEXT(B2144,"mm")</f>
        <v>07</v>
      </c>
      <c r="D2144" t="s">
        <v>16</v>
      </c>
      <c r="E2144" t="s">
        <v>1636</v>
      </c>
      <c r="F2144" s="5">
        <v>80400000</v>
      </c>
      <c r="G2144" s="5">
        <v>83400000</v>
      </c>
      <c r="H2144" s="5">
        <f>M2144*26000*1.20565</f>
        <v>75950404.010000005</v>
      </c>
      <c r="I2144" s="5">
        <f>G2144-H2144</f>
        <v>7449595.9899999946</v>
      </c>
      <c r="J2144" s="5">
        <v>3000000</v>
      </c>
      <c r="K2144" s="5">
        <v>8040000</v>
      </c>
      <c r="L2144" s="5">
        <v>8340000</v>
      </c>
      <c r="M2144" s="7">
        <v>2422.9</v>
      </c>
      <c r="N2144" s="5">
        <v>80900000</v>
      </c>
      <c r="O2144" s="5">
        <v>83900000</v>
      </c>
      <c r="P2144" s="3">
        <v>0.97916666666666663</v>
      </c>
    </row>
    <row r="2145" spans="1:16" x14ac:dyDescent="0.25">
      <c r="A2145" t="s">
        <v>1314</v>
      </c>
      <c r="B2145" s="2">
        <v>45489</v>
      </c>
      <c r="C2145" t="str">
        <f>TEXT(B2145,"mm")</f>
        <v>07</v>
      </c>
      <c r="D2145" t="s">
        <v>18</v>
      </c>
      <c r="E2145" t="s">
        <v>1636</v>
      </c>
      <c r="F2145" s="5">
        <v>81700000</v>
      </c>
      <c r="G2145" s="5">
        <v>84700000</v>
      </c>
      <c r="H2145" s="5">
        <f>M2145*26000*1.20565</f>
        <v>77188606.560000002</v>
      </c>
      <c r="I2145" s="5">
        <f>G2145-H2145</f>
        <v>7511393.4399999976</v>
      </c>
      <c r="J2145" s="5">
        <v>3000000</v>
      </c>
      <c r="K2145" s="5">
        <v>8170000</v>
      </c>
      <c r="L2145" s="5">
        <v>8470000</v>
      </c>
      <c r="M2145" s="7">
        <v>2462.4</v>
      </c>
      <c r="N2145" s="5">
        <v>82200000</v>
      </c>
      <c r="O2145" s="5">
        <v>85200000</v>
      </c>
      <c r="P2145" s="3">
        <v>0.97916666666666663</v>
      </c>
    </row>
    <row r="2146" spans="1:16" x14ac:dyDescent="0.25">
      <c r="A2146" t="s">
        <v>1315</v>
      </c>
      <c r="B2146" s="2">
        <v>45490</v>
      </c>
      <c r="C2146" t="str">
        <f>TEXT(B2146,"mm")</f>
        <v>07</v>
      </c>
      <c r="D2146" t="s">
        <v>19</v>
      </c>
      <c r="E2146" t="s">
        <v>1636</v>
      </c>
      <c r="F2146" s="5">
        <v>81500000</v>
      </c>
      <c r="G2146" s="5">
        <v>84500000</v>
      </c>
      <c r="H2146" s="5">
        <f>M2146*26000*1.20565</f>
        <v>76950370.12000002</v>
      </c>
      <c r="I2146" s="5">
        <f>G2146-H2146</f>
        <v>7549629.8799999803</v>
      </c>
      <c r="J2146" s="5">
        <v>3000000</v>
      </c>
      <c r="K2146" s="5">
        <v>8150000</v>
      </c>
      <c r="L2146" s="5">
        <v>8450000</v>
      </c>
      <c r="M2146" s="7">
        <v>2454.8000000000002</v>
      </c>
      <c r="N2146" s="5">
        <v>82000000</v>
      </c>
      <c r="O2146" s="5">
        <v>85000000</v>
      </c>
      <c r="P2146" s="3">
        <v>0.97916666666666663</v>
      </c>
    </row>
    <row r="2147" spans="1:16" x14ac:dyDescent="0.25">
      <c r="A2147" t="s">
        <v>1316</v>
      </c>
      <c r="B2147" s="2">
        <v>45491</v>
      </c>
      <c r="C2147" t="str">
        <f>TEXT(B2147,"mm")</f>
        <v>07</v>
      </c>
      <c r="D2147" t="s">
        <v>20</v>
      </c>
      <c r="E2147" t="s">
        <v>1636</v>
      </c>
      <c r="F2147" s="5">
        <v>81400000</v>
      </c>
      <c r="G2147" s="5">
        <v>84400000</v>
      </c>
      <c r="H2147" s="5">
        <f>M2147*26000*1.20565</f>
        <v>76856329.420000017</v>
      </c>
      <c r="I2147" s="5">
        <f>G2147-H2147</f>
        <v>7543670.5799999833</v>
      </c>
      <c r="J2147" s="5">
        <v>3000000</v>
      </c>
      <c r="K2147" s="5">
        <v>8140000</v>
      </c>
      <c r="L2147" s="5">
        <v>8440000</v>
      </c>
      <c r="M2147" s="7">
        <v>2451.8000000000002</v>
      </c>
      <c r="N2147" s="5">
        <v>81900000</v>
      </c>
      <c r="O2147" s="5">
        <v>84900000</v>
      </c>
      <c r="P2147" s="3">
        <v>0.97916666666666663</v>
      </c>
    </row>
    <row r="2148" spans="1:16" x14ac:dyDescent="0.25">
      <c r="A2148" t="s">
        <v>1317</v>
      </c>
      <c r="B2148" s="2">
        <v>45492</v>
      </c>
      <c r="C2148" t="str">
        <f>TEXT(B2148,"mm")</f>
        <v>07</v>
      </c>
      <c r="D2148" t="s">
        <v>21</v>
      </c>
      <c r="E2148" t="s">
        <v>1636</v>
      </c>
      <c r="F2148" s="5">
        <v>79400000</v>
      </c>
      <c r="G2148" s="5">
        <v>82400000</v>
      </c>
      <c r="H2148" s="5">
        <f>M2148*26000*1.20565</f>
        <v>75091498.950000003</v>
      </c>
      <c r="I2148" s="5">
        <f>G2148-H2148</f>
        <v>7308501.049999997</v>
      </c>
      <c r="J2148" s="5">
        <v>3000000</v>
      </c>
      <c r="K2148" s="5">
        <v>7940000</v>
      </c>
      <c r="L2148" s="5">
        <v>8240000</v>
      </c>
      <c r="M2148" s="7">
        <v>2395.5</v>
      </c>
      <c r="N2148" s="5">
        <v>79900000</v>
      </c>
      <c r="O2148" s="5">
        <v>82900000</v>
      </c>
      <c r="P2148" s="3">
        <v>0.97916666666666663</v>
      </c>
    </row>
    <row r="2149" spans="1:16" x14ac:dyDescent="0.25">
      <c r="A2149" t="s">
        <v>1318</v>
      </c>
      <c r="B2149" s="2">
        <v>45495</v>
      </c>
      <c r="C2149" t="str">
        <f>TEXT(B2149,"mm")</f>
        <v>07</v>
      </c>
      <c r="D2149" t="s">
        <v>16</v>
      </c>
      <c r="E2149" t="s">
        <v>1636</v>
      </c>
      <c r="F2149" s="5">
        <v>79300000</v>
      </c>
      <c r="G2149" s="5">
        <v>82300000</v>
      </c>
      <c r="H2149" s="5">
        <f>M2149*26000*1.20565</f>
        <v>74981784.800000012</v>
      </c>
      <c r="I2149" s="5">
        <f>G2149-H2149</f>
        <v>7318215.1999999881</v>
      </c>
      <c r="J2149" s="5">
        <v>3000000</v>
      </c>
      <c r="K2149" s="5">
        <v>7930000</v>
      </c>
      <c r="L2149" s="5">
        <v>8230000</v>
      </c>
      <c r="M2149" s="7">
        <v>2392</v>
      </c>
      <c r="N2149" s="5">
        <v>79800000</v>
      </c>
      <c r="O2149" s="5">
        <v>82800000</v>
      </c>
      <c r="P2149" s="3">
        <v>0.97916666666666663</v>
      </c>
    </row>
    <row r="2150" spans="1:16" x14ac:dyDescent="0.25">
      <c r="A2150" t="s">
        <v>1319</v>
      </c>
      <c r="B2150" s="2">
        <v>45496</v>
      </c>
      <c r="C2150" t="str">
        <f>TEXT(B2150,"mm")</f>
        <v>07</v>
      </c>
      <c r="D2150" t="s">
        <v>18</v>
      </c>
      <c r="E2150" t="s">
        <v>1636</v>
      </c>
      <c r="F2150" s="5">
        <v>79700000</v>
      </c>
      <c r="G2150" s="5">
        <v>82700000</v>
      </c>
      <c r="H2150" s="5">
        <f>M2150*26000*1.20565</f>
        <v>75376755.74000001</v>
      </c>
      <c r="I2150" s="5">
        <f>G2150-H2150</f>
        <v>7323244.2599999905</v>
      </c>
      <c r="J2150" s="5">
        <v>3000000</v>
      </c>
      <c r="K2150" s="5">
        <v>7970000</v>
      </c>
      <c r="L2150" s="5">
        <v>8270000</v>
      </c>
      <c r="M2150" s="7">
        <v>2404.6</v>
      </c>
      <c r="N2150" s="5">
        <v>80200000</v>
      </c>
      <c r="O2150" s="5">
        <v>83200000</v>
      </c>
      <c r="P2150" s="3">
        <v>0.97916666666666663</v>
      </c>
    </row>
    <row r="2151" spans="1:16" x14ac:dyDescent="0.25">
      <c r="A2151" t="s">
        <v>1320</v>
      </c>
      <c r="B2151" s="2">
        <v>45497</v>
      </c>
      <c r="C2151" t="str">
        <f>TEXT(B2151,"mm")</f>
        <v>07</v>
      </c>
      <c r="D2151" t="s">
        <v>19</v>
      </c>
      <c r="E2151" t="s">
        <v>1636</v>
      </c>
      <c r="F2151" s="5">
        <v>80000000</v>
      </c>
      <c r="G2151" s="5">
        <v>83000000</v>
      </c>
      <c r="H2151" s="5">
        <f>M2151*26000*1.20565</f>
        <v>75649473.770000011</v>
      </c>
      <c r="I2151" s="5">
        <f>G2151-H2151</f>
        <v>7350526.2299999893</v>
      </c>
      <c r="J2151" s="5">
        <v>3000000</v>
      </c>
      <c r="K2151" s="5">
        <v>8000000</v>
      </c>
      <c r="L2151" s="5">
        <v>8300000</v>
      </c>
      <c r="M2151" s="7">
        <v>2413.3000000000002</v>
      </c>
      <c r="N2151" s="5">
        <v>80500000</v>
      </c>
      <c r="O2151" s="5">
        <v>83500000</v>
      </c>
      <c r="P2151" s="3">
        <v>0.97916666666666663</v>
      </c>
    </row>
    <row r="2152" spans="1:16" x14ac:dyDescent="0.25">
      <c r="A2152" t="s">
        <v>1321</v>
      </c>
      <c r="B2152" s="2">
        <v>45498</v>
      </c>
      <c r="C2152" t="str">
        <f>TEXT(B2152,"mm")</f>
        <v>07</v>
      </c>
      <c r="D2152" t="s">
        <v>20</v>
      </c>
      <c r="E2152" t="s">
        <v>1636</v>
      </c>
      <c r="F2152" s="5">
        <v>77900000</v>
      </c>
      <c r="G2152" s="5">
        <v>80900000</v>
      </c>
      <c r="H2152" s="5">
        <f>M2152*26000*1.20565</f>
        <v>73724774.109999999</v>
      </c>
      <c r="I2152" s="5">
        <f>G2152-H2152</f>
        <v>7175225.8900000006</v>
      </c>
      <c r="J2152" s="5">
        <v>3000000</v>
      </c>
      <c r="K2152" s="5">
        <v>7790000</v>
      </c>
      <c r="L2152" s="5">
        <v>8090000</v>
      </c>
      <c r="M2152" s="7">
        <v>2351.9</v>
      </c>
      <c r="N2152" s="5">
        <v>78400000</v>
      </c>
      <c r="O2152" s="5">
        <v>81400000</v>
      </c>
      <c r="P2152" s="3">
        <v>0.97916666666666663</v>
      </c>
    </row>
    <row r="2153" spans="1:16" x14ac:dyDescent="0.25">
      <c r="A2153" t="s">
        <v>1322</v>
      </c>
      <c r="B2153" s="2">
        <v>45499</v>
      </c>
      <c r="C2153" t="str">
        <f>TEXT(B2153,"mm")</f>
        <v>07</v>
      </c>
      <c r="D2153" t="s">
        <v>21</v>
      </c>
      <c r="E2153" t="s">
        <v>1636</v>
      </c>
      <c r="F2153" s="5">
        <v>78900000</v>
      </c>
      <c r="G2153" s="5">
        <v>81900000</v>
      </c>
      <c r="H2153" s="5">
        <f>M2153*26000*1.20565</f>
        <v>74605622</v>
      </c>
      <c r="I2153" s="5">
        <f>G2153-H2153</f>
        <v>7294378</v>
      </c>
      <c r="J2153" s="5">
        <v>3000000</v>
      </c>
      <c r="K2153" s="5">
        <v>7890000</v>
      </c>
      <c r="L2153" s="5">
        <v>8190000</v>
      </c>
      <c r="M2153" s="7">
        <v>2380</v>
      </c>
      <c r="N2153" s="5">
        <v>79400000</v>
      </c>
      <c r="O2153" s="5">
        <v>82400000</v>
      </c>
      <c r="P2153" s="3">
        <v>0.97916666666666663</v>
      </c>
    </row>
    <row r="2154" spans="1:16" x14ac:dyDescent="0.25">
      <c r="A2154" t="s">
        <v>1323</v>
      </c>
      <c r="B2154" s="2">
        <v>45502</v>
      </c>
      <c r="C2154" t="str">
        <f>TEXT(B2154,"mm")</f>
        <v>07</v>
      </c>
      <c r="D2154" t="s">
        <v>16</v>
      </c>
      <c r="E2154" t="s">
        <v>1636</v>
      </c>
      <c r="F2154" s="5">
        <v>78800000</v>
      </c>
      <c r="G2154" s="5">
        <v>81800000</v>
      </c>
      <c r="H2154" s="5">
        <f>M2154*26000*1.20565</f>
        <v>74520985.37000002</v>
      </c>
      <c r="I2154" s="5">
        <f>G2154-H2154</f>
        <v>7279014.6299999803</v>
      </c>
      <c r="J2154" s="5">
        <v>3000000</v>
      </c>
      <c r="K2154" s="5">
        <v>7880000</v>
      </c>
      <c r="L2154" s="5">
        <v>8180000</v>
      </c>
      <c r="M2154" s="7">
        <v>2377.3000000000002</v>
      </c>
      <c r="N2154" s="5">
        <v>79300000</v>
      </c>
      <c r="O2154" s="5">
        <v>82300000</v>
      </c>
      <c r="P2154" s="3">
        <v>0.97916666666666663</v>
      </c>
    </row>
    <row r="2155" spans="1:16" x14ac:dyDescent="0.25">
      <c r="A2155" t="s">
        <v>1324</v>
      </c>
      <c r="B2155" s="2">
        <v>45503</v>
      </c>
      <c r="C2155" t="str">
        <f>TEXT(B2155,"mm")</f>
        <v>07</v>
      </c>
      <c r="D2155" t="s">
        <v>18</v>
      </c>
      <c r="E2155" t="s">
        <v>1636</v>
      </c>
      <c r="F2155" s="5">
        <v>79700000</v>
      </c>
      <c r="G2155" s="5">
        <v>82700000</v>
      </c>
      <c r="H2155" s="5">
        <f>M2155*26000*1.20565</f>
        <v>75389294.5</v>
      </c>
      <c r="I2155" s="5">
        <f>G2155-H2155</f>
        <v>7310705.5</v>
      </c>
      <c r="J2155" s="5">
        <v>3000000</v>
      </c>
      <c r="K2155" s="5">
        <v>7970000</v>
      </c>
      <c r="L2155" s="5">
        <v>8270000</v>
      </c>
      <c r="M2155" s="7">
        <v>2405</v>
      </c>
      <c r="N2155" s="5">
        <v>80200000</v>
      </c>
      <c r="O2155" s="5">
        <v>83200000</v>
      </c>
      <c r="P2155" s="3">
        <v>0.97916666666666663</v>
      </c>
    </row>
    <row r="2156" spans="1:16" x14ac:dyDescent="0.25">
      <c r="A2156" t="s">
        <v>1325</v>
      </c>
      <c r="B2156" s="2">
        <v>45504</v>
      </c>
      <c r="C2156" t="str">
        <f>TEXT(B2156,"mm")</f>
        <v>07</v>
      </c>
      <c r="D2156" t="s">
        <v>19</v>
      </c>
      <c r="E2156" t="s">
        <v>1636</v>
      </c>
      <c r="F2156" s="5">
        <v>80500000</v>
      </c>
      <c r="G2156" s="5">
        <v>83500000</v>
      </c>
      <c r="H2156" s="5">
        <f>M2156*26000*1.20565</f>
        <v>76063252.850000009</v>
      </c>
      <c r="I2156" s="5">
        <f>G2156-H2156</f>
        <v>7436747.1499999911</v>
      </c>
      <c r="J2156" s="5">
        <v>3000000</v>
      </c>
      <c r="K2156" s="5">
        <v>8050000</v>
      </c>
      <c r="L2156" s="5">
        <v>8350000</v>
      </c>
      <c r="M2156" s="7">
        <v>2426.5</v>
      </c>
      <c r="N2156" s="5">
        <v>81000000</v>
      </c>
      <c r="O2156" s="5">
        <v>84000000</v>
      </c>
      <c r="P2156" s="3">
        <v>0.97916666666666663</v>
      </c>
    </row>
    <row r="2157" spans="1:16" x14ac:dyDescent="0.25">
      <c r="A2157" s="2">
        <v>45299</v>
      </c>
      <c r="B2157" s="2">
        <v>45505</v>
      </c>
      <c r="C2157" t="str">
        <f>TEXT(B2157,"mm")</f>
        <v>08</v>
      </c>
      <c r="D2157" t="s">
        <v>20</v>
      </c>
      <c r="E2157" t="s">
        <v>1636</v>
      </c>
      <c r="F2157" s="5">
        <v>80800000</v>
      </c>
      <c r="G2157" s="5">
        <v>83800000</v>
      </c>
      <c r="H2157" s="5">
        <f>M2157*26000*1.20565</f>
        <v>76329701.5</v>
      </c>
      <c r="I2157" s="5">
        <f>G2157-H2157</f>
        <v>7470298.5</v>
      </c>
      <c r="J2157" s="5">
        <v>3000000</v>
      </c>
      <c r="K2157" s="5">
        <v>8080000</v>
      </c>
      <c r="L2157" s="5">
        <v>8380000</v>
      </c>
      <c r="M2157" s="7">
        <v>2435</v>
      </c>
      <c r="N2157" s="5">
        <v>81300000</v>
      </c>
      <c r="O2157" s="5">
        <v>84300000</v>
      </c>
      <c r="P2157" s="3">
        <v>0.97916666666666663</v>
      </c>
    </row>
    <row r="2158" spans="1:16" x14ac:dyDescent="0.25">
      <c r="A2158" s="2">
        <v>45330</v>
      </c>
      <c r="B2158" s="2">
        <v>45506</v>
      </c>
      <c r="C2158" t="str">
        <f>TEXT(B2158,"mm")</f>
        <v>08</v>
      </c>
      <c r="D2158" t="s">
        <v>21</v>
      </c>
      <c r="E2158" t="s">
        <v>1636</v>
      </c>
      <c r="F2158" s="5">
        <v>80500000</v>
      </c>
      <c r="G2158" s="5">
        <v>83500000</v>
      </c>
      <c r="H2158" s="5">
        <f>M2158*26000*1.20565</f>
        <v>76038175.329999998</v>
      </c>
      <c r="I2158" s="5">
        <f>G2158-H2158</f>
        <v>7461824.6700000018</v>
      </c>
      <c r="J2158" s="5">
        <v>3000000</v>
      </c>
      <c r="K2158" s="5">
        <v>8050000</v>
      </c>
      <c r="L2158" s="5">
        <v>8350000</v>
      </c>
      <c r="M2158" s="7">
        <v>2425.6999999999998</v>
      </c>
      <c r="N2158" s="5">
        <v>81000000</v>
      </c>
      <c r="O2158" s="5">
        <v>84000000</v>
      </c>
      <c r="P2158" s="3">
        <v>0.97916666666666663</v>
      </c>
    </row>
    <row r="2159" spans="1:16" x14ac:dyDescent="0.25">
      <c r="A2159" s="2">
        <v>45420</v>
      </c>
      <c r="B2159" s="2">
        <v>45509</v>
      </c>
      <c r="C2159" t="str">
        <f>TEXT(B2159,"mm")</f>
        <v>08</v>
      </c>
      <c r="D2159" t="s">
        <v>16</v>
      </c>
      <c r="E2159" t="s">
        <v>1636</v>
      </c>
      <c r="F2159" s="5">
        <v>79600000</v>
      </c>
      <c r="G2159" s="5">
        <v>82600000</v>
      </c>
      <c r="H2159" s="5">
        <f>M2159*26000*1.20565</f>
        <v>75285849.730000004</v>
      </c>
      <c r="I2159" s="5">
        <f>G2159-H2159</f>
        <v>7314150.2699999958</v>
      </c>
      <c r="J2159" s="5">
        <v>3000000</v>
      </c>
      <c r="K2159" s="5">
        <v>7960000</v>
      </c>
      <c r="L2159" s="5">
        <v>8260000</v>
      </c>
      <c r="M2159" s="7">
        <v>2401.6999999999998</v>
      </c>
      <c r="N2159" s="5">
        <v>80100000</v>
      </c>
      <c r="O2159" s="5">
        <v>83100000</v>
      </c>
      <c r="P2159" s="3">
        <v>0.97916666666666663</v>
      </c>
    </row>
    <row r="2160" spans="1:16" x14ac:dyDescent="0.25">
      <c r="A2160" s="2">
        <v>45451</v>
      </c>
      <c r="B2160" s="2">
        <v>45510</v>
      </c>
      <c r="C2160" t="str">
        <f>TEXT(B2160,"mm")</f>
        <v>08</v>
      </c>
      <c r="D2160" t="s">
        <v>18</v>
      </c>
      <c r="E2160" t="s">
        <v>1636</v>
      </c>
      <c r="F2160" s="5">
        <v>79200000</v>
      </c>
      <c r="G2160" s="5">
        <v>82200000</v>
      </c>
      <c r="H2160" s="5">
        <f>M2160*26000*1.20565</f>
        <v>74890878.790000007</v>
      </c>
      <c r="I2160" s="5">
        <f>G2160-H2160</f>
        <v>7309121.2099999934</v>
      </c>
      <c r="J2160" s="5">
        <v>3000000</v>
      </c>
      <c r="K2160" s="5">
        <v>7920000</v>
      </c>
      <c r="L2160" s="5">
        <v>8220000</v>
      </c>
      <c r="M2160" s="7">
        <v>2389.1</v>
      </c>
      <c r="N2160" s="5">
        <v>79700000</v>
      </c>
      <c r="O2160" s="5">
        <v>82700000</v>
      </c>
      <c r="P2160" s="3">
        <v>0.97916666666666663</v>
      </c>
    </row>
    <row r="2161" spans="1:16" x14ac:dyDescent="0.25">
      <c r="A2161" s="2">
        <v>45481</v>
      </c>
      <c r="B2161" s="2">
        <v>45511</v>
      </c>
      <c r="C2161" t="str">
        <f>TEXT(B2161,"mm")</f>
        <v>08</v>
      </c>
      <c r="D2161" t="s">
        <v>19</v>
      </c>
      <c r="E2161" t="s">
        <v>1636</v>
      </c>
      <c r="F2161" s="5">
        <v>79200000</v>
      </c>
      <c r="G2161" s="5">
        <v>82200000</v>
      </c>
      <c r="H2161" s="5">
        <f>M2161*26000*1.20565</f>
        <v>74934764.450000003</v>
      </c>
      <c r="I2161" s="5">
        <f>G2161-H2161</f>
        <v>7265235.549999997</v>
      </c>
      <c r="J2161" s="5">
        <v>3000000</v>
      </c>
      <c r="K2161" s="5">
        <v>7920000</v>
      </c>
      <c r="L2161" s="5">
        <v>8220000</v>
      </c>
      <c r="M2161" s="7">
        <v>2390.5</v>
      </c>
      <c r="N2161" s="5">
        <v>79700000</v>
      </c>
      <c r="O2161" s="5">
        <v>82700000</v>
      </c>
      <c r="P2161" s="3">
        <v>0.97916666666666663</v>
      </c>
    </row>
    <row r="2162" spans="1:16" x14ac:dyDescent="0.25">
      <c r="A2162" s="2">
        <v>45512</v>
      </c>
      <c r="B2162" s="2">
        <v>45512</v>
      </c>
      <c r="C2162" t="str">
        <f>TEXT(B2162,"mm")</f>
        <v>08</v>
      </c>
      <c r="D2162" t="s">
        <v>20</v>
      </c>
      <c r="E2162" t="s">
        <v>1636</v>
      </c>
      <c r="F2162" s="5">
        <v>80300000</v>
      </c>
      <c r="G2162" s="5">
        <v>83300000</v>
      </c>
      <c r="H2162" s="5">
        <f>M2162*26000*1.20565</f>
        <v>75928461.179999992</v>
      </c>
      <c r="I2162" s="5">
        <f>G2162-H2162</f>
        <v>7371538.8200000077</v>
      </c>
      <c r="J2162" s="5">
        <v>3000000</v>
      </c>
      <c r="K2162" s="5">
        <v>8030000</v>
      </c>
      <c r="L2162" s="5">
        <v>8330000</v>
      </c>
      <c r="M2162" s="7">
        <v>2422.1999999999998</v>
      </c>
      <c r="N2162" s="5">
        <v>80800000</v>
      </c>
      <c r="O2162" s="5">
        <v>83800000</v>
      </c>
      <c r="P2162" s="3">
        <v>0.97916666666666663</v>
      </c>
    </row>
    <row r="2163" spans="1:16" x14ac:dyDescent="0.25">
      <c r="A2163" s="2">
        <v>45543</v>
      </c>
      <c r="B2163" s="2">
        <v>45513</v>
      </c>
      <c r="C2163" t="str">
        <f>TEXT(B2163,"mm")</f>
        <v>08</v>
      </c>
      <c r="D2163" t="s">
        <v>21</v>
      </c>
      <c r="E2163" t="s">
        <v>1636</v>
      </c>
      <c r="F2163" s="5">
        <v>80700000</v>
      </c>
      <c r="G2163" s="5">
        <v>83700000</v>
      </c>
      <c r="H2163" s="5">
        <f>M2163*26000*1.20565</f>
        <v>76238795.49000001</v>
      </c>
      <c r="I2163" s="5">
        <f>G2163-H2163</f>
        <v>7461204.5099999905</v>
      </c>
      <c r="J2163" s="5">
        <v>3000000</v>
      </c>
      <c r="K2163" s="5">
        <v>8070000</v>
      </c>
      <c r="L2163" s="5">
        <v>8370000</v>
      </c>
      <c r="M2163" s="7">
        <v>2432.1</v>
      </c>
      <c r="N2163" s="5">
        <v>81200000</v>
      </c>
      <c r="O2163" s="5">
        <v>84200000</v>
      </c>
      <c r="P2163" s="3">
        <v>0.97916666666666663</v>
      </c>
    </row>
    <row r="2164" spans="1:16" x14ac:dyDescent="0.25">
      <c r="A2164" s="2">
        <v>45634</v>
      </c>
      <c r="B2164" s="2">
        <v>45516</v>
      </c>
      <c r="C2164" t="str">
        <f>TEXT(B2164,"mm")</f>
        <v>08</v>
      </c>
      <c r="D2164" t="s">
        <v>16</v>
      </c>
      <c r="E2164" t="s">
        <v>1636</v>
      </c>
      <c r="F2164" s="5">
        <v>81700000</v>
      </c>
      <c r="G2164" s="5">
        <v>84700000</v>
      </c>
      <c r="H2164" s="5">
        <f>M2164*26000*1.20565</f>
        <v>77188606.560000002</v>
      </c>
      <c r="I2164" s="5">
        <f>G2164-H2164</f>
        <v>7511393.4399999976</v>
      </c>
      <c r="J2164" s="5">
        <v>3000000</v>
      </c>
      <c r="K2164" s="5">
        <v>8170000</v>
      </c>
      <c r="L2164" s="5">
        <v>8470000</v>
      </c>
      <c r="M2164" s="7">
        <v>2462.4</v>
      </c>
      <c r="N2164" s="5">
        <v>82200000</v>
      </c>
      <c r="O2164" s="5">
        <v>85200000</v>
      </c>
      <c r="P2164" s="3">
        <v>0.97916666666666663</v>
      </c>
    </row>
    <row r="2165" spans="1:16" x14ac:dyDescent="0.25">
      <c r="A2165" t="s">
        <v>1326</v>
      </c>
      <c r="B2165" s="2">
        <v>45517</v>
      </c>
      <c r="C2165" t="str">
        <f>TEXT(B2165,"mm")</f>
        <v>08</v>
      </c>
      <c r="D2165" t="s">
        <v>18</v>
      </c>
      <c r="E2165" t="s">
        <v>1636</v>
      </c>
      <c r="F2165" s="5">
        <v>81900000</v>
      </c>
      <c r="G2165" s="5">
        <v>84900000</v>
      </c>
      <c r="H2165" s="5">
        <f>M2165*26000*1.20565</f>
        <v>77323398.230000004</v>
      </c>
      <c r="I2165" s="5">
        <f>G2165-H2165</f>
        <v>7576601.7699999958</v>
      </c>
      <c r="J2165" s="5">
        <v>3000000</v>
      </c>
      <c r="K2165" s="5">
        <v>8190000</v>
      </c>
      <c r="L2165" s="5">
        <v>8490000</v>
      </c>
      <c r="M2165" s="7">
        <v>2466.6999999999998</v>
      </c>
      <c r="N2165" s="5">
        <v>82400000</v>
      </c>
      <c r="O2165" s="5">
        <v>85400000</v>
      </c>
      <c r="P2165" s="3">
        <v>0.97916666666666663</v>
      </c>
    </row>
    <row r="2166" spans="1:16" x14ac:dyDescent="0.25">
      <c r="A2166" t="s">
        <v>1327</v>
      </c>
      <c r="B2166" s="2">
        <v>45518</v>
      </c>
      <c r="C2166" t="str">
        <f>TEXT(B2166,"mm")</f>
        <v>08</v>
      </c>
      <c r="D2166" t="s">
        <v>19</v>
      </c>
      <c r="E2166" t="s">
        <v>1636</v>
      </c>
      <c r="F2166" s="5">
        <v>80900000</v>
      </c>
      <c r="G2166" s="5">
        <v>83900000</v>
      </c>
      <c r="H2166" s="5">
        <f>M2166*26000*1.20565</f>
        <v>76467627.860000014</v>
      </c>
      <c r="I2166" s="5">
        <f>G2166-H2166</f>
        <v>7432372.1399999857</v>
      </c>
      <c r="J2166" s="5">
        <v>3000000</v>
      </c>
      <c r="K2166" s="5">
        <v>8090000</v>
      </c>
      <c r="L2166" s="5">
        <v>8390000</v>
      </c>
      <c r="M2166" s="7">
        <v>2439.4</v>
      </c>
      <c r="N2166" s="5">
        <v>81400000</v>
      </c>
      <c r="O2166" s="5">
        <v>84400000</v>
      </c>
      <c r="P2166" s="3">
        <v>0.97916666666666663</v>
      </c>
    </row>
    <row r="2167" spans="1:16" x14ac:dyDescent="0.25">
      <c r="A2167" t="s">
        <v>1328</v>
      </c>
      <c r="B2167" s="2">
        <v>45519</v>
      </c>
      <c r="C2167" t="str">
        <f>TEXT(B2167,"mm")</f>
        <v>08</v>
      </c>
      <c r="D2167" t="s">
        <v>20</v>
      </c>
      <c r="E2167" t="s">
        <v>1636</v>
      </c>
      <c r="F2167" s="5">
        <v>81400000</v>
      </c>
      <c r="G2167" s="5">
        <v>84400000</v>
      </c>
      <c r="H2167" s="5">
        <f>M2167*26000*1.20565</f>
        <v>76897080.390000001</v>
      </c>
      <c r="I2167" s="5">
        <f>G2167-H2167</f>
        <v>7502919.6099999994</v>
      </c>
      <c r="J2167" s="5">
        <v>3000000</v>
      </c>
      <c r="K2167" s="5">
        <v>8140000</v>
      </c>
      <c r="L2167" s="5">
        <v>8440000</v>
      </c>
      <c r="M2167" s="7">
        <v>2453.1</v>
      </c>
      <c r="N2167" s="5">
        <v>81900000</v>
      </c>
      <c r="O2167" s="5">
        <v>84900000</v>
      </c>
      <c r="P2167" s="3">
        <v>0.97916666666666663</v>
      </c>
    </row>
    <row r="2168" spans="1:16" x14ac:dyDescent="0.25">
      <c r="A2168" t="s">
        <v>1329</v>
      </c>
      <c r="B2168" s="2">
        <v>45520</v>
      </c>
      <c r="C2168" t="str">
        <f>TEXT(B2168,"mm")</f>
        <v>08</v>
      </c>
      <c r="D2168" t="s">
        <v>21</v>
      </c>
      <c r="E2168" t="s">
        <v>1636</v>
      </c>
      <c r="F2168" s="5">
        <v>83000000</v>
      </c>
      <c r="G2168" s="5">
        <v>86000000</v>
      </c>
      <c r="H2168" s="5">
        <f>M2168*26000*1.20565</f>
        <v>78323364.340000004</v>
      </c>
      <c r="I2168" s="5">
        <f>G2168-H2168</f>
        <v>7676635.6599999964</v>
      </c>
      <c r="J2168" s="5">
        <v>3000000</v>
      </c>
      <c r="K2168" s="5">
        <v>8300000</v>
      </c>
      <c r="L2168" s="5">
        <v>8600000</v>
      </c>
      <c r="M2168" s="7">
        <v>2498.6</v>
      </c>
      <c r="N2168" s="5">
        <v>83500000</v>
      </c>
      <c r="O2168" s="5">
        <v>86500000</v>
      </c>
      <c r="P2168" s="3">
        <v>0.97916666666666663</v>
      </c>
    </row>
    <row r="2169" spans="1:16" x14ac:dyDescent="0.25">
      <c r="A2169" t="s">
        <v>1330</v>
      </c>
      <c r="B2169" s="2">
        <v>45523</v>
      </c>
      <c r="C2169" t="str">
        <f>TEXT(B2169,"mm")</f>
        <v>08</v>
      </c>
      <c r="D2169" t="s">
        <v>16</v>
      </c>
      <c r="E2169" t="s">
        <v>1636</v>
      </c>
      <c r="F2169" s="5">
        <v>83100000</v>
      </c>
      <c r="G2169" s="5">
        <v>86100000</v>
      </c>
      <c r="H2169" s="5">
        <f>M2169*26000*1.20565</f>
        <v>78423674.420000017</v>
      </c>
      <c r="I2169" s="5">
        <f>G2169-H2169</f>
        <v>7676325.5799999833</v>
      </c>
      <c r="J2169" s="5">
        <v>3000000</v>
      </c>
      <c r="K2169" s="5">
        <v>8310000</v>
      </c>
      <c r="L2169" s="5">
        <v>8610000</v>
      </c>
      <c r="M2169" s="7">
        <v>2501.8000000000002</v>
      </c>
      <c r="N2169" s="5">
        <v>83600000</v>
      </c>
      <c r="O2169" s="5">
        <v>86600000</v>
      </c>
      <c r="P2169" s="3">
        <v>0.97916666666666663</v>
      </c>
    </row>
    <row r="2170" spans="1:16" x14ac:dyDescent="0.25">
      <c r="A2170" t="s">
        <v>1331</v>
      </c>
      <c r="B2170" s="2">
        <v>45524</v>
      </c>
      <c r="C2170" t="str">
        <f>TEXT(B2170,"mm")</f>
        <v>08</v>
      </c>
      <c r="D2170" t="s">
        <v>18</v>
      </c>
      <c r="E2170" t="s">
        <v>1636</v>
      </c>
      <c r="F2170" s="5">
        <v>83400000</v>
      </c>
      <c r="G2170" s="5">
        <v>86400000</v>
      </c>
      <c r="H2170" s="5">
        <f>M2170*26000*1.20565</f>
        <v>78721469.970000014</v>
      </c>
      <c r="I2170" s="5">
        <f>G2170-H2170</f>
        <v>7678530.0299999863</v>
      </c>
      <c r="J2170" s="5">
        <v>3000000</v>
      </c>
      <c r="K2170" s="5">
        <v>8340000</v>
      </c>
      <c r="L2170" s="5">
        <v>8640000</v>
      </c>
      <c r="M2170" s="7">
        <v>2511.3000000000002</v>
      </c>
      <c r="N2170" s="5">
        <v>83900000</v>
      </c>
      <c r="O2170" s="5">
        <v>86900000</v>
      </c>
      <c r="P2170" s="3">
        <v>0.97916666666666663</v>
      </c>
    </row>
    <row r="2171" spans="1:16" x14ac:dyDescent="0.25">
      <c r="A2171" t="s">
        <v>1332</v>
      </c>
      <c r="B2171" s="2">
        <v>45525</v>
      </c>
      <c r="C2171" t="str">
        <f>TEXT(B2171,"mm")</f>
        <v>08</v>
      </c>
      <c r="D2171" t="s">
        <v>19</v>
      </c>
      <c r="E2171" t="s">
        <v>1636</v>
      </c>
      <c r="F2171" s="5">
        <v>83300000</v>
      </c>
      <c r="G2171" s="5">
        <v>86300000</v>
      </c>
      <c r="H2171" s="5">
        <f>M2171*26000*1.20565</f>
        <v>78630563.960000008</v>
      </c>
      <c r="I2171" s="5">
        <f>G2171-H2171</f>
        <v>7669436.0399999917</v>
      </c>
      <c r="J2171" s="5">
        <v>3000000</v>
      </c>
      <c r="K2171" s="5">
        <v>8330000</v>
      </c>
      <c r="L2171" s="5">
        <v>8630000</v>
      </c>
      <c r="M2171" s="7">
        <v>2508.4</v>
      </c>
      <c r="N2171" s="5">
        <v>83800000</v>
      </c>
      <c r="O2171" s="5">
        <v>86800000</v>
      </c>
      <c r="P2171" s="3">
        <v>0.97916666666666663</v>
      </c>
    </row>
    <row r="2172" spans="1:16" x14ac:dyDescent="0.25">
      <c r="A2172" t="s">
        <v>1333</v>
      </c>
      <c r="B2172" s="2">
        <v>45526</v>
      </c>
      <c r="C2172" t="str">
        <f>TEXT(B2172,"mm")</f>
        <v>08</v>
      </c>
      <c r="D2172" t="s">
        <v>20</v>
      </c>
      <c r="E2172" t="s">
        <v>1636</v>
      </c>
      <c r="F2172" s="5">
        <v>82300000</v>
      </c>
      <c r="G2172" s="5">
        <v>85300000</v>
      </c>
      <c r="H2172" s="5">
        <f>M2172*26000*1.20565</f>
        <v>77705830.410000011</v>
      </c>
      <c r="I2172" s="5">
        <f>G2172-H2172</f>
        <v>7594169.5899999887</v>
      </c>
      <c r="J2172" s="5">
        <v>3000000</v>
      </c>
      <c r="K2172" s="5">
        <v>8230000</v>
      </c>
      <c r="L2172" s="5">
        <v>8530000</v>
      </c>
      <c r="M2172" s="7">
        <v>2478.9</v>
      </c>
      <c r="N2172" s="5">
        <v>82800000</v>
      </c>
      <c r="O2172" s="5">
        <v>85800000</v>
      </c>
      <c r="P2172" s="3">
        <v>0.97916666666666663</v>
      </c>
    </row>
    <row r="2173" spans="1:16" x14ac:dyDescent="0.25">
      <c r="A2173" t="s">
        <v>1334</v>
      </c>
      <c r="B2173" s="2">
        <v>45527</v>
      </c>
      <c r="C2173" t="str">
        <f>TEXT(B2173,"mm")</f>
        <v>08</v>
      </c>
      <c r="D2173" t="s">
        <v>21</v>
      </c>
      <c r="E2173" t="s">
        <v>1636</v>
      </c>
      <c r="F2173" s="5">
        <v>83300000</v>
      </c>
      <c r="G2173" s="5">
        <v>86300000</v>
      </c>
      <c r="H2173" s="5">
        <f>M2173*26000*1.20565</f>
        <v>78630563.960000008</v>
      </c>
      <c r="I2173" s="5">
        <f>G2173-H2173</f>
        <v>7669436.0399999917</v>
      </c>
      <c r="J2173" s="5">
        <v>3000000</v>
      </c>
      <c r="K2173" s="5">
        <v>8330000</v>
      </c>
      <c r="L2173" s="5">
        <v>8630000</v>
      </c>
      <c r="M2173" s="7">
        <v>2508.4</v>
      </c>
      <c r="N2173" s="5">
        <v>83800000</v>
      </c>
      <c r="O2173" s="5">
        <v>86800000</v>
      </c>
      <c r="P2173" s="3">
        <v>0.97916666666666663</v>
      </c>
    </row>
    <row r="2174" spans="1:16" x14ac:dyDescent="0.25">
      <c r="A2174" t="s">
        <v>1335</v>
      </c>
      <c r="B2174" s="2">
        <v>45530</v>
      </c>
      <c r="C2174" t="str">
        <f>TEXT(B2174,"mm")</f>
        <v>08</v>
      </c>
      <c r="D2174" t="s">
        <v>16</v>
      </c>
      <c r="E2174" t="s">
        <v>1636</v>
      </c>
      <c r="F2174" s="5">
        <v>83600000</v>
      </c>
      <c r="G2174" s="5">
        <v>86600000</v>
      </c>
      <c r="H2174" s="5">
        <f>M2174*26000*1.20565</f>
        <v>78922090.129999995</v>
      </c>
      <c r="I2174" s="5">
        <f>G2174-H2174</f>
        <v>7677909.8700000048</v>
      </c>
      <c r="J2174" s="5">
        <v>3000000</v>
      </c>
      <c r="K2174" s="5">
        <v>8360000</v>
      </c>
      <c r="L2174" s="5">
        <v>8660000</v>
      </c>
      <c r="M2174" s="7">
        <v>2517.6999999999998</v>
      </c>
      <c r="N2174" s="5">
        <v>84100000</v>
      </c>
      <c r="O2174" s="5">
        <v>87100000</v>
      </c>
      <c r="P2174" s="3">
        <v>0.97916666666666663</v>
      </c>
    </row>
    <row r="2175" spans="1:16" x14ac:dyDescent="0.25">
      <c r="A2175" t="s">
        <v>1336</v>
      </c>
      <c r="B2175" s="2">
        <v>45531</v>
      </c>
      <c r="C2175" t="str">
        <f>TEXT(B2175,"mm")</f>
        <v>08</v>
      </c>
      <c r="D2175" t="s">
        <v>18</v>
      </c>
      <c r="E2175" t="s">
        <v>1636</v>
      </c>
      <c r="F2175" s="5">
        <v>83600000</v>
      </c>
      <c r="G2175" s="5">
        <v>86600000</v>
      </c>
      <c r="H2175" s="5">
        <f>M2175*26000*1.20565</f>
        <v>78868800.400000006</v>
      </c>
      <c r="I2175" s="5">
        <f>G2175-H2175</f>
        <v>7731199.599999994</v>
      </c>
      <c r="J2175" s="5">
        <v>3000000</v>
      </c>
      <c r="K2175" s="5">
        <v>8360000</v>
      </c>
      <c r="L2175" s="5">
        <v>8660000</v>
      </c>
      <c r="M2175" s="7">
        <v>2516</v>
      </c>
      <c r="N2175" s="5">
        <v>84100000</v>
      </c>
      <c r="O2175" s="5">
        <v>87100000</v>
      </c>
      <c r="P2175" s="3">
        <v>0.97916666666666663</v>
      </c>
    </row>
    <row r="2176" spans="1:16" x14ac:dyDescent="0.25">
      <c r="A2176" t="s">
        <v>1337</v>
      </c>
      <c r="B2176" s="2">
        <v>45532</v>
      </c>
      <c r="C2176" t="str">
        <f>TEXT(B2176,"mm")</f>
        <v>08</v>
      </c>
      <c r="D2176" t="s">
        <v>19</v>
      </c>
      <c r="E2176" t="s">
        <v>1636</v>
      </c>
      <c r="F2176" s="5">
        <v>83000000</v>
      </c>
      <c r="G2176" s="5">
        <v>86000000</v>
      </c>
      <c r="H2176" s="5">
        <f>M2176*26000*1.20565</f>
        <v>78398596.900000006</v>
      </c>
      <c r="I2176" s="5">
        <f>G2176-H2176</f>
        <v>7601403.099999994</v>
      </c>
      <c r="J2176" s="5">
        <v>3000000</v>
      </c>
      <c r="K2176" s="5">
        <v>8300000</v>
      </c>
      <c r="L2176" s="5">
        <v>8600000</v>
      </c>
      <c r="M2176" s="7">
        <v>2501</v>
      </c>
      <c r="N2176" s="5">
        <v>83500000</v>
      </c>
      <c r="O2176" s="5">
        <v>86500000</v>
      </c>
      <c r="P2176" s="3">
        <v>0.97916666666666663</v>
      </c>
    </row>
    <row r="2177" spans="1:16" x14ac:dyDescent="0.25">
      <c r="A2177" t="s">
        <v>1338</v>
      </c>
      <c r="B2177" s="2">
        <v>45533</v>
      </c>
      <c r="C2177" t="str">
        <f>TEXT(B2177,"mm")</f>
        <v>08</v>
      </c>
      <c r="D2177" t="s">
        <v>20</v>
      </c>
      <c r="E2177" t="s">
        <v>1636</v>
      </c>
      <c r="F2177" s="5">
        <v>83900000</v>
      </c>
      <c r="G2177" s="5">
        <v>86900000</v>
      </c>
      <c r="H2177" s="5">
        <f>M2177*26000*1.20565</f>
        <v>79172865.329999998</v>
      </c>
      <c r="I2177" s="5">
        <f>G2177-H2177</f>
        <v>7727134.6700000018</v>
      </c>
      <c r="J2177" s="5">
        <v>3000000</v>
      </c>
      <c r="K2177" s="5">
        <v>8390000</v>
      </c>
      <c r="L2177" s="5">
        <v>8690000</v>
      </c>
      <c r="M2177" s="7">
        <v>2525.6999999999998</v>
      </c>
      <c r="N2177" s="5">
        <v>84400000</v>
      </c>
      <c r="O2177" s="5">
        <v>87400000</v>
      </c>
      <c r="P2177" s="3">
        <v>0.97916666666666663</v>
      </c>
    </row>
    <row r="2178" spans="1:16" x14ac:dyDescent="0.25">
      <c r="A2178" t="s">
        <v>1339</v>
      </c>
      <c r="B2178" s="2">
        <v>45534</v>
      </c>
      <c r="C2178" t="str">
        <f>TEXT(B2178,"mm")</f>
        <v>08</v>
      </c>
      <c r="D2178" t="s">
        <v>21</v>
      </c>
      <c r="E2178" t="s">
        <v>1636</v>
      </c>
      <c r="F2178" s="5">
        <v>82800000</v>
      </c>
      <c r="G2178" s="5">
        <v>85800000</v>
      </c>
      <c r="H2178" s="5">
        <f>M2178*26000*1.20565</f>
        <v>78172899.220000014</v>
      </c>
      <c r="I2178" s="5">
        <f>G2178-H2178</f>
        <v>7627100.7799999863</v>
      </c>
      <c r="J2178" s="5">
        <v>3000000</v>
      </c>
      <c r="K2178" s="5">
        <v>8280000</v>
      </c>
      <c r="L2178" s="5">
        <v>8580000</v>
      </c>
      <c r="M2178" s="7">
        <v>2493.8000000000002</v>
      </c>
      <c r="N2178" s="5">
        <v>83300000</v>
      </c>
      <c r="O2178" s="5">
        <v>86300000</v>
      </c>
      <c r="P2178" s="3">
        <v>0.97916666666666663</v>
      </c>
    </row>
    <row r="2179" spans="1:16" x14ac:dyDescent="0.25">
      <c r="A2179" s="2">
        <v>45360</v>
      </c>
      <c r="B2179" s="2">
        <v>45538</v>
      </c>
      <c r="C2179" t="str">
        <f>TEXT(B2179,"mm")</f>
        <v>09</v>
      </c>
      <c r="D2179" t="s">
        <v>18</v>
      </c>
      <c r="E2179" t="s">
        <v>1636</v>
      </c>
      <c r="F2179" s="5">
        <v>82700000</v>
      </c>
      <c r="G2179" s="5">
        <v>85700000</v>
      </c>
      <c r="H2179" s="5">
        <f>M2179*26000*1.20565</f>
        <v>78050646.310000002</v>
      </c>
      <c r="I2179" s="5">
        <f>G2179-H2179</f>
        <v>7649353.6899999976</v>
      </c>
      <c r="J2179" s="5">
        <v>3000000</v>
      </c>
      <c r="K2179" s="5">
        <v>8270000</v>
      </c>
      <c r="L2179" s="5">
        <v>8570000</v>
      </c>
      <c r="M2179" s="7">
        <v>2489.9</v>
      </c>
      <c r="N2179" s="5">
        <v>83200000</v>
      </c>
      <c r="O2179" s="5">
        <v>86200000</v>
      </c>
      <c r="P2179" s="3">
        <v>0.97916666666666663</v>
      </c>
    </row>
    <row r="2180" spans="1:16" x14ac:dyDescent="0.25">
      <c r="A2180" s="2">
        <v>45391</v>
      </c>
      <c r="B2180" s="2">
        <v>45539</v>
      </c>
      <c r="C2180" t="str">
        <f>TEXT(B2180,"mm")</f>
        <v>09</v>
      </c>
      <c r="D2180" t="s">
        <v>19</v>
      </c>
      <c r="E2180" t="s">
        <v>1636</v>
      </c>
      <c r="F2180" s="5">
        <v>82800000</v>
      </c>
      <c r="G2180" s="5">
        <v>85800000</v>
      </c>
      <c r="H2180" s="5">
        <f>M2180*26000*1.20565</f>
        <v>78160360.460000008</v>
      </c>
      <c r="I2180" s="5">
        <f>G2180-H2180</f>
        <v>7639639.5399999917</v>
      </c>
      <c r="J2180" s="5">
        <v>3000000</v>
      </c>
      <c r="K2180" s="5">
        <v>8280000</v>
      </c>
      <c r="L2180" s="5">
        <v>8580000</v>
      </c>
      <c r="M2180" s="7">
        <v>2493.4</v>
      </c>
      <c r="N2180" s="5">
        <v>83300000</v>
      </c>
      <c r="O2180" s="5">
        <v>86300000</v>
      </c>
      <c r="P2180" s="3">
        <v>0.97916666666666663</v>
      </c>
    </row>
    <row r="2181" spans="1:16" x14ac:dyDescent="0.25">
      <c r="A2181" s="2">
        <v>45421</v>
      </c>
      <c r="B2181" s="2">
        <v>45540</v>
      </c>
      <c r="C2181" t="str">
        <f>TEXT(B2181,"mm")</f>
        <v>09</v>
      </c>
      <c r="D2181" t="s">
        <v>20</v>
      </c>
      <c r="E2181" t="s">
        <v>1636</v>
      </c>
      <c r="F2181" s="5">
        <v>83400000</v>
      </c>
      <c r="G2181" s="5">
        <v>86400000</v>
      </c>
      <c r="H2181" s="5">
        <f>M2181*26000*1.20565</f>
        <v>78724604.660000011</v>
      </c>
      <c r="I2181" s="5">
        <f>G2181-H2181</f>
        <v>7675395.3399999887</v>
      </c>
      <c r="J2181" s="5">
        <v>3000000</v>
      </c>
      <c r="K2181" s="5">
        <v>8340000</v>
      </c>
      <c r="L2181" s="5">
        <v>8640000</v>
      </c>
      <c r="M2181" s="7">
        <v>2511.4</v>
      </c>
      <c r="N2181" s="5">
        <v>83900000</v>
      </c>
      <c r="O2181" s="5">
        <v>86900000</v>
      </c>
      <c r="P2181" s="3">
        <v>0.97916666666666663</v>
      </c>
    </row>
    <row r="2182" spans="1:16" x14ac:dyDescent="0.25">
      <c r="A2182" s="2">
        <v>45452</v>
      </c>
      <c r="B2182" s="2">
        <v>45541</v>
      </c>
      <c r="C2182" t="str">
        <f>TEXT(B2182,"mm")</f>
        <v>09</v>
      </c>
      <c r="D2182" t="s">
        <v>21</v>
      </c>
      <c r="E2182" t="s">
        <v>1636</v>
      </c>
      <c r="F2182" s="5">
        <v>82800000</v>
      </c>
      <c r="G2182" s="5">
        <v>85800000</v>
      </c>
      <c r="H2182" s="5">
        <f>M2182*26000*1.20565</f>
        <v>78163495.150000006</v>
      </c>
      <c r="I2182" s="5">
        <f>G2182-H2182</f>
        <v>7636504.849999994</v>
      </c>
      <c r="J2182" s="5">
        <v>3000000</v>
      </c>
      <c r="K2182" s="5">
        <v>8280000</v>
      </c>
      <c r="L2182" s="5">
        <v>8580000</v>
      </c>
      <c r="M2182" s="7">
        <v>2493.5</v>
      </c>
      <c r="N2182" s="5">
        <v>83300000</v>
      </c>
      <c r="O2182" s="5">
        <v>86300000</v>
      </c>
      <c r="P2182" s="3">
        <v>0.97916666666666663</v>
      </c>
    </row>
    <row r="2183" spans="1:16" x14ac:dyDescent="0.25">
      <c r="A2183" s="2">
        <v>45544</v>
      </c>
      <c r="B2183" s="2">
        <v>45544</v>
      </c>
      <c r="C2183" t="str">
        <f>TEXT(B2183,"mm")</f>
        <v>09</v>
      </c>
      <c r="D2183" t="s">
        <v>16</v>
      </c>
      <c r="E2183" t="s">
        <v>1636</v>
      </c>
      <c r="F2183" s="5">
        <v>83100000</v>
      </c>
      <c r="G2183" s="5">
        <v>86100000</v>
      </c>
      <c r="H2183" s="5">
        <f>M2183*26000*1.20565</f>
        <v>78423674.420000017</v>
      </c>
      <c r="I2183" s="5">
        <f>G2183-H2183</f>
        <v>7676325.5799999833</v>
      </c>
      <c r="J2183" s="5">
        <v>3000000</v>
      </c>
      <c r="K2183" s="5">
        <v>8310000</v>
      </c>
      <c r="L2183" s="5">
        <v>8610000</v>
      </c>
      <c r="M2183" s="7">
        <v>2501.8000000000002</v>
      </c>
      <c r="N2183" s="5">
        <v>83600000</v>
      </c>
      <c r="O2183" s="5">
        <v>86600000</v>
      </c>
      <c r="P2183" s="3">
        <v>0.97916666666666663</v>
      </c>
    </row>
    <row r="2184" spans="1:16" x14ac:dyDescent="0.25">
      <c r="A2184" s="2">
        <v>45574</v>
      </c>
      <c r="B2184" s="2">
        <v>45545</v>
      </c>
      <c r="C2184" t="str">
        <f>TEXT(B2184,"mm")</f>
        <v>09</v>
      </c>
      <c r="D2184" t="s">
        <v>18</v>
      </c>
      <c r="E2184" t="s">
        <v>1636</v>
      </c>
      <c r="F2184" s="5">
        <v>83400000</v>
      </c>
      <c r="G2184" s="5">
        <v>86400000</v>
      </c>
      <c r="H2184" s="5">
        <f>M2184*26000*1.20565</f>
        <v>78752816.87000002</v>
      </c>
      <c r="I2184" s="5">
        <f>G2184-H2184</f>
        <v>7647183.1299999803</v>
      </c>
      <c r="J2184" s="5">
        <v>3000000</v>
      </c>
      <c r="K2184" s="5">
        <v>8340000</v>
      </c>
      <c r="L2184" s="5">
        <v>8640000</v>
      </c>
      <c r="M2184" s="7">
        <v>2512.3000000000002</v>
      </c>
      <c r="N2184" s="5">
        <v>83900000</v>
      </c>
      <c r="O2184" s="5">
        <v>86900000</v>
      </c>
      <c r="P2184" s="3">
        <v>0.97916666666666663</v>
      </c>
    </row>
    <row r="2185" spans="1:16" x14ac:dyDescent="0.25">
      <c r="A2185" s="2">
        <v>45605</v>
      </c>
      <c r="B2185" s="2">
        <v>45546</v>
      </c>
      <c r="C2185" t="str">
        <f>TEXT(B2185,"mm")</f>
        <v>09</v>
      </c>
      <c r="D2185" t="s">
        <v>19</v>
      </c>
      <c r="E2185" t="s">
        <v>1636</v>
      </c>
      <c r="F2185" s="5">
        <v>83400000</v>
      </c>
      <c r="G2185" s="5">
        <v>86400000</v>
      </c>
      <c r="H2185" s="5">
        <f>M2185*26000*1.20565</f>
        <v>78746547.49000001</v>
      </c>
      <c r="I2185" s="5">
        <f>G2185-H2185</f>
        <v>7653452.5099999905</v>
      </c>
      <c r="J2185" s="5">
        <v>3000000</v>
      </c>
      <c r="K2185" s="5">
        <v>8340000</v>
      </c>
      <c r="L2185" s="5">
        <v>8640000</v>
      </c>
      <c r="M2185" s="7">
        <v>2512.1</v>
      </c>
      <c r="N2185" s="5">
        <v>83900000</v>
      </c>
      <c r="O2185" s="5">
        <v>86900000</v>
      </c>
      <c r="P2185" s="3">
        <v>0.97916666666666663</v>
      </c>
    </row>
    <row r="2186" spans="1:16" x14ac:dyDescent="0.25">
      <c r="A2186" s="2">
        <v>45635</v>
      </c>
      <c r="B2186" s="2">
        <v>45547</v>
      </c>
      <c r="C2186" t="str">
        <f>TEXT(B2186,"mm")</f>
        <v>09</v>
      </c>
      <c r="D2186" t="s">
        <v>20</v>
      </c>
      <c r="E2186" t="s">
        <v>1636</v>
      </c>
      <c r="F2186" s="5">
        <v>84800000</v>
      </c>
      <c r="G2186" s="5">
        <v>87800000</v>
      </c>
      <c r="H2186" s="5">
        <f>M2186*26000*1.20565</f>
        <v>79972211.280000001</v>
      </c>
      <c r="I2186" s="5">
        <f>G2186-H2186</f>
        <v>7827788.7199999988</v>
      </c>
      <c r="J2186" s="5">
        <v>3000000</v>
      </c>
      <c r="K2186" s="5">
        <v>8480000</v>
      </c>
      <c r="L2186" s="5">
        <v>8780000</v>
      </c>
      <c r="M2186" s="7">
        <v>2551.1999999999998</v>
      </c>
      <c r="N2186" s="5">
        <v>85300000</v>
      </c>
      <c r="O2186" s="5">
        <v>88300000</v>
      </c>
      <c r="P2186" s="3">
        <v>0.97916666666666663</v>
      </c>
    </row>
    <row r="2187" spans="1:16" x14ac:dyDescent="0.25">
      <c r="A2187" t="s">
        <v>1340</v>
      </c>
      <c r="B2187" s="2">
        <v>45548</v>
      </c>
      <c r="C2187" t="str">
        <f>TEXT(B2187,"mm")</f>
        <v>09</v>
      </c>
      <c r="D2187" t="s">
        <v>21</v>
      </c>
      <c r="E2187" t="s">
        <v>1636</v>
      </c>
      <c r="F2187" s="5">
        <v>85800000</v>
      </c>
      <c r="G2187" s="5">
        <v>88800000</v>
      </c>
      <c r="H2187" s="5">
        <f>M2187*26000*1.20565</f>
        <v>80915752.970000014</v>
      </c>
      <c r="I2187" s="5">
        <f>G2187-H2187</f>
        <v>7884247.0299999863</v>
      </c>
      <c r="J2187" s="5">
        <v>3000000</v>
      </c>
      <c r="K2187" s="5">
        <v>8580000</v>
      </c>
      <c r="L2187" s="5">
        <v>8880000</v>
      </c>
      <c r="M2187" s="7">
        <v>2581.3000000000002</v>
      </c>
      <c r="N2187" s="5">
        <v>86300000</v>
      </c>
      <c r="O2187" s="5">
        <v>89300000</v>
      </c>
      <c r="P2187" s="3">
        <v>0.97916666666666663</v>
      </c>
    </row>
    <row r="2188" spans="1:16" x14ac:dyDescent="0.25">
      <c r="A2188" t="s">
        <v>1341</v>
      </c>
      <c r="B2188" s="2">
        <v>45551</v>
      </c>
      <c r="C2188" t="str">
        <f>TEXT(B2188,"mm")</f>
        <v>09</v>
      </c>
      <c r="D2188" t="s">
        <v>16</v>
      </c>
      <c r="E2188" t="s">
        <v>1636</v>
      </c>
      <c r="F2188" s="5">
        <v>85800000</v>
      </c>
      <c r="G2188" s="5">
        <v>88800000</v>
      </c>
      <c r="H2188" s="5">
        <f>M2188*26000*1.20565</f>
        <v>80887540.760000005</v>
      </c>
      <c r="I2188" s="5">
        <f>G2188-H2188</f>
        <v>7912459.2399999946</v>
      </c>
      <c r="J2188" s="5">
        <v>3000000</v>
      </c>
      <c r="K2188" s="5">
        <v>8580000</v>
      </c>
      <c r="L2188" s="5">
        <v>8880000</v>
      </c>
      <c r="M2188" s="7">
        <v>2580.4</v>
      </c>
      <c r="N2188" s="5">
        <v>86300000</v>
      </c>
      <c r="O2188" s="5">
        <v>89300000</v>
      </c>
      <c r="P2188" s="3">
        <v>0.97916666666666663</v>
      </c>
    </row>
    <row r="2189" spans="1:16" x14ac:dyDescent="0.25">
      <c r="A2189" t="s">
        <v>1342</v>
      </c>
      <c r="B2189" s="2">
        <v>45552</v>
      </c>
      <c r="C2189" t="str">
        <f>TEXT(B2189,"mm")</f>
        <v>09</v>
      </c>
      <c r="D2189" t="s">
        <v>18</v>
      </c>
      <c r="E2189" t="s">
        <v>1636</v>
      </c>
      <c r="F2189" s="5">
        <v>85200000</v>
      </c>
      <c r="G2189" s="5">
        <v>88200000</v>
      </c>
      <c r="H2189" s="5">
        <f>M2189*26000*1.20565</f>
        <v>80382855.670000017</v>
      </c>
      <c r="I2189" s="5">
        <f>G2189-H2189</f>
        <v>7817144.3299999833</v>
      </c>
      <c r="J2189" s="5">
        <v>3000000</v>
      </c>
      <c r="K2189" s="5">
        <v>8520000</v>
      </c>
      <c r="L2189" s="5">
        <v>8820000</v>
      </c>
      <c r="M2189" s="7">
        <v>2564.3000000000002</v>
      </c>
      <c r="N2189" s="5">
        <v>85700000</v>
      </c>
      <c r="O2189" s="5">
        <v>88700000</v>
      </c>
      <c r="P2189" s="3">
        <v>0.97916666666666663</v>
      </c>
    </row>
    <row r="2190" spans="1:16" x14ac:dyDescent="0.25">
      <c r="A2190" t="s">
        <v>1343</v>
      </c>
      <c r="B2190" s="2">
        <v>45553</v>
      </c>
      <c r="C2190" t="str">
        <f>TEXT(B2190,"mm")</f>
        <v>09</v>
      </c>
      <c r="D2190" t="s">
        <v>19</v>
      </c>
      <c r="E2190" t="s">
        <v>1636</v>
      </c>
      <c r="F2190" s="5">
        <v>85400000</v>
      </c>
      <c r="G2190" s="5">
        <v>88400000</v>
      </c>
      <c r="H2190" s="5">
        <f>M2190*26000*1.20565</f>
        <v>80583475.829999998</v>
      </c>
      <c r="I2190" s="5">
        <f>G2190-H2190</f>
        <v>7816524.1700000018</v>
      </c>
      <c r="J2190" s="5">
        <v>3000000</v>
      </c>
      <c r="K2190" s="5">
        <v>8540000</v>
      </c>
      <c r="L2190" s="5">
        <v>8840000</v>
      </c>
      <c r="M2190" s="7">
        <v>2570.6999999999998</v>
      </c>
      <c r="N2190" s="5">
        <v>85900000</v>
      </c>
      <c r="O2190" s="5">
        <v>88900000</v>
      </c>
      <c r="P2190" s="3">
        <v>0.97916666666666663</v>
      </c>
    </row>
    <row r="2191" spans="1:16" x14ac:dyDescent="0.25">
      <c r="A2191" t="s">
        <v>1344</v>
      </c>
      <c r="B2191" s="2">
        <v>45554</v>
      </c>
      <c r="C2191" t="str">
        <f>TEXT(B2191,"mm")</f>
        <v>09</v>
      </c>
      <c r="D2191" t="s">
        <v>20</v>
      </c>
      <c r="E2191" t="s">
        <v>1636</v>
      </c>
      <c r="F2191" s="5">
        <v>86000000</v>
      </c>
      <c r="G2191" s="5">
        <v>89000000</v>
      </c>
      <c r="H2191" s="5">
        <f>M2191*26000*1.20565</f>
        <v>81125777.200000003</v>
      </c>
      <c r="I2191" s="5">
        <f>G2191-H2191</f>
        <v>7874222.799999997</v>
      </c>
      <c r="J2191" s="5">
        <v>3000000</v>
      </c>
      <c r="K2191" s="5">
        <v>8600000</v>
      </c>
      <c r="L2191" s="5">
        <v>8900000</v>
      </c>
      <c r="M2191" s="7">
        <v>2588</v>
      </c>
      <c r="N2191" s="5">
        <v>86500000</v>
      </c>
      <c r="O2191" s="5">
        <v>89500000</v>
      </c>
      <c r="P2191" s="3">
        <v>0.97916666666666663</v>
      </c>
    </row>
    <row r="2192" spans="1:16" x14ac:dyDescent="0.25">
      <c r="A2192" t="s">
        <v>1345</v>
      </c>
      <c r="B2192" s="2">
        <v>45555</v>
      </c>
      <c r="C2192" t="str">
        <f>TEXT(B2192,"mm")</f>
        <v>09</v>
      </c>
      <c r="D2192" t="s">
        <v>21</v>
      </c>
      <c r="E2192" t="s">
        <v>1636</v>
      </c>
      <c r="F2192" s="5">
        <v>87100000</v>
      </c>
      <c r="G2192" s="5">
        <v>90100000</v>
      </c>
      <c r="H2192" s="5">
        <f>M2192*26000*1.20565</f>
        <v>82125743.310000002</v>
      </c>
      <c r="I2192" s="5">
        <f>G2192-H2192</f>
        <v>7974256.6899999976</v>
      </c>
      <c r="J2192" s="5">
        <v>3000000</v>
      </c>
      <c r="K2192" s="5">
        <v>8710000</v>
      </c>
      <c r="L2192" s="5">
        <v>9010000</v>
      </c>
      <c r="M2192" s="7">
        <v>2619.9</v>
      </c>
      <c r="N2192" s="5">
        <v>87600000</v>
      </c>
      <c r="O2192" s="5">
        <v>90600000</v>
      </c>
      <c r="P2192" s="3">
        <v>0.97916666666666663</v>
      </c>
    </row>
    <row r="2193" spans="1:16" x14ac:dyDescent="0.25">
      <c r="A2193" t="s">
        <v>1346</v>
      </c>
      <c r="B2193" s="2">
        <v>45558</v>
      </c>
      <c r="C2193" t="str">
        <f>TEXT(B2193,"mm")</f>
        <v>09</v>
      </c>
      <c r="D2193" t="s">
        <v>16</v>
      </c>
      <c r="E2193" t="s">
        <v>1636</v>
      </c>
      <c r="F2193" s="5">
        <v>87400000</v>
      </c>
      <c r="G2193" s="5">
        <v>90400000</v>
      </c>
      <c r="H2193" s="5">
        <f>M2193*26000*1.20565</f>
        <v>82332632.850000009</v>
      </c>
      <c r="I2193" s="5">
        <f>G2193-H2193</f>
        <v>8067367.1499999911</v>
      </c>
      <c r="J2193" s="5">
        <v>3000000</v>
      </c>
      <c r="K2193" s="5">
        <v>8740000</v>
      </c>
      <c r="L2193" s="5">
        <v>9040000</v>
      </c>
      <c r="M2193" s="7">
        <v>2626.5</v>
      </c>
      <c r="N2193" s="5">
        <v>87900000</v>
      </c>
      <c r="O2193" s="5">
        <v>90900000</v>
      </c>
      <c r="P2193" s="3">
        <v>0.97916666666666663</v>
      </c>
    </row>
    <row r="2194" spans="1:16" x14ac:dyDescent="0.25">
      <c r="A2194" t="s">
        <v>1347</v>
      </c>
      <c r="B2194" s="2">
        <v>45559</v>
      </c>
      <c r="C2194" t="str">
        <f>TEXT(B2194,"mm")</f>
        <v>09</v>
      </c>
      <c r="D2194" t="s">
        <v>18</v>
      </c>
      <c r="E2194" t="s">
        <v>1636</v>
      </c>
      <c r="F2194" s="5">
        <v>88200000</v>
      </c>
      <c r="G2194" s="5">
        <v>91200000</v>
      </c>
      <c r="H2194" s="5">
        <f>M2194*26000*1.20565</f>
        <v>83106901.280000001</v>
      </c>
      <c r="I2194" s="5">
        <f>G2194-H2194</f>
        <v>8093098.7199999988</v>
      </c>
      <c r="J2194" s="5">
        <v>3000000</v>
      </c>
      <c r="K2194" s="5">
        <v>8820000</v>
      </c>
      <c r="L2194" s="5">
        <v>9120000</v>
      </c>
      <c r="M2194" s="7">
        <v>2651.2</v>
      </c>
      <c r="N2194" s="5">
        <v>88700000</v>
      </c>
      <c r="O2194" s="5">
        <v>91700000</v>
      </c>
      <c r="P2194" s="3">
        <v>0.97916666666666663</v>
      </c>
    </row>
    <row r="2195" spans="1:16" x14ac:dyDescent="0.25">
      <c r="A2195" t="s">
        <v>1348</v>
      </c>
      <c r="B2195" s="2">
        <v>45560</v>
      </c>
      <c r="C2195" t="str">
        <f>TEXT(B2195,"mm")</f>
        <v>09</v>
      </c>
      <c r="D2195" t="s">
        <v>19</v>
      </c>
      <c r="E2195" t="s">
        <v>1636</v>
      </c>
      <c r="F2195" s="5">
        <v>88500000</v>
      </c>
      <c r="G2195" s="5">
        <v>91500000</v>
      </c>
      <c r="H2195" s="5">
        <f>M2195*26000*1.20565</f>
        <v>83357676.480000004</v>
      </c>
      <c r="I2195" s="5">
        <f>G2195-H2195</f>
        <v>8142323.5199999958</v>
      </c>
      <c r="J2195" s="5">
        <v>3000000</v>
      </c>
      <c r="K2195" s="5">
        <v>8850000</v>
      </c>
      <c r="L2195" s="5">
        <v>9150000</v>
      </c>
      <c r="M2195" s="7">
        <v>2659.2</v>
      </c>
      <c r="N2195" s="5">
        <v>89000000</v>
      </c>
      <c r="O2195" s="5">
        <v>92000000</v>
      </c>
      <c r="P2195" s="3">
        <v>0.97916666666666663</v>
      </c>
    </row>
    <row r="2196" spans="1:16" x14ac:dyDescent="0.25">
      <c r="A2196" t="s">
        <v>1349</v>
      </c>
      <c r="B2196" s="2">
        <v>45561</v>
      </c>
      <c r="C2196" t="str">
        <f>TEXT(B2196,"mm")</f>
        <v>09</v>
      </c>
      <c r="D2196" t="s">
        <v>20</v>
      </c>
      <c r="E2196" t="s">
        <v>1636</v>
      </c>
      <c r="F2196" s="5">
        <v>88900000</v>
      </c>
      <c r="G2196" s="5">
        <v>91900000</v>
      </c>
      <c r="H2196" s="5">
        <f>M2196*26000*1.20565</f>
        <v>83693088.310000002</v>
      </c>
      <c r="I2196" s="5">
        <f>G2196-H2196</f>
        <v>8206911.6899999976</v>
      </c>
      <c r="J2196" s="5">
        <v>3000000</v>
      </c>
      <c r="K2196" s="5">
        <v>8890000</v>
      </c>
      <c r="L2196" s="5">
        <v>9190000</v>
      </c>
      <c r="M2196" s="7">
        <v>2669.9</v>
      </c>
      <c r="N2196" s="5">
        <v>89400000</v>
      </c>
      <c r="O2196" s="5">
        <v>92400000</v>
      </c>
      <c r="P2196" s="3">
        <v>0.97916666666666663</v>
      </c>
    </row>
    <row r="2197" spans="1:16" x14ac:dyDescent="0.25">
      <c r="A2197" t="s">
        <v>1350</v>
      </c>
      <c r="B2197" s="2">
        <v>45562</v>
      </c>
      <c r="C2197" t="str">
        <f>TEXT(B2197,"mm")</f>
        <v>09</v>
      </c>
      <c r="D2197" t="s">
        <v>21</v>
      </c>
      <c r="E2197" t="s">
        <v>1636</v>
      </c>
      <c r="F2197" s="5">
        <v>88000000</v>
      </c>
      <c r="G2197" s="5">
        <v>91000000</v>
      </c>
      <c r="H2197" s="5">
        <f>M2197*26000*1.20565</f>
        <v>82890607.670000002</v>
      </c>
      <c r="I2197" s="5">
        <f>G2197-H2197</f>
        <v>8109392.3299999982</v>
      </c>
      <c r="J2197" s="5">
        <v>3000000</v>
      </c>
      <c r="K2197" s="5">
        <v>8800000</v>
      </c>
      <c r="L2197" s="5">
        <v>9100000</v>
      </c>
      <c r="M2197" s="7">
        <v>2644.3</v>
      </c>
      <c r="N2197" s="5">
        <v>88500000</v>
      </c>
      <c r="O2197" s="5">
        <v>91500000</v>
      </c>
      <c r="P2197" s="3">
        <v>0.97916666666666663</v>
      </c>
    </row>
    <row r="2198" spans="1:16" x14ac:dyDescent="0.25">
      <c r="A2198" t="s">
        <v>1351</v>
      </c>
      <c r="B2198" s="2">
        <v>45565</v>
      </c>
      <c r="C2198" t="str">
        <f>TEXT(B2198,"mm")</f>
        <v>09</v>
      </c>
      <c r="D2198" t="s">
        <v>16</v>
      </c>
      <c r="E2198" t="s">
        <v>1636</v>
      </c>
      <c r="F2198" s="5">
        <v>87700000</v>
      </c>
      <c r="G2198" s="5">
        <v>90700000</v>
      </c>
      <c r="H2198" s="5">
        <f>M2198*26000*1.20565</f>
        <v>82633563.090000004</v>
      </c>
      <c r="I2198" s="5">
        <f>G2198-H2198</f>
        <v>8066436.9099999964</v>
      </c>
      <c r="J2198" s="5">
        <v>3000000</v>
      </c>
      <c r="K2198" s="5">
        <v>8770000</v>
      </c>
      <c r="L2198" s="5">
        <v>9070000</v>
      </c>
      <c r="M2198" s="7">
        <v>2636.1</v>
      </c>
      <c r="N2198" s="5">
        <v>88200000</v>
      </c>
      <c r="O2198" s="5">
        <v>91200000</v>
      </c>
      <c r="P2198" s="3">
        <v>0.97916666666666663</v>
      </c>
    </row>
    <row r="2199" spans="1:16" x14ac:dyDescent="0.25">
      <c r="A2199" s="2">
        <v>45301</v>
      </c>
      <c r="B2199" s="2">
        <v>45566</v>
      </c>
      <c r="C2199" t="str">
        <f>TEXT(B2199,"mm")</f>
        <v>10</v>
      </c>
      <c r="D2199" t="s">
        <v>18</v>
      </c>
      <c r="E2199" t="s">
        <v>1636</v>
      </c>
      <c r="F2199" s="5">
        <v>88800000</v>
      </c>
      <c r="G2199" s="5">
        <v>91800000</v>
      </c>
      <c r="H2199" s="5">
        <f>M2199*26000*1.20565</f>
        <v>83611586.370000005</v>
      </c>
      <c r="I2199" s="5">
        <f>G2199-H2199</f>
        <v>8188413.6299999952</v>
      </c>
      <c r="J2199" s="5">
        <v>3000000</v>
      </c>
      <c r="K2199" s="5">
        <v>8880000</v>
      </c>
      <c r="L2199" s="5">
        <v>9180000</v>
      </c>
      <c r="M2199" s="7">
        <v>2667.3</v>
      </c>
      <c r="N2199" s="5">
        <v>89300000</v>
      </c>
      <c r="O2199" s="5">
        <v>92300000</v>
      </c>
      <c r="P2199" s="3">
        <v>0.97916666666666663</v>
      </c>
    </row>
    <row r="2200" spans="1:16" x14ac:dyDescent="0.25">
      <c r="A2200" s="2">
        <v>45332</v>
      </c>
      <c r="B2200" s="2">
        <v>45567</v>
      </c>
      <c r="C2200" t="str">
        <f>TEXT(B2200,"mm")</f>
        <v>10</v>
      </c>
      <c r="D2200" t="s">
        <v>19</v>
      </c>
      <c r="E2200" t="s">
        <v>1636</v>
      </c>
      <c r="F2200" s="5">
        <v>88100000</v>
      </c>
      <c r="G2200" s="5">
        <v>91100000</v>
      </c>
      <c r="H2200" s="5">
        <f>M2200*26000*1.20565</f>
        <v>82978378.99000001</v>
      </c>
      <c r="I2200" s="5">
        <f>G2200-H2200</f>
        <v>8121621.0099999905</v>
      </c>
      <c r="J2200" s="5">
        <v>3000000</v>
      </c>
      <c r="K2200" s="5">
        <v>8810000</v>
      </c>
      <c r="L2200" s="5">
        <v>9110000</v>
      </c>
      <c r="M2200" s="7">
        <v>2647.1</v>
      </c>
      <c r="N2200" s="5">
        <v>88600000</v>
      </c>
      <c r="O2200" s="5">
        <v>91600000</v>
      </c>
      <c r="P2200" s="3">
        <v>0.97916666666666663</v>
      </c>
    </row>
    <row r="2201" spans="1:16" x14ac:dyDescent="0.25">
      <c r="A2201" s="2">
        <v>45361</v>
      </c>
      <c r="B2201" s="2">
        <v>45568</v>
      </c>
      <c r="C2201" t="str">
        <f>TEXT(B2201,"mm")</f>
        <v>10</v>
      </c>
      <c r="D2201" t="s">
        <v>20</v>
      </c>
      <c r="E2201" t="s">
        <v>1636</v>
      </c>
      <c r="F2201" s="5">
        <v>88400000</v>
      </c>
      <c r="G2201" s="5">
        <v>91400000</v>
      </c>
      <c r="H2201" s="5">
        <f>M2201*26000*1.20565</f>
        <v>83291847.99000001</v>
      </c>
      <c r="I2201" s="5">
        <f>G2201-H2201</f>
        <v>8108152.0099999905</v>
      </c>
      <c r="J2201" s="5">
        <v>3000000</v>
      </c>
      <c r="K2201" s="5">
        <v>8840000</v>
      </c>
      <c r="L2201" s="5">
        <v>9140000</v>
      </c>
      <c r="M2201" s="7">
        <v>2657.1</v>
      </c>
      <c r="N2201" s="5">
        <v>88900000</v>
      </c>
      <c r="O2201" s="5">
        <v>91900000</v>
      </c>
      <c r="P2201" s="3">
        <v>0.97916666666666663</v>
      </c>
    </row>
    <row r="2202" spans="1:16" x14ac:dyDescent="0.25">
      <c r="A2202" s="2">
        <v>45392</v>
      </c>
      <c r="B2202" s="2">
        <v>45569</v>
      </c>
      <c r="C2202" t="str">
        <f>TEXT(B2202,"mm")</f>
        <v>10</v>
      </c>
      <c r="D2202" t="s">
        <v>21</v>
      </c>
      <c r="E2202" t="s">
        <v>1636</v>
      </c>
      <c r="F2202" s="5">
        <v>88000000</v>
      </c>
      <c r="G2202" s="5">
        <v>91000000</v>
      </c>
      <c r="H2202" s="5">
        <f>M2202*26000*1.20565</f>
        <v>82937628.020000011</v>
      </c>
      <c r="I2202" s="5">
        <f>G2202-H2202</f>
        <v>8062371.9799999893</v>
      </c>
      <c r="J2202" s="5">
        <v>3000000</v>
      </c>
      <c r="K2202" s="5">
        <v>8800000</v>
      </c>
      <c r="L2202" s="5">
        <v>9100000</v>
      </c>
      <c r="M2202" s="7">
        <v>2645.8</v>
      </c>
      <c r="N2202" s="5">
        <v>88500000</v>
      </c>
      <c r="O2202" s="5">
        <v>91500000</v>
      </c>
      <c r="P2202" s="3">
        <v>0.97916666666666663</v>
      </c>
    </row>
    <row r="2203" spans="1:16" x14ac:dyDescent="0.25">
      <c r="A2203" s="2">
        <v>45483</v>
      </c>
      <c r="B2203" s="2">
        <v>45572</v>
      </c>
      <c r="C2203" t="str">
        <f>TEXT(B2203,"mm")</f>
        <v>10</v>
      </c>
      <c r="D2203" t="s">
        <v>16</v>
      </c>
      <c r="E2203" t="s">
        <v>1636</v>
      </c>
      <c r="F2203" s="5">
        <v>88000000</v>
      </c>
      <c r="G2203" s="5">
        <v>91000000</v>
      </c>
      <c r="H2203" s="5">
        <f>M2203*26000*1.20565</f>
        <v>82906281.120000005</v>
      </c>
      <c r="I2203" s="5">
        <f>G2203-H2203</f>
        <v>8093718.8799999952</v>
      </c>
      <c r="J2203" s="5">
        <v>3000000</v>
      </c>
      <c r="K2203" s="5">
        <v>8800000</v>
      </c>
      <c r="L2203" s="5">
        <v>9100000</v>
      </c>
      <c r="M2203" s="7">
        <v>2644.8</v>
      </c>
      <c r="N2203" s="5">
        <v>88500000</v>
      </c>
      <c r="O2203" s="5">
        <v>91500000</v>
      </c>
      <c r="P2203" s="3">
        <v>0.97916666666666663</v>
      </c>
    </row>
    <row r="2204" spans="1:16" x14ac:dyDescent="0.25">
      <c r="A2204" s="2">
        <v>45514</v>
      </c>
      <c r="B2204" s="2">
        <v>45573</v>
      </c>
      <c r="C2204" t="str">
        <f>TEXT(B2204,"mm")</f>
        <v>10</v>
      </c>
      <c r="D2204" t="s">
        <v>18</v>
      </c>
      <c r="E2204" t="s">
        <v>1636</v>
      </c>
      <c r="F2204" s="5">
        <v>87000000</v>
      </c>
      <c r="G2204" s="5">
        <v>90000000</v>
      </c>
      <c r="H2204" s="5">
        <f>M2204*26000*1.20565</f>
        <v>81972143.500000015</v>
      </c>
      <c r="I2204" s="5">
        <f>G2204-H2204</f>
        <v>8027856.4999999851</v>
      </c>
      <c r="J2204" s="5">
        <v>3000000</v>
      </c>
      <c r="K2204" s="5">
        <v>8700000</v>
      </c>
      <c r="L2204" s="5">
        <v>9000000</v>
      </c>
      <c r="M2204" s="7">
        <v>2615</v>
      </c>
      <c r="N2204" s="5">
        <v>87500000</v>
      </c>
      <c r="O2204" s="5">
        <v>90500000</v>
      </c>
      <c r="P2204" s="3">
        <v>0.97916666666666663</v>
      </c>
    </row>
    <row r="2205" spans="1:16" x14ac:dyDescent="0.25">
      <c r="A2205" s="2">
        <v>45545</v>
      </c>
      <c r="B2205" s="2">
        <v>45574</v>
      </c>
      <c r="C2205" t="str">
        <f>TEXT(B2205,"mm")</f>
        <v>10</v>
      </c>
      <c r="D2205" t="s">
        <v>19</v>
      </c>
      <c r="E2205" t="s">
        <v>1636</v>
      </c>
      <c r="F2205" s="5">
        <v>86700000</v>
      </c>
      <c r="G2205" s="5">
        <v>89700000</v>
      </c>
      <c r="H2205" s="5">
        <f>M2205*26000*1.20565</f>
        <v>81690021.400000006</v>
      </c>
      <c r="I2205" s="5">
        <f>G2205-H2205</f>
        <v>8009978.599999994</v>
      </c>
      <c r="J2205" s="5">
        <v>3000000</v>
      </c>
      <c r="K2205" s="5">
        <v>8670000</v>
      </c>
      <c r="L2205" s="5">
        <v>8970000</v>
      </c>
      <c r="M2205" s="7">
        <v>2606</v>
      </c>
      <c r="N2205" s="5">
        <v>87200000</v>
      </c>
      <c r="O2205" s="5">
        <v>90200000</v>
      </c>
      <c r="P2205" s="3">
        <v>0.97916666666666663</v>
      </c>
    </row>
    <row r="2206" spans="1:16" x14ac:dyDescent="0.25">
      <c r="A2206" s="2">
        <v>45575</v>
      </c>
      <c r="B2206" s="2">
        <v>45575</v>
      </c>
      <c r="C2206" t="str">
        <f>TEXT(B2206,"mm")</f>
        <v>10</v>
      </c>
      <c r="D2206" t="s">
        <v>20</v>
      </c>
      <c r="E2206" t="s">
        <v>1636</v>
      </c>
      <c r="F2206" s="5">
        <v>87200000</v>
      </c>
      <c r="G2206" s="5">
        <v>90200000</v>
      </c>
      <c r="H2206" s="5">
        <f>M2206*26000*1.20565</f>
        <v>82147686.140000001</v>
      </c>
      <c r="I2206" s="5">
        <f>G2206-H2206</f>
        <v>8052313.8599999994</v>
      </c>
      <c r="J2206" s="5">
        <v>3000000</v>
      </c>
      <c r="K2206" s="5">
        <v>8720000</v>
      </c>
      <c r="L2206" s="5">
        <v>9020000</v>
      </c>
      <c r="M2206" s="7">
        <v>2620.6</v>
      </c>
      <c r="N2206" s="5">
        <v>87700000</v>
      </c>
      <c r="O2206" s="5">
        <v>90700000</v>
      </c>
      <c r="P2206" s="3">
        <v>0.97916666666666663</v>
      </c>
    </row>
    <row r="2207" spans="1:16" x14ac:dyDescent="0.25">
      <c r="A2207" s="2">
        <v>45606</v>
      </c>
      <c r="B2207" s="2">
        <v>45576</v>
      </c>
      <c r="C2207" t="str">
        <f>TEXT(B2207,"mm")</f>
        <v>10</v>
      </c>
      <c r="D2207" t="s">
        <v>21</v>
      </c>
      <c r="E2207" t="s">
        <v>1636</v>
      </c>
      <c r="F2207" s="5">
        <v>88400000</v>
      </c>
      <c r="G2207" s="5">
        <v>91400000</v>
      </c>
      <c r="H2207" s="5">
        <f>M2207*26000*1.20565</f>
        <v>83307521.440000013</v>
      </c>
      <c r="I2207" s="5">
        <f>G2207-H2207</f>
        <v>8092478.5599999875</v>
      </c>
      <c r="J2207" s="5">
        <v>3000000</v>
      </c>
      <c r="K2207" s="5">
        <v>8840000</v>
      </c>
      <c r="L2207" s="5">
        <v>9140000</v>
      </c>
      <c r="M2207" s="7">
        <v>2657.6</v>
      </c>
      <c r="N2207" s="5">
        <v>88900000</v>
      </c>
      <c r="O2207" s="5">
        <v>91900000</v>
      </c>
      <c r="P2207" s="3">
        <v>0.97916666666666663</v>
      </c>
    </row>
    <row r="2208" spans="1:16" x14ac:dyDescent="0.25">
      <c r="A2208" t="s">
        <v>1352</v>
      </c>
      <c r="B2208" s="2">
        <v>45579</v>
      </c>
      <c r="C2208" t="str">
        <f>TEXT(B2208,"mm")</f>
        <v>10</v>
      </c>
      <c r="D2208" t="s">
        <v>16</v>
      </c>
      <c r="E2208" t="s">
        <v>1636</v>
      </c>
      <c r="F2208" s="5">
        <v>88100000</v>
      </c>
      <c r="G2208" s="5">
        <v>91100000</v>
      </c>
      <c r="H2208" s="5">
        <f>M2208*26000*1.20565</f>
        <v>83000321.820000008</v>
      </c>
      <c r="I2208" s="5">
        <f>G2208-H2208</f>
        <v>8099678.1799999923</v>
      </c>
      <c r="J2208" s="5">
        <v>3000000</v>
      </c>
      <c r="K2208" s="5">
        <v>8810000</v>
      </c>
      <c r="L2208" s="5">
        <v>9110000</v>
      </c>
      <c r="M2208" s="7">
        <v>2647.8</v>
      </c>
      <c r="N2208" s="5">
        <v>88600000</v>
      </c>
      <c r="O2208" s="5">
        <v>91600000</v>
      </c>
      <c r="P2208" s="3">
        <v>0.97916666666666663</v>
      </c>
    </row>
    <row r="2209" spans="1:16" x14ac:dyDescent="0.25">
      <c r="A2209" t="s">
        <v>1353</v>
      </c>
      <c r="B2209" s="2">
        <v>45580</v>
      </c>
      <c r="C2209" t="str">
        <f>TEXT(B2209,"mm")</f>
        <v>10</v>
      </c>
      <c r="D2209" t="s">
        <v>18</v>
      </c>
      <c r="E2209" t="s">
        <v>1636</v>
      </c>
      <c r="F2209" s="5">
        <v>88600000</v>
      </c>
      <c r="G2209" s="5">
        <v>91600000</v>
      </c>
      <c r="H2209" s="5">
        <f>M2209*26000*1.20565</f>
        <v>83426639.660000011</v>
      </c>
      <c r="I2209" s="5">
        <f>G2209-H2209</f>
        <v>8173360.3399999887</v>
      </c>
      <c r="J2209" s="5">
        <v>3000000</v>
      </c>
      <c r="K2209" s="5">
        <v>8860000</v>
      </c>
      <c r="L2209" s="5">
        <v>9160000</v>
      </c>
      <c r="M2209" s="7">
        <v>2661.4</v>
      </c>
      <c r="N2209" s="5">
        <v>89100000</v>
      </c>
      <c r="O2209" s="5">
        <v>92100000</v>
      </c>
      <c r="P2209" s="3">
        <v>0.97916666666666663</v>
      </c>
    </row>
    <row r="2210" spans="1:16" x14ac:dyDescent="0.25">
      <c r="A2210" t="s">
        <v>1354</v>
      </c>
      <c r="B2210" s="2">
        <v>45581</v>
      </c>
      <c r="C2210" t="str">
        <f>TEXT(B2210,"mm")</f>
        <v>10</v>
      </c>
      <c r="D2210" t="s">
        <v>19</v>
      </c>
      <c r="E2210" t="s">
        <v>1636</v>
      </c>
      <c r="F2210" s="5">
        <v>89000000</v>
      </c>
      <c r="G2210" s="5">
        <v>92000000</v>
      </c>
      <c r="H2210" s="5">
        <f>M2210*26000*1.20565</f>
        <v>83821610.600000009</v>
      </c>
      <c r="I2210" s="5">
        <f>G2210-H2210</f>
        <v>8178389.3999999911</v>
      </c>
      <c r="J2210" s="5">
        <v>3000000</v>
      </c>
      <c r="K2210" s="5">
        <v>8900000</v>
      </c>
      <c r="L2210" s="5">
        <v>9200000</v>
      </c>
      <c r="M2210" s="7">
        <v>2674</v>
      </c>
      <c r="N2210" s="5">
        <v>89500000</v>
      </c>
      <c r="O2210" s="5">
        <v>92500000</v>
      </c>
      <c r="P2210" s="3">
        <v>0.97916666666666663</v>
      </c>
    </row>
    <row r="2211" spans="1:16" x14ac:dyDescent="0.25">
      <c r="A2211" t="s">
        <v>1355</v>
      </c>
      <c r="B2211" s="2">
        <v>45582</v>
      </c>
      <c r="C2211" t="str">
        <f>TEXT(B2211,"mm")</f>
        <v>10</v>
      </c>
      <c r="D2211" t="s">
        <v>20</v>
      </c>
      <c r="E2211" t="s">
        <v>1636</v>
      </c>
      <c r="F2211" s="5">
        <v>89600000</v>
      </c>
      <c r="G2211" s="5">
        <v>92600000</v>
      </c>
      <c r="H2211" s="5">
        <f>M2211*26000*1.20565</f>
        <v>84354507.900000006</v>
      </c>
      <c r="I2211" s="5">
        <f>G2211-H2211</f>
        <v>8245492.099999994</v>
      </c>
      <c r="J2211" s="5">
        <v>3000000</v>
      </c>
      <c r="K2211" s="5">
        <v>8960000</v>
      </c>
      <c r="L2211" s="5">
        <v>9260000</v>
      </c>
      <c r="M2211" s="7">
        <v>2691</v>
      </c>
      <c r="N2211" s="5">
        <v>90100000</v>
      </c>
      <c r="O2211" s="5">
        <v>93100000</v>
      </c>
      <c r="P2211" s="3">
        <v>0.97916666666666663</v>
      </c>
    </row>
    <row r="2212" spans="1:16" x14ac:dyDescent="0.25">
      <c r="A2212" t="s">
        <v>1356</v>
      </c>
      <c r="B2212" s="2">
        <v>45583</v>
      </c>
      <c r="C2212" t="str">
        <f>TEXT(B2212,"mm")</f>
        <v>10</v>
      </c>
      <c r="D2212" t="s">
        <v>21</v>
      </c>
      <c r="E2212" t="s">
        <v>1636</v>
      </c>
      <c r="F2212" s="5">
        <v>90400000</v>
      </c>
      <c r="G2212" s="5">
        <v>93400000</v>
      </c>
      <c r="H2212" s="5">
        <f>M2212*26000*1.20565</f>
        <v>85066082.530000001</v>
      </c>
      <c r="I2212" s="5">
        <f>G2212-H2212</f>
        <v>8333917.4699999988</v>
      </c>
      <c r="J2212" s="5">
        <v>3000000</v>
      </c>
      <c r="K2212" s="5">
        <v>9040000</v>
      </c>
      <c r="L2212" s="5">
        <v>9340000</v>
      </c>
      <c r="M2212" s="7">
        <v>2713.7</v>
      </c>
      <c r="N2212" s="5">
        <v>90900000</v>
      </c>
      <c r="O2212" s="5">
        <v>93900000</v>
      </c>
      <c r="P2212" s="3">
        <v>0.97916666666666663</v>
      </c>
    </row>
    <row r="2213" spans="1:16" x14ac:dyDescent="0.25">
      <c r="A2213" t="s">
        <v>1357</v>
      </c>
      <c r="B2213" s="2">
        <v>45586</v>
      </c>
      <c r="C2213" t="str">
        <f>TEXT(B2213,"mm")</f>
        <v>10</v>
      </c>
      <c r="D2213" t="s">
        <v>16</v>
      </c>
      <c r="E2213" t="s">
        <v>1636</v>
      </c>
      <c r="F2213" s="5">
        <v>90700000</v>
      </c>
      <c r="G2213" s="5">
        <v>93700000</v>
      </c>
      <c r="H2213" s="5">
        <f>M2213*26000*1.20565</f>
        <v>85360743.390000001</v>
      </c>
      <c r="I2213" s="5">
        <f>G2213-H2213</f>
        <v>8339256.6099999994</v>
      </c>
      <c r="J2213" s="5">
        <v>3000000</v>
      </c>
      <c r="K2213" s="5">
        <v>9070000</v>
      </c>
      <c r="L2213" s="5">
        <v>9370000</v>
      </c>
      <c r="M2213" s="7">
        <v>2723.1</v>
      </c>
      <c r="N2213" s="5">
        <v>91200000</v>
      </c>
      <c r="O2213" s="5">
        <v>94200000</v>
      </c>
      <c r="P2213" s="3">
        <v>0.97916666666666663</v>
      </c>
    </row>
    <row r="2214" spans="1:16" x14ac:dyDescent="0.25">
      <c r="A2214" t="s">
        <v>1358</v>
      </c>
      <c r="B2214" s="2">
        <v>45587</v>
      </c>
      <c r="C2214" t="str">
        <f>TEXT(B2214,"mm")</f>
        <v>10</v>
      </c>
      <c r="D2214" t="s">
        <v>18</v>
      </c>
      <c r="E2214" t="s">
        <v>1636</v>
      </c>
      <c r="F2214" s="5">
        <v>91400000</v>
      </c>
      <c r="G2214" s="5">
        <v>94400000</v>
      </c>
      <c r="H2214" s="5">
        <f>M2214*26000*1.20565</f>
        <v>86022162.980000004</v>
      </c>
      <c r="I2214" s="5">
        <f>G2214-H2214</f>
        <v>8377837.0199999958</v>
      </c>
      <c r="J2214" s="5">
        <v>3000000</v>
      </c>
      <c r="K2214" s="5">
        <v>9140000</v>
      </c>
      <c r="L2214" s="5">
        <v>9440000</v>
      </c>
      <c r="M2214" s="7">
        <v>2744.2</v>
      </c>
      <c r="N2214" s="5">
        <v>91900000</v>
      </c>
      <c r="O2214" s="5">
        <v>94900000</v>
      </c>
      <c r="P2214" s="3">
        <v>0.97916666666666663</v>
      </c>
    </row>
    <row r="2215" spans="1:16" x14ac:dyDescent="0.25">
      <c r="A2215" t="s">
        <v>1359</v>
      </c>
      <c r="B2215" s="2">
        <v>45588</v>
      </c>
      <c r="C2215" t="str">
        <f>TEXT(B2215,"mm")</f>
        <v>10</v>
      </c>
      <c r="D2215" t="s">
        <v>19</v>
      </c>
      <c r="E2215" t="s">
        <v>1636</v>
      </c>
      <c r="F2215" s="5">
        <v>90400000</v>
      </c>
      <c r="G2215" s="5">
        <v>93400000</v>
      </c>
      <c r="H2215" s="5">
        <f>M2215*26000*1.20565</f>
        <v>85088025.360000014</v>
      </c>
      <c r="I2215" s="5">
        <f>G2215-H2215</f>
        <v>8311974.6399999857</v>
      </c>
      <c r="J2215" s="5">
        <v>3000000</v>
      </c>
      <c r="K2215" s="5">
        <v>9040000</v>
      </c>
      <c r="L2215" s="5">
        <v>9340000</v>
      </c>
      <c r="M2215" s="7">
        <v>2714.4</v>
      </c>
      <c r="N2215" s="5">
        <v>90900000</v>
      </c>
      <c r="O2215" s="5">
        <v>93900000</v>
      </c>
      <c r="P2215" s="3">
        <v>0.97916666666666663</v>
      </c>
    </row>
    <row r="2216" spans="1:16" x14ac:dyDescent="0.25">
      <c r="A2216" t="s">
        <v>1360</v>
      </c>
      <c r="B2216" s="2">
        <v>45589</v>
      </c>
      <c r="C2216" t="str">
        <f>TEXT(B2216,"mm")</f>
        <v>10</v>
      </c>
      <c r="D2216" t="s">
        <v>20</v>
      </c>
      <c r="E2216" t="s">
        <v>1636</v>
      </c>
      <c r="F2216" s="5">
        <v>91100000</v>
      </c>
      <c r="G2216" s="5">
        <v>94100000</v>
      </c>
      <c r="H2216" s="5">
        <f>M2216*26000*1.20565</f>
        <v>85730636.810000002</v>
      </c>
      <c r="I2216" s="5">
        <f>G2216-H2216</f>
        <v>8369363.1899999976</v>
      </c>
      <c r="J2216" s="5">
        <v>3000000</v>
      </c>
      <c r="K2216" s="5">
        <v>9110000</v>
      </c>
      <c r="L2216" s="5">
        <v>9410000</v>
      </c>
      <c r="M2216" s="7">
        <v>2734.9</v>
      </c>
      <c r="N2216" s="5">
        <v>91600000</v>
      </c>
      <c r="O2216" s="5">
        <v>94600000</v>
      </c>
      <c r="P2216" s="3">
        <v>0.97916666666666663</v>
      </c>
    </row>
    <row r="2217" spans="1:16" x14ac:dyDescent="0.25">
      <c r="A2217" t="s">
        <v>1361</v>
      </c>
      <c r="B2217" s="2">
        <v>45590</v>
      </c>
      <c r="C2217" t="str">
        <f>TEXT(B2217,"mm")</f>
        <v>10</v>
      </c>
      <c r="D2217" t="s">
        <v>21</v>
      </c>
      <c r="E2217" t="s">
        <v>1636</v>
      </c>
      <c r="F2217" s="5">
        <v>91300000</v>
      </c>
      <c r="G2217" s="5">
        <v>94300000</v>
      </c>
      <c r="H2217" s="5">
        <f>M2217*26000*1.20565</f>
        <v>85918718.210000008</v>
      </c>
      <c r="I2217" s="5">
        <f>G2217-H2217</f>
        <v>8381281.7899999917</v>
      </c>
      <c r="J2217" s="5">
        <v>3000000</v>
      </c>
      <c r="K2217" s="5">
        <v>9130000</v>
      </c>
      <c r="L2217" s="5">
        <v>9430000</v>
      </c>
      <c r="M2217" s="7">
        <v>2740.9</v>
      </c>
      <c r="N2217" s="5">
        <v>91800000</v>
      </c>
      <c r="O2217" s="5">
        <v>94800000</v>
      </c>
      <c r="P2217" s="3">
        <v>0.97916666666666663</v>
      </c>
    </row>
    <row r="2218" spans="1:16" x14ac:dyDescent="0.25">
      <c r="A2218" t="s">
        <v>1362</v>
      </c>
      <c r="B2218" s="2">
        <v>45593</v>
      </c>
      <c r="C2218" t="str">
        <f>TEXT(B2218,"mm")</f>
        <v>10</v>
      </c>
      <c r="D2218" t="s">
        <v>16</v>
      </c>
      <c r="E2218" t="s">
        <v>1636</v>
      </c>
      <c r="F2218" s="5">
        <v>91400000</v>
      </c>
      <c r="G2218" s="5">
        <v>94400000</v>
      </c>
      <c r="H2218" s="5">
        <f>M2218*26000*1.20565</f>
        <v>85981412.010000005</v>
      </c>
      <c r="I2218" s="5">
        <f>G2218-H2218</f>
        <v>8418587.9899999946</v>
      </c>
      <c r="J2218" s="5">
        <v>3000000</v>
      </c>
      <c r="K2218" s="5">
        <v>9140000</v>
      </c>
      <c r="L2218" s="5">
        <v>9440000</v>
      </c>
      <c r="M2218" s="7">
        <v>2742.9</v>
      </c>
      <c r="N2218" s="5">
        <v>91900000</v>
      </c>
      <c r="O2218" s="5">
        <v>94900000</v>
      </c>
      <c r="P2218" s="3">
        <v>0.97916666666666663</v>
      </c>
    </row>
    <row r="2219" spans="1:16" x14ac:dyDescent="0.25">
      <c r="A2219" t="s">
        <v>1363</v>
      </c>
      <c r="B2219" s="2">
        <v>45594</v>
      </c>
      <c r="C2219" t="str">
        <f>TEXT(B2219,"mm")</f>
        <v>10</v>
      </c>
      <c r="D2219" t="s">
        <v>18</v>
      </c>
      <c r="E2219" t="s">
        <v>1636</v>
      </c>
      <c r="F2219" s="5">
        <v>92200000</v>
      </c>
      <c r="G2219" s="5">
        <v>95200000</v>
      </c>
      <c r="H2219" s="5">
        <f>M2219*26000*1.20565</f>
        <v>86780757.960000008</v>
      </c>
      <c r="I2219" s="5">
        <f>G2219-H2219</f>
        <v>8419242.0399999917</v>
      </c>
      <c r="J2219" s="5">
        <v>3000000</v>
      </c>
      <c r="K2219" s="5">
        <v>9220000</v>
      </c>
      <c r="L2219" s="5">
        <v>9520000</v>
      </c>
      <c r="M2219" s="7">
        <v>2768.4</v>
      </c>
      <c r="N2219" s="5">
        <v>92700000</v>
      </c>
      <c r="O2219" s="5">
        <v>95700000</v>
      </c>
      <c r="P2219" s="3">
        <v>0.97916666666666663</v>
      </c>
    </row>
    <row r="2220" spans="1:16" x14ac:dyDescent="0.25">
      <c r="A2220" t="s">
        <v>1364</v>
      </c>
      <c r="B2220" s="2">
        <v>45595</v>
      </c>
      <c r="C2220" t="str">
        <f>TEXT(B2220,"mm")</f>
        <v>10</v>
      </c>
      <c r="D2220" t="s">
        <v>19</v>
      </c>
      <c r="E2220" t="s">
        <v>1636</v>
      </c>
      <c r="F2220" s="5">
        <v>92900000</v>
      </c>
      <c r="G2220" s="5">
        <v>95900000</v>
      </c>
      <c r="H2220" s="5">
        <f>M2220*26000*1.20565</f>
        <v>87410830.650000006</v>
      </c>
      <c r="I2220" s="5">
        <f>G2220-H2220</f>
        <v>8489169.349999994</v>
      </c>
      <c r="J2220" s="5">
        <v>3000000</v>
      </c>
      <c r="K2220" s="5">
        <v>9290000</v>
      </c>
      <c r="L2220" s="5">
        <v>9590000</v>
      </c>
      <c r="M2220" s="7">
        <v>2788.5</v>
      </c>
      <c r="N2220" s="5">
        <v>93400000</v>
      </c>
      <c r="O2220" s="5">
        <v>96400000</v>
      </c>
      <c r="P2220" s="3">
        <v>0.97916666666666663</v>
      </c>
    </row>
    <row r="2221" spans="1:16" x14ac:dyDescent="0.25">
      <c r="A2221" t="s">
        <v>1365</v>
      </c>
      <c r="B2221" s="2">
        <v>45596</v>
      </c>
      <c r="C2221" t="str">
        <f>TEXT(B2221,"mm")</f>
        <v>10</v>
      </c>
      <c r="D2221" t="s">
        <v>20</v>
      </c>
      <c r="E2221" t="s">
        <v>1636</v>
      </c>
      <c r="F2221" s="5">
        <v>91200000</v>
      </c>
      <c r="G2221" s="5">
        <v>94200000</v>
      </c>
      <c r="H2221" s="5">
        <f>M2221*26000*1.20565</f>
        <v>85837216.270000011</v>
      </c>
      <c r="I2221" s="5">
        <f>G2221-H2221</f>
        <v>8362783.7299999893</v>
      </c>
      <c r="J2221" s="5">
        <v>3000000</v>
      </c>
      <c r="K2221" s="5">
        <v>9120000</v>
      </c>
      <c r="L2221" s="5">
        <v>9420000</v>
      </c>
      <c r="M2221" s="7">
        <v>2738.3</v>
      </c>
      <c r="N2221" s="5">
        <v>91700000</v>
      </c>
      <c r="O2221" s="5">
        <v>94700000</v>
      </c>
      <c r="P2221" s="3">
        <v>0.97916666666666663</v>
      </c>
    </row>
    <row r="2222" spans="1:16" x14ac:dyDescent="0.25">
      <c r="A2222" s="2">
        <v>45302</v>
      </c>
      <c r="B2222" s="2">
        <v>45597</v>
      </c>
      <c r="C2222" t="str">
        <f>TEXT(B2222,"mm")</f>
        <v>11</v>
      </c>
      <c r="D2222" t="s">
        <v>21</v>
      </c>
      <c r="E2222" t="s">
        <v>1636</v>
      </c>
      <c r="F2222" s="5">
        <v>91200000</v>
      </c>
      <c r="G2222" s="5">
        <v>94200000</v>
      </c>
      <c r="H2222" s="5">
        <f>M2222*26000*1.20565</f>
        <v>85846620.340000004</v>
      </c>
      <c r="I2222" s="5">
        <f>G2222-H2222</f>
        <v>8353379.6599999964</v>
      </c>
      <c r="J2222" s="5">
        <v>3000000</v>
      </c>
      <c r="K2222" s="5">
        <v>9120000</v>
      </c>
      <c r="L2222" s="5">
        <v>9420000</v>
      </c>
      <c r="M2222" s="7">
        <v>2738.6</v>
      </c>
      <c r="N2222" s="5">
        <v>91700000</v>
      </c>
      <c r="O2222" s="5">
        <v>94700000</v>
      </c>
      <c r="P2222" s="3">
        <v>0.97916666666666663</v>
      </c>
    </row>
    <row r="2223" spans="1:16" x14ac:dyDescent="0.25">
      <c r="A2223" s="2">
        <v>45393</v>
      </c>
      <c r="B2223" s="2">
        <v>45600</v>
      </c>
      <c r="C2223" t="str">
        <f>TEXT(B2223,"mm")</f>
        <v>11</v>
      </c>
      <c r="D2223" t="s">
        <v>16</v>
      </c>
      <c r="E2223" t="s">
        <v>1636</v>
      </c>
      <c r="F2223" s="5">
        <v>91100000</v>
      </c>
      <c r="G2223" s="5">
        <v>94100000</v>
      </c>
      <c r="H2223" s="5">
        <f>M2223*26000*1.20565</f>
        <v>85768253.090000004</v>
      </c>
      <c r="I2223" s="5">
        <f>G2223-H2223</f>
        <v>8331746.9099999964</v>
      </c>
      <c r="J2223" s="5">
        <v>3000000</v>
      </c>
      <c r="K2223" s="5">
        <v>9110000</v>
      </c>
      <c r="L2223" s="5">
        <v>9410000</v>
      </c>
      <c r="M2223" s="7">
        <v>2736.1</v>
      </c>
      <c r="N2223" s="5">
        <v>91600000</v>
      </c>
      <c r="O2223" s="5">
        <v>94600000</v>
      </c>
      <c r="P2223" s="3">
        <v>0.97916666666666663</v>
      </c>
    </row>
    <row r="2224" spans="1:16" x14ac:dyDescent="0.25">
      <c r="A2224" s="2">
        <v>45423</v>
      </c>
      <c r="B2224" s="2">
        <v>45601</v>
      </c>
      <c r="C2224" t="str">
        <f>TEXT(B2224,"mm")</f>
        <v>11</v>
      </c>
      <c r="D2224" t="s">
        <v>18</v>
      </c>
      <c r="E2224" t="s">
        <v>1636</v>
      </c>
      <c r="F2224" s="5">
        <v>91300000</v>
      </c>
      <c r="G2224" s="5">
        <v>94300000</v>
      </c>
      <c r="H2224" s="5">
        <f>M2224*26000*1.20565</f>
        <v>85899910.070000008</v>
      </c>
      <c r="I2224" s="5">
        <f>G2224-H2224</f>
        <v>8400089.9299999923</v>
      </c>
      <c r="J2224" s="5">
        <v>3000000</v>
      </c>
      <c r="K2224" s="5">
        <v>9130000</v>
      </c>
      <c r="L2224" s="5">
        <v>9430000</v>
      </c>
      <c r="M2224" s="7">
        <v>2740.3</v>
      </c>
      <c r="N2224" s="5">
        <v>91800000</v>
      </c>
      <c r="O2224" s="5">
        <v>94800000</v>
      </c>
      <c r="P2224" s="3">
        <v>0.97916666666666663</v>
      </c>
    </row>
    <row r="2225" spans="1:16" x14ac:dyDescent="0.25">
      <c r="A2225" s="2">
        <v>45454</v>
      </c>
      <c r="B2225" s="2">
        <v>45602</v>
      </c>
      <c r="C2225" t="str">
        <f>TEXT(B2225,"mm")</f>
        <v>11</v>
      </c>
      <c r="D2225" t="s">
        <v>19</v>
      </c>
      <c r="E2225" t="s">
        <v>1636</v>
      </c>
      <c r="F2225" s="5">
        <v>88800000</v>
      </c>
      <c r="G2225" s="5">
        <v>91800000</v>
      </c>
      <c r="H2225" s="5">
        <f>M2225*26000*1.20565</f>
        <v>83620990.440000013</v>
      </c>
      <c r="I2225" s="5">
        <f>G2225-H2225</f>
        <v>8179009.5599999875</v>
      </c>
      <c r="J2225" s="5">
        <v>3000000</v>
      </c>
      <c r="K2225" s="5">
        <v>8880000</v>
      </c>
      <c r="L2225" s="5">
        <v>9180000</v>
      </c>
      <c r="M2225" s="7">
        <v>2667.6</v>
      </c>
      <c r="N2225" s="5">
        <v>89300000</v>
      </c>
      <c r="O2225" s="5">
        <v>92300000</v>
      </c>
      <c r="P2225" s="3">
        <v>0.97916666666666663</v>
      </c>
    </row>
    <row r="2226" spans="1:16" x14ac:dyDescent="0.25">
      <c r="A2226" s="2">
        <v>45484</v>
      </c>
      <c r="B2226" s="2">
        <v>45603</v>
      </c>
      <c r="C2226" t="str">
        <f>TEXT(B2226,"mm")</f>
        <v>11</v>
      </c>
      <c r="D2226" t="s">
        <v>20</v>
      </c>
      <c r="E2226" t="s">
        <v>1636</v>
      </c>
      <c r="F2226" s="5">
        <v>89800000</v>
      </c>
      <c r="G2226" s="5">
        <v>92800000</v>
      </c>
      <c r="H2226" s="5">
        <f>M2226*26000*1.20565</f>
        <v>84586474.960000008</v>
      </c>
      <c r="I2226" s="5">
        <f>G2226-H2226</f>
        <v>8213525.0399999917</v>
      </c>
      <c r="J2226" s="5">
        <v>3000000</v>
      </c>
      <c r="K2226" s="5">
        <v>8980000</v>
      </c>
      <c r="L2226" s="5">
        <v>9280000</v>
      </c>
      <c r="M2226" s="7">
        <v>2698.4</v>
      </c>
      <c r="N2226" s="5">
        <v>90300000</v>
      </c>
      <c r="O2226" s="5">
        <v>93300000</v>
      </c>
      <c r="P2226" s="3">
        <v>0.97916666666666663</v>
      </c>
    </row>
    <row r="2227" spans="1:16" x14ac:dyDescent="0.25">
      <c r="A2227" s="2">
        <v>45515</v>
      </c>
      <c r="B2227" s="2">
        <v>45604</v>
      </c>
      <c r="C2227" t="str">
        <f>TEXT(B2227,"mm")</f>
        <v>11</v>
      </c>
      <c r="D2227" t="s">
        <v>21</v>
      </c>
      <c r="E2227" t="s">
        <v>1636</v>
      </c>
      <c r="F2227" s="5">
        <v>89500000</v>
      </c>
      <c r="G2227" s="5">
        <v>92500000</v>
      </c>
      <c r="H2227" s="5">
        <f>M2227*26000*1.20565</f>
        <v>84244793.750000015</v>
      </c>
      <c r="I2227" s="5">
        <f>G2227-H2227</f>
        <v>8255206.2499999851</v>
      </c>
      <c r="J2227" s="5">
        <v>3000000</v>
      </c>
      <c r="K2227" s="5">
        <v>8950000</v>
      </c>
      <c r="L2227" s="5">
        <v>9250000</v>
      </c>
      <c r="M2227" s="7">
        <v>2687.5</v>
      </c>
      <c r="N2227" s="5">
        <v>90000000</v>
      </c>
      <c r="O2227" s="5">
        <v>93000000</v>
      </c>
      <c r="P2227" s="3">
        <v>0.97916666666666663</v>
      </c>
    </row>
    <row r="2228" spans="1:16" x14ac:dyDescent="0.25">
      <c r="A2228" s="2">
        <v>45607</v>
      </c>
      <c r="B2228" s="2">
        <v>45607</v>
      </c>
      <c r="C2228" t="str">
        <f>TEXT(B2228,"mm")</f>
        <v>11</v>
      </c>
      <c r="D2228" t="s">
        <v>16</v>
      </c>
      <c r="E2228" t="s">
        <v>1636</v>
      </c>
      <c r="F2228" s="5">
        <v>86800000</v>
      </c>
      <c r="G2228" s="5">
        <v>89800000</v>
      </c>
      <c r="H2228" s="5">
        <f>M2228*26000*1.20565</f>
        <v>81853025.280000001</v>
      </c>
      <c r="I2228" s="5">
        <f>G2228-H2228</f>
        <v>7946974.7199999988</v>
      </c>
      <c r="J2228" s="5">
        <v>3000000</v>
      </c>
      <c r="K2228" s="5">
        <v>8680000</v>
      </c>
      <c r="L2228" s="5">
        <v>8980000</v>
      </c>
      <c r="M2228" s="7">
        <v>2611.1999999999998</v>
      </c>
      <c r="N2228" s="5">
        <v>87300000</v>
      </c>
      <c r="O2228" s="5">
        <v>90300000</v>
      </c>
      <c r="P2228" s="3">
        <v>0.97916666666666663</v>
      </c>
    </row>
    <row r="2229" spans="1:16" x14ac:dyDescent="0.25">
      <c r="A2229" s="2">
        <v>45637</v>
      </c>
      <c r="B2229" s="2">
        <v>45608</v>
      </c>
      <c r="C2229" t="str">
        <f>TEXT(B2229,"mm")</f>
        <v>11</v>
      </c>
      <c r="D2229" t="s">
        <v>18</v>
      </c>
      <c r="E2229" t="s">
        <v>1636</v>
      </c>
      <c r="F2229" s="5">
        <v>86500000</v>
      </c>
      <c r="G2229" s="5">
        <v>89500000</v>
      </c>
      <c r="H2229" s="5">
        <f>M2229*26000*1.20565</f>
        <v>81501940.000000015</v>
      </c>
      <c r="I2229" s="5">
        <f>G2229-H2229</f>
        <v>7998059.9999999851</v>
      </c>
      <c r="J2229" s="5">
        <v>3000000</v>
      </c>
      <c r="K2229" s="5">
        <v>8650000</v>
      </c>
      <c r="L2229" s="5">
        <v>8950000</v>
      </c>
      <c r="M2229" s="7">
        <v>2600</v>
      </c>
      <c r="N2229" s="5">
        <v>87000000</v>
      </c>
      <c r="O2229" s="5">
        <v>90000000</v>
      </c>
      <c r="P2229" s="3">
        <v>0.97916666666666663</v>
      </c>
    </row>
    <row r="2230" spans="1:16" x14ac:dyDescent="0.25">
      <c r="A2230" t="s">
        <v>1366</v>
      </c>
      <c r="B2230" s="2">
        <v>45609</v>
      </c>
      <c r="C2230" t="str">
        <f>TEXT(B2230,"mm")</f>
        <v>11</v>
      </c>
      <c r="D2230" t="s">
        <v>19</v>
      </c>
      <c r="E2230" t="s">
        <v>1636</v>
      </c>
      <c r="F2230" s="5">
        <v>85800000</v>
      </c>
      <c r="G2230" s="5">
        <v>88800000</v>
      </c>
      <c r="H2230" s="5">
        <f>M2230*26000*1.20565</f>
        <v>80900079.520000011</v>
      </c>
      <c r="I2230" s="5">
        <f>G2230-H2230</f>
        <v>7899920.4799999893</v>
      </c>
      <c r="J2230" s="5">
        <v>3000000</v>
      </c>
      <c r="K2230" s="5">
        <v>8580000</v>
      </c>
      <c r="L2230" s="5">
        <v>8880000</v>
      </c>
      <c r="M2230" s="7">
        <v>2580.8000000000002</v>
      </c>
      <c r="N2230" s="5">
        <v>86300000</v>
      </c>
      <c r="O2230" s="5">
        <v>89300000</v>
      </c>
      <c r="P2230" s="3">
        <v>0.97916666666666663</v>
      </c>
    </row>
    <row r="2231" spans="1:16" x14ac:dyDescent="0.25">
      <c r="A2231" t="s">
        <v>1367</v>
      </c>
      <c r="B2231" s="2">
        <v>45610</v>
      </c>
      <c r="C2231" t="str">
        <f>TEXT(B2231,"mm")</f>
        <v>11</v>
      </c>
      <c r="D2231" t="s">
        <v>20</v>
      </c>
      <c r="E2231" t="s">
        <v>1636</v>
      </c>
      <c r="F2231" s="5">
        <v>85400000</v>
      </c>
      <c r="G2231" s="5">
        <v>88400000</v>
      </c>
      <c r="H2231" s="5">
        <f>M2231*26000*1.20565</f>
        <v>80505108.579999998</v>
      </c>
      <c r="I2231" s="5">
        <f>G2231-H2231</f>
        <v>7894891.4200000018</v>
      </c>
      <c r="J2231" s="5">
        <v>3000000</v>
      </c>
      <c r="K2231" s="5">
        <v>8540000</v>
      </c>
      <c r="L2231" s="5">
        <v>8840000</v>
      </c>
      <c r="M2231" s="7">
        <v>2568.1999999999998</v>
      </c>
      <c r="N2231" s="5">
        <v>85900000</v>
      </c>
      <c r="O2231" s="5">
        <v>88900000</v>
      </c>
      <c r="P2231" s="3">
        <v>0.97916666666666663</v>
      </c>
    </row>
    <row r="2232" spans="1:16" x14ac:dyDescent="0.25">
      <c r="A2232" t="s">
        <v>1368</v>
      </c>
      <c r="B2232" s="2">
        <v>45611</v>
      </c>
      <c r="C2232" t="str">
        <f>TEXT(B2232,"mm")</f>
        <v>11</v>
      </c>
      <c r="D2232" t="s">
        <v>21</v>
      </c>
      <c r="E2232" t="s">
        <v>1636</v>
      </c>
      <c r="F2232" s="5">
        <v>85300000</v>
      </c>
      <c r="G2232" s="5">
        <v>88300000</v>
      </c>
      <c r="H2232" s="5">
        <f>M2232*26000*1.20565</f>
        <v>80426741.329999998</v>
      </c>
      <c r="I2232" s="5">
        <f>G2232-H2232</f>
        <v>7873258.6700000018</v>
      </c>
      <c r="J2232" s="5">
        <v>3000000</v>
      </c>
      <c r="K2232" s="5">
        <v>8530000</v>
      </c>
      <c r="L2232" s="5">
        <v>8830000</v>
      </c>
      <c r="M2232" s="7">
        <v>2565.6999999999998</v>
      </c>
      <c r="N2232" s="5">
        <v>85800000</v>
      </c>
      <c r="O2232" s="5">
        <v>88800000</v>
      </c>
      <c r="P2232" s="3">
        <v>0.97916666666666663</v>
      </c>
    </row>
    <row r="2233" spans="1:16" x14ac:dyDescent="0.25">
      <c r="A2233" t="s">
        <v>1369</v>
      </c>
      <c r="B2233" s="2">
        <v>45614</v>
      </c>
      <c r="C2233" t="str">
        <f>TEXT(B2233,"mm")</f>
        <v>11</v>
      </c>
      <c r="D2233" t="s">
        <v>16</v>
      </c>
      <c r="E2233" t="s">
        <v>1636</v>
      </c>
      <c r="F2233" s="5">
        <v>86800000</v>
      </c>
      <c r="G2233" s="5">
        <v>89800000</v>
      </c>
      <c r="H2233" s="5">
        <f>M2233*26000*1.20565</f>
        <v>81834217.140000001</v>
      </c>
      <c r="I2233" s="5">
        <f>G2233-H2233</f>
        <v>7965782.8599999994</v>
      </c>
      <c r="J2233" s="5">
        <v>3000000</v>
      </c>
      <c r="K2233" s="5">
        <v>8680000</v>
      </c>
      <c r="L2233" s="5">
        <v>8980000</v>
      </c>
      <c r="M2233" s="7">
        <v>2610.6</v>
      </c>
      <c r="N2233" s="5">
        <v>87300000</v>
      </c>
      <c r="O2233" s="5">
        <v>90300000</v>
      </c>
      <c r="P2233" s="3">
        <v>0.97916666666666663</v>
      </c>
    </row>
    <row r="2234" spans="1:16" x14ac:dyDescent="0.25">
      <c r="A2234" t="s">
        <v>1370</v>
      </c>
      <c r="B2234" s="2">
        <v>45615</v>
      </c>
      <c r="C2234" t="str">
        <f>TEXT(B2234,"mm")</f>
        <v>11</v>
      </c>
      <c r="D2234" t="s">
        <v>18</v>
      </c>
      <c r="E2234" t="s">
        <v>1636</v>
      </c>
      <c r="F2234" s="5">
        <v>87400000</v>
      </c>
      <c r="G2234" s="5">
        <v>90400000</v>
      </c>
      <c r="H2234" s="5">
        <f>M2234*26000*1.20565</f>
        <v>82351440.99000001</v>
      </c>
      <c r="I2234" s="5">
        <f>G2234-H2234</f>
        <v>8048559.0099999905</v>
      </c>
      <c r="J2234" s="5">
        <v>3000000</v>
      </c>
      <c r="K2234" s="5">
        <v>8740000</v>
      </c>
      <c r="L2234" s="5">
        <v>9040000</v>
      </c>
      <c r="M2234" s="7">
        <v>2627.1</v>
      </c>
      <c r="N2234" s="5">
        <v>87900000</v>
      </c>
      <c r="O2234" s="5">
        <v>90900000</v>
      </c>
      <c r="P2234" s="3">
        <v>0.97916666666666663</v>
      </c>
    </row>
    <row r="2235" spans="1:16" x14ac:dyDescent="0.25">
      <c r="A2235" t="s">
        <v>1371</v>
      </c>
      <c r="B2235" s="2">
        <v>45616</v>
      </c>
      <c r="C2235" t="str">
        <f>TEXT(B2235,"mm")</f>
        <v>11</v>
      </c>
      <c r="D2235" t="s">
        <v>19</v>
      </c>
      <c r="E2235" t="s">
        <v>1636</v>
      </c>
      <c r="F2235" s="5">
        <v>88100000</v>
      </c>
      <c r="G2235" s="5">
        <v>91100000</v>
      </c>
      <c r="H2235" s="5">
        <f>M2235*26000*1.20565</f>
        <v>83012860.580000013</v>
      </c>
      <c r="I2235" s="5">
        <f>G2235-H2235</f>
        <v>8087139.4199999869</v>
      </c>
      <c r="J2235" s="5">
        <v>3000000</v>
      </c>
      <c r="K2235" s="5">
        <v>8810000</v>
      </c>
      <c r="L2235" s="5">
        <v>9110000</v>
      </c>
      <c r="M2235" s="7">
        <v>2648.2</v>
      </c>
      <c r="N2235" s="5">
        <v>88600000</v>
      </c>
      <c r="O2235" s="5">
        <v>91600000</v>
      </c>
      <c r="P2235" s="3">
        <v>0.97916666666666663</v>
      </c>
    </row>
    <row r="2236" spans="1:16" x14ac:dyDescent="0.25">
      <c r="A2236" t="s">
        <v>1372</v>
      </c>
      <c r="B2236" s="2">
        <v>45617</v>
      </c>
      <c r="C2236" t="str">
        <f>TEXT(B2236,"mm")</f>
        <v>11</v>
      </c>
      <c r="D2236" t="s">
        <v>20</v>
      </c>
      <c r="E2236" t="s">
        <v>1636</v>
      </c>
      <c r="F2236" s="5">
        <v>88900000</v>
      </c>
      <c r="G2236" s="5">
        <v>91900000</v>
      </c>
      <c r="H2236" s="5">
        <f>M2236*26000*1.20565</f>
        <v>83762051.49000001</v>
      </c>
      <c r="I2236" s="5">
        <f>G2236-H2236</f>
        <v>8137948.5099999905</v>
      </c>
      <c r="J2236" s="5">
        <v>3000000</v>
      </c>
      <c r="K2236" s="5">
        <v>8890000</v>
      </c>
      <c r="L2236" s="5">
        <v>9190000</v>
      </c>
      <c r="M2236" s="7">
        <v>2672.1</v>
      </c>
      <c r="N2236" s="5">
        <v>89400000</v>
      </c>
      <c r="O2236" s="5">
        <v>92400000</v>
      </c>
      <c r="P2236" s="3">
        <v>0.97916666666666663</v>
      </c>
    </row>
    <row r="2237" spans="1:16" x14ac:dyDescent="0.25">
      <c r="A2237" t="s">
        <v>1373</v>
      </c>
      <c r="B2237" s="2">
        <v>45618</v>
      </c>
      <c r="C2237" t="str">
        <f>TEXT(B2237,"mm")</f>
        <v>11</v>
      </c>
      <c r="D2237" t="s">
        <v>21</v>
      </c>
      <c r="E2237" t="s">
        <v>1636</v>
      </c>
      <c r="F2237" s="5">
        <v>90200000</v>
      </c>
      <c r="G2237" s="5">
        <v>93200000</v>
      </c>
      <c r="H2237" s="5">
        <f>M2237*26000*1.20565</f>
        <v>84946964.310000002</v>
      </c>
      <c r="I2237" s="5">
        <f>G2237-H2237</f>
        <v>8253035.6899999976</v>
      </c>
      <c r="J2237" s="5">
        <v>3000000</v>
      </c>
      <c r="K2237" s="5">
        <v>9020000</v>
      </c>
      <c r="L2237" s="5">
        <v>9320000</v>
      </c>
      <c r="M2237" s="7">
        <v>2709.9</v>
      </c>
      <c r="N2237" s="5">
        <v>90700000</v>
      </c>
      <c r="O2237" s="5">
        <v>93700000</v>
      </c>
      <c r="P2237" s="3">
        <v>0.97916666666666663</v>
      </c>
    </row>
    <row r="2238" spans="1:16" x14ac:dyDescent="0.25">
      <c r="A2238" t="s">
        <v>1374</v>
      </c>
      <c r="B2238" s="2">
        <v>45621</v>
      </c>
      <c r="C2238" t="str">
        <f>TEXT(B2238,"mm")</f>
        <v>11</v>
      </c>
      <c r="D2238" t="s">
        <v>16</v>
      </c>
      <c r="E2238" t="s">
        <v>1636</v>
      </c>
      <c r="F2238" s="5">
        <v>87000000</v>
      </c>
      <c r="G2238" s="5">
        <v>90000000</v>
      </c>
      <c r="H2238" s="5">
        <f>M2238*26000*1.20565</f>
        <v>82028567.920000002</v>
      </c>
      <c r="I2238" s="5">
        <f>G2238-H2238</f>
        <v>7971432.0799999982</v>
      </c>
      <c r="J2238" s="5">
        <v>3000000</v>
      </c>
      <c r="K2238" s="5">
        <v>8700000</v>
      </c>
      <c r="L2238" s="5">
        <v>9000000</v>
      </c>
      <c r="M2238" s="7">
        <v>2616.8000000000002</v>
      </c>
      <c r="N2238" s="5">
        <v>87500000</v>
      </c>
      <c r="O2238" s="5">
        <v>90500000</v>
      </c>
      <c r="P2238" s="3">
        <v>0.97916666666666663</v>
      </c>
    </row>
    <row r="2239" spans="1:16" x14ac:dyDescent="0.25">
      <c r="A2239" t="s">
        <v>1375</v>
      </c>
      <c r="B2239" s="2">
        <v>45622</v>
      </c>
      <c r="C2239" t="str">
        <f>TEXT(B2239,"mm")</f>
        <v>11</v>
      </c>
      <c r="D2239" t="s">
        <v>18</v>
      </c>
      <c r="E2239" t="s">
        <v>1636</v>
      </c>
      <c r="F2239" s="5">
        <v>87200000</v>
      </c>
      <c r="G2239" s="5">
        <v>90200000</v>
      </c>
      <c r="H2239" s="5">
        <f>M2239*26000*1.20565</f>
        <v>82138282.070000008</v>
      </c>
      <c r="I2239" s="5">
        <f>G2239-H2239</f>
        <v>8061717.9299999923</v>
      </c>
      <c r="J2239" s="5">
        <v>3000000</v>
      </c>
      <c r="K2239" s="5">
        <v>8720000</v>
      </c>
      <c r="L2239" s="5">
        <v>9020000</v>
      </c>
      <c r="M2239" s="7">
        <v>2620.3000000000002</v>
      </c>
      <c r="N2239" s="5">
        <v>87700000</v>
      </c>
      <c r="O2239" s="5">
        <v>90700000</v>
      </c>
      <c r="P2239" s="3">
        <v>0.97916666666666663</v>
      </c>
    </row>
    <row r="2240" spans="1:16" x14ac:dyDescent="0.25">
      <c r="A2240" t="s">
        <v>1376</v>
      </c>
      <c r="B2240" s="2">
        <v>45623</v>
      </c>
      <c r="C2240" t="str">
        <f>TEXT(B2240,"mm")</f>
        <v>11</v>
      </c>
      <c r="D2240" t="s">
        <v>19</v>
      </c>
      <c r="E2240" t="s">
        <v>1636</v>
      </c>
      <c r="F2240" s="5">
        <v>87800000</v>
      </c>
      <c r="G2240" s="5">
        <v>90800000</v>
      </c>
      <c r="H2240" s="5">
        <f>M2240*26000*1.20565</f>
        <v>82752681.310000002</v>
      </c>
      <c r="I2240" s="5">
        <f>G2240-H2240</f>
        <v>8047318.6899999976</v>
      </c>
      <c r="J2240" s="5">
        <v>3000000</v>
      </c>
      <c r="K2240" s="5">
        <v>8780000</v>
      </c>
      <c r="L2240" s="5">
        <v>9080000</v>
      </c>
      <c r="M2240" s="7">
        <v>2639.9</v>
      </c>
      <c r="N2240" s="5">
        <v>88300000</v>
      </c>
      <c r="O2240" s="5">
        <v>91300000</v>
      </c>
      <c r="P2240" s="3">
        <v>0.97916666666666663</v>
      </c>
    </row>
    <row r="2241" spans="1:16" x14ac:dyDescent="0.25">
      <c r="A2241" t="s">
        <v>1377</v>
      </c>
      <c r="B2241" s="2">
        <v>45625</v>
      </c>
      <c r="C2241" t="str">
        <f>TEXT(B2241,"mm")</f>
        <v>11</v>
      </c>
      <c r="D2241" t="s">
        <v>21</v>
      </c>
      <c r="E2241" t="s">
        <v>1636</v>
      </c>
      <c r="F2241" s="5">
        <v>88400000</v>
      </c>
      <c r="G2241" s="5">
        <v>91400000</v>
      </c>
      <c r="H2241" s="5">
        <f>M2241*26000*1.20565</f>
        <v>83288713.300000012</v>
      </c>
      <c r="I2241" s="5">
        <f>G2241-H2241</f>
        <v>8111286.6999999881</v>
      </c>
      <c r="J2241" s="5">
        <v>3000000</v>
      </c>
      <c r="K2241" s="5">
        <v>8840000</v>
      </c>
      <c r="L2241" s="5">
        <v>9140000</v>
      </c>
      <c r="M2241" s="7">
        <v>2657</v>
      </c>
      <c r="N2241" s="5">
        <v>88900000</v>
      </c>
      <c r="O2241" s="5">
        <v>91900000</v>
      </c>
      <c r="P2241" s="3">
        <v>0.97916666666666663</v>
      </c>
    </row>
    <row r="2242" spans="1:16" x14ac:dyDescent="0.25">
      <c r="A2242" s="2">
        <v>45334</v>
      </c>
      <c r="B2242" s="2">
        <v>45628</v>
      </c>
      <c r="C2242" t="str">
        <f>TEXT(B2242,"mm")</f>
        <v>12</v>
      </c>
      <c r="D2242" t="s">
        <v>16</v>
      </c>
      <c r="E2242" t="s">
        <v>1636</v>
      </c>
      <c r="F2242" s="5">
        <v>87700000</v>
      </c>
      <c r="G2242" s="5">
        <v>90700000</v>
      </c>
      <c r="H2242" s="5">
        <f>M2242*26000*1.20565</f>
        <v>82595946.810000002</v>
      </c>
      <c r="I2242" s="5">
        <f>G2242-H2242</f>
        <v>8104053.1899999976</v>
      </c>
      <c r="J2242" s="5">
        <v>3000000</v>
      </c>
      <c r="K2242" s="5">
        <v>8770000</v>
      </c>
      <c r="L2242" s="5">
        <v>9070000</v>
      </c>
      <c r="M2242" s="7">
        <v>2634.9</v>
      </c>
      <c r="N2242" s="5">
        <v>88200000</v>
      </c>
      <c r="O2242" s="5">
        <v>91200000</v>
      </c>
      <c r="P2242" s="3">
        <v>0.97916666666666663</v>
      </c>
    </row>
    <row r="2243" spans="1:16" x14ac:dyDescent="0.25">
      <c r="A2243" s="2">
        <v>45363</v>
      </c>
      <c r="B2243" s="2">
        <v>45629</v>
      </c>
      <c r="C2243" t="str">
        <f>TEXT(B2243,"mm")</f>
        <v>12</v>
      </c>
      <c r="D2243" t="s">
        <v>18</v>
      </c>
      <c r="E2243" t="s">
        <v>1636</v>
      </c>
      <c r="F2243" s="5">
        <v>88000000</v>
      </c>
      <c r="G2243" s="5">
        <v>91000000</v>
      </c>
      <c r="H2243" s="5">
        <f>M2243*26000*1.20565</f>
        <v>82903146.430000007</v>
      </c>
      <c r="I2243" s="5">
        <f>G2243-H2243</f>
        <v>8096853.5699999928</v>
      </c>
      <c r="J2243" s="5">
        <v>3000000</v>
      </c>
      <c r="K2243" s="5">
        <v>8800000</v>
      </c>
      <c r="L2243" s="5">
        <v>9100000</v>
      </c>
      <c r="M2243" s="7">
        <v>2644.7</v>
      </c>
      <c r="N2243" s="5">
        <v>88500000</v>
      </c>
      <c r="O2243" s="5">
        <v>91500000</v>
      </c>
      <c r="P2243" s="3">
        <v>0.97916666666666663</v>
      </c>
    </row>
    <row r="2244" spans="1:16" x14ac:dyDescent="0.25">
      <c r="A2244" s="2">
        <v>45394</v>
      </c>
      <c r="B2244" s="2">
        <v>45630</v>
      </c>
      <c r="C2244" t="str">
        <f>TEXT(B2244,"mm")</f>
        <v>12</v>
      </c>
      <c r="D2244" t="s">
        <v>19</v>
      </c>
      <c r="E2244" t="s">
        <v>1636</v>
      </c>
      <c r="F2244" s="5">
        <v>88300000</v>
      </c>
      <c r="G2244" s="5">
        <v>91300000</v>
      </c>
      <c r="H2244" s="5">
        <f>M2244*26000*1.20565</f>
        <v>83188403.220000014</v>
      </c>
      <c r="I2244" s="5">
        <f>G2244-H2244</f>
        <v>8111596.7799999863</v>
      </c>
      <c r="J2244" s="5">
        <v>3000000</v>
      </c>
      <c r="K2244" s="5">
        <v>8830000</v>
      </c>
      <c r="L2244" s="5">
        <v>9130000</v>
      </c>
      <c r="M2244" s="7">
        <v>2653.8</v>
      </c>
      <c r="N2244" s="5">
        <v>88800000</v>
      </c>
      <c r="O2244" s="5">
        <v>91800000</v>
      </c>
      <c r="P2244" s="3">
        <v>0.97916666666666663</v>
      </c>
    </row>
    <row r="2245" spans="1:16" x14ac:dyDescent="0.25">
      <c r="A2245" s="2">
        <v>45424</v>
      </c>
      <c r="B2245" s="2">
        <v>45631</v>
      </c>
      <c r="C2245" t="str">
        <f>TEXT(B2245,"mm")</f>
        <v>12</v>
      </c>
      <c r="D2245" t="s">
        <v>20</v>
      </c>
      <c r="E2245" t="s">
        <v>1636</v>
      </c>
      <c r="F2245" s="5">
        <v>87400000</v>
      </c>
      <c r="G2245" s="5">
        <v>90400000</v>
      </c>
      <c r="H2245" s="5">
        <f>M2245*26000*1.20565</f>
        <v>82335767.540000007</v>
      </c>
      <c r="I2245" s="5">
        <f>G2245-H2245</f>
        <v>8064232.4599999934</v>
      </c>
      <c r="J2245" s="5">
        <v>3000000</v>
      </c>
      <c r="K2245" s="5">
        <v>8740000</v>
      </c>
      <c r="L2245" s="5">
        <v>9040000</v>
      </c>
      <c r="M2245" s="7">
        <v>2626.6</v>
      </c>
      <c r="N2245" s="5">
        <v>87900000</v>
      </c>
      <c r="O2245" s="5">
        <v>90900000</v>
      </c>
      <c r="P2245" s="3">
        <v>0.97916666666666663</v>
      </c>
    </row>
    <row r="2246" spans="1:16" x14ac:dyDescent="0.25">
      <c r="A2246" s="2">
        <v>45455</v>
      </c>
      <c r="B2246" s="2">
        <v>45632</v>
      </c>
      <c r="C2246" t="str">
        <f>TEXT(B2246,"mm")</f>
        <v>12</v>
      </c>
      <c r="D2246" t="s">
        <v>21</v>
      </c>
      <c r="E2246" t="s">
        <v>1636</v>
      </c>
      <c r="F2246" s="5">
        <v>87800000</v>
      </c>
      <c r="G2246" s="5">
        <v>90800000</v>
      </c>
      <c r="H2246" s="5">
        <f>M2246*26000*1.20565</f>
        <v>82711930.340000004</v>
      </c>
      <c r="I2246" s="5">
        <f>G2246-H2246</f>
        <v>8088069.6599999964</v>
      </c>
      <c r="J2246" s="5">
        <v>3000000</v>
      </c>
      <c r="K2246" s="5">
        <v>8780000</v>
      </c>
      <c r="L2246" s="5">
        <v>9080000</v>
      </c>
      <c r="M2246" s="7">
        <v>2638.6</v>
      </c>
      <c r="N2246" s="5">
        <v>88300000</v>
      </c>
      <c r="O2246" s="5">
        <v>91300000</v>
      </c>
      <c r="P2246" s="3">
        <v>0.97916666666666663</v>
      </c>
    </row>
    <row r="2247" spans="1:16" x14ac:dyDescent="0.25">
      <c r="A2247" s="2">
        <v>45547</v>
      </c>
      <c r="B2247" s="2">
        <v>45635</v>
      </c>
      <c r="C2247" t="str">
        <f>TEXT(B2247,"mm")</f>
        <v>12</v>
      </c>
      <c r="D2247" t="s">
        <v>16</v>
      </c>
      <c r="E2247" t="s">
        <v>1636</v>
      </c>
      <c r="F2247" s="5">
        <v>88700000</v>
      </c>
      <c r="G2247" s="5">
        <v>91700000</v>
      </c>
      <c r="H2247" s="5">
        <f>M2247*26000*1.20565</f>
        <v>83536353.810000002</v>
      </c>
      <c r="I2247" s="5">
        <f>G2247-H2247</f>
        <v>8163646.1899999976</v>
      </c>
      <c r="J2247" s="5">
        <v>3000000</v>
      </c>
      <c r="K2247" s="5">
        <v>8870000</v>
      </c>
      <c r="L2247" s="5">
        <v>9170000</v>
      </c>
      <c r="M2247" s="7">
        <v>2664.9</v>
      </c>
      <c r="N2247" s="5">
        <v>89200000</v>
      </c>
      <c r="O2247" s="5">
        <v>92200000</v>
      </c>
      <c r="P2247" s="3">
        <v>0.97916666666666663</v>
      </c>
    </row>
    <row r="2248" spans="1:16" x14ac:dyDescent="0.25">
      <c r="A2248" s="2">
        <v>45577</v>
      </c>
      <c r="B2248" s="2">
        <v>45636</v>
      </c>
      <c r="C2248" t="str">
        <f>TEXT(B2248,"mm")</f>
        <v>12</v>
      </c>
      <c r="D2248" t="s">
        <v>18</v>
      </c>
      <c r="E2248" t="s">
        <v>1636</v>
      </c>
      <c r="F2248" s="5">
        <v>89800000</v>
      </c>
      <c r="G2248" s="5">
        <v>92800000</v>
      </c>
      <c r="H2248" s="5">
        <f>M2248*26000*1.20565</f>
        <v>84561397.440000013</v>
      </c>
      <c r="I2248" s="5">
        <f>G2248-H2248</f>
        <v>8238602.5599999875</v>
      </c>
      <c r="J2248" s="5">
        <v>3000000</v>
      </c>
      <c r="K2248" s="5">
        <v>8980000</v>
      </c>
      <c r="L2248" s="5">
        <v>9280000</v>
      </c>
      <c r="M2248" s="7">
        <v>2697.6</v>
      </c>
      <c r="N2248" s="5">
        <v>90300000</v>
      </c>
      <c r="O2248" s="5">
        <v>93300000</v>
      </c>
      <c r="P2248" s="3">
        <v>0.97916666666666663</v>
      </c>
    </row>
    <row r="2249" spans="1:16" x14ac:dyDescent="0.25">
      <c r="A2249" s="2">
        <v>45608</v>
      </c>
      <c r="B2249" s="2">
        <v>45637</v>
      </c>
      <c r="C2249" t="str">
        <f>TEXT(B2249,"mm")</f>
        <v>12</v>
      </c>
      <c r="D2249" t="s">
        <v>19</v>
      </c>
      <c r="E2249" t="s">
        <v>1636</v>
      </c>
      <c r="F2249" s="5">
        <v>91100000</v>
      </c>
      <c r="G2249" s="5">
        <v>94100000</v>
      </c>
      <c r="H2249" s="5">
        <f>M2249*26000*1.20565</f>
        <v>85696155.220000014</v>
      </c>
      <c r="I2249" s="5">
        <f>G2249-H2249</f>
        <v>8403844.7799999863</v>
      </c>
      <c r="J2249" s="5">
        <v>3000000</v>
      </c>
      <c r="K2249" s="5">
        <v>9110000</v>
      </c>
      <c r="L2249" s="5">
        <v>9410000</v>
      </c>
      <c r="M2249" s="7">
        <v>2733.8</v>
      </c>
      <c r="N2249" s="5">
        <v>91600000</v>
      </c>
      <c r="O2249" s="5">
        <v>94600000</v>
      </c>
      <c r="P2249" s="3">
        <v>0.97916666666666663</v>
      </c>
    </row>
    <row r="2250" spans="1:16" x14ac:dyDescent="0.25">
      <c r="A2250" s="2">
        <v>45638</v>
      </c>
      <c r="B2250" s="2">
        <v>45638</v>
      </c>
      <c r="C2250" t="str">
        <f>TEXT(B2250,"mm")</f>
        <v>12</v>
      </c>
      <c r="D2250" t="s">
        <v>20</v>
      </c>
      <c r="E2250" t="s">
        <v>1636</v>
      </c>
      <c r="F2250" s="5">
        <v>89500000</v>
      </c>
      <c r="G2250" s="5">
        <v>92500000</v>
      </c>
      <c r="H2250" s="5">
        <f>M2250*26000*1.20565</f>
        <v>84244793.750000015</v>
      </c>
      <c r="I2250" s="5">
        <f>G2250-H2250</f>
        <v>8255206.2499999851</v>
      </c>
      <c r="J2250" s="5">
        <v>3000000</v>
      </c>
      <c r="K2250" s="5">
        <v>8950000</v>
      </c>
      <c r="L2250" s="5">
        <v>9250000</v>
      </c>
      <c r="M2250" s="7">
        <v>2687.5</v>
      </c>
      <c r="N2250" s="5">
        <v>90000000</v>
      </c>
      <c r="O2250" s="5">
        <v>93000000</v>
      </c>
      <c r="P2250" s="3">
        <v>0.97916666666666663</v>
      </c>
    </row>
    <row r="2251" spans="1:16" x14ac:dyDescent="0.25">
      <c r="A2251" t="s">
        <v>1378</v>
      </c>
      <c r="B2251" s="2">
        <v>45639</v>
      </c>
      <c r="C2251" t="str">
        <f>TEXT(B2251,"mm")</f>
        <v>12</v>
      </c>
      <c r="D2251" t="s">
        <v>21</v>
      </c>
      <c r="E2251" t="s">
        <v>1636</v>
      </c>
      <c r="F2251" s="5">
        <v>88400000</v>
      </c>
      <c r="G2251" s="5">
        <v>91400000</v>
      </c>
      <c r="H2251" s="5">
        <f>M2251*26000*1.20565</f>
        <v>83257366.400000006</v>
      </c>
      <c r="I2251" s="5">
        <f>G2251-H2251</f>
        <v>8142633.599999994</v>
      </c>
      <c r="J2251" s="5">
        <v>3000000</v>
      </c>
      <c r="K2251" s="5">
        <v>8840000</v>
      </c>
      <c r="L2251" s="5">
        <v>9140000</v>
      </c>
      <c r="M2251" s="7">
        <v>2656</v>
      </c>
      <c r="N2251" s="5">
        <v>88900000</v>
      </c>
      <c r="O2251" s="5">
        <v>91900000</v>
      </c>
      <c r="P2251" s="3">
        <v>0.97916666666666663</v>
      </c>
    </row>
    <row r="2252" spans="1:16" x14ac:dyDescent="0.25">
      <c r="A2252" t="s">
        <v>1379</v>
      </c>
      <c r="B2252" s="2">
        <v>45642</v>
      </c>
      <c r="C2252" t="str">
        <f>TEXT(B2252,"mm")</f>
        <v>12</v>
      </c>
      <c r="D2252" t="s">
        <v>16</v>
      </c>
      <c r="E2252" t="s">
        <v>1636</v>
      </c>
      <c r="F2252" s="5">
        <v>88200000</v>
      </c>
      <c r="G2252" s="5">
        <v>91200000</v>
      </c>
      <c r="H2252" s="5">
        <f>M2252*26000*1.20565</f>
        <v>83113170.660000011</v>
      </c>
      <c r="I2252" s="5">
        <f>G2252-H2252</f>
        <v>8086829.3399999887</v>
      </c>
      <c r="J2252" s="5">
        <v>3000000</v>
      </c>
      <c r="K2252" s="5">
        <v>8820000</v>
      </c>
      <c r="L2252" s="5">
        <v>9120000</v>
      </c>
      <c r="M2252" s="7">
        <v>2651.4</v>
      </c>
      <c r="N2252" s="5">
        <v>88700000</v>
      </c>
      <c r="O2252" s="5">
        <v>91700000</v>
      </c>
      <c r="P2252" s="3">
        <v>0.97916666666666663</v>
      </c>
    </row>
    <row r="2253" spans="1:16" x14ac:dyDescent="0.25">
      <c r="A2253" t="s">
        <v>1380</v>
      </c>
      <c r="B2253" s="2">
        <v>45643</v>
      </c>
      <c r="C2253" t="str">
        <f>TEXT(B2253,"mm")</f>
        <v>12</v>
      </c>
      <c r="D2253" t="s">
        <v>18</v>
      </c>
      <c r="E2253" t="s">
        <v>1636</v>
      </c>
      <c r="F2253" s="5">
        <v>88000000</v>
      </c>
      <c r="G2253" s="5">
        <v>91000000</v>
      </c>
      <c r="H2253" s="5">
        <f>M2253*26000*1.20565</f>
        <v>82893742.360000014</v>
      </c>
      <c r="I2253" s="5">
        <f>G2253-H2253</f>
        <v>8106257.6399999857</v>
      </c>
      <c r="J2253" s="5">
        <v>3000000</v>
      </c>
      <c r="K2253" s="5">
        <v>8800000</v>
      </c>
      <c r="L2253" s="5">
        <v>9100000</v>
      </c>
      <c r="M2253" s="7">
        <v>2644.4</v>
      </c>
      <c r="N2253" s="5">
        <v>88500000</v>
      </c>
      <c r="O2253" s="5">
        <v>91500000</v>
      </c>
      <c r="P2253" s="3">
        <v>0.97916666666666663</v>
      </c>
    </row>
    <row r="2254" spans="1:16" x14ac:dyDescent="0.25">
      <c r="A2254" t="s">
        <v>1381</v>
      </c>
      <c r="B2254" s="2">
        <v>45644</v>
      </c>
      <c r="C2254" t="str">
        <f>TEXT(B2254,"mm")</f>
        <v>12</v>
      </c>
      <c r="D2254" t="s">
        <v>19</v>
      </c>
      <c r="E2254" t="s">
        <v>1636</v>
      </c>
      <c r="F2254" s="5">
        <v>87700000</v>
      </c>
      <c r="G2254" s="5">
        <v>90700000</v>
      </c>
      <c r="H2254" s="5">
        <f>M2254*26000*1.20565</f>
        <v>82646101.850000009</v>
      </c>
      <c r="I2254" s="5">
        <f>G2254-H2254</f>
        <v>8053898.1499999911</v>
      </c>
      <c r="J2254" s="5">
        <v>3000000</v>
      </c>
      <c r="K2254" s="5">
        <v>8770000</v>
      </c>
      <c r="L2254" s="5">
        <v>9070000</v>
      </c>
      <c r="M2254" s="7">
        <v>2636.5</v>
      </c>
      <c r="N2254" s="5">
        <v>88200000</v>
      </c>
      <c r="O2254" s="5">
        <v>91200000</v>
      </c>
      <c r="P2254" s="3">
        <v>0.97916666666666663</v>
      </c>
    </row>
    <row r="2255" spans="1:16" x14ac:dyDescent="0.25">
      <c r="A2255" t="s">
        <v>1382</v>
      </c>
      <c r="B2255" s="2">
        <v>45645</v>
      </c>
      <c r="C2255" t="str">
        <f>TEXT(B2255,"mm")</f>
        <v>12</v>
      </c>
      <c r="D2255" t="s">
        <v>20</v>
      </c>
      <c r="E2255" t="s">
        <v>1636</v>
      </c>
      <c r="F2255" s="5">
        <v>86200000</v>
      </c>
      <c r="G2255" s="5">
        <v>89200000</v>
      </c>
      <c r="H2255" s="5">
        <f>M2255*26000*1.20565</f>
        <v>81257434.180000007</v>
      </c>
      <c r="I2255" s="5">
        <f>G2255-H2255</f>
        <v>7942565.8199999928</v>
      </c>
      <c r="J2255" s="5">
        <v>3000000</v>
      </c>
      <c r="K2255" s="5">
        <v>8620000</v>
      </c>
      <c r="L2255" s="5">
        <v>8920000</v>
      </c>
      <c r="M2255" s="7">
        <v>2592.1999999999998</v>
      </c>
      <c r="N2255" s="5">
        <v>86700000</v>
      </c>
      <c r="O2255" s="5">
        <v>89700000</v>
      </c>
      <c r="P2255" s="3">
        <v>0.97916666666666663</v>
      </c>
    </row>
    <row r="2256" spans="1:16" x14ac:dyDescent="0.25">
      <c r="A2256" t="s">
        <v>1383</v>
      </c>
      <c r="B2256" s="2">
        <v>45646</v>
      </c>
      <c r="C2256" t="str">
        <f>TEXT(B2256,"mm")</f>
        <v>12</v>
      </c>
      <c r="D2256" t="s">
        <v>21</v>
      </c>
      <c r="E2256" t="s">
        <v>1636</v>
      </c>
      <c r="F2256" s="5">
        <v>87400000</v>
      </c>
      <c r="G2256" s="5">
        <v>90400000</v>
      </c>
      <c r="H2256" s="5">
        <f>M2256*26000*1.20565</f>
        <v>82401596.030000001</v>
      </c>
      <c r="I2256" s="5">
        <f>G2256-H2256</f>
        <v>7998403.9699999988</v>
      </c>
      <c r="J2256" s="5">
        <v>3000000</v>
      </c>
      <c r="K2256" s="5">
        <v>8740000</v>
      </c>
      <c r="L2256" s="5">
        <v>9040000</v>
      </c>
      <c r="M2256" s="7">
        <v>2628.7</v>
      </c>
      <c r="N2256" s="5">
        <v>87900000</v>
      </c>
      <c r="O2256" s="5">
        <v>90900000</v>
      </c>
      <c r="P2256" s="3">
        <v>0.97916666666666663</v>
      </c>
    </row>
    <row r="2257" spans="1:16" x14ac:dyDescent="0.25">
      <c r="A2257" t="s">
        <v>1384</v>
      </c>
      <c r="B2257" s="2">
        <v>45649</v>
      </c>
      <c r="C2257" t="str">
        <f>TEXT(B2257,"mm")</f>
        <v>12</v>
      </c>
      <c r="D2257" t="s">
        <v>16</v>
      </c>
      <c r="E2257" t="s">
        <v>1636</v>
      </c>
      <c r="F2257" s="5">
        <v>86900000</v>
      </c>
      <c r="G2257" s="5">
        <v>89900000</v>
      </c>
      <c r="H2257" s="5">
        <f>M2257*26000*1.20565</f>
        <v>81887506.870000005</v>
      </c>
      <c r="I2257" s="5">
        <f>G2257-H2257</f>
        <v>8012493.1299999952</v>
      </c>
      <c r="J2257" s="5">
        <v>3000000</v>
      </c>
      <c r="K2257" s="5">
        <v>8690000</v>
      </c>
      <c r="L2257" s="5">
        <v>8990000</v>
      </c>
      <c r="M2257" s="7">
        <v>2612.3000000000002</v>
      </c>
      <c r="N2257" s="5">
        <v>87400000</v>
      </c>
      <c r="O2257" s="5">
        <v>90400000</v>
      </c>
      <c r="P2257" s="3">
        <v>0.97916666666666663</v>
      </c>
    </row>
    <row r="2258" spans="1:16" x14ac:dyDescent="0.25">
      <c r="A2258" t="s">
        <v>1385</v>
      </c>
      <c r="B2258" s="2">
        <v>45650</v>
      </c>
      <c r="C2258" t="str">
        <f>TEXT(B2258,"mm")</f>
        <v>12</v>
      </c>
      <c r="D2258" t="s">
        <v>18</v>
      </c>
      <c r="E2258" t="s">
        <v>1636</v>
      </c>
      <c r="F2258" s="5">
        <v>87100000</v>
      </c>
      <c r="G2258" s="5">
        <v>90100000</v>
      </c>
      <c r="H2258" s="5">
        <f>M2258*26000*1.20565</f>
        <v>82128878.000000015</v>
      </c>
      <c r="I2258" s="5">
        <f>G2258-H2258</f>
        <v>7971121.9999999851</v>
      </c>
      <c r="J2258" s="5">
        <v>3000000</v>
      </c>
      <c r="K2258" s="5">
        <v>8710000</v>
      </c>
      <c r="L2258" s="5">
        <v>9010000</v>
      </c>
      <c r="M2258" s="7">
        <v>2620</v>
      </c>
      <c r="N2258" s="5">
        <v>87600000</v>
      </c>
      <c r="O2258" s="5">
        <v>90600000</v>
      </c>
      <c r="P2258" s="3">
        <v>0.97916666666666663</v>
      </c>
    </row>
    <row r="2259" spans="1:16" x14ac:dyDescent="0.25">
      <c r="A2259" t="s">
        <v>1386</v>
      </c>
      <c r="B2259" s="2">
        <v>45652</v>
      </c>
      <c r="C2259" t="str">
        <f>TEXT(B2259,"mm")</f>
        <v>12</v>
      </c>
      <c r="D2259" t="s">
        <v>20</v>
      </c>
      <c r="E2259" t="s">
        <v>1636</v>
      </c>
      <c r="F2259" s="5">
        <v>87800000</v>
      </c>
      <c r="G2259" s="5">
        <v>90800000</v>
      </c>
      <c r="H2259" s="5">
        <f>M2259*26000*1.20565</f>
        <v>82718199.720000014</v>
      </c>
      <c r="I2259" s="5">
        <f>G2259-H2259</f>
        <v>8081800.2799999863</v>
      </c>
      <c r="J2259" s="5">
        <v>3000000</v>
      </c>
      <c r="K2259" s="5">
        <v>8780000</v>
      </c>
      <c r="L2259" s="5">
        <v>9080000</v>
      </c>
      <c r="M2259" s="7">
        <v>2638.8</v>
      </c>
      <c r="N2259" s="5">
        <v>88300000</v>
      </c>
      <c r="O2259" s="5">
        <v>91300000</v>
      </c>
      <c r="P2259" s="3">
        <v>0.97916666666666663</v>
      </c>
    </row>
    <row r="2260" spans="1:16" x14ac:dyDescent="0.25">
      <c r="A2260" t="s">
        <v>1387</v>
      </c>
      <c r="B2260" s="2">
        <v>45653</v>
      </c>
      <c r="C2260" t="str">
        <f>TEXT(B2260,"mm")</f>
        <v>12</v>
      </c>
      <c r="D2260" t="s">
        <v>21</v>
      </c>
      <c r="E2260" t="s">
        <v>1636</v>
      </c>
      <c r="F2260" s="5">
        <v>87000000</v>
      </c>
      <c r="G2260" s="5">
        <v>90000000</v>
      </c>
      <c r="H2260" s="5">
        <f>M2260*26000*1.20565</f>
        <v>82041106.680000007</v>
      </c>
      <c r="I2260" s="5">
        <f>G2260-H2260</f>
        <v>7958893.3199999928</v>
      </c>
      <c r="J2260" s="5">
        <v>3000000</v>
      </c>
      <c r="K2260" s="5">
        <v>8700000</v>
      </c>
      <c r="L2260" s="5">
        <v>9000000</v>
      </c>
      <c r="M2260" s="7">
        <v>2617.1999999999998</v>
      </c>
      <c r="N2260" s="5">
        <v>87500000</v>
      </c>
      <c r="O2260" s="5">
        <v>90500000</v>
      </c>
      <c r="P2260" s="3">
        <v>0.97916666666666663</v>
      </c>
    </row>
    <row r="2261" spans="1:16" x14ac:dyDescent="0.25">
      <c r="A2261" t="s">
        <v>1388</v>
      </c>
      <c r="B2261" s="2">
        <v>45656</v>
      </c>
      <c r="C2261" t="str">
        <f>TEXT(B2261,"mm")</f>
        <v>12</v>
      </c>
      <c r="D2261" t="s">
        <v>16</v>
      </c>
      <c r="E2261" t="s">
        <v>1636</v>
      </c>
      <c r="F2261" s="5">
        <v>86700000</v>
      </c>
      <c r="G2261" s="5">
        <v>89700000</v>
      </c>
      <c r="H2261" s="5">
        <f>M2261*26000*1.20565</f>
        <v>81693156.090000004</v>
      </c>
      <c r="I2261" s="5">
        <f>G2261-H2261</f>
        <v>8006843.9099999964</v>
      </c>
      <c r="J2261" s="5">
        <v>3000000</v>
      </c>
      <c r="K2261" s="5">
        <v>8670000</v>
      </c>
      <c r="L2261" s="5">
        <v>8970000</v>
      </c>
      <c r="M2261" s="7">
        <v>2606.1</v>
      </c>
      <c r="N2261" s="5">
        <v>87200000</v>
      </c>
      <c r="O2261" s="5">
        <v>90200000</v>
      </c>
      <c r="P2261" s="3">
        <v>0.97916666666666663</v>
      </c>
    </row>
    <row r="2262" spans="1:16" x14ac:dyDescent="0.25">
      <c r="A2262" t="s">
        <v>1389</v>
      </c>
      <c r="B2262" s="2">
        <v>45657</v>
      </c>
      <c r="C2262" t="str">
        <f>TEXT(B2262,"mm")</f>
        <v>12</v>
      </c>
      <c r="D2262" t="s">
        <v>18</v>
      </c>
      <c r="E2262" t="s">
        <v>1636</v>
      </c>
      <c r="F2262" s="5">
        <v>87500000</v>
      </c>
      <c r="G2262" s="5">
        <v>90500000</v>
      </c>
      <c r="H2262" s="5">
        <f>M2262*26000*1.20565</f>
        <v>82417269.480000004</v>
      </c>
      <c r="I2262" s="5">
        <f>G2262-H2262</f>
        <v>8082730.5199999958</v>
      </c>
      <c r="J2262" s="5">
        <v>3000000</v>
      </c>
      <c r="K2262" s="5">
        <v>8750000</v>
      </c>
      <c r="L2262" s="5">
        <v>9050000</v>
      </c>
      <c r="M2262" s="7">
        <v>2629.2</v>
      </c>
      <c r="N2262" s="5">
        <v>88000000</v>
      </c>
      <c r="O2262" s="5">
        <v>91000000</v>
      </c>
      <c r="P2262" s="3">
        <v>0.97916666666666663</v>
      </c>
    </row>
    <row r="2263" spans="1:16" x14ac:dyDescent="0.25">
      <c r="A2263" s="2">
        <v>45689</v>
      </c>
      <c r="B2263" s="2">
        <v>45659</v>
      </c>
      <c r="C2263" t="str">
        <f>TEXT(B2263,"mm")</f>
        <v>01</v>
      </c>
      <c r="D2263" t="s">
        <v>20</v>
      </c>
      <c r="E2263" t="s">
        <v>1636</v>
      </c>
      <c r="F2263" s="5">
        <v>93100000</v>
      </c>
      <c r="G2263" s="5">
        <v>96100000</v>
      </c>
      <c r="H2263" s="5">
        <f>M2263*26000*1.20565</f>
        <v>83348272.410000011</v>
      </c>
      <c r="I2263" s="5">
        <f>G2263-H2263</f>
        <v>12751727.589999989</v>
      </c>
      <c r="J2263" s="5">
        <v>3000000</v>
      </c>
      <c r="K2263" s="5">
        <v>9310000</v>
      </c>
      <c r="L2263" s="5">
        <v>9610000</v>
      </c>
      <c r="M2263" s="7">
        <v>2658.9</v>
      </c>
      <c r="N2263" s="5">
        <v>93600000</v>
      </c>
      <c r="O2263" s="5">
        <v>96600000</v>
      </c>
      <c r="P2263" s="3">
        <v>0.97916666666666663</v>
      </c>
    </row>
    <row r="2264" spans="1:16" x14ac:dyDescent="0.25">
      <c r="A2264" s="2">
        <v>45717</v>
      </c>
      <c r="B2264" s="2">
        <v>45660</v>
      </c>
      <c r="C2264" t="str">
        <f>TEXT(B2264,"mm")</f>
        <v>01</v>
      </c>
      <c r="D2264" t="s">
        <v>21</v>
      </c>
      <c r="E2264" t="s">
        <v>1636</v>
      </c>
      <c r="F2264" s="5">
        <v>92600000</v>
      </c>
      <c r="G2264" s="5">
        <v>95600000</v>
      </c>
      <c r="H2264" s="5">
        <f>M2264*26000*1.20565</f>
        <v>82912550.500000015</v>
      </c>
      <c r="I2264" s="5">
        <f>G2264-H2264</f>
        <v>12687449.499999985</v>
      </c>
      <c r="J2264" s="5">
        <v>3000000</v>
      </c>
      <c r="K2264" s="5">
        <v>9260000</v>
      </c>
      <c r="L2264" s="5">
        <v>9560000</v>
      </c>
      <c r="M2264" s="7">
        <v>2645</v>
      </c>
      <c r="N2264" s="5">
        <v>93100000</v>
      </c>
      <c r="O2264" s="5">
        <v>96100000</v>
      </c>
      <c r="P2264" s="3">
        <v>0.97916666666666663</v>
      </c>
    </row>
    <row r="2265" spans="1:16" x14ac:dyDescent="0.25">
      <c r="A2265" s="2">
        <v>45809</v>
      </c>
      <c r="B2265" s="2">
        <v>45663</v>
      </c>
      <c r="C2265" t="str">
        <f>TEXT(B2265,"mm")</f>
        <v>01</v>
      </c>
      <c r="D2265" t="s">
        <v>16</v>
      </c>
      <c r="E2265" t="s">
        <v>1636</v>
      </c>
      <c r="F2265" s="5">
        <v>92300000</v>
      </c>
      <c r="G2265" s="5">
        <v>95300000</v>
      </c>
      <c r="H2265" s="5">
        <f>M2265*26000*1.20565</f>
        <v>82705660.960000008</v>
      </c>
      <c r="I2265" s="5">
        <f>G2265-H2265</f>
        <v>12594339.039999992</v>
      </c>
      <c r="J2265" s="5">
        <v>3000000</v>
      </c>
      <c r="K2265" s="5">
        <v>9230000</v>
      </c>
      <c r="L2265" s="5">
        <v>9530000</v>
      </c>
      <c r="M2265" s="7">
        <v>2638.4</v>
      </c>
      <c r="N2265" s="5">
        <v>92800000</v>
      </c>
      <c r="O2265" s="5">
        <v>95800000</v>
      </c>
      <c r="P2265" s="3">
        <v>0.97916666666666663</v>
      </c>
    </row>
    <row r="2266" spans="1:16" x14ac:dyDescent="0.25">
      <c r="A2266" s="2">
        <v>45839</v>
      </c>
      <c r="B2266" s="2">
        <v>45664</v>
      </c>
      <c r="C2266" t="str">
        <f>TEXT(B2266,"mm")</f>
        <v>01</v>
      </c>
      <c r="D2266" t="s">
        <v>18</v>
      </c>
      <c r="E2266" t="s">
        <v>1636</v>
      </c>
      <c r="F2266" s="5">
        <v>93000000</v>
      </c>
      <c r="G2266" s="5">
        <v>96000000</v>
      </c>
      <c r="H2266" s="5">
        <f>M2266*26000*1.20565</f>
        <v>83279309.230000004</v>
      </c>
      <c r="I2266" s="5">
        <f>G2266-H2266</f>
        <v>12720690.769999996</v>
      </c>
      <c r="J2266" s="5">
        <v>3000000</v>
      </c>
      <c r="K2266" s="5">
        <v>9300000</v>
      </c>
      <c r="L2266" s="5">
        <v>9600000</v>
      </c>
      <c r="M2266" s="7">
        <v>2656.7</v>
      </c>
      <c r="N2266" s="5">
        <v>93500000</v>
      </c>
      <c r="O2266" s="5">
        <v>96500000</v>
      </c>
      <c r="P2266" s="3">
        <v>0.97916666666666663</v>
      </c>
    </row>
    <row r="2267" spans="1:16" x14ac:dyDescent="0.25">
      <c r="A2267" s="2">
        <v>45870</v>
      </c>
      <c r="B2267" s="2">
        <v>45665</v>
      </c>
      <c r="C2267" t="str">
        <f>TEXT(B2267,"mm")</f>
        <v>01</v>
      </c>
      <c r="D2267" t="s">
        <v>19</v>
      </c>
      <c r="E2267" t="s">
        <v>1636</v>
      </c>
      <c r="F2267" s="5">
        <v>93300000</v>
      </c>
      <c r="G2267" s="5">
        <v>96300000</v>
      </c>
      <c r="H2267" s="5">
        <f>M2267*26000*1.20565</f>
        <v>83523815.050000012</v>
      </c>
      <c r="I2267" s="5">
        <f>G2267-H2267</f>
        <v>12776184.949999988</v>
      </c>
      <c r="J2267" s="5">
        <v>3000000</v>
      </c>
      <c r="K2267" s="5">
        <v>9330000</v>
      </c>
      <c r="L2267" s="5">
        <v>9630000</v>
      </c>
      <c r="M2267" s="7">
        <v>2664.5</v>
      </c>
      <c r="N2267" s="5">
        <v>93800000</v>
      </c>
      <c r="O2267" s="5">
        <v>96800000</v>
      </c>
      <c r="P2267" s="3">
        <v>0.97916666666666663</v>
      </c>
    </row>
    <row r="2268" spans="1:16" x14ac:dyDescent="0.25">
      <c r="A2268" s="2">
        <v>45901</v>
      </c>
      <c r="B2268" s="2">
        <v>45666</v>
      </c>
      <c r="C2268" t="str">
        <f>TEXT(B2268,"mm")</f>
        <v>01</v>
      </c>
      <c r="D2268" t="s">
        <v>20</v>
      </c>
      <c r="E2268" t="s">
        <v>1636</v>
      </c>
      <c r="F2268" s="5">
        <v>94000000</v>
      </c>
      <c r="G2268" s="5">
        <v>97000000</v>
      </c>
      <c r="H2268" s="5">
        <f>M2268*26000*1.20565</f>
        <v>84128810.220000014</v>
      </c>
      <c r="I2268" s="5">
        <f>G2268-H2268</f>
        <v>12871189.779999986</v>
      </c>
      <c r="J2268" s="5">
        <v>3000000</v>
      </c>
      <c r="K2268" s="5">
        <v>9400000</v>
      </c>
      <c r="L2268" s="5">
        <v>9700000</v>
      </c>
      <c r="M2268" s="7">
        <v>2683.8</v>
      </c>
      <c r="N2268" s="5">
        <v>94500000</v>
      </c>
      <c r="O2268" s="5">
        <v>97500000</v>
      </c>
      <c r="P2268" s="3">
        <v>0.97916666666666663</v>
      </c>
    </row>
    <row r="2269" spans="1:16" x14ac:dyDescent="0.25">
      <c r="A2269" s="2">
        <v>45931</v>
      </c>
      <c r="B2269" s="2">
        <v>45667</v>
      </c>
      <c r="C2269" t="str">
        <f>TEXT(B2269,"mm")</f>
        <v>01</v>
      </c>
      <c r="D2269" t="s">
        <v>21</v>
      </c>
      <c r="E2269" t="s">
        <v>1636</v>
      </c>
      <c r="F2269" s="5">
        <v>94900000</v>
      </c>
      <c r="G2269" s="5">
        <v>97900000</v>
      </c>
      <c r="H2269" s="5">
        <f>M2269*26000*1.20565</f>
        <v>84903078.650000006</v>
      </c>
      <c r="I2269" s="5">
        <f>G2269-H2269</f>
        <v>12996921.349999994</v>
      </c>
      <c r="J2269" s="5">
        <v>3000000</v>
      </c>
      <c r="K2269" s="5">
        <v>9490000</v>
      </c>
      <c r="L2269" s="5">
        <v>9790000</v>
      </c>
      <c r="M2269" s="7">
        <v>2708.5</v>
      </c>
      <c r="N2269" s="5">
        <v>95400000</v>
      </c>
      <c r="O2269" s="5">
        <v>98400000</v>
      </c>
      <c r="P2269" s="3">
        <v>0.97916666666666663</v>
      </c>
    </row>
    <row r="2270" spans="1:16" x14ac:dyDescent="0.25">
      <c r="A2270" t="s">
        <v>1390</v>
      </c>
      <c r="B2270" s="2">
        <v>45670</v>
      </c>
      <c r="C2270" t="str">
        <f>TEXT(B2270,"mm")</f>
        <v>01</v>
      </c>
      <c r="D2270" t="s">
        <v>16</v>
      </c>
      <c r="E2270" t="s">
        <v>1636</v>
      </c>
      <c r="F2270" s="5">
        <v>93600000</v>
      </c>
      <c r="G2270" s="5">
        <v>96600000</v>
      </c>
      <c r="H2270" s="5">
        <f>M2270*26000*1.20565</f>
        <v>83805937.150000006</v>
      </c>
      <c r="I2270" s="5">
        <f>G2270-H2270</f>
        <v>12794062.849999994</v>
      </c>
      <c r="J2270" s="5">
        <v>3000000</v>
      </c>
      <c r="K2270" s="5">
        <v>9360000</v>
      </c>
      <c r="L2270" s="5">
        <v>9660000</v>
      </c>
      <c r="M2270" s="7">
        <v>2673.5</v>
      </c>
      <c r="N2270" s="5">
        <v>94100000</v>
      </c>
      <c r="O2270" s="5">
        <v>97100000</v>
      </c>
      <c r="P2270" s="3">
        <v>0.97916666666666663</v>
      </c>
    </row>
    <row r="2271" spans="1:16" x14ac:dyDescent="0.25">
      <c r="A2271" t="s">
        <v>1391</v>
      </c>
      <c r="B2271" s="2">
        <v>45671</v>
      </c>
      <c r="C2271" t="str">
        <f>TEXT(B2271,"mm")</f>
        <v>01</v>
      </c>
      <c r="D2271" t="s">
        <v>18</v>
      </c>
      <c r="E2271" t="s">
        <v>1636</v>
      </c>
      <c r="F2271" s="5">
        <v>93800000</v>
      </c>
      <c r="G2271" s="5">
        <v>96800000</v>
      </c>
      <c r="H2271" s="5">
        <f>M2271*26000*1.20565</f>
        <v>83931324.750000015</v>
      </c>
      <c r="I2271" s="5">
        <f>G2271-H2271</f>
        <v>12868675.249999985</v>
      </c>
      <c r="J2271" s="5">
        <v>3000000</v>
      </c>
      <c r="K2271" s="5">
        <v>9380000</v>
      </c>
      <c r="L2271" s="5">
        <v>9680000</v>
      </c>
      <c r="M2271" s="7">
        <v>2677.5</v>
      </c>
      <c r="N2271" s="5">
        <v>94300000</v>
      </c>
      <c r="O2271" s="5">
        <v>97300000</v>
      </c>
      <c r="P2271" s="3">
        <v>0.97916666666666663</v>
      </c>
    </row>
    <row r="2272" spans="1:16" x14ac:dyDescent="0.25">
      <c r="A2272" t="s">
        <v>1392</v>
      </c>
      <c r="B2272" s="2">
        <v>45672</v>
      </c>
      <c r="C2272" t="str">
        <f>TEXT(B2272,"mm")</f>
        <v>01</v>
      </c>
      <c r="D2272" t="s">
        <v>19</v>
      </c>
      <c r="E2272" t="s">
        <v>1636</v>
      </c>
      <c r="F2272" s="5">
        <v>95000000</v>
      </c>
      <c r="G2272" s="5">
        <v>98000000</v>
      </c>
      <c r="H2272" s="5">
        <f>M2272*26000*1.20565</f>
        <v>85028466.250000015</v>
      </c>
      <c r="I2272" s="5">
        <f>G2272-H2272</f>
        <v>12971533.749999985</v>
      </c>
      <c r="J2272" s="5">
        <v>3000000</v>
      </c>
      <c r="K2272" s="5">
        <v>9500000</v>
      </c>
      <c r="L2272" s="5">
        <v>9800000</v>
      </c>
      <c r="M2272" s="7">
        <v>2712.5</v>
      </c>
      <c r="N2272" s="5">
        <v>95500000</v>
      </c>
      <c r="O2272" s="5">
        <v>98500000</v>
      </c>
      <c r="P2272" s="3">
        <v>0.97916666666666663</v>
      </c>
    </row>
    <row r="2273" spans="1:16" x14ac:dyDescent="0.25">
      <c r="A2273" t="s">
        <v>1393</v>
      </c>
      <c r="B2273" s="2">
        <v>45673</v>
      </c>
      <c r="C2273" t="str">
        <f>TEXT(B2273,"mm")</f>
        <v>01</v>
      </c>
      <c r="D2273" t="s">
        <v>20</v>
      </c>
      <c r="E2273" t="s">
        <v>1636</v>
      </c>
      <c r="F2273" s="5">
        <v>96200000</v>
      </c>
      <c r="G2273" s="5">
        <v>99200000</v>
      </c>
      <c r="H2273" s="5">
        <f>M2273*26000*1.20565</f>
        <v>86091126.160000011</v>
      </c>
      <c r="I2273" s="5">
        <f>G2273-H2273</f>
        <v>13108873.839999989</v>
      </c>
      <c r="J2273" s="5">
        <v>3000000</v>
      </c>
      <c r="K2273" s="5">
        <v>9620000</v>
      </c>
      <c r="L2273" s="5">
        <v>9920000</v>
      </c>
      <c r="M2273" s="7">
        <v>2746.4</v>
      </c>
      <c r="N2273" s="5">
        <v>96700000</v>
      </c>
      <c r="O2273" s="5">
        <v>99700000</v>
      </c>
      <c r="P2273" s="3">
        <v>0.97916666666666663</v>
      </c>
    </row>
    <row r="2274" spans="1:16" x14ac:dyDescent="0.25">
      <c r="A2274" t="s">
        <v>1394</v>
      </c>
      <c r="B2274" s="2">
        <v>45674</v>
      </c>
      <c r="C2274" t="str">
        <f>TEXT(B2274,"mm")</f>
        <v>01</v>
      </c>
      <c r="D2274" t="s">
        <v>21</v>
      </c>
      <c r="E2274" t="s">
        <v>1636</v>
      </c>
      <c r="F2274" s="5">
        <v>96200000</v>
      </c>
      <c r="G2274" s="5">
        <v>99200000</v>
      </c>
      <c r="H2274" s="5">
        <f>M2274*26000*1.20565</f>
        <v>86025297.670000002</v>
      </c>
      <c r="I2274" s="5">
        <f>G2274-H2274</f>
        <v>13174702.329999998</v>
      </c>
      <c r="J2274" s="5">
        <v>3000000</v>
      </c>
      <c r="K2274" s="5">
        <v>9620000</v>
      </c>
      <c r="L2274" s="5">
        <v>9920000</v>
      </c>
      <c r="M2274" s="7">
        <v>2744.3</v>
      </c>
      <c r="N2274" s="5">
        <v>96700000</v>
      </c>
      <c r="O2274" s="5">
        <v>99700000</v>
      </c>
      <c r="P2274" s="3">
        <v>0.97916666666666663</v>
      </c>
    </row>
    <row r="2275" spans="1:16" x14ac:dyDescent="0.25">
      <c r="A2275" t="s">
        <v>1395</v>
      </c>
      <c r="B2275" s="2">
        <v>45678</v>
      </c>
      <c r="C2275" t="str">
        <f>TEXT(B2275,"mm")</f>
        <v>01</v>
      </c>
      <c r="D2275" t="s">
        <v>18</v>
      </c>
      <c r="E2275" t="s">
        <v>1636</v>
      </c>
      <c r="F2275" s="5">
        <v>96600000</v>
      </c>
      <c r="G2275" s="5">
        <v>99600000</v>
      </c>
      <c r="H2275" s="5">
        <f>M2275*26000*1.20565</f>
        <v>86360709.500000015</v>
      </c>
      <c r="I2275" s="5">
        <f>G2275-H2275</f>
        <v>13239290.499999985</v>
      </c>
      <c r="J2275" s="5">
        <v>3000000</v>
      </c>
      <c r="K2275" s="5">
        <v>9660000</v>
      </c>
      <c r="L2275" s="5">
        <v>9960000</v>
      </c>
      <c r="M2275" s="7">
        <v>2755</v>
      </c>
      <c r="N2275" s="5">
        <v>97100000</v>
      </c>
      <c r="O2275" s="5">
        <v>100100000</v>
      </c>
      <c r="P2275" s="3">
        <v>0.97916666666666663</v>
      </c>
    </row>
    <row r="2276" spans="1:16" x14ac:dyDescent="0.25">
      <c r="A2276" t="s">
        <v>1396</v>
      </c>
      <c r="B2276" s="2">
        <v>45679</v>
      </c>
      <c r="C2276" t="str">
        <f>TEXT(B2276,"mm")</f>
        <v>01</v>
      </c>
      <c r="D2276" t="s">
        <v>19</v>
      </c>
      <c r="E2276" t="s">
        <v>1636</v>
      </c>
      <c r="F2276" s="5">
        <v>97000000</v>
      </c>
      <c r="G2276" s="5">
        <v>100000000</v>
      </c>
      <c r="H2276" s="5">
        <f>M2276*26000*1.20565</f>
        <v>86755680.440000013</v>
      </c>
      <c r="I2276" s="5">
        <f>G2276-H2276</f>
        <v>13244319.559999987</v>
      </c>
      <c r="J2276" s="5">
        <v>3000000</v>
      </c>
      <c r="K2276" s="5">
        <v>9700000</v>
      </c>
      <c r="L2276" s="5">
        <v>10000000</v>
      </c>
      <c r="M2276" s="7">
        <v>2767.6</v>
      </c>
      <c r="N2276" s="5">
        <v>97500000</v>
      </c>
      <c r="O2276" s="5">
        <v>100500000</v>
      </c>
      <c r="P2276" s="3">
        <v>0.97916666666666663</v>
      </c>
    </row>
    <row r="2277" spans="1:16" x14ac:dyDescent="0.25">
      <c r="A2277" t="s">
        <v>1397</v>
      </c>
      <c r="B2277" s="2">
        <v>45680</v>
      </c>
      <c r="C2277" t="str">
        <f>TEXT(B2277,"mm")</f>
        <v>01</v>
      </c>
      <c r="D2277" t="s">
        <v>20</v>
      </c>
      <c r="E2277" t="s">
        <v>1636</v>
      </c>
      <c r="F2277" s="5">
        <v>96800000</v>
      </c>
      <c r="G2277" s="5">
        <v>99800000</v>
      </c>
      <c r="H2277" s="5">
        <f>M2277*26000*1.20565</f>
        <v>86614619.390000001</v>
      </c>
      <c r="I2277" s="5">
        <f>G2277-H2277</f>
        <v>13185380.609999999</v>
      </c>
      <c r="J2277" s="5">
        <v>3000000</v>
      </c>
      <c r="K2277" s="5">
        <v>9680000</v>
      </c>
      <c r="L2277" s="5">
        <v>9980000</v>
      </c>
      <c r="M2277" s="7">
        <v>2763.1</v>
      </c>
      <c r="N2277" s="5">
        <v>97300000</v>
      </c>
      <c r="O2277" s="5">
        <v>100300000</v>
      </c>
      <c r="P2277" s="3">
        <v>0.97916666666666663</v>
      </c>
    </row>
    <row r="2278" spans="1:16" x14ac:dyDescent="0.25">
      <c r="A2278" t="s">
        <v>1398</v>
      </c>
      <c r="B2278" s="2">
        <v>45681</v>
      </c>
      <c r="C2278" t="str">
        <f>TEXT(B2278,"mm")</f>
        <v>01</v>
      </c>
      <c r="D2278" t="s">
        <v>21</v>
      </c>
      <c r="E2278" t="s">
        <v>1636</v>
      </c>
      <c r="F2278" s="5">
        <v>97400000</v>
      </c>
      <c r="G2278" s="5">
        <v>100400000</v>
      </c>
      <c r="H2278" s="5">
        <f>M2278*26000*1.20565</f>
        <v>87059745.370000005</v>
      </c>
      <c r="I2278" s="5">
        <f>G2278-H2278</f>
        <v>13340254.629999995</v>
      </c>
      <c r="J2278" s="5">
        <v>3000000</v>
      </c>
      <c r="K2278" s="5">
        <v>9740000</v>
      </c>
      <c r="L2278" s="5">
        <v>10040000</v>
      </c>
      <c r="M2278" s="7">
        <v>2777.3</v>
      </c>
      <c r="N2278" s="5">
        <v>97900000</v>
      </c>
      <c r="O2278" s="5">
        <v>100900000</v>
      </c>
      <c r="P2278" s="3">
        <v>0.97916666666666663</v>
      </c>
    </row>
    <row r="2279" spans="1:16" x14ac:dyDescent="0.25">
      <c r="A2279" t="s">
        <v>1399</v>
      </c>
      <c r="B2279" s="2">
        <v>45684</v>
      </c>
      <c r="C2279" t="str">
        <f>TEXT(B2279,"mm")</f>
        <v>01</v>
      </c>
      <c r="D2279" t="s">
        <v>16</v>
      </c>
      <c r="E2279" t="s">
        <v>1636</v>
      </c>
      <c r="F2279" s="5">
        <v>95900000</v>
      </c>
      <c r="G2279" s="5">
        <v>98900000</v>
      </c>
      <c r="H2279" s="5">
        <f>M2279*26000*1.20565</f>
        <v>85812138.750000015</v>
      </c>
      <c r="I2279" s="5">
        <f>G2279-H2279</f>
        <v>13087861.249999985</v>
      </c>
      <c r="J2279" s="5">
        <v>3000000</v>
      </c>
      <c r="K2279" s="5">
        <v>9590000</v>
      </c>
      <c r="L2279" s="5">
        <v>9890000</v>
      </c>
      <c r="M2279" s="7">
        <v>2737.5</v>
      </c>
      <c r="N2279" s="5">
        <v>96400000</v>
      </c>
      <c r="O2279" s="5">
        <v>99400000</v>
      </c>
      <c r="P2279" s="3">
        <v>0.97916666666666663</v>
      </c>
    </row>
    <row r="2280" spans="1:16" x14ac:dyDescent="0.25">
      <c r="A2280" t="s">
        <v>1400</v>
      </c>
      <c r="B2280" s="2">
        <v>45685</v>
      </c>
      <c r="C2280" t="str">
        <f>TEXT(B2280,"mm")</f>
        <v>01</v>
      </c>
      <c r="D2280" t="s">
        <v>18</v>
      </c>
      <c r="E2280" t="s">
        <v>1636</v>
      </c>
      <c r="F2280" s="5">
        <v>97000000</v>
      </c>
      <c r="G2280" s="5">
        <v>100000000</v>
      </c>
      <c r="H2280" s="5">
        <f>M2280*26000*1.20565</f>
        <v>86730602.920000002</v>
      </c>
      <c r="I2280" s="5">
        <f>G2280-H2280</f>
        <v>13269397.079999998</v>
      </c>
      <c r="J2280" s="5">
        <v>3000000</v>
      </c>
      <c r="K2280" s="5">
        <v>9700000</v>
      </c>
      <c r="L2280" s="5">
        <v>10000000</v>
      </c>
      <c r="M2280" s="7">
        <v>2766.8</v>
      </c>
      <c r="N2280" s="5">
        <v>97500000</v>
      </c>
      <c r="O2280" s="5">
        <v>100500000</v>
      </c>
      <c r="P2280" s="3">
        <v>0.97916666666666663</v>
      </c>
    </row>
    <row r="2281" spans="1:16" x14ac:dyDescent="0.25">
      <c r="A2281" t="s">
        <v>1401</v>
      </c>
      <c r="B2281" s="2">
        <v>45686</v>
      </c>
      <c r="C2281" t="str">
        <f>TEXT(B2281,"mm")</f>
        <v>01</v>
      </c>
      <c r="D2281" t="s">
        <v>19</v>
      </c>
      <c r="E2281" t="s">
        <v>1636</v>
      </c>
      <c r="F2281" s="5">
        <v>97100000</v>
      </c>
      <c r="G2281" s="5">
        <v>100100000</v>
      </c>
      <c r="H2281" s="5">
        <f>M2281*26000*1.20565</f>
        <v>86802700.790000007</v>
      </c>
      <c r="I2281" s="5">
        <f>G2281-H2281</f>
        <v>13297299.209999993</v>
      </c>
      <c r="J2281" s="5">
        <v>3000000</v>
      </c>
      <c r="K2281" s="5">
        <v>9710000</v>
      </c>
      <c r="L2281" s="5">
        <v>10010000</v>
      </c>
      <c r="M2281" s="7">
        <v>2769.1</v>
      </c>
      <c r="N2281" s="5">
        <v>97600000</v>
      </c>
      <c r="O2281" s="5">
        <v>100600000</v>
      </c>
      <c r="P2281" s="3">
        <v>0.97916666666666663</v>
      </c>
    </row>
    <row r="2282" spans="1:16" x14ac:dyDescent="0.25">
      <c r="A2282" t="s">
        <v>1402</v>
      </c>
      <c r="B2282" s="2">
        <v>45687</v>
      </c>
      <c r="C2282" t="str">
        <f>TEXT(B2282,"mm")</f>
        <v>01</v>
      </c>
      <c r="D2282" t="s">
        <v>20</v>
      </c>
      <c r="E2282" t="s">
        <v>1636</v>
      </c>
      <c r="F2282" s="5">
        <v>99000000</v>
      </c>
      <c r="G2282" s="5">
        <v>102000000</v>
      </c>
      <c r="H2282" s="5">
        <f>M2282*26000*1.20565</f>
        <v>88492298.700000003</v>
      </c>
      <c r="I2282" s="5">
        <f>G2282-H2282</f>
        <v>13507701.299999997</v>
      </c>
      <c r="J2282" s="5">
        <v>3000000</v>
      </c>
      <c r="K2282" s="5">
        <v>9900000</v>
      </c>
      <c r="L2282" s="5">
        <v>10200000</v>
      </c>
      <c r="M2282" s="7">
        <v>2823</v>
      </c>
      <c r="N2282" s="5">
        <v>99500000</v>
      </c>
      <c r="O2282" s="5">
        <v>102500000</v>
      </c>
      <c r="P2282" s="3">
        <v>0.97916666666666663</v>
      </c>
    </row>
    <row r="2283" spans="1:16" x14ac:dyDescent="0.25">
      <c r="A2283" t="s">
        <v>1403</v>
      </c>
      <c r="B2283" s="2">
        <v>45688</v>
      </c>
      <c r="C2283" t="str">
        <f>TEXT(B2283,"mm")</f>
        <v>01</v>
      </c>
      <c r="D2283" t="s">
        <v>21</v>
      </c>
      <c r="E2283" t="s">
        <v>1636</v>
      </c>
      <c r="F2283" s="5">
        <v>98600000</v>
      </c>
      <c r="G2283" s="5">
        <v>101600000</v>
      </c>
      <c r="H2283" s="5">
        <f>M2283*26000*1.20565</f>
        <v>88163156.250000015</v>
      </c>
      <c r="I2283" s="5">
        <f>G2283-H2283</f>
        <v>13436843.749999985</v>
      </c>
      <c r="J2283" s="5">
        <v>3000000</v>
      </c>
      <c r="K2283" s="5">
        <v>9860000</v>
      </c>
      <c r="L2283" s="5">
        <v>10160000</v>
      </c>
      <c r="M2283" s="7">
        <v>2812.5</v>
      </c>
      <c r="N2283" s="5">
        <v>99100000</v>
      </c>
      <c r="O2283" s="5">
        <v>102100000</v>
      </c>
      <c r="P2283" s="3">
        <v>0.97916666666666663</v>
      </c>
    </row>
    <row r="2284" spans="1:16" x14ac:dyDescent="0.25">
      <c r="A2284" s="2">
        <v>45718</v>
      </c>
      <c r="B2284" s="2">
        <v>45691</v>
      </c>
      <c r="C2284" t="str">
        <f>TEXT(B2284,"mm")</f>
        <v>02</v>
      </c>
      <c r="D2284" t="s">
        <v>16</v>
      </c>
      <c r="E2284" t="s">
        <v>1636</v>
      </c>
      <c r="F2284" s="5">
        <v>99400000</v>
      </c>
      <c r="G2284" s="5">
        <v>102400000</v>
      </c>
      <c r="H2284" s="5">
        <f>M2284*26000*1.20565</f>
        <v>88833979.910000011</v>
      </c>
      <c r="I2284" s="5">
        <f>G2284-H2284</f>
        <v>13566020.089999989</v>
      </c>
      <c r="J2284" s="5">
        <v>3000000</v>
      </c>
      <c r="K2284" s="5">
        <v>9940000</v>
      </c>
      <c r="L2284" s="5">
        <v>10240000</v>
      </c>
      <c r="M2284" s="7">
        <v>2833.9</v>
      </c>
      <c r="N2284" s="5">
        <v>99900000</v>
      </c>
      <c r="O2284" s="5">
        <v>102900000</v>
      </c>
      <c r="P2284" s="3">
        <v>0.97916666666666663</v>
      </c>
    </row>
    <row r="2285" spans="1:16" x14ac:dyDescent="0.25">
      <c r="A2285" s="2">
        <v>45749</v>
      </c>
      <c r="B2285" s="2">
        <v>45692</v>
      </c>
      <c r="C2285" t="str">
        <f>TEXT(B2285,"mm")</f>
        <v>02</v>
      </c>
      <c r="D2285" t="s">
        <v>18</v>
      </c>
      <c r="E2285" t="s">
        <v>1636</v>
      </c>
      <c r="F2285" s="5">
        <v>100100000</v>
      </c>
      <c r="G2285" s="5">
        <v>103100000</v>
      </c>
      <c r="H2285" s="5">
        <f>M2285*26000*1.20565</f>
        <v>89442109.770000011</v>
      </c>
      <c r="I2285" s="5">
        <f>G2285-H2285</f>
        <v>13657890.229999989</v>
      </c>
      <c r="J2285" s="5">
        <v>3000000</v>
      </c>
      <c r="K2285" s="5">
        <v>10010000</v>
      </c>
      <c r="L2285" s="5">
        <v>10310000</v>
      </c>
      <c r="M2285" s="7">
        <v>2853.3</v>
      </c>
      <c r="N2285" s="5">
        <v>100600000</v>
      </c>
      <c r="O2285" s="5">
        <v>103600000</v>
      </c>
      <c r="P2285" s="3">
        <v>0.97916666666666663</v>
      </c>
    </row>
    <row r="2286" spans="1:16" x14ac:dyDescent="0.25">
      <c r="A2286" s="2">
        <v>45779</v>
      </c>
      <c r="B2286" s="2">
        <v>45693</v>
      </c>
      <c r="C2286" t="str">
        <f>TEXT(B2286,"mm")</f>
        <v>02</v>
      </c>
      <c r="D2286" t="s">
        <v>19</v>
      </c>
      <c r="E2286" t="s">
        <v>1636</v>
      </c>
      <c r="F2286" s="5">
        <v>100800000</v>
      </c>
      <c r="G2286" s="5">
        <v>103800000</v>
      </c>
      <c r="H2286" s="5">
        <f>M2286*26000*1.20565</f>
        <v>90015758.040000007</v>
      </c>
      <c r="I2286" s="5">
        <f>G2286-H2286</f>
        <v>13784241.959999993</v>
      </c>
      <c r="J2286" s="5">
        <v>3000000</v>
      </c>
      <c r="K2286" s="5">
        <v>10080000</v>
      </c>
      <c r="L2286" s="5">
        <v>10380000</v>
      </c>
      <c r="M2286" s="7">
        <v>2871.6</v>
      </c>
      <c r="N2286" s="5">
        <v>101300000</v>
      </c>
      <c r="O2286" s="5">
        <v>104300000</v>
      </c>
      <c r="P2286" s="3">
        <v>0.97916666666666663</v>
      </c>
    </row>
    <row r="2287" spans="1:16" x14ac:dyDescent="0.25">
      <c r="A2287" s="2">
        <v>45810</v>
      </c>
      <c r="B2287" s="2">
        <v>45694</v>
      </c>
      <c r="C2287" t="str">
        <f>TEXT(B2287,"mm")</f>
        <v>02</v>
      </c>
      <c r="D2287" t="s">
        <v>20</v>
      </c>
      <c r="E2287" t="s">
        <v>1636</v>
      </c>
      <c r="F2287" s="5">
        <v>100200000</v>
      </c>
      <c r="G2287" s="5">
        <v>103200000</v>
      </c>
      <c r="H2287" s="5">
        <f>M2287*26000*1.20565</f>
        <v>89526746.400000006</v>
      </c>
      <c r="I2287" s="5">
        <f>G2287-H2287</f>
        <v>13673253.599999994</v>
      </c>
      <c r="J2287" s="5">
        <v>3000000</v>
      </c>
      <c r="K2287" s="5">
        <v>10020000</v>
      </c>
      <c r="L2287" s="5">
        <v>10320000</v>
      </c>
      <c r="M2287" s="7">
        <v>2856</v>
      </c>
      <c r="N2287" s="5">
        <v>100700000</v>
      </c>
      <c r="O2287" s="5">
        <v>103700000</v>
      </c>
      <c r="P2287" s="3">
        <v>0.97916666666666663</v>
      </c>
    </row>
    <row r="2288" spans="1:16" x14ac:dyDescent="0.25">
      <c r="A2288" s="2">
        <v>45840</v>
      </c>
      <c r="B2288" s="2">
        <v>45695</v>
      </c>
      <c r="C2288" t="str">
        <f>TEXT(B2288,"mm")</f>
        <v>02</v>
      </c>
      <c r="D2288" t="s">
        <v>21</v>
      </c>
      <c r="E2288" t="s">
        <v>1636</v>
      </c>
      <c r="F2288" s="5">
        <v>100600000</v>
      </c>
      <c r="G2288" s="5">
        <v>103600000</v>
      </c>
      <c r="H2288" s="5">
        <f>M2288*26000*1.20565</f>
        <v>89880966.370000005</v>
      </c>
      <c r="I2288" s="5">
        <f>G2288-H2288</f>
        <v>13719033.629999995</v>
      </c>
      <c r="J2288" s="5">
        <v>3000000</v>
      </c>
      <c r="K2288" s="5">
        <v>10060000</v>
      </c>
      <c r="L2288" s="5">
        <v>10360000</v>
      </c>
      <c r="M2288" s="7">
        <v>2867.3</v>
      </c>
      <c r="N2288" s="5">
        <v>101100000</v>
      </c>
      <c r="O2288" s="5">
        <v>104100000</v>
      </c>
      <c r="P2288" s="3">
        <v>0.97916666666666663</v>
      </c>
    </row>
    <row r="2289" spans="1:16" x14ac:dyDescent="0.25">
      <c r="A2289" s="2">
        <v>45932</v>
      </c>
      <c r="B2289" s="2">
        <v>45698</v>
      </c>
      <c r="C2289" t="str">
        <f>TEXT(B2289,"mm")</f>
        <v>02</v>
      </c>
      <c r="D2289" t="s">
        <v>16</v>
      </c>
      <c r="E2289" t="s">
        <v>1636</v>
      </c>
      <c r="F2289" s="5">
        <v>102300000</v>
      </c>
      <c r="G2289" s="5">
        <v>105300000</v>
      </c>
      <c r="H2289" s="5">
        <f>M2289*26000*1.20565</f>
        <v>91354270.670000002</v>
      </c>
      <c r="I2289" s="5">
        <f>G2289-H2289</f>
        <v>13945729.329999998</v>
      </c>
      <c r="J2289" s="5">
        <v>3000000</v>
      </c>
      <c r="K2289" s="5">
        <v>10230000</v>
      </c>
      <c r="L2289" s="5">
        <v>10530000</v>
      </c>
      <c r="M2289" s="7">
        <v>2914.3</v>
      </c>
      <c r="N2289" s="5">
        <v>102800000</v>
      </c>
      <c r="O2289" s="5">
        <v>105800000</v>
      </c>
      <c r="P2289" s="3">
        <v>0.97916666666666663</v>
      </c>
    </row>
    <row r="2290" spans="1:16" x14ac:dyDescent="0.25">
      <c r="A2290" s="2">
        <v>45963</v>
      </c>
      <c r="B2290" s="2">
        <v>45699</v>
      </c>
      <c r="C2290" t="str">
        <f>TEXT(B2290,"mm")</f>
        <v>02</v>
      </c>
      <c r="D2290" t="s">
        <v>18</v>
      </c>
      <c r="E2290" t="s">
        <v>1636</v>
      </c>
      <c r="F2290" s="5">
        <v>102200000</v>
      </c>
      <c r="G2290" s="5">
        <v>105200000</v>
      </c>
      <c r="H2290" s="5">
        <f>M2290*26000*1.20565</f>
        <v>91297846.250000015</v>
      </c>
      <c r="I2290" s="5">
        <f>G2290-H2290</f>
        <v>13902153.749999985</v>
      </c>
      <c r="J2290" s="5">
        <v>3000000</v>
      </c>
      <c r="K2290" s="5">
        <v>10220000</v>
      </c>
      <c r="L2290" s="5">
        <v>10520000</v>
      </c>
      <c r="M2290" s="7">
        <v>2912.5</v>
      </c>
      <c r="N2290" s="5">
        <v>102700000</v>
      </c>
      <c r="O2290" s="5">
        <v>105700000</v>
      </c>
      <c r="P2290" s="3">
        <v>0.97916666666666663</v>
      </c>
    </row>
    <row r="2291" spans="1:16" x14ac:dyDescent="0.25">
      <c r="A2291" s="2">
        <v>45993</v>
      </c>
      <c r="B2291" s="2">
        <v>45700</v>
      </c>
      <c r="C2291" t="str">
        <f>TEXT(B2291,"mm")</f>
        <v>02</v>
      </c>
      <c r="D2291" t="s">
        <v>19</v>
      </c>
      <c r="E2291" t="s">
        <v>1636</v>
      </c>
      <c r="F2291" s="5">
        <v>102100000</v>
      </c>
      <c r="G2291" s="5">
        <v>105100000</v>
      </c>
      <c r="H2291" s="5">
        <f>M2291*26000*1.20565</f>
        <v>91188132.100000009</v>
      </c>
      <c r="I2291" s="5">
        <f>G2291-H2291</f>
        <v>13911867.899999991</v>
      </c>
      <c r="J2291" s="5">
        <v>3000000</v>
      </c>
      <c r="K2291" s="5">
        <v>10210000</v>
      </c>
      <c r="L2291" s="5">
        <v>10510000</v>
      </c>
      <c r="M2291" s="7">
        <v>2909</v>
      </c>
      <c r="N2291" s="5">
        <v>102600000</v>
      </c>
      <c r="O2291" s="5">
        <v>105600000</v>
      </c>
      <c r="P2291" s="3">
        <v>0.97916666666666663</v>
      </c>
    </row>
    <row r="2292" spans="1:16" x14ac:dyDescent="0.25">
      <c r="A2292" t="s">
        <v>1404</v>
      </c>
      <c r="B2292" s="2">
        <v>45701</v>
      </c>
      <c r="C2292" t="str">
        <f>TEXT(B2292,"mm")</f>
        <v>02</v>
      </c>
      <c r="D2292" t="s">
        <v>20</v>
      </c>
      <c r="E2292" t="s">
        <v>1636</v>
      </c>
      <c r="F2292" s="5">
        <v>102700000</v>
      </c>
      <c r="G2292" s="5">
        <v>105700000</v>
      </c>
      <c r="H2292" s="5">
        <f>M2292*26000*1.20565</f>
        <v>91717894.710000008</v>
      </c>
      <c r="I2292" s="5">
        <f>G2292-H2292</f>
        <v>13982105.289999992</v>
      </c>
      <c r="J2292" s="5">
        <v>3000000</v>
      </c>
      <c r="K2292" s="5">
        <v>10270000</v>
      </c>
      <c r="L2292" s="5">
        <v>10570000</v>
      </c>
      <c r="M2292" s="7">
        <v>2925.9</v>
      </c>
      <c r="N2292" s="5">
        <v>103200000</v>
      </c>
      <c r="O2292" s="5">
        <v>106200000</v>
      </c>
      <c r="P2292" s="3">
        <v>0.97916666666666663</v>
      </c>
    </row>
    <row r="2293" spans="1:16" x14ac:dyDescent="0.25">
      <c r="A2293" t="s">
        <v>1405</v>
      </c>
      <c r="B2293" s="2">
        <v>45702</v>
      </c>
      <c r="C2293" t="str">
        <f>TEXT(B2293,"mm")</f>
        <v>02</v>
      </c>
      <c r="D2293" t="s">
        <v>21</v>
      </c>
      <c r="E2293" t="s">
        <v>1636</v>
      </c>
      <c r="F2293" s="5">
        <v>101200000</v>
      </c>
      <c r="G2293" s="5">
        <v>104200000</v>
      </c>
      <c r="H2293" s="5">
        <f>M2293*26000*1.20565</f>
        <v>90391920.840000004</v>
      </c>
      <c r="I2293" s="5">
        <f>G2293-H2293</f>
        <v>13808079.159999996</v>
      </c>
      <c r="J2293" s="5">
        <v>3000000</v>
      </c>
      <c r="K2293" s="5">
        <v>10120000</v>
      </c>
      <c r="L2293" s="5">
        <v>10420000</v>
      </c>
      <c r="M2293" s="7">
        <v>2883.6</v>
      </c>
      <c r="N2293" s="5">
        <v>101700000</v>
      </c>
      <c r="O2293" s="5">
        <v>104700000</v>
      </c>
      <c r="P2293" s="3">
        <v>0.97916666666666663</v>
      </c>
    </row>
    <row r="2294" spans="1:16" x14ac:dyDescent="0.25">
      <c r="A2294" t="s">
        <v>1406</v>
      </c>
      <c r="B2294" s="2">
        <v>45706</v>
      </c>
      <c r="C2294" t="str">
        <f>TEXT(B2294,"mm")</f>
        <v>02</v>
      </c>
      <c r="D2294" t="s">
        <v>18</v>
      </c>
      <c r="E2294" t="s">
        <v>1636</v>
      </c>
      <c r="F2294" s="5">
        <v>102900000</v>
      </c>
      <c r="G2294" s="5">
        <v>105900000</v>
      </c>
      <c r="H2294" s="5">
        <f>M2294*26000*1.20565</f>
        <v>91896572.040000007</v>
      </c>
      <c r="I2294" s="5">
        <f>G2294-H2294</f>
        <v>14003427.959999993</v>
      </c>
      <c r="J2294" s="5">
        <v>3000000</v>
      </c>
      <c r="K2294" s="5">
        <v>10290000</v>
      </c>
      <c r="L2294" s="5">
        <v>10590000</v>
      </c>
      <c r="M2294" s="7">
        <v>2931.6</v>
      </c>
      <c r="N2294" s="5">
        <v>103400000</v>
      </c>
      <c r="O2294" s="5">
        <v>106400000</v>
      </c>
      <c r="P2294" s="3">
        <v>0.97916666666666663</v>
      </c>
    </row>
    <row r="2295" spans="1:16" x14ac:dyDescent="0.25">
      <c r="A2295" t="s">
        <v>1407</v>
      </c>
      <c r="B2295" s="2">
        <v>45707</v>
      </c>
      <c r="C2295" t="str">
        <f>TEXT(B2295,"mm")</f>
        <v>02</v>
      </c>
      <c r="D2295" t="s">
        <v>19</v>
      </c>
      <c r="E2295" t="s">
        <v>1636</v>
      </c>
      <c r="F2295" s="5">
        <v>102500000</v>
      </c>
      <c r="G2295" s="5">
        <v>105500000</v>
      </c>
      <c r="H2295" s="5">
        <f>M2295*26000*1.20565</f>
        <v>91514139.860000014</v>
      </c>
      <c r="I2295" s="5">
        <f>G2295-H2295</f>
        <v>13985860.139999986</v>
      </c>
      <c r="J2295" s="5">
        <v>3000000</v>
      </c>
      <c r="K2295" s="5">
        <v>10250000</v>
      </c>
      <c r="L2295" s="5">
        <v>10550000</v>
      </c>
      <c r="M2295" s="7">
        <v>2919.4</v>
      </c>
      <c r="N2295" s="5">
        <v>103000000</v>
      </c>
      <c r="O2295" s="5">
        <v>106000000</v>
      </c>
      <c r="P2295" s="3">
        <v>0.97916666666666663</v>
      </c>
    </row>
    <row r="2296" spans="1:16" x14ac:dyDescent="0.25">
      <c r="A2296" t="s">
        <v>1408</v>
      </c>
      <c r="B2296" s="2">
        <v>45708</v>
      </c>
      <c r="C2296" t="str">
        <f>TEXT(B2296,"mm")</f>
        <v>02</v>
      </c>
      <c r="D2296" t="s">
        <v>20</v>
      </c>
      <c r="E2296" t="s">
        <v>1636</v>
      </c>
      <c r="F2296" s="5">
        <v>103200000</v>
      </c>
      <c r="G2296" s="5">
        <v>106200000</v>
      </c>
      <c r="H2296" s="5">
        <f>M2296*26000*1.20565</f>
        <v>92159886.000000015</v>
      </c>
      <c r="I2296" s="5">
        <f>G2296-H2296</f>
        <v>14040113.999999985</v>
      </c>
      <c r="J2296" s="5">
        <v>3000000</v>
      </c>
      <c r="K2296" s="5">
        <v>10320000</v>
      </c>
      <c r="L2296" s="5">
        <v>10620000</v>
      </c>
      <c r="M2296" s="7">
        <v>2940</v>
      </c>
      <c r="N2296" s="5">
        <v>103700000</v>
      </c>
      <c r="O2296" s="5">
        <v>106700000</v>
      </c>
      <c r="P2296" s="3">
        <v>0.97916666666666663</v>
      </c>
    </row>
    <row r="2297" spans="1:16" x14ac:dyDescent="0.25">
      <c r="A2297" t="s">
        <v>1409</v>
      </c>
      <c r="B2297" s="2">
        <v>45709</v>
      </c>
      <c r="C2297" t="str">
        <f>TEXT(B2297,"mm")</f>
        <v>02</v>
      </c>
      <c r="D2297" t="s">
        <v>21</v>
      </c>
      <c r="E2297" t="s">
        <v>1636</v>
      </c>
      <c r="F2297" s="5">
        <v>103200000</v>
      </c>
      <c r="G2297" s="5">
        <v>106200000</v>
      </c>
      <c r="H2297" s="5">
        <f>M2297*26000*1.20565</f>
        <v>92084653.440000013</v>
      </c>
      <c r="I2297" s="5">
        <f>G2297-H2297</f>
        <v>14115346.559999987</v>
      </c>
      <c r="J2297" s="5">
        <v>3000000</v>
      </c>
      <c r="K2297" s="5">
        <v>10320000</v>
      </c>
      <c r="L2297" s="5">
        <v>10620000</v>
      </c>
      <c r="M2297" s="7">
        <v>2937.6</v>
      </c>
      <c r="N2297" s="5">
        <v>103700000</v>
      </c>
      <c r="O2297" s="5">
        <v>106700000</v>
      </c>
      <c r="P2297" s="3">
        <v>0.97916666666666663</v>
      </c>
    </row>
    <row r="2298" spans="1:16" x14ac:dyDescent="0.25">
      <c r="A2298" t="s">
        <v>1410</v>
      </c>
      <c r="B2298" s="2">
        <v>45712</v>
      </c>
      <c r="C2298" t="str">
        <f>TEXT(B2298,"mm")</f>
        <v>02</v>
      </c>
      <c r="D2298" t="s">
        <v>16</v>
      </c>
      <c r="E2298" t="s">
        <v>1636</v>
      </c>
      <c r="F2298" s="5">
        <v>103500000</v>
      </c>
      <c r="G2298" s="5">
        <v>106500000</v>
      </c>
      <c r="H2298" s="5">
        <f>M2298*26000*1.20565</f>
        <v>92407526.510000005</v>
      </c>
      <c r="I2298" s="5">
        <f>G2298-H2298</f>
        <v>14092473.489999995</v>
      </c>
      <c r="J2298" s="5">
        <v>3000000</v>
      </c>
      <c r="K2298" s="5">
        <v>10350000</v>
      </c>
      <c r="L2298" s="5">
        <v>10650000</v>
      </c>
      <c r="M2298" s="7">
        <v>2947.9</v>
      </c>
      <c r="N2298" s="5">
        <v>104000000</v>
      </c>
      <c r="O2298" s="5">
        <v>107000000</v>
      </c>
      <c r="P2298" s="3">
        <v>0.97916666666666663</v>
      </c>
    </row>
    <row r="2299" spans="1:16" x14ac:dyDescent="0.25">
      <c r="A2299" t="s">
        <v>1411</v>
      </c>
      <c r="B2299" s="2">
        <v>45713</v>
      </c>
      <c r="C2299" t="str">
        <f>TEXT(B2299,"mm")</f>
        <v>02</v>
      </c>
      <c r="D2299" t="s">
        <v>18</v>
      </c>
      <c r="E2299" t="s">
        <v>1636</v>
      </c>
      <c r="F2299" s="5">
        <v>102000000</v>
      </c>
      <c r="G2299" s="5">
        <v>105000000</v>
      </c>
      <c r="H2299" s="5">
        <f>M2299*26000*1.20565</f>
        <v>91047071.050000012</v>
      </c>
      <c r="I2299" s="5">
        <f>G2299-H2299</f>
        <v>13952928.949999988</v>
      </c>
      <c r="J2299" s="5">
        <v>3000000</v>
      </c>
      <c r="K2299" s="5">
        <v>10200000</v>
      </c>
      <c r="L2299" s="5">
        <v>10500000</v>
      </c>
      <c r="M2299" s="7">
        <v>2904.5</v>
      </c>
      <c r="N2299" s="5">
        <v>102500000</v>
      </c>
      <c r="O2299" s="5">
        <v>105500000</v>
      </c>
      <c r="P2299" s="3">
        <v>0.97916666666666663</v>
      </c>
    </row>
    <row r="2300" spans="1:16" x14ac:dyDescent="0.25">
      <c r="A2300" t="s">
        <v>1412</v>
      </c>
      <c r="B2300" s="2">
        <v>45714</v>
      </c>
      <c r="C2300" t="str">
        <f>TEXT(B2300,"mm")</f>
        <v>02</v>
      </c>
      <c r="D2300" t="s">
        <v>19</v>
      </c>
      <c r="E2300" t="s">
        <v>1636</v>
      </c>
      <c r="F2300" s="5">
        <v>102400000</v>
      </c>
      <c r="G2300" s="5">
        <v>105400000</v>
      </c>
      <c r="H2300" s="5">
        <f>M2300*26000*1.20565</f>
        <v>91432637.920000002</v>
      </c>
      <c r="I2300" s="5">
        <f>G2300-H2300</f>
        <v>13967362.079999998</v>
      </c>
      <c r="J2300" s="5">
        <v>3000000</v>
      </c>
      <c r="K2300" s="5">
        <v>10240000</v>
      </c>
      <c r="L2300" s="5">
        <v>10540000</v>
      </c>
      <c r="M2300" s="7">
        <v>2916.8</v>
      </c>
      <c r="N2300" s="5">
        <v>102900000</v>
      </c>
      <c r="O2300" s="5">
        <v>105900000</v>
      </c>
      <c r="P2300" s="3">
        <v>0.97916666666666663</v>
      </c>
    </row>
    <row r="2301" spans="1:16" x14ac:dyDescent="0.25">
      <c r="A2301" t="s">
        <v>1413</v>
      </c>
      <c r="B2301" s="2">
        <v>45715</v>
      </c>
      <c r="C2301" t="str">
        <f>TEXT(B2301,"mm")</f>
        <v>02</v>
      </c>
      <c r="D2301" t="s">
        <v>20</v>
      </c>
      <c r="E2301" t="s">
        <v>1636</v>
      </c>
      <c r="F2301" s="5">
        <v>101200000</v>
      </c>
      <c r="G2301" s="5">
        <v>104200000</v>
      </c>
      <c r="H2301" s="5">
        <f>M2301*26000*1.20565</f>
        <v>90379382.080000013</v>
      </c>
      <c r="I2301" s="5">
        <f>G2301-H2301</f>
        <v>13820617.919999987</v>
      </c>
      <c r="J2301" s="5">
        <v>3000000</v>
      </c>
      <c r="K2301" s="5">
        <v>10120000</v>
      </c>
      <c r="L2301" s="5">
        <v>10420000</v>
      </c>
      <c r="M2301" s="7">
        <v>2883.2</v>
      </c>
      <c r="N2301" s="5">
        <v>101700000</v>
      </c>
      <c r="O2301" s="5">
        <v>104700000</v>
      </c>
      <c r="P2301" s="3">
        <v>0.97916666666666663</v>
      </c>
    </row>
    <row r="2302" spans="1:16" x14ac:dyDescent="0.25">
      <c r="A2302" t="s">
        <v>1414</v>
      </c>
      <c r="B2302" s="2">
        <v>45716</v>
      </c>
      <c r="C2302" t="str">
        <f>TEXT(B2302,"mm")</f>
        <v>02</v>
      </c>
      <c r="D2302" t="s">
        <v>21</v>
      </c>
      <c r="E2302" t="s">
        <v>1636</v>
      </c>
      <c r="F2302" s="5">
        <v>99500000</v>
      </c>
      <c r="G2302" s="5">
        <v>102500000</v>
      </c>
      <c r="H2302" s="5">
        <f>M2302*26000*1.20565</f>
        <v>88924885.920000002</v>
      </c>
      <c r="I2302" s="5">
        <f>G2302-H2302</f>
        <v>13575114.079999998</v>
      </c>
      <c r="J2302" s="5">
        <v>3000000</v>
      </c>
      <c r="K2302" s="5">
        <v>9950000</v>
      </c>
      <c r="L2302" s="5">
        <v>10250000</v>
      </c>
      <c r="M2302" s="7">
        <v>2836.8</v>
      </c>
      <c r="N2302" s="5">
        <v>100000000</v>
      </c>
      <c r="O2302" s="5">
        <v>103000000</v>
      </c>
      <c r="P2302" s="3">
        <v>0.97916666666666663</v>
      </c>
    </row>
    <row r="2303" spans="1:16" x14ac:dyDescent="0.25">
      <c r="A2303" s="2">
        <v>45719</v>
      </c>
      <c r="B2303" s="2">
        <v>45719</v>
      </c>
      <c r="C2303" t="str">
        <f>TEXT(B2303,"mm")</f>
        <v>03</v>
      </c>
      <c r="D2303" t="s">
        <v>16</v>
      </c>
      <c r="E2303" t="s">
        <v>1636</v>
      </c>
      <c r="F2303" s="5">
        <v>101400000</v>
      </c>
      <c r="G2303" s="5">
        <v>104400000</v>
      </c>
      <c r="H2303" s="5">
        <f>M2303*26000*1.20565</f>
        <v>90598810.38000001</v>
      </c>
      <c r="I2303" s="5">
        <f>G2303-H2303</f>
        <v>13801189.61999999</v>
      </c>
      <c r="J2303" s="5">
        <v>3000000</v>
      </c>
      <c r="K2303" s="5">
        <v>10140000</v>
      </c>
      <c r="L2303" s="5">
        <v>10440000</v>
      </c>
      <c r="M2303" s="7">
        <v>2890.2</v>
      </c>
      <c r="N2303" s="5">
        <v>101900000</v>
      </c>
      <c r="O2303" s="5">
        <v>104900000</v>
      </c>
      <c r="P2303" s="3">
        <v>0.97916666666666663</v>
      </c>
    </row>
    <row r="2304" spans="1:16" x14ac:dyDescent="0.25">
      <c r="A2304" s="2">
        <v>45750</v>
      </c>
      <c r="B2304" s="2">
        <v>45720</v>
      </c>
      <c r="C2304" t="str">
        <f>TEXT(B2304,"mm")</f>
        <v>03</v>
      </c>
      <c r="D2304" t="s">
        <v>18</v>
      </c>
      <c r="E2304" t="s">
        <v>1636</v>
      </c>
      <c r="F2304" s="5">
        <v>102100000</v>
      </c>
      <c r="G2304" s="5">
        <v>105100000</v>
      </c>
      <c r="H2304" s="5">
        <f>M2304*26000*1.20565</f>
        <v>91206940.24000001</v>
      </c>
      <c r="I2304" s="5">
        <f>G2304-H2304</f>
        <v>13893059.75999999</v>
      </c>
      <c r="J2304" s="5">
        <v>3000000</v>
      </c>
      <c r="K2304" s="5">
        <v>10210000</v>
      </c>
      <c r="L2304" s="5">
        <v>10510000</v>
      </c>
      <c r="M2304" s="7">
        <v>2909.6</v>
      </c>
      <c r="N2304" s="5">
        <v>102600000</v>
      </c>
      <c r="O2304" s="5">
        <v>105600000</v>
      </c>
      <c r="P2304" s="3">
        <v>0.97916666666666663</v>
      </c>
    </row>
    <row r="2305" spans="1:16" x14ac:dyDescent="0.25">
      <c r="A2305" s="2">
        <v>45780</v>
      </c>
      <c r="B2305" s="2">
        <v>45721</v>
      </c>
      <c r="C2305" t="str">
        <f>TEXT(B2305,"mm")</f>
        <v>03</v>
      </c>
      <c r="D2305" t="s">
        <v>19</v>
      </c>
      <c r="E2305" t="s">
        <v>1636</v>
      </c>
      <c r="F2305" s="5">
        <v>102300000</v>
      </c>
      <c r="G2305" s="5">
        <v>105300000</v>
      </c>
      <c r="H2305" s="5">
        <f>M2305*26000*1.20565</f>
        <v>91385617.570000008</v>
      </c>
      <c r="I2305" s="5">
        <f>G2305-H2305</f>
        <v>13914382.429999992</v>
      </c>
      <c r="J2305" s="5">
        <v>3000000</v>
      </c>
      <c r="K2305" s="5">
        <v>10230000</v>
      </c>
      <c r="L2305" s="5">
        <v>10530000</v>
      </c>
      <c r="M2305" s="7">
        <v>2915.3</v>
      </c>
      <c r="N2305" s="5">
        <v>102800000</v>
      </c>
      <c r="O2305" s="5">
        <v>105800000</v>
      </c>
      <c r="P2305" s="3">
        <v>0.97916666666666663</v>
      </c>
    </row>
    <row r="2306" spans="1:16" x14ac:dyDescent="0.25">
      <c r="A2306" s="2">
        <v>45811</v>
      </c>
      <c r="B2306" s="2">
        <v>45722</v>
      </c>
      <c r="C2306" t="str">
        <f>TEXT(B2306,"mm")</f>
        <v>03</v>
      </c>
      <c r="D2306" t="s">
        <v>20</v>
      </c>
      <c r="E2306" t="s">
        <v>1636</v>
      </c>
      <c r="F2306" s="5">
        <v>102400000</v>
      </c>
      <c r="G2306" s="5">
        <v>105400000</v>
      </c>
      <c r="H2306" s="5">
        <f>M2306*26000*1.20565</f>
        <v>91426368.540000007</v>
      </c>
      <c r="I2306" s="5">
        <f>G2306-H2306</f>
        <v>13973631.459999993</v>
      </c>
      <c r="J2306" s="5">
        <v>3000000</v>
      </c>
      <c r="K2306" s="5">
        <v>10240000</v>
      </c>
      <c r="L2306" s="5">
        <v>10540000</v>
      </c>
      <c r="M2306" s="7">
        <v>2916.6</v>
      </c>
      <c r="N2306" s="5">
        <v>102900000</v>
      </c>
      <c r="O2306" s="5">
        <v>105900000</v>
      </c>
      <c r="P2306" s="3">
        <v>0.97916666666666663</v>
      </c>
    </row>
    <row r="2307" spans="1:16" x14ac:dyDescent="0.25">
      <c r="A2307" s="2">
        <v>45841</v>
      </c>
      <c r="B2307" s="2">
        <v>45723</v>
      </c>
      <c r="C2307" t="str">
        <f>TEXT(B2307,"mm")</f>
        <v>03</v>
      </c>
      <c r="D2307" t="s">
        <v>21</v>
      </c>
      <c r="E2307" t="s">
        <v>1636</v>
      </c>
      <c r="F2307" s="5">
        <v>102000000</v>
      </c>
      <c r="G2307" s="5">
        <v>105000000</v>
      </c>
      <c r="H2307" s="5">
        <f>M2307*26000*1.20565</f>
        <v>91053340.430000007</v>
      </c>
      <c r="I2307" s="5">
        <f>G2307-H2307</f>
        <v>13946659.569999993</v>
      </c>
      <c r="J2307" s="5">
        <v>3000000</v>
      </c>
      <c r="K2307" s="5">
        <v>10200000</v>
      </c>
      <c r="L2307" s="5">
        <v>10500000</v>
      </c>
      <c r="M2307" s="7">
        <v>2904.7</v>
      </c>
      <c r="N2307" s="5">
        <v>102500000</v>
      </c>
      <c r="O2307" s="5">
        <v>105500000</v>
      </c>
      <c r="P2307" s="3">
        <v>0.97916666666666663</v>
      </c>
    </row>
    <row r="2308" spans="1:16" x14ac:dyDescent="0.25">
      <c r="A2308" s="2">
        <v>45933</v>
      </c>
      <c r="B2308" s="2">
        <v>45726</v>
      </c>
      <c r="C2308" t="str">
        <f>TEXT(B2308,"mm")</f>
        <v>03</v>
      </c>
      <c r="D2308" t="s">
        <v>16</v>
      </c>
      <c r="E2308" t="s">
        <v>1636</v>
      </c>
      <c r="F2308" s="5">
        <v>101500000</v>
      </c>
      <c r="G2308" s="5">
        <v>104500000</v>
      </c>
      <c r="H2308" s="5">
        <f>M2308*26000*1.20565</f>
        <v>90623887.900000006</v>
      </c>
      <c r="I2308" s="5">
        <f>G2308-H2308</f>
        <v>13876112.099999994</v>
      </c>
      <c r="J2308" s="5">
        <v>3000000</v>
      </c>
      <c r="K2308" s="5">
        <v>10150000</v>
      </c>
      <c r="L2308" s="5">
        <v>10450000</v>
      </c>
      <c r="M2308" s="7">
        <v>2891</v>
      </c>
      <c r="N2308" s="5">
        <v>102000000</v>
      </c>
      <c r="O2308" s="5">
        <v>105000000</v>
      </c>
      <c r="P2308" s="3">
        <v>0.97916666666666663</v>
      </c>
    </row>
    <row r="2309" spans="1:16" x14ac:dyDescent="0.25">
      <c r="A2309" s="2">
        <v>45964</v>
      </c>
      <c r="B2309" s="2">
        <v>45727</v>
      </c>
      <c r="C2309" t="str">
        <f>TEXT(B2309,"mm")</f>
        <v>03</v>
      </c>
      <c r="D2309" t="s">
        <v>18</v>
      </c>
      <c r="E2309" t="s">
        <v>1636</v>
      </c>
      <c r="F2309" s="5">
        <v>102300000</v>
      </c>
      <c r="G2309" s="5">
        <v>105300000</v>
      </c>
      <c r="H2309" s="5">
        <f>M2309*26000*1.20565</f>
        <v>91310385.010000005</v>
      </c>
      <c r="I2309" s="5">
        <f>G2309-H2309</f>
        <v>13989614.989999995</v>
      </c>
      <c r="J2309" s="5">
        <v>3000000</v>
      </c>
      <c r="K2309" s="5">
        <v>10230000</v>
      </c>
      <c r="L2309" s="5">
        <v>10530000</v>
      </c>
      <c r="M2309" s="7">
        <v>2912.9</v>
      </c>
      <c r="N2309" s="5">
        <v>102800000</v>
      </c>
      <c r="O2309" s="5">
        <v>105800000</v>
      </c>
      <c r="P2309" s="3">
        <v>0.97916666666666663</v>
      </c>
    </row>
    <row r="2310" spans="1:16" x14ac:dyDescent="0.25">
      <c r="A2310" s="2">
        <v>45994</v>
      </c>
      <c r="B2310" s="2">
        <v>45728</v>
      </c>
      <c r="C2310" t="str">
        <f>TEXT(B2310,"mm")</f>
        <v>03</v>
      </c>
      <c r="D2310" t="s">
        <v>19</v>
      </c>
      <c r="E2310" t="s">
        <v>1636</v>
      </c>
      <c r="F2310" s="5">
        <v>103200000</v>
      </c>
      <c r="G2310" s="5">
        <v>106200000</v>
      </c>
      <c r="H2310" s="5">
        <f>M2310*26000*1.20565</f>
        <v>92131673.790000007</v>
      </c>
      <c r="I2310" s="5">
        <f>G2310-H2310</f>
        <v>14068326.209999993</v>
      </c>
      <c r="J2310" s="5">
        <v>3000000</v>
      </c>
      <c r="K2310" s="5">
        <v>10320000</v>
      </c>
      <c r="L2310" s="5">
        <v>10620000</v>
      </c>
      <c r="M2310" s="7">
        <v>2939.1</v>
      </c>
      <c r="N2310" s="5">
        <v>103700000</v>
      </c>
      <c r="O2310" s="5">
        <v>106700000</v>
      </c>
      <c r="P2310" s="3">
        <v>0.97916666666666663</v>
      </c>
    </row>
    <row r="2311" spans="1:16" x14ac:dyDescent="0.25">
      <c r="A2311" t="s">
        <v>1415</v>
      </c>
      <c r="B2311" s="2">
        <v>45729</v>
      </c>
      <c r="C2311" t="str">
        <f>TEXT(B2311,"mm")</f>
        <v>03</v>
      </c>
      <c r="D2311" t="s">
        <v>20</v>
      </c>
      <c r="E2311" t="s">
        <v>1636</v>
      </c>
      <c r="F2311" s="5">
        <v>104800000</v>
      </c>
      <c r="G2311" s="5">
        <v>107800000</v>
      </c>
      <c r="H2311" s="5">
        <f>M2311*26000*1.20565</f>
        <v>93548553.670000002</v>
      </c>
      <c r="I2311" s="5">
        <f>G2311-H2311</f>
        <v>14251446.329999998</v>
      </c>
      <c r="J2311" s="5">
        <v>3000000</v>
      </c>
      <c r="K2311" s="5">
        <v>10480000</v>
      </c>
      <c r="L2311" s="5">
        <v>10780000</v>
      </c>
      <c r="M2311" s="7">
        <v>2984.3</v>
      </c>
      <c r="N2311" s="5">
        <v>105300000</v>
      </c>
      <c r="O2311" s="5">
        <v>108300000</v>
      </c>
      <c r="P2311" s="3">
        <v>0.97916666666666663</v>
      </c>
    </row>
    <row r="2312" spans="1:16" x14ac:dyDescent="0.25">
      <c r="A2312" t="s">
        <v>1416</v>
      </c>
      <c r="B2312" s="2">
        <v>45730</v>
      </c>
      <c r="C2312" t="str">
        <f>TEXT(B2312,"mm")</f>
        <v>03</v>
      </c>
      <c r="D2312" t="s">
        <v>21</v>
      </c>
      <c r="E2312" t="s">
        <v>1636</v>
      </c>
      <c r="F2312" s="5">
        <v>105200000</v>
      </c>
      <c r="G2312" s="5">
        <v>108200000</v>
      </c>
      <c r="H2312" s="5">
        <f>M2312*26000*1.20565</f>
        <v>93868292.050000012</v>
      </c>
      <c r="I2312" s="5">
        <f>G2312-H2312</f>
        <v>14331707.949999988</v>
      </c>
      <c r="J2312" s="5">
        <v>3000000</v>
      </c>
      <c r="K2312" s="5">
        <v>10520000</v>
      </c>
      <c r="L2312" s="5">
        <v>10820000</v>
      </c>
      <c r="M2312" s="7">
        <v>2994.5</v>
      </c>
      <c r="N2312" s="5">
        <v>105700000</v>
      </c>
      <c r="O2312" s="5">
        <v>108700000</v>
      </c>
      <c r="P2312" s="3">
        <v>0.97916666666666663</v>
      </c>
    </row>
    <row r="2313" spans="1:16" x14ac:dyDescent="0.25">
      <c r="A2313" t="s">
        <v>1417</v>
      </c>
      <c r="B2313" s="2">
        <v>45733</v>
      </c>
      <c r="C2313" t="str">
        <f>TEXT(B2313,"mm")</f>
        <v>03</v>
      </c>
      <c r="D2313" t="s">
        <v>16</v>
      </c>
      <c r="E2313" t="s">
        <v>1636</v>
      </c>
      <c r="F2313" s="5">
        <v>105400000</v>
      </c>
      <c r="G2313" s="5">
        <v>108400000</v>
      </c>
      <c r="H2313" s="5">
        <f>M2313*26000*1.20565</f>
        <v>94040700.000000015</v>
      </c>
      <c r="I2313" s="5">
        <f>G2313-H2313</f>
        <v>14359299.999999985</v>
      </c>
      <c r="J2313" s="5">
        <v>3000000</v>
      </c>
      <c r="K2313" s="5">
        <v>10540000</v>
      </c>
      <c r="L2313" s="5">
        <v>10840000</v>
      </c>
      <c r="M2313" s="7">
        <v>3000</v>
      </c>
      <c r="N2313" s="5">
        <v>105900000</v>
      </c>
      <c r="O2313" s="5">
        <v>108900000</v>
      </c>
      <c r="P2313" s="3">
        <v>0.97916666666666663</v>
      </c>
    </row>
    <row r="2314" spans="1:16" x14ac:dyDescent="0.25">
      <c r="A2314" t="s">
        <v>1418</v>
      </c>
      <c r="B2314" s="2">
        <v>45734</v>
      </c>
      <c r="C2314" t="str">
        <f>TEXT(B2314,"mm")</f>
        <v>03</v>
      </c>
      <c r="D2314" t="s">
        <v>18</v>
      </c>
      <c r="E2314" t="s">
        <v>1636</v>
      </c>
      <c r="F2314" s="5">
        <v>106700000</v>
      </c>
      <c r="G2314" s="5">
        <v>109700000</v>
      </c>
      <c r="H2314" s="5">
        <f>M2314*26000*1.20565</f>
        <v>95140976.190000013</v>
      </c>
      <c r="I2314" s="5">
        <f>G2314-H2314</f>
        <v>14559023.809999987</v>
      </c>
      <c r="J2314" s="5">
        <v>3000000</v>
      </c>
      <c r="K2314" s="5">
        <v>10670000</v>
      </c>
      <c r="L2314" s="5">
        <v>10970000</v>
      </c>
      <c r="M2314" s="7">
        <v>3035.1</v>
      </c>
      <c r="N2314" s="5">
        <v>107200000</v>
      </c>
      <c r="O2314" s="5">
        <v>110200000</v>
      </c>
      <c r="P2314" s="3">
        <v>0.97916666666666663</v>
      </c>
    </row>
    <row r="2315" spans="1:16" x14ac:dyDescent="0.25">
      <c r="A2315" t="s">
        <v>1419</v>
      </c>
      <c r="B2315" s="2">
        <v>45735</v>
      </c>
      <c r="C2315" t="str">
        <f>TEXT(B2315,"mm")</f>
        <v>03</v>
      </c>
      <c r="D2315" t="s">
        <v>19</v>
      </c>
      <c r="E2315" t="s">
        <v>1636</v>
      </c>
      <c r="F2315" s="5">
        <v>106700000</v>
      </c>
      <c r="G2315" s="5">
        <v>109700000</v>
      </c>
      <c r="H2315" s="5">
        <f>M2315*26000*1.20565</f>
        <v>95166053.710000008</v>
      </c>
      <c r="I2315" s="5">
        <f>G2315-H2315</f>
        <v>14533946.289999992</v>
      </c>
      <c r="J2315" s="5">
        <v>3000000</v>
      </c>
      <c r="K2315" s="5">
        <v>10670000</v>
      </c>
      <c r="L2315" s="5">
        <v>10970000</v>
      </c>
      <c r="M2315" s="7">
        <v>3035.9</v>
      </c>
      <c r="N2315" s="5">
        <v>107200000</v>
      </c>
      <c r="O2315" s="5">
        <v>110200000</v>
      </c>
      <c r="P2315" s="3">
        <v>0.97916666666666663</v>
      </c>
    </row>
    <row r="2316" spans="1:16" x14ac:dyDescent="0.25">
      <c r="A2316" t="s">
        <v>1420</v>
      </c>
      <c r="B2316" s="2">
        <v>45736</v>
      </c>
      <c r="C2316" t="str">
        <f>TEXT(B2316,"mm")</f>
        <v>03</v>
      </c>
      <c r="D2316" t="s">
        <v>20</v>
      </c>
      <c r="E2316" t="s">
        <v>1636</v>
      </c>
      <c r="F2316" s="5">
        <v>106900000</v>
      </c>
      <c r="G2316" s="5">
        <v>109900000</v>
      </c>
      <c r="H2316" s="5">
        <f>M2316*26000*1.20565</f>
        <v>95294576.000000015</v>
      </c>
      <c r="I2316" s="5">
        <f>G2316-H2316</f>
        <v>14605423.999999985</v>
      </c>
      <c r="J2316" s="5">
        <v>3000000</v>
      </c>
      <c r="K2316" s="5">
        <v>10690000</v>
      </c>
      <c r="L2316" s="5">
        <v>10990000</v>
      </c>
      <c r="M2316" s="7">
        <v>3040</v>
      </c>
      <c r="N2316" s="5">
        <v>107400000</v>
      </c>
      <c r="O2316" s="5">
        <v>110400000</v>
      </c>
      <c r="P2316" s="3">
        <v>0.97916666666666663</v>
      </c>
    </row>
    <row r="2317" spans="1:16" x14ac:dyDescent="0.25">
      <c r="A2317" t="s">
        <v>1421</v>
      </c>
      <c r="B2317" s="2">
        <v>45737</v>
      </c>
      <c r="C2317" t="str">
        <f>TEXT(B2317,"mm")</f>
        <v>03</v>
      </c>
      <c r="D2317" t="s">
        <v>21</v>
      </c>
      <c r="E2317" t="s">
        <v>1636</v>
      </c>
      <c r="F2317" s="5">
        <v>106100000</v>
      </c>
      <c r="G2317" s="5">
        <v>109100000</v>
      </c>
      <c r="H2317" s="5">
        <f>M2317*26000*1.20565</f>
        <v>94611213.580000013</v>
      </c>
      <c r="I2317" s="5">
        <f>G2317-H2317</f>
        <v>14488786.419999987</v>
      </c>
      <c r="J2317" s="5">
        <v>3000000</v>
      </c>
      <c r="K2317" s="5">
        <v>10610000</v>
      </c>
      <c r="L2317" s="5">
        <v>10910000</v>
      </c>
      <c r="M2317" s="7">
        <v>3018.2</v>
      </c>
      <c r="N2317" s="5">
        <v>106600000</v>
      </c>
      <c r="O2317" s="5">
        <v>109600000</v>
      </c>
      <c r="P2317" s="3">
        <v>0.97916666666666663</v>
      </c>
    </row>
    <row r="2318" spans="1:16" x14ac:dyDescent="0.25">
      <c r="A2318" t="s">
        <v>1422</v>
      </c>
      <c r="B2318" s="2">
        <v>45740</v>
      </c>
      <c r="C2318" t="str">
        <f>TEXT(B2318,"mm")</f>
        <v>03</v>
      </c>
      <c r="D2318" t="s">
        <v>16</v>
      </c>
      <c r="E2318" t="s">
        <v>1636</v>
      </c>
      <c r="F2318" s="5">
        <v>105900000</v>
      </c>
      <c r="G2318" s="5">
        <v>108900000</v>
      </c>
      <c r="H2318" s="5">
        <f>M2318*26000*1.20565</f>
        <v>94451344.390000015</v>
      </c>
      <c r="I2318" s="5">
        <f>G2318-H2318</f>
        <v>14448655.609999985</v>
      </c>
      <c r="J2318" s="5">
        <v>3000000</v>
      </c>
      <c r="K2318" s="5">
        <v>10590000</v>
      </c>
      <c r="L2318" s="5">
        <v>10890000</v>
      </c>
      <c r="M2318" s="7">
        <v>3013.1</v>
      </c>
      <c r="N2318" s="5">
        <v>106400000</v>
      </c>
      <c r="O2318" s="5">
        <v>109400000</v>
      </c>
      <c r="P2318" s="3">
        <v>0.97916666666666663</v>
      </c>
    </row>
    <row r="2319" spans="1:16" x14ac:dyDescent="0.25">
      <c r="A2319" t="s">
        <v>1423</v>
      </c>
      <c r="B2319" s="2">
        <v>45741</v>
      </c>
      <c r="C2319" t="str">
        <f>TEXT(B2319,"mm")</f>
        <v>03</v>
      </c>
      <c r="D2319" t="s">
        <v>18</v>
      </c>
      <c r="E2319" t="s">
        <v>1636</v>
      </c>
      <c r="F2319" s="5">
        <v>106300000</v>
      </c>
      <c r="G2319" s="5">
        <v>109300000</v>
      </c>
      <c r="H2319" s="5">
        <f>M2319*26000*1.20565</f>
        <v>94783621.530000016</v>
      </c>
      <c r="I2319" s="5">
        <f>G2319-H2319</f>
        <v>14516378.469999984</v>
      </c>
      <c r="J2319" s="5">
        <v>3000000</v>
      </c>
      <c r="K2319" s="5">
        <v>10630000</v>
      </c>
      <c r="L2319" s="5">
        <v>10930000</v>
      </c>
      <c r="M2319" s="7">
        <v>3023.7</v>
      </c>
      <c r="N2319" s="5">
        <v>106800000</v>
      </c>
      <c r="O2319" s="5">
        <v>109800000</v>
      </c>
      <c r="P2319" s="3">
        <v>0.97916666666666663</v>
      </c>
    </row>
    <row r="2320" spans="1:16" x14ac:dyDescent="0.25">
      <c r="A2320" t="s">
        <v>1424</v>
      </c>
      <c r="B2320" s="2">
        <v>45742</v>
      </c>
      <c r="C2320" t="str">
        <f>TEXT(B2320,"mm")</f>
        <v>03</v>
      </c>
      <c r="D2320" t="s">
        <v>19</v>
      </c>
      <c r="E2320" t="s">
        <v>1636</v>
      </c>
      <c r="F2320" s="5">
        <v>106200000</v>
      </c>
      <c r="G2320" s="5">
        <v>109200000</v>
      </c>
      <c r="H2320" s="5">
        <f>M2320*26000*1.20565</f>
        <v>94695850.210000008</v>
      </c>
      <c r="I2320" s="5">
        <f>G2320-H2320</f>
        <v>14504149.789999992</v>
      </c>
      <c r="J2320" s="5">
        <v>3000000</v>
      </c>
      <c r="K2320" s="5">
        <v>10620000</v>
      </c>
      <c r="L2320" s="5">
        <v>10920000</v>
      </c>
      <c r="M2320" s="7">
        <v>3020.9</v>
      </c>
      <c r="N2320" s="5">
        <v>106700000</v>
      </c>
      <c r="O2320" s="5">
        <v>109700000</v>
      </c>
      <c r="P2320" s="3">
        <v>0.97916666666666663</v>
      </c>
    </row>
    <row r="2321" spans="1:16" x14ac:dyDescent="0.25">
      <c r="A2321" t="s">
        <v>1425</v>
      </c>
      <c r="B2321" s="2">
        <v>45743</v>
      </c>
      <c r="C2321" t="str">
        <f>TEXT(B2321,"mm")</f>
        <v>03</v>
      </c>
      <c r="D2321" t="s">
        <v>20</v>
      </c>
      <c r="E2321" t="s">
        <v>1636</v>
      </c>
      <c r="F2321" s="5">
        <v>107600000</v>
      </c>
      <c r="G2321" s="5">
        <v>110600000</v>
      </c>
      <c r="H2321" s="5">
        <f>M2321*26000*1.20565</f>
        <v>95927783.38000001</v>
      </c>
      <c r="I2321" s="5">
        <f>G2321-H2321</f>
        <v>14672216.61999999</v>
      </c>
      <c r="J2321" s="5">
        <v>3000000</v>
      </c>
      <c r="K2321" s="5">
        <v>10760000</v>
      </c>
      <c r="L2321" s="5">
        <v>11060000</v>
      </c>
      <c r="M2321" s="7">
        <v>3060.2</v>
      </c>
      <c r="N2321" s="5">
        <v>108100000</v>
      </c>
      <c r="O2321" s="5">
        <v>111100000</v>
      </c>
      <c r="P2321" s="3">
        <v>0.97916666666666663</v>
      </c>
    </row>
    <row r="2322" spans="1:16" x14ac:dyDescent="0.25">
      <c r="A2322" t="s">
        <v>1426</v>
      </c>
      <c r="B2322" s="2">
        <v>45744</v>
      </c>
      <c r="C2322" t="str">
        <f>TEXT(B2322,"mm")</f>
        <v>03</v>
      </c>
      <c r="D2322" t="s">
        <v>21</v>
      </c>
      <c r="E2322" t="s">
        <v>1636</v>
      </c>
      <c r="F2322" s="5">
        <v>108500000</v>
      </c>
      <c r="G2322" s="5">
        <v>111500000</v>
      </c>
      <c r="H2322" s="5">
        <f>M2322*26000*1.20565</f>
        <v>96752206.850000009</v>
      </c>
      <c r="I2322" s="5">
        <f>G2322-H2322</f>
        <v>14747793.149999991</v>
      </c>
      <c r="J2322" s="5">
        <v>3000000</v>
      </c>
      <c r="K2322" s="5">
        <v>10850000</v>
      </c>
      <c r="L2322" s="5">
        <v>11150000</v>
      </c>
      <c r="M2322" s="7">
        <v>3086.5</v>
      </c>
      <c r="N2322" s="5">
        <v>109000000</v>
      </c>
      <c r="O2322" s="5">
        <v>112000000</v>
      </c>
      <c r="P2322" s="3">
        <v>0.97916666666666663</v>
      </c>
    </row>
    <row r="2323" spans="1:16" x14ac:dyDescent="0.25">
      <c r="A2323" t="s">
        <v>1427</v>
      </c>
      <c r="B2323" s="2">
        <v>45747</v>
      </c>
      <c r="C2323" t="str">
        <f>TEXT(B2323,"mm")</f>
        <v>03</v>
      </c>
      <c r="D2323" t="s">
        <v>16</v>
      </c>
      <c r="E2323" t="s">
        <v>1636</v>
      </c>
      <c r="F2323" s="5">
        <v>109800000</v>
      </c>
      <c r="G2323" s="5">
        <v>112800000</v>
      </c>
      <c r="H2323" s="5">
        <f>M2323*26000*1.20565</f>
        <v>97890099.320000008</v>
      </c>
      <c r="I2323" s="5">
        <f>G2323-H2323</f>
        <v>14909900.679999992</v>
      </c>
      <c r="J2323" s="5">
        <v>3000000</v>
      </c>
      <c r="K2323" s="5">
        <v>10980000</v>
      </c>
      <c r="L2323" s="5">
        <v>11280000</v>
      </c>
      <c r="M2323" s="7">
        <v>3122.8</v>
      </c>
      <c r="N2323" s="5">
        <v>110300000</v>
      </c>
      <c r="O2323" s="5">
        <v>113300000</v>
      </c>
      <c r="P2323" s="3">
        <v>0.97916666666666663</v>
      </c>
    </row>
    <row r="2324" spans="1:16" x14ac:dyDescent="0.25">
      <c r="A2324" s="2">
        <v>45661</v>
      </c>
      <c r="B2324" s="2">
        <v>45748</v>
      </c>
      <c r="C2324" t="str">
        <f>TEXT(B2324,"mm")</f>
        <v>04</v>
      </c>
      <c r="D2324" t="s">
        <v>18</v>
      </c>
      <c r="E2324" t="s">
        <v>1636</v>
      </c>
      <c r="F2324" s="5">
        <v>109700000</v>
      </c>
      <c r="G2324" s="5">
        <v>112700000</v>
      </c>
      <c r="H2324" s="5">
        <f>M2324*26000*1.20565</f>
        <v>97767846.410000011</v>
      </c>
      <c r="I2324" s="5">
        <f>G2324-H2324</f>
        <v>14932153.589999989</v>
      </c>
      <c r="J2324" s="5">
        <v>3000000</v>
      </c>
      <c r="K2324" s="5">
        <v>10970000</v>
      </c>
      <c r="L2324" s="5">
        <v>11270000</v>
      </c>
      <c r="M2324" s="7">
        <v>3118.9</v>
      </c>
      <c r="N2324" s="5">
        <v>110200000</v>
      </c>
      <c r="O2324" s="5">
        <v>113200000</v>
      </c>
      <c r="P2324" s="3">
        <v>0.97916666666666663</v>
      </c>
    </row>
    <row r="2325" spans="1:16" x14ac:dyDescent="0.25">
      <c r="A2325" s="2">
        <v>45692</v>
      </c>
      <c r="B2325" s="2">
        <v>45749</v>
      </c>
      <c r="C2325" t="str">
        <f>TEXT(B2325,"mm")</f>
        <v>04</v>
      </c>
      <c r="D2325" t="s">
        <v>19</v>
      </c>
      <c r="E2325" t="s">
        <v>1636</v>
      </c>
      <c r="F2325" s="5">
        <v>110500000</v>
      </c>
      <c r="G2325" s="5">
        <v>113500000</v>
      </c>
      <c r="H2325" s="5">
        <f>M2325*26000*1.20565</f>
        <v>98426131.310000002</v>
      </c>
      <c r="I2325" s="5">
        <f>G2325-H2325</f>
        <v>15073868.689999998</v>
      </c>
      <c r="J2325" s="5">
        <v>3000000</v>
      </c>
      <c r="K2325" s="5">
        <v>11050000</v>
      </c>
      <c r="L2325" s="5">
        <v>11350000</v>
      </c>
      <c r="M2325" s="7">
        <v>3139.9</v>
      </c>
      <c r="N2325" s="5">
        <v>111000000</v>
      </c>
      <c r="O2325" s="5">
        <v>114000000</v>
      </c>
      <c r="P2325" s="3">
        <v>0.97916666666666663</v>
      </c>
    </row>
    <row r="2326" spans="1:16" x14ac:dyDescent="0.25">
      <c r="A2326" s="2">
        <v>45720</v>
      </c>
      <c r="B2326" s="2">
        <v>45750</v>
      </c>
      <c r="C2326" t="str">
        <f>TEXT(B2326,"mm")</f>
        <v>04</v>
      </c>
      <c r="D2326" t="s">
        <v>20</v>
      </c>
      <c r="E2326" t="s">
        <v>1636</v>
      </c>
      <c r="F2326" s="5">
        <v>108900000</v>
      </c>
      <c r="G2326" s="5">
        <v>111900000</v>
      </c>
      <c r="H2326" s="5">
        <f>M2326*26000*1.20565</f>
        <v>97081349.300000012</v>
      </c>
      <c r="I2326" s="5">
        <f>G2326-H2326</f>
        <v>14818650.699999988</v>
      </c>
      <c r="J2326" s="5">
        <v>3000000</v>
      </c>
      <c r="K2326" s="5">
        <v>10890000</v>
      </c>
      <c r="L2326" s="5">
        <v>11190000</v>
      </c>
      <c r="M2326" s="7">
        <v>3097</v>
      </c>
      <c r="N2326" s="5">
        <v>109400000</v>
      </c>
      <c r="O2326" s="5">
        <v>112400000</v>
      </c>
      <c r="P2326" s="3">
        <v>0.97916666666666663</v>
      </c>
    </row>
    <row r="2327" spans="1:16" x14ac:dyDescent="0.25">
      <c r="A2327" s="2">
        <v>45751</v>
      </c>
      <c r="B2327" s="2">
        <v>45751</v>
      </c>
      <c r="C2327" t="str">
        <f>TEXT(B2327,"mm")</f>
        <v>04</v>
      </c>
      <c r="D2327" t="s">
        <v>21</v>
      </c>
      <c r="E2327" t="s">
        <v>1636</v>
      </c>
      <c r="F2327" s="5">
        <v>105800000</v>
      </c>
      <c r="G2327" s="5">
        <v>108800000</v>
      </c>
      <c r="H2327" s="5">
        <f>M2327*26000*1.20565</f>
        <v>94416862.800000012</v>
      </c>
      <c r="I2327" s="5">
        <f>G2327-H2327</f>
        <v>14383137.199999988</v>
      </c>
      <c r="J2327" s="5">
        <v>3000000</v>
      </c>
      <c r="K2327" s="5">
        <v>10580000</v>
      </c>
      <c r="L2327" s="5">
        <v>10880000</v>
      </c>
      <c r="M2327" s="7">
        <v>3012</v>
      </c>
      <c r="N2327" s="5">
        <v>106300000</v>
      </c>
      <c r="O2327" s="5">
        <v>109300000</v>
      </c>
      <c r="P2327" s="3">
        <v>0.97916666666666663</v>
      </c>
    </row>
    <row r="2328" spans="1:16" x14ac:dyDescent="0.25">
      <c r="A2328" s="2">
        <v>45842</v>
      </c>
      <c r="B2328" s="2">
        <v>45754</v>
      </c>
      <c r="C2328" t="str">
        <f>TEXT(B2328,"mm")</f>
        <v>04</v>
      </c>
      <c r="D2328" t="s">
        <v>16</v>
      </c>
      <c r="E2328" t="s">
        <v>1636</v>
      </c>
      <c r="F2328" s="5">
        <v>103600000</v>
      </c>
      <c r="G2328" s="5">
        <v>106600000</v>
      </c>
      <c r="H2328" s="5">
        <f>M2328*26000*1.20565</f>
        <v>92514105.970000014</v>
      </c>
      <c r="I2328" s="5">
        <f>G2328-H2328</f>
        <v>14085894.029999986</v>
      </c>
      <c r="J2328" s="5">
        <v>3000000</v>
      </c>
      <c r="K2328" s="5">
        <v>10360000</v>
      </c>
      <c r="L2328" s="5">
        <v>10660000</v>
      </c>
      <c r="M2328" s="7">
        <v>2951.3</v>
      </c>
      <c r="N2328" s="5">
        <v>104100000</v>
      </c>
      <c r="O2328" s="5">
        <v>107100000</v>
      </c>
      <c r="P2328" s="3">
        <v>0.97916666666666663</v>
      </c>
    </row>
    <row r="2329" spans="1:16" x14ac:dyDescent="0.25">
      <c r="A2329" s="2">
        <v>45873</v>
      </c>
      <c r="B2329" s="2">
        <v>45755</v>
      </c>
      <c r="C2329" t="str">
        <f>TEXT(B2329,"mm")</f>
        <v>04</v>
      </c>
      <c r="D2329" t="s">
        <v>18</v>
      </c>
      <c r="E2329" t="s">
        <v>1636</v>
      </c>
      <c r="F2329" s="5">
        <v>104300000</v>
      </c>
      <c r="G2329" s="5">
        <v>107300000</v>
      </c>
      <c r="H2329" s="5">
        <f>M2329*26000*1.20565</f>
        <v>93050137.960000008</v>
      </c>
      <c r="I2329" s="5">
        <f>G2329-H2329</f>
        <v>14249862.039999992</v>
      </c>
      <c r="J2329" s="5">
        <v>3000000</v>
      </c>
      <c r="K2329" s="5">
        <v>10430000</v>
      </c>
      <c r="L2329" s="5">
        <v>10730000</v>
      </c>
      <c r="M2329" s="7">
        <v>2968.4</v>
      </c>
      <c r="N2329" s="5">
        <v>104800000</v>
      </c>
      <c r="O2329" s="5">
        <v>107800000</v>
      </c>
      <c r="P2329" s="3">
        <v>0.97916666666666663</v>
      </c>
    </row>
    <row r="2330" spans="1:16" x14ac:dyDescent="0.25">
      <c r="A2330" s="2">
        <v>45904</v>
      </c>
      <c r="B2330" s="2">
        <v>45756</v>
      </c>
      <c r="C2330" t="str">
        <f>TEXT(B2330,"mm")</f>
        <v>04</v>
      </c>
      <c r="D2330" t="s">
        <v>19</v>
      </c>
      <c r="E2330" t="s">
        <v>1636</v>
      </c>
      <c r="F2330" s="5">
        <v>107400000</v>
      </c>
      <c r="G2330" s="5">
        <v>110400000</v>
      </c>
      <c r="H2330" s="5">
        <f>M2330*26000*1.20565</f>
        <v>95811799.850000009</v>
      </c>
      <c r="I2330" s="5">
        <f>G2330-H2330</f>
        <v>14588200.149999991</v>
      </c>
      <c r="J2330" s="5">
        <v>3000000</v>
      </c>
      <c r="K2330" s="5">
        <v>10740000</v>
      </c>
      <c r="L2330" s="5">
        <v>11040000</v>
      </c>
      <c r="M2330" s="7">
        <v>3056.5</v>
      </c>
      <c r="N2330" s="5">
        <v>107900000</v>
      </c>
      <c r="O2330" s="5">
        <v>110900000</v>
      </c>
      <c r="P2330" s="3">
        <v>0.97916666666666663</v>
      </c>
    </row>
    <row r="2331" spans="1:16" x14ac:dyDescent="0.25">
      <c r="A2331" s="2">
        <v>45934</v>
      </c>
      <c r="B2331" s="2">
        <v>45757</v>
      </c>
      <c r="C2331" t="str">
        <f>TEXT(B2331,"mm")</f>
        <v>04</v>
      </c>
      <c r="D2331" t="s">
        <v>20</v>
      </c>
      <c r="E2331" t="s">
        <v>1636</v>
      </c>
      <c r="F2331" s="5">
        <v>111000000</v>
      </c>
      <c r="G2331" s="5">
        <v>114000000</v>
      </c>
      <c r="H2331" s="5">
        <f>M2331*26000*1.20565</f>
        <v>98905738.88000001</v>
      </c>
      <c r="I2331" s="5">
        <f>G2331-H2331</f>
        <v>15094261.11999999</v>
      </c>
      <c r="J2331" s="5">
        <v>3000000</v>
      </c>
      <c r="K2331" s="5">
        <v>11100000</v>
      </c>
      <c r="L2331" s="5">
        <v>11400000</v>
      </c>
      <c r="M2331" s="7">
        <v>3155.2</v>
      </c>
      <c r="N2331" s="5">
        <v>111500000</v>
      </c>
      <c r="O2331" s="5">
        <v>114500000</v>
      </c>
      <c r="P2331" s="3">
        <v>0.97916666666666663</v>
      </c>
    </row>
    <row r="2332" spans="1:16" x14ac:dyDescent="0.25">
      <c r="A2332" s="2">
        <v>45965</v>
      </c>
      <c r="B2332" s="2">
        <v>45758</v>
      </c>
      <c r="C2332" t="str">
        <f>TEXT(B2332,"mm")</f>
        <v>04</v>
      </c>
      <c r="D2332" t="s">
        <v>21</v>
      </c>
      <c r="E2332" t="s">
        <v>1636</v>
      </c>
      <c r="F2332" s="5">
        <v>113400000</v>
      </c>
      <c r="G2332" s="5">
        <v>116400000</v>
      </c>
      <c r="H2332" s="5">
        <f>M2332*26000*1.20565</f>
        <v>101005981.18000001</v>
      </c>
      <c r="I2332" s="5">
        <f>G2332-H2332</f>
        <v>15394018.819999993</v>
      </c>
      <c r="J2332" s="5">
        <v>3000000</v>
      </c>
      <c r="K2332" s="5">
        <v>11340000</v>
      </c>
      <c r="L2332" s="5">
        <v>11640000</v>
      </c>
      <c r="M2332" s="7">
        <v>3222.2</v>
      </c>
      <c r="N2332" s="5">
        <v>113900000</v>
      </c>
      <c r="O2332" s="5">
        <v>116900000</v>
      </c>
      <c r="P2332" s="3">
        <v>0.97916666666666663</v>
      </c>
    </row>
    <row r="2333" spans="1:16" x14ac:dyDescent="0.25">
      <c r="A2333" t="s">
        <v>1428</v>
      </c>
      <c r="B2333" s="2">
        <v>45761</v>
      </c>
      <c r="C2333" t="str">
        <f>TEXT(B2333,"mm")</f>
        <v>04</v>
      </c>
      <c r="D2333" t="s">
        <v>16</v>
      </c>
      <c r="E2333" t="s">
        <v>1636</v>
      </c>
      <c r="F2333" s="5">
        <v>112800000</v>
      </c>
      <c r="G2333" s="5">
        <v>115800000</v>
      </c>
      <c r="H2333" s="5">
        <f>M2333*26000*1.20565</f>
        <v>100460545.12</v>
      </c>
      <c r="I2333" s="5">
        <f>G2333-H2333</f>
        <v>15339454.879999995</v>
      </c>
      <c r="J2333" s="5">
        <v>3000000</v>
      </c>
      <c r="K2333" s="5">
        <v>11280000</v>
      </c>
      <c r="L2333" s="5">
        <v>11580000</v>
      </c>
      <c r="M2333" s="7">
        <v>3204.8</v>
      </c>
      <c r="N2333" s="5">
        <v>113300000</v>
      </c>
      <c r="O2333" s="5">
        <v>116300000</v>
      </c>
      <c r="P2333" s="3">
        <v>0.97916666666666663</v>
      </c>
    </row>
    <row r="2334" spans="1:16" x14ac:dyDescent="0.25">
      <c r="A2334" t="s">
        <v>1429</v>
      </c>
      <c r="B2334" s="2">
        <v>45762</v>
      </c>
      <c r="C2334" t="str">
        <f>TEXT(B2334,"mm")</f>
        <v>04</v>
      </c>
      <c r="D2334" t="s">
        <v>18</v>
      </c>
      <c r="E2334" t="s">
        <v>1636</v>
      </c>
      <c r="F2334" s="5">
        <v>113300000</v>
      </c>
      <c r="G2334" s="5">
        <v>116300000</v>
      </c>
      <c r="H2334" s="5">
        <f>M2334*26000*1.20565</f>
        <v>100896267.03000002</v>
      </c>
      <c r="I2334" s="5">
        <f>G2334-H2334</f>
        <v>15403732.969999984</v>
      </c>
      <c r="J2334" s="5">
        <v>3000000</v>
      </c>
      <c r="K2334" s="5">
        <v>11330000</v>
      </c>
      <c r="L2334" s="5">
        <v>11630000</v>
      </c>
      <c r="M2334" s="7">
        <v>3218.7</v>
      </c>
      <c r="N2334" s="5">
        <v>113800000</v>
      </c>
      <c r="O2334" s="5">
        <v>116800000</v>
      </c>
      <c r="P2334" s="3">
        <v>0.97916666666666663</v>
      </c>
    </row>
    <row r="2335" spans="1:16" x14ac:dyDescent="0.25">
      <c r="A2335" t="s">
        <v>1430</v>
      </c>
      <c r="B2335" s="2">
        <v>45763</v>
      </c>
      <c r="C2335" t="str">
        <f>TEXT(B2335,"mm")</f>
        <v>04</v>
      </c>
      <c r="D2335" t="s">
        <v>19</v>
      </c>
      <c r="E2335" t="s">
        <v>1636</v>
      </c>
      <c r="F2335" s="5">
        <v>117200000</v>
      </c>
      <c r="G2335" s="5">
        <v>120200000</v>
      </c>
      <c r="H2335" s="5">
        <f>M2335*26000*1.20565</f>
        <v>104278597.54000001</v>
      </c>
      <c r="I2335" s="5">
        <f>G2335-H2335</f>
        <v>15921402.459999993</v>
      </c>
      <c r="J2335" s="5">
        <v>3000000</v>
      </c>
      <c r="K2335" s="5">
        <v>11720000</v>
      </c>
      <c r="L2335" s="5">
        <v>12020000</v>
      </c>
      <c r="M2335" s="7">
        <v>3326.6</v>
      </c>
      <c r="N2335" s="5">
        <v>117700000</v>
      </c>
      <c r="O2335" s="5">
        <v>120700000</v>
      </c>
      <c r="P2335" s="3">
        <v>0.97916666666666663</v>
      </c>
    </row>
    <row r="2336" spans="1:16" x14ac:dyDescent="0.25">
      <c r="A2336" t="s">
        <v>1431</v>
      </c>
      <c r="B2336" s="2">
        <v>45764</v>
      </c>
      <c r="C2336" t="str">
        <f>TEXT(B2336,"mm")</f>
        <v>04</v>
      </c>
      <c r="D2336" t="s">
        <v>20</v>
      </c>
      <c r="E2336" t="s">
        <v>1636</v>
      </c>
      <c r="F2336" s="5">
        <v>116600000</v>
      </c>
      <c r="G2336" s="5">
        <v>119600000</v>
      </c>
      <c r="H2336" s="5">
        <f>M2336*26000*1.20565</f>
        <v>103717488.03000002</v>
      </c>
      <c r="I2336" s="5">
        <f>G2336-H2336</f>
        <v>15882511.969999984</v>
      </c>
      <c r="J2336" s="5">
        <v>3000000</v>
      </c>
      <c r="K2336" s="5">
        <v>11660000</v>
      </c>
      <c r="L2336" s="5">
        <v>11960000</v>
      </c>
      <c r="M2336" s="7">
        <v>3308.7</v>
      </c>
      <c r="N2336" s="5">
        <v>117100000</v>
      </c>
      <c r="O2336" s="5">
        <v>120100000</v>
      </c>
      <c r="P2336" s="3">
        <v>0.97916666666666663</v>
      </c>
    </row>
    <row r="2337" spans="1:16" x14ac:dyDescent="0.25">
      <c r="A2337" t="s">
        <v>1432</v>
      </c>
      <c r="B2337" s="2">
        <v>45768</v>
      </c>
      <c r="C2337" t="str">
        <f>TEXT(B2337,"mm")</f>
        <v>04</v>
      </c>
      <c r="D2337" t="s">
        <v>16</v>
      </c>
      <c r="E2337" t="s">
        <v>1636</v>
      </c>
      <c r="F2337" s="5">
        <v>120100000</v>
      </c>
      <c r="G2337" s="5">
        <v>123100000</v>
      </c>
      <c r="H2337" s="5">
        <f>M2337*26000*1.20565</f>
        <v>106773810.78000002</v>
      </c>
      <c r="I2337" s="5">
        <f>G2337-H2337</f>
        <v>16326189.219999984</v>
      </c>
      <c r="J2337" s="5">
        <v>3000000</v>
      </c>
      <c r="K2337" s="5">
        <v>12010000</v>
      </c>
      <c r="L2337" s="5">
        <v>12310000</v>
      </c>
      <c r="M2337" s="7">
        <v>3406.2</v>
      </c>
      <c r="N2337" s="5">
        <v>120600000</v>
      </c>
      <c r="O2337" s="5">
        <v>123600000</v>
      </c>
      <c r="P2337" s="3">
        <v>0.97916666666666663</v>
      </c>
    </row>
    <row r="2338" spans="1:16" x14ac:dyDescent="0.25">
      <c r="A2338" t="s">
        <v>1433</v>
      </c>
      <c r="B2338" s="2">
        <v>45769</v>
      </c>
      <c r="C2338" t="str">
        <f>TEXT(B2338,"mm")</f>
        <v>04</v>
      </c>
      <c r="D2338" t="s">
        <v>18</v>
      </c>
      <c r="E2338" t="s">
        <v>1636</v>
      </c>
      <c r="F2338" s="5">
        <v>119900000</v>
      </c>
      <c r="G2338" s="5">
        <v>122900000</v>
      </c>
      <c r="H2338" s="5">
        <f>M2338*26000*1.20565</f>
        <v>106604537.52000001</v>
      </c>
      <c r="I2338" s="5">
        <f>G2338-H2338</f>
        <v>16295462.479999989</v>
      </c>
      <c r="J2338" s="5">
        <v>3000000</v>
      </c>
      <c r="K2338" s="5">
        <v>11990000</v>
      </c>
      <c r="L2338" s="5">
        <v>12290000</v>
      </c>
      <c r="M2338" s="7">
        <v>3400.8</v>
      </c>
      <c r="N2338" s="5">
        <v>120400000</v>
      </c>
      <c r="O2338" s="5">
        <v>123400000</v>
      </c>
      <c r="P2338" s="3">
        <v>0.97916666666666663</v>
      </c>
    </row>
    <row r="2339" spans="1:16" x14ac:dyDescent="0.25">
      <c r="A2339" t="s">
        <v>1434</v>
      </c>
      <c r="B2339" s="2">
        <v>45770</v>
      </c>
      <c r="C2339" t="str">
        <f>TEXT(B2339,"mm")</f>
        <v>04</v>
      </c>
      <c r="D2339" t="s">
        <v>19</v>
      </c>
      <c r="E2339" t="s">
        <v>1636</v>
      </c>
      <c r="F2339" s="5">
        <v>115400000</v>
      </c>
      <c r="G2339" s="5">
        <v>118400000</v>
      </c>
      <c r="H2339" s="5">
        <f>M2339*26000*1.20565</f>
        <v>102701848.47000001</v>
      </c>
      <c r="I2339" s="5">
        <f>G2339-H2339</f>
        <v>15698151.529999986</v>
      </c>
      <c r="J2339" s="5">
        <v>3000000</v>
      </c>
      <c r="K2339" s="5">
        <v>11540000</v>
      </c>
      <c r="L2339" s="5">
        <v>11840000</v>
      </c>
      <c r="M2339" s="7">
        <v>3276.3</v>
      </c>
      <c r="N2339" s="5">
        <v>115900000</v>
      </c>
      <c r="O2339" s="5">
        <v>118900000</v>
      </c>
      <c r="P2339" s="3">
        <v>0.97916666666666663</v>
      </c>
    </row>
    <row r="2340" spans="1:16" x14ac:dyDescent="0.25">
      <c r="A2340" t="s">
        <v>1435</v>
      </c>
      <c r="B2340" s="2">
        <v>45771</v>
      </c>
      <c r="C2340" t="str">
        <f>TEXT(B2340,"mm")</f>
        <v>04</v>
      </c>
      <c r="D2340" t="s">
        <v>20</v>
      </c>
      <c r="E2340" t="s">
        <v>1636</v>
      </c>
      <c r="F2340" s="5">
        <v>117400000</v>
      </c>
      <c r="G2340" s="5">
        <v>120400000</v>
      </c>
      <c r="H2340" s="5">
        <f>M2340*26000*1.20565</f>
        <v>104447870.80000001</v>
      </c>
      <c r="I2340" s="5">
        <f>G2340-H2340</f>
        <v>15952129.199999988</v>
      </c>
      <c r="J2340" s="5">
        <v>3000000</v>
      </c>
      <c r="K2340" s="5">
        <v>11740000</v>
      </c>
      <c r="L2340" s="5">
        <v>12040000</v>
      </c>
      <c r="M2340" s="7">
        <v>3332</v>
      </c>
      <c r="N2340" s="5">
        <v>117900000</v>
      </c>
      <c r="O2340" s="5">
        <v>120900000</v>
      </c>
      <c r="P2340" s="3">
        <v>0.97916666666666663</v>
      </c>
    </row>
    <row r="2341" spans="1:16" x14ac:dyDescent="0.25">
      <c r="A2341" t="s">
        <v>1436</v>
      </c>
      <c r="B2341" s="2">
        <v>45772</v>
      </c>
      <c r="C2341" t="str">
        <f>TEXT(B2341,"mm")</f>
        <v>04</v>
      </c>
      <c r="D2341" t="s">
        <v>21</v>
      </c>
      <c r="E2341" t="s">
        <v>1636</v>
      </c>
      <c r="F2341" s="5">
        <v>115600000</v>
      </c>
      <c r="G2341" s="5">
        <v>118600000</v>
      </c>
      <c r="H2341" s="5">
        <f>M2341*26000*1.20565</f>
        <v>102893064.56</v>
      </c>
      <c r="I2341" s="5">
        <f>G2341-H2341</f>
        <v>15706935.439999998</v>
      </c>
      <c r="J2341" s="5">
        <v>3000000</v>
      </c>
      <c r="K2341" s="5">
        <v>11560000</v>
      </c>
      <c r="L2341" s="5">
        <v>11860000</v>
      </c>
      <c r="M2341" s="7">
        <v>3282.4</v>
      </c>
      <c r="N2341" s="5">
        <v>116100000</v>
      </c>
      <c r="O2341" s="5">
        <v>119100000</v>
      </c>
      <c r="P2341" s="3">
        <v>0.97916666666666663</v>
      </c>
    </row>
    <row r="2342" spans="1:16" x14ac:dyDescent="0.25">
      <c r="A2342" t="s">
        <v>1437</v>
      </c>
      <c r="B2342" s="2">
        <v>45775</v>
      </c>
      <c r="C2342" t="str">
        <f>TEXT(B2342,"mm")</f>
        <v>04</v>
      </c>
      <c r="D2342" t="s">
        <v>16</v>
      </c>
      <c r="E2342" t="s">
        <v>1636</v>
      </c>
      <c r="F2342" s="5">
        <v>117400000</v>
      </c>
      <c r="G2342" s="5">
        <v>120400000</v>
      </c>
      <c r="H2342" s="5">
        <f>M2342*26000*1.20565</f>
        <v>104463544.25000001</v>
      </c>
      <c r="I2342" s="5">
        <f>G2342-H2342</f>
        <v>15936455.749999985</v>
      </c>
      <c r="J2342" s="5">
        <v>3000000</v>
      </c>
      <c r="K2342" s="5">
        <v>11740000</v>
      </c>
      <c r="L2342" s="5">
        <v>12040000</v>
      </c>
      <c r="M2342" s="7">
        <v>3332.5</v>
      </c>
      <c r="N2342" s="5">
        <v>117900000</v>
      </c>
      <c r="O2342" s="5">
        <v>120900000</v>
      </c>
      <c r="P2342" s="3">
        <v>0.97916666666666663</v>
      </c>
    </row>
    <row r="2343" spans="1:16" x14ac:dyDescent="0.25">
      <c r="A2343" t="s">
        <v>1438</v>
      </c>
      <c r="B2343" s="2">
        <v>45776</v>
      </c>
      <c r="C2343" t="str">
        <f>TEXT(B2343,"mm")</f>
        <v>04</v>
      </c>
      <c r="D2343" t="s">
        <v>18</v>
      </c>
      <c r="E2343" t="s">
        <v>1636</v>
      </c>
      <c r="F2343" s="5">
        <v>116900000</v>
      </c>
      <c r="G2343" s="5">
        <v>119900000</v>
      </c>
      <c r="H2343" s="5">
        <f>M2343*26000*1.20565</f>
        <v>104034091.72000001</v>
      </c>
      <c r="I2343" s="5">
        <f>G2343-H2343</f>
        <v>15865908.279999986</v>
      </c>
      <c r="J2343" s="5">
        <v>3000000</v>
      </c>
      <c r="K2343" s="5">
        <v>11690000</v>
      </c>
      <c r="L2343" s="5">
        <v>11990000</v>
      </c>
      <c r="M2343" s="7">
        <v>3318.8</v>
      </c>
      <c r="N2343" s="5">
        <v>117400000</v>
      </c>
      <c r="O2343" s="5">
        <v>120400000</v>
      </c>
      <c r="P2343" s="3">
        <v>0.97916666666666663</v>
      </c>
    </row>
    <row r="2344" spans="1:16" x14ac:dyDescent="0.25">
      <c r="A2344" t="s">
        <v>1439</v>
      </c>
      <c r="B2344" s="2">
        <v>45777</v>
      </c>
      <c r="C2344" t="str">
        <f>TEXT(B2344,"mm")</f>
        <v>04</v>
      </c>
      <c r="D2344" t="s">
        <v>19</v>
      </c>
      <c r="E2344" t="s">
        <v>1636</v>
      </c>
      <c r="F2344" s="5">
        <v>116400000</v>
      </c>
      <c r="G2344" s="5">
        <v>119400000</v>
      </c>
      <c r="H2344" s="5">
        <f>M2344*26000*1.20565</f>
        <v>103601504.50000001</v>
      </c>
      <c r="I2344" s="5">
        <f>G2344-H2344</f>
        <v>15798495.499999985</v>
      </c>
      <c r="J2344" s="5">
        <v>3000000</v>
      </c>
      <c r="K2344" s="5">
        <v>11640000</v>
      </c>
      <c r="L2344" s="5">
        <v>11940000</v>
      </c>
      <c r="M2344" s="7">
        <v>3305</v>
      </c>
      <c r="N2344" s="5">
        <v>116900000</v>
      </c>
      <c r="O2344" s="5">
        <v>119900000</v>
      </c>
      <c r="P2344" s="3">
        <v>0.97916666666666663</v>
      </c>
    </row>
    <row r="2345" spans="1:16" x14ac:dyDescent="0.25">
      <c r="A2345" s="2">
        <v>45662</v>
      </c>
      <c r="B2345" s="2">
        <v>45778</v>
      </c>
      <c r="C2345" t="str">
        <f>TEXT(B2345,"mm")</f>
        <v>05</v>
      </c>
      <c r="D2345" t="s">
        <v>20</v>
      </c>
      <c r="E2345" t="s">
        <v>1636</v>
      </c>
      <c r="F2345" s="5">
        <v>113000000</v>
      </c>
      <c r="G2345" s="5">
        <v>116000000</v>
      </c>
      <c r="H2345" s="5">
        <f>M2345*26000*1.20565</f>
        <v>100623549.00000001</v>
      </c>
      <c r="I2345" s="5">
        <f>G2345-H2345</f>
        <v>15376450.999999985</v>
      </c>
      <c r="J2345" s="5">
        <v>3000000</v>
      </c>
      <c r="K2345" s="5">
        <v>11300000</v>
      </c>
      <c r="L2345" s="5">
        <v>11600000</v>
      </c>
      <c r="M2345" s="7">
        <v>3210</v>
      </c>
      <c r="N2345" s="5">
        <v>113500000</v>
      </c>
      <c r="O2345" s="5">
        <v>116500000</v>
      </c>
      <c r="P2345" s="3">
        <v>0.97916666666666663</v>
      </c>
    </row>
    <row r="2346" spans="1:16" x14ac:dyDescent="0.25">
      <c r="A2346" s="2">
        <v>45693</v>
      </c>
      <c r="B2346" s="2">
        <v>45779</v>
      </c>
      <c r="C2346" t="str">
        <f>TEXT(B2346,"mm")</f>
        <v>05</v>
      </c>
      <c r="D2346" t="s">
        <v>21</v>
      </c>
      <c r="E2346" t="s">
        <v>1636</v>
      </c>
      <c r="F2346" s="5">
        <v>113800000</v>
      </c>
      <c r="G2346" s="5">
        <v>116800000</v>
      </c>
      <c r="H2346" s="5">
        <f>M2346*26000*1.20565</f>
        <v>101310046.11000001</v>
      </c>
      <c r="I2346" s="5">
        <f>G2346-H2346</f>
        <v>15489953.889999986</v>
      </c>
      <c r="J2346" s="5">
        <v>3000000</v>
      </c>
      <c r="K2346" s="5">
        <v>11380000</v>
      </c>
      <c r="L2346" s="5">
        <v>11680000</v>
      </c>
      <c r="M2346" s="7">
        <v>3231.9</v>
      </c>
      <c r="N2346" s="5">
        <v>114300000</v>
      </c>
      <c r="O2346" s="5">
        <v>117300000</v>
      </c>
      <c r="P2346" s="3">
        <v>0.97916666666666663</v>
      </c>
    </row>
    <row r="2347" spans="1:16" x14ac:dyDescent="0.25">
      <c r="A2347" s="2">
        <v>45782</v>
      </c>
      <c r="B2347" s="2">
        <v>45782</v>
      </c>
      <c r="C2347" t="str">
        <f>TEXT(B2347,"mm")</f>
        <v>05</v>
      </c>
      <c r="D2347" t="s">
        <v>16</v>
      </c>
      <c r="E2347" t="s">
        <v>1636</v>
      </c>
      <c r="F2347" s="5">
        <v>116700000</v>
      </c>
      <c r="G2347" s="5">
        <v>119700000</v>
      </c>
      <c r="H2347" s="5">
        <f>M2347*26000*1.20565</f>
        <v>103798989.97000001</v>
      </c>
      <c r="I2347" s="5">
        <f>G2347-H2347</f>
        <v>15901010.029999986</v>
      </c>
      <c r="J2347" s="5">
        <v>3000000</v>
      </c>
      <c r="K2347" s="5">
        <v>11670000</v>
      </c>
      <c r="L2347" s="5">
        <v>11970000</v>
      </c>
      <c r="M2347" s="7">
        <v>3311.3</v>
      </c>
      <c r="N2347" s="5">
        <v>117200000</v>
      </c>
      <c r="O2347" s="5">
        <v>120200000</v>
      </c>
      <c r="P2347" s="3">
        <v>0.97916666666666663</v>
      </c>
    </row>
    <row r="2348" spans="1:16" x14ac:dyDescent="0.25">
      <c r="A2348" s="2">
        <v>45813</v>
      </c>
      <c r="B2348" s="2">
        <v>45783</v>
      </c>
      <c r="C2348" t="str">
        <f>TEXT(B2348,"mm")</f>
        <v>05</v>
      </c>
      <c r="D2348" t="s">
        <v>18</v>
      </c>
      <c r="E2348" t="s">
        <v>1636</v>
      </c>
      <c r="F2348" s="5">
        <v>120300000</v>
      </c>
      <c r="G2348" s="5">
        <v>123300000</v>
      </c>
      <c r="H2348" s="5">
        <f>M2348*26000*1.20565</f>
        <v>106936814.66000001</v>
      </c>
      <c r="I2348" s="5">
        <f>G2348-H2348</f>
        <v>16363185.339999989</v>
      </c>
      <c r="J2348" s="5">
        <v>3000000</v>
      </c>
      <c r="K2348" s="5">
        <v>12030000</v>
      </c>
      <c r="L2348" s="5">
        <v>12330000</v>
      </c>
      <c r="M2348" s="7">
        <v>3411.4</v>
      </c>
      <c r="N2348" s="5">
        <v>120800000</v>
      </c>
      <c r="O2348" s="5">
        <v>123800000</v>
      </c>
      <c r="P2348" s="3">
        <v>0.97916666666666663</v>
      </c>
    </row>
    <row r="2349" spans="1:16" x14ac:dyDescent="0.25">
      <c r="A2349" s="2">
        <v>45843</v>
      </c>
      <c r="B2349" s="2">
        <v>45784</v>
      </c>
      <c r="C2349" t="str">
        <f>TEXT(B2349,"mm")</f>
        <v>05</v>
      </c>
      <c r="D2349" t="s">
        <v>19</v>
      </c>
      <c r="E2349" t="s">
        <v>1636</v>
      </c>
      <c r="F2349" s="5">
        <v>119200000</v>
      </c>
      <c r="G2349" s="5">
        <v>122200000</v>
      </c>
      <c r="H2349" s="5">
        <f>M2349*26000*1.20565</f>
        <v>105996407.66000001</v>
      </c>
      <c r="I2349" s="5">
        <f>G2349-H2349</f>
        <v>16203592.339999989</v>
      </c>
      <c r="J2349" s="5">
        <v>3000000</v>
      </c>
      <c r="K2349" s="5">
        <v>11920000</v>
      </c>
      <c r="L2349" s="5">
        <v>12220000</v>
      </c>
      <c r="M2349" s="7">
        <v>3381.4</v>
      </c>
      <c r="N2349" s="5">
        <v>119700000</v>
      </c>
      <c r="O2349" s="5">
        <v>122700000</v>
      </c>
      <c r="P2349" s="3">
        <v>0.97916666666666663</v>
      </c>
    </row>
    <row r="2350" spans="1:16" x14ac:dyDescent="0.25">
      <c r="A2350" s="2">
        <v>45874</v>
      </c>
      <c r="B2350" s="2">
        <v>45785</v>
      </c>
      <c r="C2350" t="str">
        <f>TEXT(B2350,"mm")</f>
        <v>05</v>
      </c>
      <c r="D2350" t="s">
        <v>20</v>
      </c>
      <c r="E2350" t="s">
        <v>1636</v>
      </c>
      <c r="F2350" s="5">
        <v>116100000</v>
      </c>
      <c r="G2350" s="5">
        <v>119100000</v>
      </c>
      <c r="H2350" s="5">
        <f>M2350*26000*1.20565</f>
        <v>103338190.54000001</v>
      </c>
      <c r="I2350" s="5">
        <f>G2350-H2350</f>
        <v>15761809.459999993</v>
      </c>
      <c r="J2350" s="5">
        <v>3000000</v>
      </c>
      <c r="K2350" s="5">
        <v>11610000</v>
      </c>
      <c r="L2350" s="5">
        <v>11910000</v>
      </c>
      <c r="M2350" s="7">
        <v>3296.6</v>
      </c>
      <c r="N2350" s="5">
        <v>116600000</v>
      </c>
      <c r="O2350" s="5">
        <v>119600000</v>
      </c>
      <c r="P2350" s="3">
        <v>0.97916666666666663</v>
      </c>
    </row>
    <row r="2351" spans="1:16" x14ac:dyDescent="0.25">
      <c r="A2351" s="2">
        <v>45905</v>
      </c>
      <c r="B2351" s="2">
        <v>45786</v>
      </c>
      <c r="C2351" t="str">
        <f>TEXT(B2351,"mm")</f>
        <v>05</v>
      </c>
      <c r="D2351" t="s">
        <v>21</v>
      </c>
      <c r="E2351" t="s">
        <v>1636</v>
      </c>
      <c r="F2351" s="5">
        <v>117500000</v>
      </c>
      <c r="G2351" s="5">
        <v>120500000</v>
      </c>
      <c r="H2351" s="5">
        <f>M2351*26000*1.20565</f>
        <v>104554450.26000001</v>
      </c>
      <c r="I2351" s="5">
        <f>G2351-H2351</f>
        <v>15945549.739999995</v>
      </c>
      <c r="J2351" s="5">
        <v>3000000</v>
      </c>
      <c r="K2351" s="5">
        <v>11750000</v>
      </c>
      <c r="L2351" s="5">
        <v>12050000</v>
      </c>
      <c r="M2351" s="7">
        <v>3335.4</v>
      </c>
      <c r="N2351" s="5">
        <v>118000000</v>
      </c>
      <c r="O2351" s="5">
        <v>121000000</v>
      </c>
      <c r="P2351" s="3">
        <v>0.97916666666666663</v>
      </c>
    </row>
    <row r="2352" spans="1:16" x14ac:dyDescent="0.25">
      <c r="A2352" s="2">
        <v>45996</v>
      </c>
      <c r="B2352" s="2">
        <v>45789</v>
      </c>
      <c r="C2352" t="str">
        <f>TEXT(B2352,"mm")</f>
        <v>05</v>
      </c>
      <c r="D2352" t="s">
        <v>16</v>
      </c>
      <c r="E2352" t="s">
        <v>1636</v>
      </c>
      <c r="F2352" s="5">
        <v>113400000</v>
      </c>
      <c r="G2352" s="5">
        <v>116400000</v>
      </c>
      <c r="H2352" s="5">
        <f>M2352*26000*1.20565</f>
        <v>100937018.00000001</v>
      </c>
      <c r="I2352" s="5">
        <f>G2352-H2352</f>
        <v>15462981.999999985</v>
      </c>
      <c r="J2352" s="5">
        <v>3000000</v>
      </c>
      <c r="K2352" s="5">
        <v>11340000</v>
      </c>
      <c r="L2352" s="5">
        <v>11640000</v>
      </c>
      <c r="M2352" s="7">
        <v>3220</v>
      </c>
      <c r="N2352" s="5">
        <v>113900000</v>
      </c>
      <c r="O2352" s="5">
        <v>116900000</v>
      </c>
      <c r="P2352" s="3">
        <v>0.97916666666666663</v>
      </c>
    </row>
    <row r="2353" spans="1:16" x14ac:dyDescent="0.25">
      <c r="A2353" t="s">
        <v>1440</v>
      </c>
      <c r="B2353" s="2">
        <v>45790</v>
      </c>
      <c r="C2353" t="str">
        <f>TEXT(B2353,"mm")</f>
        <v>05</v>
      </c>
      <c r="D2353" t="s">
        <v>18</v>
      </c>
      <c r="E2353" t="s">
        <v>1636</v>
      </c>
      <c r="F2353" s="5">
        <v>114100000</v>
      </c>
      <c r="G2353" s="5">
        <v>117100000</v>
      </c>
      <c r="H2353" s="5">
        <f>M2353*26000*1.20565</f>
        <v>101573360.07000001</v>
      </c>
      <c r="I2353" s="5">
        <f>G2353-H2353</f>
        <v>15526639.929999992</v>
      </c>
      <c r="J2353" s="5">
        <v>3000000</v>
      </c>
      <c r="K2353" s="5">
        <v>11410000</v>
      </c>
      <c r="L2353" s="5">
        <v>11710000</v>
      </c>
      <c r="M2353" s="7">
        <v>3240.3</v>
      </c>
      <c r="N2353" s="5">
        <v>114600000</v>
      </c>
      <c r="O2353" s="5">
        <v>117600000</v>
      </c>
      <c r="P2353" s="3">
        <v>0.97916666666666663</v>
      </c>
    </row>
    <row r="2354" spans="1:16" x14ac:dyDescent="0.25">
      <c r="A2354" t="s">
        <v>1441</v>
      </c>
      <c r="B2354" s="2">
        <v>45791</v>
      </c>
      <c r="C2354" t="str">
        <f>TEXT(B2354,"mm")</f>
        <v>05</v>
      </c>
      <c r="D2354" t="s">
        <v>19</v>
      </c>
      <c r="E2354" t="s">
        <v>1636</v>
      </c>
      <c r="F2354" s="5">
        <v>112000000</v>
      </c>
      <c r="G2354" s="5">
        <v>115000000</v>
      </c>
      <c r="H2354" s="5">
        <f>M2354*26000*1.20565</f>
        <v>99727027.660000011</v>
      </c>
      <c r="I2354" s="5">
        <f>G2354-H2354</f>
        <v>15272972.339999989</v>
      </c>
      <c r="J2354" s="5">
        <v>3000000</v>
      </c>
      <c r="K2354" s="5">
        <v>11200000</v>
      </c>
      <c r="L2354" s="5">
        <v>11500000</v>
      </c>
      <c r="M2354" s="7">
        <v>3181.4</v>
      </c>
      <c r="N2354" s="5">
        <v>112500000</v>
      </c>
      <c r="O2354" s="5">
        <v>115500000</v>
      </c>
      <c r="P2354" s="3">
        <v>0.97916666666666663</v>
      </c>
    </row>
    <row r="2355" spans="1:16" x14ac:dyDescent="0.25">
      <c r="A2355" t="s">
        <v>1442</v>
      </c>
      <c r="B2355" s="2">
        <v>45792</v>
      </c>
      <c r="C2355" t="str">
        <f>TEXT(B2355,"mm")</f>
        <v>05</v>
      </c>
      <c r="D2355" t="s">
        <v>20</v>
      </c>
      <c r="E2355" t="s">
        <v>1636</v>
      </c>
      <c r="F2355" s="5">
        <v>113400000</v>
      </c>
      <c r="G2355" s="5">
        <v>116400000</v>
      </c>
      <c r="H2355" s="5">
        <f>M2355*26000*1.20565</f>
        <v>100958960.83000001</v>
      </c>
      <c r="I2355" s="5">
        <f>G2355-H2355</f>
        <v>15441039.169999987</v>
      </c>
      <c r="J2355" s="5">
        <v>3000000</v>
      </c>
      <c r="K2355" s="5">
        <v>11340000</v>
      </c>
      <c r="L2355" s="5">
        <v>11640000</v>
      </c>
      <c r="M2355" s="7">
        <v>3220.7</v>
      </c>
      <c r="N2355" s="5">
        <v>113900000</v>
      </c>
      <c r="O2355" s="5">
        <v>116900000</v>
      </c>
      <c r="P2355" s="3">
        <v>0.97916666666666663</v>
      </c>
    </row>
    <row r="2356" spans="1:16" x14ac:dyDescent="0.25">
      <c r="A2356" t="s">
        <v>1443</v>
      </c>
      <c r="B2356" s="2">
        <v>45793</v>
      </c>
      <c r="C2356" t="str">
        <f>TEXT(B2356,"mm")</f>
        <v>05</v>
      </c>
      <c r="D2356" t="s">
        <v>21</v>
      </c>
      <c r="E2356" t="s">
        <v>1636</v>
      </c>
      <c r="F2356" s="5">
        <v>112000000</v>
      </c>
      <c r="G2356" s="5">
        <v>115000000</v>
      </c>
      <c r="H2356" s="5">
        <f>M2356*26000*1.20565</f>
        <v>99745835.800000012</v>
      </c>
      <c r="I2356" s="5">
        <f>G2356-H2356</f>
        <v>15254164.199999988</v>
      </c>
      <c r="J2356" s="5">
        <v>3000000</v>
      </c>
      <c r="K2356" s="5">
        <v>11200000</v>
      </c>
      <c r="L2356" s="5">
        <v>11500000</v>
      </c>
      <c r="M2356" s="7">
        <v>3182</v>
      </c>
      <c r="N2356" s="5">
        <v>112500000</v>
      </c>
      <c r="O2356" s="5">
        <v>115500000</v>
      </c>
      <c r="P2356" s="3">
        <v>0.97916666666666663</v>
      </c>
    </row>
    <row r="2357" spans="1:16" x14ac:dyDescent="0.25">
      <c r="A2357" t="s">
        <v>1444</v>
      </c>
      <c r="B2357" s="2">
        <v>45796</v>
      </c>
      <c r="C2357" t="str">
        <f>TEXT(B2357,"mm")</f>
        <v>05</v>
      </c>
      <c r="D2357" t="s">
        <v>16</v>
      </c>
      <c r="E2357" t="s">
        <v>1636</v>
      </c>
      <c r="F2357" s="5">
        <v>113700000</v>
      </c>
      <c r="G2357" s="5">
        <v>116700000</v>
      </c>
      <c r="H2357" s="5">
        <f>M2357*26000*1.20565</f>
        <v>101216005.41000001</v>
      </c>
      <c r="I2357" s="5">
        <f>G2357-H2357</f>
        <v>15483994.589999989</v>
      </c>
      <c r="J2357" s="5">
        <v>3000000</v>
      </c>
      <c r="K2357" s="5">
        <v>11370000</v>
      </c>
      <c r="L2357" s="5">
        <v>11670000</v>
      </c>
      <c r="M2357" s="7">
        <v>3228.9</v>
      </c>
      <c r="N2357" s="5">
        <v>114200000</v>
      </c>
      <c r="O2357" s="5">
        <v>117200000</v>
      </c>
      <c r="P2357" s="3">
        <v>0.97916666666666663</v>
      </c>
    </row>
    <row r="2358" spans="1:16" x14ac:dyDescent="0.25">
      <c r="A2358" t="s">
        <v>1445</v>
      </c>
      <c r="B2358" s="2">
        <v>45797</v>
      </c>
      <c r="C2358" t="str">
        <f>TEXT(B2358,"mm")</f>
        <v>05</v>
      </c>
      <c r="D2358" t="s">
        <v>18</v>
      </c>
      <c r="E2358" t="s">
        <v>1636</v>
      </c>
      <c r="F2358" s="5">
        <v>115500000</v>
      </c>
      <c r="G2358" s="5">
        <v>118500000</v>
      </c>
      <c r="H2358" s="5">
        <f>M2358*26000*1.20565</f>
        <v>102827236.07000001</v>
      </c>
      <c r="I2358" s="5">
        <f>G2358-H2358</f>
        <v>15672763.929999992</v>
      </c>
      <c r="J2358" s="5">
        <v>3000000</v>
      </c>
      <c r="K2358" s="5">
        <v>11550000</v>
      </c>
      <c r="L2358" s="5">
        <v>11850000</v>
      </c>
      <c r="M2358" s="7">
        <v>3280.3</v>
      </c>
      <c r="N2358" s="5">
        <v>116000000</v>
      </c>
      <c r="O2358" s="5">
        <v>119000000</v>
      </c>
      <c r="P2358" s="3">
        <v>0.97916666666666663</v>
      </c>
    </row>
    <row r="2359" spans="1:16" x14ac:dyDescent="0.25">
      <c r="A2359" t="s">
        <v>1446</v>
      </c>
      <c r="B2359" s="2">
        <v>45798</v>
      </c>
      <c r="C2359" t="str">
        <f>TEXT(B2359,"mm")</f>
        <v>05</v>
      </c>
      <c r="D2359" t="s">
        <v>19</v>
      </c>
      <c r="E2359" t="s">
        <v>1636</v>
      </c>
      <c r="F2359" s="5">
        <v>116600000</v>
      </c>
      <c r="G2359" s="5">
        <v>119600000</v>
      </c>
      <c r="H2359" s="5">
        <f>M2359*26000*1.20565</f>
        <v>103736296.17000002</v>
      </c>
      <c r="I2359" s="5">
        <f>G2359-H2359</f>
        <v>15863703.829999983</v>
      </c>
      <c r="J2359" s="5">
        <v>3000000</v>
      </c>
      <c r="K2359" s="5">
        <v>11660000</v>
      </c>
      <c r="L2359" s="5">
        <v>11960000</v>
      </c>
      <c r="M2359" s="7">
        <v>3309.3</v>
      </c>
      <c r="N2359" s="5">
        <v>117100000</v>
      </c>
      <c r="O2359" s="5">
        <v>120100000</v>
      </c>
      <c r="P2359" s="3">
        <v>0.97916666666666663</v>
      </c>
    </row>
    <row r="2360" spans="1:16" x14ac:dyDescent="0.25">
      <c r="A2360" t="s">
        <v>1447</v>
      </c>
      <c r="B2360" s="2">
        <v>45799</v>
      </c>
      <c r="C2360" t="str">
        <f>TEXT(B2360,"mm")</f>
        <v>05</v>
      </c>
      <c r="D2360" t="s">
        <v>20</v>
      </c>
      <c r="E2360" t="s">
        <v>1636</v>
      </c>
      <c r="F2360" s="5">
        <v>116000000</v>
      </c>
      <c r="G2360" s="5">
        <v>119000000</v>
      </c>
      <c r="H2360" s="5">
        <f>M2360*26000*1.20565</f>
        <v>103203398.87</v>
      </c>
      <c r="I2360" s="5">
        <f>G2360-H2360</f>
        <v>15796601.129999995</v>
      </c>
      <c r="J2360" s="5">
        <v>3000000</v>
      </c>
      <c r="K2360" s="5">
        <v>11600000</v>
      </c>
      <c r="L2360" s="5">
        <v>11900000</v>
      </c>
      <c r="M2360" s="7">
        <v>3292.3</v>
      </c>
      <c r="N2360" s="5">
        <v>116500000</v>
      </c>
      <c r="O2360" s="5">
        <v>119500000</v>
      </c>
      <c r="P2360" s="3">
        <v>0.97916666666666663</v>
      </c>
    </row>
    <row r="2361" spans="1:16" x14ac:dyDescent="0.25">
      <c r="A2361" t="s">
        <v>1448</v>
      </c>
      <c r="B2361" s="2">
        <v>45800</v>
      </c>
      <c r="C2361" t="str">
        <f>TEXT(B2361,"mm")</f>
        <v>05</v>
      </c>
      <c r="D2361" t="s">
        <v>21</v>
      </c>
      <c r="E2361" t="s">
        <v>1636</v>
      </c>
      <c r="F2361" s="5">
        <v>118500000</v>
      </c>
      <c r="G2361" s="5">
        <v>121500000</v>
      </c>
      <c r="H2361" s="5">
        <f>M2361*26000*1.20565</f>
        <v>105438432.84</v>
      </c>
      <c r="I2361" s="5">
        <f>G2361-H2361</f>
        <v>16061567.159999996</v>
      </c>
      <c r="J2361" s="5">
        <v>3000000</v>
      </c>
      <c r="K2361" s="5">
        <v>11850000</v>
      </c>
      <c r="L2361" s="5">
        <v>12150000</v>
      </c>
      <c r="M2361" s="7">
        <v>3363.6</v>
      </c>
      <c r="N2361" s="5">
        <v>119000000</v>
      </c>
      <c r="O2361" s="5">
        <v>122000000</v>
      </c>
      <c r="P2361" s="3">
        <v>0.97916666666666663</v>
      </c>
    </row>
    <row r="2362" spans="1:16" x14ac:dyDescent="0.25">
      <c r="A2362" t="s">
        <v>1449</v>
      </c>
      <c r="B2362" s="2">
        <v>45804</v>
      </c>
      <c r="C2362" t="str">
        <f>TEXT(B2362,"mm")</f>
        <v>05</v>
      </c>
      <c r="D2362" t="s">
        <v>18</v>
      </c>
      <c r="E2362" t="s">
        <v>1636</v>
      </c>
      <c r="F2362" s="5">
        <v>116200000</v>
      </c>
      <c r="G2362" s="5">
        <v>119200000</v>
      </c>
      <c r="H2362" s="5">
        <f>M2362*26000*1.20565</f>
        <v>103416557.79000001</v>
      </c>
      <c r="I2362" s="5">
        <f>G2362-H2362</f>
        <v>15783442.209999993</v>
      </c>
      <c r="J2362" s="5">
        <v>3000000</v>
      </c>
      <c r="K2362" s="5">
        <v>11620000</v>
      </c>
      <c r="L2362" s="5">
        <v>11920000</v>
      </c>
      <c r="M2362" s="7">
        <v>3299.1</v>
      </c>
      <c r="N2362" s="5">
        <v>116700000</v>
      </c>
      <c r="O2362" s="5">
        <v>119700000</v>
      </c>
      <c r="P2362" s="3">
        <v>0.97916666666666663</v>
      </c>
    </row>
    <row r="2363" spans="1:16" x14ac:dyDescent="0.25">
      <c r="A2363" t="s">
        <v>1450</v>
      </c>
      <c r="B2363" s="2">
        <v>45805</v>
      </c>
      <c r="C2363" t="str">
        <f>TEXT(B2363,"mm")</f>
        <v>05</v>
      </c>
      <c r="D2363" t="s">
        <v>19</v>
      </c>
      <c r="E2363" t="s">
        <v>1636</v>
      </c>
      <c r="F2363" s="5">
        <v>116000000</v>
      </c>
      <c r="G2363" s="5">
        <v>119000000</v>
      </c>
      <c r="H2363" s="5">
        <f>M2363*26000*1.20565</f>
        <v>103244149.84</v>
      </c>
      <c r="I2363" s="5">
        <f>G2363-H2363</f>
        <v>15755850.159999996</v>
      </c>
      <c r="J2363" s="5">
        <v>3000000</v>
      </c>
      <c r="K2363" s="5">
        <v>11600000</v>
      </c>
      <c r="L2363" s="5">
        <v>11900000</v>
      </c>
      <c r="M2363" s="7">
        <v>3293.6</v>
      </c>
      <c r="N2363" s="5">
        <v>116500000</v>
      </c>
      <c r="O2363" s="5">
        <v>119500000</v>
      </c>
      <c r="P2363" s="3">
        <v>0.97916666666666663</v>
      </c>
    </row>
    <row r="2364" spans="1:16" x14ac:dyDescent="0.25">
      <c r="A2364" t="s">
        <v>1451</v>
      </c>
      <c r="B2364" s="2">
        <v>45806</v>
      </c>
      <c r="C2364" t="str">
        <f>TEXT(B2364,"mm")</f>
        <v>05</v>
      </c>
      <c r="D2364" t="s">
        <v>20</v>
      </c>
      <c r="E2364" t="s">
        <v>1636</v>
      </c>
      <c r="F2364" s="5">
        <v>116900000</v>
      </c>
      <c r="G2364" s="5">
        <v>119900000</v>
      </c>
      <c r="H2364" s="5">
        <f>M2364*26000*1.20565</f>
        <v>103980801.99000001</v>
      </c>
      <c r="I2364" s="5">
        <f>G2364-H2364</f>
        <v>15919198.00999999</v>
      </c>
      <c r="J2364" s="5">
        <v>3000000</v>
      </c>
      <c r="K2364" s="5">
        <v>11690000</v>
      </c>
      <c r="L2364" s="5">
        <v>11990000</v>
      </c>
      <c r="M2364" s="7">
        <v>3317.1</v>
      </c>
      <c r="N2364" s="5">
        <v>117400000</v>
      </c>
      <c r="O2364" s="5">
        <v>120400000</v>
      </c>
      <c r="P2364" s="3">
        <v>0.97916666666666663</v>
      </c>
    </row>
    <row r="2365" spans="1:16" x14ac:dyDescent="0.25">
      <c r="A2365" t="s">
        <v>1452</v>
      </c>
      <c r="B2365" s="2">
        <v>45807</v>
      </c>
      <c r="C2365" t="str">
        <f>TEXT(B2365,"mm")</f>
        <v>05</v>
      </c>
      <c r="D2365" t="s">
        <v>21</v>
      </c>
      <c r="E2365" t="s">
        <v>1636</v>
      </c>
      <c r="F2365" s="5">
        <v>115800000</v>
      </c>
      <c r="G2365" s="5">
        <v>118800000</v>
      </c>
      <c r="H2365" s="5">
        <f>M2365*26000*1.20565</f>
        <v>103096819.41000001</v>
      </c>
      <c r="I2365" s="5">
        <f>G2365-H2365</f>
        <v>15703180.589999989</v>
      </c>
      <c r="J2365" s="5">
        <v>3000000</v>
      </c>
      <c r="K2365" s="5">
        <v>11580000</v>
      </c>
      <c r="L2365" s="5">
        <v>11880000</v>
      </c>
      <c r="M2365" s="7">
        <v>3288.9</v>
      </c>
      <c r="N2365" s="5">
        <v>116300000</v>
      </c>
      <c r="O2365" s="5">
        <v>119300000</v>
      </c>
      <c r="P2365" s="3">
        <v>0.97916666666666663</v>
      </c>
    </row>
    <row r="2366" spans="1:16" x14ac:dyDescent="0.25">
      <c r="A2366" s="2">
        <v>45694</v>
      </c>
      <c r="B2366" s="2">
        <v>45810</v>
      </c>
      <c r="C2366" t="str">
        <f>TEXT(B2366,"mm")</f>
        <v>06</v>
      </c>
      <c r="D2366" t="s">
        <v>16</v>
      </c>
      <c r="E2366" t="s">
        <v>1636</v>
      </c>
      <c r="F2366" s="5">
        <v>118800000</v>
      </c>
      <c r="G2366" s="5">
        <v>121800000</v>
      </c>
      <c r="H2366" s="5">
        <f>M2366*26000*1.20565</f>
        <v>105657861.14000002</v>
      </c>
      <c r="I2366" s="5">
        <f>G2366-H2366</f>
        <v>16142138.859999985</v>
      </c>
      <c r="J2366" s="5">
        <v>3000000</v>
      </c>
      <c r="K2366" s="5">
        <v>11880000</v>
      </c>
      <c r="L2366" s="5">
        <v>12180000</v>
      </c>
      <c r="M2366" s="7">
        <v>3370.6</v>
      </c>
      <c r="N2366" s="5">
        <v>119300000</v>
      </c>
      <c r="O2366" s="5">
        <v>122300000</v>
      </c>
      <c r="P2366" s="3">
        <v>0.97916666666666663</v>
      </c>
    </row>
    <row r="2367" spans="1:16" x14ac:dyDescent="0.25">
      <c r="A2367" s="2">
        <v>45722</v>
      </c>
      <c r="B2367" s="2">
        <v>45811</v>
      </c>
      <c r="C2367" t="str">
        <f>TEXT(B2367,"mm")</f>
        <v>06</v>
      </c>
      <c r="D2367" t="s">
        <v>18</v>
      </c>
      <c r="E2367" t="s">
        <v>1636</v>
      </c>
      <c r="F2367" s="5">
        <v>118100000</v>
      </c>
      <c r="G2367" s="5">
        <v>121100000</v>
      </c>
      <c r="H2367" s="5">
        <f>M2367*26000*1.20565</f>
        <v>105018384.38000001</v>
      </c>
      <c r="I2367" s="5">
        <f>G2367-H2367</f>
        <v>16081615.61999999</v>
      </c>
      <c r="J2367" s="5">
        <v>3000000</v>
      </c>
      <c r="K2367" s="5">
        <v>11810000</v>
      </c>
      <c r="L2367" s="5">
        <v>12110000</v>
      </c>
      <c r="M2367" s="7">
        <v>3350.2</v>
      </c>
      <c r="N2367" s="5">
        <v>118600000</v>
      </c>
      <c r="O2367" s="5">
        <v>121600000</v>
      </c>
      <c r="P2367" s="3">
        <v>0.97916666666666663</v>
      </c>
    </row>
    <row r="2368" spans="1:16" x14ac:dyDescent="0.25">
      <c r="A2368" s="2">
        <v>45753</v>
      </c>
      <c r="B2368" s="2">
        <v>45812</v>
      </c>
      <c r="C2368" t="str">
        <f>TEXT(B2368,"mm")</f>
        <v>06</v>
      </c>
      <c r="D2368" t="s">
        <v>19</v>
      </c>
      <c r="E2368" t="s">
        <v>1636</v>
      </c>
      <c r="F2368" s="5">
        <v>118900000</v>
      </c>
      <c r="G2368" s="5">
        <v>121900000</v>
      </c>
      <c r="H2368" s="5">
        <f>M2368*26000*1.20565</f>
        <v>105748767.15000001</v>
      </c>
      <c r="I2368" s="5">
        <f>G2368-H2368</f>
        <v>16151232.849999994</v>
      </c>
      <c r="J2368" s="5">
        <v>3000000</v>
      </c>
      <c r="K2368" s="5">
        <v>11890000</v>
      </c>
      <c r="L2368" s="5">
        <v>12190000</v>
      </c>
      <c r="M2368" s="7">
        <v>3373.5</v>
      </c>
      <c r="N2368" s="5">
        <v>119400000</v>
      </c>
      <c r="O2368" s="5">
        <v>122400000</v>
      </c>
      <c r="P2368" s="3">
        <v>0.97916666666666663</v>
      </c>
    </row>
    <row r="2369" spans="1:16" x14ac:dyDescent="0.25">
      <c r="A2369" s="2">
        <v>45783</v>
      </c>
      <c r="B2369" s="2">
        <v>45813</v>
      </c>
      <c r="C2369" t="str">
        <f>TEXT(B2369,"mm")</f>
        <v>06</v>
      </c>
      <c r="D2369" t="s">
        <v>20</v>
      </c>
      <c r="E2369" t="s">
        <v>1636</v>
      </c>
      <c r="F2369" s="5">
        <v>118100000</v>
      </c>
      <c r="G2369" s="5">
        <v>121100000</v>
      </c>
      <c r="H2369" s="5">
        <f>M2369*26000*1.20565</f>
        <v>105034057.83000001</v>
      </c>
      <c r="I2369" s="5">
        <f>G2369-H2369</f>
        <v>16065942.169999987</v>
      </c>
      <c r="J2369" s="5">
        <v>3000000</v>
      </c>
      <c r="K2369" s="5">
        <v>11810000</v>
      </c>
      <c r="L2369" s="5">
        <v>12110000</v>
      </c>
      <c r="M2369" s="7">
        <v>3350.7</v>
      </c>
      <c r="N2369" s="5">
        <v>118600000</v>
      </c>
      <c r="O2369" s="5">
        <v>121600000</v>
      </c>
      <c r="P2369" s="3">
        <v>0.97916666666666663</v>
      </c>
    </row>
    <row r="2370" spans="1:16" x14ac:dyDescent="0.25">
      <c r="A2370" s="2">
        <v>45814</v>
      </c>
      <c r="B2370" s="2">
        <v>45814</v>
      </c>
      <c r="C2370" t="str">
        <f>TEXT(B2370,"mm")</f>
        <v>06</v>
      </c>
      <c r="D2370" t="s">
        <v>21</v>
      </c>
      <c r="E2370" t="s">
        <v>1636</v>
      </c>
      <c r="F2370" s="5">
        <v>117100000</v>
      </c>
      <c r="G2370" s="5">
        <v>120100000</v>
      </c>
      <c r="H2370" s="5">
        <f>M2370*26000*1.20565</f>
        <v>104156344.63000001</v>
      </c>
      <c r="I2370" s="5">
        <f>G2370-H2370</f>
        <v>15943655.36999999</v>
      </c>
      <c r="J2370" s="5">
        <v>3000000</v>
      </c>
      <c r="K2370" s="5">
        <v>11710000</v>
      </c>
      <c r="L2370" s="5">
        <v>12010000</v>
      </c>
      <c r="M2370" s="7">
        <v>3322.7</v>
      </c>
      <c r="N2370" s="5">
        <v>117600000</v>
      </c>
      <c r="O2370" s="5">
        <v>120600000</v>
      </c>
      <c r="P2370" s="3">
        <v>0.97916666666666663</v>
      </c>
    </row>
    <row r="2371" spans="1:16" x14ac:dyDescent="0.25">
      <c r="A2371" s="2">
        <v>45906</v>
      </c>
      <c r="B2371" s="2">
        <v>45817</v>
      </c>
      <c r="C2371" t="str">
        <f>TEXT(B2371,"mm")</f>
        <v>06</v>
      </c>
      <c r="D2371" t="s">
        <v>16</v>
      </c>
      <c r="E2371" t="s">
        <v>1636</v>
      </c>
      <c r="F2371" s="5">
        <v>117400000</v>
      </c>
      <c r="G2371" s="5">
        <v>120400000</v>
      </c>
      <c r="H2371" s="5">
        <f>M2371*26000*1.20565</f>
        <v>104451005.49000001</v>
      </c>
      <c r="I2371" s="5">
        <f>G2371-H2371</f>
        <v>15948994.50999999</v>
      </c>
      <c r="J2371" s="5">
        <v>3000000</v>
      </c>
      <c r="K2371" s="5">
        <v>11740000</v>
      </c>
      <c r="L2371" s="5">
        <v>12040000</v>
      </c>
      <c r="M2371" s="7">
        <v>3332.1</v>
      </c>
      <c r="N2371" s="5">
        <v>117900000</v>
      </c>
      <c r="O2371" s="5">
        <v>120900000</v>
      </c>
      <c r="P2371" s="3">
        <v>0.97916666666666663</v>
      </c>
    </row>
    <row r="2372" spans="1:16" x14ac:dyDescent="0.25">
      <c r="A2372" s="2">
        <v>45936</v>
      </c>
      <c r="B2372" s="2">
        <v>45818</v>
      </c>
      <c r="C2372" t="str">
        <f>TEXT(B2372,"mm")</f>
        <v>06</v>
      </c>
      <c r="D2372" t="s">
        <v>18</v>
      </c>
      <c r="E2372" t="s">
        <v>1636</v>
      </c>
      <c r="F2372" s="5">
        <v>117000000</v>
      </c>
      <c r="G2372" s="5">
        <v>120000000</v>
      </c>
      <c r="H2372" s="5">
        <f>M2372*26000*1.20565</f>
        <v>104099920.21000001</v>
      </c>
      <c r="I2372" s="5">
        <f>G2372-H2372</f>
        <v>15900079.789999992</v>
      </c>
      <c r="J2372" s="5">
        <v>3000000</v>
      </c>
      <c r="K2372" s="5">
        <v>11700000</v>
      </c>
      <c r="L2372" s="5">
        <v>12000000</v>
      </c>
      <c r="M2372" s="7">
        <v>3320.9</v>
      </c>
      <c r="N2372" s="5">
        <v>117500000</v>
      </c>
      <c r="O2372" s="5">
        <v>120500000</v>
      </c>
      <c r="P2372" s="3">
        <v>0.97916666666666663</v>
      </c>
    </row>
    <row r="2373" spans="1:16" x14ac:dyDescent="0.25">
      <c r="A2373" s="2">
        <v>45967</v>
      </c>
      <c r="B2373" s="2">
        <v>45819</v>
      </c>
      <c r="C2373" t="str">
        <f>TEXT(B2373,"mm")</f>
        <v>06</v>
      </c>
      <c r="D2373" t="s">
        <v>19</v>
      </c>
      <c r="E2373" t="s">
        <v>1636</v>
      </c>
      <c r="F2373" s="5">
        <v>117000000</v>
      </c>
      <c r="G2373" s="5">
        <v>120000000</v>
      </c>
      <c r="H2373" s="5">
        <f>M2373*26000*1.20565</f>
        <v>104112458.97000001</v>
      </c>
      <c r="I2373" s="5">
        <f>G2373-H2373</f>
        <v>15887541.029999986</v>
      </c>
      <c r="J2373" s="5">
        <v>3000000</v>
      </c>
      <c r="K2373" s="5">
        <v>11700000</v>
      </c>
      <c r="L2373" s="5">
        <v>12000000</v>
      </c>
      <c r="M2373" s="7">
        <v>3321.3</v>
      </c>
      <c r="N2373" s="5">
        <v>117500000</v>
      </c>
      <c r="O2373" s="5">
        <v>120500000</v>
      </c>
      <c r="P2373" s="3">
        <v>0.97916666666666663</v>
      </c>
    </row>
    <row r="2374" spans="1:16" x14ac:dyDescent="0.25">
      <c r="A2374" s="2">
        <v>45997</v>
      </c>
      <c r="B2374" s="2">
        <v>45820</v>
      </c>
      <c r="C2374" t="str">
        <f>TEXT(B2374,"mm")</f>
        <v>06</v>
      </c>
      <c r="D2374" t="s">
        <v>20</v>
      </c>
      <c r="E2374" t="s">
        <v>1636</v>
      </c>
      <c r="F2374" s="5">
        <v>119200000</v>
      </c>
      <c r="G2374" s="5">
        <v>122200000</v>
      </c>
      <c r="H2374" s="5">
        <f>M2374*26000*1.20565</f>
        <v>105980734.21000001</v>
      </c>
      <c r="I2374" s="5">
        <f>G2374-H2374</f>
        <v>16219265.789999992</v>
      </c>
      <c r="J2374" s="5">
        <v>3000000</v>
      </c>
      <c r="K2374" s="5">
        <v>11920000</v>
      </c>
      <c r="L2374" s="5">
        <v>12220000</v>
      </c>
      <c r="M2374" s="7">
        <v>3380.9</v>
      </c>
      <c r="N2374" s="5">
        <v>119700000</v>
      </c>
      <c r="O2374" s="5">
        <v>122700000</v>
      </c>
      <c r="P2374" s="3">
        <v>0.97916666666666663</v>
      </c>
    </row>
    <row r="2375" spans="1:16" x14ac:dyDescent="0.25">
      <c r="A2375" t="s">
        <v>1453</v>
      </c>
      <c r="B2375" s="2">
        <v>45821</v>
      </c>
      <c r="C2375" t="str">
        <f>TEXT(B2375,"mm")</f>
        <v>06</v>
      </c>
      <c r="D2375" t="s">
        <v>21</v>
      </c>
      <c r="E2375" t="s">
        <v>1636</v>
      </c>
      <c r="F2375" s="5">
        <v>121000000</v>
      </c>
      <c r="G2375" s="5">
        <v>124000000</v>
      </c>
      <c r="H2375" s="5">
        <f>M2375*26000*1.20565</f>
        <v>107557483.28000002</v>
      </c>
      <c r="I2375" s="5">
        <f>G2375-H2375</f>
        <v>16442516.719999984</v>
      </c>
      <c r="J2375" s="5">
        <v>3000000</v>
      </c>
      <c r="K2375" s="5">
        <v>12100000</v>
      </c>
      <c r="L2375" s="5">
        <v>12400000</v>
      </c>
      <c r="M2375" s="7">
        <v>3431.2</v>
      </c>
      <c r="N2375" s="5">
        <v>121500000</v>
      </c>
      <c r="O2375" s="5">
        <v>124500000</v>
      </c>
      <c r="P2375" s="3">
        <v>0.97916666666666663</v>
      </c>
    </row>
    <row r="2376" spans="1:16" x14ac:dyDescent="0.25">
      <c r="A2376" t="s">
        <v>1454</v>
      </c>
      <c r="B2376" s="2">
        <v>45824</v>
      </c>
      <c r="C2376" t="str">
        <f>TEXT(B2376,"mm")</f>
        <v>06</v>
      </c>
      <c r="D2376" t="s">
        <v>16</v>
      </c>
      <c r="E2376" t="s">
        <v>1636</v>
      </c>
      <c r="F2376" s="5">
        <v>119700000</v>
      </c>
      <c r="G2376" s="5">
        <v>122700000</v>
      </c>
      <c r="H2376" s="5">
        <f>M2376*26000*1.20565</f>
        <v>106466611.16000001</v>
      </c>
      <c r="I2376" s="5">
        <f>G2376-H2376</f>
        <v>16233388.839999989</v>
      </c>
      <c r="J2376" s="5">
        <v>3000000</v>
      </c>
      <c r="K2376" s="5">
        <v>11970000</v>
      </c>
      <c r="L2376" s="5">
        <v>12270000</v>
      </c>
      <c r="M2376" s="7">
        <v>3396.4</v>
      </c>
      <c r="N2376" s="5">
        <v>120200000</v>
      </c>
      <c r="O2376" s="5">
        <v>123200000</v>
      </c>
      <c r="P2376" s="3">
        <v>0.97916666666666663</v>
      </c>
    </row>
    <row r="2377" spans="1:16" x14ac:dyDescent="0.25">
      <c r="A2377" t="s">
        <v>1455</v>
      </c>
      <c r="B2377" s="2">
        <v>45825</v>
      </c>
      <c r="C2377" t="str">
        <f>TEXT(B2377,"mm")</f>
        <v>06</v>
      </c>
      <c r="D2377" t="s">
        <v>18</v>
      </c>
      <c r="E2377" t="s">
        <v>1636</v>
      </c>
      <c r="F2377" s="5">
        <v>119400000</v>
      </c>
      <c r="G2377" s="5">
        <v>122400000</v>
      </c>
      <c r="H2377" s="5">
        <f>M2377*26000*1.20565</f>
        <v>106159411.54000001</v>
      </c>
      <c r="I2377" s="5">
        <f>G2377-H2377</f>
        <v>16240588.459999993</v>
      </c>
      <c r="J2377" s="5">
        <v>3000000</v>
      </c>
      <c r="K2377" s="5">
        <v>11940000</v>
      </c>
      <c r="L2377" s="5">
        <v>12240000</v>
      </c>
      <c r="M2377" s="7">
        <v>3386.6</v>
      </c>
      <c r="N2377" s="5">
        <v>119900000</v>
      </c>
      <c r="O2377" s="5">
        <v>122900000</v>
      </c>
      <c r="P2377" s="3">
        <v>0.97916666666666663</v>
      </c>
    </row>
    <row r="2378" spans="1:16" x14ac:dyDescent="0.25">
      <c r="A2378" t="s">
        <v>1456</v>
      </c>
      <c r="B2378" s="2">
        <v>45826</v>
      </c>
      <c r="C2378" t="str">
        <f>TEXT(B2378,"mm")</f>
        <v>06</v>
      </c>
      <c r="D2378" t="s">
        <v>19</v>
      </c>
      <c r="E2378" t="s">
        <v>1636</v>
      </c>
      <c r="F2378" s="5">
        <v>119500000</v>
      </c>
      <c r="G2378" s="5">
        <v>122500000</v>
      </c>
      <c r="H2378" s="5">
        <f>M2378*26000*1.20565</f>
        <v>106259721.62</v>
      </c>
      <c r="I2378" s="5">
        <f>G2378-H2378</f>
        <v>16240278.379999995</v>
      </c>
      <c r="J2378" s="5">
        <v>3000000</v>
      </c>
      <c r="K2378" s="5">
        <v>11950000</v>
      </c>
      <c r="L2378" s="5">
        <v>12250000</v>
      </c>
      <c r="M2378" s="7">
        <v>3389.8</v>
      </c>
      <c r="N2378" s="5">
        <v>120000000</v>
      </c>
      <c r="O2378" s="5">
        <v>123000000</v>
      </c>
      <c r="P2378" s="3">
        <v>0.97916666666666663</v>
      </c>
    </row>
    <row r="2379" spans="1:16" x14ac:dyDescent="0.25">
      <c r="A2379" t="s">
        <v>1457</v>
      </c>
      <c r="B2379" s="2">
        <v>45828</v>
      </c>
      <c r="C2379" t="str">
        <f>TEXT(B2379,"mm")</f>
        <v>06</v>
      </c>
      <c r="D2379" t="s">
        <v>21</v>
      </c>
      <c r="E2379" t="s">
        <v>1636</v>
      </c>
      <c r="F2379" s="5">
        <v>118700000</v>
      </c>
      <c r="G2379" s="5">
        <v>121700000</v>
      </c>
      <c r="H2379" s="5">
        <f>M2379*26000*1.20565</f>
        <v>105579493.89000002</v>
      </c>
      <c r="I2379" s="5">
        <f>G2379-H2379</f>
        <v>16120506.109999985</v>
      </c>
      <c r="J2379" s="5">
        <v>3000000</v>
      </c>
      <c r="K2379" s="5">
        <v>11870000</v>
      </c>
      <c r="L2379" s="5">
        <v>12170000</v>
      </c>
      <c r="M2379" s="7">
        <v>3368.1</v>
      </c>
      <c r="N2379" s="5">
        <v>119200000</v>
      </c>
      <c r="O2379" s="5">
        <v>122200000</v>
      </c>
      <c r="P2379" s="3">
        <v>0.97916666666666663</v>
      </c>
    </row>
    <row r="2380" spans="1:16" x14ac:dyDescent="0.25">
      <c r="A2380" t="s">
        <v>1458</v>
      </c>
      <c r="B2380" s="2">
        <v>45831</v>
      </c>
      <c r="C2380" t="str">
        <f>TEXT(B2380,"mm")</f>
        <v>06</v>
      </c>
      <c r="D2380" t="s">
        <v>16</v>
      </c>
      <c r="E2380" t="s">
        <v>1636</v>
      </c>
      <c r="F2380" s="5">
        <v>119100000</v>
      </c>
      <c r="G2380" s="5">
        <v>122100000</v>
      </c>
      <c r="H2380" s="5">
        <f>M2380*26000*1.20565</f>
        <v>105880424.13000001</v>
      </c>
      <c r="I2380" s="5">
        <f>G2380-H2380</f>
        <v>16219575.86999999</v>
      </c>
      <c r="J2380" s="5">
        <v>3000000</v>
      </c>
      <c r="K2380" s="5">
        <v>11910000</v>
      </c>
      <c r="L2380" s="5">
        <v>12210000</v>
      </c>
      <c r="M2380" s="7">
        <v>3377.7</v>
      </c>
      <c r="N2380" s="5">
        <v>119600000</v>
      </c>
      <c r="O2380" s="5">
        <v>122600000</v>
      </c>
      <c r="P2380" s="3">
        <v>0.97916666666666663</v>
      </c>
    </row>
    <row r="2381" spans="1:16" x14ac:dyDescent="0.25">
      <c r="A2381" t="s">
        <v>1459</v>
      </c>
      <c r="B2381" s="2">
        <v>45832</v>
      </c>
      <c r="C2381" t="str">
        <f>TEXT(B2381,"mm")</f>
        <v>06</v>
      </c>
      <c r="D2381" t="s">
        <v>18</v>
      </c>
      <c r="E2381" t="s">
        <v>1636</v>
      </c>
      <c r="F2381" s="5">
        <v>116900000</v>
      </c>
      <c r="G2381" s="5">
        <v>119900000</v>
      </c>
      <c r="H2381" s="5">
        <f>M2381*26000*1.20565</f>
        <v>103990206.06</v>
      </c>
      <c r="I2381" s="5">
        <f>G2381-H2381</f>
        <v>15909793.939999998</v>
      </c>
      <c r="J2381" s="5">
        <v>3000000</v>
      </c>
      <c r="K2381" s="5">
        <v>11690000</v>
      </c>
      <c r="L2381" s="5">
        <v>11990000</v>
      </c>
      <c r="M2381" s="7">
        <v>3317.4</v>
      </c>
      <c r="N2381" s="5">
        <v>117400000</v>
      </c>
      <c r="O2381" s="5">
        <v>120400000</v>
      </c>
      <c r="P2381" s="3">
        <v>0.97916666666666663</v>
      </c>
    </row>
    <row r="2382" spans="1:16" x14ac:dyDescent="0.25">
      <c r="A2382" t="s">
        <v>1460</v>
      </c>
      <c r="B2382" s="2">
        <v>45833</v>
      </c>
      <c r="C2382" t="str">
        <f>TEXT(B2382,"mm")</f>
        <v>06</v>
      </c>
      <c r="D2382" t="s">
        <v>19</v>
      </c>
      <c r="E2382" t="s">
        <v>1636</v>
      </c>
      <c r="F2382" s="5">
        <v>117200000</v>
      </c>
      <c r="G2382" s="5">
        <v>120200000</v>
      </c>
      <c r="H2382" s="5">
        <f>M2382*26000*1.20565</f>
        <v>104294270.99000001</v>
      </c>
      <c r="I2382" s="5">
        <f>G2382-H2382</f>
        <v>15905729.00999999</v>
      </c>
      <c r="J2382" s="5">
        <v>3000000</v>
      </c>
      <c r="K2382" s="5">
        <v>11720000</v>
      </c>
      <c r="L2382" s="5">
        <v>12020000</v>
      </c>
      <c r="M2382" s="7">
        <v>3327.1</v>
      </c>
      <c r="N2382" s="5">
        <v>117700000</v>
      </c>
      <c r="O2382" s="5">
        <v>120700000</v>
      </c>
      <c r="P2382" s="3">
        <v>0.97916666666666663</v>
      </c>
    </row>
    <row r="2383" spans="1:16" x14ac:dyDescent="0.25">
      <c r="A2383" t="s">
        <v>1461</v>
      </c>
      <c r="B2383" s="2">
        <v>45834</v>
      </c>
      <c r="C2383" t="str">
        <f>TEXT(B2383,"mm")</f>
        <v>06</v>
      </c>
      <c r="D2383" t="s">
        <v>20</v>
      </c>
      <c r="E2383" t="s">
        <v>1636</v>
      </c>
      <c r="F2383" s="5">
        <v>117500000</v>
      </c>
      <c r="G2383" s="5">
        <v>120500000</v>
      </c>
      <c r="H2383" s="5">
        <f>M2383*26000*1.20565</f>
        <v>104494891.15000001</v>
      </c>
      <c r="I2383" s="5">
        <f>G2383-H2383</f>
        <v>16005108.849999994</v>
      </c>
      <c r="J2383" s="5">
        <v>3000000</v>
      </c>
      <c r="K2383" s="5">
        <v>11750000</v>
      </c>
      <c r="L2383" s="5">
        <v>12050000</v>
      </c>
      <c r="M2383" s="7">
        <v>3333.5</v>
      </c>
      <c r="N2383" s="5">
        <v>118000000</v>
      </c>
      <c r="O2383" s="5">
        <v>121000000</v>
      </c>
      <c r="P2383" s="3">
        <v>0.97916666666666663</v>
      </c>
    </row>
    <row r="2384" spans="1:16" x14ac:dyDescent="0.25">
      <c r="A2384" t="s">
        <v>1462</v>
      </c>
      <c r="B2384" s="2">
        <v>45835</v>
      </c>
      <c r="C2384" t="str">
        <f>TEXT(B2384,"mm")</f>
        <v>06</v>
      </c>
      <c r="D2384" t="s">
        <v>21</v>
      </c>
      <c r="E2384" t="s">
        <v>1636</v>
      </c>
      <c r="F2384" s="5">
        <v>115300000</v>
      </c>
      <c r="G2384" s="5">
        <v>118300000</v>
      </c>
      <c r="H2384" s="5">
        <f>M2384*26000*1.20565</f>
        <v>102620346.53000002</v>
      </c>
      <c r="I2384" s="5">
        <f>G2384-H2384</f>
        <v>15679653.469999984</v>
      </c>
      <c r="J2384" s="5">
        <v>3000000</v>
      </c>
      <c r="K2384" s="5">
        <v>11530000</v>
      </c>
      <c r="L2384" s="5">
        <v>11830000</v>
      </c>
      <c r="M2384" s="7">
        <v>3273.7</v>
      </c>
      <c r="N2384" s="5">
        <v>115800000</v>
      </c>
      <c r="O2384" s="5">
        <v>118800000</v>
      </c>
      <c r="P2384" s="3">
        <v>0.97916666666666663</v>
      </c>
    </row>
    <row r="2385" spans="1:16" x14ac:dyDescent="0.25">
      <c r="A2385" t="s">
        <v>1463</v>
      </c>
      <c r="B2385" s="2">
        <v>45838</v>
      </c>
      <c r="C2385" t="str">
        <f>TEXT(B2385,"mm")</f>
        <v>06</v>
      </c>
      <c r="D2385" t="s">
        <v>16</v>
      </c>
      <c r="E2385" t="s">
        <v>1636</v>
      </c>
      <c r="F2385" s="5">
        <v>116000000</v>
      </c>
      <c r="G2385" s="5">
        <v>119000000</v>
      </c>
      <c r="H2385" s="5">
        <f>M2385*26000*1.20565</f>
        <v>103269227.36000001</v>
      </c>
      <c r="I2385" s="5">
        <f>G2385-H2385</f>
        <v>15730772.639999986</v>
      </c>
      <c r="J2385" s="5">
        <v>3000000</v>
      </c>
      <c r="K2385" s="5">
        <v>11600000</v>
      </c>
      <c r="L2385" s="5">
        <v>11900000</v>
      </c>
      <c r="M2385" s="7">
        <v>3294.4</v>
      </c>
      <c r="N2385" s="5">
        <v>116500000</v>
      </c>
      <c r="O2385" s="5">
        <v>119500000</v>
      </c>
      <c r="P2385" s="3">
        <v>0.97916666666666663</v>
      </c>
    </row>
    <row r="2386" spans="1:16" x14ac:dyDescent="0.25">
      <c r="A2386" s="2">
        <v>45664</v>
      </c>
      <c r="B2386" s="2">
        <v>45839</v>
      </c>
      <c r="C2386" t="str">
        <f>TEXT(B2386,"mm")</f>
        <v>07</v>
      </c>
      <c r="D2386" t="s">
        <v>18</v>
      </c>
      <c r="E2386" t="s">
        <v>1636</v>
      </c>
      <c r="F2386" s="5">
        <v>117600000</v>
      </c>
      <c r="G2386" s="5">
        <v>120600000</v>
      </c>
      <c r="H2386" s="5">
        <f>M2386*26000*1.20565</f>
        <v>104595201.23</v>
      </c>
      <c r="I2386" s="5">
        <f>G2386-H2386</f>
        <v>16004798.769999996</v>
      </c>
      <c r="J2386" s="5">
        <v>3000000</v>
      </c>
      <c r="K2386" s="5">
        <v>11760000</v>
      </c>
      <c r="L2386" s="5">
        <v>12060000</v>
      </c>
      <c r="M2386" s="7">
        <v>3336.7</v>
      </c>
      <c r="N2386" s="5">
        <v>118100000</v>
      </c>
      <c r="O2386" s="5">
        <v>121100000</v>
      </c>
      <c r="P2386" s="3">
        <v>0.97916666666666663</v>
      </c>
    </row>
    <row r="2387" spans="1:16" x14ac:dyDescent="0.25">
      <c r="A2387" s="2">
        <v>45695</v>
      </c>
      <c r="B2387" s="2">
        <v>45840</v>
      </c>
      <c r="C2387" t="str">
        <f>TEXT(B2387,"mm")</f>
        <v>07</v>
      </c>
      <c r="D2387" t="s">
        <v>19</v>
      </c>
      <c r="E2387" t="s">
        <v>1636</v>
      </c>
      <c r="F2387" s="5">
        <v>118000000</v>
      </c>
      <c r="G2387" s="5">
        <v>121000000</v>
      </c>
      <c r="H2387" s="5">
        <f>M2387*26000*1.20565</f>
        <v>104949421.2</v>
      </c>
      <c r="I2387" s="5">
        <f>G2387-H2387</f>
        <v>16050578.799999997</v>
      </c>
      <c r="J2387" s="5">
        <v>3000000</v>
      </c>
      <c r="K2387" s="5">
        <v>11800000</v>
      </c>
      <c r="L2387" s="5">
        <v>12100000</v>
      </c>
      <c r="M2387" s="7">
        <v>3348</v>
      </c>
      <c r="N2387" s="5">
        <v>118500000</v>
      </c>
      <c r="O2387" s="5">
        <v>121500000</v>
      </c>
      <c r="P2387" s="3">
        <v>0.97916666666666663</v>
      </c>
    </row>
    <row r="2388" spans="1:16" x14ac:dyDescent="0.25">
      <c r="A2388" s="2">
        <v>45723</v>
      </c>
      <c r="B2388" s="2">
        <v>45841</v>
      </c>
      <c r="C2388" t="str">
        <f>TEXT(B2388,"mm")</f>
        <v>07</v>
      </c>
      <c r="D2388" t="s">
        <v>20</v>
      </c>
      <c r="E2388" t="s">
        <v>1636</v>
      </c>
      <c r="F2388" s="5">
        <v>117400000</v>
      </c>
      <c r="G2388" s="5">
        <v>120400000</v>
      </c>
      <c r="H2388" s="5">
        <f>M2388*26000*1.20565</f>
        <v>104435332.04000001</v>
      </c>
      <c r="I2388" s="5">
        <f>G2388-H2388</f>
        <v>15964667.959999993</v>
      </c>
      <c r="J2388" s="5">
        <v>3000000</v>
      </c>
      <c r="K2388" s="5">
        <v>11740000</v>
      </c>
      <c r="L2388" s="5">
        <v>12040000</v>
      </c>
      <c r="M2388" s="7">
        <v>3331.6</v>
      </c>
      <c r="N2388" s="5">
        <v>117900000</v>
      </c>
      <c r="O2388" s="5">
        <v>120900000</v>
      </c>
      <c r="P2388" s="3">
        <v>0.97916666666666663</v>
      </c>
    </row>
    <row r="2389" spans="1:16" x14ac:dyDescent="0.25">
      <c r="A2389" s="2">
        <v>45754</v>
      </c>
      <c r="B2389" s="2">
        <v>45842</v>
      </c>
      <c r="C2389" t="str">
        <f>TEXT(B2389,"mm")</f>
        <v>07</v>
      </c>
      <c r="D2389" t="s">
        <v>21</v>
      </c>
      <c r="E2389" t="s">
        <v>1636</v>
      </c>
      <c r="F2389" s="5">
        <v>117400000</v>
      </c>
      <c r="G2389" s="5">
        <v>120400000</v>
      </c>
      <c r="H2389" s="5">
        <f>M2389*26000*1.20565</f>
        <v>104463544.25000001</v>
      </c>
      <c r="I2389" s="5">
        <f>G2389-H2389</f>
        <v>15936455.749999985</v>
      </c>
      <c r="J2389" s="5">
        <v>3000000</v>
      </c>
      <c r="K2389" s="5">
        <v>11740000</v>
      </c>
      <c r="L2389" s="5">
        <v>12040000</v>
      </c>
      <c r="M2389" s="7">
        <v>3332.5</v>
      </c>
      <c r="N2389" s="5">
        <v>117900000</v>
      </c>
      <c r="O2389" s="5">
        <v>120900000</v>
      </c>
      <c r="P2389" s="3">
        <v>0.97916666666666663</v>
      </c>
    </row>
    <row r="2390" spans="1:16" x14ac:dyDescent="0.25">
      <c r="A2390" s="2">
        <v>45845</v>
      </c>
      <c r="B2390" s="2">
        <v>45845</v>
      </c>
      <c r="C2390" t="str">
        <f>TEXT(B2390,"mm")</f>
        <v>07</v>
      </c>
      <c r="D2390" t="s">
        <v>16</v>
      </c>
      <c r="E2390" t="s">
        <v>1636</v>
      </c>
      <c r="F2390" s="5">
        <v>117400000</v>
      </c>
      <c r="G2390" s="5">
        <v>120400000</v>
      </c>
      <c r="H2390" s="5">
        <f>M2390*26000*1.20565</f>
        <v>104454140.18000001</v>
      </c>
      <c r="I2390" s="5">
        <f>G2390-H2390</f>
        <v>15945859.819999993</v>
      </c>
      <c r="J2390" s="5">
        <v>3000000</v>
      </c>
      <c r="K2390" s="5">
        <v>11740000</v>
      </c>
      <c r="L2390" s="5">
        <v>12040000</v>
      </c>
      <c r="M2390" s="7">
        <v>3332.2</v>
      </c>
      <c r="N2390" s="5">
        <v>117900000</v>
      </c>
      <c r="O2390" s="5">
        <v>120900000</v>
      </c>
      <c r="P2390" s="3">
        <v>0.97916666666666663</v>
      </c>
    </row>
    <row r="2391" spans="1:16" x14ac:dyDescent="0.25">
      <c r="A2391" s="2">
        <v>45876</v>
      </c>
      <c r="B2391" s="2">
        <v>45846</v>
      </c>
      <c r="C2391" t="str">
        <f>TEXT(B2391,"mm")</f>
        <v>07</v>
      </c>
      <c r="D2391" t="s">
        <v>18</v>
      </c>
      <c r="E2391" t="s">
        <v>1636</v>
      </c>
      <c r="F2391" s="5">
        <v>116500000</v>
      </c>
      <c r="G2391" s="5">
        <v>119500000</v>
      </c>
      <c r="H2391" s="5">
        <f>M2391*26000*1.20565</f>
        <v>103664198.30000001</v>
      </c>
      <c r="I2391" s="5">
        <f>G2391-H2391</f>
        <v>15835801.699999988</v>
      </c>
      <c r="J2391" s="5">
        <v>3000000</v>
      </c>
      <c r="K2391" s="5">
        <v>11650000</v>
      </c>
      <c r="L2391" s="5">
        <v>11950000</v>
      </c>
      <c r="M2391" s="7">
        <v>3307</v>
      </c>
      <c r="N2391" s="5">
        <v>117000000</v>
      </c>
      <c r="O2391" s="5">
        <v>120000000</v>
      </c>
      <c r="P2391" s="3">
        <v>0.97916666666666663</v>
      </c>
    </row>
    <row r="2392" spans="1:16" x14ac:dyDescent="0.25">
      <c r="A2392" s="2">
        <v>45907</v>
      </c>
      <c r="B2392" s="2">
        <v>45847</v>
      </c>
      <c r="C2392" t="str">
        <f>TEXT(B2392,"mm")</f>
        <v>07</v>
      </c>
      <c r="D2392" t="s">
        <v>19</v>
      </c>
      <c r="E2392" t="s">
        <v>1636</v>
      </c>
      <c r="F2392" s="5">
        <v>116700000</v>
      </c>
      <c r="G2392" s="5">
        <v>119700000</v>
      </c>
      <c r="H2392" s="5">
        <f>M2392*26000*1.20565</f>
        <v>103808394.04000001</v>
      </c>
      <c r="I2392" s="5">
        <f>G2392-H2392</f>
        <v>15891605.959999993</v>
      </c>
      <c r="J2392" s="5">
        <v>3000000</v>
      </c>
      <c r="K2392" s="5">
        <v>11670000</v>
      </c>
      <c r="L2392" s="5">
        <v>11970000</v>
      </c>
      <c r="M2392" s="7">
        <v>3311.6</v>
      </c>
      <c r="N2392" s="5">
        <v>117200000</v>
      </c>
      <c r="O2392" s="5">
        <v>120200000</v>
      </c>
      <c r="P2392" s="3">
        <v>0.97916666666666663</v>
      </c>
    </row>
    <row r="2393" spans="1:16" x14ac:dyDescent="0.25">
      <c r="A2393" s="2">
        <v>45937</v>
      </c>
      <c r="B2393" s="2">
        <v>45848</v>
      </c>
      <c r="C2393" t="str">
        <f>TEXT(B2393,"mm")</f>
        <v>07</v>
      </c>
      <c r="D2393" t="s">
        <v>20</v>
      </c>
      <c r="E2393" t="s">
        <v>1636</v>
      </c>
      <c r="F2393" s="5">
        <v>116900000</v>
      </c>
      <c r="G2393" s="5">
        <v>119900000</v>
      </c>
      <c r="H2393" s="5">
        <f>M2393*26000*1.20565</f>
        <v>103990206.06</v>
      </c>
      <c r="I2393" s="5">
        <f>G2393-H2393</f>
        <v>15909793.939999998</v>
      </c>
      <c r="J2393" s="5">
        <v>3000000</v>
      </c>
      <c r="K2393" s="5">
        <v>11690000</v>
      </c>
      <c r="L2393" s="5">
        <v>11990000</v>
      </c>
      <c r="M2393" s="7">
        <v>3317.4</v>
      </c>
      <c r="N2393" s="5">
        <v>117400000</v>
      </c>
      <c r="O2393" s="5">
        <v>120400000</v>
      </c>
      <c r="P2393" s="3">
        <v>0.97916666666666663</v>
      </c>
    </row>
    <row r="2394" spans="1:16" x14ac:dyDescent="0.25">
      <c r="A2394" s="2">
        <v>45968</v>
      </c>
      <c r="B2394" s="2">
        <v>45849</v>
      </c>
      <c r="C2394" t="str">
        <f>TEXT(B2394,"mm")</f>
        <v>07</v>
      </c>
      <c r="D2394" t="s">
        <v>21</v>
      </c>
      <c r="E2394" t="s">
        <v>1636</v>
      </c>
      <c r="F2394" s="5">
        <v>118300000</v>
      </c>
      <c r="G2394" s="5">
        <v>121300000</v>
      </c>
      <c r="H2394" s="5">
        <f>M2394*26000*1.20565</f>
        <v>105200196.40000001</v>
      </c>
      <c r="I2394" s="5">
        <f>G2394-H2394</f>
        <v>16099803.599999994</v>
      </c>
      <c r="J2394" s="5">
        <v>3000000</v>
      </c>
      <c r="K2394" s="5">
        <v>11830000</v>
      </c>
      <c r="L2394" s="5">
        <v>12130000</v>
      </c>
      <c r="M2394" s="7">
        <v>3356</v>
      </c>
      <c r="N2394" s="5">
        <v>118800000</v>
      </c>
      <c r="O2394" s="5">
        <v>121800000</v>
      </c>
      <c r="P2394" s="3">
        <v>0.97916666666666663</v>
      </c>
    </row>
    <row r="2395" spans="1:16" x14ac:dyDescent="0.25">
      <c r="A2395" t="s">
        <v>1464</v>
      </c>
      <c r="B2395" s="2">
        <v>45852</v>
      </c>
      <c r="C2395" t="str">
        <f>TEXT(B2395,"mm")</f>
        <v>07</v>
      </c>
      <c r="D2395" t="s">
        <v>16</v>
      </c>
      <c r="E2395" t="s">
        <v>1636</v>
      </c>
      <c r="F2395" s="5">
        <v>118100000</v>
      </c>
      <c r="G2395" s="5">
        <v>121100000</v>
      </c>
      <c r="H2395" s="5">
        <f>M2395*26000*1.20565</f>
        <v>105059135.35000001</v>
      </c>
      <c r="I2395" s="5">
        <f>G2395-H2395</f>
        <v>16040864.649999991</v>
      </c>
      <c r="J2395" s="5">
        <v>3000000</v>
      </c>
      <c r="K2395" s="5">
        <v>11810000</v>
      </c>
      <c r="L2395" s="5">
        <v>12110000</v>
      </c>
      <c r="M2395" s="7">
        <v>3351.5</v>
      </c>
      <c r="N2395" s="5">
        <v>118600000</v>
      </c>
      <c r="O2395" s="5">
        <v>121600000</v>
      </c>
      <c r="P2395" s="3">
        <v>0.97916666666666663</v>
      </c>
    </row>
    <row r="2396" spans="1:16" x14ac:dyDescent="0.25">
      <c r="A2396" t="s">
        <v>1465</v>
      </c>
      <c r="B2396" s="2">
        <v>45853</v>
      </c>
      <c r="C2396" t="str">
        <f>TEXT(B2396,"mm")</f>
        <v>07</v>
      </c>
      <c r="D2396" t="s">
        <v>18</v>
      </c>
      <c r="E2396" t="s">
        <v>1636</v>
      </c>
      <c r="F2396" s="5">
        <v>117300000</v>
      </c>
      <c r="G2396" s="5">
        <v>120300000</v>
      </c>
      <c r="H2396" s="5">
        <f>M2396*26000*1.20565</f>
        <v>104378907.62</v>
      </c>
      <c r="I2396" s="5">
        <f>G2396-H2396</f>
        <v>15921092.379999995</v>
      </c>
      <c r="J2396" s="5">
        <v>3000000</v>
      </c>
      <c r="K2396" s="5">
        <v>11730000</v>
      </c>
      <c r="L2396" s="5">
        <v>12030000</v>
      </c>
      <c r="M2396" s="7">
        <v>3329.8</v>
      </c>
      <c r="N2396" s="5">
        <v>117800000</v>
      </c>
      <c r="O2396" s="5">
        <v>120800000</v>
      </c>
      <c r="P2396" s="3">
        <v>0.97916666666666663</v>
      </c>
    </row>
    <row r="2397" spans="1:16" x14ac:dyDescent="0.25">
      <c r="A2397" t="s">
        <v>1466</v>
      </c>
      <c r="B2397" s="2">
        <v>45854</v>
      </c>
      <c r="C2397" t="str">
        <f>TEXT(B2397,"mm")</f>
        <v>07</v>
      </c>
      <c r="D2397" t="s">
        <v>19</v>
      </c>
      <c r="E2397" t="s">
        <v>1636</v>
      </c>
      <c r="F2397" s="5">
        <v>118100000</v>
      </c>
      <c r="G2397" s="5">
        <v>121100000</v>
      </c>
      <c r="H2397" s="5">
        <f>M2397*26000*1.20565</f>
        <v>105090482.25000001</v>
      </c>
      <c r="I2397" s="5">
        <f>G2397-H2397</f>
        <v>16009517.749999985</v>
      </c>
      <c r="J2397" s="5">
        <v>3000000</v>
      </c>
      <c r="K2397" s="5">
        <v>11810000</v>
      </c>
      <c r="L2397" s="5">
        <v>12110000</v>
      </c>
      <c r="M2397" s="7">
        <v>3352.5</v>
      </c>
      <c r="N2397" s="5">
        <v>118600000</v>
      </c>
      <c r="O2397" s="5">
        <v>121600000</v>
      </c>
      <c r="P2397" s="3">
        <v>0.97916666666666663</v>
      </c>
    </row>
    <row r="2398" spans="1:16" x14ac:dyDescent="0.25">
      <c r="A2398" t="s">
        <v>1467</v>
      </c>
      <c r="B2398" s="2">
        <v>45855</v>
      </c>
      <c r="C2398" t="str">
        <f>TEXT(B2398,"mm")</f>
        <v>07</v>
      </c>
      <c r="D2398" t="s">
        <v>20</v>
      </c>
      <c r="E2398" t="s">
        <v>1636</v>
      </c>
      <c r="F2398" s="5">
        <v>117700000</v>
      </c>
      <c r="G2398" s="5">
        <v>120700000</v>
      </c>
      <c r="H2398" s="5">
        <f>M2398*26000*1.20565</f>
        <v>104701780.69000001</v>
      </c>
      <c r="I2398" s="5">
        <f>G2398-H2398</f>
        <v>15998219.309999987</v>
      </c>
      <c r="J2398" s="5">
        <v>3000000</v>
      </c>
      <c r="K2398" s="5">
        <v>11770000</v>
      </c>
      <c r="L2398" s="5">
        <v>12070000</v>
      </c>
      <c r="M2398" s="7">
        <v>3340.1</v>
      </c>
      <c r="N2398" s="5">
        <v>118200000</v>
      </c>
      <c r="O2398" s="5">
        <v>121200000</v>
      </c>
      <c r="P2398" s="3">
        <v>0.97916666666666663</v>
      </c>
    </row>
    <row r="2399" spans="1:16" x14ac:dyDescent="0.25">
      <c r="A2399" t="s">
        <v>1468</v>
      </c>
      <c r="B2399" s="2">
        <v>45856</v>
      </c>
      <c r="C2399" t="str">
        <f>TEXT(B2399,"mm")</f>
        <v>07</v>
      </c>
      <c r="D2399" t="s">
        <v>21</v>
      </c>
      <c r="E2399" t="s">
        <v>1636</v>
      </c>
      <c r="F2399" s="5">
        <v>118200000</v>
      </c>
      <c r="G2399" s="5">
        <v>121200000</v>
      </c>
      <c r="H2399" s="5">
        <f>M2399*26000*1.20565</f>
        <v>105106155.7</v>
      </c>
      <c r="I2399" s="5">
        <f>G2399-H2399</f>
        <v>16093844.299999997</v>
      </c>
      <c r="J2399" s="5">
        <v>3000000</v>
      </c>
      <c r="K2399" s="5">
        <v>11820000</v>
      </c>
      <c r="L2399" s="5">
        <v>12120000</v>
      </c>
      <c r="M2399" s="7">
        <v>3353</v>
      </c>
      <c r="N2399" s="5">
        <v>118700000</v>
      </c>
      <c r="O2399" s="5">
        <v>121700000</v>
      </c>
      <c r="P2399" s="3">
        <v>0.97916666666666663</v>
      </c>
    </row>
    <row r="2400" spans="1:16" x14ac:dyDescent="0.25">
      <c r="A2400" t="s">
        <v>1469</v>
      </c>
      <c r="B2400" s="2">
        <v>45859</v>
      </c>
      <c r="C2400" t="str">
        <f>TEXT(B2400,"mm")</f>
        <v>07</v>
      </c>
      <c r="D2400" t="s">
        <v>16</v>
      </c>
      <c r="E2400" t="s">
        <v>1636</v>
      </c>
      <c r="F2400" s="5">
        <v>119900000</v>
      </c>
      <c r="G2400" s="5">
        <v>122900000</v>
      </c>
      <c r="H2400" s="5">
        <f>M2400*26000*1.20565</f>
        <v>106639019.11000001</v>
      </c>
      <c r="I2400" s="5">
        <f>G2400-H2400</f>
        <v>16260980.889999986</v>
      </c>
      <c r="J2400" s="5">
        <v>3000000</v>
      </c>
      <c r="K2400" s="5">
        <v>11990000</v>
      </c>
      <c r="L2400" s="5">
        <v>12290000</v>
      </c>
      <c r="M2400" s="7">
        <v>3401.9</v>
      </c>
      <c r="N2400" s="5">
        <v>120400000</v>
      </c>
      <c r="O2400" s="5">
        <v>123400000</v>
      </c>
      <c r="P2400" s="3">
        <v>0.97916666666666663</v>
      </c>
    </row>
    <row r="2401" spans="1:16" x14ac:dyDescent="0.25">
      <c r="A2401" t="s">
        <v>1470</v>
      </c>
      <c r="B2401" s="2">
        <v>45860</v>
      </c>
      <c r="C2401" t="str">
        <f>TEXT(B2401,"mm")</f>
        <v>07</v>
      </c>
      <c r="D2401" t="s">
        <v>18</v>
      </c>
      <c r="E2401" t="s">
        <v>1636</v>
      </c>
      <c r="F2401" s="5">
        <v>121300000</v>
      </c>
      <c r="G2401" s="5">
        <v>124300000</v>
      </c>
      <c r="H2401" s="5">
        <f>M2401*26000*1.20565</f>
        <v>107808258.48</v>
      </c>
      <c r="I2401" s="5">
        <f>G2401-H2401</f>
        <v>16491741.519999996</v>
      </c>
      <c r="J2401" s="5">
        <v>3000000</v>
      </c>
      <c r="K2401" s="5">
        <v>12130000</v>
      </c>
      <c r="L2401" s="5">
        <v>12430000</v>
      </c>
      <c r="M2401" s="7">
        <v>3439.2</v>
      </c>
      <c r="N2401" s="5">
        <v>121800000</v>
      </c>
      <c r="O2401" s="5">
        <v>124800000</v>
      </c>
      <c r="P2401" s="3">
        <v>0.97916666666666663</v>
      </c>
    </row>
    <row r="2402" spans="1:16" x14ac:dyDescent="0.25">
      <c r="A2402" t="s">
        <v>1471</v>
      </c>
      <c r="B2402" s="2">
        <v>45861</v>
      </c>
      <c r="C2402" t="str">
        <f>TEXT(B2402,"mm")</f>
        <v>07</v>
      </c>
      <c r="D2402" t="s">
        <v>19</v>
      </c>
      <c r="E2402" t="s">
        <v>1636</v>
      </c>
      <c r="F2402" s="5">
        <v>119600000</v>
      </c>
      <c r="G2402" s="5">
        <v>122600000</v>
      </c>
      <c r="H2402" s="5">
        <f>M2402*26000*1.20565</f>
        <v>106394513.29000001</v>
      </c>
      <c r="I2402" s="5">
        <f>G2402-H2402</f>
        <v>16205486.709999993</v>
      </c>
      <c r="J2402" s="5">
        <v>3000000</v>
      </c>
      <c r="K2402" s="5">
        <v>11960000</v>
      </c>
      <c r="L2402" s="5">
        <v>12260000</v>
      </c>
      <c r="M2402" s="7">
        <v>3394.1</v>
      </c>
      <c r="N2402" s="5">
        <v>120100000</v>
      </c>
      <c r="O2402" s="5">
        <v>123100000</v>
      </c>
      <c r="P2402" s="3">
        <v>0.97916666666666663</v>
      </c>
    </row>
    <row r="2403" spans="1:16" x14ac:dyDescent="0.25">
      <c r="A2403" t="s">
        <v>1472</v>
      </c>
      <c r="B2403" s="2">
        <v>45862</v>
      </c>
      <c r="C2403" t="str">
        <f>TEXT(B2403,"mm")</f>
        <v>07</v>
      </c>
      <c r="D2403" t="s">
        <v>20</v>
      </c>
      <c r="E2403" t="s">
        <v>1636</v>
      </c>
      <c r="F2403" s="5">
        <v>118800000</v>
      </c>
      <c r="G2403" s="5">
        <v>121800000</v>
      </c>
      <c r="H2403" s="5">
        <f>M2403*26000*1.20565</f>
        <v>105670399.90000001</v>
      </c>
      <c r="I2403" s="5">
        <f>G2403-H2403</f>
        <v>16129600.099999994</v>
      </c>
      <c r="J2403" s="5">
        <v>3000000</v>
      </c>
      <c r="K2403" s="5">
        <v>11880000</v>
      </c>
      <c r="L2403" s="5">
        <v>12180000</v>
      </c>
      <c r="M2403" s="7">
        <v>3371</v>
      </c>
      <c r="N2403" s="5">
        <v>119300000</v>
      </c>
      <c r="O2403" s="5">
        <v>122300000</v>
      </c>
      <c r="P2403" s="3">
        <v>0.97916666666666663</v>
      </c>
    </row>
    <row r="2404" spans="1:16" x14ac:dyDescent="0.25">
      <c r="A2404" t="s">
        <v>1473</v>
      </c>
      <c r="B2404" s="2">
        <v>45863</v>
      </c>
      <c r="C2404" t="str">
        <f>TEXT(B2404,"mm")</f>
        <v>07</v>
      </c>
      <c r="D2404" t="s">
        <v>21</v>
      </c>
      <c r="E2404" t="s">
        <v>1636</v>
      </c>
      <c r="F2404" s="5">
        <v>117500000</v>
      </c>
      <c r="G2404" s="5">
        <v>120500000</v>
      </c>
      <c r="H2404" s="5">
        <f>M2404*26000*1.20565</f>
        <v>104510564.60000001</v>
      </c>
      <c r="I2404" s="5">
        <f>G2404-H2404</f>
        <v>15989435.399999991</v>
      </c>
      <c r="J2404" s="5">
        <v>3000000</v>
      </c>
      <c r="K2404" s="5">
        <v>11750000</v>
      </c>
      <c r="L2404" s="5">
        <v>12050000</v>
      </c>
      <c r="M2404" s="7">
        <v>3334</v>
      </c>
      <c r="N2404" s="5">
        <v>118000000</v>
      </c>
      <c r="O2404" s="5">
        <v>121000000</v>
      </c>
      <c r="P2404" s="3">
        <v>0.97916666666666663</v>
      </c>
    </row>
    <row r="2405" spans="1:16" x14ac:dyDescent="0.25">
      <c r="A2405" t="s">
        <v>1474</v>
      </c>
      <c r="B2405" s="2">
        <v>45866</v>
      </c>
      <c r="C2405" t="str">
        <f>TEXT(B2405,"mm")</f>
        <v>07</v>
      </c>
      <c r="D2405" t="s">
        <v>16</v>
      </c>
      <c r="E2405" t="s">
        <v>1636</v>
      </c>
      <c r="F2405" s="5">
        <v>116600000</v>
      </c>
      <c r="G2405" s="5">
        <v>119600000</v>
      </c>
      <c r="H2405" s="5">
        <f>M2405*26000*1.20565</f>
        <v>103730026.79000001</v>
      </c>
      <c r="I2405" s="5">
        <f>G2405-H2405</f>
        <v>15869973.209999993</v>
      </c>
      <c r="J2405" s="5">
        <v>3000000</v>
      </c>
      <c r="K2405" s="5">
        <v>11660000</v>
      </c>
      <c r="L2405" s="5">
        <v>11960000</v>
      </c>
      <c r="M2405" s="7">
        <v>3309.1</v>
      </c>
      <c r="N2405" s="5">
        <v>117100000</v>
      </c>
      <c r="O2405" s="5">
        <v>120100000</v>
      </c>
      <c r="P2405" s="3">
        <v>0.97916666666666663</v>
      </c>
    </row>
    <row r="2406" spans="1:16" x14ac:dyDescent="0.25">
      <c r="A2406" t="s">
        <v>1475</v>
      </c>
      <c r="B2406" s="2">
        <v>45867</v>
      </c>
      <c r="C2406" t="str">
        <f>TEXT(B2406,"mm")</f>
        <v>07</v>
      </c>
      <c r="D2406" t="s">
        <v>18</v>
      </c>
      <c r="E2406" t="s">
        <v>1636</v>
      </c>
      <c r="F2406" s="5">
        <v>117100000</v>
      </c>
      <c r="G2406" s="5">
        <v>120100000</v>
      </c>
      <c r="H2406" s="5">
        <f>M2406*26000*1.20565</f>
        <v>104178287.46000001</v>
      </c>
      <c r="I2406" s="5">
        <f>G2406-H2406</f>
        <v>15921712.539999992</v>
      </c>
      <c r="J2406" s="5">
        <v>3000000</v>
      </c>
      <c r="K2406" s="5">
        <v>11710000</v>
      </c>
      <c r="L2406" s="5">
        <v>12010000</v>
      </c>
      <c r="M2406" s="7">
        <v>3323.4</v>
      </c>
      <c r="N2406" s="5">
        <v>117600000</v>
      </c>
      <c r="O2406" s="5">
        <v>120600000</v>
      </c>
      <c r="P2406" s="3">
        <v>0.97916666666666663</v>
      </c>
    </row>
    <row r="2407" spans="1:16" x14ac:dyDescent="0.25">
      <c r="A2407" t="s">
        <v>1476</v>
      </c>
      <c r="B2407" s="2">
        <v>45868</v>
      </c>
      <c r="C2407" t="str">
        <f>TEXT(B2407,"mm")</f>
        <v>07</v>
      </c>
      <c r="D2407" t="s">
        <v>19</v>
      </c>
      <c r="E2407" t="s">
        <v>1636</v>
      </c>
      <c r="F2407" s="5">
        <v>116100000</v>
      </c>
      <c r="G2407" s="5">
        <v>119100000</v>
      </c>
      <c r="H2407" s="5">
        <f>M2407*26000*1.20565</f>
        <v>103313113.02000001</v>
      </c>
      <c r="I2407" s="5">
        <f>G2407-H2407</f>
        <v>15786886.979999989</v>
      </c>
      <c r="J2407" s="5">
        <v>3000000</v>
      </c>
      <c r="K2407" s="5">
        <v>11610000</v>
      </c>
      <c r="L2407" s="5">
        <v>11910000</v>
      </c>
      <c r="M2407" s="7">
        <v>3295.8</v>
      </c>
      <c r="N2407" s="5">
        <v>116600000</v>
      </c>
      <c r="O2407" s="5">
        <v>119600000</v>
      </c>
      <c r="P2407" s="3">
        <v>0.97916666666666663</v>
      </c>
    </row>
    <row r="2408" spans="1:16" x14ac:dyDescent="0.25">
      <c r="A2408" t="s">
        <v>1477</v>
      </c>
      <c r="B2408" s="2">
        <v>45869</v>
      </c>
      <c r="C2408" t="str">
        <f>TEXT(B2408,"mm")</f>
        <v>07</v>
      </c>
      <c r="D2408" t="s">
        <v>20</v>
      </c>
      <c r="E2408" t="s">
        <v>1636</v>
      </c>
      <c r="F2408" s="5">
        <v>116000000</v>
      </c>
      <c r="G2408" s="5">
        <v>119000000</v>
      </c>
      <c r="H2408" s="5">
        <f>M2408*26000*1.20565</f>
        <v>103231611.08000001</v>
      </c>
      <c r="I2408" s="5">
        <f>G2408-H2408</f>
        <v>15768388.919999987</v>
      </c>
      <c r="J2408" s="5">
        <v>3000000</v>
      </c>
      <c r="K2408" s="5">
        <v>11600000</v>
      </c>
      <c r="L2408" s="5">
        <v>11900000</v>
      </c>
      <c r="M2408" s="7">
        <v>3293.2</v>
      </c>
      <c r="N2408" s="5">
        <v>116500000</v>
      </c>
      <c r="O2408" s="5">
        <v>119500000</v>
      </c>
      <c r="P2408" s="3">
        <v>0.97916666666666663</v>
      </c>
    </row>
    <row r="2409" spans="1:16" x14ac:dyDescent="0.25">
      <c r="A2409" s="2">
        <v>45665</v>
      </c>
      <c r="B2409" s="2">
        <v>45870</v>
      </c>
      <c r="C2409" t="str">
        <f>TEXT(B2409,"mm")</f>
        <v>08</v>
      </c>
      <c r="D2409" t="s">
        <v>21</v>
      </c>
      <c r="E2409" t="s">
        <v>1636</v>
      </c>
      <c r="F2409" s="5">
        <v>118000000</v>
      </c>
      <c r="G2409" s="5">
        <v>121000000</v>
      </c>
      <c r="H2409" s="5">
        <f>M2409*26000*1.20565</f>
        <v>104940017.13000001</v>
      </c>
      <c r="I2409" s="5">
        <f>G2409-H2409</f>
        <v>16059982.86999999</v>
      </c>
      <c r="J2409" s="5">
        <v>3000000</v>
      </c>
      <c r="K2409" s="5">
        <v>11800000</v>
      </c>
      <c r="L2409" s="5">
        <v>12100000</v>
      </c>
      <c r="M2409" s="7">
        <v>3347.7</v>
      </c>
      <c r="N2409" s="5">
        <v>118500000</v>
      </c>
      <c r="O2409" s="5">
        <v>121500000</v>
      </c>
      <c r="P2409" s="3">
        <v>0.97916666666666663</v>
      </c>
    </row>
    <row r="2410" spans="1:16" x14ac:dyDescent="0.25">
      <c r="A2410" s="2">
        <v>45755</v>
      </c>
      <c r="B2410" s="2">
        <v>45873</v>
      </c>
      <c r="C2410" t="str">
        <f>TEXT(B2410,"mm")</f>
        <v>08</v>
      </c>
      <c r="D2410" t="s">
        <v>16</v>
      </c>
      <c r="E2410" t="s">
        <v>1636</v>
      </c>
      <c r="F2410" s="5">
        <v>118900000</v>
      </c>
      <c r="G2410" s="5">
        <v>121900000</v>
      </c>
      <c r="H2410" s="5">
        <f>M2410*26000*1.20565</f>
        <v>105776979.36000001</v>
      </c>
      <c r="I2410" s="5">
        <f>G2410-H2410</f>
        <v>16123020.639999986</v>
      </c>
      <c r="J2410" s="5">
        <v>3000000</v>
      </c>
      <c r="K2410" s="5">
        <v>11890000</v>
      </c>
      <c r="L2410" s="5">
        <v>12190000</v>
      </c>
      <c r="M2410" s="7">
        <v>3374.4</v>
      </c>
      <c r="N2410" s="5">
        <v>119400000</v>
      </c>
      <c r="O2410" s="5">
        <v>122400000</v>
      </c>
      <c r="P2410" s="3">
        <v>0.97916666666666663</v>
      </c>
    </row>
    <row r="2411" spans="1:16" x14ac:dyDescent="0.25">
      <c r="A2411" s="2">
        <v>45785</v>
      </c>
      <c r="B2411" s="2">
        <v>45874</v>
      </c>
      <c r="C2411" t="str">
        <f>TEXT(B2411,"mm")</f>
        <v>08</v>
      </c>
      <c r="D2411" t="s">
        <v>18</v>
      </c>
      <c r="E2411" t="s">
        <v>1636</v>
      </c>
      <c r="F2411" s="5">
        <v>119200000</v>
      </c>
      <c r="G2411" s="5">
        <v>122200000</v>
      </c>
      <c r="H2411" s="5">
        <f>M2411*26000*1.20565</f>
        <v>106012081.11000001</v>
      </c>
      <c r="I2411" s="5">
        <f>G2411-H2411</f>
        <v>16187918.889999986</v>
      </c>
      <c r="J2411" s="5">
        <v>3000000</v>
      </c>
      <c r="K2411" s="5">
        <v>11920000</v>
      </c>
      <c r="L2411" s="5">
        <v>12220000</v>
      </c>
      <c r="M2411" s="7">
        <v>3381.9</v>
      </c>
      <c r="N2411" s="5">
        <v>119700000</v>
      </c>
      <c r="O2411" s="5">
        <v>122700000</v>
      </c>
      <c r="P2411" s="3">
        <v>0.97916666666666663</v>
      </c>
    </row>
    <row r="2412" spans="1:16" x14ac:dyDescent="0.25">
      <c r="A2412" s="2">
        <v>45816</v>
      </c>
      <c r="B2412" s="2">
        <v>45875</v>
      </c>
      <c r="C2412" t="str">
        <f>TEXT(B2412,"mm")</f>
        <v>08</v>
      </c>
      <c r="D2412" t="s">
        <v>19</v>
      </c>
      <c r="E2412" t="s">
        <v>1636</v>
      </c>
      <c r="F2412" s="5">
        <v>119100000</v>
      </c>
      <c r="G2412" s="5">
        <v>122100000</v>
      </c>
      <c r="H2412" s="5">
        <f>M2412*26000*1.20565</f>
        <v>105952522.00000001</v>
      </c>
      <c r="I2412" s="5">
        <f>G2412-H2412</f>
        <v>16147477.999999985</v>
      </c>
      <c r="J2412" s="5">
        <v>3000000</v>
      </c>
      <c r="K2412" s="5">
        <v>11910000</v>
      </c>
      <c r="L2412" s="5">
        <v>12210000</v>
      </c>
      <c r="M2412" s="7">
        <v>3380</v>
      </c>
      <c r="N2412" s="5">
        <v>119600000</v>
      </c>
      <c r="O2412" s="5">
        <v>122600000</v>
      </c>
      <c r="P2412" s="3">
        <v>0.97916666666666663</v>
      </c>
    </row>
    <row r="2413" spans="1:16" x14ac:dyDescent="0.25">
      <c r="A2413" s="2">
        <v>45846</v>
      </c>
      <c r="B2413" s="2">
        <v>45876</v>
      </c>
      <c r="C2413" t="str">
        <f>TEXT(B2413,"mm")</f>
        <v>08</v>
      </c>
      <c r="D2413" t="s">
        <v>20</v>
      </c>
      <c r="E2413" t="s">
        <v>1636</v>
      </c>
      <c r="F2413" s="5">
        <v>119900000</v>
      </c>
      <c r="G2413" s="5">
        <v>122900000</v>
      </c>
      <c r="H2413" s="5">
        <f>M2413*26000*1.20565</f>
        <v>106588864.07000001</v>
      </c>
      <c r="I2413" s="5">
        <f>G2413-H2413</f>
        <v>16311135.929999992</v>
      </c>
      <c r="J2413" s="5">
        <v>3000000</v>
      </c>
      <c r="K2413" s="5">
        <v>11990000</v>
      </c>
      <c r="L2413" s="5">
        <v>12290000</v>
      </c>
      <c r="M2413" s="7">
        <v>3400.3</v>
      </c>
      <c r="N2413" s="5">
        <v>120400000</v>
      </c>
      <c r="O2413" s="5">
        <v>123400000</v>
      </c>
      <c r="P2413" s="3">
        <v>0.97916666666666663</v>
      </c>
    </row>
    <row r="2414" spans="1:16" x14ac:dyDescent="0.25">
      <c r="A2414" s="2">
        <v>45877</v>
      </c>
      <c r="B2414" s="2">
        <v>45877</v>
      </c>
      <c r="C2414" t="str">
        <f>TEXT(B2414,"mm")</f>
        <v>08</v>
      </c>
      <c r="D2414" t="s">
        <v>21</v>
      </c>
      <c r="E2414" t="s">
        <v>1636</v>
      </c>
      <c r="F2414" s="5">
        <v>121300000</v>
      </c>
      <c r="G2414" s="5">
        <v>124300000</v>
      </c>
      <c r="H2414" s="5">
        <f>M2414*26000*1.20565</f>
        <v>107805123.79000001</v>
      </c>
      <c r="I2414" s="5">
        <f>G2414-H2414</f>
        <v>16494876.209999993</v>
      </c>
      <c r="J2414" s="5">
        <v>3000000</v>
      </c>
      <c r="K2414" s="5">
        <v>12130000</v>
      </c>
      <c r="L2414" s="5">
        <v>12430000</v>
      </c>
      <c r="M2414" s="7">
        <v>3439.1</v>
      </c>
      <c r="N2414" s="5">
        <v>121800000</v>
      </c>
      <c r="O2414" s="5">
        <v>124800000</v>
      </c>
      <c r="P2414" s="3">
        <v>0.97916666666666663</v>
      </c>
    </row>
    <row r="2415" spans="1:16" x14ac:dyDescent="0.25">
      <c r="A2415" s="2">
        <v>45969</v>
      </c>
      <c r="B2415" s="2">
        <v>45880</v>
      </c>
      <c r="C2415" t="str">
        <f>TEXT(B2415,"mm")</f>
        <v>08</v>
      </c>
      <c r="D2415" t="s">
        <v>16</v>
      </c>
      <c r="E2415" t="s">
        <v>1636</v>
      </c>
      <c r="F2415" s="5">
        <v>118200000</v>
      </c>
      <c r="G2415" s="5">
        <v>121200000</v>
      </c>
      <c r="H2415" s="5">
        <f>M2415*26000*1.20565</f>
        <v>105109290.39000002</v>
      </c>
      <c r="I2415" s="5">
        <f>G2415-H2415</f>
        <v>16090709.609999985</v>
      </c>
      <c r="J2415" s="5">
        <v>3000000</v>
      </c>
      <c r="K2415" s="5">
        <v>11820000</v>
      </c>
      <c r="L2415" s="5">
        <v>12120000</v>
      </c>
      <c r="M2415" s="7">
        <v>3353.1</v>
      </c>
      <c r="N2415" s="5">
        <v>118700000</v>
      </c>
      <c r="O2415" s="5">
        <v>121700000</v>
      </c>
      <c r="P2415" s="3">
        <v>0.97916666666666663</v>
      </c>
    </row>
    <row r="2416" spans="1:16" x14ac:dyDescent="0.25">
      <c r="A2416" s="2">
        <v>45999</v>
      </c>
      <c r="B2416" s="2">
        <v>45881</v>
      </c>
      <c r="C2416" t="str">
        <f>TEXT(B2416,"mm")</f>
        <v>08</v>
      </c>
      <c r="D2416" t="s">
        <v>18</v>
      </c>
      <c r="E2416" t="s">
        <v>1636</v>
      </c>
      <c r="F2416" s="5">
        <v>118000000</v>
      </c>
      <c r="G2416" s="5">
        <v>121000000</v>
      </c>
      <c r="H2416" s="5">
        <f>M2416*26000*1.20565</f>
        <v>104977633.41000001</v>
      </c>
      <c r="I2416" s="5">
        <f>G2416-H2416</f>
        <v>16022366.589999989</v>
      </c>
      <c r="J2416" s="5">
        <v>3000000</v>
      </c>
      <c r="K2416" s="5">
        <v>11800000</v>
      </c>
      <c r="L2416" s="5">
        <v>12100000</v>
      </c>
      <c r="M2416" s="7">
        <v>3348.9</v>
      </c>
      <c r="N2416" s="5">
        <v>118500000</v>
      </c>
      <c r="O2416" s="5">
        <v>121500000</v>
      </c>
      <c r="P2416" s="3">
        <v>0.97916666666666663</v>
      </c>
    </row>
    <row r="2417" spans="1:16" x14ac:dyDescent="0.25">
      <c r="A2417" t="s">
        <v>1478</v>
      </c>
      <c r="B2417" s="2">
        <v>45882</v>
      </c>
      <c r="C2417" t="str">
        <f>TEXT(B2417,"mm")</f>
        <v>08</v>
      </c>
      <c r="D2417" t="s">
        <v>19</v>
      </c>
      <c r="E2417" t="s">
        <v>1636</v>
      </c>
      <c r="F2417" s="5">
        <v>118400000</v>
      </c>
      <c r="G2417" s="5">
        <v>121400000</v>
      </c>
      <c r="H2417" s="5">
        <f>M2417*26000*1.20565</f>
        <v>105284833.03000002</v>
      </c>
      <c r="I2417" s="5">
        <f>G2417-H2417</f>
        <v>16115166.969999984</v>
      </c>
      <c r="J2417" s="5">
        <v>3000000</v>
      </c>
      <c r="K2417" s="5">
        <v>11840000</v>
      </c>
      <c r="L2417" s="5">
        <v>12140000</v>
      </c>
      <c r="M2417" s="7">
        <v>3358.7</v>
      </c>
      <c r="N2417" s="5">
        <v>118900000</v>
      </c>
      <c r="O2417" s="5">
        <v>121900000</v>
      </c>
      <c r="P2417" s="3">
        <v>0.97916666666666663</v>
      </c>
    </row>
    <row r="2418" spans="1:16" x14ac:dyDescent="0.25">
      <c r="A2418" t="s">
        <v>1479</v>
      </c>
      <c r="B2418" s="2">
        <v>45883</v>
      </c>
      <c r="C2418" t="str">
        <f>TEXT(B2418,"mm")</f>
        <v>08</v>
      </c>
      <c r="D2418" t="s">
        <v>20</v>
      </c>
      <c r="E2418" t="s">
        <v>1636</v>
      </c>
      <c r="F2418" s="5">
        <v>117500000</v>
      </c>
      <c r="G2418" s="5">
        <v>120500000</v>
      </c>
      <c r="H2418" s="5">
        <f>M2418*26000*1.20565</f>
        <v>104548180.88000001</v>
      </c>
      <c r="I2418" s="5">
        <f>G2418-H2418</f>
        <v>15951819.11999999</v>
      </c>
      <c r="J2418" s="5">
        <v>3000000</v>
      </c>
      <c r="K2418" s="5">
        <v>11750000</v>
      </c>
      <c r="L2418" s="5">
        <v>12050000</v>
      </c>
      <c r="M2418" s="7">
        <v>3335.2</v>
      </c>
      <c r="N2418" s="5">
        <v>118000000</v>
      </c>
      <c r="O2418" s="5">
        <v>121000000</v>
      </c>
      <c r="P2418" s="3">
        <v>0.97916666666666663</v>
      </c>
    </row>
    <row r="2419" spans="1:16" x14ac:dyDescent="0.25">
      <c r="A2419" t="s">
        <v>1480</v>
      </c>
      <c r="B2419" s="2">
        <v>45884</v>
      </c>
      <c r="C2419" t="str">
        <f>TEXT(B2419,"mm")</f>
        <v>08</v>
      </c>
      <c r="D2419" t="s">
        <v>21</v>
      </c>
      <c r="E2419" t="s">
        <v>1636</v>
      </c>
      <c r="F2419" s="5">
        <v>117500000</v>
      </c>
      <c r="G2419" s="5">
        <v>120500000</v>
      </c>
      <c r="H2419" s="5">
        <f>M2419*26000*1.20565</f>
        <v>104573258.40000001</v>
      </c>
      <c r="I2419" s="5">
        <f>G2419-H2419</f>
        <v>15926741.599999994</v>
      </c>
      <c r="J2419" s="5">
        <v>3000000</v>
      </c>
      <c r="K2419" s="5">
        <v>11750000</v>
      </c>
      <c r="L2419" s="5">
        <v>12050000</v>
      </c>
      <c r="M2419" s="7">
        <v>3336</v>
      </c>
      <c r="N2419" s="5">
        <v>118000000</v>
      </c>
      <c r="O2419" s="5">
        <v>121000000</v>
      </c>
      <c r="P2419" s="3">
        <v>0.97916666666666663</v>
      </c>
    </row>
    <row r="2420" spans="1:16" x14ac:dyDescent="0.25">
      <c r="A2420" t="s">
        <v>1481</v>
      </c>
      <c r="B2420" s="2">
        <v>45887</v>
      </c>
      <c r="C2420" t="str">
        <f>TEXT(B2420,"mm")</f>
        <v>08</v>
      </c>
      <c r="D2420" t="s">
        <v>16</v>
      </c>
      <c r="E2420" t="s">
        <v>1636</v>
      </c>
      <c r="F2420" s="5">
        <v>117400000</v>
      </c>
      <c r="G2420" s="5">
        <v>120400000</v>
      </c>
      <c r="H2420" s="5">
        <f>M2420*26000*1.20565</f>
        <v>104438466.73</v>
      </c>
      <c r="I2420" s="5">
        <f>G2420-H2420</f>
        <v>15961533.269999996</v>
      </c>
      <c r="J2420" s="5">
        <v>3000000</v>
      </c>
      <c r="K2420" s="5">
        <v>11740000</v>
      </c>
      <c r="L2420" s="5">
        <v>12040000</v>
      </c>
      <c r="M2420" s="7">
        <v>3331.7</v>
      </c>
      <c r="N2420" s="5">
        <v>117900000</v>
      </c>
      <c r="O2420" s="5">
        <v>120900000</v>
      </c>
      <c r="P2420" s="3">
        <v>0.97916666666666663</v>
      </c>
    </row>
    <row r="2421" spans="1:16" x14ac:dyDescent="0.25">
      <c r="A2421" t="s">
        <v>1482</v>
      </c>
      <c r="B2421" s="2">
        <v>45888</v>
      </c>
      <c r="C2421" t="str">
        <f>TEXT(B2421,"mm")</f>
        <v>08</v>
      </c>
      <c r="D2421" t="s">
        <v>18</v>
      </c>
      <c r="E2421" t="s">
        <v>1636</v>
      </c>
      <c r="F2421" s="5">
        <v>116700000</v>
      </c>
      <c r="G2421" s="5">
        <v>119700000</v>
      </c>
      <c r="H2421" s="5">
        <f>M2421*26000*1.20565</f>
        <v>103864818.46000001</v>
      </c>
      <c r="I2421" s="5">
        <f>G2421-H2421</f>
        <v>15835181.539999992</v>
      </c>
      <c r="J2421" s="5">
        <v>3000000</v>
      </c>
      <c r="K2421" s="5">
        <v>11670000</v>
      </c>
      <c r="L2421" s="5">
        <v>11970000</v>
      </c>
      <c r="M2421" s="7">
        <v>3313.4</v>
      </c>
      <c r="N2421" s="5">
        <v>117200000</v>
      </c>
      <c r="O2421" s="5">
        <v>120200000</v>
      </c>
      <c r="P2421" s="3">
        <v>0.97916666666666663</v>
      </c>
    </row>
    <row r="2422" spans="1:16" x14ac:dyDescent="0.25">
      <c r="A2422" t="s">
        <v>1483</v>
      </c>
      <c r="B2422" s="2">
        <v>45889</v>
      </c>
      <c r="C2422" t="str">
        <f>TEXT(B2422,"mm")</f>
        <v>08</v>
      </c>
      <c r="D2422" t="s">
        <v>19</v>
      </c>
      <c r="E2422" t="s">
        <v>1636</v>
      </c>
      <c r="F2422" s="5">
        <v>117800000</v>
      </c>
      <c r="G2422" s="5">
        <v>120800000</v>
      </c>
      <c r="H2422" s="5">
        <f>M2422*26000*1.20565</f>
        <v>104805225.46000001</v>
      </c>
      <c r="I2422" s="5">
        <f>G2422-H2422</f>
        <v>15994774.539999992</v>
      </c>
      <c r="J2422" s="5">
        <v>3000000</v>
      </c>
      <c r="K2422" s="5">
        <v>11780000</v>
      </c>
      <c r="L2422" s="5">
        <v>12080000</v>
      </c>
      <c r="M2422" s="7">
        <v>3343.4</v>
      </c>
      <c r="N2422" s="5">
        <v>118300000</v>
      </c>
      <c r="O2422" s="5">
        <v>121300000</v>
      </c>
      <c r="P2422" s="3">
        <v>0.97916666666666663</v>
      </c>
    </row>
    <row r="2423" spans="1:16" x14ac:dyDescent="0.25">
      <c r="A2423" t="s">
        <v>1484</v>
      </c>
      <c r="B2423" s="2">
        <v>45890</v>
      </c>
      <c r="C2423" t="str">
        <f>TEXT(B2423,"mm")</f>
        <v>08</v>
      </c>
      <c r="D2423" t="s">
        <v>20</v>
      </c>
      <c r="E2423" t="s">
        <v>1636</v>
      </c>
      <c r="F2423" s="5">
        <v>117600000</v>
      </c>
      <c r="G2423" s="5">
        <v>120600000</v>
      </c>
      <c r="H2423" s="5">
        <f>M2423*26000*1.20565</f>
        <v>104601470.61000001</v>
      </c>
      <c r="I2423" s="5">
        <f>G2423-H2423</f>
        <v>15998529.389999986</v>
      </c>
      <c r="J2423" s="5">
        <v>3000000</v>
      </c>
      <c r="K2423" s="5">
        <v>11760000</v>
      </c>
      <c r="L2423" s="5">
        <v>12060000</v>
      </c>
      <c r="M2423" s="7">
        <v>3336.9</v>
      </c>
      <c r="N2423" s="5">
        <v>118100000</v>
      </c>
      <c r="O2423" s="5">
        <v>121100000</v>
      </c>
      <c r="P2423" s="3">
        <v>0.97916666666666663</v>
      </c>
    </row>
    <row r="2424" spans="1:16" x14ac:dyDescent="0.25">
      <c r="A2424" t="s">
        <v>1485</v>
      </c>
      <c r="B2424" s="2">
        <v>45891</v>
      </c>
      <c r="C2424" t="str">
        <f>TEXT(B2424,"mm")</f>
        <v>08</v>
      </c>
      <c r="D2424" t="s">
        <v>21</v>
      </c>
      <c r="E2424" t="s">
        <v>1636</v>
      </c>
      <c r="F2424" s="5">
        <v>118900000</v>
      </c>
      <c r="G2424" s="5">
        <v>121900000</v>
      </c>
      <c r="H2424" s="5">
        <f>M2424*26000*1.20565</f>
        <v>105776979.36000001</v>
      </c>
      <c r="I2424" s="5">
        <f>G2424-H2424</f>
        <v>16123020.639999986</v>
      </c>
      <c r="J2424" s="5">
        <v>3000000</v>
      </c>
      <c r="K2424" s="5">
        <v>11890000</v>
      </c>
      <c r="L2424" s="5">
        <v>12190000</v>
      </c>
      <c r="M2424" s="7">
        <v>3374.4</v>
      </c>
      <c r="N2424" s="5">
        <v>119400000</v>
      </c>
      <c r="O2424" s="5">
        <v>122400000</v>
      </c>
      <c r="P2424" s="3">
        <v>0.97916666666666663</v>
      </c>
    </row>
    <row r="2425" spans="1:16" x14ac:dyDescent="0.25">
      <c r="A2425" t="s">
        <v>1486</v>
      </c>
      <c r="B2425" s="2">
        <v>45894</v>
      </c>
      <c r="C2425" t="str">
        <f>TEXT(B2425,"mm")</f>
        <v>08</v>
      </c>
      <c r="D2425" t="s">
        <v>16</v>
      </c>
      <c r="E2425" t="s">
        <v>1636</v>
      </c>
      <c r="F2425" s="5">
        <v>118900000</v>
      </c>
      <c r="G2425" s="5">
        <v>121900000</v>
      </c>
      <c r="H2425" s="5">
        <f>M2425*26000*1.20565</f>
        <v>105758171.22000001</v>
      </c>
      <c r="I2425" s="5">
        <f>G2425-H2425</f>
        <v>16141828.779999986</v>
      </c>
      <c r="J2425" s="5">
        <v>3000000</v>
      </c>
      <c r="K2425" s="5">
        <v>11890000</v>
      </c>
      <c r="L2425" s="5">
        <v>12190000</v>
      </c>
      <c r="M2425" s="7">
        <v>3373.8</v>
      </c>
      <c r="N2425" s="5">
        <v>119400000</v>
      </c>
      <c r="O2425" s="5">
        <v>122400000</v>
      </c>
      <c r="P2425" s="3">
        <v>0.97916666666666663</v>
      </c>
    </row>
    <row r="2426" spans="1:16" x14ac:dyDescent="0.25">
      <c r="A2426" t="s">
        <v>1487</v>
      </c>
      <c r="B2426" s="2">
        <v>45895</v>
      </c>
      <c r="C2426" t="str">
        <f>TEXT(B2426,"mm")</f>
        <v>08</v>
      </c>
      <c r="D2426" t="s">
        <v>18</v>
      </c>
      <c r="E2426" t="s">
        <v>1636</v>
      </c>
      <c r="F2426" s="5">
        <v>119400000</v>
      </c>
      <c r="G2426" s="5">
        <v>122400000</v>
      </c>
      <c r="H2426" s="5">
        <f>M2426*26000*1.20565</f>
        <v>106222105.34</v>
      </c>
      <c r="I2426" s="5">
        <f>G2426-H2426</f>
        <v>16177894.659999996</v>
      </c>
      <c r="J2426" s="5">
        <v>3000000</v>
      </c>
      <c r="K2426" s="5">
        <v>11940000</v>
      </c>
      <c r="L2426" s="5">
        <v>12240000</v>
      </c>
      <c r="M2426" s="7">
        <v>3388.6</v>
      </c>
      <c r="N2426" s="5">
        <v>119900000</v>
      </c>
      <c r="O2426" s="5">
        <v>122900000</v>
      </c>
      <c r="P2426" s="3">
        <v>0.97916666666666663</v>
      </c>
    </row>
    <row r="2427" spans="1:16" x14ac:dyDescent="0.25">
      <c r="A2427" t="s">
        <v>1488</v>
      </c>
      <c r="B2427" s="2">
        <v>45896</v>
      </c>
      <c r="C2427" t="str">
        <f>TEXT(B2427,"mm")</f>
        <v>08</v>
      </c>
      <c r="D2427" t="s">
        <v>19</v>
      </c>
      <c r="E2427" t="s">
        <v>1636</v>
      </c>
      <c r="F2427" s="5">
        <v>120000000</v>
      </c>
      <c r="G2427" s="5">
        <v>123000000</v>
      </c>
      <c r="H2427" s="5">
        <f>M2427*26000*1.20565</f>
        <v>106723655.74000001</v>
      </c>
      <c r="I2427" s="5">
        <f>G2427-H2427</f>
        <v>16276344.25999999</v>
      </c>
      <c r="J2427" s="5">
        <v>3000000</v>
      </c>
      <c r="K2427" s="5">
        <v>12000000</v>
      </c>
      <c r="L2427" s="5">
        <v>12300000</v>
      </c>
      <c r="M2427" s="7">
        <v>3404.6</v>
      </c>
      <c r="N2427" s="5">
        <v>120500000</v>
      </c>
      <c r="O2427" s="5">
        <v>123500000</v>
      </c>
      <c r="P2427" s="3">
        <v>0.97916666666666663</v>
      </c>
    </row>
    <row r="2428" spans="1:16" x14ac:dyDescent="0.25">
      <c r="A2428" t="s">
        <v>1489</v>
      </c>
      <c r="B2428" s="2">
        <v>45897</v>
      </c>
      <c r="C2428" t="str">
        <f>TEXT(B2428,"mm")</f>
        <v>08</v>
      </c>
      <c r="D2428" t="s">
        <v>20</v>
      </c>
      <c r="E2428" t="s">
        <v>1636</v>
      </c>
      <c r="F2428" s="5">
        <v>121000000</v>
      </c>
      <c r="G2428" s="5">
        <v>124000000</v>
      </c>
      <c r="H2428" s="5">
        <f>M2428*26000*1.20565</f>
        <v>107576291.42000002</v>
      </c>
      <c r="I2428" s="5">
        <f>G2428-H2428</f>
        <v>16423708.579999983</v>
      </c>
      <c r="J2428" s="5">
        <v>3000000</v>
      </c>
      <c r="K2428" s="5">
        <v>12100000</v>
      </c>
      <c r="L2428" s="5">
        <v>12400000</v>
      </c>
      <c r="M2428" s="7">
        <v>3431.8</v>
      </c>
      <c r="N2428" s="5">
        <v>121500000</v>
      </c>
      <c r="O2428" s="5">
        <v>124500000</v>
      </c>
      <c r="P2428" s="3">
        <v>0.97916666666666663</v>
      </c>
    </row>
    <row r="2429" spans="1:16" x14ac:dyDescent="0.25">
      <c r="A2429" t="s">
        <v>1490</v>
      </c>
      <c r="B2429" s="2">
        <v>45898</v>
      </c>
      <c r="C2429" t="str">
        <f>TEXT(B2429,"mm")</f>
        <v>08</v>
      </c>
      <c r="D2429" t="s">
        <v>21</v>
      </c>
      <c r="E2429" t="s">
        <v>1636</v>
      </c>
      <c r="F2429" s="5">
        <v>122500000</v>
      </c>
      <c r="G2429" s="5">
        <v>125500000</v>
      </c>
      <c r="H2429" s="5">
        <f>M2429*26000*1.20565</f>
        <v>108889726.53000002</v>
      </c>
      <c r="I2429" s="5">
        <f>G2429-H2429</f>
        <v>16610273.469999984</v>
      </c>
      <c r="J2429" s="5">
        <v>3000000</v>
      </c>
      <c r="K2429" s="5">
        <v>12250000</v>
      </c>
      <c r="L2429" s="5">
        <v>12550000</v>
      </c>
      <c r="M2429" s="7">
        <v>3473.7</v>
      </c>
      <c r="N2429" s="5">
        <v>123000000</v>
      </c>
      <c r="O2429" s="5">
        <v>126000000</v>
      </c>
      <c r="P2429" s="3">
        <v>0.97916666666666663</v>
      </c>
    </row>
    <row r="2430" spans="1:16" x14ac:dyDescent="0.25">
      <c r="A2430" s="2">
        <v>45697</v>
      </c>
      <c r="B2430" s="2">
        <v>45902</v>
      </c>
      <c r="C2430" t="str">
        <f>TEXT(B2430,"mm")</f>
        <v>09</v>
      </c>
      <c r="D2430" t="s">
        <v>18</v>
      </c>
      <c r="E2430" t="s">
        <v>1636</v>
      </c>
      <c r="F2430" s="5">
        <v>125300000</v>
      </c>
      <c r="G2430" s="5">
        <v>128300000</v>
      </c>
      <c r="H2430" s="5">
        <f>M2430*26000*1.20565</f>
        <v>111262686.86000001</v>
      </c>
      <c r="I2430" s="5">
        <f>G2430-H2430</f>
        <v>17037313.139999986</v>
      </c>
      <c r="J2430" s="5">
        <v>3000000</v>
      </c>
      <c r="K2430" s="5">
        <v>12530000</v>
      </c>
      <c r="L2430" s="5">
        <v>12830000</v>
      </c>
      <c r="M2430" s="7">
        <v>3549.4</v>
      </c>
      <c r="N2430" s="5">
        <v>125800000</v>
      </c>
      <c r="O2430" s="5">
        <v>128800000</v>
      </c>
      <c r="P2430" s="3">
        <v>0.97916666666666663</v>
      </c>
    </row>
    <row r="2431" spans="1:16" x14ac:dyDescent="0.25">
      <c r="A2431" s="2">
        <v>45725</v>
      </c>
      <c r="B2431" s="2">
        <v>45903</v>
      </c>
      <c r="C2431" t="str">
        <f>TEXT(B2431,"mm")</f>
        <v>09</v>
      </c>
      <c r="D2431" t="s">
        <v>19</v>
      </c>
      <c r="E2431" t="s">
        <v>1636</v>
      </c>
      <c r="F2431" s="5">
        <v>126800000</v>
      </c>
      <c r="G2431" s="5">
        <v>129800000</v>
      </c>
      <c r="H2431" s="5">
        <f>M2431*26000*1.20565</f>
        <v>112635681.08000001</v>
      </c>
      <c r="I2431" s="5">
        <f>G2431-H2431</f>
        <v>17164318.919999987</v>
      </c>
      <c r="J2431" s="5">
        <v>3000000</v>
      </c>
      <c r="K2431" s="5">
        <v>12680000</v>
      </c>
      <c r="L2431" s="5">
        <v>12980000</v>
      </c>
      <c r="M2431" s="7">
        <v>3593.2</v>
      </c>
      <c r="N2431" s="5">
        <v>127300000</v>
      </c>
      <c r="O2431" s="5">
        <v>130300000</v>
      </c>
      <c r="P2431" s="3">
        <v>0.97916666666666663</v>
      </c>
    </row>
    <row r="2432" spans="1:16" x14ac:dyDescent="0.25">
      <c r="A2432" s="2">
        <v>45756</v>
      </c>
      <c r="B2432" s="2">
        <v>45904</v>
      </c>
      <c r="C2432" t="str">
        <f>TEXT(B2432,"mm")</f>
        <v>09</v>
      </c>
      <c r="D2432" t="s">
        <v>20</v>
      </c>
      <c r="E2432" t="s">
        <v>1636</v>
      </c>
      <c r="F2432" s="5">
        <v>125900000</v>
      </c>
      <c r="G2432" s="5">
        <v>128900000</v>
      </c>
      <c r="H2432" s="5">
        <f>M2432*26000*1.20565</f>
        <v>111776776.02000001</v>
      </c>
      <c r="I2432" s="5">
        <f>G2432-H2432</f>
        <v>17123223.979999989</v>
      </c>
      <c r="J2432" s="5">
        <v>3000000</v>
      </c>
      <c r="K2432" s="5">
        <v>12590000</v>
      </c>
      <c r="L2432" s="5">
        <v>12890000</v>
      </c>
      <c r="M2432" s="7">
        <v>3565.8</v>
      </c>
      <c r="N2432" s="5">
        <v>126400000</v>
      </c>
      <c r="O2432" s="5">
        <v>129400000</v>
      </c>
      <c r="P2432" s="3">
        <v>0.97916666666666663</v>
      </c>
    </row>
    <row r="2433" spans="1:16" x14ac:dyDescent="0.25">
      <c r="A2433" s="2">
        <v>45786</v>
      </c>
      <c r="B2433" s="2">
        <v>45905</v>
      </c>
      <c r="C2433" t="str">
        <f>TEXT(B2433,"mm")</f>
        <v>09</v>
      </c>
      <c r="D2433" t="s">
        <v>21</v>
      </c>
      <c r="E2433" t="s">
        <v>1636</v>
      </c>
      <c r="F2433" s="5">
        <v>127600000</v>
      </c>
      <c r="G2433" s="5">
        <v>130600000</v>
      </c>
      <c r="H2433" s="5">
        <f>M2433*26000*1.20565</f>
        <v>113262619.08000001</v>
      </c>
      <c r="I2433" s="5">
        <f>G2433-H2433</f>
        <v>17337380.919999987</v>
      </c>
      <c r="J2433" s="5">
        <v>3000000</v>
      </c>
      <c r="K2433" s="5">
        <v>12760000</v>
      </c>
      <c r="L2433" s="5">
        <v>13060000</v>
      </c>
      <c r="M2433" s="7">
        <v>3613.2</v>
      </c>
      <c r="N2433" s="5">
        <v>128100000</v>
      </c>
      <c r="O2433" s="5">
        <v>131100000</v>
      </c>
      <c r="P2433" s="3">
        <v>0.97916666666666663</v>
      </c>
    </row>
    <row r="2434" spans="1:16" x14ac:dyDescent="0.25">
      <c r="A2434" s="2">
        <v>45878</v>
      </c>
      <c r="B2434" s="2">
        <v>45908</v>
      </c>
      <c r="C2434" t="str">
        <f>TEXT(B2434,"mm")</f>
        <v>09</v>
      </c>
      <c r="D2434" t="s">
        <v>16</v>
      </c>
      <c r="E2434" t="s">
        <v>1636</v>
      </c>
      <c r="F2434" s="5">
        <v>128500000</v>
      </c>
      <c r="G2434" s="5">
        <v>131500000</v>
      </c>
      <c r="H2434" s="5">
        <f>M2434*26000*1.20565</f>
        <v>114043156.89000002</v>
      </c>
      <c r="I2434" s="5">
        <f>G2434-H2434</f>
        <v>17456843.109999985</v>
      </c>
      <c r="J2434" s="5">
        <v>3000000</v>
      </c>
      <c r="K2434" s="5">
        <v>12850000</v>
      </c>
      <c r="L2434" s="5">
        <v>13150000</v>
      </c>
      <c r="M2434" s="7">
        <v>3638.1</v>
      </c>
      <c r="N2434" s="5">
        <v>129000000</v>
      </c>
      <c r="O2434" s="5">
        <v>132000000</v>
      </c>
      <c r="P2434" s="3">
        <v>0.97916666666666663</v>
      </c>
    </row>
    <row r="2435" spans="1:16" x14ac:dyDescent="0.25">
      <c r="A2435" s="2">
        <v>45909</v>
      </c>
      <c r="B2435" s="2">
        <v>45909</v>
      </c>
      <c r="C2435" t="str">
        <f>TEXT(B2435,"mm")</f>
        <v>09</v>
      </c>
      <c r="D2435" t="s">
        <v>18</v>
      </c>
      <c r="E2435" t="s">
        <v>1636</v>
      </c>
      <c r="F2435" s="5">
        <v>128700000</v>
      </c>
      <c r="G2435" s="5">
        <v>131700000</v>
      </c>
      <c r="H2435" s="5">
        <f>M2435*26000*1.20565</f>
        <v>114206160.77000001</v>
      </c>
      <c r="I2435" s="5">
        <f>G2435-H2435</f>
        <v>17493839.229999989</v>
      </c>
      <c r="J2435" s="5">
        <v>3000000</v>
      </c>
      <c r="K2435" s="5">
        <v>12870000</v>
      </c>
      <c r="L2435" s="5">
        <v>13170000</v>
      </c>
      <c r="M2435" s="7">
        <v>3643.3</v>
      </c>
      <c r="N2435" s="5">
        <v>129200000</v>
      </c>
      <c r="O2435" s="5">
        <v>132200000</v>
      </c>
      <c r="P2435" s="3">
        <v>0.97916666666666663</v>
      </c>
    </row>
    <row r="2436" spans="1:16" x14ac:dyDescent="0.25">
      <c r="A2436" s="2">
        <v>45939</v>
      </c>
      <c r="B2436" s="2">
        <v>45910</v>
      </c>
      <c r="C2436" t="str">
        <f>TEXT(B2436,"mm")</f>
        <v>09</v>
      </c>
      <c r="D2436" t="s">
        <v>19</v>
      </c>
      <c r="E2436" t="s">
        <v>1636</v>
      </c>
      <c r="F2436" s="5">
        <v>128700000</v>
      </c>
      <c r="G2436" s="5">
        <v>131700000</v>
      </c>
      <c r="H2436" s="5">
        <f>M2436*26000*1.20565</f>
        <v>114215564.84</v>
      </c>
      <c r="I2436" s="5">
        <f>G2436-H2436</f>
        <v>17484435.159999996</v>
      </c>
      <c r="J2436" s="5">
        <v>3000000</v>
      </c>
      <c r="K2436" s="5">
        <v>12870000</v>
      </c>
      <c r="L2436" s="5">
        <v>13170000</v>
      </c>
      <c r="M2436" s="7">
        <v>3643.6</v>
      </c>
      <c r="N2436" s="5">
        <v>129200000</v>
      </c>
      <c r="O2436" s="5">
        <v>132200000</v>
      </c>
      <c r="P2436" s="3">
        <v>0.97916666666666663</v>
      </c>
    </row>
    <row r="2437" spans="1:16" x14ac:dyDescent="0.25">
      <c r="A2437" s="2">
        <v>45970</v>
      </c>
      <c r="B2437" s="2">
        <v>45911</v>
      </c>
      <c r="C2437" t="str">
        <f>TEXT(B2437,"mm")</f>
        <v>09</v>
      </c>
      <c r="D2437" t="s">
        <v>20</v>
      </c>
      <c r="E2437" t="s">
        <v>1636</v>
      </c>
      <c r="F2437" s="5">
        <v>128400000</v>
      </c>
      <c r="G2437" s="5">
        <v>131400000</v>
      </c>
      <c r="H2437" s="5">
        <f>M2437*26000*1.20565</f>
        <v>114005540.61000001</v>
      </c>
      <c r="I2437" s="5">
        <f>G2437-H2437</f>
        <v>17394459.389999986</v>
      </c>
      <c r="J2437" s="5">
        <v>3000000</v>
      </c>
      <c r="K2437" s="5">
        <v>12840000</v>
      </c>
      <c r="L2437" s="5">
        <v>13140000</v>
      </c>
      <c r="M2437" s="7">
        <v>3636.9</v>
      </c>
      <c r="N2437" s="5">
        <v>128900000</v>
      </c>
      <c r="O2437" s="5">
        <v>131900000</v>
      </c>
      <c r="P2437" s="3">
        <v>0.97916666666666663</v>
      </c>
    </row>
    <row r="2438" spans="1:16" x14ac:dyDescent="0.25">
      <c r="A2438" s="2">
        <v>46000</v>
      </c>
      <c r="B2438" s="2">
        <v>45912</v>
      </c>
      <c r="C2438" t="str">
        <f>TEXT(B2438,"mm")</f>
        <v>09</v>
      </c>
      <c r="D2438" t="s">
        <v>21</v>
      </c>
      <c r="E2438" t="s">
        <v>1636</v>
      </c>
      <c r="F2438" s="5">
        <v>128900000</v>
      </c>
      <c r="G2438" s="5">
        <v>131900000</v>
      </c>
      <c r="H2438" s="5">
        <f>M2438*26000*1.20565</f>
        <v>114397376.86000001</v>
      </c>
      <c r="I2438" s="5">
        <f>G2438-H2438</f>
        <v>17502623.139999986</v>
      </c>
      <c r="J2438" s="5">
        <v>3000000</v>
      </c>
      <c r="K2438" s="5">
        <v>12890000</v>
      </c>
      <c r="L2438" s="5">
        <v>13190000</v>
      </c>
      <c r="M2438" s="7">
        <v>3649.4</v>
      </c>
      <c r="N2438" s="5">
        <v>129400000</v>
      </c>
      <c r="O2438" s="5">
        <v>132400000</v>
      </c>
      <c r="P2438" s="3">
        <v>0.97916666666666663</v>
      </c>
    </row>
    <row r="2439" spans="1:16" x14ac:dyDescent="0.25">
      <c r="A2439" t="s">
        <v>1491</v>
      </c>
      <c r="B2439" s="2">
        <v>45915</v>
      </c>
      <c r="C2439" t="str">
        <f>TEXT(B2439,"mm")</f>
        <v>09</v>
      </c>
      <c r="D2439" t="s">
        <v>16</v>
      </c>
      <c r="E2439" t="s">
        <v>1636</v>
      </c>
      <c r="F2439" s="5">
        <v>130100000</v>
      </c>
      <c r="G2439" s="5">
        <v>133100000</v>
      </c>
      <c r="H2439" s="5">
        <f>M2439*26000*1.20565</f>
        <v>115425555.18000001</v>
      </c>
      <c r="I2439" s="5">
        <f>G2439-H2439</f>
        <v>17674444.819999993</v>
      </c>
      <c r="J2439" s="5">
        <v>3000000</v>
      </c>
      <c r="K2439" s="5">
        <v>13010000</v>
      </c>
      <c r="L2439" s="5">
        <v>13310000</v>
      </c>
      <c r="M2439" s="7">
        <v>3682.2</v>
      </c>
      <c r="N2439" s="5">
        <v>130600000</v>
      </c>
      <c r="O2439" s="5">
        <v>133600000</v>
      </c>
      <c r="P2439" s="3">
        <v>0.97916666666666663</v>
      </c>
    </row>
    <row r="2440" spans="1:16" x14ac:dyDescent="0.25">
      <c r="A2440" t="s">
        <v>1492</v>
      </c>
      <c r="B2440" s="2">
        <v>45916</v>
      </c>
      <c r="C2440" t="str">
        <f>TEXT(B2440,"mm")</f>
        <v>09</v>
      </c>
      <c r="D2440" t="s">
        <v>18</v>
      </c>
      <c r="E2440" t="s">
        <v>1636</v>
      </c>
      <c r="F2440" s="5">
        <v>130300000</v>
      </c>
      <c r="G2440" s="5">
        <v>133300000</v>
      </c>
      <c r="H2440" s="5">
        <f>M2440*26000*1.20565</f>
        <v>115635579.41000001</v>
      </c>
      <c r="I2440" s="5">
        <f>G2440-H2440</f>
        <v>17664420.589999989</v>
      </c>
      <c r="J2440" s="5">
        <v>3000000</v>
      </c>
      <c r="K2440" s="5">
        <v>13030000</v>
      </c>
      <c r="L2440" s="5">
        <v>13330000</v>
      </c>
      <c r="M2440" s="7">
        <v>3688.9</v>
      </c>
      <c r="N2440" s="5">
        <v>130800000</v>
      </c>
      <c r="O2440" s="5">
        <v>133800000</v>
      </c>
      <c r="P2440" s="3">
        <v>0.97916666666666663</v>
      </c>
    </row>
    <row r="2441" spans="1:16" x14ac:dyDescent="0.25">
      <c r="A2441" t="s">
        <v>1493</v>
      </c>
      <c r="B2441" s="2">
        <v>45917</v>
      </c>
      <c r="C2441" t="str">
        <f>TEXT(B2441,"mm")</f>
        <v>09</v>
      </c>
      <c r="D2441" t="s">
        <v>19</v>
      </c>
      <c r="E2441" t="s">
        <v>1636</v>
      </c>
      <c r="F2441" s="5">
        <v>130000000</v>
      </c>
      <c r="G2441" s="5">
        <v>133000000</v>
      </c>
      <c r="H2441" s="5">
        <f>M2441*26000*1.20565</f>
        <v>115413016.42000002</v>
      </c>
      <c r="I2441" s="5">
        <f>G2441-H2441</f>
        <v>17586983.579999983</v>
      </c>
      <c r="J2441" s="5">
        <v>3000000</v>
      </c>
      <c r="K2441" s="5">
        <v>13000000</v>
      </c>
      <c r="L2441" s="5">
        <v>13300000</v>
      </c>
      <c r="M2441" s="7">
        <v>3681.8</v>
      </c>
      <c r="N2441" s="5">
        <v>130500000</v>
      </c>
      <c r="O2441" s="5">
        <v>133500000</v>
      </c>
      <c r="P2441" s="3">
        <v>0.97916666666666663</v>
      </c>
    </row>
    <row r="2442" spans="1:16" x14ac:dyDescent="0.25">
      <c r="A2442" t="s">
        <v>1494</v>
      </c>
      <c r="B2442" s="2">
        <v>45918</v>
      </c>
      <c r="C2442" t="str">
        <f>TEXT(B2442,"mm")</f>
        <v>09</v>
      </c>
      <c r="D2442" t="s">
        <v>20</v>
      </c>
      <c r="E2442" t="s">
        <v>1636</v>
      </c>
      <c r="F2442" s="5">
        <v>128700000</v>
      </c>
      <c r="G2442" s="5">
        <v>131700000</v>
      </c>
      <c r="H2442" s="5">
        <f>M2442*26000*1.20565</f>
        <v>114218699.53000002</v>
      </c>
      <c r="I2442" s="5">
        <f>G2442-H2442</f>
        <v>17481300.469999984</v>
      </c>
      <c r="J2442" s="5">
        <v>3000000</v>
      </c>
      <c r="K2442" s="5">
        <v>12870000</v>
      </c>
      <c r="L2442" s="5">
        <v>13170000</v>
      </c>
      <c r="M2442" s="7">
        <v>3643.7</v>
      </c>
      <c r="N2442" s="5">
        <v>129200000</v>
      </c>
      <c r="O2442" s="5">
        <v>132200000</v>
      </c>
      <c r="P2442" s="3">
        <v>0.97916666666666663</v>
      </c>
    </row>
    <row r="2443" spans="1:16" x14ac:dyDescent="0.25">
      <c r="A2443" t="s">
        <v>1495</v>
      </c>
      <c r="B2443" s="2">
        <v>45919</v>
      </c>
      <c r="C2443" t="str">
        <f>TEXT(B2443,"mm")</f>
        <v>09</v>
      </c>
      <c r="D2443" t="s">
        <v>21</v>
      </c>
      <c r="E2443" t="s">
        <v>1636</v>
      </c>
      <c r="F2443" s="5">
        <v>129700000</v>
      </c>
      <c r="G2443" s="5">
        <v>132700000</v>
      </c>
      <c r="H2443" s="5">
        <f>M2443*26000*1.20565</f>
        <v>115090143.35000001</v>
      </c>
      <c r="I2443" s="5">
        <f>G2443-H2443</f>
        <v>17609856.649999991</v>
      </c>
      <c r="J2443" s="5">
        <v>3000000</v>
      </c>
      <c r="K2443" s="5">
        <v>12970000</v>
      </c>
      <c r="L2443" s="5">
        <v>13270000</v>
      </c>
      <c r="M2443" s="7">
        <v>3671.5</v>
      </c>
      <c r="N2443" s="5">
        <v>130200000</v>
      </c>
      <c r="O2443" s="5">
        <v>133200000</v>
      </c>
      <c r="P2443" s="3">
        <v>0.97916666666666663</v>
      </c>
    </row>
    <row r="2444" spans="1:16" x14ac:dyDescent="0.25">
      <c r="A2444" t="s">
        <v>1496</v>
      </c>
      <c r="B2444" s="2">
        <v>45922</v>
      </c>
      <c r="C2444" t="str">
        <f>TEXT(B2444,"mm")</f>
        <v>09</v>
      </c>
      <c r="D2444" t="s">
        <v>16</v>
      </c>
      <c r="E2444" t="s">
        <v>1636</v>
      </c>
      <c r="F2444" s="5">
        <v>132200000</v>
      </c>
      <c r="G2444" s="5">
        <v>135200000</v>
      </c>
      <c r="H2444" s="5">
        <f>M2444*26000*1.20565</f>
        <v>117259348.83000001</v>
      </c>
      <c r="I2444" s="5">
        <f>G2444-H2444</f>
        <v>17940651.169999987</v>
      </c>
      <c r="J2444" s="5">
        <v>3000000</v>
      </c>
      <c r="K2444" s="5">
        <v>13220000</v>
      </c>
      <c r="L2444" s="5">
        <v>13520000</v>
      </c>
      <c r="M2444" s="7">
        <v>3740.7</v>
      </c>
      <c r="N2444" s="5">
        <v>132700000</v>
      </c>
      <c r="O2444" s="5">
        <v>135700000</v>
      </c>
      <c r="P2444" s="3">
        <v>0.97916666666666663</v>
      </c>
    </row>
    <row r="2445" spans="1:16" x14ac:dyDescent="0.25">
      <c r="A2445" t="s">
        <v>1497</v>
      </c>
      <c r="B2445" s="2">
        <v>45923</v>
      </c>
      <c r="C2445" t="str">
        <f>TEXT(B2445,"mm")</f>
        <v>09</v>
      </c>
      <c r="D2445" t="s">
        <v>18</v>
      </c>
      <c r="E2445" t="s">
        <v>1636</v>
      </c>
      <c r="F2445" s="5">
        <v>133600000</v>
      </c>
      <c r="G2445" s="5">
        <v>136600000</v>
      </c>
      <c r="H2445" s="5">
        <f>M2445*26000*1.20565</f>
        <v>118510090.14000002</v>
      </c>
      <c r="I2445" s="5">
        <f>G2445-H2445</f>
        <v>18089909.859999985</v>
      </c>
      <c r="J2445" s="5">
        <v>3000000</v>
      </c>
      <c r="K2445" s="5">
        <v>13360000</v>
      </c>
      <c r="L2445" s="5">
        <v>13660000</v>
      </c>
      <c r="M2445" s="7">
        <v>3780.6</v>
      </c>
      <c r="N2445" s="5">
        <v>134100000</v>
      </c>
      <c r="O2445" s="5">
        <v>137100000</v>
      </c>
      <c r="P2445" s="3">
        <v>0.97916666666666663</v>
      </c>
    </row>
    <row r="2446" spans="1:16" x14ac:dyDescent="0.25">
      <c r="A2446" t="s">
        <v>1498</v>
      </c>
      <c r="B2446" s="2">
        <v>45924</v>
      </c>
      <c r="C2446" t="str">
        <f>TEXT(B2446,"mm")</f>
        <v>09</v>
      </c>
      <c r="D2446" t="s">
        <v>19</v>
      </c>
      <c r="E2446" t="s">
        <v>1636</v>
      </c>
      <c r="F2446" s="5">
        <v>131900000</v>
      </c>
      <c r="G2446" s="5">
        <v>134900000</v>
      </c>
      <c r="H2446" s="5">
        <f>M2446*26000*1.20565</f>
        <v>116989765.49000001</v>
      </c>
      <c r="I2446" s="5">
        <f>G2446-H2446</f>
        <v>17910234.50999999</v>
      </c>
      <c r="J2446" s="5">
        <v>3000000</v>
      </c>
      <c r="K2446" s="5">
        <v>13190000</v>
      </c>
      <c r="L2446" s="5">
        <v>13490000</v>
      </c>
      <c r="M2446" s="7">
        <v>3732.1</v>
      </c>
      <c r="N2446" s="5">
        <v>132400000</v>
      </c>
      <c r="O2446" s="5">
        <v>135400000</v>
      </c>
      <c r="P2446" s="3">
        <v>0.97916666666666663</v>
      </c>
    </row>
    <row r="2447" spans="1:16" x14ac:dyDescent="0.25">
      <c r="A2447" t="s">
        <v>1499</v>
      </c>
      <c r="B2447" s="2">
        <v>45925</v>
      </c>
      <c r="C2447" t="str">
        <f>TEXT(B2447,"mm")</f>
        <v>09</v>
      </c>
      <c r="D2447" t="s">
        <v>20</v>
      </c>
      <c r="E2447" t="s">
        <v>1636</v>
      </c>
      <c r="F2447" s="5">
        <v>132000000</v>
      </c>
      <c r="G2447" s="5">
        <v>135000000</v>
      </c>
      <c r="H2447" s="5">
        <f>M2447*26000*1.20565</f>
        <v>117140230.61000001</v>
      </c>
      <c r="I2447" s="5">
        <f>G2447-H2447</f>
        <v>17859769.389999986</v>
      </c>
      <c r="J2447" s="5">
        <v>3000000</v>
      </c>
      <c r="K2447" s="5">
        <v>13200000</v>
      </c>
      <c r="L2447" s="5">
        <v>13500000</v>
      </c>
      <c r="M2447" s="7">
        <v>3736.9</v>
      </c>
      <c r="N2447" s="5">
        <v>132500000</v>
      </c>
      <c r="O2447" s="5">
        <v>135500000</v>
      </c>
      <c r="P2447" s="3">
        <v>0.97916666666666663</v>
      </c>
    </row>
    <row r="2448" spans="1:16" x14ac:dyDescent="0.25">
      <c r="A2448" t="s">
        <v>1500</v>
      </c>
      <c r="B2448" s="2">
        <v>45926</v>
      </c>
      <c r="C2448" t="str">
        <f>TEXT(B2448,"mm")</f>
        <v>09</v>
      </c>
      <c r="D2448" t="s">
        <v>21</v>
      </c>
      <c r="E2448" t="s">
        <v>1636</v>
      </c>
      <c r="F2448" s="5">
        <v>133400000</v>
      </c>
      <c r="G2448" s="5">
        <v>136400000</v>
      </c>
      <c r="H2448" s="5">
        <f>M2448*26000*1.20565</f>
        <v>118343951.57000001</v>
      </c>
      <c r="I2448" s="5">
        <f>G2448-H2448</f>
        <v>18056048.429999992</v>
      </c>
      <c r="J2448" s="5">
        <v>3000000</v>
      </c>
      <c r="K2448" s="5">
        <v>13340000</v>
      </c>
      <c r="L2448" s="5">
        <v>13640000</v>
      </c>
      <c r="M2448" s="7">
        <v>3775.3</v>
      </c>
      <c r="N2448" s="5">
        <v>133900000</v>
      </c>
      <c r="O2448" s="5">
        <v>136900000</v>
      </c>
      <c r="P2448" s="3">
        <v>0.97916666666666663</v>
      </c>
    </row>
    <row r="2449" spans="1:16" x14ac:dyDescent="0.25">
      <c r="A2449" t="s">
        <v>1501</v>
      </c>
      <c r="B2449" s="2">
        <v>45929</v>
      </c>
      <c r="C2449" t="str">
        <f>TEXT(B2449,"mm")</f>
        <v>09</v>
      </c>
      <c r="D2449" t="s">
        <v>16</v>
      </c>
      <c r="E2449" t="s">
        <v>1636</v>
      </c>
      <c r="F2449" s="5">
        <v>135100000</v>
      </c>
      <c r="G2449" s="5">
        <v>138100000</v>
      </c>
      <c r="H2449" s="5">
        <f>M2449*26000*1.20565</f>
        <v>119773370.21000001</v>
      </c>
      <c r="I2449" s="5">
        <f>G2449-H2449</f>
        <v>18326629.789999992</v>
      </c>
      <c r="J2449" s="5">
        <v>3000000</v>
      </c>
      <c r="K2449" s="5">
        <v>13510000</v>
      </c>
      <c r="L2449" s="5">
        <v>13810000</v>
      </c>
      <c r="M2449" s="7">
        <v>3820.9</v>
      </c>
      <c r="N2449" s="5">
        <v>135600000</v>
      </c>
      <c r="O2449" s="5">
        <v>138600000</v>
      </c>
      <c r="P2449" s="3">
        <v>0.97916666666666663</v>
      </c>
    </row>
    <row r="2450" spans="1:16" x14ac:dyDescent="0.25">
      <c r="A2450" t="s">
        <v>1502</v>
      </c>
      <c r="B2450" s="2">
        <v>45930</v>
      </c>
      <c r="C2450" t="str">
        <f>TEXT(B2450,"mm")</f>
        <v>09</v>
      </c>
      <c r="D2450" t="s">
        <v>18</v>
      </c>
      <c r="E2450" t="s">
        <v>1636</v>
      </c>
      <c r="F2450" s="5">
        <v>135800000</v>
      </c>
      <c r="G2450" s="5">
        <v>138800000</v>
      </c>
      <c r="H2450" s="5">
        <f>M2450*26000*1.20565</f>
        <v>120397173.52000001</v>
      </c>
      <c r="I2450" s="5">
        <f>G2450-H2450</f>
        <v>18402826.479999989</v>
      </c>
      <c r="J2450" s="5">
        <v>3000000</v>
      </c>
      <c r="K2450" s="5">
        <v>13580000</v>
      </c>
      <c r="L2450" s="5">
        <v>13880000</v>
      </c>
      <c r="M2450" s="7">
        <v>3840.8</v>
      </c>
      <c r="N2450" s="5">
        <v>136300000</v>
      </c>
      <c r="O2450" s="5">
        <v>139300000</v>
      </c>
      <c r="P2450" s="3">
        <v>0.97916666666666663</v>
      </c>
    </row>
    <row r="2451" spans="1:16" x14ac:dyDescent="0.25">
      <c r="A2451" s="2">
        <v>45667</v>
      </c>
      <c r="B2451" s="2">
        <v>45931</v>
      </c>
      <c r="C2451" t="str">
        <f>TEXT(B2451,"mm")</f>
        <v>10</v>
      </c>
      <c r="D2451" t="s">
        <v>19</v>
      </c>
      <c r="E2451" t="s">
        <v>1636</v>
      </c>
      <c r="F2451" s="5">
        <v>136800000</v>
      </c>
      <c r="G2451" s="5">
        <v>139800000</v>
      </c>
      <c r="H2451" s="5">
        <f>M2451*26000*1.20565</f>
        <v>121234135.75000001</v>
      </c>
      <c r="I2451" s="5">
        <f>G2451-H2451</f>
        <v>18565864.249999985</v>
      </c>
      <c r="J2451" s="5">
        <v>3000000</v>
      </c>
      <c r="K2451" s="5">
        <v>13680000</v>
      </c>
      <c r="L2451" s="5">
        <v>13980000</v>
      </c>
      <c r="M2451" s="7">
        <v>3867.5</v>
      </c>
      <c r="N2451" s="5">
        <v>137300000</v>
      </c>
      <c r="O2451" s="5">
        <v>140300000</v>
      </c>
      <c r="P2451" s="3">
        <v>0.97916666666666663</v>
      </c>
    </row>
    <row r="2452" spans="1:16" x14ac:dyDescent="0.25">
      <c r="A2452" s="2">
        <v>45698</v>
      </c>
      <c r="B2452" s="2">
        <v>45932</v>
      </c>
      <c r="C2452" t="str">
        <f>TEXT(B2452,"mm")</f>
        <v>10</v>
      </c>
      <c r="D2452" t="s">
        <v>20</v>
      </c>
      <c r="E2452" t="s">
        <v>1636</v>
      </c>
      <c r="F2452" s="5">
        <v>135800000</v>
      </c>
      <c r="G2452" s="5">
        <v>138800000</v>
      </c>
      <c r="H2452" s="5">
        <f>M2452*26000*1.20565</f>
        <v>120362691.93000001</v>
      </c>
      <c r="I2452" s="5">
        <f>G2452-H2452</f>
        <v>18437308.069999993</v>
      </c>
      <c r="J2452" s="5">
        <v>3000000</v>
      </c>
      <c r="K2452" s="5">
        <v>13580000</v>
      </c>
      <c r="L2452" s="5">
        <v>13880000</v>
      </c>
      <c r="M2452" s="7">
        <v>3839.7</v>
      </c>
      <c r="N2452" s="5">
        <v>136300000</v>
      </c>
      <c r="O2452" s="5">
        <v>139300000</v>
      </c>
      <c r="P2452" s="3">
        <v>0.97916666666666663</v>
      </c>
    </row>
    <row r="2453" spans="1:16" x14ac:dyDescent="0.25">
      <c r="A2453" s="2">
        <v>45726</v>
      </c>
      <c r="B2453" s="2">
        <v>45933</v>
      </c>
      <c r="C2453" t="str">
        <f>TEXT(B2453,"mm")</f>
        <v>10</v>
      </c>
      <c r="D2453" t="s">
        <v>21</v>
      </c>
      <c r="E2453" t="s">
        <v>1636</v>
      </c>
      <c r="F2453" s="5">
        <v>137200000</v>
      </c>
      <c r="G2453" s="5">
        <v>140200000</v>
      </c>
      <c r="H2453" s="5">
        <f>M2453*26000*1.20565</f>
        <v>121651049.52000001</v>
      </c>
      <c r="I2453" s="5">
        <f>G2453-H2453</f>
        <v>18548950.479999989</v>
      </c>
      <c r="J2453" s="5">
        <v>3000000</v>
      </c>
      <c r="K2453" s="5">
        <v>13720000</v>
      </c>
      <c r="L2453" s="5">
        <v>14020000</v>
      </c>
      <c r="M2453" s="7">
        <v>3880.8</v>
      </c>
      <c r="N2453" s="5">
        <v>137700000</v>
      </c>
      <c r="O2453" s="5">
        <v>140700000</v>
      </c>
      <c r="P2453" s="3">
        <v>0.97916666666666663</v>
      </c>
    </row>
    <row r="2454" spans="1:16" x14ac:dyDescent="0.25">
      <c r="A2454" s="2">
        <v>45818</v>
      </c>
      <c r="B2454" s="2">
        <v>45936</v>
      </c>
      <c r="C2454" t="str">
        <f>TEXT(B2454,"mm")</f>
        <v>10</v>
      </c>
      <c r="D2454" t="s">
        <v>16</v>
      </c>
      <c r="E2454" t="s">
        <v>1636</v>
      </c>
      <c r="F2454" s="5">
        <v>139700000</v>
      </c>
      <c r="G2454" s="5">
        <v>142700000</v>
      </c>
      <c r="H2454" s="5">
        <f>M2454*26000*1.20565</f>
        <v>123773234.65000001</v>
      </c>
      <c r="I2454" s="5">
        <f>G2454-H2454</f>
        <v>18926765.349999994</v>
      </c>
      <c r="J2454" s="5">
        <v>3000000</v>
      </c>
      <c r="K2454" s="5">
        <v>13970000</v>
      </c>
      <c r="L2454" s="5">
        <v>14270000</v>
      </c>
      <c r="M2454" s="7">
        <v>3948.5</v>
      </c>
      <c r="N2454" s="5">
        <v>140200000</v>
      </c>
      <c r="O2454" s="5">
        <v>143200000</v>
      </c>
      <c r="P2454" s="3">
        <v>0.97916666666666663</v>
      </c>
    </row>
    <row r="2455" spans="1:16" x14ac:dyDescent="0.25">
      <c r="A2455" s="2">
        <v>45848</v>
      </c>
      <c r="B2455" s="2">
        <v>45937</v>
      </c>
      <c r="C2455" t="str">
        <f>TEXT(B2455,"mm")</f>
        <v>10</v>
      </c>
      <c r="D2455" t="s">
        <v>18</v>
      </c>
      <c r="E2455" t="s">
        <v>1636</v>
      </c>
      <c r="F2455" s="5">
        <v>140700000</v>
      </c>
      <c r="G2455" s="5">
        <v>143700000</v>
      </c>
      <c r="H2455" s="5">
        <f>M2455*26000*1.20565</f>
        <v>124654082.54000001</v>
      </c>
      <c r="I2455" s="5">
        <f>G2455-H2455</f>
        <v>19045917.459999993</v>
      </c>
      <c r="J2455" s="5">
        <v>3000000</v>
      </c>
      <c r="K2455" s="5">
        <v>14070000</v>
      </c>
      <c r="L2455" s="5">
        <v>14370000</v>
      </c>
      <c r="M2455" s="7">
        <v>3976.6</v>
      </c>
      <c r="N2455" s="5">
        <v>141200000</v>
      </c>
      <c r="O2455" s="5">
        <v>144200000</v>
      </c>
      <c r="P2455" s="3">
        <v>0.97916666666666663</v>
      </c>
    </row>
    <row r="2456" spans="1:16" x14ac:dyDescent="0.25">
      <c r="A2456" s="2">
        <v>45879</v>
      </c>
      <c r="B2456" s="2">
        <v>45938</v>
      </c>
      <c r="C2456" t="str">
        <f>TEXT(B2456,"mm")</f>
        <v>10</v>
      </c>
      <c r="D2456" t="s">
        <v>19</v>
      </c>
      <c r="E2456" t="s">
        <v>1636</v>
      </c>
      <c r="F2456" s="5">
        <v>143100000</v>
      </c>
      <c r="G2456" s="5">
        <v>146100000</v>
      </c>
      <c r="H2456" s="5">
        <f>M2456*26000*1.20565</f>
        <v>126744920.77000001</v>
      </c>
      <c r="I2456" s="5">
        <f>G2456-H2456</f>
        <v>19355079.229999989</v>
      </c>
      <c r="J2456" s="5">
        <v>3000000</v>
      </c>
      <c r="K2456" s="5">
        <v>14310000</v>
      </c>
      <c r="L2456" s="5">
        <v>14610000</v>
      </c>
      <c r="M2456" s="7">
        <v>4043.3</v>
      </c>
      <c r="N2456" s="5">
        <v>143600000</v>
      </c>
      <c r="O2456" s="5">
        <v>146600000</v>
      </c>
      <c r="P2456" s="3">
        <v>0.97916666666666663</v>
      </c>
    </row>
    <row r="2457" spans="1:16" x14ac:dyDescent="0.25">
      <c r="A2457" s="2">
        <v>45910</v>
      </c>
      <c r="B2457" s="2">
        <v>45939</v>
      </c>
      <c r="C2457" t="str">
        <f>TEXT(B2457,"mm")</f>
        <v>10</v>
      </c>
      <c r="D2457" t="s">
        <v>20</v>
      </c>
      <c r="E2457" t="s">
        <v>1636</v>
      </c>
      <c r="F2457" s="5">
        <v>139600000</v>
      </c>
      <c r="G2457" s="5">
        <v>142600000</v>
      </c>
      <c r="H2457" s="5">
        <f>M2457*26000*1.20565</f>
        <v>123704271.47000001</v>
      </c>
      <c r="I2457" s="5">
        <f>G2457-H2457</f>
        <v>18895728.529999986</v>
      </c>
      <c r="J2457" s="5">
        <v>3000000</v>
      </c>
      <c r="K2457" s="5">
        <v>13960000</v>
      </c>
      <c r="L2457" s="5">
        <v>14260000</v>
      </c>
      <c r="M2457" s="7">
        <v>3946.3</v>
      </c>
      <c r="N2457" s="5">
        <v>140100000</v>
      </c>
      <c r="O2457" s="5">
        <v>143100000</v>
      </c>
      <c r="P2457" s="3">
        <v>0.97916666666666663</v>
      </c>
    </row>
    <row r="2458" spans="1:16" x14ac:dyDescent="0.25">
      <c r="A2458" s="2">
        <v>45940</v>
      </c>
      <c r="B2458" s="2">
        <v>45940</v>
      </c>
      <c r="C2458" t="str">
        <f>TEXT(B2458,"mm")</f>
        <v>10</v>
      </c>
      <c r="D2458" t="s">
        <v>21</v>
      </c>
      <c r="E2458" t="s">
        <v>1636</v>
      </c>
      <c r="F2458" s="5">
        <v>140700000</v>
      </c>
      <c r="G2458" s="5">
        <v>143700000</v>
      </c>
      <c r="H2458" s="5">
        <f>M2458*26000*1.20565</f>
        <v>124632139.71000001</v>
      </c>
      <c r="I2458" s="5">
        <f>G2458-H2458</f>
        <v>19067860.289999992</v>
      </c>
      <c r="J2458" s="5">
        <v>3000000</v>
      </c>
      <c r="K2458" s="5">
        <v>14070000</v>
      </c>
      <c r="L2458" s="5">
        <v>14370000</v>
      </c>
      <c r="M2458" s="7">
        <v>3975.9</v>
      </c>
      <c r="N2458" s="5">
        <v>141200000</v>
      </c>
      <c r="O2458" s="5">
        <v>144200000</v>
      </c>
      <c r="P2458" s="3">
        <v>0.97916666666666663</v>
      </c>
    </row>
    <row r="2459" spans="1:16" x14ac:dyDescent="0.25">
      <c r="A2459" t="s">
        <v>1503</v>
      </c>
      <c r="B2459" s="2">
        <v>45943</v>
      </c>
      <c r="C2459" t="str">
        <f>TEXT(B2459,"mm")</f>
        <v>10</v>
      </c>
      <c r="D2459" t="s">
        <v>16</v>
      </c>
      <c r="E2459" t="s">
        <v>1636</v>
      </c>
      <c r="F2459" s="5">
        <v>145500000</v>
      </c>
      <c r="G2459" s="5">
        <v>148500000</v>
      </c>
      <c r="H2459" s="5">
        <f>M2459*26000*1.20565</f>
        <v>128791873.34000003</v>
      </c>
      <c r="I2459" s="5">
        <f>G2459-H2459</f>
        <v>19708126.659999967</v>
      </c>
      <c r="J2459" s="5">
        <v>3000000</v>
      </c>
      <c r="K2459" s="5">
        <v>14550000</v>
      </c>
      <c r="L2459" s="5">
        <v>14850000</v>
      </c>
      <c r="M2459" s="7">
        <v>4108.6000000000004</v>
      </c>
      <c r="N2459" s="5">
        <v>146000000</v>
      </c>
      <c r="O2459" s="5">
        <v>149000000</v>
      </c>
      <c r="P2459" s="3">
        <v>0.97916666666666663</v>
      </c>
    </row>
    <row r="2460" spans="1:16" x14ac:dyDescent="0.25">
      <c r="A2460" t="s">
        <v>1504</v>
      </c>
      <c r="B2460" s="2">
        <v>45944</v>
      </c>
      <c r="C2460" t="str">
        <f>TEXT(B2460,"mm")</f>
        <v>10</v>
      </c>
      <c r="D2460" t="s">
        <v>18</v>
      </c>
      <c r="E2460" t="s">
        <v>1636</v>
      </c>
      <c r="F2460" s="5">
        <v>146600000</v>
      </c>
      <c r="G2460" s="5">
        <v>149600000</v>
      </c>
      <c r="H2460" s="5">
        <f>M2460*26000*1.20565</f>
        <v>129735415.03000002</v>
      </c>
      <c r="I2460" s="5">
        <f>G2460-H2460</f>
        <v>19864584.969999984</v>
      </c>
      <c r="J2460" s="5">
        <v>3000000</v>
      </c>
      <c r="K2460" s="5">
        <v>14660000</v>
      </c>
      <c r="L2460" s="5">
        <v>14960000</v>
      </c>
      <c r="M2460" s="7">
        <v>4138.7</v>
      </c>
      <c r="N2460" s="5">
        <v>147100000</v>
      </c>
      <c r="O2460" s="5">
        <v>150100000</v>
      </c>
      <c r="P2460" s="3">
        <v>0.97916666666666663</v>
      </c>
    </row>
    <row r="2461" spans="1:16" x14ac:dyDescent="0.25">
      <c r="A2461" t="s">
        <v>1505</v>
      </c>
      <c r="B2461" s="2">
        <v>45945</v>
      </c>
      <c r="C2461" t="str">
        <f>TEXT(B2461,"mm")</f>
        <v>10</v>
      </c>
      <c r="D2461" t="s">
        <v>19</v>
      </c>
      <c r="E2461" t="s">
        <v>1636</v>
      </c>
      <c r="F2461" s="5">
        <v>147900000</v>
      </c>
      <c r="G2461" s="5">
        <v>150900000</v>
      </c>
      <c r="H2461" s="5">
        <f>M2461*26000*1.20565</f>
        <v>130932866.61</v>
      </c>
      <c r="I2461" s="5">
        <f>G2461-H2461</f>
        <v>19967133.390000001</v>
      </c>
      <c r="J2461" s="5">
        <v>3000000</v>
      </c>
      <c r="K2461" s="5">
        <v>14790000</v>
      </c>
      <c r="L2461" s="5">
        <v>15090000</v>
      </c>
      <c r="M2461" s="7">
        <v>4176.8999999999996</v>
      </c>
      <c r="N2461" s="5">
        <v>148400000</v>
      </c>
      <c r="O2461" s="5">
        <v>151400000</v>
      </c>
      <c r="P2461" s="3">
        <v>0.97916666666666663</v>
      </c>
    </row>
    <row r="2462" spans="1:16" x14ac:dyDescent="0.25">
      <c r="A2462" t="s">
        <v>1506</v>
      </c>
      <c r="B2462" s="2">
        <v>45946</v>
      </c>
      <c r="C2462" t="str">
        <f>TEXT(B2462,"mm")</f>
        <v>10</v>
      </c>
      <c r="D2462" t="s">
        <v>20</v>
      </c>
      <c r="E2462" t="s">
        <v>1636</v>
      </c>
      <c r="F2462" s="5">
        <v>151700000</v>
      </c>
      <c r="G2462" s="5">
        <v>154700000</v>
      </c>
      <c r="H2462" s="5">
        <f>M2462*26000*1.20565</f>
        <v>134171001.38000001</v>
      </c>
      <c r="I2462" s="5">
        <f>G2462-H2462</f>
        <v>20528998.61999999</v>
      </c>
      <c r="J2462" s="5">
        <v>3000000</v>
      </c>
      <c r="K2462" s="5">
        <v>15170000</v>
      </c>
      <c r="L2462" s="5">
        <v>15470000</v>
      </c>
      <c r="M2462" s="7">
        <v>4280.2</v>
      </c>
      <c r="N2462" s="5">
        <v>152200000</v>
      </c>
      <c r="O2462" s="5">
        <v>155200000</v>
      </c>
      <c r="P2462" s="3">
        <v>0.97916666666666663</v>
      </c>
    </row>
    <row r="2463" spans="1:16" x14ac:dyDescent="0.25">
      <c r="A2463" t="s">
        <v>1507</v>
      </c>
      <c r="B2463" s="2">
        <v>45947</v>
      </c>
      <c r="C2463" t="str">
        <f>TEXT(B2463,"mm")</f>
        <v>10</v>
      </c>
      <c r="D2463" t="s">
        <v>21</v>
      </c>
      <c r="E2463" t="s">
        <v>1636</v>
      </c>
      <c r="F2463" s="5">
        <v>148400000</v>
      </c>
      <c r="G2463" s="5">
        <v>151400000</v>
      </c>
      <c r="H2463" s="5">
        <f>M2463*26000*1.20565</f>
        <v>131340376.30999999</v>
      </c>
      <c r="I2463" s="5">
        <f>G2463-H2463</f>
        <v>20059623.690000013</v>
      </c>
      <c r="J2463" s="5">
        <v>3000000</v>
      </c>
      <c r="K2463" s="5">
        <v>14840000</v>
      </c>
      <c r="L2463" s="5">
        <v>15140000</v>
      </c>
      <c r="M2463" s="7">
        <v>4189.8999999999996</v>
      </c>
      <c r="N2463" s="5">
        <v>148900000</v>
      </c>
      <c r="O2463" s="5">
        <v>151900000</v>
      </c>
      <c r="P2463" s="3">
        <v>0.97916666666666663</v>
      </c>
    </row>
    <row r="2464" spans="1:16" x14ac:dyDescent="0.25">
      <c r="A2464" t="s">
        <v>1508</v>
      </c>
      <c r="B2464" s="2">
        <v>45950</v>
      </c>
      <c r="C2464" t="str">
        <f>TEXT(B2464,"mm")</f>
        <v>10</v>
      </c>
      <c r="D2464" t="s">
        <v>16</v>
      </c>
      <c r="E2464" t="s">
        <v>1636</v>
      </c>
      <c r="F2464" s="5">
        <v>153700000</v>
      </c>
      <c r="G2464" s="5">
        <v>156700000</v>
      </c>
      <c r="H2464" s="5">
        <f>M2464*26000*1.20565</f>
        <v>135932697.16</v>
      </c>
      <c r="I2464" s="5">
        <f>G2464-H2464</f>
        <v>20767302.840000004</v>
      </c>
      <c r="J2464" s="5">
        <v>3000000</v>
      </c>
      <c r="K2464" s="5">
        <v>15370000</v>
      </c>
      <c r="L2464" s="5">
        <v>15670000</v>
      </c>
      <c r="M2464" s="7">
        <v>4336.3999999999996</v>
      </c>
      <c r="N2464" s="5">
        <v>154200000</v>
      </c>
      <c r="O2464" s="5">
        <v>157200000</v>
      </c>
      <c r="P2464" s="3">
        <v>0.97916666666666663</v>
      </c>
    </row>
    <row r="2465" spans="1:16" x14ac:dyDescent="0.25">
      <c r="A2465" t="s">
        <v>1509</v>
      </c>
      <c r="B2465" s="2">
        <v>45951</v>
      </c>
      <c r="C2465" t="str">
        <f>TEXT(B2465,"mm")</f>
        <v>10</v>
      </c>
      <c r="D2465" t="s">
        <v>18</v>
      </c>
      <c r="E2465" t="s">
        <v>1636</v>
      </c>
      <c r="F2465" s="5">
        <v>144700000</v>
      </c>
      <c r="G2465" s="5">
        <v>147700000</v>
      </c>
      <c r="H2465" s="5">
        <f>M2465*26000*1.20565</f>
        <v>128136723.13000001</v>
      </c>
      <c r="I2465" s="5">
        <f>G2465-H2465</f>
        <v>19563276.86999999</v>
      </c>
      <c r="J2465" s="5">
        <v>3000000</v>
      </c>
      <c r="K2465" s="5">
        <v>14470000</v>
      </c>
      <c r="L2465" s="5">
        <v>14770000</v>
      </c>
      <c r="M2465" s="7">
        <v>4087.7</v>
      </c>
      <c r="N2465" s="5">
        <v>145200000</v>
      </c>
      <c r="O2465" s="5">
        <v>148200000</v>
      </c>
      <c r="P2465" s="3">
        <v>0.97916666666666663</v>
      </c>
    </row>
    <row r="2466" spans="1:16" x14ac:dyDescent="0.25">
      <c r="A2466" t="s">
        <v>1510</v>
      </c>
      <c r="B2466" s="2">
        <v>45952</v>
      </c>
      <c r="C2466" t="str">
        <f>TEXT(B2466,"mm")</f>
        <v>10</v>
      </c>
      <c r="D2466" t="s">
        <v>19</v>
      </c>
      <c r="E2466" t="s">
        <v>1636</v>
      </c>
      <c r="F2466" s="5">
        <v>143100000</v>
      </c>
      <c r="G2466" s="5">
        <v>146100000</v>
      </c>
      <c r="H2466" s="5">
        <f>M2466*26000*1.20565</f>
        <v>126779402.36000001</v>
      </c>
      <c r="I2466" s="5">
        <f>G2466-H2466</f>
        <v>19320597.639999986</v>
      </c>
      <c r="J2466" s="5">
        <v>3000000</v>
      </c>
      <c r="K2466" s="5">
        <v>14310000</v>
      </c>
      <c r="L2466" s="5">
        <v>14610000</v>
      </c>
      <c r="M2466" s="7">
        <v>4044.4</v>
      </c>
      <c r="N2466" s="5">
        <v>143600000</v>
      </c>
      <c r="O2466" s="5">
        <v>146600000</v>
      </c>
      <c r="P2466" s="3">
        <v>0.97916666666666663</v>
      </c>
    </row>
    <row r="2467" spans="1:16" x14ac:dyDescent="0.25">
      <c r="A2467" t="s">
        <v>1511</v>
      </c>
      <c r="B2467" s="2">
        <v>45953</v>
      </c>
      <c r="C2467" t="str">
        <f>TEXT(B2467,"mm")</f>
        <v>10</v>
      </c>
      <c r="D2467" t="s">
        <v>20</v>
      </c>
      <c r="E2467" t="s">
        <v>1636</v>
      </c>
      <c r="F2467" s="5">
        <v>146100000</v>
      </c>
      <c r="G2467" s="5">
        <v>149100000</v>
      </c>
      <c r="H2467" s="5">
        <f>M2467*26000*1.20565</f>
        <v>129321635.95000002</v>
      </c>
      <c r="I2467" s="5">
        <f>G2467-H2467</f>
        <v>19778364.049999982</v>
      </c>
      <c r="J2467" s="5">
        <v>3000000</v>
      </c>
      <c r="K2467" s="5">
        <v>14610000</v>
      </c>
      <c r="L2467" s="5">
        <v>14910000</v>
      </c>
      <c r="M2467" s="7">
        <v>4125.5</v>
      </c>
      <c r="N2467" s="5">
        <v>146600000</v>
      </c>
      <c r="O2467" s="5">
        <v>149600000</v>
      </c>
      <c r="P2467" s="3">
        <v>0.97916666666666663</v>
      </c>
    </row>
    <row r="2468" spans="1:16" x14ac:dyDescent="0.25">
      <c r="A2468" t="s">
        <v>1512</v>
      </c>
      <c r="B2468" s="2">
        <v>45954</v>
      </c>
      <c r="C2468" t="str">
        <f>TEXT(B2468,"mm")</f>
        <v>10</v>
      </c>
      <c r="D2468" t="s">
        <v>21</v>
      </c>
      <c r="E2468" t="s">
        <v>1636</v>
      </c>
      <c r="F2468" s="5">
        <v>145800000</v>
      </c>
      <c r="G2468" s="5">
        <v>148800000</v>
      </c>
      <c r="H2468" s="5">
        <f>M2468*26000*1.20565</f>
        <v>129099072.95999999</v>
      </c>
      <c r="I2468" s="5">
        <f>G2468-H2468</f>
        <v>19700927.040000007</v>
      </c>
      <c r="J2468" s="5">
        <v>3000000</v>
      </c>
      <c r="K2468" s="5">
        <v>14580000</v>
      </c>
      <c r="L2468" s="5">
        <v>14880000</v>
      </c>
      <c r="M2468" s="7">
        <v>4118.3999999999996</v>
      </c>
      <c r="N2468" s="5">
        <v>146300000</v>
      </c>
      <c r="O2468" s="5">
        <v>149300000</v>
      </c>
      <c r="P2468" s="3">
        <v>0.97916666666666663</v>
      </c>
    </row>
    <row r="2469" spans="1:16" x14ac:dyDescent="0.25">
      <c r="A2469" t="s">
        <v>1513</v>
      </c>
      <c r="B2469" s="2">
        <v>45957</v>
      </c>
      <c r="C2469" t="str">
        <f>TEXT(B2469,"mm")</f>
        <v>10</v>
      </c>
      <c r="D2469" t="s">
        <v>16</v>
      </c>
      <c r="E2469" t="s">
        <v>1636</v>
      </c>
      <c r="F2469" s="5">
        <v>141600000</v>
      </c>
      <c r="G2469" s="5">
        <v>144600000</v>
      </c>
      <c r="H2469" s="5">
        <f>M2469*26000*1.20565</f>
        <v>125447159.11000001</v>
      </c>
      <c r="I2469" s="5">
        <f>G2469-H2469</f>
        <v>19152840.889999986</v>
      </c>
      <c r="J2469" s="5">
        <v>3000000</v>
      </c>
      <c r="K2469" s="5">
        <v>14160000</v>
      </c>
      <c r="L2469" s="5">
        <v>14460000</v>
      </c>
      <c r="M2469" s="7">
        <v>4001.9</v>
      </c>
      <c r="N2469" s="5">
        <v>142100000</v>
      </c>
      <c r="O2469" s="5">
        <v>145100000</v>
      </c>
      <c r="P2469" s="3">
        <v>0.97916666666666663</v>
      </c>
    </row>
    <row r="2470" spans="1:16" x14ac:dyDescent="0.25">
      <c r="A2470" t="s">
        <v>1514</v>
      </c>
      <c r="B2470" s="2">
        <v>45958</v>
      </c>
      <c r="C2470" t="str">
        <f>TEXT(B2470,"mm")</f>
        <v>10</v>
      </c>
      <c r="D2470" t="s">
        <v>18</v>
      </c>
      <c r="E2470" t="s">
        <v>1636</v>
      </c>
      <c r="F2470" s="5">
        <v>140300000</v>
      </c>
      <c r="G2470" s="5">
        <v>143300000</v>
      </c>
      <c r="H2470" s="5">
        <f>M2470*26000*1.20565</f>
        <v>124328074.78000002</v>
      </c>
      <c r="I2470" s="5">
        <f>G2470-H2470</f>
        <v>18971925.219999984</v>
      </c>
      <c r="J2470" s="5">
        <v>3000000</v>
      </c>
      <c r="K2470" s="5">
        <v>14030000</v>
      </c>
      <c r="L2470" s="5">
        <v>14330000</v>
      </c>
      <c r="M2470" s="7">
        <v>3966.2</v>
      </c>
      <c r="N2470" s="5">
        <v>140800000</v>
      </c>
      <c r="O2470" s="5">
        <v>143800000</v>
      </c>
      <c r="P2470" s="3">
        <v>0.97916666666666663</v>
      </c>
    </row>
    <row r="2471" spans="1:16" x14ac:dyDescent="0.25">
      <c r="A2471" t="s">
        <v>1515</v>
      </c>
      <c r="B2471" s="2">
        <v>45959</v>
      </c>
      <c r="C2471" t="str">
        <f>TEXT(B2471,"mm")</f>
        <v>10</v>
      </c>
      <c r="D2471" t="s">
        <v>19</v>
      </c>
      <c r="E2471" t="s">
        <v>1636</v>
      </c>
      <c r="F2471" s="5">
        <v>141000000</v>
      </c>
      <c r="G2471" s="5">
        <v>144000000</v>
      </c>
      <c r="H2471" s="5">
        <f>M2471*26000*1.20565</f>
        <v>124876645.53000002</v>
      </c>
      <c r="I2471" s="5">
        <f>G2471-H2471</f>
        <v>19123354.469999984</v>
      </c>
      <c r="J2471" s="5">
        <v>3000000</v>
      </c>
      <c r="K2471" s="5">
        <v>14100000</v>
      </c>
      <c r="L2471" s="5">
        <v>14400000</v>
      </c>
      <c r="M2471" s="7">
        <v>3983.7</v>
      </c>
      <c r="N2471" s="5">
        <v>141500000</v>
      </c>
      <c r="O2471" s="5">
        <v>144500000</v>
      </c>
      <c r="P2471" s="3">
        <v>0.97916666666666663</v>
      </c>
    </row>
    <row r="2472" spans="1:16" x14ac:dyDescent="0.25">
      <c r="A2472" t="s">
        <v>1516</v>
      </c>
      <c r="B2472" s="2">
        <v>45960</v>
      </c>
      <c r="C2472" t="str">
        <f>TEXT(B2472,"mm")</f>
        <v>10</v>
      </c>
      <c r="D2472" t="s">
        <v>20</v>
      </c>
      <c r="E2472" t="s">
        <v>1636</v>
      </c>
      <c r="F2472" s="5">
        <v>141600000</v>
      </c>
      <c r="G2472" s="5">
        <v>144600000</v>
      </c>
      <c r="H2472" s="5">
        <f>M2472*26000*1.20565</f>
        <v>125428350.97000001</v>
      </c>
      <c r="I2472" s="5">
        <f>G2472-H2472</f>
        <v>19171649.029999986</v>
      </c>
      <c r="J2472" s="5">
        <v>3000000</v>
      </c>
      <c r="K2472" s="5">
        <v>14160000</v>
      </c>
      <c r="L2472" s="5">
        <v>14460000</v>
      </c>
      <c r="M2472" s="7">
        <v>4001.3</v>
      </c>
      <c r="N2472" s="5">
        <v>142100000</v>
      </c>
      <c r="O2472" s="5">
        <v>145100000</v>
      </c>
      <c r="P2472" s="3">
        <v>0.97916666666666663</v>
      </c>
    </row>
    <row r="2473" spans="1:16" x14ac:dyDescent="0.25">
      <c r="A2473" t="s">
        <v>1517</v>
      </c>
      <c r="B2473" s="2">
        <v>45961</v>
      </c>
      <c r="C2473" t="str">
        <f>TEXT(B2473,"mm")</f>
        <v>10</v>
      </c>
      <c r="D2473" t="s">
        <v>21</v>
      </c>
      <c r="E2473" t="s">
        <v>1636</v>
      </c>
      <c r="F2473" s="5">
        <v>140900000</v>
      </c>
      <c r="G2473" s="5">
        <v>143900000</v>
      </c>
      <c r="H2473" s="5">
        <f>M2473*26000*1.20565</f>
        <v>124829625.18000001</v>
      </c>
      <c r="I2473" s="5">
        <f>G2473-H2473</f>
        <v>19070374.819999993</v>
      </c>
      <c r="J2473" s="5">
        <v>3000000</v>
      </c>
      <c r="K2473" s="5">
        <v>14090000</v>
      </c>
      <c r="L2473" s="5">
        <v>14390000</v>
      </c>
      <c r="M2473" s="7">
        <v>3982.2</v>
      </c>
      <c r="N2473" s="5">
        <v>141400000</v>
      </c>
      <c r="O2473" s="5">
        <v>144400000</v>
      </c>
      <c r="P2473" s="3">
        <v>0.97916666666666663</v>
      </c>
    </row>
    <row r="2474" spans="1:16" x14ac:dyDescent="0.25">
      <c r="A2474" s="2">
        <v>45727</v>
      </c>
      <c r="B2474" s="2">
        <v>45964</v>
      </c>
      <c r="C2474" t="str">
        <f>TEXT(B2474,"mm")</f>
        <v>11</v>
      </c>
      <c r="D2474" t="s">
        <v>16</v>
      </c>
      <c r="E2474" t="s">
        <v>1636</v>
      </c>
      <c r="F2474" s="5">
        <v>141600000</v>
      </c>
      <c r="G2474" s="5">
        <v>144600000</v>
      </c>
      <c r="H2474" s="5">
        <f>M2474*26000*1.20565</f>
        <v>125397004.07000001</v>
      </c>
      <c r="I2474" s="5">
        <f>G2474-H2474</f>
        <v>19202995.929999992</v>
      </c>
      <c r="J2474" s="5">
        <v>3000000</v>
      </c>
      <c r="K2474" s="5">
        <v>14160000</v>
      </c>
      <c r="L2474" s="5">
        <v>14460000</v>
      </c>
      <c r="M2474" s="7">
        <v>4000.3</v>
      </c>
      <c r="N2474" s="5">
        <v>142100000</v>
      </c>
      <c r="O2474" s="5">
        <v>145100000</v>
      </c>
      <c r="P2474" s="3">
        <v>0.97916666666666663</v>
      </c>
    </row>
    <row r="2475" spans="1:16" x14ac:dyDescent="0.25">
      <c r="A2475" s="2">
        <v>45758</v>
      </c>
      <c r="B2475" s="2">
        <v>45965</v>
      </c>
      <c r="C2475" t="str">
        <f>TEXT(B2475,"mm")</f>
        <v>11</v>
      </c>
      <c r="D2475" t="s">
        <v>18</v>
      </c>
      <c r="E2475" t="s">
        <v>1636</v>
      </c>
      <c r="F2475" s="5">
        <v>139700000</v>
      </c>
      <c r="G2475" s="5">
        <v>142700000</v>
      </c>
      <c r="H2475" s="5">
        <f>M2475*26000*1.20565</f>
        <v>123748157.13000001</v>
      </c>
      <c r="I2475" s="5">
        <f>G2475-H2475</f>
        <v>18951842.86999999</v>
      </c>
      <c r="J2475" s="5">
        <v>3000000</v>
      </c>
      <c r="K2475" s="5">
        <v>13970000</v>
      </c>
      <c r="L2475" s="5">
        <v>14270000</v>
      </c>
      <c r="M2475" s="7">
        <v>3947.7</v>
      </c>
      <c r="N2475" s="5">
        <v>140200000</v>
      </c>
      <c r="O2475" s="5">
        <v>143200000</v>
      </c>
      <c r="P2475" s="3">
        <v>0.97916666666666663</v>
      </c>
    </row>
    <row r="2476" spans="1:16" x14ac:dyDescent="0.25">
      <c r="A2476" s="2">
        <v>45788</v>
      </c>
      <c r="B2476" s="2">
        <v>45966</v>
      </c>
      <c r="C2476" t="str">
        <f>TEXT(B2476,"mm")</f>
        <v>11</v>
      </c>
      <c r="D2476" t="s">
        <v>19</v>
      </c>
      <c r="E2476" t="s">
        <v>1636</v>
      </c>
      <c r="F2476" s="5">
        <v>140800000</v>
      </c>
      <c r="G2476" s="5">
        <v>143800000</v>
      </c>
      <c r="H2476" s="5">
        <f>M2476*26000*1.20565</f>
        <v>124770066.07000001</v>
      </c>
      <c r="I2476" s="5">
        <f>G2476-H2476</f>
        <v>19029933.929999992</v>
      </c>
      <c r="J2476" s="5">
        <v>3000000</v>
      </c>
      <c r="K2476" s="5">
        <v>14080000</v>
      </c>
      <c r="L2476" s="5">
        <v>14380000</v>
      </c>
      <c r="M2476" s="7">
        <v>3980.3</v>
      </c>
      <c r="N2476" s="5">
        <v>141300000</v>
      </c>
      <c r="O2476" s="5">
        <v>144300000</v>
      </c>
      <c r="P2476" s="3">
        <v>0.97916666666666663</v>
      </c>
    </row>
    <row r="2477" spans="1:16" x14ac:dyDescent="0.25">
      <c r="A2477" s="2">
        <v>45819</v>
      </c>
      <c r="B2477" s="2">
        <v>45967</v>
      </c>
      <c r="C2477" t="str">
        <f>TEXT(B2477,"mm")</f>
        <v>11</v>
      </c>
      <c r="D2477" t="s">
        <v>20</v>
      </c>
      <c r="E2477" t="s">
        <v>1636</v>
      </c>
      <c r="F2477" s="5">
        <v>140800000</v>
      </c>
      <c r="G2477" s="5">
        <v>143800000</v>
      </c>
      <c r="H2477" s="5">
        <f>M2477*26000*1.20565</f>
        <v>124757527.31000002</v>
      </c>
      <c r="I2477" s="5">
        <f>G2477-H2477</f>
        <v>19042472.689999983</v>
      </c>
      <c r="J2477" s="5">
        <v>3000000</v>
      </c>
      <c r="K2477" s="5">
        <v>14080000</v>
      </c>
      <c r="L2477" s="5">
        <v>14380000</v>
      </c>
      <c r="M2477" s="7">
        <v>3979.9</v>
      </c>
      <c r="N2477" s="5">
        <v>141300000</v>
      </c>
      <c r="O2477" s="5">
        <v>144300000</v>
      </c>
      <c r="P2477" s="3">
        <v>0.97916666666666663</v>
      </c>
    </row>
    <row r="2478" spans="1:16" x14ac:dyDescent="0.25">
      <c r="A2478" s="2">
        <v>45849</v>
      </c>
      <c r="B2478" s="2">
        <v>45968</v>
      </c>
      <c r="C2478" t="str">
        <f>TEXT(B2478,"mm")</f>
        <v>11</v>
      </c>
      <c r="D2478" t="s">
        <v>21</v>
      </c>
      <c r="E2478" t="s">
        <v>1636</v>
      </c>
      <c r="F2478" s="5">
        <v>141500000</v>
      </c>
      <c r="G2478" s="5">
        <v>144500000</v>
      </c>
      <c r="H2478" s="5">
        <f>M2478*26000*1.20565</f>
        <v>125368791.86000001</v>
      </c>
      <c r="I2478" s="5">
        <f>G2478-H2478</f>
        <v>19131208.139999986</v>
      </c>
      <c r="J2478" s="5">
        <v>3000000</v>
      </c>
      <c r="K2478" s="5">
        <v>14150000</v>
      </c>
      <c r="L2478" s="5">
        <v>14450000</v>
      </c>
      <c r="M2478" s="7">
        <v>3999.4</v>
      </c>
      <c r="N2478" s="5">
        <v>142000000</v>
      </c>
      <c r="O2478" s="5">
        <v>145000000</v>
      </c>
      <c r="P2478" s="3">
        <v>0.97916666666666663</v>
      </c>
    </row>
    <row r="2479" spans="1:16" x14ac:dyDescent="0.25">
      <c r="A2479" s="2">
        <v>45941</v>
      </c>
      <c r="B2479" s="2">
        <v>45971</v>
      </c>
      <c r="C2479" t="str">
        <f>TEXT(B2479,"mm")</f>
        <v>11</v>
      </c>
      <c r="D2479" t="s">
        <v>16</v>
      </c>
      <c r="E2479" t="s">
        <v>1636</v>
      </c>
      <c r="F2479" s="5">
        <v>145600000</v>
      </c>
      <c r="G2479" s="5">
        <v>148600000</v>
      </c>
      <c r="H2479" s="5">
        <f>M2479*26000*1.20565</f>
        <v>128892183.42000002</v>
      </c>
      <c r="I2479" s="5">
        <f>G2479-H2479</f>
        <v>19707816.579999983</v>
      </c>
      <c r="J2479" s="5">
        <v>3000000</v>
      </c>
      <c r="K2479" s="5">
        <v>14560000</v>
      </c>
      <c r="L2479" s="5">
        <v>14860000</v>
      </c>
      <c r="M2479" s="7">
        <v>4111.8</v>
      </c>
      <c r="N2479" s="5">
        <v>146100000</v>
      </c>
      <c r="O2479" s="5">
        <v>149100000</v>
      </c>
      <c r="P2479" s="3">
        <v>0.97916666666666663</v>
      </c>
    </row>
    <row r="2480" spans="1:16" x14ac:dyDescent="0.25">
      <c r="A2480" s="2">
        <v>45972</v>
      </c>
      <c r="B2480" s="2">
        <v>45972</v>
      </c>
      <c r="C2480" t="str">
        <f>TEXT(B2480,"mm")</f>
        <v>11</v>
      </c>
      <c r="D2480" t="s">
        <v>18</v>
      </c>
      <c r="E2480" t="s">
        <v>1636</v>
      </c>
      <c r="F2480" s="5">
        <v>145400000</v>
      </c>
      <c r="G2480" s="5">
        <v>148400000</v>
      </c>
      <c r="H2480" s="5">
        <f>M2480*26000*1.20565</f>
        <v>128735448.92000002</v>
      </c>
      <c r="I2480" s="5">
        <f>G2480-H2480</f>
        <v>19664551.079999983</v>
      </c>
      <c r="J2480" s="5">
        <v>3000000</v>
      </c>
      <c r="K2480" s="5">
        <v>14540000</v>
      </c>
      <c r="L2480" s="5">
        <v>14840000</v>
      </c>
      <c r="M2480" s="7">
        <v>4106.8</v>
      </c>
      <c r="N2480" s="5">
        <v>145900000</v>
      </c>
      <c r="O2480" s="5">
        <v>148900000</v>
      </c>
      <c r="P2480" s="3">
        <v>0.97916666666666663</v>
      </c>
    </row>
    <row r="2481" spans="1:16" x14ac:dyDescent="0.25">
      <c r="A2481" s="2">
        <v>46002</v>
      </c>
      <c r="B2481" s="2">
        <v>45973</v>
      </c>
      <c r="C2481" t="str">
        <f>TEXT(B2481,"mm")</f>
        <v>11</v>
      </c>
      <c r="D2481" t="s">
        <v>19</v>
      </c>
      <c r="E2481" t="s">
        <v>1636</v>
      </c>
      <c r="F2481" s="5">
        <v>148900000</v>
      </c>
      <c r="G2481" s="5">
        <v>151900000</v>
      </c>
      <c r="H2481" s="5">
        <f>M2481*26000*1.20565</f>
        <v>131794906.36</v>
      </c>
      <c r="I2481" s="5">
        <f>G2481-H2481</f>
        <v>20105093.640000001</v>
      </c>
      <c r="J2481" s="5">
        <v>3000000</v>
      </c>
      <c r="K2481" s="5">
        <v>14890000</v>
      </c>
      <c r="L2481" s="5">
        <v>15190000</v>
      </c>
      <c r="M2481" s="7">
        <v>4204.3999999999996</v>
      </c>
      <c r="N2481" s="5">
        <v>149400000</v>
      </c>
      <c r="O2481" s="5">
        <v>152400000</v>
      </c>
      <c r="P2481" s="3">
        <v>0.97916666666666663</v>
      </c>
    </row>
    <row r="2482" spans="1:16" x14ac:dyDescent="0.25">
      <c r="A2482" t="s">
        <v>1518</v>
      </c>
      <c r="B2482" s="2">
        <v>45974</v>
      </c>
      <c r="C2482" t="str">
        <f>TEXT(B2482,"mm")</f>
        <v>11</v>
      </c>
      <c r="D2482" t="s">
        <v>20</v>
      </c>
      <c r="E2482" t="s">
        <v>1636</v>
      </c>
      <c r="F2482" s="5">
        <v>148300000</v>
      </c>
      <c r="G2482" s="5">
        <v>151300000</v>
      </c>
      <c r="H2482" s="5">
        <f>M2482*26000*1.20565</f>
        <v>131246335.61</v>
      </c>
      <c r="I2482" s="5">
        <f>G2482-H2482</f>
        <v>20053664.390000001</v>
      </c>
      <c r="J2482" s="5">
        <v>3000000</v>
      </c>
      <c r="K2482" s="5">
        <v>14830000</v>
      </c>
      <c r="L2482" s="5">
        <v>15130000</v>
      </c>
      <c r="M2482" s="7">
        <v>4186.8999999999996</v>
      </c>
      <c r="N2482" s="5">
        <v>148800000</v>
      </c>
      <c r="O2482" s="5">
        <v>151800000</v>
      </c>
      <c r="P2482" s="3">
        <v>0.97916666666666663</v>
      </c>
    </row>
    <row r="2483" spans="1:16" x14ac:dyDescent="0.25">
      <c r="A2483" t="s">
        <v>1519</v>
      </c>
      <c r="B2483" s="2">
        <v>45975</v>
      </c>
      <c r="C2483" t="str">
        <f>TEXT(B2483,"mm")</f>
        <v>11</v>
      </c>
      <c r="D2483" t="s">
        <v>21</v>
      </c>
      <c r="E2483" t="s">
        <v>1636</v>
      </c>
      <c r="F2483" s="5">
        <v>144700000</v>
      </c>
      <c r="G2483" s="5">
        <v>147700000</v>
      </c>
      <c r="H2483" s="5">
        <f>M2483*26000*1.20565</f>
        <v>128133588.44000001</v>
      </c>
      <c r="I2483" s="5">
        <f>G2483-H2483</f>
        <v>19566411.559999987</v>
      </c>
      <c r="J2483" s="5">
        <v>3000000</v>
      </c>
      <c r="K2483" s="5">
        <v>14470000</v>
      </c>
      <c r="L2483" s="5">
        <v>14770000</v>
      </c>
      <c r="M2483" s="7">
        <v>4087.6</v>
      </c>
      <c r="N2483" s="5">
        <v>145200000</v>
      </c>
      <c r="O2483" s="5">
        <v>148200000</v>
      </c>
      <c r="P2483" s="3">
        <v>0.97916666666666663</v>
      </c>
    </row>
    <row r="2484" spans="1:16" x14ac:dyDescent="0.25">
      <c r="A2484" t="s">
        <v>1520</v>
      </c>
      <c r="B2484" s="2">
        <v>45978</v>
      </c>
      <c r="C2484" t="str">
        <f>TEXT(B2484,"mm")</f>
        <v>11</v>
      </c>
      <c r="D2484" t="s">
        <v>16</v>
      </c>
      <c r="E2484" t="s">
        <v>1636</v>
      </c>
      <c r="F2484" s="5">
        <v>144000000</v>
      </c>
      <c r="G2484" s="5">
        <v>147000000</v>
      </c>
      <c r="H2484" s="5">
        <f>M2484*26000*1.20565</f>
        <v>127528593.27000001</v>
      </c>
      <c r="I2484" s="5">
        <f>G2484-H2484</f>
        <v>19471406.729999989</v>
      </c>
      <c r="J2484" s="5">
        <v>3000000</v>
      </c>
      <c r="K2484" s="5">
        <v>14400000</v>
      </c>
      <c r="L2484" s="5">
        <v>14700000</v>
      </c>
      <c r="M2484" s="7">
        <v>4068.3</v>
      </c>
      <c r="N2484" s="5">
        <v>144500000</v>
      </c>
      <c r="O2484" s="5">
        <v>147500000</v>
      </c>
      <c r="P2484" s="3">
        <v>0.97916666666666663</v>
      </c>
    </row>
    <row r="2485" spans="1:16" x14ac:dyDescent="0.25">
      <c r="A2485" t="s">
        <v>1521</v>
      </c>
      <c r="B2485" s="2">
        <v>45979</v>
      </c>
      <c r="C2485" t="str">
        <f>TEXT(B2485,"mm")</f>
        <v>11</v>
      </c>
      <c r="D2485" t="s">
        <v>18</v>
      </c>
      <c r="E2485" t="s">
        <v>1636</v>
      </c>
      <c r="F2485" s="5">
        <v>143800000</v>
      </c>
      <c r="G2485" s="5">
        <v>146800000</v>
      </c>
      <c r="H2485" s="5">
        <f>M2485*26000*1.20565</f>
        <v>127309164.97000001</v>
      </c>
      <c r="I2485" s="5">
        <f>G2485-H2485</f>
        <v>19490835.029999986</v>
      </c>
      <c r="J2485" s="5">
        <v>3000000</v>
      </c>
      <c r="K2485" s="5">
        <v>14380000</v>
      </c>
      <c r="L2485" s="5">
        <v>14680000</v>
      </c>
      <c r="M2485" s="7">
        <v>4061.3</v>
      </c>
      <c r="N2485" s="5">
        <v>144300000</v>
      </c>
      <c r="O2485" s="5">
        <v>147300000</v>
      </c>
      <c r="P2485" s="3">
        <v>0.97916666666666663</v>
      </c>
    </row>
    <row r="2486" spans="1:16" x14ac:dyDescent="0.25">
      <c r="A2486" t="s">
        <v>1522</v>
      </c>
      <c r="B2486" s="2">
        <v>45980</v>
      </c>
      <c r="C2486" t="str">
        <f>TEXT(B2486,"mm")</f>
        <v>11</v>
      </c>
      <c r="D2486" t="s">
        <v>19</v>
      </c>
      <c r="E2486" t="s">
        <v>1636</v>
      </c>
      <c r="F2486" s="5">
        <v>144400000</v>
      </c>
      <c r="G2486" s="5">
        <v>147400000</v>
      </c>
      <c r="H2486" s="5">
        <f>M2486*26000*1.20565</f>
        <v>127823254.13000001</v>
      </c>
      <c r="I2486" s="5">
        <f>G2486-H2486</f>
        <v>19576745.86999999</v>
      </c>
      <c r="J2486" s="5">
        <v>3000000</v>
      </c>
      <c r="K2486" s="5">
        <v>14440000</v>
      </c>
      <c r="L2486" s="5">
        <v>14740000</v>
      </c>
      <c r="M2486" s="7">
        <v>4077.7</v>
      </c>
      <c r="N2486" s="5">
        <v>144900000</v>
      </c>
      <c r="O2486" s="5">
        <v>147900000</v>
      </c>
      <c r="P2486" s="3">
        <v>0.97916666666666663</v>
      </c>
    </row>
    <row r="2487" spans="1:16" x14ac:dyDescent="0.25">
      <c r="A2487" t="s">
        <v>1523</v>
      </c>
      <c r="B2487" s="2">
        <v>45981</v>
      </c>
      <c r="C2487" t="str">
        <f>TEXT(B2487,"mm")</f>
        <v>11</v>
      </c>
      <c r="D2487" t="s">
        <v>20</v>
      </c>
      <c r="E2487" t="s">
        <v>1636</v>
      </c>
      <c r="F2487" s="5">
        <v>143600000</v>
      </c>
      <c r="G2487" s="5">
        <v>146600000</v>
      </c>
      <c r="H2487" s="5">
        <f>M2487*26000*1.20565</f>
        <v>127158699.85000001</v>
      </c>
      <c r="I2487" s="5">
        <f>G2487-H2487</f>
        <v>19441300.149999991</v>
      </c>
      <c r="J2487" s="5">
        <v>3000000</v>
      </c>
      <c r="K2487" s="5">
        <v>14360000</v>
      </c>
      <c r="L2487" s="5">
        <v>14660000</v>
      </c>
      <c r="M2487" s="7">
        <v>4056.5</v>
      </c>
      <c r="N2487" s="5">
        <v>144100000</v>
      </c>
      <c r="O2487" s="5">
        <v>147100000</v>
      </c>
      <c r="P2487" s="3">
        <v>0.97916666666666663</v>
      </c>
    </row>
    <row r="2488" spans="1:16" x14ac:dyDescent="0.25">
      <c r="A2488" t="s">
        <v>1524</v>
      </c>
      <c r="B2488" s="2">
        <v>45982</v>
      </c>
      <c r="C2488" t="str">
        <f>TEXT(B2488,"mm")</f>
        <v>11</v>
      </c>
      <c r="D2488" t="s">
        <v>21</v>
      </c>
      <c r="E2488" t="s">
        <v>1636</v>
      </c>
      <c r="F2488" s="5">
        <v>144300000</v>
      </c>
      <c r="G2488" s="5">
        <v>147300000</v>
      </c>
      <c r="H2488" s="5">
        <f>M2488*26000*1.20565</f>
        <v>127791907.23000002</v>
      </c>
      <c r="I2488" s="5">
        <f>G2488-H2488</f>
        <v>19508092.769999981</v>
      </c>
      <c r="J2488" s="5">
        <v>3000000</v>
      </c>
      <c r="K2488" s="5">
        <v>14430000</v>
      </c>
      <c r="L2488" s="5">
        <v>14730000</v>
      </c>
      <c r="M2488" s="7">
        <v>4076.7</v>
      </c>
      <c r="N2488" s="5">
        <v>144800000</v>
      </c>
      <c r="O2488" s="5">
        <v>147800000</v>
      </c>
      <c r="P2488" s="3">
        <v>0.97916666666666663</v>
      </c>
    </row>
    <row r="2489" spans="1:16" x14ac:dyDescent="0.25">
      <c r="A2489" t="s">
        <v>1525</v>
      </c>
      <c r="B2489" s="2">
        <v>45985</v>
      </c>
      <c r="C2489" t="str">
        <f>TEXT(B2489,"mm")</f>
        <v>11</v>
      </c>
      <c r="D2489" t="s">
        <v>16</v>
      </c>
      <c r="E2489" t="s">
        <v>1636</v>
      </c>
      <c r="F2489" s="5">
        <v>144900000</v>
      </c>
      <c r="G2489" s="5">
        <v>147900000</v>
      </c>
      <c r="H2489" s="5">
        <f>M2489*26000*1.20565</f>
        <v>128268380.11000001</v>
      </c>
      <c r="I2489" s="5">
        <f>G2489-H2489</f>
        <v>19631619.889999986</v>
      </c>
      <c r="J2489" s="5">
        <v>3000000</v>
      </c>
      <c r="K2489" s="5">
        <v>14490000</v>
      </c>
      <c r="L2489" s="5">
        <v>14790000</v>
      </c>
      <c r="M2489" s="7">
        <v>4091.9</v>
      </c>
      <c r="N2489" s="5">
        <v>145400000</v>
      </c>
      <c r="O2489" s="5">
        <v>148400000</v>
      </c>
      <c r="P2489" s="3">
        <v>0.97916666666666663</v>
      </c>
    </row>
    <row r="2490" spans="1:16" x14ac:dyDescent="0.25">
      <c r="A2490" t="s">
        <v>1526</v>
      </c>
      <c r="B2490" s="2">
        <v>45986</v>
      </c>
      <c r="C2490" t="str">
        <f>TEXT(B2490,"mm")</f>
        <v>11</v>
      </c>
      <c r="D2490" t="s">
        <v>18</v>
      </c>
      <c r="E2490" t="s">
        <v>1636</v>
      </c>
      <c r="F2490" s="5">
        <v>146600000</v>
      </c>
      <c r="G2490" s="5">
        <v>149600000</v>
      </c>
      <c r="H2490" s="5">
        <f>M2490*26000*1.20565</f>
        <v>129751088.48000002</v>
      </c>
      <c r="I2490" s="5">
        <f>G2490-H2490</f>
        <v>19848911.519999981</v>
      </c>
      <c r="J2490" s="5">
        <v>3000000</v>
      </c>
      <c r="K2490" s="5">
        <v>14660000</v>
      </c>
      <c r="L2490" s="5">
        <v>14960000</v>
      </c>
      <c r="M2490" s="7">
        <v>4139.2</v>
      </c>
      <c r="N2490" s="5">
        <v>147100000</v>
      </c>
      <c r="O2490" s="5">
        <v>150100000</v>
      </c>
      <c r="P2490" s="3">
        <v>0.97916666666666663</v>
      </c>
    </row>
    <row r="2491" spans="1:16" x14ac:dyDescent="0.25">
      <c r="A2491" t="s">
        <v>1527</v>
      </c>
      <c r="B2491" s="2">
        <v>45987</v>
      </c>
      <c r="C2491" t="str">
        <f>TEXT(B2491,"mm")</f>
        <v>11</v>
      </c>
      <c r="D2491" t="s">
        <v>19</v>
      </c>
      <c r="E2491" t="s">
        <v>1636</v>
      </c>
      <c r="F2491" s="5">
        <v>147500000</v>
      </c>
      <c r="G2491" s="5">
        <v>150500000</v>
      </c>
      <c r="H2491" s="5">
        <f>M2491*26000*1.20565</f>
        <v>130566107.88000001</v>
      </c>
      <c r="I2491" s="5">
        <f>G2491-H2491</f>
        <v>19933892.11999999</v>
      </c>
      <c r="J2491" s="5">
        <v>3000000</v>
      </c>
      <c r="K2491" s="5">
        <v>14750000</v>
      </c>
      <c r="L2491" s="5">
        <v>15050000</v>
      </c>
      <c r="M2491" s="7">
        <v>4165.2</v>
      </c>
      <c r="N2491" s="5">
        <v>148000000</v>
      </c>
      <c r="O2491" s="5">
        <v>151000000</v>
      </c>
      <c r="P2491" s="3">
        <v>0.97916666666666663</v>
      </c>
    </row>
    <row r="2492" spans="1:16" x14ac:dyDescent="0.25">
      <c r="A2492" t="s">
        <v>1528</v>
      </c>
      <c r="B2492" s="2">
        <v>45989</v>
      </c>
      <c r="C2492" t="str">
        <f>TEXT(B2492,"mm")</f>
        <v>11</v>
      </c>
      <c r="D2492" t="s">
        <v>21</v>
      </c>
      <c r="E2492" t="s">
        <v>1636</v>
      </c>
      <c r="F2492" s="5">
        <v>149400000</v>
      </c>
      <c r="G2492" s="5">
        <v>152400000</v>
      </c>
      <c r="H2492" s="5">
        <f>M2492*26000*1.20565</f>
        <v>132230628.27000001</v>
      </c>
      <c r="I2492" s="5">
        <f>G2492-H2492</f>
        <v>20169371.729999989</v>
      </c>
      <c r="J2492" s="5">
        <v>3000000</v>
      </c>
      <c r="K2492" s="5">
        <v>14940000</v>
      </c>
      <c r="L2492" s="5">
        <v>15240000</v>
      </c>
      <c r="M2492" s="7">
        <v>4218.3</v>
      </c>
      <c r="N2492" s="5">
        <v>149900000</v>
      </c>
      <c r="O2492" s="5">
        <v>152900000</v>
      </c>
      <c r="P2492" s="3">
        <v>0.97916666666666663</v>
      </c>
    </row>
    <row r="2493" spans="1:16" x14ac:dyDescent="0.25">
      <c r="A2493" s="2">
        <v>45669</v>
      </c>
      <c r="B2493" s="2">
        <v>45992</v>
      </c>
      <c r="C2493" t="str">
        <f>TEXT(B2493,"mm")</f>
        <v>12</v>
      </c>
      <c r="D2493" t="s">
        <v>16</v>
      </c>
      <c r="E2493" t="s">
        <v>1636</v>
      </c>
      <c r="F2493" s="5">
        <v>150200000</v>
      </c>
      <c r="G2493" s="5">
        <v>153200000</v>
      </c>
      <c r="H2493" s="5">
        <f>M2493*26000*1.20565</f>
        <v>132888913.17000002</v>
      </c>
      <c r="I2493" s="5">
        <f>G2493-H2493</f>
        <v>20311086.829999983</v>
      </c>
      <c r="J2493" s="5">
        <v>3000000</v>
      </c>
      <c r="K2493" s="5">
        <v>15020000</v>
      </c>
      <c r="L2493" s="5">
        <v>15320000</v>
      </c>
      <c r="M2493" s="7">
        <v>4239.3</v>
      </c>
      <c r="N2493" s="5">
        <v>150700000</v>
      </c>
      <c r="O2493" s="5">
        <v>153700000</v>
      </c>
      <c r="P2493" s="3">
        <v>0.97916666666666663</v>
      </c>
    </row>
    <row r="2494" spans="1:16" x14ac:dyDescent="0.25">
      <c r="A2494" s="2">
        <v>45700</v>
      </c>
      <c r="B2494" s="2">
        <v>45993</v>
      </c>
      <c r="C2494" t="str">
        <f>TEXT(B2494,"mm")</f>
        <v>12</v>
      </c>
      <c r="D2494" t="s">
        <v>18</v>
      </c>
      <c r="E2494" t="s">
        <v>1636</v>
      </c>
      <c r="F2494" s="5">
        <v>148300000</v>
      </c>
      <c r="G2494" s="5">
        <v>151300000</v>
      </c>
      <c r="H2494" s="5">
        <f>M2494*26000*1.20565</f>
        <v>131236931.54000004</v>
      </c>
      <c r="I2494" s="5">
        <f>G2494-H2494</f>
        <v>20063068.459999964</v>
      </c>
      <c r="J2494" s="5">
        <v>3000000</v>
      </c>
      <c r="K2494" s="5">
        <v>14830000</v>
      </c>
      <c r="L2494" s="5">
        <v>15130000</v>
      </c>
      <c r="M2494" s="7">
        <v>4186.6000000000004</v>
      </c>
      <c r="N2494" s="5">
        <v>148800000</v>
      </c>
      <c r="O2494" s="5">
        <v>151800000</v>
      </c>
      <c r="P2494" s="3">
        <v>0.97916666666666663</v>
      </c>
    </row>
    <row r="2495" spans="1:16" x14ac:dyDescent="0.25">
      <c r="A2495" s="2">
        <v>45728</v>
      </c>
      <c r="B2495" s="2">
        <v>45994</v>
      </c>
      <c r="C2495" t="str">
        <f>TEXT(B2495,"mm")</f>
        <v>12</v>
      </c>
      <c r="D2495" t="s">
        <v>19</v>
      </c>
      <c r="E2495" t="s">
        <v>1636</v>
      </c>
      <c r="F2495" s="5">
        <v>148700000</v>
      </c>
      <c r="G2495" s="5">
        <v>151700000</v>
      </c>
      <c r="H2495" s="5">
        <f>M2495*26000*1.20565</f>
        <v>131635037.17000002</v>
      </c>
      <c r="I2495" s="5">
        <f>G2495-H2495</f>
        <v>20064962.829999983</v>
      </c>
      <c r="J2495" s="5">
        <v>3000000</v>
      </c>
      <c r="K2495" s="5">
        <v>14870000</v>
      </c>
      <c r="L2495" s="5">
        <v>15170000</v>
      </c>
      <c r="M2495" s="7">
        <v>4199.3</v>
      </c>
      <c r="N2495" s="5">
        <v>149200000</v>
      </c>
      <c r="O2495" s="5">
        <v>152200000</v>
      </c>
      <c r="P2495" s="3">
        <v>0.97916666666666663</v>
      </c>
    </row>
    <row r="2496" spans="1:16" x14ac:dyDescent="0.25">
      <c r="A2496" s="2">
        <v>45759</v>
      </c>
      <c r="B2496" s="2">
        <v>45995</v>
      </c>
      <c r="C2496" t="str">
        <f>TEXT(B2496,"mm")</f>
        <v>12</v>
      </c>
      <c r="D2496" t="s">
        <v>20</v>
      </c>
      <c r="E2496" t="s">
        <v>1636</v>
      </c>
      <c r="F2496" s="5">
        <v>149200000</v>
      </c>
      <c r="G2496" s="5">
        <v>152200000</v>
      </c>
      <c r="H2496" s="5">
        <f>M2496*26000*1.20565</f>
        <v>132026873.42000002</v>
      </c>
      <c r="I2496" s="5">
        <f>G2496-H2496</f>
        <v>20173126.579999983</v>
      </c>
      <c r="J2496" s="5">
        <v>3000000</v>
      </c>
      <c r="K2496" s="5">
        <v>14920000</v>
      </c>
      <c r="L2496" s="5">
        <v>15220000</v>
      </c>
      <c r="M2496" s="7">
        <v>4211.8</v>
      </c>
      <c r="N2496" s="5">
        <v>149700000</v>
      </c>
      <c r="O2496" s="5">
        <v>152700000</v>
      </c>
      <c r="P2496" s="3">
        <v>0.97916666666666663</v>
      </c>
    </row>
    <row r="2497" spans="1:16" x14ac:dyDescent="0.25">
      <c r="A2497" s="2">
        <v>45789</v>
      </c>
      <c r="B2497" s="2">
        <v>45996</v>
      </c>
      <c r="C2497" t="str">
        <f>TEXT(B2497,"mm")</f>
        <v>12</v>
      </c>
      <c r="D2497" t="s">
        <v>21</v>
      </c>
      <c r="E2497" t="s">
        <v>1636</v>
      </c>
      <c r="F2497" s="5">
        <v>149200000</v>
      </c>
      <c r="G2497" s="5">
        <v>152200000</v>
      </c>
      <c r="H2497" s="5">
        <f>M2497*26000*1.20565</f>
        <v>132061355.00999999</v>
      </c>
      <c r="I2497" s="5">
        <f>G2497-H2497</f>
        <v>20138644.99000001</v>
      </c>
      <c r="J2497" s="5">
        <v>3000000</v>
      </c>
      <c r="K2497" s="5">
        <v>14920000</v>
      </c>
      <c r="L2497" s="5">
        <v>15220000</v>
      </c>
      <c r="M2497" s="7">
        <v>4212.8999999999996</v>
      </c>
      <c r="N2497" s="5">
        <v>149700000</v>
      </c>
      <c r="O2497" s="5">
        <v>152700000</v>
      </c>
      <c r="P2497" s="3">
        <v>0.97916666666666663</v>
      </c>
    </row>
    <row r="2498" spans="1:16" x14ac:dyDescent="0.25">
      <c r="A2498" s="2">
        <v>45881</v>
      </c>
      <c r="B2498" s="2">
        <v>45999</v>
      </c>
      <c r="C2498" t="str">
        <f>TEXT(B2498,"mm")</f>
        <v>12</v>
      </c>
      <c r="D2498" t="s">
        <v>16</v>
      </c>
      <c r="E2498" t="s">
        <v>1636</v>
      </c>
      <c r="F2498" s="5">
        <v>148300000</v>
      </c>
      <c r="G2498" s="5">
        <v>151300000</v>
      </c>
      <c r="H2498" s="5">
        <f>M2498*26000*1.20565</f>
        <v>131255739.68000001</v>
      </c>
      <c r="I2498" s="5">
        <f>G2498-H2498</f>
        <v>20044260.319999993</v>
      </c>
      <c r="J2498" s="5">
        <v>3000000</v>
      </c>
      <c r="K2498" s="5">
        <v>14830000</v>
      </c>
      <c r="L2498" s="5">
        <v>15130000</v>
      </c>
      <c r="M2498" s="7">
        <v>4187.2</v>
      </c>
      <c r="N2498" s="5">
        <v>148800000</v>
      </c>
      <c r="O2498" s="5">
        <v>151800000</v>
      </c>
      <c r="P2498" s="3">
        <v>0.97916666666666663</v>
      </c>
    </row>
    <row r="2499" spans="1:16" x14ac:dyDescent="0.25">
      <c r="A2499" s="2">
        <v>45912</v>
      </c>
      <c r="B2499" s="2">
        <v>46000</v>
      </c>
      <c r="C2499" t="str">
        <f>TEXT(B2499,"mm")</f>
        <v>12</v>
      </c>
      <c r="D2499" t="s">
        <v>18</v>
      </c>
      <c r="E2499" t="s">
        <v>1636</v>
      </c>
      <c r="F2499" s="5">
        <v>149000000</v>
      </c>
      <c r="G2499" s="5">
        <v>152000000</v>
      </c>
      <c r="H2499" s="5">
        <f>M2499*26000*1.20565</f>
        <v>131867004.23000002</v>
      </c>
      <c r="I2499" s="5">
        <f>G2499-H2499</f>
        <v>20132995.769999981</v>
      </c>
      <c r="J2499" s="5">
        <v>3000000</v>
      </c>
      <c r="K2499" s="5">
        <v>14900000</v>
      </c>
      <c r="L2499" s="5">
        <v>15200000</v>
      </c>
      <c r="M2499" s="7">
        <v>4206.7</v>
      </c>
      <c r="N2499" s="5">
        <v>149500000</v>
      </c>
      <c r="O2499" s="5">
        <v>152500000</v>
      </c>
      <c r="P2499" s="3">
        <v>0.97916666666666663</v>
      </c>
    </row>
    <row r="2500" spans="1:16" x14ac:dyDescent="0.25">
      <c r="A2500" s="2">
        <v>45942</v>
      </c>
      <c r="B2500" s="2">
        <v>46001</v>
      </c>
      <c r="C2500" t="str">
        <f>TEXT(B2500,"mm")</f>
        <v>12</v>
      </c>
      <c r="D2500" t="s">
        <v>19</v>
      </c>
      <c r="E2500" t="s">
        <v>1636</v>
      </c>
      <c r="F2500" s="5">
        <v>148600000</v>
      </c>
      <c r="G2500" s="5">
        <v>151600000</v>
      </c>
      <c r="H2500" s="5">
        <f>M2500*26000*1.20565</f>
        <v>131544131.16</v>
      </c>
      <c r="I2500" s="5">
        <f>G2500-H2500</f>
        <v>20055868.840000004</v>
      </c>
      <c r="J2500" s="5">
        <v>3000000</v>
      </c>
      <c r="K2500" s="5">
        <v>14860000</v>
      </c>
      <c r="L2500" s="5">
        <v>15160000</v>
      </c>
      <c r="M2500" s="7">
        <v>4196.3999999999996</v>
      </c>
      <c r="N2500" s="5">
        <v>149100000</v>
      </c>
      <c r="O2500" s="5">
        <v>152100000</v>
      </c>
      <c r="P2500" s="3">
        <v>0.97916666666666663</v>
      </c>
    </row>
    <row r="2501" spans="1:16" x14ac:dyDescent="0.25">
      <c r="A2501" s="2">
        <v>45973</v>
      </c>
      <c r="B2501" s="2">
        <v>46002</v>
      </c>
      <c r="C2501" t="str">
        <f>TEXT(B2501,"mm")</f>
        <v>12</v>
      </c>
      <c r="D2501" t="s">
        <v>20</v>
      </c>
      <c r="E2501" t="s">
        <v>1636</v>
      </c>
      <c r="F2501" s="5">
        <v>151900000</v>
      </c>
      <c r="G2501" s="5">
        <v>154900000</v>
      </c>
      <c r="H2501" s="5">
        <f>M2501*26000*1.20565</f>
        <v>134337139.95000002</v>
      </c>
      <c r="I2501" s="5">
        <f>G2501-H2501</f>
        <v>20562860.049999982</v>
      </c>
      <c r="J2501" s="5">
        <v>3000000</v>
      </c>
      <c r="K2501" s="5">
        <v>15190000</v>
      </c>
      <c r="L2501" s="5">
        <v>15490000</v>
      </c>
      <c r="M2501" s="7">
        <v>4285.5</v>
      </c>
      <c r="N2501" s="5">
        <v>152400000</v>
      </c>
      <c r="O2501" s="5">
        <v>155400000</v>
      </c>
      <c r="P2501" s="3">
        <v>0.97916666666666663</v>
      </c>
    </row>
    <row r="2502" spans="1:16" x14ac:dyDescent="0.25">
      <c r="A2502" s="2">
        <v>46003</v>
      </c>
      <c r="B2502" s="2">
        <v>46003</v>
      </c>
      <c r="C2502" t="str">
        <f>TEXT(B2502,"mm")</f>
        <v>12</v>
      </c>
      <c r="D2502" t="s">
        <v>21</v>
      </c>
      <c r="E2502" t="s">
        <v>1636</v>
      </c>
      <c r="F2502" s="5">
        <v>152400000</v>
      </c>
      <c r="G2502" s="5">
        <v>155400000</v>
      </c>
      <c r="H2502" s="5">
        <f>M2502*26000*1.20565</f>
        <v>134794804.69000003</v>
      </c>
      <c r="I2502" s="5">
        <f>G2502-H2502</f>
        <v>20605195.309999973</v>
      </c>
      <c r="J2502" s="5">
        <v>3000000</v>
      </c>
      <c r="K2502" s="5">
        <v>15240000</v>
      </c>
      <c r="L2502" s="5">
        <v>15540000</v>
      </c>
      <c r="M2502" s="7">
        <v>4300.1000000000004</v>
      </c>
      <c r="N2502" s="5">
        <v>152900000</v>
      </c>
      <c r="O2502" s="5">
        <v>155900000</v>
      </c>
      <c r="P2502" s="3">
        <v>0.97916666666666663</v>
      </c>
    </row>
    <row r="2503" spans="1:16" x14ac:dyDescent="0.25">
      <c r="A2503" t="s">
        <v>1529</v>
      </c>
      <c r="B2503" s="2">
        <v>46006</v>
      </c>
      <c r="C2503" t="str">
        <f>TEXT(B2503,"mm")</f>
        <v>12</v>
      </c>
      <c r="D2503" t="s">
        <v>16</v>
      </c>
      <c r="E2503" t="s">
        <v>1636</v>
      </c>
      <c r="F2503" s="5">
        <v>152600000</v>
      </c>
      <c r="G2503" s="5">
        <v>155600000</v>
      </c>
      <c r="H2503" s="5">
        <f>M2503*26000*1.20565</f>
        <v>135001694.23000002</v>
      </c>
      <c r="I2503" s="5">
        <f>G2503-H2503</f>
        <v>20598305.769999981</v>
      </c>
      <c r="J2503" s="5">
        <v>3000000</v>
      </c>
      <c r="K2503" s="5">
        <v>15260000</v>
      </c>
      <c r="L2503" s="5">
        <v>15560000</v>
      </c>
      <c r="M2503" s="7">
        <v>4306.7</v>
      </c>
      <c r="N2503" s="5">
        <v>153100000</v>
      </c>
      <c r="O2503" s="5">
        <v>156100000</v>
      </c>
      <c r="P2503" s="3">
        <v>0.97916666666666663</v>
      </c>
    </row>
    <row r="2504" spans="1:16" x14ac:dyDescent="0.25">
      <c r="A2504" t="s">
        <v>1530</v>
      </c>
      <c r="B2504" s="2">
        <v>46007</v>
      </c>
      <c r="C2504" t="str">
        <f>TEXT(B2504,"mm")</f>
        <v>12</v>
      </c>
      <c r="D2504" t="s">
        <v>18</v>
      </c>
      <c r="E2504" t="s">
        <v>1636</v>
      </c>
      <c r="F2504" s="5">
        <v>152500000</v>
      </c>
      <c r="G2504" s="5">
        <v>155500000</v>
      </c>
      <c r="H2504" s="5">
        <f>M2504*26000*1.20565</f>
        <v>134932731.05000001</v>
      </c>
      <c r="I2504" s="5">
        <f>G2504-H2504</f>
        <v>20567268.949999988</v>
      </c>
      <c r="J2504" s="5">
        <v>3000000</v>
      </c>
      <c r="K2504" s="5">
        <v>15250000</v>
      </c>
      <c r="L2504" s="5">
        <v>15550000</v>
      </c>
      <c r="M2504" s="7">
        <v>4304.5</v>
      </c>
      <c r="N2504" s="5">
        <v>153000000</v>
      </c>
      <c r="O2504" s="5">
        <v>156000000</v>
      </c>
      <c r="P2504" s="3">
        <v>0.97916666666666663</v>
      </c>
    </row>
    <row r="2505" spans="1:16" x14ac:dyDescent="0.25">
      <c r="A2505" t="s">
        <v>1531</v>
      </c>
      <c r="B2505" s="2">
        <v>46008</v>
      </c>
      <c r="C2505" t="str">
        <f>TEXT(B2505,"mm")</f>
        <v>12</v>
      </c>
      <c r="D2505" t="s">
        <v>19</v>
      </c>
      <c r="E2505" t="s">
        <v>1636</v>
      </c>
      <c r="F2505" s="5">
        <v>154100000</v>
      </c>
      <c r="G2505" s="5">
        <v>157100000</v>
      </c>
      <c r="H2505" s="5">
        <f>M2505*26000*1.20565</f>
        <v>136280647.75</v>
      </c>
      <c r="I2505" s="5">
        <f>G2505-H2505</f>
        <v>20819352.25</v>
      </c>
      <c r="J2505" s="5">
        <v>3000000</v>
      </c>
      <c r="K2505" s="5">
        <v>15410000</v>
      </c>
      <c r="L2505" s="5">
        <v>15710000</v>
      </c>
      <c r="M2505" s="7">
        <v>4347.5</v>
      </c>
      <c r="N2505" s="5">
        <v>154600000</v>
      </c>
      <c r="O2505" s="5">
        <v>157600000</v>
      </c>
      <c r="P2505" s="3">
        <v>0.97916666666666663</v>
      </c>
    </row>
    <row r="2506" spans="1:16" x14ac:dyDescent="0.25">
      <c r="A2506" t="s">
        <v>1532</v>
      </c>
      <c r="B2506" s="2">
        <v>46009</v>
      </c>
      <c r="C2506" t="str">
        <f>TEXT(B2506,"mm")</f>
        <v>12</v>
      </c>
      <c r="D2506" t="s">
        <v>20</v>
      </c>
      <c r="E2506" t="s">
        <v>1636</v>
      </c>
      <c r="F2506" s="5">
        <v>153800000</v>
      </c>
      <c r="G2506" s="5">
        <v>156800000</v>
      </c>
      <c r="H2506" s="5">
        <f>M2506*26000*1.20565</f>
        <v>136029872.55000001</v>
      </c>
      <c r="I2506" s="5">
        <f>G2506-H2506</f>
        <v>20770127.449999988</v>
      </c>
      <c r="J2506" s="5">
        <v>3000000</v>
      </c>
      <c r="K2506" s="5">
        <v>15380000</v>
      </c>
      <c r="L2506" s="5">
        <v>15680000</v>
      </c>
      <c r="M2506" s="7">
        <v>4339.5</v>
      </c>
      <c r="N2506" s="5">
        <v>154300000</v>
      </c>
      <c r="O2506" s="5">
        <v>157300000</v>
      </c>
      <c r="P2506" s="3">
        <v>0.97916666666666663</v>
      </c>
    </row>
    <row r="2507" spans="1:16" x14ac:dyDescent="0.25">
      <c r="A2507" t="s">
        <v>1533</v>
      </c>
      <c r="B2507" s="2">
        <v>46010</v>
      </c>
      <c r="C2507" t="str">
        <f>TEXT(B2507,"mm")</f>
        <v>12</v>
      </c>
      <c r="D2507" t="s">
        <v>21</v>
      </c>
      <c r="E2507" t="s">
        <v>1636</v>
      </c>
      <c r="F2507" s="5">
        <v>154600000</v>
      </c>
      <c r="G2507" s="5">
        <v>157600000</v>
      </c>
      <c r="H2507" s="5">
        <f>M2507*26000*1.20565</f>
        <v>136716369.66</v>
      </c>
      <c r="I2507" s="5">
        <f>G2507-H2507</f>
        <v>20883630.340000004</v>
      </c>
      <c r="J2507" s="5">
        <v>3000000</v>
      </c>
      <c r="K2507" s="5">
        <v>15460000</v>
      </c>
      <c r="L2507" s="5">
        <v>15760000</v>
      </c>
      <c r="M2507" s="7">
        <v>4361.3999999999996</v>
      </c>
      <c r="N2507" s="5">
        <v>155100000</v>
      </c>
      <c r="O2507" s="5">
        <v>158100000</v>
      </c>
      <c r="P2507" s="3">
        <v>0.97916666666666663</v>
      </c>
    </row>
    <row r="2508" spans="1:16" x14ac:dyDescent="0.25">
      <c r="A2508" t="s">
        <v>1534</v>
      </c>
      <c r="B2508" s="2">
        <v>46013</v>
      </c>
      <c r="C2508" t="str">
        <f>TEXT(B2508,"mm")</f>
        <v>12</v>
      </c>
      <c r="D2508" t="s">
        <v>16</v>
      </c>
      <c r="E2508" t="s">
        <v>1636</v>
      </c>
      <c r="F2508" s="5">
        <v>157600000</v>
      </c>
      <c r="G2508" s="5">
        <v>160600000</v>
      </c>
      <c r="H2508" s="5">
        <f>M2508*26000*1.20565</f>
        <v>139324431.74000004</v>
      </c>
      <c r="I2508" s="5">
        <f>G2508-H2508</f>
        <v>21275568.259999961</v>
      </c>
      <c r="J2508" s="5">
        <v>3000000</v>
      </c>
      <c r="K2508" s="5">
        <v>15760000</v>
      </c>
      <c r="L2508" s="5">
        <v>16060000</v>
      </c>
      <c r="M2508" s="7">
        <v>4444.6000000000004</v>
      </c>
      <c r="N2508" s="5">
        <v>158100000</v>
      </c>
      <c r="O2508" s="5">
        <v>161100000</v>
      </c>
      <c r="P2508" s="3">
        <v>0.97916666666666663</v>
      </c>
    </row>
    <row r="2509" spans="1:16" x14ac:dyDescent="0.25">
      <c r="A2509" t="s">
        <v>1535</v>
      </c>
      <c r="B2509" s="2">
        <v>46014</v>
      </c>
      <c r="C2509" t="str">
        <f>TEXT(B2509,"mm")</f>
        <v>12</v>
      </c>
      <c r="D2509" t="s">
        <v>18</v>
      </c>
      <c r="E2509" t="s">
        <v>1636</v>
      </c>
      <c r="F2509" s="5">
        <v>159000000</v>
      </c>
      <c r="G2509" s="5">
        <v>162000000</v>
      </c>
      <c r="H2509" s="5">
        <f>M2509*26000*1.20565</f>
        <v>140521883.32000002</v>
      </c>
      <c r="I2509" s="5">
        <f>G2509-H2509</f>
        <v>21478116.679999977</v>
      </c>
      <c r="J2509" s="5">
        <v>3000000</v>
      </c>
      <c r="K2509" s="5">
        <v>15900000</v>
      </c>
      <c r="L2509" s="5">
        <v>16200000</v>
      </c>
      <c r="M2509" s="7">
        <v>4482.8</v>
      </c>
      <c r="N2509" s="5">
        <v>159500000</v>
      </c>
      <c r="O2509" s="5">
        <v>162500000</v>
      </c>
      <c r="P2509" s="3">
        <v>0.97916666666666663</v>
      </c>
    </row>
    <row r="2510" spans="1:16" x14ac:dyDescent="0.25">
      <c r="A2510" t="s">
        <v>1536</v>
      </c>
      <c r="B2510" s="2">
        <v>46015</v>
      </c>
      <c r="C2510" t="str">
        <f>TEXT(B2510,"mm")</f>
        <v>12</v>
      </c>
      <c r="D2510" t="s">
        <v>19</v>
      </c>
      <c r="E2510" t="s">
        <v>1636</v>
      </c>
      <c r="F2510" s="5">
        <v>158900000</v>
      </c>
      <c r="G2510" s="5">
        <v>161900000</v>
      </c>
      <c r="H2510" s="5">
        <f>M2510*26000*1.20565</f>
        <v>140452920.14000005</v>
      </c>
      <c r="I2510" s="5">
        <f>G2510-H2510</f>
        <v>21447079.859999955</v>
      </c>
      <c r="J2510" s="5">
        <v>3000000</v>
      </c>
      <c r="K2510" s="5">
        <v>15890000</v>
      </c>
      <c r="L2510" s="5">
        <v>16190000</v>
      </c>
      <c r="M2510" s="7">
        <v>4480.6000000000004</v>
      </c>
      <c r="N2510" s="5">
        <v>159400000</v>
      </c>
      <c r="O2510" s="5">
        <v>162400000</v>
      </c>
      <c r="P2510" s="3">
        <v>0.97916666666666663</v>
      </c>
    </row>
    <row r="2511" spans="1:16" x14ac:dyDescent="0.25">
      <c r="A2511" t="s">
        <v>1537</v>
      </c>
      <c r="B2511" s="2">
        <v>46017</v>
      </c>
      <c r="C2511" t="str">
        <f>TEXT(B2511,"mm")</f>
        <v>12</v>
      </c>
      <c r="D2511" t="s">
        <v>21</v>
      </c>
      <c r="E2511" t="s">
        <v>1636</v>
      </c>
      <c r="F2511" s="5">
        <v>160700000</v>
      </c>
      <c r="G2511" s="5">
        <v>163700000</v>
      </c>
      <c r="H2511" s="5">
        <f>M2511*26000*1.20565</f>
        <v>141973244.79000002</v>
      </c>
      <c r="I2511" s="5">
        <f>G2511-H2511</f>
        <v>21726755.209999979</v>
      </c>
      <c r="J2511" s="5">
        <v>3000000</v>
      </c>
      <c r="K2511" s="5">
        <v>16070000</v>
      </c>
      <c r="L2511" s="5">
        <v>16370000</v>
      </c>
      <c r="M2511" s="7">
        <v>4529.1000000000004</v>
      </c>
      <c r="N2511" s="5">
        <v>161200000</v>
      </c>
      <c r="O2511" s="5">
        <v>164200000</v>
      </c>
      <c r="P2511" s="3">
        <v>0.97916666666666663</v>
      </c>
    </row>
    <row r="2512" spans="1:16" x14ac:dyDescent="0.25">
      <c r="A2512" t="s">
        <v>1538</v>
      </c>
      <c r="B2512" s="2">
        <v>46020</v>
      </c>
      <c r="C2512" t="str">
        <f>TEXT(B2512,"mm")</f>
        <v>12</v>
      </c>
      <c r="D2512" t="s">
        <v>16</v>
      </c>
      <c r="E2512" t="s">
        <v>1636</v>
      </c>
      <c r="F2512" s="5">
        <v>153300000</v>
      </c>
      <c r="G2512" s="5">
        <v>156300000</v>
      </c>
      <c r="H2512" s="5">
        <f>M2512*26000*1.20565</f>
        <v>135578477.19000003</v>
      </c>
      <c r="I2512" s="5">
        <f>G2512-H2512</f>
        <v>20721522.809999973</v>
      </c>
      <c r="J2512" s="5">
        <v>3000000</v>
      </c>
      <c r="K2512" s="5">
        <v>15330000</v>
      </c>
      <c r="L2512" s="5">
        <v>15630000</v>
      </c>
      <c r="M2512" s="7">
        <v>4325.1000000000004</v>
      </c>
      <c r="N2512" s="5">
        <v>153800000</v>
      </c>
      <c r="O2512" s="5">
        <v>156800000</v>
      </c>
      <c r="P2512" s="3">
        <v>0.97916666666666663</v>
      </c>
    </row>
    <row r="2513" spans="1:16" x14ac:dyDescent="0.25">
      <c r="A2513" t="s">
        <v>1539</v>
      </c>
      <c r="B2513" s="2">
        <v>46021</v>
      </c>
      <c r="C2513" t="str">
        <f>TEXT(B2513,"mm")</f>
        <v>12</v>
      </c>
      <c r="D2513" t="s">
        <v>18</v>
      </c>
      <c r="E2513" t="s">
        <v>1636</v>
      </c>
      <c r="F2513" s="5">
        <v>154900000</v>
      </c>
      <c r="G2513" s="5">
        <v>157900000</v>
      </c>
      <c r="H2513" s="5">
        <f>M2513*26000*1.20565</f>
        <v>136989087.69000003</v>
      </c>
      <c r="I2513" s="5">
        <f>G2513-H2513</f>
        <v>20910912.309999973</v>
      </c>
      <c r="J2513" s="5">
        <v>3000000</v>
      </c>
      <c r="K2513" s="5">
        <v>15490000</v>
      </c>
      <c r="L2513" s="5">
        <v>15790000</v>
      </c>
      <c r="M2513" s="7">
        <v>4370.1000000000004</v>
      </c>
      <c r="N2513" s="5">
        <v>155400000</v>
      </c>
      <c r="O2513" s="5">
        <v>158400000</v>
      </c>
      <c r="P2513" s="3">
        <v>0.97916666666666663</v>
      </c>
    </row>
    <row r="2514" spans="1:16" x14ac:dyDescent="0.25">
      <c r="A2514" t="s">
        <v>1540</v>
      </c>
      <c r="B2514" s="2">
        <v>46022</v>
      </c>
      <c r="C2514" t="str">
        <f>TEXT(B2514,"mm")</f>
        <v>12</v>
      </c>
      <c r="D2514" t="s">
        <v>19</v>
      </c>
      <c r="E2514" t="s">
        <v>1636</v>
      </c>
      <c r="F2514" s="5">
        <v>153300000</v>
      </c>
      <c r="G2514" s="5">
        <v>156300000</v>
      </c>
      <c r="H2514" s="5">
        <f>M2514*26000*1.20565</f>
        <v>135594150.64000005</v>
      </c>
      <c r="I2514" s="5">
        <f>G2514-H2514</f>
        <v>20705849.359999955</v>
      </c>
      <c r="J2514" s="5">
        <v>3000000</v>
      </c>
      <c r="K2514" s="5">
        <v>15330000</v>
      </c>
      <c r="L2514" s="5">
        <v>15630000</v>
      </c>
      <c r="M2514" s="7">
        <v>4325.6000000000004</v>
      </c>
      <c r="N2514" s="5">
        <v>153800000</v>
      </c>
      <c r="O2514" s="5">
        <v>156800000</v>
      </c>
      <c r="P2514" s="3">
        <v>0.97916666666666663</v>
      </c>
    </row>
    <row r="2515" spans="1:16" x14ac:dyDescent="0.25">
      <c r="A2515" s="2">
        <v>46054</v>
      </c>
      <c r="B2515" s="2">
        <v>46024</v>
      </c>
      <c r="C2515" t="str">
        <f>TEXT(B2515,"mm")</f>
        <v>01</v>
      </c>
      <c r="D2515" t="s">
        <v>21</v>
      </c>
      <c r="E2515" t="s">
        <v>1636</v>
      </c>
      <c r="F2515" s="5">
        <v>145900000</v>
      </c>
      <c r="G2515" s="5">
        <v>148900000</v>
      </c>
      <c r="H2515" s="5">
        <f>M2515*26000*1.20565</f>
        <v>135493840.56</v>
      </c>
      <c r="I2515" s="5">
        <f>G2515-H2515</f>
        <v>13406159.439999998</v>
      </c>
      <c r="J2515" s="5">
        <v>3000000</v>
      </c>
      <c r="K2515" s="5">
        <v>14590000</v>
      </c>
      <c r="L2515" s="5">
        <v>14890000</v>
      </c>
      <c r="M2515" s="7">
        <v>4322.3999999999996</v>
      </c>
      <c r="N2515" s="5">
        <v>0</v>
      </c>
      <c r="O2515" s="5">
        <v>0</v>
      </c>
      <c r="P2515" s="3">
        <v>0.97916666666666663</v>
      </c>
    </row>
    <row r="2516" spans="1:16" x14ac:dyDescent="0.25">
      <c r="A2516" s="2">
        <v>46143</v>
      </c>
      <c r="B2516" s="2">
        <v>46027</v>
      </c>
      <c r="C2516" t="str">
        <f>TEXT(B2516,"mm")</f>
        <v>01</v>
      </c>
      <c r="D2516" t="s">
        <v>16</v>
      </c>
      <c r="E2516" t="s">
        <v>1636</v>
      </c>
      <c r="F2516" s="5">
        <v>149900000</v>
      </c>
      <c r="G2516" s="5">
        <v>152900000</v>
      </c>
      <c r="H2516" s="5">
        <f>M2516*26000*1.20565</f>
        <v>139280546.08000001</v>
      </c>
      <c r="I2516" s="5">
        <f>G2516-H2516</f>
        <v>13619453.919999987</v>
      </c>
      <c r="J2516" s="5">
        <v>3000000</v>
      </c>
      <c r="K2516" s="5">
        <v>14990000</v>
      </c>
      <c r="L2516" s="5">
        <v>15290000</v>
      </c>
      <c r="M2516" s="7">
        <v>4443.2</v>
      </c>
      <c r="N2516" s="5">
        <v>0</v>
      </c>
      <c r="O2516" s="5">
        <v>0</v>
      </c>
      <c r="P2516" s="3">
        <v>0.97916666666666663</v>
      </c>
    </row>
    <row r="2517" spans="1:16" x14ac:dyDescent="0.25">
      <c r="A2517" s="2">
        <v>46174</v>
      </c>
      <c r="B2517" s="2">
        <v>46028</v>
      </c>
      <c r="C2517" t="str">
        <f>TEXT(B2517,"mm")</f>
        <v>01</v>
      </c>
      <c r="D2517" t="s">
        <v>18</v>
      </c>
      <c r="E2517" t="s">
        <v>1636</v>
      </c>
      <c r="F2517" s="5">
        <v>151000000</v>
      </c>
      <c r="G2517" s="5">
        <v>154000000</v>
      </c>
      <c r="H2517" s="5">
        <f>M2517*26000*1.20565</f>
        <v>140575173.05000001</v>
      </c>
      <c r="I2517" s="5">
        <f>G2517-H2517</f>
        <v>13424826.949999988</v>
      </c>
      <c r="J2517" s="5">
        <v>3000000</v>
      </c>
      <c r="K2517" s="5">
        <v>15100000</v>
      </c>
      <c r="L2517" s="5">
        <v>15400000</v>
      </c>
      <c r="M2517" s="7">
        <v>4484.5</v>
      </c>
      <c r="N2517" s="5">
        <v>0</v>
      </c>
      <c r="O2517" s="5">
        <v>0</v>
      </c>
      <c r="P2517" s="3">
        <v>0.97916666666666663</v>
      </c>
    </row>
    <row r="2518" spans="1:16" x14ac:dyDescent="0.25">
      <c r="A2518" s="2">
        <v>46204</v>
      </c>
      <c r="B2518" s="2">
        <v>46029</v>
      </c>
      <c r="C2518" t="str">
        <f>TEXT(B2518,"mm")</f>
        <v>01</v>
      </c>
      <c r="D2518" t="s">
        <v>19</v>
      </c>
      <c r="E2518" t="s">
        <v>1636</v>
      </c>
      <c r="F2518" s="5">
        <v>152100000</v>
      </c>
      <c r="G2518" s="5">
        <v>154600000</v>
      </c>
      <c r="H2518" s="5">
        <f>M2518*26000*1.20565</f>
        <v>139738210.82000002</v>
      </c>
      <c r="I2518" s="5">
        <f>G2518-H2518</f>
        <v>14861789.179999977</v>
      </c>
      <c r="J2518" s="5">
        <v>2500000</v>
      </c>
      <c r="K2518" s="5">
        <v>15210000</v>
      </c>
      <c r="L2518" s="5">
        <v>15460000</v>
      </c>
      <c r="M2518" s="7">
        <v>4457.8</v>
      </c>
      <c r="N2518" s="5">
        <v>0</v>
      </c>
      <c r="O2518" s="5">
        <v>0</v>
      </c>
      <c r="P2518" s="3">
        <v>0.97916666666666663</v>
      </c>
    </row>
    <row r="2519" spans="1:16" x14ac:dyDescent="0.25">
      <c r="A2519" s="2">
        <v>46235</v>
      </c>
      <c r="B2519" s="2">
        <v>46030</v>
      </c>
      <c r="C2519" t="str">
        <f>TEXT(B2519,"mm")</f>
        <v>01</v>
      </c>
      <c r="D2519" t="s">
        <v>20</v>
      </c>
      <c r="E2519" t="s">
        <v>1636</v>
      </c>
      <c r="F2519" s="5">
        <v>151900000</v>
      </c>
      <c r="G2519" s="5">
        <v>154400000</v>
      </c>
      <c r="H2519" s="5">
        <f>M2519*26000*1.20565</f>
        <v>139688055.78</v>
      </c>
      <c r="I2519" s="5">
        <f>G2519-H2519</f>
        <v>14711944.219999999</v>
      </c>
      <c r="J2519" s="5">
        <v>2500000</v>
      </c>
      <c r="K2519" s="5">
        <v>15190000</v>
      </c>
      <c r="L2519" s="5">
        <v>15440000</v>
      </c>
      <c r="M2519" s="7">
        <v>4456.2</v>
      </c>
      <c r="N2519" s="5">
        <v>0</v>
      </c>
      <c r="O2519" s="5">
        <v>0</v>
      </c>
      <c r="P2519" s="3">
        <v>0.97916666666666663</v>
      </c>
    </row>
    <row r="2520" spans="1:16" x14ac:dyDescent="0.25">
      <c r="A2520" s="2">
        <v>46266</v>
      </c>
      <c r="B2520" s="2">
        <v>46031</v>
      </c>
      <c r="C2520" t="str">
        <f>TEXT(B2520,"mm")</f>
        <v>01</v>
      </c>
      <c r="D2520" t="s">
        <v>21</v>
      </c>
      <c r="E2520" t="s">
        <v>1636</v>
      </c>
      <c r="F2520" s="5">
        <v>152800000</v>
      </c>
      <c r="G2520" s="5">
        <v>155300000</v>
      </c>
      <c r="H2520" s="5">
        <f>M2520*26000*1.20565</f>
        <v>141217784.5</v>
      </c>
      <c r="I2520" s="5">
        <f>G2520-H2520</f>
        <v>14082215.5</v>
      </c>
      <c r="J2520" s="5">
        <v>2500000</v>
      </c>
      <c r="K2520" s="5">
        <v>15280000</v>
      </c>
      <c r="L2520" s="5">
        <v>15530000</v>
      </c>
      <c r="M2520" s="7">
        <v>4505</v>
      </c>
      <c r="N2520" s="5">
        <v>0</v>
      </c>
      <c r="O2520" s="5">
        <v>0</v>
      </c>
      <c r="P2520" s="3">
        <v>0.97916666666666663</v>
      </c>
    </row>
    <row r="2521" spans="1:16" x14ac:dyDescent="0.25">
      <c r="A2521" s="2">
        <v>46357</v>
      </c>
      <c r="B2521" s="2">
        <v>46034</v>
      </c>
      <c r="C2521" t="str">
        <f>TEXT(B2521,"mm")</f>
        <v>01</v>
      </c>
      <c r="D2521" t="s">
        <v>16</v>
      </c>
      <c r="E2521" t="s">
        <v>1636</v>
      </c>
      <c r="F2521" s="5">
        <v>156500000</v>
      </c>
      <c r="G2521" s="5">
        <v>159000000</v>
      </c>
      <c r="H2521" s="5">
        <f>M2521*26000*1.20565</f>
        <v>144907314.63000003</v>
      </c>
      <c r="I2521" s="5">
        <f>G2521-H2521</f>
        <v>14092685.369999975</v>
      </c>
      <c r="J2521" s="5">
        <v>2500000</v>
      </c>
      <c r="K2521" s="5">
        <v>15650000</v>
      </c>
      <c r="L2521" s="5">
        <v>15900000</v>
      </c>
      <c r="M2521" s="7">
        <v>4622.7</v>
      </c>
      <c r="N2521" s="5">
        <v>0</v>
      </c>
      <c r="O2521" s="5">
        <v>0</v>
      </c>
      <c r="P2521" s="3">
        <v>0.95833333333333337</v>
      </c>
    </row>
    <row r="2522" spans="1:16" x14ac:dyDescent="0.25">
      <c r="A2522" t="s">
        <v>1541</v>
      </c>
      <c r="B2522" s="2">
        <v>46035</v>
      </c>
      <c r="C2522" t="str">
        <f>TEXT(B2522,"mm")</f>
        <v>01</v>
      </c>
      <c r="D2522" t="s">
        <v>18</v>
      </c>
      <c r="E2522" t="s">
        <v>1636</v>
      </c>
      <c r="F2522" s="5">
        <v>156500000</v>
      </c>
      <c r="G2522" s="5">
        <v>159000000</v>
      </c>
      <c r="H2522" s="5">
        <f>M2522*26000*1.20565</f>
        <v>144092295.23000002</v>
      </c>
      <c r="I2522" s="5">
        <f>G2522-H2522</f>
        <v>14907704.769999981</v>
      </c>
      <c r="J2522" s="5">
        <v>2500000</v>
      </c>
      <c r="K2522" s="5">
        <v>15650000</v>
      </c>
      <c r="L2522" s="5">
        <v>15900000</v>
      </c>
      <c r="M2522" s="7">
        <v>4596.7</v>
      </c>
      <c r="N2522" s="5">
        <v>0</v>
      </c>
      <c r="O2522" s="5">
        <v>0</v>
      </c>
      <c r="P2522" s="3">
        <v>0.97916666666666663</v>
      </c>
    </row>
    <row r="2523" spans="1:16" x14ac:dyDescent="0.25">
      <c r="A2523" t="s">
        <v>1542</v>
      </c>
      <c r="B2523" s="2">
        <v>46036</v>
      </c>
      <c r="C2523" t="str">
        <f>TEXT(B2523,"mm")</f>
        <v>01</v>
      </c>
      <c r="D2523" t="s">
        <v>19</v>
      </c>
      <c r="E2523" t="s">
        <v>1636</v>
      </c>
      <c r="F2523" s="5">
        <v>157900000</v>
      </c>
      <c r="G2523" s="5">
        <v>160400000</v>
      </c>
      <c r="H2523" s="5">
        <f>M2523*26000*1.20565</f>
        <v>144891641.18000001</v>
      </c>
      <c r="I2523" s="5">
        <f>G2523-H2523</f>
        <v>15508358.819999993</v>
      </c>
      <c r="J2523" s="5">
        <v>2500000</v>
      </c>
      <c r="K2523" s="5">
        <v>15790000</v>
      </c>
      <c r="L2523" s="5">
        <v>16040000</v>
      </c>
      <c r="M2523" s="7">
        <v>4622.2</v>
      </c>
      <c r="N2523" s="5">
        <v>0</v>
      </c>
      <c r="O2523" s="5">
        <v>0</v>
      </c>
      <c r="P2523" s="3">
        <v>0.97916666666666663</v>
      </c>
    </row>
    <row r="2524" spans="1:16" x14ac:dyDescent="0.25">
      <c r="A2524" t="s">
        <v>1543</v>
      </c>
      <c r="B2524" s="2">
        <v>46037</v>
      </c>
      <c r="C2524" t="str">
        <f>TEXT(B2524,"mm")</f>
        <v>01</v>
      </c>
      <c r="D2524" t="s">
        <v>20</v>
      </c>
      <c r="E2524" t="s">
        <v>1636</v>
      </c>
      <c r="F2524" s="5">
        <v>157200000</v>
      </c>
      <c r="G2524" s="5">
        <v>159700000</v>
      </c>
      <c r="H2524" s="5">
        <f>M2524*26000*1.20565</f>
        <v>144678482.25999999</v>
      </c>
      <c r="I2524" s="5">
        <f>G2524-H2524</f>
        <v>15021517.74000001</v>
      </c>
      <c r="J2524" s="5">
        <v>2500000</v>
      </c>
      <c r="K2524" s="5">
        <v>15720000</v>
      </c>
      <c r="L2524" s="5">
        <v>15970000</v>
      </c>
      <c r="M2524" s="7">
        <v>4615.3999999999996</v>
      </c>
      <c r="N2524" s="5">
        <v>0</v>
      </c>
      <c r="O2524" s="5">
        <v>0</v>
      </c>
      <c r="P2524" s="3">
        <v>0.97916666666666663</v>
      </c>
    </row>
    <row r="2525" spans="1:16" x14ac:dyDescent="0.25">
      <c r="A2525" t="s">
        <v>1544</v>
      </c>
      <c r="B2525" s="2">
        <v>46038</v>
      </c>
      <c r="C2525" t="str">
        <f>TEXT(B2525,"mm")</f>
        <v>01</v>
      </c>
      <c r="D2525" t="s">
        <v>21</v>
      </c>
      <c r="E2525" t="s">
        <v>1636</v>
      </c>
      <c r="F2525" s="5">
        <v>157200000</v>
      </c>
      <c r="G2525" s="5">
        <v>159700000</v>
      </c>
      <c r="H2525" s="5">
        <f>M2525*26000*1.20565</f>
        <v>144017062.67000002</v>
      </c>
      <c r="I2525" s="5">
        <f>G2525-H2525</f>
        <v>15682937.329999983</v>
      </c>
      <c r="J2525" s="5">
        <v>2500000</v>
      </c>
      <c r="K2525" s="5">
        <v>15720000</v>
      </c>
      <c r="L2525" s="5">
        <v>15970000</v>
      </c>
      <c r="M2525" s="7">
        <v>4594.3</v>
      </c>
      <c r="N2525" s="5">
        <v>0</v>
      </c>
      <c r="O2525" s="5">
        <v>0</v>
      </c>
      <c r="P2525" s="3">
        <v>0.97916666666666663</v>
      </c>
    </row>
    <row r="2526" spans="1:16" x14ac:dyDescent="0.25">
      <c r="A2526" t="s">
        <v>1545</v>
      </c>
      <c r="B2526" s="2">
        <v>46042</v>
      </c>
      <c r="C2526" t="str">
        <f>TEXT(B2526,"mm")</f>
        <v>01</v>
      </c>
      <c r="D2526" t="s">
        <v>18</v>
      </c>
      <c r="E2526" t="s">
        <v>1636</v>
      </c>
      <c r="F2526" s="5">
        <v>161000000</v>
      </c>
      <c r="G2526" s="5">
        <v>163500000</v>
      </c>
      <c r="H2526" s="5">
        <f>M2526*26000*1.20565</f>
        <v>148687750.77000001</v>
      </c>
      <c r="I2526" s="5">
        <f>G2526-H2526</f>
        <v>14812249.229999989</v>
      </c>
      <c r="J2526" s="5">
        <v>2500000</v>
      </c>
      <c r="K2526" s="5">
        <v>16100000</v>
      </c>
      <c r="L2526" s="5">
        <v>16350000</v>
      </c>
      <c r="M2526" s="7">
        <v>4743.3</v>
      </c>
      <c r="N2526" s="5">
        <v>0</v>
      </c>
      <c r="O2526" s="5">
        <v>0</v>
      </c>
      <c r="P2526" s="3">
        <v>0.97916666666666663</v>
      </c>
    </row>
    <row r="2527" spans="1:16" x14ac:dyDescent="0.25">
      <c r="A2527" t="s">
        <v>1546</v>
      </c>
      <c r="B2527" s="2">
        <v>46043</v>
      </c>
      <c r="C2527" t="str">
        <f>TEXT(B2527,"mm")</f>
        <v>01</v>
      </c>
      <c r="D2527" t="s">
        <v>19</v>
      </c>
      <c r="E2527" t="s">
        <v>1636</v>
      </c>
      <c r="F2527" s="5">
        <v>165900000</v>
      </c>
      <c r="G2527" s="5">
        <v>168400000</v>
      </c>
      <c r="H2527" s="5">
        <f>M2527*26000*1.20565</f>
        <v>151693918.48000002</v>
      </c>
      <c r="I2527" s="5">
        <f>G2527-H2527</f>
        <v>16706081.519999981</v>
      </c>
      <c r="J2527" s="5">
        <v>2500000</v>
      </c>
      <c r="K2527" s="5">
        <v>16590000</v>
      </c>
      <c r="L2527" s="5">
        <v>16840000</v>
      </c>
      <c r="M2527" s="7">
        <v>4839.2</v>
      </c>
      <c r="N2527" s="5">
        <v>0</v>
      </c>
      <c r="O2527" s="5">
        <v>0</v>
      </c>
      <c r="P2527" s="3">
        <v>0.97916666666666663</v>
      </c>
    </row>
    <row r="2528" spans="1:16" x14ac:dyDescent="0.25">
      <c r="A2528" t="s">
        <v>1547</v>
      </c>
      <c r="B2528" s="2">
        <v>46044</v>
      </c>
      <c r="C2528" t="str">
        <f>TEXT(B2528,"mm")</f>
        <v>01</v>
      </c>
      <c r="D2528" t="s">
        <v>20</v>
      </c>
      <c r="E2528" t="s">
        <v>1636</v>
      </c>
      <c r="F2528" s="5">
        <v>165200000</v>
      </c>
      <c r="G2528" s="5">
        <v>167700000</v>
      </c>
      <c r="H2528" s="5">
        <f>M2528*26000*1.20565</f>
        <v>152947794.48000002</v>
      </c>
      <c r="I2528" s="5">
        <f>G2528-H2528</f>
        <v>14752205.519999981</v>
      </c>
      <c r="J2528" s="5">
        <v>2500000</v>
      </c>
      <c r="K2528" s="5">
        <v>16520000</v>
      </c>
      <c r="L2528" s="5">
        <v>16770000</v>
      </c>
      <c r="M2528" s="7">
        <v>4879.2</v>
      </c>
      <c r="N2528" s="5">
        <v>0</v>
      </c>
      <c r="O2528" s="5">
        <v>0</v>
      </c>
      <c r="P2528" s="3">
        <v>0.97916666666666663</v>
      </c>
    </row>
    <row r="2529" spans="1:16" x14ac:dyDescent="0.25">
      <c r="A2529" t="s">
        <v>1548</v>
      </c>
      <c r="B2529" s="2">
        <v>46045</v>
      </c>
      <c r="C2529" t="str">
        <f>TEXT(B2529,"mm")</f>
        <v>01</v>
      </c>
      <c r="D2529" t="s">
        <v>21</v>
      </c>
      <c r="E2529" t="s">
        <v>1636</v>
      </c>
      <c r="F2529" s="5">
        <v>168300000</v>
      </c>
      <c r="G2529" s="5">
        <v>170800000</v>
      </c>
      <c r="H2529" s="5">
        <f>M2529*26000*1.20565</f>
        <v>156320720.92000002</v>
      </c>
      <c r="I2529" s="5">
        <f>G2529-H2529</f>
        <v>14479279.079999983</v>
      </c>
      <c r="J2529" s="5">
        <v>2500000</v>
      </c>
      <c r="K2529" s="5">
        <v>16830000</v>
      </c>
      <c r="L2529" s="5">
        <v>17080000</v>
      </c>
      <c r="M2529" s="7">
        <v>4986.8</v>
      </c>
      <c r="N2529" s="5">
        <v>0</v>
      </c>
      <c r="O2529" s="5">
        <v>0</v>
      </c>
      <c r="P2529" s="3">
        <v>0.97916666666666663</v>
      </c>
    </row>
    <row r="2530" spans="1:16" x14ac:dyDescent="0.25">
      <c r="A2530" t="s">
        <v>1549</v>
      </c>
      <c r="B2530" s="2">
        <v>46048</v>
      </c>
      <c r="C2530" t="str">
        <f>TEXT(B2530,"mm")</f>
        <v>01</v>
      </c>
      <c r="D2530" t="s">
        <v>16</v>
      </c>
      <c r="E2530" t="s">
        <v>1636</v>
      </c>
      <c r="F2530" s="5">
        <v>173500000</v>
      </c>
      <c r="G2530" s="5">
        <v>176000000</v>
      </c>
      <c r="H2530" s="5">
        <f>M2530*26000*1.20565</f>
        <v>159351966.15000001</v>
      </c>
      <c r="I2530" s="5">
        <f>G2530-H2530</f>
        <v>16648033.849999994</v>
      </c>
      <c r="J2530" s="5">
        <v>2500000</v>
      </c>
      <c r="K2530" s="5">
        <v>17350000</v>
      </c>
      <c r="L2530" s="5">
        <v>17600000</v>
      </c>
      <c r="M2530" s="7">
        <v>5083.5</v>
      </c>
      <c r="N2530" s="5">
        <v>0</v>
      </c>
      <c r="O2530" s="5">
        <v>0</v>
      </c>
      <c r="P2530" s="3">
        <v>0.97916666666666663</v>
      </c>
    </row>
    <row r="2531" spans="1:16" x14ac:dyDescent="0.25">
      <c r="A2531" t="s">
        <v>1550</v>
      </c>
      <c r="B2531" s="2">
        <v>46049</v>
      </c>
      <c r="C2531" t="str">
        <f>TEXT(B2531,"mm")</f>
        <v>01</v>
      </c>
      <c r="D2531" t="s">
        <v>18</v>
      </c>
      <c r="E2531" t="s">
        <v>1636</v>
      </c>
      <c r="F2531" s="5">
        <v>174100000</v>
      </c>
      <c r="G2531" s="5">
        <v>176600000</v>
      </c>
      <c r="H2531" s="5">
        <f>M2531*26000*1.20565</f>
        <v>159759475.85000002</v>
      </c>
      <c r="I2531" s="5">
        <f>G2531-H2531</f>
        <v>16840524.149999976</v>
      </c>
      <c r="J2531" s="5">
        <v>2500000</v>
      </c>
      <c r="K2531" s="5">
        <v>17410000</v>
      </c>
      <c r="L2531" s="5">
        <v>17660000</v>
      </c>
      <c r="M2531" s="7">
        <v>5096.5</v>
      </c>
      <c r="N2531" s="5">
        <v>0</v>
      </c>
      <c r="O2531" s="5">
        <v>0</v>
      </c>
      <c r="P2531" s="3">
        <v>0.97916666666666663</v>
      </c>
    </row>
    <row r="2532" spans="1:16" x14ac:dyDescent="0.25">
      <c r="A2532" t="s">
        <v>1551</v>
      </c>
      <c r="B2532" s="2">
        <v>46050</v>
      </c>
      <c r="C2532" t="str">
        <f>TEXT(B2532,"mm")</f>
        <v>01</v>
      </c>
      <c r="D2532" t="s">
        <v>19</v>
      </c>
      <c r="E2532" t="s">
        <v>1636</v>
      </c>
      <c r="F2532" s="5">
        <v>180700000</v>
      </c>
      <c r="G2532" s="5">
        <v>183700000</v>
      </c>
      <c r="H2532" s="5">
        <f>M2532*26000*1.20565</f>
        <v>165762407.20000002</v>
      </c>
      <c r="I2532" s="5">
        <f>G2532-H2532</f>
        <v>17937592.799999982</v>
      </c>
      <c r="J2532" s="5">
        <v>3000000</v>
      </c>
      <c r="K2532" s="5">
        <v>18070000</v>
      </c>
      <c r="L2532" s="5">
        <v>18370000</v>
      </c>
      <c r="M2532" s="7">
        <v>5288</v>
      </c>
      <c r="N2532" s="5">
        <v>0</v>
      </c>
      <c r="O2532" s="5">
        <v>0</v>
      </c>
      <c r="P2532" s="3">
        <v>0.97916666666666663</v>
      </c>
    </row>
    <row r="2533" spans="1:16" x14ac:dyDescent="0.25">
      <c r="A2533" t="s">
        <v>1552</v>
      </c>
      <c r="B2533" s="2">
        <v>46051</v>
      </c>
      <c r="C2533" t="str">
        <f>TEXT(B2533,"mm")</f>
        <v>01</v>
      </c>
      <c r="D2533" t="s">
        <v>20</v>
      </c>
      <c r="E2533" t="s">
        <v>1636</v>
      </c>
      <c r="F2533" s="5">
        <v>186300000</v>
      </c>
      <c r="G2533" s="5">
        <v>189300000</v>
      </c>
      <c r="H2533" s="5">
        <f>M2533*26000*1.20565</f>
        <v>165853313.21000001</v>
      </c>
      <c r="I2533" s="5">
        <f>G2533-H2533</f>
        <v>23446686.789999992</v>
      </c>
      <c r="J2533" s="5">
        <v>3000000</v>
      </c>
      <c r="K2533" s="5">
        <v>18630000</v>
      </c>
      <c r="L2533" s="5">
        <v>18930000</v>
      </c>
      <c r="M2533" s="7">
        <v>5290.9</v>
      </c>
      <c r="N2533" s="5">
        <v>0</v>
      </c>
      <c r="O2533" s="5">
        <v>0</v>
      </c>
      <c r="P2533" s="3">
        <v>0.97916666666666663</v>
      </c>
    </row>
    <row r="2534" spans="1:16" x14ac:dyDescent="0.25">
      <c r="A2534" t="s">
        <v>1553</v>
      </c>
      <c r="B2534" s="2">
        <v>46052</v>
      </c>
      <c r="C2534" t="str">
        <f>TEXT(B2534,"mm")</f>
        <v>01</v>
      </c>
      <c r="D2534" t="s">
        <v>21</v>
      </c>
      <c r="E2534" t="s">
        <v>1636</v>
      </c>
      <c r="F2534" s="5">
        <v>177000000</v>
      </c>
      <c r="G2534" s="5">
        <v>180000000</v>
      </c>
      <c r="H2534" s="5">
        <f>M2534*26000*1.20565</f>
        <v>156794059.10999998</v>
      </c>
      <c r="I2534" s="5">
        <f>G2534-H2534</f>
        <v>23205940.890000015</v>
      </c>
      <c r="J2534" s="5">
        <v>3000000</v>
      </c>
      <c r="K2534" s="5">
        <v>17700000</v>
      </c>
      <c r="L2534" s="5">
        <v>18000000</v>
      </c>
      <c r="M2534" s="7">
        <v>5001.8999999999996</v>
      </c>
      <c r="N2534" s="5">
        <v>0</v>
      </c>
      <c r="O2534" s="5">
        <v>0</v>
      </c>
      <c r="P2534" s="3">
        <v>0.97916666666666663</v>
      </c>
    </row>
    <row r="2535" spans="1:16" x14ac:dyDescent="0.25">
      <c r="A2535" s="2">
        <v>46055</v>
      </c>
      <c r="B2535" s="2">
        <v>46055</v>
      </c>
      <c r="C2535" t="str">
        <f>TEXT(B2535,"mm")</f>
        <v>02</v>
      </c>
      <c r="D2535" t="s">
        <v>16</v>
      </c>
      <c r="E2535" t="s">
        <v>1636</v>
      </c>
      <c r="F2535" s="5">
        <v>162500000</v>
      </c>
      <c r="G2535" s="5">
        <v>165500000</v>
      </c>
      <c r="H2535" s="5">
        <f>M2535*26000*1.20565</f>
        <v>146308521.06</v>
      </c>
      <c r="I2535" s="5">
        <f>G2535-H2535</f>
        <v>19191478.939999998</v>
      </c>
      <c r="J2535" s="5">
        <v>3000000</v>
      </c>
      <c r="K2535" s="5">
        <v>16250000</v>
      </c>
      <c r="L2535" s="5">
        <v>16550000</v>
      </c>
      <c r="M2535" s="7">
        <v>4667.3999999999996</v>
      </c>
      <c r="N2535" s="5">
        <v>0</v>
      </c>
      <c r="O2535" s="5">
        <v>0</v>
      </c>
      <c r="P2535" s="3">
        <v>0.97916666666666663</v>
      </c>
    </row>
    <row r="2536" spans="1:16" x14ac:dyDescent="0.25">
      <c r="A2536" s="2">
        <v>46083</v>
      </c>
      <c r="B2536" s="2">
        <v>46056</v>
      </c>
      <c r="C2536" t="str">
        <f>TEXT(B2536,"mm")</f>
        <v>02</v>
      </c>
      <c r="D2536" t="s">
        <v>18</v>
      </c>
      <c r="E2536" t="s">
        <v>1636</v>
      </c>
      <c r="F2536" s="5">
        <v>171500000</v>
      </c>
      <c r="G2536" s="5">
        <v>174500000</v>
      </c>
      <c r="H2536" s="5">
        <f>M2536*26000*1.20565</f>
        <v>156088753.85999998</v>
      </c>
      <c r="I2536" s="5">
        <f>G2536-H2536</f>
        <v>18411246.140000015</v>
      </c>
      <c r="J2536" s="5">
        <v>3000000</v>
      </c>
      <c r="K2536" s="5">
        <v>17150000</v>
      </c>
      <c r="L2536" s="5">
        <v>17450000</v>
      </c>
      <c r="M2536" s="7">
        <v>4979.3999999999996</v>
      </c>
      <c r="N2536" s="5">
        <v>0</v>
      </c>
      <c r="O2536" s="5">
        <v>0</v>
      </c>
      <c r="P2536" s="3">
        <v>0.97916666666666663</v>
      </c>
    </row>
    <row r="2537" spans="1:16" x14ac:dyDescent="0.25">
      <c r="A2537" s="2">
        <v>46114</v>
      </c>
      <c r="B2537" s="2">
        <v>46057</v>
      </c>
      <c r="C2537" t="str">
        <f>TEXT(B2537,"mm")</f>
        <v>02</v>
      </c>
      <c r="D2537" t="s">
        <v>19</v>
      </c>
      <c r="E2537" t="s">
        <v>1636</v>
      </c>
      <c r="F2537" s="5">
        <v>176700000</v>
      </c>
      <c r="G2537" s="5">
        <v>179700000</v>
      </c>
      <c r="H2537" s="5">
        <f>M2537*26000*1.20565</f>
        <v>154308249.94000003</v>
      </c>
      <c r="I2537" s="5">
        <f>G2537-H2537</f>
        <v>25391750.059999973</v>
      </c>
      <c r="J2537" s="5">
        <v>3000000</v>
      </c>
      <c r="K2537" s="5">
        <v>17670000</v>
      </c>
      <c r="L2537" s="5">
        <v>17970000</v>
      </c>
      <c r="M2537" s="7">
        <v>4922.6000000000004</v>
      </c>
      <c r="N2537" s="5">
        <v>0</v>
      </c>
      <c r="O2537" s="5">
        <v>0</v>
      </c>
      <c r="P2537" s="3">
        <v>0.97916666666666663</v>
      </c>
    </row>
    <row r="2538" spans="1:16" x14ac:dyDescent="0.25">
      <c r="A2538" s="2">
        <v>46144</v>
      </c>
      <c r="B2538" s="2">
        <v>46058</v>
      </c>
      <c r="C2538" t="str">
        <f>TEXT(B2538,"mm")</f>
        <v>02</v>
      </c>
      <c r="D2538" t="s">
        <v>20</v>
      </c>
      <c r="E2538" t="s">
        <v>1636</v>
      </c>
      <c r="F2538" s="5">
        <v>171500000</v>
      </c>
      <c r="G2538" s="5">
        <v>174500000</v>
      </c>
      <c r="H2538" s="5">
        <f>M2538*26000*1.20565</f>
        <v>152211142.33000001</v>
      </c>
      <c r="I2538" s="5">
        <f>G2538-H2538</f>
        <v>22288857.669999987</v>
      </c>
      <c r="J2538" s="5">
        <v>3000000</v>
      </c>
      <c r="K2538" s="5">
        <v>17150000</v>
      </c>
      <c r="L2538" s="5">
        <v>17450000</v>
      </c>
      <c r="M2538" s="7">
        <v>4855.7</v>
      </c>
      <c r="N2538" s="5">
        <v>0</v>
      </c>
      <c r="O2538" s="5">
        <v>0</v>
      </c>
      <c r="P2538" s="3">
        <v>0.97916666666666663</v>
      </c>
    </row>
    <row r="2539" spans="1:16" x14ac:dyDescent="0.25">
      <c r="A2539" s="2">
        <v>46175</v>
      </c>
      <c r="B2539" s="2">
        <v>46059</v>
      </c>
      <c r="C2539" t="str">
        <f>TEXT(B2539,"mm")</f>
        <v>02</v>
      </c>
      <c r="D2539" t="s">
        <v>21</v>
      </c>
      <c r="E2539" t="s">
        <v>1636</v>
      </c>
      <c r="F2539" s="5">
        <v>173000000</v>
      </c>
      <c r="G2539" s="5">
        <v>176000000</v>
      </c>
      <c r="H2539" s="5">
        <f>M2539*26000*1.20565</f>
        <v>154834877.85999998</v>
      </c>
      <c r="I2539" s="5">
        <f>G2539-H2539</f>
        <v>21165122.140000015</v>
      </c>
      <c r="J2539" s="5">
        <v>3000000</v>
      </c>
      <c r="K2539" s="5">
        <v>17300000</v>
      </c>
      <c r="L2539" s="5">
        <v>17600000</v>
      </c>
      <c r="M2539" s="7">
        <v>4939.3999999999996</v>
      </c>
      <c r="N2539" s="5">
        <v>0</v>
      </c>
      <c r="O2539" s="5">
        <v>0</v>
      </c>
      <c r="P2539" s="3">
        <v>0.97916666666666663</v>
      </c>
    </row>
    <row r="2540" spans="1:16" x14ac:dyDescent="0.25">
      <c r="A2540" s="2">
        <v>46267</v>
      </c>
      <c r="B2540" s="2">
        <v>46062</v>
      </c>
      <c r="C2540" t="str">
        <f>TEXT(B2540,"mm")</f>
        <v>02</v>
      </c>
      <c r="D2540" t="s">
        <v>16</v>
      </c>
      <c r="E2540" t="s">
        <v>1636</v>
      </c>
      <c r="F2540" s="5">
        <v>176900000</v>
      </c>
      <c r="G2540" s="5">
        <v>179900000</v>
      </c>
      <c r="H2540" s="5">
        <f>M2540*26000*1.20565</f>
        <v>159085517.5</v>
      </c>
      <c r="I2540" s="5">
        <f>G2540-H2540</f>
        <v>20814482.5</v>
      </c>
      <c r="J2540" s="5">
        <v>3000000</v>
      </c>
      <c r="K2540" s="5">
        <v>17690000</v>
      </c>
      <c r="L2540" s="5">
        <v>17990000</v>
      </c>
      <c r="M2540" s="7">
        <v>5075</v>
      </c>
      <c r="N2540" s="5">
        <v>0</v>
      </c>
      <c r="O2540" s="5">
        <v>0</v>
      </c>
      <c r="P2540" s="3">
        <v>0.97916666666666663</v>
      </c>
    </row>
    <row r="2541" spans="1:16" x14ac:dyDescent="0.25">
      <c r="A2541" s="2">
        <v>46297</v>
      </c>
      <c r="B2541" s="2">
        <v>46063</v>
      </c>
      <c r="C2541" t="str">
        <f>TEXT(B2541,"mm")</f>
        <v>02</v>
      </c>
      <c r="D2541" t="s">
        <v>18</v>
      </c>
      <c r="E2541" t="s">
        <v>1636</v>
      </c>
      <c r="F2541" s="5">
        <v>177500000</v>
      </c>
      <c r="G2541" s="5">
        <v>180500000</v>
      </c>
      <c r="H2541" s="5">
        <f>M2541*26000*1.20565</f>
        <v>157301878.89000005</v>
      </c>
      <c r="I2541" s="5">
        <f>G2541-H2541</f>
        <v>23198121.109999955</v>
      </c>
      <c r="J2541" s="5">
        <v>3000000</v>
      </c>
      <c r="K2541" s="5">
        <v>17750000</v>
      </c>
      <c r="L2541" s="5">
        <v>18050000</v>
      </c>
      <c r="M2541" s="7">
        <v>5018.1000000000004</v>
      </c>
      <c r="N2541" s="5">
        <v>0</v>
      </c>
      <c r="O2541" s="5">
        <v>0</v>
      </c>
      <c r="P2541" s="3">
        <v>0.97916666666666663</v>
      </c>
    </row>
    <row r="2542" spans="1:16" x14ac:dyDescent="0.25">
      <c r="A2542" s="2">
        <v>46328</v>
      </c>
      <c r="B2542" s="2">
        <v>46064</v>
      </c>
      <c r="C2542" t="str">
        <f>TEXT(B2542,"mm")</f>
        <v>02</v>
      </c>
      <c r="D2542" t="s">
        <v>19</v>
      </c>
      <c r="E2542" t="s">
        <v>1636</v>
      </c>
      <c r="F2542" s="5">
        <v>177500000</v>
      </c>
      <c r="G2542" s="5">
        <v>180500000</v>
      </c>
      <c r="H2542" s="5">
        <f>M2542*26000*1.20565</f>
        <v>158656064.97000003</v>
      </c>
      <c r="I2542" s="5">
        <f>G2542-H2542</f>
        <v>21843935.029999971</v>
      </c>
      <c r="J2542" s="5">
        <v>3000000</v>
      </c>
      <c r="K2542" s="5">
        <v>17750000</v>
      </c>
      <c r="L2542" s="5">
        <v>18050000</v>
      </c>
      <c r="M2542" s="7">
        <v>5061.3</v>
      </c>
      <c r="N2542" s="5">
        <v>0</v>
      </c>
      <c r="O2542" s="5">
        <v>0</v>
      </c>
      <c r="P2542" s="3">
        <v>0.97916666666666663</v>
      </c>
    </row>
    <row r="2543" spans="1:16" x14ac:dyDescent="0.25">
      <c r="A2543" s="2">
        <v>46358</v>
      </c>
      <c r="B2543" s="2">
        <v>46065</v>
      </c>
      <c r="C2543" t="str">
        <f>TEXT(B2543,"mm")</f>
        <v>02</v>
      </c>
      <c r="D2543" t="s">
        <v>20</v>
      </c>
      <c r="E2543" t="s">
        <v>1636</v>
      </c>
      <c r="F2543" s="5">
        <v>177500000</v>
      </c>
      <c r="G2543" s="5">
        <v>180500000</v>
      </c>
      <c r="H2543" s="5">
        <f>M2543*26000*1.20565</f>
        <v>153129606.5</v>
      </c>
      <c r="I2543" s="5">
        <f>G2543-H2543</f>
        <v>27370393.5</v>
      </c>
      <c r="J2543" s="5">
        <v>3000000</v>
      </c>
      <c r="K2543" s="5">
        <v>17750000</v>
      </c>
      <c r="L2543" s="5">
        <v>18050000</v>
      </c>
      <c r="M2543" s="7">
        <v>4885</v>
      </c>
      <c r="N2543" s="5">
        <v>0</v>
      </c>
      <c r="O2543" s="5">
        <v>0</v>
      </c>
      <c r="P2543" s="3">
        <v>0.97916666666666663</v>
      </c>
    </row>
    <row r="2544" spans="1:16" x14ac:dyDescent="0.25">
      <c r="A2544" t="s">
        <v>1554</v>
      </c>
      <c r="B2544" s="2">
        <v>46066</v>
      </c>
      <c r="C2544" t="str">
        <f>TEXT(B2544,"mm")</f>
        <v>02</v>
      </c>
      <c r="D2544" t="s">
        <v>21</v>
      </c>
      <c r="E2544" t="s">
        <v>1636</v>
      </c>
      <c r="F2544" s="5">
        <v>175500000</v>
      </c>
      <c r="G2544" s="5">
        <v>178500000</v>
      </c>
      <c r="H2544" s="5">
        <f>M2544*26000*1.20565</f>
        <v>157508768.43000001</v>
      </c>
      <c r="I2544" s="5">
        <f>G2544-H2544</f>
        <v>20991231.569999993</v>
      </c>
      <c r="J2544" s="5">
        <v>3000000</v>
      </c>
      <c r="K2544" s="5">
        <v>17550000</v>
      </c>
      <c r="L2544" s="5">
        <v>17850000</v>
      </c>
      <c r="M2544" s="7">
        <v>5024.7</v>
      </c>
      <c r="N2544" s="5">
        <v>0</v>
      </c>
      <c r="O2544" s="5">
        <v>0</v>
      </c>
      <c r="P2544" s="3">
        <v>0.97916666666666663</v>
      </c>
    </row>
    <row r="2545" spans="1:16" x14ac:dyDescent="0.25">
      <c r="A2545" t="s">
        <v>1555</v>
      </c>
      <c r="B2545" s="2">
        <v>46070</v>
      </c>
      <c r="C2545" t="str">
        <f>TEXT(B2545,"mm")</f>
        <v>02</v>
      </c>
      <c r="D2545" t="s">
        <v>18</v>
      </c>
      <c r="E2545" t="s">
        <v>1636</v>
      </c>
      <c r="F2545" s="5">
        <v>177500000</v>
      </c>
      <c r="G2545" s="5">
        <v>180500000</v>
      </c>
      <c r="H2545" s="5">
        <f>M2545*26000*1.20565</f>
        <v>153189165.60999998</v>
      </c>
      <c r="I2545" s="5">
        <f>G2545-H2545</f>
        <v>27310834.390000015</v>
      </c>
      <c r="J2545" s="5">
        <v>3000000</v>
      </c>
      <c r="K2545" s="5">
        <v>17750000</v>
      </c>
      <c r="L2545" s="5">
        <v>18050000</v>
      </c>
      <c r="M2545" s="7">
        <v>4886.8999999999996</v>
      </c>
      <c r="N2545" s="5">
        <v>0</v>
      </c>
      <c r="O2545" s="5">
        <v>0</v>
      </c>
      <c r="P2545" s="3">
        <v>0.97916666666666663</v>
      </c>
    </row>
    <row r="2546" spans="1:16" x14ac:dyDescent="0.25">
      <c r="A2546" t="s">
        <v>1556</v>
      </c>
      <c r="B2546" s="2">
        <v>46071</v>
      </c>
      <c r="C2546" t="str">
        <f>TEXT(B2546,"mm")</f>
        <v>02</v>
      </c>
      <c r="D2546" t="s">
        <v>19</v>
      </c>
      <c r="E2546" t="s">
        <v>1636</v>
      </c>
      <c r="F2546" s="5">
        <v>177500000</v>
      </c>
      <c r="G2546" s="5">
        <v>180500000</v>
      </c>
      <c r="H2546" s="5">
        <f>M2546*26000*1.20565</f>
        <v>156599708.33000001</v>
      </c>
      <c r="I2546" s="5">
        <f>G2546-H2546</f>
        <v>23900291.669999987</v>
      </c>
      <c r="J2546" s="5">
        <v>3000000</v>
      </c>
      <c r="K2546" s="5">
        <v>17750000</v>
      </c>
      <c r="L2546" s="5">
        <v>18050000</v>
      </c>
      <c r="M2546" s="7">
        <v>4995.7</v>
      </c>
      <c r="N2546" s="5">
        <v>0</v>
      </c>
      <c r="O2546" s="5">
        <v>0</v>
      </c>
      <c r="P2546" s="3">
        <v>0.97916666666666663</v>
      </c>
    </row>
    <row r="2547" spans="1:16" x14ac:dyDescent="0.25">
      <c r="A2547" t="s">
        <v>1557</v>
      </c>
      <c r="B2547" s="2">
        <v>46072</v>
      </c>
      <c r="C2547" t="str">
        <f>TEXT(B2547,"mm")</f>
        <v>02</v>
      </c>
      <c r="D2547" t="s">
        <v>20</v>
      </c>
      <c r="E2547" t="s">
        <v>1636</v>
      </c>
      <c r="F2547" s="5">
        <v>177500000</v>
      </c>
      <c r="G2547" s="5">
        <v>180500000</v>
      </c>
      <c r="H2547" s="5">
        <f>M2547*26000*1.20565</f>
        <v>156712557.17000002</v>
      </c>
      <c r="I2547" s="5">
        <f>G2547-H2547</f>
        <v>23787442.829999983</v>
      </c>
      <c r="J2547" s="5">
        <v>3000000</v>
      </c>
      <c r="K2547" s="5">
        <v>17750000</v>
      </c>
      <c r="L2547" s="5">
        <v>18050000</v>
      </c>
      <c r="M2547" s="7">
        <v>4999.3</v>
      </c>
      <c r="N2547" s="5">
        <v>0</v>
      </c>
      <c r="O2547" s="5">
        <v>0</v>
      </c>
      <c r="P2547" s="3">
        <v>0.97916666666666663</v>
      </c>
    </row>
    <row r="2548" spans="1:16" x14ac:dyDescent="0.25">
      <c r="A2548" t="s">
        <v>1558</v>
      </c>
      <c r="B2548" s="2">
        <v>46073</v>
      </c>
      <c r="C2548" t="str">
        <f>TEXT(B2548,"mm")</f>
        <v>02</v>
      </c>
      <c r="D2548" t="s">
        <v>21</v>
      </c>
      <c r="E2548" t="s">
        <v>1636</v>
      </c>
      <c r="F2548" s="5">
        <v>177500000</v>
      </c>
      <c r="G2548" s="5">
        <v>180500000</v>
      </c>
      <c r="H2548" s="5">
        <f>M2548*26000*1.20565</f>
        <v>158399020.39000005</v>
      </c>
      <c r="I2548" s="5">
        <f>G2548-H2548</f>
        <v>22100979.609999955</v>
      </c>
      <c r="J2548" s="5">
        <v>3000000</v>
      </c>
      <c r="K2548" s="5">
        <v>17750000</v>
      </c>
      <c r="L2548" s="5">
        <v>18050000</v>
      </c>
      <c r="M2548" s="7">
        <v>5053.1000000000004</v>
      </c>
      <c r="N2548" s="5">
        <v>0</v>
      </c>
      <c r="O2548" s="5">
        <v>0</v>
      </c>
      <c r="P2548" s="3">
        <v>0.97916666666666663</v>
      </c>
    </row>
    <row r="2549" spans="1:16" x14ac:dyDescent="0.25">
      <c r="A2549" t="s">
        <v>1559</v>
      </c>
      <c r="B2549" s="2">
        <v>46076</v>
      </c>
      <c r="C2549" t="str">
        <f>TEXT(B2549,"mm")</f>
        <v>02</v>
      </c>
      <c r="D2549" t="s">
        <v>16</v>
      </c>
      <c r="E2549" t="s">
        <v>1636</v>
      </c>
      <c r="F2549" s="5">
        <v>181100000</v>
      </c>
      <c r="G2549" s="5">
        <v>184100000</v>
      </c>
      <c r="H2549" s="5">
        <f>M2549*26000*1.20565</f>
        <v>163549316.06</v>
      </c>
      <c r="I2549" s="5">
        <f>G2549-H2549</f>
        <v>20550683.939999998</v>
      </c>
      <c r="J2549" s="5">
        <v>3000000</v>
      </c>
      <c r="K2549" s="5">
        <v>18110000</v>
      </c>
      <c r="L2549" s="5">
        <v>18410000</v>
      </c>
      <c r="M2549" s="7">
        <v>5217.3999999999996</v>
      </c>
      <c r="N2549" s="5">
        <v>0</v>
      </c>
      <c r="O2549" s="5">
        <v>0</v>
      </c>
      <c r="P2549" s="3">
        <v>0.97916666666666663</v>
      </c>
    </row>
    <row r="2550" spans="1:16" x14ac:dyDescent="0.25">
      <c r="A2550" t="s">
        <v>1560</v>
      </c>
      <c r="B2550" s="2">
        <v>46077</v>
      </c>
      <c r="C2550" t="str">
        <f>TEXT(B2550,"mm")</f>
        <v>02</v>
      </c>
      <c r="D2550" t="s">
        <v>18</v>
      </c>
      <c r="E2550" t="s">
        <v>1636</v>
      </c>
      <c r="F2550" s="5">
        <v>181100000</v>
      </c>
      <c r="G2550" s="5">
        <v>184100000</v>
      </c>
      <c r="H2550" s="5">
        <f>M2550*26000*1.20565</f>
        <v>161264127.05000001</v>
      </c>
      <c r="I2550" s="5">
        <f>G2550-H2550</f>
        <v>22835872.949999988</v>
      </c>
      <c r="J2550" s="5">
        <v>3000000</v>
      </c>
      <c r="K2550" s="5">
        <v>18110000</v>
      </c>
      <c r="L2550" s="5">
        <v>18410000</v>
      </c>
      <c r="M2550" s="7">
        <v>5144.5</v>
      </c>
      <c r="N2550" s="5">
        <v>0</v>
      </c>
      <c r="O2550" s="5">
        <v>0</v>
      </c>
      <c r="P2550" s="3">
        <v>0.97916666666666663</v>
      </c>
    </row>
    <row r="2551" spans="1:16" x14ac:dyDescent="0.25">
      <c r="A2551" t="s">
        <v>1561</v>
      </c>
      <c r="B2551" s="2">
        <v>46078</v>
      </c>
      <c r="C2551" t="str">
        <f>TEXT(B2551,"mm")</f>
        <v>02</v>
      </c>
      <c r="D2551" t="s">
        <v>19</v>
      </c>
      <c r="E2551" t="s">
        <v>1636</v>
      </c>
      <c r="F2551" s="5">
        <v>181800000</v>
      </c>
      <c r="G2551" s="5">
        <v>184800000</v>
      </c>
      <c r="H2551" s="5">
        <f>M2551*26000*1.20565</f>
        <v>163113594.15000001</v>
      </c>
      <c r="I2551" s="5">
        <f>G2551-H2551</f>
        <v>21686405.849999994</v>
      </c>
      <c r="J2551" s="5">
        <v>3000000</v>
      </c>
      <c r="K2551" s="5">
        <v>18180000</v>
      </c>
      <c r="L2551" s="5">
        <v>18480000</v>
      </c>
      <c r="M2551" s="7">
        <v>5203.5</v>
      </c>
      <c r="N2551" s="5">
        <v>0</v>
      </c>
      <c r="O2551" s="5">
        <v>0</v>
      </c>
      <c r="P2551" s="3">
        <v>0.97916666666666663</v>
      </c>
    </row>
    <row r="2552" spans="1:16" x14ac:dyDescent="0.25">
      <c r="A2552" t="s">
        <v>1562</v>
      </c>
      <c r="B2552" s="2">
        <v>46079</v>
      </c>
      <c r="C2552" t="str">
        <f>TEXT(B2552,"mm")</f>
        <v>02</v>
      </c>
      <c r="D2552" t="s">
        <v>20</v>
      </c>
      <c r="E2552" t="s">
        <v>1636</v>
      </c>
      <c r="F2552" s="5">
        <v>181000000</v>
      </c>
      <c r="G2552" s="5">
        <v>184000000</v>
      </c>
      <c r="H2552" s="5">
        <f>M2552*26000*1.20565</f>
        <v>162414558.28</v>
      </c>
      <c r="I2552" s="5">
        <f>G2552-H2552</f>
        <v>21585441.719999999</v>
      </c>
      <c r="J2552" s="5">
        <v>3000000</v>
      </c>
      <c r="K2552" s="5">
        <v>18100000</v>
      </c>
      <c r="L2552" s="5">
        <v>18400000</v>
      </c>
      <c r="M2552" s="7">
        <v>5181.2</v>
      </c>
      <c r="N2552" s="5">
        <v>0</v>
      </c>
      <c r="O2552" s="5">
        <v>0</v>
      </c>
      <c r="P2552" s="3">
        <v>0.97916666666666663</v>
      </c>
    </row>
    <row r="2553" spans="1:16" x14ac:dyDescent="0.25">
      <c r="A2553" t="s">
        <v>1563</v>
      </c>
      <c r="B2553" s="2">
        <v>46080</v>
      </c>
      <c r="C2553" t="str">
        <f>TEXT(B2553,"mm")</f>
        <v>02</v>
      </c>
      <c r="D2553" t="s">
        <v>21</v>
      </c>
      <c r="E2553" t="s">
        <v>1636</v>
      </c>
      <c r="F2553" s="5">
        <v>180800000</v>
      </c>
      <c r="G2553" s="5">
        <v>183800000</v>
      </c>
      <c r="H2553" s="5">
        <f>M2553*26000*1.20565</f>
        <v>164116694.95000002</v>
      </c>
      <c r="I2553" s="5">
        <f>G2553-H2553</f>
        <v>19683305.049999982</v>
      </c>
      <c r="J2553" s="5">
        <v>3000000</v>
      </c>
      <c r="K2553" s="5">
        <v>18080000</v>
      </c>
      <c r="L2553" s="5">
        <v>18380000</v>
      </c>
      <c r="M2553" s="7">
        <v>5235.5</v>
      </c>
      <c r="N2553" s="5">
        <v>0</v>
      </c>
      <c r="O2553" s="5">
        <v>0</v>
      </c>
      <c r="P2553" s="3">
        <v>0.97916666666666663</v>
      </c>
    </row>
    <row r="2554" spans="1:16" x14ac:dyDescent="0.25">
      <c r="A2554" s="2">
        <v>46056</v>
      </c>
      <c r="B2554" s="2">
        <v>46083</v>
      </c>
      <c r="C2554" t="str">
        <f>TEXT(B2554,"mm")</f>
        <v>03</v>
      </c>
      <c r="D2554" t="s">
        <v>16</v>
      </c>
      <c r="E2554" t="s">
        <v>1636</v>
      </c>
      <c r="F2554" s="5">
        <v>186400000</v>
      </c>
      <c r="G2554" s="5">
        <v>189400000</v>
      </c>
      <c r="H2554" s="5">
        <f>M2554*26000*1.20565</f>
        <v>166420692.10000002</v>
      </c>
      <c r="I2554" s="5">
        <f>G2554-H2554</f>
        <v>22979307.899999976</v>
      </c>
      <c r="J2554" s="5">
        <v>3000000</v>
      </c>
      <c r="K2554" s="5">
        <v>18640000</v>
      </c>
      <c r="L2554" s="5">
        <v>18940000</v>
      </c>
      <c r="M2554" s="7">
        <v>5309</v>
      </c>
      <c r="N2554" s="5">
        <v>0</v>
      </c>
      <c r="O2554" s="5">
        <v>0</v>
      </c>
      <c r="P2554" s="3">
        <v>0.97916666666666663</v>
      </c>
    </row>
    <row r="2555" spans="1:16" x14ac:dyDescent="0.25">
      <c r="A2555" s="2">
        <v>46084</v>
      </c>
      <c r="B2555" s="2">
        <v>46084</v>
      </c>
      <c r="C2555" t="str">
        <f>TEXT(B2555,"mm")</f>
        <v>03</v>
      </c>
      <c r="D2555" t="s">
        <v>18</v>
      </c>
      <c r="E2555" t="s">
        <v>1636</v>
      </c>
      <c r="F2555" s="5">
        <v>184900000</v>
      </c>
      <c r="G2555" s="5">
        <v>187900000</v>
      </c>
      <c r="H2555" s="5">
        <f>M2555*26000*1.20565</f>
        <v>160430299.50999999</v>
      </c>
      <c r="I2555" s="5">
        <f>G2555-H2555</f>
        <v>27469700.49000001</v>
      </c>
      <c r="J2555" s="5">
        <v>3000000</v>
      </c>
      <c r="K2555" s="5">
        <v>18490000</v>
      </c>
      <c r="L2555" s="5">
        <v>18790000</v>
      </c>
      <c r="M2555" s="7">
        <v>5117.8999999999996</v>
      </c>
      <c r="N2555" s="5">
        <v>0</v>
      </c>
      <c r="O2555" s="5">
        <v>0</v>
      </c>
      <c r="P2555" s="3">
        <v>0.97916666666666663</v>
      </c>
    </row>
    <row r="2556" spans="1:16" x14ac:dyDescent="0.25">
      <c r="A2556" s="2">
        <v>46115</v>
      </c>
      <c r="B2556" s="2">
        <v>46085</v>
      </c>
      <c r="C2556" t="str">
        <f>TEXT(B2556,"mm")</f>
        <v>03</v>
      </c>
      <c r="D2556" t="s">
        <v>19</v>
      </c>
      <c r="E2556" t="s">
        <v>1636</v>
      </c>
      <c r="F2556" s="5">
        <v>180900000</v>
      </c>
      <c r="G2556" s="5">
        <v>183900000</v>
      </c>
      <c r="H2556" s="5">
        <f>M2556*26000*1.20565</f>
        <v>161474151.28</v>
      </c>
      <c r="I2556" s="5">
        <f>G2556-H2556</f>
        <v>22425848.719999999</v>
      </c>
      <c r="J2556" s="5">
        <v>3000000</v>
      </c>
      <c r="K2556" s="5">
        <v>18090000</v>
      </c>
      <c r="L2556" s="5">
        <v>18390000</v>
      </c>
      <c r="M2556" s="7">
        <v>5151.2</v>
      </c>
      <c r="N2556" s="5">
        <v>0</v>
      </c>
      <c r="O2556" s="5">
        <v>0</v>
      </c>
      <c r="P2556" s="3">
        <v>0.97916666666666663</v>
      </c>
    </row>
    <row r="2557" spans="1:16" x14ac:dyDescent="0.25">
      <c r="A2557" s="2">
        <v>46145</v>
      </c>
      <c r="B2557" s="2">
        <v>46086</v>
      </c>
      <c r="C2557" t="str">
        <f>TEXT(B2557,"mm")</f>
        <v>03</v>
      </c>
      <c r="D2557" t="s">
        <v>20</v>
      </c>
      <c r="E2557" t="s">
        <v>1636</v>
      </c>
      <c r="F2557" s="5">
        <v>181400000</v>
      </c>
      <c r="G2557" s="5">
        <v>184400000</v>
      </c>
      <c r="H2557" s="5">
        <f>M2557*26000*1.20565</f>
        <v>158956995.21000001</v>
      </c>
      <c r="I2557" s="5">
        <f>G2557-H2557</f>
        <v>25443004.789999992</v>
      </c>
      <c r="J2557" s="5">
        <v>3000000</v>
      </c>
      <c r="K2557" s="5">
        <v>18140000</v>
      </c>
      <c r="L2557" s="5">
        <v>18440000</v>
      </c>
      <c r="M2557" s="7">
        <v>5070.8999999999996</v>
      </c>
      <c r="N2557" s="5">
        <v>0</v>
      </c>
      <c r="O2557" s="5">
        <v>0</v>
      </c>
      <c r="P2557" s="3">
        <v>0.97916666666666663</v>
      </c>
    </row>
    <row r="2558" spans="1:16" x14ac:dyDescent="0.25">
      <c r="A2558" s="2">
        <v>46176</v>
      </c>
      <c r="B2558" s="2">
        <v>46087</v>
      </c>
      <c r="C2558" t="str">
        <f>TEXT(B2558,"mm")</f>
        <v>03</v>
      </c>
      <c r="D2558" t="s">
        <v>21</v>
      </c>
      <c r="E2558" t="s">
        <v>1636</v>
      </c>
      <c r="F2558" s="5">
        <v>180500000</v>
      </c>
      <c r="G2558" s="5">
        <v>183500000</v>
      </c>
      <c r="H2558" s="5">
        <f>M2558*26000*1.20565</f>
        <v>161220241.39000005</v>
      </c>
      <c r="I2558" s="5">
        <f>G2558-H2558</f>
        <v>22279758.609999955</v>
      </c>
      <c r="J2558" s="5">
        <v>3000000</v>
      </c>
      <c r="K2558" s="5">
        <v>18050000</v>
      </c>
      <c r="L2558" s="5">
        <v>18350000</v>
      </c>
      <c r="M2558" s="7">
        <v>5143.1000000000004</v>
      </c>
      <c r="N2558" s="5">
        <v>0</v>
      </c>
      <c r="O2558" s="5">
        <v>0</v>
      </c>
      <c r="P2558" s="3">
        <v>0.97916666666666663</v>
      </c>
    </row>
    <row r="2559" spans="1:16" x14ac:dyDescent="0.25">
      <c r="A2559" s="2">
        <v>46268</v>
      </c>
      <c r="B2559" s="2">
        <v>46090</v>
      </c>
      <c r="C2559" t="str">
        <f>TEXT(B2559,"mm")</f>
        <v>03</v>
      </c>
      <c r="D2559" t="s">
        <v>16</v>
      </c>
      <c r="E2559" t="s">
        <v>1636</v>
      </c>
      <c r="F2559" s="5">
        <v>180800000</v>
      </c>
      <c r="G2559" s="5">
        <v>183800000</v>
      </c>
      <c r="H2559" s="5">
        <f>M2559*26000*1.20565</f>
        <v>160035328.57000002</v>
      </c>
      <c r="I2559" s="5">
        <f>G2559-H2559</f>
        <v>23764671.429999977</v>
      </c>
      <c r="J2559" s="5">
        <v>3000000</v>
      </c>
      <c r="K2559" s="5">
        <v>18080000</v>
      </c>
      <c r="L2559" s="5">
        <v>18380000</v>
      </c>
      <c r="M2559" s="7">
        <v>5105.3</v>
      </c>
      <c r="N2559" s="5">
        <v>0</v>
      </c>
      <c r="O2559" s="5">
        <v>0</v>
      </c>
      <c r="P2559" s="3">
        <v>0.97916666666666663</v>
      </c>
    </row>
    <row r="2560" spans="1:16" x14ac:dyDescent="0.25">
      <c r="A2560" s="2">
        <v>46298</v>
      </c>
      <c r="B2560" s="2">
        <v>46091</v>
      </c>
      <c r="C2560" t="str">
        <f>TEXT(B2560,"mm")</f>
        <v>03</v>
      </c>
      <c r="D2560" t="s">
        <v>18</v>
      </c>
      <c r="E2560" t="s">
        <v>1636</v>
      </c>
      <c r="F2560" s="5">
        <v>182800000</v>
      </c>
      <c r="G2560" s="5">
        <v>185800000</v>
      </c>
      <c r="H2560" s="5">
        <f>M2560*26000*1.20565</f>
        <v>164075943.98000002</v>
      </c>
      <c r="I2560" s="5">
        <f>G2560-H2560</f>
        <v>21724056.019999981</v>
      </c>
      <c r="J2560" s="5">
        <v>3000000</v>
      </c>
      <c r="K2560" s="5">
        <v>18280000</v>
      </c>
      <c r="L2560" s="5">
        <v>18580000</v>
      </c>
      <c r="M2560" s="7">
        <v>5234.2</v>
      </c>
      <c r="N2560" s="5">
        <v>0</v>
      </c>
      <c r="O2560" s="5">
        <v>0</v>
      </c>
      <c r="P2560" s="3">
        <v>0.97916666666666663</v>
      </c>
    </row>
    <row r="2561" spans="1:16" x14ac:dyDescent="0.25">
      <c r="A2561" s="2">
        <v>46329</v>
      </c>
      <c r="B2561" s="2">
        <v>46092</v>
      </c>
      <c r="C2561" t="str">
        <f>TEXT(B2561,"mm")</f>
        <v>03</v>
      </c>
      <c r="D2561" t="s">
        <v>19</v>
      </c>
      <c r="E2561" t="s">
        <v>1636</v>
      </c>
      <c r="F2561" s="5">
        <v>183900000</v>
      </c>
      <c r="G2561" s="5">
        <v>186900000</v>
      </c>
      <c r="H2561" s="5">
        <f>M2561*26000*1.20565</f>
        <v>162032126.10000002</v>
      </c>
      <c r="I2561" s="5">
        <f>G2561-H2561</f>
        <v>24867873.899999976</v>
      </c>
      <c r="J2561" s="5">
        <v>3000000</v>
      </c>
      <c r="K2561" s="5">
        <v>18390000</v>
      </c>
      <c r="L2561" s="5">
        <v>18690000</v>
      </c>
      <c r="M2561" s="7">
        <v>5169</v>
      </c>
      <c r="N2561" s="5">
        <v>0</v>
      </c>
      <c r="O2561" s="5">
        <v>0</v>
      </c>
      <c r="P2561" s="3">
        <v>0.97916666666666663</v>
      </c>
    </row>
    <row r="2562" spans="1:16" x14ac:dyDescent="0.25">
      <c r="A2562" s="2">
        <v>46359</v>
      </c>
      <c r="B2562" s="2">
        <v>46093</v>
      </c>
      <c r="C2562" t="str">
        <f>TEXT(B2562,"mm")</f>
        <v>03</v>
      </c>
      <c r="D2562" t="s">
        <v>20</v>
      </c>
      <c r="E2562" t="s">
        <v>1636</v>
      </c>
      <c r="F2562" s="5">
        <v>183000000</v>
      </c>
      <c r="G2562" s="5">
        <v>186000000</v>
      </c>
      <c r="H2562" s="5">
        <f>M2562*26000*1.20565</f>
        <v>160969466.19000003</v>
      </c>
      <c r="I2562" s="5">
        <f>G2562-H2562</f>
        <v>25030533.809999973</v>
      </c>
      <c r="J2562" s="5">
        <v>3000000</v>
      </c>
      <c r="K2562" s="5">
        <v>18300000</v>
      </c>
      <c r="L2562" s="5">
        <v>18600000</v>
      </c>
      <c r="M2562" s="7">
        <v>5135.1000000000004</v>
      </c>
      <c r="N2562" s="5">
        <v>0</v>
      </c>
      <c r="O2562" s="5">
        <v>0</v>
      </c>
      <c r="P2562" s="3">
        <v>0.97916666666666663</v>
      </c>
    </row>
    <row r="2563" spans="1:16" x14ac:dyDescent="0.25">
      <c r="A2563" t="s">
        <v>1564</v>
      </c>
      <c r="B2563" s="2">
        <v>46094</v>
      </c>
      <c r="C2563" t="str">
        <f>TEXT(B2563,"mm")</f>
        <v>03</v>
      </c>
      <c r="D2563" t="s">
        <v>21</v>
      </c>
      <c r="E2563" t="s">
        <v>1636</v>
      </c>
      <c r="F2563" s="5">
        <v>181500000</v>
      </c>
      <c r="G2563" s="5">
        <v>184500000</v>
      </c>
      <c r="H2563" s="5">
        <f>M2563*26000*1.20565</f>
        <v>157935086.27000001</v>
      </c>
      <c r="I2563" s="5">
        <f>G2563-H2563</f>
        <v>26564913.729999989</v>
      </c>
      <c r="J2563" s="5">
        <v>3000000</v>
      </c>
      <c r="K2563" s="5">
        <v>18150000</v>
      </c>
      <c r="L2563" s="5">
        <v>18450000</v>
      </c>
      <c r="M2563" s="7">
        <v>5038.3</v>
      </c>
      <c r="N2563" s="5">
        <v>0</v>
      </c>
      <c r="O2563" s="5">
        <v>0</v>
      </c>
      <c r="P2563" s="3">
        <v>0.97916666666666663</v>
      </c>
    </row>
    <row r="2564" spans="1:16" x14ac:dyDescent="0.25">
      <c r="A2564" t="s">
        <v>1565</v>
      </c>
      <c r="B2564" s="2">
        <v>46097</v>
      </c>
      <c r="C2564" t="str">
        <f>TEXT(B2564,"mm")</f>
        <v>03</v>
      </c>
      <c r="D2564" t="s">
        <v>16</v>
      </c>
      <c r="E2564" t="s">
        <v>1636</v>
      </c>
      <c r="F2564" s="5">
        <v>179800000</v>
      </c>
      <c r="G2564" s="5">
        <v>182800000</v>
      </c>
      <c r="H2564" s="5">
        <f>M2564*26000*1.20565</f>
        <v>156138908.90000001</v>
      </c>
      <c r="I2564" s="5">
        <f>G2564-H2564</f>
        <v>26661091.099999994</v>
      </c>
      <c r="J2564" s="5">
        <v>3000000</v>
      </c>
      <c r="K2564" s="5">
        <v>17980000</v>
      </c>
      <c r="L2564" s="5">
        <v>18280000</v>
      </c>
      <c r="M2564" s="7">
        <v>4981</v>
      </c>
      <c r="N2564" s="5">
        <v>0</v>
      </c>
      <c r="O2564" s="5">
        <v>0</v>
      </c>
      <c r="P2564" s="3">
        <v>0.97916666666666663</v>
      </c>
    </row>
    <row r="2565" spans="1:16" x14ac:dyDescent="0.25">
      <c r="A2565" t="s">
        <v>1566</v>
      </c>
      <c r="B2565" s="2">
        <v>46098</v>
      </c>
      <c r="C2565" t="str">
        <f>TEXT(B2565,"mm")</f>
        <v>03</v>
      </c>
      <c r="D2565" t="s">
        <v>18</v>
      </c>
      <c r="E2565" t="s">
        <v>1636</v>
      </c>
      <c r="F2565" s="5">
        <v>179700000</v>
      </c>
      <c r="G2565" s="5">
        <v>182700000</v>
      </c>
      <c r="H2565" s="5">
        <f>M2565*26000*1.20565</f>
        <v>156847348.84000003</v>
      </c>
      <c r="I2565" s="5">
        <f>G2565-H2565</f>
        <v>25852651.159999967</v>
      </c>
      <c r="J2565" s="5">
        <v>3000000</v>
      </c>
      <c r="K2565" s="5">
        <v>17970000</v>
      </c>
      <c r="L2565" s="5">
        <v>18270000</v>
      </c>
      <c r="M2565" s="7">
        <v>5003.6000000000004</v>
      </c>
      <c r="N2565" s="5">
        <v>0</v>
      </c>
      <c r="O2565" s="5">
        <v>0</v>
      </c>
      <c r="P2565" s="3">
        <v>0.97916666666666663</v>
      </c>
    </row>
    <row r="2566" spans="1:16" x14ac:dyDescent="0.25">
      <c r="A2566" t="s">
        <v>1567</v>
      </c>
      <c r="B2566" s="2">
        <v>46099</v>
      </c>
      <c r="C2566" t="str">
        <f>TEXT(B2566,"mm")</f>
        <v>03</v>
      </c>
      <c r="D2566" t="s">
        <v>19</v>
      </c>
      <c r="E2566" t="s">
        <v>1636</v>
      </c>
      <c r="F2566" s="5">
        <v>179700000</v>
      </c>
      <c r="G2566" s="5">
        <v>182700000</v>
      </c>
      <c r="H2566" s="5">
        <f>M2566*26000*1.20565</f>
        <v>153023027.04000002</v>
      </c>
      <c r="I2566" s="5">
        <f>G2566-H2566</f>
        <v>29676972.959999979</v>
      </c>
      <c r="J2566" s="5">
        <v>3000000</v>
      </c>
      <c r="K2566" s="5">
        <v>17970000</v>
      </c>
      <c r="L2566" s="5">
        <v>18270000</v>
      </c>
      <c r="M2566" s="7">
        <v>4881.6000000000004</v>
      </c>
      <c r="N2566" s="5">
        <v>0</v>
      </c>
      <c r="O2566" s="5">
        <v>0</v>
      </c>
      <c r="P2566" s="3">
        <v>0.97916666666666663</v>
      </c>
    </row>
    <row r="2567" spans="1:16" x14ac:dyDescent="0.25">
      <c r="A2567" t="s">
        <v>1568</v>
      </c>
      <c r="B2567" s="2">
        <v>46100</v>
      </c>
      <c r="C2567" t="str">
        <f>TEXT(B2567,"mm")</f>
        <v>03</v>
      </c>
      <c r="D2567" t="s">
        <v>20</v>
      </c>
      <c r="E2567" t="s">
        <v>1636</v>
      </c>
      <c r="F2567" s="5">
        <v>172200000</v>
      </c>
      <c r="G2567" s="5">
        <v>175200000</v>
      </c>
      <c r="H2567" s="5">
        <f>M2567*26000*1.20565</f>
        <v>144267837.87</v>
      </c>
      <c r="I2567" s="5">
        <f>G2567-H2567</f>
        <v>30932162.129999995</v>
      </c>
      <c r="J2567" s="5">
        <v>3000000</v>
      </c>
      <c r="K2567" s="5">
        <v>17220000</v>
      </c>
      <c r="L2567" s="5">
        <v>17520000</v>
      </c>
      <c r="M2567" s="7">
        <v>4602.3</v>
      </c>
      <c r="N2567" s="5">
        <v>0</v>
      </c>
      <c r="O2567" s="5">
        <v>0</v>
      </c>
      <c r="P2567" s="3">
        <v>0.97916666666666663</v>
      </c>
    </row>
    <row r="2568" spans="1:16" x14ac:dyDescent="0.25">
      <c r="A2568" t="s">
        <v>1569</v>
      </c>
      <c r="B2568" s="2">
        <v>46101</v>
      </c>
      <c r="C2568" t="str">
        <f>TEXT(B2568,"mm")</f>
        <v>03</v>
      </c>
      <c r="D2568" t="s">
        <v>21</v>
      </c>
      <c r="E2568" t="s">
        <v>1636</v>
      </c>
      <c r="F2568" s="5">
        <v>172800000</v>
      </c>
      <c r="G2568" s="5">
        <v>175800000</v>
      </c>
      <c r="H2568" s="5">
        <f>M2568*26000*1.20565</f>
        <v>143838385.34000003</v>
      </c>
      <c r="I2568" s="5">
        <f>G2568-H2568</f>
        <v>31961614.659999967</v>
      </c>
      <c r="J2568" s="5">
        <v>3000000</v>
      </c>
      <c r="K2568" s="5">
        <v>17280000</v>
      </c>
      <c r="L2568" s="5">
        <v>17580000</v>
      </c>
      <c r="M2568" s="7">
        <v>4588.6000000000004</v>
      </c>
      <c r="N2568" s="5">
        <v>0</v>
      </c>
      <c r="O2568" s="5">
        <v>0</v>
      </c>
      <c r="P2568" s="3">
        <v>0.97916666666666663</v>
      </c>
    </row>
    <row r="2569" spans="1:16" x14ac:dyDescent="0.25">
      <c r="A2569" t="s">
        <v>1570</v>
      </c>
      <c r="B2569" s="2">
        <v>46104</v>
      </c>
      <c r="C2569" t="str">
        <f>TEXT(B2569,"mm")</f>
        <v>03</v>
      </c>
      <c r="D2569" t="s">
        <v>16</v>
      </c>
      <c r="E2569" t="s">
        <v>1636</v>
      </c>
      <c r="F2569" s="5">
        <v>162800000</v>
      </c>
      <c r="G2569" s="5">
        <v>165800000</v>
      </c>
      <c r="H2569" s="5">
        <f>M2569*26000*1.20565</f>
        <v>136744581.87</v>
      </c>
      <c r="I2569" s="5">
        <f>G2569-H2569</f>
        <v>29055418.129999995</v>
      </c>
      <c r="J2569" s="5">
        <v>3000000</v>
      </c>
      <c r="K2569" s="5">
        <v>16280000</v>
      </c>
      <c r="L2569" s="5">
        <v>16580000</v>
      </c>
      <c r="M2569" s="7">
        <v>4362.3</v>
      </c>
      <c r="N2569" s="5">
        <v>0</v>
      </c>
      <c r="O2569" s="5">
        <v>0</v>
      </c>
      <c r="P2569" s="3">
        <v>0.97916666666666663</v>
      </c>
    </row>
    <row r="2570" spans="1:16" x14ac:dyDescent="0.25">
      <c r="A2570" t="s">
        <v>1571</v>
      </c>
      <c r="B2570" s="2">
        <v>46105</v>
      </c>
      <c r="C2570" t="str">
        <f>TEXT(B2570,"mm")</f>
        <v>03</v>
      </c>
      <c r="D2570" t="s">
        <v>18</v>
      </c>
      <c r="E2570" t="s">
        <v>1636</v>
      </c>
      <c r="F2570" s="5">
        <v>167000000</v>
      </c>
      <c r="G2570" s="5">
        <v>170000000</v>
      </c>
      <c r="H2570" s="5">
        <f>M2570*26000*1.20565</f>
        <v>138675550.91</v>
      </c>
      <c r="I2570" s="5">
        <f>G2570-H2570</f>
        <v>31324449.090000004</v>
      </c>
      <c r="J2570" s="5">
        <v>3000000</v>
      </c>
      <c r="K2570" s="5">
        <v>16700000</v>
      </c>
      <c r="L2570" s="5">
        <v>17000000</v>
      </c>
      <c r="M2570" s="7">
        <v>4423.8999999999996</v>
      </c>
      <c r="N2570" s="5">
        <v>0</v>
      </c>
      <c r="O2570" s="5">
        <v>0</v>
      </c>
      <c r="P2570" s="3">
        <v>0.97916666666666663</v>
      </c>
    </row>
    <row r="2571" spans="1:16" x14ac:dyDescent="0.25">
      <c r="A2571" t="s">
        <v>1572</v>
      </c>
      <c r="B2571" s="2">
        <v>46106</v>
      </c>
      <c r="C2571" t="str">
        <f>TEXT(B2571,"mm")</f>
        <v>03</v>
      </c>
      <c r="D2571" t="s">
        <v>19</v>
      </c>
      <c r="E2571" t="s">
        <v>1636</v>
      </c>
      <c r="F2571" s="5">
        <v>170300000</v>
      </c>
      <c r="G2571" s="5">
        <v>173300000</v>
      </c>
      <c r="H2571" s="5">
        <f>M2571*26000*1.20565</f>
        <v>142885439.58000001</v>
      </c>
      <c r="I2571" s="5">
        <f>G2571-H2571</f>
        <v>30414560.419999987</v>
      </c>
      <c r="J2571" s="5">
        <v>3000000</v>
      </c>
      <c r="K2571" s="5">
        <v>17030000</v>
      </c>
      <c r="L2571" s="5">
        <v>17330000</v>
      </c>
      <c r="M2571" s="7">
        <v>4558.2</v>
      </c>
      <c r="N2571" s="5">
        <v>0</v>
      </c>
      <c r="O2571" s="5">
        <v>0</v>
      </c>
      <c r="P2571" s="3">
        <v>0.97916666666666663</v>
      </c>
    </row>
    <row r="2572" spans="1:16" x14ac:dyDescent="0.25">
      <c r="A2572" t="s">
        <v>1573</v>
      </c>
      <c r="B2572" s="2">
        <v>46107</v>
      </c>
      <c r="C2572" t="str">
        <f>TEXT(B2572,"mm")</f>
        <v>03</v>
      </c>
      <c r="D2572" t="s">
        <v>20</v>
      </c>
      <c r="E2572" t="s">
        <v>1636</v>
      </c>
      <c r="F2572" s="5">
        <v>168300000</v>
      </c>
      <c r="G2572" s="5">
        <v>171300000</v>
      </c>
      <c r="H2572" s="5">
        <f>M2572*26000*1.20565</f>
        <v>137769625.5</v>
      </c>
      <c r="I2572" s="5">
        <f>G2572-H2572</f>
        <v>33530374.5</v>
      </c>
      <c r="J2572" s="5">
        <v>3000000</v>
      </c>
      <c r="K2572" s="5">
        <v>16830000</v>
      </c>
      <c r="L2572" s="5">
        <v>17130000</v>
      </c>
      <c r="M2572" s="7">
        <v>4395</v>
      </c>
      <c r="N2572" s="5">
        <v>0</v>
      </c>
      <c r="O2572" s="5">
        <v>0</v>
      </c>
      <c r="P2572" s="3">
        <v>0.97916666666666663</v>
      </c>
    </row>
    <row r="2573" spans="1:16" x14ac:dyDescent="0.25">
      <c r="A2573" t="s">
        <v>1574</v>
      </c>
      <c r="B2573" s="2">
        <v>46108</v>
      </c>
      <c r="C2573" t="str">
        <f>TEXT(B2573,"mm")</f>
        <v>03</v>
      </c>
      <c r="D2573" t="s">
        <v>21</v>
      </c>
      <c r="E2573" t="s">
        <v>1636</v>
      </c>
      <c r="F2573" s="5">
        <v>168400000</v>
      </c>
      <c r="G2573" s="5">
        <v>171400000</v>
      </c>
      <c r="H2573" s="5">
        <f>M2573*26000*1.20565</f>
        <v>141995187.62</v>
      </c>
      <c r="I2573" s="5">
        <f>G2573-H2573</f>
        <v>29404812.379999995</v>
      </c>
      <c r="J2573" s="5">
        <v>3000000</v>
      </c>
      <c r="K2573" s="5">
        <v>16840000</v>
      </c>
      <c r="L2573" s="5">
        <v>17140000</v>
      </c>
      <c r="M2573" s="7">
        <v>4529.8</v>
      </c>
      <c r="N2573" s="5">
        <v>0</v>
      </c>
      <c r="O2573" s="5">
        <v>0</v>
      </c>
      <c r="P2573" s="3">
        <v>0.97916666666666663</v>
      </c>
    </row>
    <row r="2574" spans="1:16" x14ac:dyDescent="0.25">
      <c r="A2574" t="s">
        <v>1575</v>
      </c>
      <c r="B2574" s="2">
        <v>46111</v>
      </c>
      <c r="C2574" t="str">
        <f>TEXT(B2574,"mm")</f>
        <v>03</v>
      </c>
      <c r="D2574" t="s">
        <v>16</v>
      </c>
      <c r="E2574" t="s">
        <v>1636</v>
      </c>
      <c r="F2574" s="5">
        <v>170600000</v>
      </c>
      <c r="G2574" s="5">
        <v>173600000</v>
      </c>
      <c r="H2574" s="5">
        <f>M2574*26000*1.20565</f>
        <v>142311791.31</v>
      </c>
      <c r="I2574" s="5">
        <f>G2574-H2574</f>
        <v>31288208.689999998</v>
      </c>
      <c r="J2574" s="5">
        <v>3000000</v>
      </c>
      <c r="K2574" s="5">
        <v>17060000</v>
      </c>
      <c r="L2574" s="5">
        <v>17360000</v>
      </c>
      <c r="M2574" s="7">
        <v>4539.8999999999996</v>
      </c>
      <c r="N2574" s="5">
        <v>0</v>
      </c>
      <c r="O2574" s="5">
        <v>0</v>
      </c>
      <c r="P2574" s="3">
        <v>0.97916666666666663</v>
      </c>
    </row>
    <row r="2575" spans="1:16" x14ac:dyDescent="0.25">
      <c r="A2575" t="s">
        <v>1576</v>
      </c>
      <c r="B2575" s="2">
        <v>46112</v>
      </c>
      <c r="C2575" t="str">
        <f>TEXT(B2575,"mm")</f>
        <v>03</v>
      </c>
      <c r="D2575" t="s">
        <v>18</v>
      </c>
      <c r="E2575" t="s">
        <v>1636</v>
      </c>
      <c r="F2575" s="5">
        <v>171700000</v>
      </c>
      <c r="G2575" s="5">
        <v>174700000</v>
      </c>
      <c r="H2575" s="5">
        <f>M2575*26000*1.20565</f>
        <v>144797600.48000002</v>
      </c>
      <c r="I2575" s="5">
        <f>G2575-H2575</f>
        <v>29902399.519999981</v>
      </c>
      <c r="J2575" s="5">
        <v>3000000</v>
      </c>
      <c r="K2575" s="5">
        <v>17170000</v>
      </c>
      <c r="L2575" s="5">
        <v>17470000</v>
      </c>
      <c r="M2575" s="7">
        <v>4619.2</v>
      </c>
      <c r="N2575" s="5">
        <v>0</v>
      </c>
      <c r="O2575" s="5">
        <v>0</v>
      </c>
      <c r="P2575" s="3">
        <v>0.97916666666666663</v>
      </c>
    </row>
    <row r="2576" spans="1:16" x14ac:dyDescent="0.25">
      <c r="A2576" s="2">
        <v>46026</v>
      </c>
      <c r="B2576" s="2">
        <v>46113</v>
      </c>
      <c r="C2576" t="str">
        <f>TEXT(B2576,"mm")</f>
        <v>04</v>
      </c>
      <c r="D2576" t="s">
        <v>19</v>
      </c>
      <c r="E2576" t="s">
        <v>1636</v>
      </c>
      <c r="F2576" s="5">
        <v>173500000</v>
      </c>
      <c r="G2576" s="5">
        <v>176500000</v>
      </c>
      <c r="H2576" s="5">
        <f>M2576*26000*1.20565</f>
        <v>150060744.99000004</v>
      </c>
      <c r="I2576" s="5">
        <f>G2576-H2576</f>
        <v>26439255.009999961</v>
      </c>
      <c r="J2576" s="5">
        <v>3000000</v>
      </c>
      <c r="K2576" s="5">
        <v>17350000</v>
      </c>
      <c r="L2576" s="5">
        <v>17650000</v>
      </c>
      <c r="M2576" s="7">
        <v>4787.1000000000004</v>
      </c>
      <c r="N2576" s="5">
        <v>0</v>
      </c>
      <c r="O2576" s="5">
        <v>0</v>
      </c>
      <c r="P2576" s="3">
        <v>0.95833333333333337</v>
      </c>
    </row>
    <row r="2577" spans="1:16" x14ac:dyDescent="0.25">
      <c r="A2577" s="2">
        <v>46057</v>
      </c>
      <c r="B2577" s="2">
        <v>46114</v>
      </c>
      <c r="C2577" t="str">
        <f>TEXT(B2577,"mm")</f>
        <v>04</v>
      </c>
      <c r="D2577" t="s">
        <v>20</v>
      </c>
      <c r="E2577" t="s">
        <v>1636</v>
      </c>
      <c r="F2577" s="5">
        <v>169800000</v>
      </c>
      <c r="G2577" s="5">
        <v>173300000</v>
      </c>
      <c r="H2577" s="5">
        <f>M2577*26000*1.20565</f>
        <v>145966839.85000002</v>
      </c>
      <c r="I2577" s="5">
        <f>G2577-H2577</f>
        <v>27333160.149999976</v>
      </c>
      <c r="J2577" s="5">
        <v>3500000</v>
      </c>
      <c r="K2577" s="5">
        <v>16980000</v>
      </c>
      <c r="L2577" s="5">
        <v>17330000</v>
      </c>
      <c r="M2577" s="7">
        <v>4656.5</v>
      </c>
      <c r="N2577" s="5">
        <v>0</v>
      </c>
      <c r="O2577" s="5">
        <v>0</v>
      </c>
      <c r="P2577" s="3">
        <v>0.97916666666666663</v>
      </c>
    </row>
    <row r="2578" spans="1:16" x14ac:dyDescent="0.25">
      <c r="A2578" s="2">
        <v>46177</v>
      </c>
      <c r="B2578" s="2">
        <v>46118</v>
      </c>
      <c r="C2578" t="str">
        <f>TEXT(B2578,"mm")</f>
        <v>04</v>
      </c>
      <c r="D2578" t="s">
        <v>16</v>
      </c>
      <c r="E2578" t="s">
        <v>1636</v>
      </c>
      <c r="F2578" s="5">
        <v>169600000</v>
      </c>
      <c r="G2578" s="5">
        <v>172600000</v>
      </c>
      <c r="H2578" s="5">
        <f>M2578*26000*1.20565</f>
        <v>146368080.17000002</v>
      </c>
      <c r="I2578" s="5">
        <f>G2578-H2578</f>
        <v>26231919.829999983</v>
      </c>
      <c r="J2578" s="5">
        <v>3000000</v>
      </c>
      <c r="K2578" s="5">
        <v>16960000</v>
      </c>
      <c r="L2578" s="5">
        <v>17260000</v>
      </c>
      <c r="M2578" s="7">
        <v>4669.3</v>
      </c>
      <c r="N2578" s="5">
        <v>0</v>
      </c>
      <c r="O2578" s="5">
        <v>0</v>
      </c>
      <c r="P2578" s="3">
        <v>0.97916666666666663</v>
      </c>
    </row>
    <row r="2579" spans="1:16" x14ac:dyDescent="0.25">
      <c r="A2579" s="2">
        <v>46207</v>
      </c>
      <c r="B2579" s="2">
        <v>46119</v>
      </c>
      <c r="C2579" t="str">
        <f>TEXT(B2579,"mm")</f>
        <v>04</v>
      </c>
      <c r="D2579" t="s">
        <v>18</v>
      </c>
      <c r="E2579" t="s">
        <v>1636</v>
      </c>
      <c r="F2579" s="5">
        <v>169000000</v>
      </c>
      <c r="G2579" s="5">
        <v>172000000</v>
      </c>
      <c r="H2579" s="5">
        <f>M2579*26000*1.20565</f>
        <v>146145517.18000001</v>
      </c>
      <c r="I2579" s="5">
        <f>G2579-H2579</f>
        <v>25854482.819999993</v>
      </c>
      <c r="J2579" s="5">
        <v>3000000</v>
      </c>
      <c r="K2579" s="5">
        <v>16900000</v>
      </c>
      <c r="L2579" s="5">
        <v>17200000</v>
      </c>
      <c r="M2579" s="7">
        <v>4662.2</v>
      </c>
      <c r="N2579" s="5">
        <v>0</v>
      </c>
      <c r="O2579" s="5">
        <v>0</v>
      </c>
      <c r="P2579" s="3">
        <v>0.97916666666666663</v>
      </c>
    </row>
    <row r="2580" spans="1:16" x14ac:dyDescent="0.25">
      <c r="A2580" s="2">
        <v>46238</v>
      </c>
      <c r="B2580" s="2">
        <v>46120</v>
      </c>
      <c r="C2580" t="str">
        <f>TEXT(B2580,"mm")</f>
        <v>04</v>
      </c>
      <c r="D2580" t="s">
        <v>19</v>
      </c>
      <c r="E2580" t="s">
        <v>1636</v>
      </c>
      <c r="F2580" s="5">
        <v>170500000</v>
      </c>
      <c r="G2580" s="5">
        <v>174500000</v>
      </c>
      <c r="H2580" s="5">
        <f>M2580*26000*1.20565</f>
        <v>148922852.52000001</v>
      </c>
      <c r="I2580" s="5">
        <f>G2580-H2580</f>
        <v>25577147.479999989</v>
      </c>
      <c r="J2580" s="5">
        <v>4000000</v>
      </c>
      <c r="K2580" s="5">
        <v>17050000</v>
      </c>
      <c r="L2580" s="5">
        <v>17450000</v>
      </c>
      <c r="M2580" s="7">
        <v>4750.8</v>
      </c>
      <c r="N2580" s="5">
        <v>0</v>
      </c>
      <c r="O2580" s="5">
        <v>0</v>
      </c>
      <c r="P2580" s="3">
        <v>0.97916666666666663</v>
      </c>
    </row>
    <row r="2581" spans="1:16" x14ac:dyDescent="0.25">
      <c r="A2581" s="2">
        <v>46269</v>
      </c>
      <c r="B2581" s="2">
        <v>46121</v>
      </c>
      <c r="C2581" t="str">
        <f>TEXT(B2581,"mm")</f>
        <v>04</v>
      </c>
      <c r="D2581" t="s">
        <v>20</v>
      </c>
      <c r="E2581" t="s">
        <v>1636</v>
      </c>
      <c r="F2581" s="5">
        <v>168000000</v>
      </c>
      <c r="G2581" s="5">
        <v>171000000</v>
      </c>
      <c r="H2581" s="5">
        <f>M2581*26000*1.20565</f>
        <v>150286442.67000002</v>
      </c>
      <c r="I2581" s="5">
        <f>G2581-H2581</f>
        <v>20713557.329999983</v>
      </c>
      <c r="J2581" s="5">
        <v>3000000</v>
      </c>
      <c r="K2581" s="5">
        <v>16800000</v>
      </c>
      <c r="L2581" s="5">
        <v>17100000</v>
      </c>
      <c r="M2581" s="7">
        <v>4794.3</v>
      </c>
      <c r="N2581" s="5">
        <v>0</v>
      </c>
      <c r="O2581" s="5">
        <v>0</v>
      </c>
      <c r="P2581" s="3">
        <v>0.97916666666666663</v>
      </c>
    </row>
    <row r="2582" spans="1:16" x14ac:dyDescent="0.25">
      <c r="A2582" s="2">
        <v>46299</v>
      </c>
      <c r="B2582" s="2">
        <v>46122</v>
      </c>
      <c r="C2582" t="str">
        <f>TEXT(B2582,"mm")</f>
        <v>04</v>
      </c>
      <c r="D2582" t="s">
        <v>21</v>
      </c>
      <c r="E2582" t="s">
        <v>1636</v>
      </c>
      <c r="F2582" s="5">
        <v>169400000</v>
      </c>
      <c r="G2582" s="5">
        <v>172400000</v>
      </c>
      <c r="H2582" s="5">
        <f>M2582*26000*1.20565</f>
        <v>149286476.56</v>
      </c>
      <c r="I2582" s="5">
        <f>G2582-H2582</f>
        <v>23113523.439999998</v>
      </c>
      <c r="J2582" s="5">
        <v>3000000</v>
      </c>
      <c r="K2582" s="5">
        <v>16940000</v>
      </c>
      <c r="L2582" s="5">
        <v>17240000</v>
      </c>
      <c r="M2582" s="7">
        <v>4762.3999999999996</v>
      </c>
      <c r="N2582" s="5">
        <v>0</v>
      </c>
      <c r="O2582" s="5">
        <v>0</v>
      </c>
      <c r="P2582" s="3">
        <v>0.97916666666666663</v>
      </c>
    </row>
    <row r="2583" spans="1:16" x14ac:dyDescent="0.25">
      <c r="A2583" t="s">
        <v>1577</v>
      </c>
      <c r="B2583" s="2">
        <v>46125</v>
      </c>
      <c r="C2583" t="str">
        <f>TEXT(B2583,"mm")</f>
        <v>04</v>
      </c>
      <c r="D2583" t="s">
        <v>16</v>
      </c>
      <c r="E2583" t="s">
        <v>1636</v>
      </c>
      <c r="F2583" s="5">
        <v>168200000</v>
      </c>
      <c r="G2583" s="5">
        <v>171200000</v>
      </c>
      <c r="H2583" s="5">
        <f>M2583*26000*1.20565</f>
        <v>148324126.73000002</v>
      </c>
      <c r="I2583" s="5">
        <f>G2583-H2583</f>
        <v>22875873.269999981</v>
      </c>
      <c r="J2583" s="5">
        <v>3000000</v>
      </c>
      <c r="K2583" s="5">
        <v>16820000</v>
      </c>
      <c r="L2583" s="5">
        <v>17120000</v>
      </c>
      <c r="M2583" s="7">
        <v>4731.7</v>
      </c>
      <c r="N2583" s="5">
        <v>0</v>
      </c>
      <c r="O2583" s="5">
        <v>0</v>
      </c>
      <c r="P2583" s="3">
        <v>0.97916666666666663</v>
      </c>
    </row>
    <row r="2584" spans="1:16" x14ac:dyDescent="0.25">
      <c r="A2584" t="s">
        <v>1578</v>
      </c>
      <c r="B2584" s="2">
        <v>46126</v>
      </c>
      <c r="C2584" t="str">
        <f>TEXT(B2584,"mm")</f>
        <v>04</v>
      </c>
      <c r="D2584" t="s">
        <v>18</v>
      </c>
      <c r="E2584" t="s">
        <v>1636</v>
      </c>
      <c r="F2584" s="5">
        <v>170200000</v>
      </c>
      <c r="G2584" s="5">
        <v>172700000</v>
      </c>
      <c r="H2584" s="5">
        <f>M2584*26000*1.20565</f>
        <v>151098327.38000003</v>
      </c>
      <c r="I2584" s="5">
        <f>G2584-H2584</f>
        <v>21601672.619999975</v>
      </c>
      <c r="J2584" s="5">
        <v>2500000</v>
      </c>
      <c r="K2584" s="5">
        <v>17020000</v>
      </c>
      <c r="L2584" s="5">
        <v>17270000</v>
      </c>
      <c r="M2584" s="7">
        <v>4820.2</v>
      </c>
      <c r="N2584" s="5">
        <v>0</v>
      </c>
      <c r="O2584" s="5">
        <v>0</v>
      </c>
      <c r="P2584" s="3">
        <v>0.97916666666666663</v>
      </c>
    </row>
    <row r="2585" spans="1:16" x14ac:dyDescent="0.25">
      <c r="A2585" t="s">
        <v>1579</v>
      </c>
      <c r="B2585" s="2">
        <v>46127</v>
      </c>
      <c r="C2585" t="str">
        <f>TEXT(B2585,"mm")</f>
        <v>04</v>
      </c>
      <c r="D2585" t="s">
        <v>19</v>
      </c>
      <c r="E2585" t="s">
        <v>1636</v>
      </c>
      <c r="F2585" s="5">
        <v>169700000</v>
      </c>
      <c r="G2585" s="5">
        <v>173200000</v>
      </c>
      <c r="H2585" s="5">
        <f>M2585*26000*1.20565</f>
        <v>150781723.69000003</v>
      </c>
      <c r="I2585" s="5">
        <f>G2585-H2585</f>
        <v>22418276.309999973</v>
      </c>
      <c r="J2585" s="5">
        <v>3500000</v>
      </c>
      <c r="K2585" s="5">
        <v>16970000</v>
      </c>
      <c r="L2585" s="5">
        <v>17320000</v>
      </c>
      <c r="M2585" s="7">
        <v>4810.1000000000004</v>
      </c>
      <c r="N2585" s="5">
        <v>0</v>
      </c>
      <c r="O2585" s="5">
        <v>0</v>
      </c>
      <c r="P2585" s="3">
        <v>0.97916666666666663</v>
      </c>
    </row>
    <row r="2586" spans="1:16" x14ac:dyDescent="0.25">
      <c r="A2586" t="s">
        <v>1580</v>
      </c>
      <c r="B2586" s="2">
        <v>46128</v>
      </c>
      <c r="C2586" t="str">
        <f>TEXT(B2586,"mm")</f>
        <v>04</v>
      </c>
      <c r="D2586" t="s">
        <v>20</v>
      </c>
      <c r="E2586" t="s">
        <v>1636</v>
      </c>
      <c r="F2586" s="5">
        <v>167200000</v>
      </c>
      <c r="G2586" s="5">
        <v>170700000</v>
      </c>
      <c r="H2586" s="5">
        <f>M2586*26000*1.20565</f>
        <v>150499601.59000003</v>
      </c>
      <c r="I2586" s="5">
        <f>G2586-H2586</f>
        <v>20200398.409999967</v>
      </c>
      <c r="J2586" s="5">
        <v>3500000</v>
      </c>
      <c r="K2586" s="5">
        <v>16720000</v>
      </c>
      <c r="L2586" s="5">
        <v>17070000</v>
      </c>
      <c r="M2586" s="7">
        <v>4801.1000000000004</v>
      </c>
      <c r="N2586" s="5">
        <v>0</v>
      </c>
      <c r="O2586" s="5">
        <v>0</v>
      </c>
      <c r="P2586" s="3">
        <v>0.97916666666666663</v>
      </c>
    </row>
    <row r="2587" spans="1:16" x14ac:dyDescent="0.25">
      <c r="A2587" t="s">
        <v>1581</v>
      </c>
      <c r="B2587" s="2">
        <v>46129</v>
      </c>
      <c r="C2587" t="str">
        <f>TEXT(B2587,"mm")</f>
        <v>04</v>
      </c>
      <c r="D2587" t="s">
        <v>21</v>
      </c>
      <c r="E2587" t="s">
        <v>1636</v>
      </c>
      <c r="F2587" s="5">
        <v>167000000</v>
      </c>
      <c r="G2587" s="5">
        <v>170500000</v>
      </c>
      <c r="H2587" s="5">
        <f>M2587*26000*1.20565</f>
        <v>152681345.83000001</v>
      </c>
      <c r="I2587" s="5">
        <f>G2587-H2587</f>
        <v>17818654.169999987</v>
      </c>
      <c r="J2587" s="5">
        <v>3500000</v>
      </c>
      <c r="K2587" s="5">
        <v>16700000</v>
      </c>
      <c r="L2587" s="5">
        <v>17050000</v>
      </c>
      <c r="M2587" s="7">
        <v>4870.7</v>
      </c>
      <c r="N2587" s="5">
        <v>0</v>
      </c>
      <c r="O2587" s="5">
        <v>0</v>
      </c>
      <c r="P2587" s="3">
        <v>0.97916666666666663</v>
      </c>
    </row>
    <row r="2588" spans="1:16" x14ac:dyDescent="0.25">
      <c r="A2588" t="s">
        <v>1582</v>
      </c>
      <c r="B2588" s="2">
        <v>46132</v>
      </c>
      <c r="C2588" t="str">
        <f>TEXT(B2588,"mm")</f>
        <v>04</v>
      </c>
      <c r="D2588" t="s">
        <v>16</v>
      </c>
      <c r="E2588" t="s">
        <v>1636</v>
      </c>
      <c r="F2588" s="5">
        <v>167800000</v>
      </c>
      <c r="G2588" s="5">
        <v>170800000</v>
      </c>
      <c r="H2588" s="5">
        <f>M2588*26000*1.20565</f>
        <v>150518409.73000002</v>
      </c>
      <c r="I2588" s="5">
        <f>G2588-H2588</f>
        <v>20281590.269999981</v>
      </c>
      <c r="J2588" s="5">
        <v>3000000</v>
      </c>
      <c r="K2588" s="5">
        <v>16780000</v>
      </c>
      <c r="L2588" s="5">
        <v>17080000</v>
      </c>
      <c r="M2588" s="7">
        <v>4801.7</v>
      </c>
      <c r="N2588" s="5">
        <v>0</v>
      </c>
      <c r="O2588" s="5">
        <v>0</v>
      </c>
      <c r="P2588" s="3">
        <v>0.97916666666666663</v>
      </c>
    </row>
    <row r="2589" spans="1:16" x14ac:dyDescent="0.25">
      <c r="A2589" t="s">
        <v>1583</v>
      </c>
      <c r="B2589" s="2">
        <v>46133</v>
      </c>
      <c r="C2589" t="str">
        <f>TEXT(B2589,"mm")</f>
        <v>04</v>
      </c>
      <c r="D2589" t="s">
        <v>18</v>
      </c>
      <c r="E2589" t="s">
        <v>1636</v>
      </c>
      <c r="F2589" s="5">
        <v>167900000</v>
      </c>
      <c r="G2589" s="5">
        <v>170400000</v>
      </c>
      <c r="H2589" s="5">
        <f>M2589*26000*1.20565</f>
        <v>148170526.92000002</v>
      </c>
      <c r="I2589" s="5">
        <f>G2589-H2589</f>
        <v>22229473.079999983</v>
      </c>
      <c r="J2589" s="5">
        <v>2500000</v>
      </c>
      <c r="K2589" s="5">
        <v>16790000</v>
      </c>
      <c r="L2589" s="5">
        <v>17040000</v>
      </c>
      <c r="M2589" s="7">
        <v>4726.8</v>
      </c>
      <c r="N2589" s="5">
        <v>0</v>
      </c>
      <c r="O2589" s="5">
        <v>0</v>
      </c>
      <c r="P2589" s="3">
        <v>0.97916666666666663</v>
      </c>
    </row>
    <row r="2590" spans="1:16" x14ac:dyDescent="0.25">
      <c r="A2590" t="s">
        <v>1584</v>
      </c>
      <c r="B2590" s="2">
        <v>46134</v>
      </c>
      <c r="C2590" t="str">
        <f>TEXT(B2590,"mm")</f>
        <v>04</v>
      </c>
      <c r="D2590" t="s">
        <v>19</v>
      </c>
      <c r="E2590" t="s">
        <v>1636</v>
      </c>
      <c r="F2590" s="5">
        <v>167300000</v>
      </c>
      <c r="G2590" s="5">
        <v>169800000</v>
      </c>
      <c r="H2590" s="5">
        <f>M2590*26000*1.20565</f>
        <v>148233220.72</v>
      </c>
      <c r="I2590" s="5">
        <f>G2590-H2590</f>
        <v>21566779.280000001</v>
      </c>
      <c r="J2590" s="5">
        <v>2500000</v>
      </c>
      <c r="K2590" s="5">
        <v>16730000</v>
      </c>
      <c r="L2590" s="5">
        <v>16980000</v>
      </c>
      <c r="M2590" s="7">
        <v>4728.8</v>
      </c>
      <c r="N2590" s="5">
        <v>0</v>
      </c>
      <c r="O2590" s="5">
        <v>0</v>
      </c>
      <c r="P2590" s="3">
        <v>0.97916666666666663</v>
      </c>
    </row>
    <row r="2591" spans="1:16" x14ac:dyDescent="0.25">
      <c r="A2591" t="s">
        <v>1585</v>
      </c>
      <c r="B2591" s="2">
        <v>46135</v>
      </c>
      <c r="C2591" t="str">
        <f>TEXT(B2591,"mm")</f>
        <v>04</v>
      </c>
      <c r="D2591" t="s">
        <v>20</v>
      </c>
      <c r="E2591" t="s">
        <v>1636</v>
      </c>
      <c r="F2591" s="5">
        <v>166500000</v>
      </c>
      <c r="G2591" s="5">
        <v>169000000</v>
      </c>
      <c r="H2591" s="5">
        <f>M2591*26000*1.20565</f>
        <v>148104698.43000001</v>
      </c>
      <c r="I2591" s="5">
        <f>G2591-H2591</f>
        <v>20895301.569999993</v>
      </c>
      <c r="J2591" s="5">
        <v>2500000</v>
      </c>
      <c r="K2591" s="5">
        <v>16650000</v>
      </c>
      <c r="L2591" s="5">
        <v>16900000</v>
      </c>
      <c r="M2591" s="7">
        <v>4724.7</v>
      </c>
      <c r="N2591" s="5">
        <v>0</v>
      </c>
      <c r="O2591" s="5">
        <v>0</v>
      </c>
      <c r="P2591" s="3">
        <v>0.97916666666666663</v>
      </c>
    </row>
    <row r="2592" spans="1:16" x14ac:dyDescent="0.25">
      <c r="A2592" t="s">
        <v>1586</v>
      </c>
      <c r="B2592" s="2">
        <v>46136</v>
      </c>
      <c r="C2592" t="str">
        <f>TEXT(B2592,"mm")</f>
        <v>04</v>
      </c>
      <c r="D2592" t="s">
        <v>21</v>
      </c>
      <c r="E2592" t="s">
        <v>1636</v>
      </c>
      <c r="F2592" s="5">
        <v>165000000</v>
      </c>
      <c r="G2592" s="5">
        <v>167500000</v>
      </c>
      <c r="H2592" s="5">
        <f>M2592*26000*1.20565</f>
        <v>148123506.57000002</v>
      </c>
      <c r="I2592" s="5">
        <f>G2592-H2592</f>
        <v>19376493.429999977</v>
      </c>
      <c r="J2592" s="5">
        <v>2500000</v>
      </c>
      <c r="K2592" s="5">
        <v>16500000</v>
      </c>
      <c r="L2592" s="5">
        <v>16750000</v>
      </c>
      <c r="M2592" s="7">
        <v>4725.3</v>
      </c>
      <c r="N2592" s="5">
        <v>0</v>
      </c>
      <c r="O2592" s="5">
        <v>0</v>
      </c>
      <c r="P2592" s="3">
        <v>0.97916666666666663</v>
      </c>
    </row>
    <row r="2593" spans="1:16" x14ac:dyDescent="0.25">
      <c r="A2593" t="s">
        <v>1587</v>
      </c>
      <c r="B2593" s="2">
        <v>46139</v>
      </c>
      <c r="C2593" t="str">
        <f>TEXT(B2593,"mm")</f>
        <v>04</v>
      </c>
      <c r="D2593" t="s">
        <v>16</v>
      </c>
      <c r="E2593" t="s">
        <v>1636</v>
      </c>
      <c r="F2593" s="5">
        <v>165800000</v>
      </c>
      <c r="G2593" s="5">
        <v>168300000</v>
      </c>
      <c r="H2593" s="5">
        <f>M2593*26000*1.20565</f>
        <v>146596912.54000002</v>
      </c>
      <c r="I2593" s="5">
        <f>G2593-H2593</f>
        <v>21703087.459999979</v>
      </c>
      <c r="J2593" s="5">
        <v>2500000</v>
      </c>
      <c r="K2593" s="5">
        <v>16580000</v>
      </c>
      <c r="L2593" s="5">
        <v>16830000</v>
      </c>
      <c r="M2593" s="7">
        <v>4676.6000000000004</v>
      </c>
      <c r="N2593" s="5">
        <v>0</v>
      </c>
      <c r="O2593" s="5">
        <v>0</v>
      </c>
      <c r="P2593" s="3">
        <v>0.97916666666666663</v>
      </c>
    </row>
    <row r="2594" spans="1:16" x14ac:dyDescent="0.25">
      <c r="A2594" t="s">
        <v>1588</v>
      </c>
      <c r="B2594" s="2">
        <v>46140</v>
      </c>
      <c r="C2594" t="str">
        <f>TEXT(B2594,"mm")</f>
        <v>04</v>
      </c>
      <c r="D2594" t="s">
        <v>18</v>
      </c>
      <c r="E2594" t="s">
        <v>1636</v>
      </c>
      <c r="F2594" s="5">
        <v>165800000</v>
      </c>
      <c r="G2594" s="5">
        <v>168300000</v>
      </c>
      <c r="H2594" s="5">
        <f>M2594*26000*1.20565</f>
        <v>143747479.33000001</v>
      </c>
      <c r="I2594" s="5">
        <f>G2594-H2594</f>
        <v>24552520.669999987</v>
      </c>
      <c r="J2594" s="5">
        <v>2500000</v>
      </c>
      <c r="K2594" s="5">
        <v>16580000</v>
      </c>
      <c r="L2594" s="5">
        <v>16830000</v>
      </c>
      <c r="M2594" s="7">
        <v>4585.7</v>
      </c>
      <c r="N2594" s="5">
        <v>0</v>
      </c>
      <c r="O2594" s="5">
        <v>0</v>
      </c>
      <c r="P2594" s="3">
        <v>0.97916666666666663</v>
      </c>
    </row>
    <row r="2595" spans="1:16" x14ac:dyDescent="0.25">
      <c r="A2595" t="s">
        <v>1589</v>
      </c>
      <c r="B2595" s="2">
        <v>46141</v>
      </c>
      <c r="C2595" t="str">
        <f>TEXT(B2595,"mm")</f>
        <v>04</v>
      </c>
      <c r="D2595" t="s">
        <v>19</v>
      </c>
      <c r="E2595" t="s">
        <v>1636</v>
      </c>
      <c r="F2595" s="5">
        <v>165800000</v>
      </c>
      <c r="G2595" s="5">
        <v>168300000</v>
      </c>
      <c r="H2595" s="5">
        <f>M2595*26000*1.20565</f>
        <v>143089194.43000001</v>
      </c>
      <c r="I2595" s="5">
        <f>G2595-H2595</f>
        <v>25210805.569999993</v>
      </c>
      <c r="J2595" s="5">
        <v>2500000</v>
      </c>
      <c r="K2595" s="5">
        <v>16580000</v>
      </c>
      <c r="L2595" s="5">
        <v>16830000</v>
      </c>
      <c r="M2595" s="7">
        <v>4564.7</v>
      </c>
      <c r="N2595" s="5">
        <v>0</v>
      </c>
      <c r="O2595" s="5">
        <v>0</v>
      </c>
      <c r="P2595" s="3">
        <v>0.97916666666666663</v>
      </c>
    </row>
    <row r="2596" spans="1:16" x14ac:dyDescent="0.25">
      <c r="A2596" t="s">
        <v>1590</v>
      </c>
      <c r="B2596" s="2">
        <v>46142</v>
      </c>
      <c r="C2596" t="str">
        <f>TEXT(B2596,"mm")</f>
        <v>04</v>
      </c>
      <c r="D2596" t="s">
        <v>20</v>
      </c>
      <c r="E2596" t="s">
        <v>1636</v>
      </c>
      <c r="F2596" s="5">
        <v>162500000</v>
      </c>
      <c r="G2596" s="5">
        <v>165500000</v>
      </c>
      <c r="H2596" s="5">
        <f>M2596*26000*1.20565</f>
        <v>144506074.31</v>
      </c>
      <c r="I2596" s="5">
        <f>G2596-H2596</f>
        <v>20993925.689999998</v>
      </c>
      <c r="J2596" s="5">
        <v>3000000</v>
      </c>
      <c r="K2596" s="5">
        <v>16250000</v>
      </c>
      <c r="L2596" s="5">
        <v>16550000</v>
      </c>
      <c r="M2596" s="7">
        <v>4609.8999999999996</v>
      </c>
      <c r="N2596" s="5">
        <v>0</v>
      </c>
      <c r="O2596" s="5">
        <v>0</v>
      </c>
      <c r="P2596" s="3">
        <v>0.97916666666666663</v>
      </c>
    </row>
    <row r="2597" spans="1:16" x14ac:dyDescent="0.25">
      <c r="A2597" s="2">
        <v>46027</v>
      </c>
      <c r="B2597" s="2">
        <v>46143</v>
      </c>
      <c r="C2597" t="str">
        <f>TEXT(B2597,"mm")</f>
        <v>05</v>
      </c>
      <c r="D2597" t="s">
        <v>21</v>
      </c>
      <c r="E2597" t="s">
        <v>1636</v>
      </c>
      <c r="F2597" s="5">
        <v>162500000</v>
      </c>
      <c r="G2597" s="5">
        <v>165500000</v>
      </c>
      <c r="H2597" s="5">
        <f>M2597*26000*1.20565</f>
        <v>145496636.35000002</v>
      </c>
      <c r="I2597" s="5">
        <f>G2597-H2597</f>
        <v>20003363.649999976</v>
      </c>
      <c r="J2597" s="5">
        <v>3000000</v>
      </c>
      <c r="K2597" s="5">
        <v>16250000</v>
      </c>
      <c r="L2597" s="5">
        <v>16550000</v>
      </c>
      <c r="M2597" s="7">
        <v>4641.5</v>
      </c>
      <c r="N2597" s="5">
        <v>0</v>
      </c>
      <c r="O2597" s="5">
        <v>0</v>
      </c>
      <c r="P2597" s="3">
        <v>0.97916666666666663</v>
      </c>
    </row>
    <row r="2598" spans="1:16" x14ac:dyDescent="0.25">
      <c r="A2598" s="2">
        <v>46117</v>
      </c>
      <c r="B2598" s="2">
        <v>46146</v>
      </c>
      <c r="C2598" t="str">
        <f>TEXT(B2598,"mm")</f>
        <v>05</v>
      </c>
      <c r="D2598" t="s">
        <v>16</v>
      </c>
      <c r="E2598" t="s">
        <v>1636</v>
      </c>
      <c r="F2598" s="5">
        <v>162800000</v>
      </c>
      <c r="G2598" s="5">
        <v>165800000</v>
      </c>
      <c r="H2598" s="5">
        <f>M2598*26000*1.20565</f>
        <v>141540657.57000002</v>
      </c>
      <c r="I2598" s="5">
        <f>G2598-H2598</f>
        <v>24259342.429999977</v>
      </c>
      <c r="J2598" s="5">
        <v>3000000</v>
      </c>
      <c r="K2598" s="5">
        <v>16280000</v>
      </c>
      <c r="L2598" s="5">
        <v>16580000</v>
      </c>
      <c r="M2598" s="7">
        <v>4515.3</v>
      </c>
      <c r="N2598" s="5">
        <v>0</v>
      </c>
      <c r="O2598" s="5">
        <v>0</v>
      </c>
      <c r="P2598" s="3">
        <v>0.97916666666666663</v>
      </c>
    </row>
    <row r="2599" spans="1:16" x14ac:dyDescent="0.25">
      <c r="A2599" s="2">
        <v>46147</v>
      </c>
      <c r="B2599" s="2">
        <v>46147</v>
      </c>
      <c r="C2599" t="str">
        <f>TEXT(B2599,"mm")</f>
        <v>05</v>
      </c>
      <c r="D2599" t="s">
        <v>18</v>
      </c>
      <c r="E2599" t="s">
        <v>1636</v>
      </c>
      <c r="F2599" s="5">
        <v>161500000</v>
      </c>
      <c r="G2599" s="5">
        <v>164500000</v>
      </c>
      <c r="H2599" s="5">
        <f>M2599*26000*1.20565</f>
        <v>142948133.38000003</v>
      </c>
      <c r="I2599" s="5">
        <f>G2599-H2599</f>
        <v>21551866.619999975</v>
      </c>
      <c r="J2599" s="5">
        <v>3000000</v>
      </c>
      <c r="K2599" s="5">
        <v>16150000</v>
      </c>
      <c r="L2599" s="5">
        <v>16450000</v>
      </c>
      <c r="M2599" s="7">
        <v>4560.2</v>
      </c>
      <c r="N2599" s="5">
        <v>0</v>
      </c>
      <c r="O2599" s="5">
        <v>0</v>
      </c>
      <c r="P2599" s="3">
        <v>0.97916666666666663</v>
      </c>
    </row>
    <row r="2600" spans="1:16" x14ac:dyDescent="0.25">
      <c r="A2600" s="2">
        <v>46178</v>
      </c>
      <c r="B2600" s="2">
        <v>46148</v>
      </c>
      <c r="C2600" t="str">
        <f>TEXT(B2600,"mm")</f>
        <v>05</v>
      </c>
      <c r="D2600" t="s">
        <v>19</v>
      </c>
      <c r="E2600" t="s">
        <v>1636</v>
      </c>
      <c r="F2600" s="5">
        <v>162500000</v>
      </c>
      <c r="G2600" s="5">
        <v>165500000</v>
      </c>
      <c r="H2600" s="5">
        <f>M2600*26000*1.20565</f>
        <v>146982479.41</v>
      </c>
      <c r="I2600" s="5">
        <f>G2600-H2600</f>
        <v>18517520.590000004</v>
      </c>
      <c r="J2600" s="5">
        <v>3000000</v>
      </c>
      <c r="K2600" s="5">
        <v>16250000</v>
      </c>
      <c r="L2600" s="5">
        <v>16550000</v>
      </c>
      <c r="M2600" s="7">
        <v>4688.8999999999996</v>
      </c>
      <c r="N2600" s="5">
        <v>0</v>
      </c>
      <c r="O2600" s="5">
        <v>0</v>
      </c>
      <c r="P2600" s="3">
        <v>0.97916666666666663</v>
      </c>
    </row>
    <row r="2601" spans="1:16" x14ac:dyDescent="0.25">
      <c r="A2601" s="2">
        <v>46208</v>
      </c>
      <c r="B2601" s="2">
        <v>46149</v>
      </c>
      <c r="C2601" t="str">
        <f>TEXT(B2601,"mm")</f>
        <v>05</v>
      </c>
      <c r="D2601" t="s">
        <v>20</v>
      </c>
      <c r="E2601" t="s">
        <v>1636</v>
      </c>
      <c r="F2601" s="5">
        <v>164000000</v>
      </c>
      <c r="G2601" s="5">
        <v>167000000</v>
      </c>
      <c r="H2601" s="5">
        <f>M2601*26000*1.20565</f>
        <v>148082755.60000002</v>
      </c>
      <c r="I2601" s="5">
        <f>G2601-H2601</f>
        <v>18917244.399999976</v>
      </c>
      <c r="J2601" s="5">
        <v>3000000</v>
      </c>
      <c r="K2601" s="5">
        <v>16400000</v>
      </c>
      <c r="L2601" s="5">
        <v>16700000</v>
      </c>
      <c r="M2601" s="7">
        <v>4724</v>
      </c>
      <c r="N2601" s="5">
        <v>0</v>
      </c>
      <c r="O2601" s="5">
        <v>0</v>
      </c>
      <c r="P2601" s="3">
        <v>0.97916666666666663</v>
      </c>
    </row>
    <row r="2602" spans="1:16" x14ac:dyDescent="0.25">
      <c r="A2602" s="2">
        <v>46239</v>
      </c>
      <c r="B2602" s="2">
        <v>46150</v>
      </c>
      <c r="C2602" t="str">
        <f>TEXT(B2602,"mm")</f>
        <v>05</v>
      </c>
      <c r="D2602" t="s">
        <v>21</v>
      </c>
      <c r="E2602" t="s">
        <v>1636</v>
      </c>
      <c r="F2602" s="5">
        <v>164000000</v>
      </c>
      <c r="G2602" s="5">
        <v>167000000</v>
      </c>
      <c r="H2602" s="5">
        <f>M2602*26000*1.20565</f>
        <v>147860192.60999998</v>
      </c>
      <c r="I2602" s="5">
        <f>G2602-H2602</f>
        <v>19139807.390000015</v>
      </c>
      <c r="J2602" s="5">
        <v>3000000</v>
      </c>
      <c r="K2602" s="5">
        <v>16400000</v>
      </c>
      <c r="L2602" s="5">
        <v>16700000</v>
      </c>
      <c r="M2602" s="7">
        <v>4716.8999999999996</v>
      </c>
      <c r="N2602" s="5">
        <v>0</v>
      </c>
      <c r="O2602" s="5">
        <v>0</v>
      </c>
      <c r="P2602" s="3">
        <v>0.97916666666666663</v>
      </c>
    </row>
    <row r="2603" spans="1:16" x14ac:dyDescent="0.25">
      <c r="A2603" s="2">
        <v>46331</v>
      </c>
      <c r="B2603" s="2">
        <v>46153</v>
      </c>
      <c r="C2603" t="str">
        <f>TEXT(B2603,"mm")</f>
        <v>05</v>
      </c>
      <c r="D2603" t="s">
        <v>16</v>
      </c>
      <c r="E2603" t="s">
        <v>1636</v>
      </c>
      <c r="F2603" s="5">
        <v>161700000</v>
      </c>
      <c r="G2603" s="5">
        <v>164700000</v>
      </c>
      <c r="H2603" s="5">
        <f>M2603*26000*1.20565</f>
        <v>148142314.71000001</v>
      </c>
      <c r="I2603" s="5">
        <f>G2603-H2603</f>
        <v>16557685.289999992</v>
      </c>
      <c r="J2603" s="5">
        <v>3000000</v>
      </c>
      <c r="K2603" s="5">
        <v>16170000</v>
      </c>
      <c r="L2603" s="5">
        <v>16470000</v>
      </c>
      <c r="M2603" s="7">
        <v>4725.8999999999996</v>
      </c>
      <c r="N2603" s="5">
        <v>0</v>
      </c>
      <c r="O2603" s="5">
        <v>0</v>
      </c>
      <c r="P2603" s="3">
        <v>0.97916666666666663</v>
      </c>
    </row>
    <row r="2604" spans="1:16" x14ac:dyDescent="0.25">
      <c r="A2604" s="2">
        <v>46361</v>
      </c>
      <c r="B2604" s="2">
        <v>46154</v>
      </c>
      <c r="C2604" t="str">
        <f>TEXT(B2604,"mm")</f>
        <v>05</v>
      </c>
      <c r="D2604" t="s">
        <v>18</v>
      </c>
      <c r="E2604" t="s">
        <v>1636</v>
      </c>
      <c r="F2604" s="5">
        <v>162300000</v>
      </c>
      <c r="G2604" s="5">
        <v>165300000</v>
      </c>
      <c r="H2604" s="5">
        <f>M2604*26000*1.20565</f>
        <v>146408831.14000005</v>
      </c>
      <c r="I2604" s="5">
        <f>G2604-H2604</f>
        <v>18891168.859999955</v>
      </c>
      <c r="J2604" s="5">
        <v>3000000</v>
      </c>
      <c r="K2604" s="5">
        <v>16230000</v>
      </c>
      <c r="L2604" s="5">
        <v>16530000</v>
      </c>
      <c r="M2604" s="7">
        <v>4670.6000000000004</v>
      </c>
      <c r="N2604" s="5">
        <v>0</v>
      </c>
      <c r="O2604" s="5">
        <v>0</v>
      </c>
      <c r="P2604" s="3">
        <v>0.97916666666666663</v>
      </c>
    </row>
    <row r="2605" spans="1:16" x14ac:dyDescent="0.25">
      <c r="A2605" t="s">
        <v>1591</v>
      </c>
      <c r="B2605" s="2">
        <v>46155</v>
      </c>
      <c r="C2605" t="str">
        <f>TEXT(B2605,"mm")</f>
        <v>05</v>
      </c>
      <c r="D2605" t="s">
        <v>19</v>
      </c>
      <c r="E2605" t="s">
        <v>1636</v>
      </c>
      <c r="F2605" s="5">
        <v>161800000</v>
      </c>
      <c r="G2605" s="5">
        <v>164800000</v>
      </c>
      <c r="H2605" s="5">
        <f>M2605*26000*1.20565</f>
        <v>147668976.52000001</v>
      </c>
      <c r="I2605" s="5">
        <f>G2605-H2605</f>
        <v>17131023.479999989</v>
      </c>
      <c r="J2605" s="5">
        <v>3000000</v>
      </c>
      <c r="K2605" s="5">
        <v>16180000</v>
      </c>
      <c r="L2605" s="5">
        <v>16480000</v>
      </c>
      <c r="M2605" s="7">
        <v>4710.8</v>
      </c>
      <c r="N2605" s="5">
        <v>0</v>
      </c>
      <c r="O2605" s="5">
        <v>0</v>
      </c>
      <c r="P2605" s="3">
        <v>0.97916666666666663</v>
      </c>
    </row>
    <row r="2606" spans="1:16" x14ac:dyDescent="0.25">
      <c r="A2606" t="s">
        <v>1592</v>
      </c>
      <c r="B2606" s="2">
        <v>46156</v>
      </c>
      <c r="C2606" t="str">
        <f>TEXT(B2606,"mm")</f>
        <v>05</v>
      </c>
      <c r="D2606" t="s">
        <v>20</v>
      </c>
      <c r="E2606" t="s">
        <v>1636</v>
      </c>
      <c r="F2606" s="5">
        <v>161800000</v>
      </c>
      <c r="G2606" s="5">
        <v>164800000</v>
      </c>
      <c r="H2606" s="5">
        <f>M2606*26000*1.20565</f>
        <v>146631394.13000003</v>
      </c>
      <c r="I2606" s="5">
        <f>G2606-H2606</f>
        <v>18168605.869999975</v>
      </c>
      <c r="J2606" s="5">
        <v>3000000</v>
      </c>
      <c r="K2606" s="5">
        <v>16180000</v>
      </c>
      <c r="L2606" s="5">
        <v>16480000</v>
      </c>
      <c r="M2606" s="7">
        <v>4677.7</v>
      </c>
      <c r="N2606" s="5">
        <v>0</v>
      </c>
      <c r="O2606" s="5">
        <v>0</v>
      </c>
      <c r="P2606" s="3">
        <v>0.97916666666666663</v>
      </c>
    </row>
    <row r="2607" spans="1:16" x14ac:dyDescent="0.25">
      <c r="A2607" t="s">
        <v>1593</v>
      </c>
      <c r="B2607" s="2">
        <v>46157</v>
      </c>
      <c r="C2607" t="str">
        <f>TEXT(B2607,"mm")</f>
        <v>05</v>
      </c>
      <c r="D2607" t="s">
        <v>21</v>
      </c>
      <c r="E2607" t="s">
        <v>1636</v>
      </c>
      <c r="F2607" s="5">
        <v>160800000</v>
      </c>
      <c r="G2607" s="5">
        <v>163800000</v>
      </c>
      <c r="H2607" s="5">
        <f>M2607*26000*1.20565</f>
        <v>142343138.21000001</v>
      </c>
      <c r="I2607" s="5">
        <f>G2607-H2607</f>
        <v>21456861.789999992</v>
      </c>
      <c r="J2607" s="5">
        <v>3000000</v>
      </c>
      <c r="K2607" s="5">
        <v>16080000</v>
      </c>
      <c r="L2607" s="5">
        <v>16380000</v>
      </c>
      <c r="M2607" s="7">
        <v>4540.8999999999996</v>
      </c>
      <c r="N2607" s="5">
        <v>0</v>
      </c>
      <c r="O2607" s="5">
        <v>0</v>
      </c>
      <c r="P2607" s="3">
        <v>0.97916666666666663</v>
      </c>
    </row>
    <row r="2608" spans="1:16" x14ac:dyDescent="0.25">
      <c r="A2608" t="s">
        <v>1594</v>
      </c>
      <c r="B2608" s="2">
        <v>46160</v>
      </c>
      <c r="C2608" t="str">
        <f>TEXT(B2608,"mm")</f>
        <v>05</v>
      </c>
      <c r="D2608" t="s">
        <v>16</v>
      </c>
      <c r="E2608" t="s">
        <v>1636</v>
      </c>
      <c r="F2608" s="5">
        <v>160300000</v>
      </c>
      <c r="G2608" s="5">
        <v>163300000</v>
      </c>
      <c r="H2608" s="5">
        <f>M2608*26000*1.20565</f>
        <v>142352542.28</v>
      </c>
      <c r="I2608" s="5">
        <f>G2608-H2608</f>
        <v>20947457.719999999</v>
      </c>
      <c r="J2608" s="5">
        <v>3000000</v>
      </c>
      <c r="K2608" s="5">
        <v>16030000</v>
      </c>
      <c r="L2608" s="5">
        <v>16330000</v>
      </c>
      <c r="M2608" s="7">
        <v>4541.2</v>
      </c>
      <c r="N2608" s="5">
        <v>0</v>
      </c>
      <c r="O2608" s="5">
        <v>0</v>
      </c>
      <c r="P2608" s="3">
        <v>0.97916666666666663</v>
      </c>
    </row>
    <row r="2609" spans="1:16" x14ac:dyDescent="0.25">
      <c r="A2609" t="s">
        <v>1595</v>
      </c>
      <c r="B2609" s="2">
        <v>46161</v>
      </c>
      <c r="C2609" t="str">
        <f>TEXT(B2609,"mm")</f>
        <v>05</v>
      </c>
      <c r="D2609" t="s">
        <v>18</v>
      </c>
      <c r="E2609" t="s">
        <v>1636</v>
      </c>
      <c r="F2609" s="5">
        <v>160300000</v>
      </c>
      <c r="G2609" s="5">
        <v>163300000</v>
      </c>
      <c r="H2609" s="5">
        <f>M2609*26000*1.20565</f>
        <v>141358845.55000001</v>
      </c>
      <c r="I2609" s="5">
        <f>G2609-H2609</f>
        <v>21941154.449999988</v>
      </c>
      <c r="J2609" s="5">
        <v>3000000</v>
      </c>
      <c r="K2609" s="5">
        <v>16030000</v>
      </c>
      <c r="L2609" s="5">
        <v>16330000</v>
      </c>
      <c r="M2609" s="7">
        <v>4509.5</v>
      </c>
      <c r="N2609" s="5">
        <v>0</v>
      </c>
      <c r="O2609" s="5">
        <v>0</v>
      </c>
      <c r="P2609" s="3">
        <v>0.97916666666666663</v>
      </c>
    </row>
    <row r="2610" spans="1:16" x14ac:dyDescent="0.25">
      <c r="A2610" t="s">
        <v>1596</v>
      </c>
      <c r="B2610" s="2">
        <v>46162</v>
      </c>
      <c r="C2610" t="str">
        <f>TEXT(B2610,"mm")</f>
        <v>05</v>
      </c>
      <c r="D2610" t="s">
        <v>19</v>
      </c>
      <c r="E2610" t="s">
        <v>1636</v>
      </c>
      <c r="F2610" s="5">
        <v>158000000</v>
      </c>
      <c r="G2610" s="5">
        <v>161000000</v>
      </c>
      <c r="H2610" s="5">
        <f>M2610*26000*1.20565</f>
        <v>141951301.96000001</v>
      </c>
      <c r="I2610" s="5">
        <f>G2610-H2610</f>
        <v>19048698.039999992</v>
      </c>
      <c r="J2610" s="5">
        <v>3000000</v>
      </c>
      <c r="K2610" s="5">
        <v>15800000</v>
      </c>
      <c r="L2610" s="5">
        <v>16100000</v>
      </c>
      <c r="M2610" s="7">
        <v>4528.3999999999996</v>
      </c>
      <c r="N2610" s="5">
        <v>0</v>
      </c>
      <c r="O2610" s="5">
        <v>0</v>
      </c>
      <c r="P2610" s="3">
        <v>0.97916666666666663</v>
      </c>
    </row>
    <row r="2611" spans="1:16" x14ac:dyDescent="0.25">
      <c r="A2611" t="s">
        <v>1597</v>
      </c>
      <c r="B2611" s="2">
        <v>46163</v>
      </c>
      <c r="C2611" t="str">
        <f>TEXT(B2611,"mm")</f>
        <v>05</v>
      </c>
      <c r="D2611" t="s">
        <v>20</v>
      </c>
      <c r="E2611" t="s">
        <v>1636</v>
      </c>
      <c r="F2611" s="5">
        <v>158900000</v>
      </c>
      <c r="G2611" s="5">
        <v>161900000</v>
      </c>
      <c r="H2611" s="5">
        <f>M2611*26000*1.20565</f>
        <v>141637832.96000001</v>
      </c>
      <c r="I2611" s="5">
        <f>G2611-H2611</f>
        <v>20262167.039999992</v>
      </c>
      <c r="J2611" s="5">
        <v>3000000</v>
      </c>
      <c r="K2611" s="5">
        <v>15890000</v>
      </c>
      <c r="L2611" s="5">
        <v>16190000</v>
      </c>
      <c r="M2611" s="7">
        <v>4518.3999999999996</v>
      </c>
      <c r="N2611" s="5">
        <v>0</v>
      </c>
      <c r="O2611" s="5">
        <v>0</v>
      </c>
      <c r="P2611" s="3">
        <v>0.97916666666666663</v>
      </c>
    </row>
    <row r="2612" spans="1:16" x14ac:dyDescent="0.25">
      <c r="A2612" t="s">
        <v>1598</v>
      </c>
      <c r="B2612" s="2">
        <v>46164</v>
      </c>
      <c r="C2612" t="str">
        <f>TEXT(B2612,"mm")</f>
        <v>05</v>
      </c>
      <c r="D2612" t="s">
        <v>21</v>
      </c>
      <c r="E2612" t="s">
        <v>1636</v>
      </c>
      <c r="F2612" s="5">
        <v>158500000</v>
      </c>
      <c r="G2612" s="5">
        <v>161500000</v>
      </c>
      <c r="H2612" s="5">
        <f>M2612*26000*1.20565</f>
        <v>141813375.60000002</v>
      </c>
      <c r="I2612" s="5">
        <f>G2612-H2612</f>
        <v>19686624.399999976</v>
      </c>
      <c r="J2612" s="5">
        <v>3000000</v>
      </c>
      <c r="K2612" s="5">
        <v>15850000</v>
      </c>
      <c r="L2612" s="5">
        <v>16150000</v>
      </c>
      <c r="M2612" s="7">
        <v>4524</v>
      </c>
      <c r="N2612" s="5">
        <v>0</v>
      </c>
      <c r="O2612" s="5">
        <v>0</v>
      </c>
      <c r="P2612" s="3">
        <v>0.97916666666666663</v>
      </c>
    </row>
    <row r="2613" spans="1:16" x14ac:dyDescent="0.25">
      <c r="A2613" t="s">
        <v>1599</v>
      </c>
      <c r="B2613" s="2">
        <v>46168</v>
      </c>
      <c r="C2613" t="str">
        <f>TEXT(B2613,"mm")</f>
        <v>05</v>
      </c>
      <c r="D2613" t="s">
        <v>18</v>
      </c>
      <c r="E2613" t="s">
        <v>1636</v>
      </c>
      <c r="F2613" s="5">
        <v>158000000</v>
      </c>
      <c r="G2613" s="5">
        <v>161000000</v>
      </c>
      <c r="H2613" s="5">
        <f>M2613*26000*1.20565</f>
        <v>141343172.10000002</v>
      </c>
      <c r="I2613" s="5">
        <f>G2613-H2613</f>
        <v>19656827.899999976</v>
      </c>
      <c r="J2613" s="5">
        <v>3000000</v>
      </c>
      <c r="K2613" s="5">
        <v>15800000</v>
      </c>
      <c r="L2613" s="5">
        <v>16100000</v>
      </c>
      <c r="M2613" s="7">
        <v>4509</v>
      </c>
      <c r="N2613" s="5">
        <v>0</v>
      </c>
      <c r="O2613" s="5">
        <v>0</v>
      </c>
      <c r="P2613" s="3">
        <v>0.97916666666666663</v>
      </c>
    </row>
    <row r="2614" spans="1:16" x14ac:dyDescent="0.25">
      <c r="A2614" t="s">
        <v>1600</v>
      </c>
      <c r="B2614" s="2">
        <v>46169</v>
      </c>
      <c r="C2614" t="str">
        <f>TEXT(B2614,"mm")</f>
        <v>05</v>
      </c>
      <c r="D2614" t="s">
        <v>19</v>
      </c>
      <c r="E2614" t="s">
        <v>1636</v>
      </c>
      <c r="F2614" s="5">
        <v>157200000</v>
      </c>
      <c r="G2614" s="5">
        <v>160200000</v>
      </c>
      <c r="H2614" s="5">
        <f>M2614*26000*1.20565</f>
        <v>139402798.99000004</v>
      </c>
      <c r="I2614" s="5">
        <f>G2614-H2614</f>
        <v>20797201.009999961</v>
      </c>
      <c r="J2614" s="5">
        <v>3000000</v>
      </c>
      <c r="K2614" s="5">
        <v>15720000</v>
      </c>
      <c r="L2614" s="5">
        <v>16020000</v>
      </c>
      <c r="M2614" s="7">
        <v>4447.1000000000004</v>
      </c>
      <c r="N2614" s="5">
        <v>0</v>
      </c>
      <c r="O2614" s="5">
        <v>0</v>
      </c>
      <c r="P2614" s="3">
        <v>0.97916666666666663</v>
      </c>
    </row>
    <row r="2615" spans="1:16" x14ac:dyDescent="0.25">
      <c r="A2615" t="s">
        <v>1601</v>
      </c>
      <c r="B2615" s="2">
        <v>46170</v>
      </c>
      <c r="C2615" t="str">
        <f>TEXT(B2615,"mm")</f>
        <v>05</v>
      </c>
      <c r="D2615" t="s">
        <v>20</v>
      </c>
      <c r="E2615" t="s">
        <v>1636</v>
      </c>
      <c r="F2615" s="5">
        <v>154300000</v>
      </c>
      <c r="G2615" s="5">
        <v>157300000</v>
      </c>
      <c r="H2615" s="5">
        <f>M2615*26000*1.20565</f>
        <v>141108070.35000002</v>
      </c>
      <c r="I2615" s="5">
        <f>G2615-H2615</f>
        <v>16191929.649999976</v>
      </c>
      <c r="J2615" s="5">
        <v>3000000</v>
      </c>
      <c r="K2615" s="5">
        <v>15430000</v>
      </c>
      <c r="L2615" s="5">
        <v>15730000</v>
      </c>
      <c r="M2615" s="7">
        <v>4501.5</v>
      </c>
      <c r="N2615" s="5">
        <v>0</v>
      </c>
      <c r="O2615" s="5">
        <v>0</v>
      </c>
      <c r="P2615" s="3">
        <v>0.97916666666666663</v>
      </c>
    </row>
    <row r="2616" spans="1:16" x14ac:dyDescent="0.25">
      <c r="A2616" t="s">
        <v>1602</v>
      </c>
      <c r="B2616" s="2">
        <v>46171</v>
      </c>
      <c r="C2616" t="str">
        <f>TEXT(B2616,"mm")</f>
        <v>05</v>
      </c>
      <c r="D2616" t="s">
        <v>21</v>
      </c>
      <c r="E2616" t="s">
        <v>1636</v>
      </c>
      <c r="F2616" s="5">
        <v>155300000</v>
      </c>
      <c r="G2616" s="5">
        <v>158300000</v>
      </c>
      <c r="H2616" s="5">
        <f>M2616*26000*1.20565</f>
        <v>143035904.70000002</v>
      </c>
      <c r="I2616" s="5">
        <f>G2616-H2616</f>
        <v>15264095.299999982</v>
      </c>
      <c r="J2616" s="5">
        <v>3000000</v>
      </c>
      <c r="K2616" s="5">
        <v>15530000</v>
      </c>
      <c r="L2616" s="5">
        <v>15830000</v>
      </c>
      <c r="M2616" s="7">
        <v>4563</v>
      </c>
      <c r="N2616" s="5">
        <v>0</v>
      </c>
      <c r="O2616" s="5">
        <v>0</v>
      </c>
      <c r="P2616" s="3">
        <v>0.97916666666666663</v>
      </c>
    </row>
    <row r="2617" spans="1:16" x14ac:dyDescent="0.25">
      <c r="A2617" s="2">
        <v>46028</v>
      </c>
      <c r="B2617" s="2">
        <v>46174</v>
      </c>
      <c r="C2617" t="str">
        <f>TEXT(B2617,"mm")</f>
        <v>06</v>
      </c>
      <c r="D2617" t="s">
        <v>16</v>
      </c>
      <c r="E2617" t="s">
        <v>1636</v>
      </c>
      <c r="F2617" s="5">
        <v>155300000</v>
      </c>
      <c r="G2617" s="5">
        <v>158300000</v>
      </c>
      <c r="H2617" s="5">
        <f>M2617*26000*1.20565</f>
        <v>140064218.58000001</v>
      </c>
      <c r="I2617" s="5">
        <f>G2617-H2617</f>
        <v>18235781.419999987</v>
      </c>
      <c r="J2617" s="5">
        <v>3000000</v>
      </c>
      <c r="K2617" s="5">
        <v>15530000</v>
      </c>
      <c r="L2617" s="5">
        <v>15830000</v>
      </c>
      <c r="M2617" s="7">
        <v>4468.2</v>
      </c>
      <c r="N2617" s="5">
        <v>0</v>
      </c>
      <c r="O2617" s="5">
        <v>0</v>
      </c>
      <c r="P2617" s="3">
        <v>0.97916666666666663</v>
      </c>
    </row>
    <row r="2618" spans="1:16" x14ac:dyDescent="0.25">
      <c r="A2618" s="2">
        <v>46059</v>
      </c>
      <c r="B2618" s="2">
        <v>46175</v>
      </c>
      <c r="C2618" t="str">
        <f>TEXT(B2618,"mm")</f>
        <v>06</v>
      </c>
      <c r="D2618" t="s">
        <v>18</v>
      </c>
      <c r="E2618" t="s">
        <v>1636</v>
      </c>
      <c r="F2618" s="5">
        <v>154300000</v>
      </c>
      <c r="G2618" s="5">
        <v>157300000</v>
      </c>
      <c r="H2618" s="5">
        <f>M2618*26000*1.20565</f>
        <v>140832217.63000003</v>
      </c>
      <c r="I2618" s="5">
        <f>G2618-H2618</f>
        <v>16467782.369999975</v>
      </c>
      <c r="J2618" s="5">
        <v>3000000</v>
      </c>
      <c r="K2618" s="5">
        <v>15430000</v>
      </c>
      <c r="L2618" s="5">
        <v>15730000</v>
      </c>
      <c r="M2618" s="7">
        <v>4492.7</v>
      </c>
      <c r="N2618" s="5">
        <v>0</v>
      </c>
      <c r="O2618" s="5">
        <v>0</v>
      </c>
      <c r="P2618" s="3">
        <v>0.97916666666666663</v>
      </c>
    </row>
    <row r="2619" spans="1:16" x14ac:dyDescent="0.25">
      <c r="A2619" s="2">
        <v>46087</v>
      </c>
      <c r="B2619" s="2">
        <v>46176</v>
      </c>
      <c r="C2619" t="str">
        <f>TEXT(B2619,"mm")</f>
        <v>06</v>
      </c>
      <c r="D2619" t="s">
        <v>19</v>
      </c>
      <c r="E2619" t="s">
        <v>1636</v>
      </c>
      <c r="F2619" s="5">
        <v>153800000</v>
      </c>
      <c r="G2619" s="5">
        <v>156800000</v>
      </c>
      <c r="H2619" s="5">
        <f>M2619*26000*1.20565</f>
        <v>139114407.50999999</v>
      </c>
      <c r="I2619" s="5">
        <f>G2619-H2619</f>
        <v>17685592.49000001</v>
      </c>
      <c r="J2619" s="5">
        <v>3000000</v>
      </c>
      <c r="K2619" s="5">
        <v>15380000</v>
      </c>
      <c r="L2619" s="5">
        <v>15680000</v>
      </c>
      <c r="M2619" s="7">
        <v>4437.8999999999996</v>
      </c>
      <c r="N2619" s="5">
        <v>0</v>
      </c>
      <c r="O2619" s="5">
        <v>0</v>
      </c>
      <c r="P2619" s="3">
        <v>0.97916666666666663</v>
      </c>
    </row>
    <row r="2620" spans="1:16" x14ac:dyDescent="0.25">
      <c r="A2620" s="2">
        <v>46118</v>
      </c>
      <c r="B2620" s="2">
        <v>46177</v>
      </c>
      <c r="C2620" t="str">
        <f>TEXT(B2620,"mm")</f>
        <v>06</v>
      </c>
      <c r="D2620" t="s">
        <v>20</v>
      </c>
      <c r="E2620" t="s">
        <v>1636</v>
      </c>
      <c r="F2620" s="5">
        <v>152800000</v>
      </c>
      <c r="G2620" s="5">
        <v>155800000</v>
      </c>
      <c r="H2620" s="5">
        <f>M2620*26000*1.20565</f>
        <v>140600250.57000002</v>
      </c>
      <c r="I2620" s="5">
        <f>G2620-H2620</f>
        <v>15199749.429999977</v>
      </c>
      <c r="J2620" s="5">
        <v>3000000</v>
      </c>
      <c r="K2620" s="5">
        <v>15280000</v>
      </c>
      <c r="L2620" s="5">
        <v>15580000</v>
      </c>
      <c r="M2620" s="7">
        <v>4485.3</v>
      </c>
      <c r="N2620" s="5">
        <v>0</v>
      </c>
      <c r="O2620" s="5">
        <v>0</v>
      </c>
      <c r="P2620" s="3">
        <v>0.97916666666666663</v>
      </c>
    </row>
    <row r="2621" spans="1:16" x14ac:dyDescent="0.25">
      <c r="A2621" s="2">
        <v>46148</v>
      </c>
      <c r="B2621" s="2">
        <v>46178</v>
      </c>
      <c r="C2621" t="str">
        <f>TEXT(B2621,"mm")</f>
        <v>06</v>
      </c>
      <c r="D2621" t="s">
        <v>21</v>
      </c>
      <c r="E2621" t="s">
        <v>1636</v>
      </c>
      <c r="F2621" s="5">
        <v>149000000</v>
      </c>
      <c r="G2621" s="5">
        <v>153000000</v>
      </c>
      <c r="H2621" s="5">
        <f>M2621*26000*1.20565</f>
        <v>135810444.25</v>
      </c>
      <c r="I2621" s="5">
        <f>G2621-H2621</f>
        <v>17189555.75</v>
      </c>
      <c r="J2621" s="5">
        <v>4000000</v>
      </c>
      <c r="K2621" s="5">
        <v>14900000</v>
      </c>
      <c r="L2621" s="5">
        <v>15300000</v>
      </c>
      <c r="M2621" s="7">
        <v>4332.5</v>
      </c>
      <c r="N2621" s="5">
        <v>0</v>
      </c>
      <c r="O2621" s="5">
        <v>0</v>
      </c>
      <c r="P2621" s="3">
        <v>0.97916666666666663</v>
      </c>
    </row>
    <row r="2622" spans="1:16" x14ac:dyDescent="0.25">
      <c r="A2622" s="2">
        <v>46240</v>
      </c>
      <c r="B2622" s="2">
        <v>46181</v>
      </c>
      <c r="C2622" t="str">
        <f>TEXT(B2622,"mm")</f>
        <v>06</v>
      </c>
      <c r="D2622" t="s">
        <v>16</v>
      </c>
      <c r="E2622" t="s">
        <v>1636</v>
      </c>
      <c r="F2622" s="5">
        <v>138600000</v>
      </c>
      <c r="G2622" s="5">
        <v>143600000</v>
      </c>
      <c r="H2622" s="5">
        <f>M2622*26000*1.20565</f>
        <v>136161529.53</v>
      </c>
      <c r="I2622" s="5">
        <f>G2622-H2622</f>
        <v>7438470.4699999988</v>
      </c>
      <c r="J2622" s="5">
        <v>5000000</v>
      </c>
      <c r="K2622" s="5">
        <v>13860000</v>
      </c>
      <c r="L2622" s="5">
        <v>14360000</v>
      </c>
      <c r="M2622" s="7">
        <v>4343.7</v>
      </c>
      <c r="N2622" s="5">
        <v>0</v>
      </c>
      <c r="O2622" s="5">
        <v>0</v>
      </c>
      <c r="P2622" s="3">
        <v>0.97916666666666663</v>
      </c>
    </row>
    <row r="2623" spans="1:16" x14ac:dyDescent="0.25">
      <c r="A2623" s="2">
        <v>46271</v>
      </c>
      <c r="B2623" s="2">
        <v>46182</v>
      </c>
      <c r="C2623" t="str">
        <f>TEXT(B2623,"mm")</f>
        <v>06</v>
      </c>
      <c r="D2623" t="s">
        <v>18</v>
      </c>
      <c r="E2623" t="s">
        <v>1636</v>
      </c>
      <c r="F2623" s="5">
        <v>138600000</v>
      </c>
      <c r="G2623" s="5">
        <v>143600000</v>
      </c>
      <c r="H2623" s="5">
        <f>M2623*26000*1.20565</f>
        <v>133669450.98000002</v>
      </c>
      <c r="I2623" s="5">
        <f>G2623-H2623</f>
        <v>9930549.0199999809</v>
      </c>
      <c r="J2623" s="5">
        <v>5000000</v>
      </c>
      <c r="K2623" s="5">
        <v>13860000</v>
      </c>
      <c r="L2623" s="5">
        <v>14360000</v>
      </c>
      <c r="M2623" s="7">
        <v>4264.2</v>
      </c>
      <c r="N2623" s="5">
        <v>0</v>
      </c>
      <c r="O2623" s="5">
        <v>0</v>
      </c>
      <c r="P2623" s="3">
        <v>0.97916666666666663</v>
      </c>
    </row>
    <row r="2624" spans="1:16" x14ac:dyDescent="0.25">
      <c r="A2624" s="2">
        <v>46301</v>
      </c>
      <c r="B2624" s="2">
        <v>46183</v>
      </c>
      <c r="C2624" t="str">
        <f>TEXT(B2624,"mm")</f>
        <v>06</v>
      </c>
      <c r="D2624" t="s">
        <v>19</v>
      </c>
      <c r="E2624" t="s">
        <v>1636</v>
      </c>
      <c r="F2624" s="5">
        <v>133200000</v>
      </c>
      <c r="G2624" s="5">
        <v>138200000</v>
      </c>
      <c r="H2624" s="5">
        <f>M2624*26000*1.20565</f>
        <v>129547333.63000001</v>
      </c>
      <c r="I2624" s="5">
        <f>G2624-H2624</f>
        <v>8652666.3699999899</v>
      </c>
      <c r="J2624" s="5">
        <v>5000000</v>
      </c>
      <c r="K2624" s="5">
        <v>13320000</v>
      </c>
      <c r="L2624" s="5">
        <v>13820000</v>
      </c>
      <c r="M2624" s="7">
        <v>4132.7</v>
      </c>
      <c r="N2624" s="5">
        <v>0</v>
      </c>
      <c r="O2624" s="5">
        <v>0</v>
      </c>
      <c r="P2624" s="3">
        <v>0.97916666666666663</v>
      </c>
    </row>
    <row r="2625" spans="1:16" x14ac:dyDescent="0.25">
      <c r="A2625" s="2">
        <v>46332</v>
      </c>
      <c r="B2625" s="2">
        <v>46184</v>
      </c>
      <c r="C2625" t="str">
        <f>TEXT(B2625,"mm")</f>
        <v>06</v>
      </c>
      <c r="D2625" t="s">
        <v>20</v>
      </c>
      <c r="E2625" t="s">
        <v>1636</v>
      </c>
      <c r="F2625" s="5">
        <v>133300000</v>
      </c>
      <c r="G2625" s="5">
        <v>138300000</v>
      </c>
      <c r="H2625" s="5">
        <f>M2625*26000*1.20565</f>
        <v>128039547.74000001</v>
      </c>
      <c r="I2625" s="5">
        <f>G2625-H2625</f>
        <v>10260452.25999999</v>
      </c>
      <c r="J2625" s="5">
        <v>5000000</v>
      </c>
      <c r="K2625" s="5">
        <v>13330000</v>
      </c>
      <c r="L2625" s="5">
        <v>13830000</v>
      </c>
      <c r="M2625" s="7">
        <v>4084.6</v>
      </c>
      <c r="N2625" s="5">
        <v>0</v>
      </c>
      <c r="O2625" s="5">
        <v>0</v>
      </c>
      <c r="P2625" s="3">
        <v>0.97916666666666663</v>
      </c>
    </row>
    <row r="2626" spans="1:16" x14ac:dyDescent="0.25">
      <c r="A2626" s="2">
        <v>46362</v>
      </c>
      <c r="B2626" s="2">
        <v>46185</v>
      </c>
      <c r="C2626" t="str">
        <f>TEXT(B2626,"mm")</f>
        <v>06</v>
      </c>
      <c r="D2626" t="s">
        <v>21</v>
      </c>
      <c r="E2626" t="s">
        <v>1636</v>
      </c>
      <c r="F2626" s="5">
        <v>142300000</v>
      </c>
      <c r="G2626" s="5">
        <v>145300000</v>
      </c>
      <c r="H2626" s="5">
        <f>M2626*26000*1.20565</f>
        <v>132236897.65000001</v>
      </c>
      <c r="I2626" s="5">
        <f>G2626-H2626</f>
        <v>13063102.349999994</v>
      </c>
      <c r="J2626" s="5">
        <v>3000000</v>
      </c>
      <c r="K2626" s="5">
        <v>14230000</v>
      </c>
      <c r="L2626" s="5">
        <v>14530000</v>
      </c>
      <c r="M2626" s="7">
        <v>4218.5</v>
      </c>
      <c r="N2626" s="5">
        <v>0</v>
      </c>
      <c r="O2626" s="5">
        <v>0</v>
      </c>
      <c r="P2626" s="3">
        <v>0.97916666666666663</v>
      </c>
    </row>
    <row r="2627" spans="1:16" x14ac:dyDescent="0.25">
      <c r="A2627" t="s">
        <v>1603</v>
      </c>
      <c r="B2627" s="2">
        <v>46188</v>
      </c>
      <c r="C2627" t="str">
        <f>TEXT(B2627,"mm")</f>
        <v>06</v>
      </c>
      <c r="D2627" t="s">
        <v>16</v>
      </c>
      <c r="E2627" t="s">
        <v>1636</v>
      </c>
      <c r="F2627" s="5">
        <v>147900000</v>
      </c>
      <c r="G2627" s="5">
        <v>150400000</v>
      </c>
      <c r="H2627" s="5">
        <f>M2627*26000*1.20565</f>
        <v>136120778.56</v>
      </c>
      <c r="I2627" s="5">
        <f>G2627-H2627</f>
        <v>14279221.439999998</v>
      </c>
      <c r="J2627" s="5">
        <v>2500000</v>
      </c>
      <c r="K2627" s="5">
        <v>14790000</v>
      </c>
      <c r="L2627" s="5">
        <v>15040000</v>
      </c>
      <c r="M2627" s="7">
        <v>4342.3999999999996</v>
      </c>
      <c r="N2627" s="5">
        <v>0</v>
      </c>
      <c r="O2627" s="5">
        <v>0</v>
      </c>
      <c r="P2627" s="3">
        <v>0.97916666666666663</v>
      </c>
    </row>
    <row r="2628" spans="1:16" x14ac:dyDescent="0.25">
      <c r="A2628" t="s">
        <v>1604</v>
      </c>
      <c r="B2628" s="2">
        <v>46189</v>
      </c>
      <c r="C2628" t="str">
        <f>TEXT(B2628,"mm")</f>
        <v>06</v>
      </c>
      <c r="D2628" t="s">
        <v>18</v>
      </c>
      <c r="E2628" t="s">
        <v>1636</v>
      </c>
      <c r="F2628" s="5">
        <v>149400000</v>
      </c>
      <c r="G2628" s="5">
        <v>151400000</v>
      </c>
      <c r="H2628" s="5">
        <f>M2628*26000*1.20565</f>
        <v>136236762.09000003</v>
      </c>
      <c r="I2628" s="5">
        <f>G2628-H2628</f>
        <v>15163237.909999967</v>
      </c>
      <c r="J2628" s="5">
        <v>2000000</v>
      </c>
      <c r="K2628" s="5">
        <v>14940000</v>
      </c>
      <c r="L2628" s="5">
        <v>15140000</v>
      </c>
      <c r="M2628" s="7">
        <v>4346.1000000000004</v>
      </c>
      <c r="N2628" s="5">
        <v>0</v>
      </c>
      <c r="O2628" s="5">
        <v>0</v>
      </c>
      <c r="P2628" s="3">
        <v>0.97916666666666663</v>
      </c>
    </row>
    <row r="2629" spans="1:16" x14ac:dyDescent="0.25">
      <c r="A2629" t="s">
        <v>1605</v>
      </c>
      <c r="B2629" s="2">
        <v>46190</v>
      </c>
      <c r="C2629" t="str">
        <f>TEXT(B2629,"mm")</f>
        <v>06</v>
      </c>
      <c r="D2629" t="s">
        <v>19</v>
      </c>
      <c r="E2629" t="s">
        <v>1636</v>
      </c>
      <c r="F2629" s="5">
        <v>148700000</v>
      </c>
      <c r="G2629" s="5">
        <v>151200000</v>
      </c>
      <c r="H2629" s="5">
        <f>M2629*26000*1.20565</f>
        <v>136876238.85000002</v>
      </c>
      <c r="I2629" s="5">
        <f>G2629-H2629</f>
        <v>14323761.149999976</v>
      </c>
      <c r="J2629" s="5">
        <v>2500000</v>
      </c>
      <c r="K2629" s="5">
        <v>14870000</v>
      </c>
      <c r="L2629" s="5">
        <v>15120000</v>
      </c>
      <c r="M2629" s="7">
        <v>4366.5</v>
      </c>
      <c r="N2629" s="5">
        <v>0</v>
      </c>
      <c r="O2629" s="5">
        <v>0</v>
      </c>
      <c r="P2629" s="3">
        <v>0.97916666666666663</v>
      </c>
    </row>
    <row r="2630" spans="1:16" x14ac:dyDescent="0.25">
      <c r="A2630" t="s">
        <v>1606</v>
      </c>
      <c r="B2630" s="2">
        <v>46191</v>
      </c>
      <c r="C2630" t="str">
        <f>TEXT(B2630,"mm")</f>
        <v>06</v>
      </c>
      <c r="D2630" t="s">
        <v>20</v>
      </c>
      <c r="E2630" t="s">
        <v>1636</v>
      </c>
      <c r="F2630" s="5">
        <v>148700000</v>
      </c>
      <c r="G2630" s="5">
        <v>151200000</v>
      </c>
      <c r="H2630" s="5">
        <f>M2630*26000*1.20565</f>
        <v>132475134.09000003</v>
      </c>
      <c r="I2630" s="5">
        <f>G2630-H2630</f>
        <v>18724865.909999967</v>
      </c>
      <c r="J2630" s="5">
        <v>2500000</v>
      </c>
      <c r="K2630" s="5">
        <v>14870000</v>
      </c>
      <c r="L2630" s="5">
        <v>15120000</v>
      </c>
      <c r="M2630" s="7">
        <v>4226.1000000000004</v>
      </c>
      <c r="N2630" s="5">
        <v>0</v>
      </c>
      <c r="O2630" s="5">
        <v>0</v>
      </c>
      <c r="P2630" s="3">
        <v>0.97916666666666663</v>
      </c>
    </row>
    <row r="2631" spans="1:16" x14ac:dyDescent="0.25">
      <c r="A2631" t="s">
        <v>1607</v>
      </c>
      <c r="B2631" s="2">
        <v>46195</v>
      </c>
      <c r="C2631" t="str">
        <f>TEXT(B2631,"mm")</f>
        <v>06</v>
      </c>
      <c r="D2631" t="s">
        <v>16</v>
      </c>
      <c r="E2631" t="s">
        <v>1636</v>
      </c>
      <c r="F2631" s="5">
        <v>145500000</v>
      </c>
      <c r="G2631" s="5">
        <v>148500000</v>
      </c>
      <c r="H2631" s="5">
        <f>M2631*26000*1.20565</f>
        <v>131124082.70000002</v>
      </c>
      <c r="I2631" s="5">
        <f>G2631-H2631</f>
        <v>17375917.299999982</v>
      </c>
      <c r="J2631" s="5">
        <v>3000000</v>
      </c>
      <c r="K2631" s="5">
        <v>14550000</v>
      </c>
      <c r="L2631" s="5">
        <v>14850000</v>
      </c>
      <c r="M2631" s="7">
        <v>4183</v>
      </c>
      <c r="N2631" s="5">
        <v>0</v>
      </c>
      <c r="O2631" s="5">
        <v>0</v>
      </c>
      <c r="P2631" s="3">
        <v>0.97916666666666663</v>
      </c>
    </row>
    <row r="2632" spans="1:16" x14ac:dyDescent="0.25">
      <c r="A2632" t="s">
        <v>1608</v>
      </c>
      <c r="B2632" s="2">
        <v>46196</v>
      </c>
      <c r="C2632" t="str">
        <f>TEXT(B2632,"mm")</f>
        <v>06</v>
      </c>
      <c r="D2632" t="s">
        <v>18</v>
      </c>
      <c r="E2632" t="s">
        <v>1636</v>
      </c>
      <c r="F2632" s="5">
        <v>143900000</v>
      </c>
      <c r="G2632" s="5">
        <v>146900000</v>
      </c>
      <c r="H2632" s="5">
        <f>M2632*26000*1.20565</f>
        <v>129697798.75000001</v>
      </c>
      <c r="I2632" s="5">
        <f>G2632-H2632</f>
        <v>17202201.249999985</v>
      </c>
      <c r="J2632" s="5">
        <v>3000000</v>
      </c>
      <c r="K2632" s="5">
        <v>14390000</v>
      </c>
      <c r="L2632" s="5">
        <v>14690000</v>
      </c>
      <c r="M2632" s="7">
        <v>4137.5</v>
      </c>
      <c r="N2632" s="5">
        <v>0</v>
      </c>
      <c r="O2632" s="5">
        <v>0</v>
      </c>
      <c r="P2632" s="3">
        <v>0.97916666666666663</v>
      </c>
    </row>
    <row r="2633" spans="1:16" x14ac:dyDescent="0.25">
      <c r="A2633" t="s">
        <v>1609</v>
      </c>
      <c r="B2633" s="2">
        <v>46197</v>
      </c>
      <c r="C2633" t="str">
        <f>TEXT(B2633,"mm")</f>
        <v>06</v>
      </c>
      <c r="D2633" t="s">
        <v>19</v>
      </c>
      <c r="E2633" t="s">
        <v>1636</v>
      </c>
      <c r="F2633" s="5">
        <v>143900000</v>
      </c>
      <c r="G2633" s="5">
        <v>146900000</v>
      </c>
      <c r="H2633" s="5">
        <f>M2633*26000*1.20565</f>
        <v>125845264.74000001</v>
      </c>
      <c r="I2633" s="5">
        <f>G2633-H2633</f>
        <v>21054735.25999999</v>
      </c>
      <c r="J2633" s="5">
        <v>3000000</v>
      </c>
      <c r="K2633" s="5">
        <v>14390000</v>
      </c>
      <c r="L2633" s="5">
        <v>14690000</v>
      </c>
      <c r="M2633" s="7">
        <v>4014.6</v>
      </c>
      <c r="N2633" s="5">
        <v>0</v>
      </c>
      <c r="O2633" s="5">
        <v>0</v>
      </c>
      <c r="P2633" s="3">
        <v>0.97916666666666663</v>
      </c>
    </row>
    <row r="2634" spans="1:16" x14ac:dyDescent="0.25">
      <c r="A2634" t="s">
        <v>1610</v>
      </c>
      <c r="B2634" s="2">
        <v>46198</v>
      </c>
      <c r="C2634" t="str">
        <f>TEXT(B2634,"mm")</f>
        <v>06</v>
      </c>
      <c r="D2634" t="s">
        <v>20</v>
      </c>
      <c r="E2634" t="s">
        <v>1636</v>
      </c>
      <c r="F2634" s="5">
        <v>143100000</v>
      </c>
      <c r="G2634" s="5">
        <v>146100000</v>
      </c>
      <c r="H2634" s="5">
        <f>M2634*26000*1.20565</f>
        <v>126738651.39000002</v>
      </c>
      <c r="I2634" s="5">
        <f>G2634-H2634</f>
        <v>19361348.609999985</v>
      </c>
      <c r="J2634" s="5">
        <v>3000000</v>
      </c>
      <c r="K2634" s="5">
        <v>14310000</v>
      </c>
      <c r="L2634" s="5">
        <v>14610000</v>
      </c>
      <c r="M2634" s="7">
        <v>4043.1</v>
      </c>
      <c r="N2634" s="5">
        <v>0</v>
      </c>
      <c r="O2634" s="5">
        <v>0</v>
      </c>
      <c r="P2634" s="3">
        <v>0.97916666666666663</v>
      </c>
    </row>
    <row r="2635" spans="1:16" x14ac:dyDescent="0.25">
      <c r="A2635" t="s">
        <v>1611</v>
      </c>
      <c r="B2635" s="2">
        <v>46199</v>
      </c>
      <c r="C2635" t="str">
        <f>TEXT(B2635,"mm")</f>
        <v>06</v>
      </c>
      <c r="D2635" t="s">
        <v>21</v>
      </c>
      <c r="E2635" t="s">
        <v>1636</v>
      </c>
      <c r="F2635" s="5">
        <v>143900000</v>
      </c>
      <c r="G2635" s="5">
        <v>146900000</v>
      </c>
      <c r="H2635" s="5">
        <f>M2635*26000*1.20565</f>
        <v>128177474.10000001</v>
      </c>
      <c r="I2635" s="5">
        <f>G2635-H2635</f>
        <v>18722525.899999991</v>
      </c>
      <c r="J2635" s="5">
        <v>3000000</v>
      </c>
      <c r="K2635" s="5">
        <v>14390000</v>
      </c>
      <c r="L2635" s="5">
        <v>14690000</v>
      </c>
      <c r="M2635" s="7">
        <v>4089</v>
      </c>
      <c r="N2635" s="5">
        <v>0</v>
      </c>
      <c r="O2635" s="5">
        <v>0</v>
      </c>
      <c r="P2635" s="3">
        <v>0.97916666666666663</v>
      </c>
    </row>
    <row r="2636" spans="1:16" x14ac:dyDescent="0.25">
      <c r="A2636" t="s">
        <v>1612</v>
      </c>
      <c r="B2636" s="2">
        <v>46202</v>
      </c>
      <c r="C2636" t="str">
        <f>TEXT(B2636,"mm")</f>
        <v>06</v>
      </c>
      <c r="D2636" t="s">
        <v>16</v>
      </c>
      <c r="E2636" t="s">
        <v>1636</v>
      </c>
      <c r="F2636" s="5">
        <v>144900000</v>
      </c>
      <c r="G2636" s="5">
        <v>147900000</v>
      </c>
      <c r="H2636" s="5">
        <f>M2636*26000*1.20565</f>
        <v>126165003.12</v>
      </c>
      <c r="I2636" s="5">
        <f>G2636-H2636</f>
        <v>21734996.879999995</v>
      </c>
      <c r="J2636" s="5">
        <v>3000000</v>
      </c>
      <c r="K2636" s="5">
        <v>14490000</v>
      </c>
      <c r="L2636" s="5">
        <v>14790000</v>
      </c>
      <c r="M2636" s="7">
        <v>4024.8</v>
      </c>
      <c r="N2636" s="5">
        <v>0</v>
      </c>
      <c r="O2636" s="5">
        <v>0</v>
      </c>
      <c r="P2636" s="3">
        <v>0.97916666666666663</v>
      </c>
    </row>
    <row r="2637" spans="1:16" x14ac:dyDescent="0.25">
      <c r="A2637" t="s">
        <v>1613</v>
      </c>
      <c r="B2637" s="2">
        <v>46203</v>
      </c>
      <c r="C2637" t="str">
        <f>TEXT(B2637,"mm")</f>
        <v>06</v>
      </c>
      <c r="D2637" t="s">
        <v>18</v>
      </c>
      <c r="E2637" t="s">
        <v>1636</v>
      </c>
      <c r="F2637" s="5">
        <v>143900000</v>
      </c>
      <c r="G2637" s="5">
        <v>146900000</v>
      </c>
      <c r="H2637" s="5">
        <f>M2637*26000*1.20565</f>
        <v>126321737.62</v>
      </c>
      <c r="I2637" s="5">
        <f>G2637-H2637</f>
        <v>20578262.379999995</v>
      </c>
      <c r="J2637" s="5">
        <v>3000000</v>
      </c>
      <c r="K2637" s="5">
        <v>14390000</v>
      </c>
      <c r="L2637" s="5">
        <v>14690000</v>
      </c>
      <c r="M2637" s="7">
        <v>4029.8</v>
      </c>
      <c r="N2637" s="5">
        <v>0</v>
      </c>
      <c r="O2637" s="5">
        <v>0</v>
      </c>
      <c r="P2637" s="3">
        <v>0.97916666666666663</v>
      </c>
    </row>
    <row r="2638" spans="1:16" x14ac:dyDescent="0.25">
      <c r="A2638" s="2">
        <v>46029</v>
      </c>
      <c r="B2638" s="2">
        <v>46204</v>
      </c>
      <c r="C2638" t="str">
        <f>TEXT(B2638,"mm")</f>
        <v>07</v>
      </c>
      <c r="D2638" t="s">
        <v>19</v>
      </c>
      <c r="E2638" t="s">
        <v>1636</v>
      </c>
      <c r="F2638" s="5">
        <v>143300000</v>
      </c>
      <c r="G2638" s="5">
        <v>146300000</v>
      </c>
      <c r="H2638" s="5">
        <f>M2638*26000*1.20565</f>
        <v>128048951.81000002</v>
      </c>
      <c r="I2638" s="5">
        <f>G2638-H2638</f>
        <v>18251048.189999983</v>
      </c>
      <c r="J2638" s="5">
        <v>3000000</v>
      </c>
      <c r="K2638" s="5">
        <v>14330000</v>
      </c>
      <c r="L2638" s="5">
        <v>14630000</v>
      </c>
      <c r="M2638" s="7">
        <v>4084.9</v>
      </c>
      <c r="N2638" s="5">
        <v>0</v>
      </c>
      <c r="O2638" s="5">
        <v>0</v>
      </c>
      <c r="P2638" s="3">
        <v>0.97916666666666663</v>
      </c>
    </row>
    <row r="2639" spans="1:16" x14ac:dyDescent="0.25">
      <c r="A2639" s="2">
        <v>46060</v>
      </c>
      <c r="B2639" s="2">
        <v>46205</v>
      </c>
      <c r="C2639" t="str">
        <f>TEXT(B2639,"mm")</f>
        <v>07</v>
      </c>
      <c r="D2639" t="s">
        <v>20</v>
      </c>
      <c r="E2639" t="s">
        <v>1636</v>
      </c>
      <c r="F2639" s="5">
        <v>145300000</v>
      </c>
      <c r="G2639" s="5">
        <v>148300000</v>
      </c>
      <c r="H2639" s="5">
        <f>M2639*26000*1.20565</f>
        <v>129130419.86</v>
      </c>
      <c r="I2639" s="5">
        <f>G2639-H2639</f>
        <v>19169580.140000001</v>
      </c>
      <c r="J2639" s="5">
        <v>3000000</v>
      </c>
      <c r="K2639" s="5">
        <v>14530000</v>
      </c>
      <c r="L2639" s="5">
        <v>14830000</v>
      </c>
      <c r="M2639" s="7">
        <v>4119.3999999999996</v>
      </c>
      <c r="N2639" s="5">
        <v>0</v>
      </c>
      <c r="O2639" s="5">
        <v>0</v>
      </c>
      <c r="P2639" s="3">
        <v>0.97916666666666663</v>
      </c>
    </row>
    <row r="2640" spans="1:16" x14ac:dyDescent="0.25">
      <c r="A2640" s="2">
        <v>46180</v>
      </c>
      <c r="B2640" s="2">
        <v>46209</v>
      </c>
      <c r="C2640" t="str">
        <f>TEXT(B2640,"mm")</f>
        <v>07</v>
      </c>
      <c r="D2640" t="s">
        <v>16</v>
      </c>
      <c r="E2640" t="s">
        <v>1636</v>
      </c>
      <c r="F2640" s="5">
        <v>147900000</v>
      </c>
      <c r="G2640" s="5">
        <v>150900000</v>
      </c>
      <c r="H2640" s="5">
        <f>M2640*26000*1.20565</f>
        <v>129961112.70999999</v>
      </c>
      <c r="I2640" s="5">
        <f>G2640-H2640</f>
        <v>20938887.290000007</v>
      </c>
      <c r="J2640" s="5">
        <v>3000000</v>
      </c>
      <c r="K2640" s="5">
        <v>14790000</v>
      </c>
      <c r="L2640" s="5">
        <v>15090000</v>
      </c>
      <c r="M2640" s="7">
        <v>4145.8999999999996</v>
      </c>
      <c r="N2640" s="5">
        <v>0</v>
      </c>
      <c r="O2640" s="5">
        <v>0</v>
      </c>
      <c r="P2640" s="3">
        <v>0.97916666666666663</v>
      </c>
    </row>
    <row r="2641" spans="1:16" x14ac:dyDescent="0.25">
      <c r="A2641" s="2">
        <v>46210</v>
      </c>
      <c r="B2641" s="2">
        <v>46210</v>
      </c>
      <c r="C2641" t="str">
        <f>TEXT(B2641,"mm")</f>
        <v>07</v>
      </c>
      <c r="D2641" t="s">
        <v>18</v>
      </c>
      <c r="E2641" t="s">
        <v>1636</v>
      </c>
      <c r="F2641" s="5">
        <v>146700000</v>
      </c>
      <c r="G2641" s="5">
        <v>149700000</v>
      </c>
      <c r="H2641" s="5">
        <f>M2641*26000*1.20565</f>
        <v>130017537.13000001</v>
      </c>
      <c r="I2641" s="5">
        <f>G2641-H2641</f>
        <v>19682462.86999999</v>
      </c>
      <c r="J2641" s="5">
        <v>3000000</v>
      </c>
      <c r="K2641" s="5">
        <v>14670000</v>
      </c>
      <c r="L2641" s="5">
        <v>14970000</v>
      </c>
      <c r="M2641" s="7">
        <v>4147.7</v>
      </c>
      <c r="N2641" s="5">
        <v>0</v>
      </c>
      <c r="O2641" s="5">
        <v>0</v>
      </c>
      <c r="P2641" s="3">
        <v>0.97916666666666663</v>
      </c>
    </row>
    <row r="2642" spans="1:16" x14ac:dyDescent="0.25">
      <c r="A2642" s="2">
        <v>46241</v>
      </c>
      <c r="B2642" s="2">
        <v>46211</v>
      </c>
      <c r="C2642" t="str">
        <f>TEXT(B2642,"mm")</f>
        <v>07</v>
      </c>
      <c r="D2642" t="s">
        <v>19</v>
      </c>
      <c r="E2642" t="s">
        <v>1636</v>
      </c>
      <c r="F2642" s="5">
        <v>145200000</v>
      </c>
      <c r="G2642" s="5">
        <v>148200000</v>
      </c>
      <c r="H2642" s="5">
        <f>M2642*26000*1.20565</f>
        <v>126795075.81000002</v>
      </c>
      <c r="I2642" s="5">
        <f>G2642-H2642</f>
        <v>21404924.189999983</v>
      </c>
      <c r="J2642" s="5">
        <v>3000000</v>
      </c>
      <c r="K2642" s="5">
        <v>14520000</v>
      </c>
      <c r="L2642" s="5">
        <v>14820000</v>
      </c>
      <c r="M2642" s="7">
        <v>4044.9</v>
      </c>
      <c r="N2642" s="5">
        <v>0</v>
      </c>
      <c r="O2642" s="5">
        <v>0</v>
      </c>
      <c r="P2642" s="3">
        <v>0.97916666666666663</v>
      </c>
    </row>
    <row r="2643" spans="1:16" x14ac:dyDescent="0.25">
      <c r="A2643" s="2">
        <v>46272</v>
      </c>
      <c r="B2643" s="2">
        <v>46212</v>
      </c>
      <c r="C2643" t="str">
        <f>TEXT(B2643,"mm")</f>
        <v>07</v>
      </c>
      <c r="D2643" t="s">
        <v>20</v>
      </c>
      <c r="E2643" t="s">
        <v>1636</v>
      </c>
      <c r="F2643" s="5">
        <v>145700000</v>
      </c>
      <c r="G2643" s="5">
        <v>148700000</v>
      </c>
      <c r="H2643" s="5">
        <f>M2643*26000*1.20565</f>
        <v>129494043.90000001</v>
      </c>
      <c r="I2643" s="5">
        <f>G2643-H2643</f>
        <v>19205956.099999994</v>
      </c>
      <c r="J2643" s="5">
        <v>3000000</v>
      </c>
      <c r="K2643" s="5">
        <v>14570000</v>
      </c>
      <c r="L2643" s="5">
        <v>14870000</v>
      </c>
      <c r="M2643" s="7">
        <v>4131</v>
      </c>
      <c r="N2643" s="5">
        <v>0</v>
      </c>
      <c r="O2643" s="5">
        <v>0</v>
      </c>
      <c r="P2643" s="3">
        <v>0.97916666666666663</v>
      </c>
    </row>
    <row r="2644" spans="1:16" x14ac:dyDescent="0.25">
      <c r="A2644" s="2">
        <v>46302</v>
      </c>
      <c r="B2644" s="2">
        <v>46213</v>
      </c>
      <c r="C2644" t="str">
        <f>TEXT(B2644,"mm")</f>
        <v>07</v>
      </c>
      <c r="D2644" t="s">
        <v>21</v>
      </c>
      <c r="E2644" t="s">
        <v>1636</v>
      </c>
      <c r="F2644" s="5">
        <v>146400000</v>
      </c>
      <c r="G2644" s="5">
        <v>149400000</v>
      </c>
      <c r="H2644" s="5">
        <f>M2644*26000*1.20565</f>
        <v>128591253.18000001</v>
      </c>
      <c r="I2644" s="5">
        <f>G2644-H2644</f>
        <v>20808746.819999993</v>
      </c>
      <c r="J2644" s="5">
        <v>3000000</v>
      </c>
      <c r="K2644" s="5">
        <v>14640000</v>
      </c>
      <c r="L2644" s="5">
        <v>14940000</v>
      </c>
      <c r="M2644" s="7">
        <v>4102.2</v>
      </c>
      <c r="N2644" s="5">
        <v>0</v>
      </c>
      <c r="O2644" s="5">
        <v>0</v>
      </c>
      <c r="P2644" s="3">
        <v>0.9375</v>
      </c>
    </row>
    <row r="2645" spans="1:16" x14ac:dyDescent="0.25">
      <c r="A2645" t="s">
        <v>1614</v>
      </c>
      <c r="B2645" s="2">
        <v>46216</v>
      </c>
      <c r="C2645" t="str">
        <f>TEXT(B2645,"mm")</f>
        <v>07</v>
      </c>
      <c r="D2645" t="s">
        <v>16</v>
      </c>
      <c r="E2645" t="s">
        <v>1636</v>
      </c>
      <c r="F2645" s="5">
        <v>144400000</v>
      </c>
      <c r="G2645" s="5">
        <v>147900000</v>
      </c>
      <c r="H2645" s="5">
        <f>M2645*26000*1.20565</f>
        <v>125807648.46000001</v>
      </c>
      <c r="I2645" s="5">
        <f>G2645-H2645</f>
        <v>22092351.539999992</v>
      </c>
      <c r="J2645" s="5">
        <v>3500000</v>
      </c>
      <c r="K2645" s="5">
        <v>14440000</v>
      </c>
      <c r="L2645" s="5">
        <v>14790000</v>
      </c>
      <c r="M2645" s="7">
        <v>4013.4</v>
      </c>
      <c r="N2645" s="5">
        <v>0</v>
      </c>
      <c r="O2645" s="5">
        <v>0</v>
      </c>
      <c r="P2645" s="3">
        <v>0.91666666666666663</v>
      </c>
    </row>
    <row r="2646" spans="1:16" x14ac:dyDescent="0.25">
      <c r="A2646" t="s">
        <v>1615</v>
      </c>
      <c r="B2646" s="2">
        <v>46217</v>
      </c>
      <c r="C2646" t="str">
        <f>TEXT(B2646,"mm")</f>
        <v>07</v>
      </c>
      <c r="D2646" t="s">
        <v>18</v>
      </c>
      <c r="E2646" t="s">
        <v>1636</v>
      </c>
      <c r="F2646" s="5">
        <v>143500000</v>
      </c>
      <c r="G2646" s="5">
        <v>147000000</v>
      </c>
      <c r="H2646" s="5">
        <f>M2646*26000*1.20565</f>
        <v>127315434.35000001</v>
      </c>
      <c r="I2646" s="5">
        <f>G2646-H2646</f>
        <v>19684565.649999991</v>
      </c>
      <c r="J2646" s="5">
        <v>3500000</v>
      </c>
      <c r="K2646" s="5">
        <v>14350000</v>
      </c>
      <c r="L2646" s="5">
        <v>14700000</v>
      </c>
      <c r="M2646" s="7">
        <v>4061.5</v>
      </c>
      <c r="N2646" s="5">
        <v>0</v>
      </c>
      <c r="O2646" s="5">
        <v>0</v>
      </c>
      <c r="P2646" s="3">
        <v>0.97916666666666663</v>
      </c>
    </row>
    <row r="2647" spans="1:16" x14ac:dyDescent="0.25">
      <c r="A2647" t="s">
        <v>1616</v>
      </c>
      <c r="B2647" s="2">
        <v>46218</v>
      </c>
      <c r="C2647" t="str">
        <f>TEXT(B2647,"mm")</f>
        <v>07</v>
      </c>
      <c r="D2647" t="s">
        <v>19</v>
      </c>
      <c r="E2647" t="s">
        <v>1636</v>
      </c>
      <c r="F2647" s="5">
        <v>144500000</v>
      </c>
      <c r="G2647" s="5">
        <v>148000000</v>
      </c>
      <c r="H2647" s="5">
        <f>M2647*26000*1.20565</f>
        <v>126494145.57000001</v>
      </c>
      <c r="I2647" s="5">
        <f>G2647-H2647</f>
        <v>21505854.429999992</v>
      </c>
      <c r="J2647" s="5">
        <v>3500000</v>
      </c>
      <c r="K2647" s="5">
        <v>14450000</v>
      </c>
      <c r="L2647" s="5">
        <v>14800000</v>
      </c>
      <c r="M2647" s="7">
        <v>4035.3</v>
      </c>
      <c r="N2647" s="5">
        <v>0</v>
      </c>
      <c r="O2647" s="5">
        <v>0</v>
      </c>
      <c r="P2647" s="3">
        <v>0.97916666666666663</v>
      </c>
    </row>
    <row r="2648" spans="1:16" x14ac:dyDescent="0.25">
      <c r="A2648" t="s">
        <v>1617</v>
      </c>
      <c r="B2648" s="2">
        <v>46219</v>
      </c>
      <c r="C2648" t="str">
        <f>TEXT(B2648,"mm")</f>
        <v>07</v>
      </c>
      <c r="D2648" t="s">
        <v>20</v>
      </c>
      <c r="E2648" t="s">
        <v>1636</v>
      </c>
      <c r="F2648" s="5">
        <v>143700000</v>
      </c>
      <c r="G2648" s="5">
        <v>147200000</v>
      </c>
      <c r="H2648" s="5">
        <f>M2648*26000*1.20565</f>
        <v>124967551.54000001</v>
      </c>
      <c r="I2648" s="5">
        <f>G2648-H2648</f>
        <v>22232448.459999993</v>
      </c>
      <c r="J2648" s="5">
        <v>3500000</v>
      </c>
      <c r="K2648" s="5">
        <v>14370000</v>
      </c>
      <c r="L2648" s="5">
        <v>14720000</v>
      </c>
      <c r="M2648" s="7">
        <v>3986.6</v>
      </c>
      <c r="N2648" s="5">
        <v>0</v>
      </c>
      <c r="O2648" s="5">
        <v>0</v>
      </c>
      <c r="P2648" s="3">
        <v>0.97916666666666663</v>
      </c>
    </row>
    <row r="2649" spans="1:16" x14ac:dyDescent="0.25">
      <c r="A2649" t="s">
        <v>1618</v>
      </c>
      <c r="B2649" s="2">
        <v>46220</v>
      </c>
      <c r="C2649" t="str">
        <f>TEXT(B2649,"mm")</f>
        <v>07</v>
      </c>
      <c r="D2649" t="s">
        <v>21</v>
      </c>
      <c r="E2649" t="s">
        <v>1636</v>
      </c>
      <c r="F2649" s="5">
        <v>142100000</v>
      </c>
      <c r="G2649" s="5">
        <v>145600000</v>
      </c>
      <c r="H2649" s="5">
        <f>M2649*26000*1.20565</f>
        <v>126045884.90000001</v>
      </c>
      <c r="I2649" s="5">
        <f>G2649-H2649</f>
        <v>19554115.099999994</v>
      </c>
      <c r="J2649" s="5">
        <v>3500000</v>
      </c>
      <c r="K2649" s="5">
        <v>14210000</v>
      </c>
      <c r="L2649" s="5">
        <v>14560000</v>
      </c>
      <c r="M2649" s="7">
        <v>4021</v>
      </c>
      <c r="N2649" s="5">
        <v>0</v>
      </c>
      <c r="O2649" s="5">
        <v>0</v>
      </c>
      <c r="P2649" s="3">
        <v>0.97916666666666663</v>
      </c>
    </row>
    <row r="2650" spans="1:16" x14ac:dyDescent="0.25">
      <c r="A2650" t="s">
        <v>1619</v>
      </c>
      <c r="B2650" s="2">
        <v>46223</v>
      </c>
      <c r="C2650" t="str">
        <f>TEXT(B2650,"mm")</f>
        <v>07</v>
      </c>
      <c r="D2650" t="s">
        <v>16</v>
      </c>
      <c r="E2650" t="s">
        <v>1636</v>
      </c>
      <c r="F2650" s="5">
        <v>141500000</v>
      </c>
      <c r="G2650" s="5">
        <v>145000000</v>
      </c>
      <c r="H2650" s="5">
        <f>M2650*26000*1.20565</f>
        <v>125810783.15000001</v>
      </c>
      <c r="I2650" s="5">
        <f>G2650-H2650</f>
        <v>19189216.849999994</v>
      </c>
      <c r="J2650" s="5">
        <v>3500000</v>
      </c>
      <c r="K2650" s="5">
        <v>14150000</v>
      </c>
      <c r="L2650" s="5">
        <v>14500000</v>
      </c>
      <c r="M2650" s="7">
        <v>4013.5</v>
      </c>
      <c r="N2650" s="5">
        <v>0</v>
      </c>
      <c r="O2650" s="5">
        <v>0</v>
      </c>
      <c r="P2650" s="3">
        <v>0.97916666666666663</v>
      </c>
    </row>
    <row r="2651" spans="1:16" x14ac:dyDescent="0.25">
      <c r="A2651" t="s">
        <v>1620</v>
      </c>
      <c r="B2651" s="2">
        <v>46224</v>
      </c>
      <c r="C2651" t="str">
        <f>TEXT(B2651,"mm")</f>
        <v>07</v>
      </c>
      <c r="D2651" t="s">
        <v>18</v>
      </c>
      <c r="E2651" t="s">
        <v>1636</v>
      </c>
      <c r="F2651" s="5">
        <v>141900000</v>
      </c>
      <c r="G2651" s="5">
        <v>145400000</v>
      </c>
      <c r="H2651" s="5">
        <f>M2651*26000*1.20565</f>
        <v>127791907.23000002</v>
      </c>
      <c r="I2651" s="5">
        <f>G2651-H2651</f>
        <v>17608092.769999981</v>
      </c>
      <c r="J2651" s="5">
        <v>3500000</v>
      </c>
      <c r="K2651" s="5">
        <v>14190000</v>
      </c>
      <c r="L2651" s="5">
        <v>14540000</v>
      </c>
      <c r="M2651" s="7">
        <v>4076.7</v>
      </c>
      <c r="N2651" s="5">
        <v>0</v>
      </c>
      <c r="O2651" s="5">
        <v>0</v>
      </c>
      <c r="P2651" s="3">
        <v>0.97916666666666663</v>
      </c>
    </row>
    <row r="2652" spans="1:16" x14ac:dyDescent="0.25">
      <c r="A2652" t="s">
        <v>1621</v>
      </c>
      <c r="B2652" s="2">
        <v>46225</v>
      </c>
      <c r="C2652" t="str">
        <f>TEXT(B2652,"mm")</f>
        <v>07</v>
      </c>
      <c r="D2652" t="s">
        <v>19</v>
      </c>
      <c r="E2652" t="s">
        <v>1636</v>
      </c>
      <c r="F2652" s="5">
        <v>141000000</v>
      </c>
      <c r="G2652" s="5">
        <v>145000000</v>
      </c>
      <c r="H2652" s="5">
        <f>M2652*26000*1.20565</f>
        <v>130083365.62</v>
      </c>
      <c r="I2652" s="5">
        <f>G2652-H2652</f>
        <v>14916634.379999995</v>
      </c>
      <c r="J2652" s="5">
        <v>4000000</v>
      </c>
      <c r="K2652" s="5">
        <v>14100000</v>
      </c>
      <c r="L2652" s="5">
        <v>14500000</v>
      </c>
      <c r="M2652" s="7">
        <v>4149.8</v>
      </c>
      <c r="N2652" s="5">
        <v>0</v>
      </c>
      <c r="O2652" s="5">
        <v>0</v>
      </c>
      <c r="P2652" s="3">
        <v>0.97916666666666663</v>
      </c>
    </row>
    <row r="2653" spans="1:16" x14ac:dyDescent="0.25">
      <c r="A2653" t="s">
        <v>1622</v>
      </c>
      <c r="B2653" s="2">
        <v>46226</v>
      </c>
      <c r="C2653" t="str">
        <f>TEXT(B2653,"mm")</f>
        <v>07</v>
      </c>
      <c r="D2653" t="s">
        <v>20</v>
      </c>
      <c r="E2653" t="s">
        <v>1636</v>
      </c>
      <c r="F2653" s="5">
        <v>134000000</v>
      </c>
      <c r="G2653" s="5">
        <v>139000000</v>
      </c>
      <c r="H2653" s="5">
        <f>M2653*26000*1.20565</f>
        <v>126995695.97000001</v>
      </c>
      <c r="I2653" s="5">
        <f>G2653-H2653</f>
        <v>12004304.029999986</v>
      </c>
      <c r="J2653" s="5">
        <v>5000000</v>
      </c>
      <c r="K2653" s="5">
        <v>13400000</v>
      </c>
      <c r="L2653" s="5">
        <v>13900000</v>
      </c>
      <c r="M2653" s="7">
        <v>4051.3</v>
      </c>
      <c r="N2653" s="5">
        <v>0</v>
      </c>
      <c r="O2653" s="5">
        <v>0</v>
      </c>
      <c r="P2653" s="3">
        <v>0.97916666666666663</v>
      </c>
    </row>
    <row r="2654" spans="1:16" x14ac:dyDescent="0.25">
      <c r="A2654" t="s">
        <v>1623</v>
      </c>
      <c r="B2654" s="2">
        <v>46227</v>
      </c>
      <c r="C2654" t="str">
        <f>TEXT(B2654,"mm")</f>
        <v>07</v>
      </c>
      <c r="D2654" t="s">
        <v>21</v>
      </c>
      <c r="E2654" t="s">
        <v>1636</v>
      </c>
      <c r="F2654" s="5">
        <v>135000000</v>
      </c>
      <c r="G2654" s="5">
        <v>140000000</v>
      </c>
      <c r="H2654" s="5">
        <f>M2654*26000*1.20565</f>
        <v>127826388.82000001</v>
      </c>
      <c r="I2654" s="5">
        <f>G2654-H2654</f>
        <v>12173611.179999992</v>
      </c>
      <c r="J2654" s="5">
        <v>5000000</v>
      </c>
      <c r="K2654" s="5">
        <v>13500000</v>
      </c>
      <c r="L2654" s="5">
        <v>14000000</v>
      </c>
      <c r="M2654" s="7">
        <v>4077.8</v>
      </c>
      <c r="N2654" s="5">
        <v>0</v>
      </c>
      <c r="O2654" s="5">
        <v>0</v>
      </c>
      <c r="P2654" s="3">
        <v>0.97916666666666663</v>
      </c>
    </row>
    <row r="2655" spans="1:16" x14ac:dyDescent="0.25">
      <c r="A2655" t="s">
        <v>1624</v>
      </c>
      <c r="B2655" s="2">
        <v>46230</v>
      </c>
      <c r="C2655" t="str">
        <f>TEXT(B2655,"mm")</f>
        <v>07</v>
      </c>
      <c r="D2655" t="s">
        <v>16</v>
      </c>
      <c r="E2655" t="s">
        <v>1636</v>
      </c>
      <c r="F2655" s="5">
        <v>138500000</v>
      </c>
      <c r="G2655" s="5">
        <v>142500000</v>
      </c>
      <c r="H2655" s="5">
        <f>M2655*26000*1.20565</f>
        <v>128114780.30000001</v>
      </c>
      <c r="I2655" s="5">
        <f>G2655-H2655</f>
        <v>14385219.699999988</v>
      </c>
      <c r="J2655" s="5">
        <v>4000000</v>
      </c>
      <c r="K2655" s="5">
        <v>13850000</v>
      </c>
      <c r="L2655" s="5">
        <v>14250000</v>
      </c>
      <c r="M2655" s="7">
        <v>4087</v>
      </c>
      <c r="N2655" s="5">
        <v>0</v>
      </c>
      <c r="O2655" s="5">
        <v>0</v>
      </c>
      <c r="P2655" s="3">
        <v>0.97916666666666663</v>
      </c>
    </row>
    <row r="2656" spans="1:16" x14ac:dyDescent="0.25">
      <c r="A2656" t="s">
        <v>1625</v>
      </c>
      <c r="B2656" s="2">
        <v>46231</v>
      </c>
      <c r="C2656" t="str">
        <f>TEXT(B2656,"mm")</f>
        <v>07</v>
      </c>
      <c r="D2656" t="s">
        <v>18</v>
      </c>
      <c r="E2656" t="s">
        <v>1636</v>
      </c>
      <c r="F2656" s="5">
        <v>137000000</v>
      </c>
      <c r="G2656" s="5">
        <v>141000000</v>
      </c>
      <c r="H2656" s="5">
        <f>M2656*26000*1.20565</f>
        <v>126766863.60000001</v>
      </c>
      <c r="I2656" s="5">
        <f>G2656-H2656</f>
        <v>14233136.399999991</v>
      </c>
      <c r="J2656" s="5">
        <v>4000000</v>
      </c>
      <c r="K2656" s="5">
        <v>13700000</v>
      </c>
      <c r="L2656" s="5">
        <v>14100000</v>
      </c>
      <c r="M2656" s="7">
        <v>4044</v>
      </c>
      <c r="N2656" s="5">
        <v>0</v>
      </c>
      <c r="O2656" s="5">
        <v>0</v>
      </c>
      <c r="P2656" s="3">
        <v>0.97916666666666663</v>
      </c>
    </row>
    <row r="2657" spans="1:16" x14ac:dyDescent="0.25">
      <c r="A2657" t="s">
        <v>1626</v>
      </c>
      <c r="B2657" s="2">
        <v>46232</v>
      </c>
      <c r="C2657" t="str">
        <f>TEXT(B2657,"mm")</f>
        <v>07</v>
      </c>
      <c r="D2657" t="s">
        <v>19</v>
      </c>
      <c r="E2657" t="s">
        <v>1636</v>
      </c>
      <c r="F2657" s="5">
        <v>137000000</v>
      </c>
      <c r="G2657" s="5">
        <v>141000000</v>
      </c>
      <c r="H2657" s="5">
        <f>M2657*26000*1.20565</f>
        <v>125929901.37</v>
      </c>
      <c r="I2657" s="5">
        <f>G2657-H2657</f>
        <v>15070098.629999995</v>
      </c>
      <c r="J2657" s="5">
        <v>4000000</v>
      </c>
      <c r="K2657" s="5">
        <v>13700000</v>
      </c>
      <c r="L2657" s="5">
        <v>14100000</v>
      </c>
      <c r="M2657" s="7">
        <v>4017.3</v>
      </c>
      <c r="N2657" s="5">
        <v>0</v>
      </c>
      <c r="O2657" s="5">
        <v>0</v>
      </c>
      <c r="P2657" s="3">
        <v>0.97916666666666663</v>
      </c>
    </row>
    <row r="2658" spans="1:16" x14ac:dyDescent="0.25">
      <c r="A2658" t="s">
        <v>1627</v>
      </c>
      <c r="B2658" s="2">
        <v>46233</v>
      </c>
      <c r="C2658" t="str">
        <f>TEXT(B2658,"mm")</f>
        <v>07</v>
      </c>
      <c r="D2658" t="s">
        <v>20</v>
      </c>
      <c r="E2658" t="s">
        <v>1636</v>
      </c>
      <c r="F2658" s="5">
        <v>137200000</v>
      </c>
      <c r="G2658" s="5">
        <v>141200000</v>
      </c>
      <c r="H2658" s="5">
        <f>M2658*26000*1.20565</f>
        <v>129080264.82000001</v>
      </c>
      <c r="I2658" s="5">
        <f>G2658-H2658</f>
        <v>12119735.179999992</v>
      </c>
      <c r="J2658" s="5">
        <v>4000000</v>
      </c>
      <c r="K2658" s="5">
        <v>13720000</v>
      </c>
      <c r="L2658" s="5">
        <v>14120000</v>
      </c>
      <c r="M2658" s="7">
        <v>4117.8</v>
      </c>
      <c r="N2658" s="5">
        <v>0</v>
      </c>
      <c r="O2658" s="5">
        <v>0</v>
      </c>
      <c r="P2658" s="3">
        <v>0.97916666666666663</v>
      </c>
    </row>
    <row r="2659" spans="1:16" x14ac:dyDescent="0.25">
      <c r="A2659" t="s">
        <v>1628</v>
      </c>
      <c r="B2659" s="2">
        <v>46234</v>
      </c>
      <c r="C2659" t="str">
        <f>TEXT(B2659,"mm")</f>
        <v>07</v>
      </c>
      <c r="D2659" t="s">
        <v>21</v>
      </c>
      <c r="E2659" t="s">
        <v>1636</v>
      </c>
      <c r="F2659" s="5">
        <v>137400000</v>
      </c>
      <c r="G2659" s="5">
        <v>141400000</v>
      </c>
      <c r="H2659" s="5">
        <f>M2659*26000*1.20565</f>
        <v>126892251.20000002</v>
      </c>
      <c r="I2659" s="5">
        <f>G2659-H2659</f>
        <v>14507748.799999982</v>
      </c>
      <c r="J2659" s="5">
        <v>4000000</v>
      </c>
      <c r="K2659" s="5">
        <v>13740000</v>
      </c>
      <c r="L2659" s="5">
        <v>14140000</v>
      </c>
      <c r="M2659" s="7">
        <v>4048</v>
      </c>
      <c r="N2659" s="5">
        <v>0</v>
      </c>
      <c r="O2659" s="5">
        <v>0</v>
      </c>
      <c r="P2659" s="3">
        <v>0.97916666666666663</v>
      </c>
    </row>
    <row r="2660" spans="1:16" x14ac:dyDescent="0.25">
      <c r="A2660" s="2">
        <v>46089</v>
      </c>
      <c r="B2660" s="2">
        <v>46237</v>
      </c>
      <c r="C2660" t="str">
        <f>TEXT(B2660,"mm")</f>
        <v>08</v>
      </c>
      <c r="D2660" t="s">
        <v>16</v>
      </c>
      <c r="E2660" t="s">
        <v>1636</v>
      </c>
      <c r="F2660" s="5">
        <v>136500000</v>
      </c>
      <c r="G2660" s="5">
        <v>140500000</v>
      </c>
      <c r="H2660" s="5">
        <f>M2660*26000*1.20565</f>
        <v>126585051.58000001</v>
      </c>
      <c r="I2660" s="5">
        <f>G2660-H2660</f>
        <v>13914948.419999987</v>
      </c>
      <c r="J2660" s="5">
        <v>4000000</v>
      </c>
      <c r="K2660" s="5">
        <v>13650000</v>
      </c>
      <c r="L2660" s="5">
        <v>14050000</v>
      </c>
      <c r="M2660" s="7">
        <v>4038.2</v>
      </c>
      <c r="N2660" s="5">
        <v>0</v>
      </c>
      <c r="O2660" s="5">
        <v>0</v>
      </c>
      <c r="P2660" s="3">
        <v>0.97916666666666663</v>
      </c>
    </row>
    <row r="2661" spans="1:16" x14ac:dyDescent="0.25">
      <c r="A2661" s="2">
        <v>46120</v>
      </c>
      <c r="B2661" s="2">
        <v>46238</v>
      </c>
      <c r="C2661" t="str">
        <f>TEXT(B2661,"mm")</f>
        <v>08</v>
      </c>
      <c r="D2661" t="s">
        <v>18</v>
      </c>
      <c r="E2661" t="s">
        <v>1636</v>
      </c>
      <c r="F2661" s="5">
        <v>136500000</v>
      </c>
      <c r="G2661" s="5">
        <v>140000000</v>
      </c>
      <c r="H2661" s="5">
        <f>M2661*26000*1.20565</f>
        <v>128227629.14000002</v>
      </c>
      <c r="I2661" s="5">
        <f>G2661-H2661</f>
        <v>11772370.859999985</v>
      </c>
      <c r="J2661" s="5">
        <v>3500000</v>
      </c>
      <c r="K2661" s="5">
        <v>13650000</v>
      </c>
      <c r="L2661" s="5">
        <v>14000000</v>
      </c>
      <c r="M2661" s="7">
        <v>4090.6</v>
      </c>
      <c r="N2661" s="5">
        <v>0</v>
      </c>
      <c r="O2661" s="5">
        <v>0</v>
      </c>
      <c r="P2661" s="3">
        <v>0.97916666666666663</v>
      </c>
    </row>
    <row r="2662" spans="1:16" x14ac:dyDescent="0.25">
      <c r="A2662" s="2">
        <v>46150</v>
      </c>
      <c r="B2662" s="2">
        <v>46239</v>
      </c>
      <c r="C2662" t="str">
        <f>TEXT(B2662,"mm")</f>
        <v>08</v>
      </c>
      <c r="D2662" t="s">
        <v>19</v>
      </c>
      <c r="E2662" t="s">
        <v>1636</v>
      </c>
      <c r="F2662" s="5">
        <v>138300000</v>
      </c>
      <c r="G2662" s="5">
        <v>141300000</v>
      </c>
      <c r="H2662" s="5">
        <f>M2662*26000*1.20565</f>
        <v>132976684.49000002</v>
      </c>
      <c r="I2662" s="5">
        <f>G2662-H2662</f>
        <v>8323315.5099999756</v>
      </c>
      <c r="J2662" s="5">
        <v>3000000</v>
      </c>
      <c r="K2662" s="5">
        <v>13830000</v>
      </c>
      <c r="L2662" s="5">
        <v>14130000</v>
      </c>
      <c r="M2662" s="7">
        <v>4242.1000000000004</v>
      </c>
      <c r="N2662" s="5">
        <v>0</v>
      </c>
      <c r="O2662" s="5">
        <v>0</v>
      </c>
      <c r="P2662" s="3">
        <v>0.97916666666666663</v>
      </c>
    </row>
    <row r="2663" spans="1:16" x14ac:dyDescent="0.25">
      <c r="A2663" s="2">
        <v>46181</v>
      </c>
      <c r="B2663" s="2">
        <v>46240</v>
      </c>
      <c r="C2663" t="str">
        <f>TEXT(B2663,"mm")</f>
        <v>08</v>
      </c>
      <c r="D2663" t="s">
        <v>20</v>
      </c>
      <c r="E2663" t="s">
        <v>1636</v>
      </c>
      <c r="F2663" s="5">
        <v>139200000</v>
      </c>
      <c r="G2663" s="5">
        <v>142200000</v>
      </c>
      <c r="H2663" s="5">
        <f>M2663*26000*1.20565</f>
        <v>132550366.65000001</v>
      </c>
      <c r="I2663" s="5">
        <f>G2663-H2663</f>
        <v>9649633.349999994</v>
      </c>
      <c r="J2663" s="5">
        <v>3000000</v>
      </c>
      <c r="K2663" s="5">
        <v>13920000</v>
      </c>
      <c r="L2663" s="5">
        <v>14220000</v>
      </c>
      <c r="M2663" s="7">
        <v>4228.5</v>
      </c>
      <c r="N2663" s="5">
        <v>0</v>
      </c>
      <c r="O2663" s="5">
        <v>0</v>
      </c>
      <c r="P2663" s="3">
        <v>0.97916666666666663</v>
      </c>
    </row>
    <row r="2664" spans="1:16" x14ac:dyDescent="0.25">
      <c r="A2664" s="2">
        <v>46211</v>
      </c>
      <c r="B2664" s="2">
        <v>46241</v>
      </c>
      <c r="C2664" t="str">
        <f>TEXT(B2664,"mm")</f>
        <v>08</v>
      </c>
      <c r="D2664" t="s">
        <v>21</v>
      </c>
      <c r="E2664" t="s">
        <v>1636</v>
      </c>
      <c r="F2664" s="5">
        <v>138700000</v>
      </c>
      <c r="G2664" s="5">
        <v>141700000</v>
      </c>
      <c r="H2664" s="5">
        <f>M2664*26000*1.20565</f>
        <v>135973448.13000003</v>
      </c>
      <c r="I2664" s="5">
        <f>G2664-H2664</f>
        <v>5726551.869999975</v>
      </c>
      <c r="J2664" s="5">
        <v>3000000</v>
      </c>
      <c r="K2664" s="5">
        <v>13870000</v>
      </c>
      <c r="L2664" s="5">
        <v>14170000</v>
      </c>
      <c r="M2664" s="7">
        <v>4337.7</v>
      </c>
      <c r="N2664" s="5">
        <v>0</v>
      </c>
      <c r="O2664" s="5">
        <v>0</v>
      </c>
      <c r="P2664" s="3">
        <v>0.97916666666666663</v>
      </c>
    </row>
    <row r="2665" spans="1:16" x14ac:dyDescent="0.25">
      <c r="A2665" s="2">
        <v>46303</v>
      </c>
      <c r="B2665" s="2">
        <v>46244</v>
      </c>
      <c r="C2665" t="str">
        <f>TEXT(B2665,"mm")</f>
        <v>08</v>
      </c>
      <c r="D2665" t="s">
        <v>16</v>
      </c>
      <c r="E2665" t="s">
        <v>1636</v>
      </c>
      <c r="F2665" s="5">
        <v>140600000</v>
      </c>
      <c r="G2665" s="5">
        <v>143600000</v>
      </c>
      <c r="H2665" s="5">
        <f>M2665*26000*1.20565</f>
        <v>136807275.67000002</v>
      </c>
      <c r="I2665" s="5">
        <f>G2665-H2665</f>
        <v>6792724.3299999833</v>
      </c>
      <c r="J2665" s="5">
        <v>3000000</v>
      </c>
      <c r="K2665" s="5">
        <v>14060000</v>
      </c>
      <c r="L2665" s="5">
        <v>14360000</v>
      </c>
      <c r="M2665" s="7">
        <v>4364.3</v>
      </c>
      <c r="N2665" s="5">
        <v>0</v>
      </c>
      <c r="O2665" s="5">
        <v>0</v>
      </c>
      <c r="P2665" s="3">
        <v>0.97916666666666663</v>
      </c>
    </row>
    <row r="2666" spans="1:16" x14ac:dyDescent="0.25">
      <c r="A2666" s="2">
        <v>46334</v>
      </c>
      <c r="B2666" s="2">
        <v>46245</v>
      </c>
      <c r="C2666" t="str">
        <f>TEXT(B2666,"mm")</f>
        <v>08</v>
      </c>
      <c r="D2666" t="s">
        <v>18</v>
      </c>
      <c r="E2666" t="s">
        <v>1636</v>
      </c>
      <c r="F2666" s="5">
        <v>140000000</v>
      </c>
      <c r="G2666" s="5">
        <v>143000000</v>
      </c>
      <c r="H2666" s="5">
        <f>M2666*26000*1.20565</f>
        <v>137421674.91</v>
      </c>
      <c r="I2666" s="5">
        <f>G2666-H2666</f>
        <v>5578325.0900000036</v>
      </c>
      <c r="J2666" s="5">
        <v>3000000</v>
      </c>
      <c r="K2666" s="5">
        <v>14000000</v>
      </c>
      <c r="L2666" s="5">
        <v>14300000</v>
      </c>
      <c r="M2666" s="7">
        <v>4383.8999999999996</v>
      </c>
      <c r="N2666" s="5">
        <v>0</v>
      </c>
      <c r="O2666" s="5">
        <v>0</v>
      </c>
      <c r="P2666" s="3">
        <v>0.97916666666666663</v>
      </c>
    </row>
    <row r="2667" spans="1:16" x14ac:dyDescent="0.25">
      <c r="A2667" s="2">
        <v>46364</v>
      </c>
      <c r="B2667" s="2">
        <v>46246</v>
      </c>
      <c r="C2667" t="str">
        <f>TEXT(B2667,"mm")</f>
        <v>08</v>
      </c>
      <c r="D2667" t="s">
        <v>19</v>
      </c>
      <c r="E2667" t="s">
        <v>1636</v>
      </c>
      <c r="F2667" s="5">
        <v>140800000</v>
      </c>
      <c r="G2667" s="5">
        <v>143800000</v>
      </c>
      <c r="H2667" s="5">
        <f>M2667*26000*1.20565</f>
        <v>138697493.74000004</v>
      </c>
      <c r="I2667" s="5">
        <f>G2667-H2667</f>
        <v>5102506.2599999607</v>
      </c>
      <c r="J2667" s="5">
        <v>3000000</v>
      </c>
      <c r="K2667" s="5">
        <v>14080000</v>
      </c>
      <c r="L2667" s="5">
        <v>14380000</v>
      </c>
      <c r="M2667" s="7">
        <v>4424.6000000000004</v>
      </c>
      <c r="N2667" s="5">
        <v>0</v>
      </c>
      <c r="O2667" s="5">
        <v>0</v>
      </c>
      <c r="P2667" s="3">
        <v>0.97916666666666663</v>
      </c>
    </row>
    <row r="2668" spans="1:16" x14ac:dyDescent="0.25">
      <c r="A2668" t="s">
        <v>1629</v>
      </c>
      <c r="B2668" s="2">
        <v>46247</v>
      </c>
      <c r="C2668" t="str">
        <f>TEXT(B2668,"mm")</f>
        <v>08</v>
      </c>
      <c r="D2668" t="s">
        <v>20</v>
      </c>
      <c r="E2668" t="s">
        <v>1636</v>
      </c>
      <c r="F2668" s="5">
        <v>140800000</v>
      </c>
      <c r="G2668" s="5">
        <v>143800000</v>
      </c>
      <c r="H2668" s="5">
        <f>M2668*26000*1.20565</f>
        <v>136606655.50999999</v>
      </c>
      <c r="I2668" s="5">
        <f>G2668-H2668</f>
        <v>7193344.4900000095</v>
      </c>
      <c r="J2668" s="5">
        <v>3000000</v>
      </c>
      <c r="K2668" s="5">
        <v>14080000</v>
      </c>
      <c r="L2668" s="5">
        <v>14380000</v>
      </c>
      <c r="M2668" s="7">
        <v>4357.8999999999996</v>
      </c>
      <c r="N2668" s="5">
        <v>0</v>
      </c>
      <c r="O2668" s="5">
        <v>0</v>
      </c>
      <c r="P2668" s="3">
        <v>0.97916666666666663</v>
      </c>
    </row>
    <row r="2669" spans="1:16" x14ac:dyDescent="0.25">
      <c r="A2669" t="s">
        <v>1630</v>
      </c>
      <c r="B2669" s="2">
        <v>46248</v>
      </c>
      <c r="C2669" t="str">
        <f>TEXT(B2669,"mm")</f>
        <v>08</v>
      </c>
      <c r="D2669" t="s">
        <v>21</v>
      </c>
      <c r="E2669" t="s">
        <v>1636</v>
      </c>
      <c r="F2669" s="5">
        <v>139800000</v>
      </c>
      <c r="G2669" s="5">
        <v>142800000</v>
      </c>
      <c r="H2669" s="5">
        <f>M2669*26000*1.20565</f>
        <v>137569005.34000003</v>
      </c>
      <c r="I2669" s="5">
        <f>G2669-H2669</f>
        <v>5230994.6599999666</v>
      </c>
      <c r="J2669" s="5">
        <v>3000000</v>
      </c>
      <c r="K2669" s="5">
        <v>13980000</v>
      </c>
      <c r="L2669" s="5">
        <v>14280000</v>
      </c>
      <c r="M2669" s="7">
        <v>4388.6000000000004</v>
      </c>
      <c r="N2669" s="5">
        <v>0</v>
      </c>
      <c r="O2669" s="5">
        <v>0</v>
      </c>
      <c r="P2669" s="3">
        <v>0.97916666666666663</v>
      </c>
    </row>
    <row r="2670" spans="1:16" x14ac:dyDescent="0.25">
      <c r="A2670" t="s">
        <v>1631</v>
      </c>
      <c r="B2670" s="2">
        <v>46251</v>
      </c>
      <c r="C2670" t="str">
        <f>TEXT(B2670,"mm")</f>
        <v>08</v>
      </c>
      <c r="D2670" t="s">
        <v>16</v>
      </c>
      <c r="E2670" t="s">
        <v>1636</v>
      </c>
      <c r="F2670" s="5">
        <v>140700000</v>
      </c>
      <c r="G2670" s="5">
        <v>143700000</v>
      </c>
      <c r="H2670" s="5">
        <f>M2670*26000*1.20565</f>
        <v>138697493.74000004</v>
      </c>
      <c r="I2670" s="5">
        <f>G2670-H2670</f>
        <v>5002506.2599999607</v>
      </c>
      <c r="J2670" s="5">
        <v>3000000</v>
      </c>
      <c r="K2670" s="5">
        <v>14070000</v>
      </c>
      <c r="L2670" s="5">
        <v>14370000</v>
      </c>
      <c r="M2670" s="7">
        <v>4424.6000000000004</v>
      </c>
      <c r="N2670" s="5">
        <v>0</v>
      </c>
      <c r="O2670" s="5">
        <v>0</v>
      </c>
      <c r="P2670" s="3">
        <v>0.97916666666666663</v>
      </c>
    </row>
    <row r="2671" spans="1:16" x14ac:dyDescent="0.25">
      <c r="A2671" t="s">
        <v>1632</v>
      </c>
      <c r="B2671" s="2">
        <v>46252</v>
      </c>
      <c r="C2671" t="str">
        <f>TEXT(B2671,"mm")</f>
        <v>08</v>
      </c>
      <c r="D2671" t="s">
        <v>18</v>
      </c>
      <c r="E2671" t="s">
        <v>1636</v>
      </c>
      <c r="F2671" s="5">
        <v>140800000</v>
      </c>
      <c r="G2671" s="5">
        <v>143800000</v>
      </c>
      <c r="H2671" s="5">
        <f>M2671*26000*1.20565</f>
        <v>136851161.33000001</v>
      </c>
      <c r="I2671" s="5">
        <f>G2671-H2671</f>
        <v>6948838.6699999869</v>
      </c>
      <c r="J2671" s="5">
        <v>3000000</v>
      </c>
      <c r="K2671" s="5">
        <v>14080000</v>
      </c>
      <c r="L2671" s="5">
        <v>14380000</v>
      </c>
      <c r="M2671" s="7">
        <v>4365.7</v>
      </c>
      <c r="N2671" s="5">
        <v>0</v>
      </c>
      <c r="O2671" s="5">
        <v>0</v>
      </c>
      <c r="P2671" s="3">
        <v>0.97916666666666663</v>
      </c>
    </row>
    <row r="2672" spans="1:16" x14ac:dyDescent="0.25">
      <c r="A2672" t="s">
        <v>1633</v>
      </c>
      <c r="B2672" s="2">
        <v>46253</v>
      </c>
      <c r="C2672" t="str">
        <f>TEXT(B2672,"mm")</f>
        <v>08</v>
      </c>
      <c r="D2672" t="s">
        <v>19</v>
      </c>
      <c r="E2672" t="s">
        <v>1636</v>
      </c>
      <c r="F2672" s="5">
        <v>139200000</v>
      </c>
      <c r="G2672" s="5">
        <v>142200000</v>
      </c>
      <c r="H2672" s="5">
        <f>M2672*26000*1.20565</f>
        <v>140863564.53</v>
      </c>
      <c r="I2672" s="5">
        <f>G2672-H2672</f>
        <v>1336435.4699999988</v>
      </c>
      <c r="J2672" s="5">
        <v>3000000</v>
      </c>
      <c r="K2672" s="5">
        <v>13920000</v>
      </c>
      <c r="L2672" s="5">
        <v>14220000</v>
      </c>
      <c r="M2672" s="7">
        <v>4493.7</v>
      </c>
      <c r="N2672" s="5">
        <v>0</v>
      </c>
      <c r="O2672" s="5">
        <v>0</v>
      </c>
      <c r="P2672" s="3">
        <v>0.97916666666666663</v>
      </c>
    </row>
    <row r="2673" spans="1:16" x14ac:dyDescent="0.25">
      <c r="A2673" t="s">
        <v>1634</v>
      </c>
      <c r="B2673" s="2">
        <v>46254</v>
      </c>
      <c r="C2673" t="str">
        <f>TEXT(B2673,"mm")</f>
        <v>08</v>
      </c>
      <c r="D2673" t="s">
        <v>20</v>
      </c>
      <c r="E2673" t="s">
        <v>1636</v>
      </c>
      <c r="F2673" s="5">
        <v>142500000</v>
      </c>
      <c r="G2673" s="5">
        <v>145500000</v>
      </c>
      <c r="H2673" s="5">
        <f>M2673*26000*1.20565</f>
        <v>142123709.91</v>
      </c>
      <c r="I2673" s="5">
        <f>G2673-H2673</f>
        <v>3376290.0900000036</v>
      </c>
      <c r="J2673" s="5">
        <v>3000000</v>
      </c>
      <c r="K2673" s="5">
        <v>14250000</v>
      </c>
      <c r="L2673" s="5">
        <v>14550000</v>
      </c>
      <c r="M2673" s="7">
        <v>4533.8999999999996</v>
      </c>
      <c r="N2673" s="5">
        <v>0</v>
      </c>
      <c r="O2673" s="5">
        <v>0</v>
      </c>
      <c r="P2673" s="3">
        <v>0.9375</v>
      </c>
    </row>
    <row r="2674" spans="1:16" x14ac:dyDescent="0.25">
      <c r="A2674" t="s">
        <v>1635</v>
      </c>
      <c r="B2674" s="2">
        <v>46255</v>
      </c>
      <c r="C2674" t="str">
        <f>TEXT(B2674,"mm")</f>
        <v>08</v>
      </c>
      <c r="D2674" t="s">
        <v>21</v>
      </c>
      <c r="E2674" t="s">
        <v>1636</v>
      </c>
      <c r="F2674" s="5">
        <v>143500000</v>
      </c>
      <c r="G2674" s="5">
        <v>146500000</v>
      </c>
      <c r="H2674" s="5">
        <f>M2674*26000*1.20565</f>
        <v>144618923.15000001</v>
      </c>
      <c r="I2674" s="5">
        <f>G2674-H2674</f>
        <v>1881076.849999994</v>
      </c>
      <c r="J2674" s="5">
        <v>3000000</v>
      </c>
      <c r="K2674" s="5">
        <v>14350000</v>
      </c>
      <c r="L2674" s="5">
        <v>14650000</v>
      </c>
      <c r="M2674" s="7">
        <v>4613.5</v>
      </c>
      <c r="N2674" s="5">
        <v>0</v>
      </c>
      <c r="O2674" s="5">
        <v>0</v>
      </c>
      <c r="P2674" s="3">
        <v>0.97916666666666663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03655-BA91-4E83-9736-66AB08906374}">
  <dimension ref="A1:L2674"/>
  <sheetViews>
    <sheetView tabSelected="1" workbookViewId="0"/>
  </sheetViews>
  <sheetFormatPr defaultRowHeight="13.8" x14ac:dyDescent="0.25"/>
  <cols>
    <col min="5" max="6" width="11.109375" style="5" bestFit="1" customWidth="1"/>
    <col min="7" max="7" width="9.109375" style="5" bestFit="1" customWidth="1"/>
    <col min="8" max="9" width="10.109375" style="5" bestFit="1" customWidth="1"/>
    <col min="10" max="11" width="11.109375" style="5" bestFit="1" customWidth="1"/>
  </cols>
  <sheetData>
    <row r="1" spans="1:12" x14ac:dyDescent="0.25">
      <c r="A1" s="11" t="s">
        <v>1637</v>
      </c>
      <c r="B1" s="11" t="s">
        <v>1638</v>
      </c>
      <c r="C1" s="11" t="s">
        <v>1639</v>
      </c>
      <c r="D1" s="11" t="s">
        <v>1640</v>
      </c>
      <c r="E1" s="12" t="s">
        <v>1641</v>
      </c>
      <c r="F1" s="12" t="s">
        <v>1642</v>
      </c>
      <c r="G1" s="12" t="s">
        <v>1643</v>
      </c>
      <c r="H1" s="12" t="s">
        <v>1644</v>
      </c>
      <c r="I1" s="12" t="s">
        <v>1645</v>
      </c>
      <c r="J1" s="12" t="s">
        <v>1646</v>
      </c>
      <c r="K1" s="12" t="s">
        <v>1647</v>
      </c>
      <c r="L1" s="11" t="s">
        <v>1648</v>
      </c>
    </row>
    <row r="2" spans="1:12" x14ac:dyDescent="0.25">
      <c r="A2" s="2">
        <v>42461</v>
      </c>
      <c r="B2" s="2">
        <v>42373</v>
      </c>
      <c r="C2" t="s">
        <v>16</v>
      </c>
      <c r="D2" t="s">
        <v>1636</v>
      </c>
      <c r="E2" s="5">
        <v>27100000</v>
      </c>
      <c r="F2" s="5">
        <v>30100000</v>
      </c>
      <c r="G2" s="5">
        <v>3000000</v>
      </c>
      <c r="H2" s="5">
        <v>2710000</v>
      </c>
      <c r="I2" s="5">
        <v>3010000</v>
      </c>
      <c r="J2" s="5">
        <v>27600000</v>
      </c>
      <c r="K2" s="5">
        <v>30600000</v>
      </c>
      <c r="L2" s="3">
        <v>0.97916666666666663</v>
      </c>
    </row>
    <row r="3" spans="1:12" x14ac:dyDescent="0.25">
      <c r="A3" s="2">
        <v>42491</v>
      </c>
      <c r="B3" s="2">
        <v>42374</v>
      </c>
      <c r="C3" t="s">
        <v>18</v>
      </c>
      <c r="D3" t="s">
        <v>1636</v>
      </c>
      <c r="E3" s="5">
        <v>27200000</v>
      </c>
      <c r="F3" s="5">
        <v>30200000</v>
      </c>
      <c r="G3" s="5">
        <v>3000000</v>
      </c>
      <c r="H3" s="5">
        <v>2720000</v>
      </c>
      <c r="I3" s="5">
        <v>3020000</v>
      </c>
      <c r="J3" s="5">
        <v>27700000</v>
      </c>
      <c r="K3" s="5">
        <v>30700000</v>
      </c>
      <c r="L3" s="3">
        <v>0.97916666666666663</v>
      </c>
    </row>
    <row r="4" spans="1:12" x14ac:dyDescent="0.25">
      <c r="A4" s="2">
        <v>42522</v>
      </c>
      <c r="B4" s="2">
        <v>42375</v>
      </c>
      <c r="C4" t="s">
        <v>19</v>
      </c>
      <c r="D4" t="s">
        <v>1636</v>
      </c>
      <c r="E4" s="5">
        <v>27600000</v>
      </c>
      <c r="F4" s="5">
        <v>30600000</v>
      </c>
      <c r="G4" s="5">
        <v>3000000</v>
      </c>
      <c r="H4" s="5">
        <v>2760000</v>
      </c>
      <c r="I4" s="5">
        <v>3060000</v>
      </c>
      <c r="J4" s="5">
        <v>28100000</v>
      </c>
      <c r="K4" s="5">
        <v>31100000</v>
      </c>
      <c r="L4" s="3">
        <v>0.97916666666666663</v>
      </c>
    </row>
    <row r="5" spans="1:12" x14ac:dyDescent="0.25">
      <c r="A5" s="2">
        <v>42552</v>
      </c>
      <c r="B5" s="2">
        <v>42376</v>
      </c>
      <c r="C5" t="s">
        <v>20</v>
      </c>
      <c r="D5" t="s">
        <v>1636</v>
      </c>
      <c r="E5" s="5">
        <v>28000000</v>
      </c>
      <c r="F5" s="5">
        <v>31000000</v>
      </c>
      <c r="G5" s="5">
        <v>3000000</v>
      </c>
      <c r="H5" s="5">
        <v>2800000</v>
      </c>
      <c r="I5" s="5">
        <v>3100000</v>
      </c>
      <c r="J5" s="5">
        <v>28500000</v>
      </c>
      <c r="K5" s="5">
        <v>31500000</v>
      </c>
      <c r="L5" s="3">
        <v>0.97916666666666663</v>
      </c>
    </row>
    <row r="6" spans="1:12" x14ac:dyDescent="0.25">
      <c r="A6" s="2">
        <v>42583</v>
      </c>
      <c r="B6" s="2">
        <v>42377</v>
      </c>
      <c r="C6" t="s">
        <v>21</v>
      </c>
      <c r="D6" t="s">
        <v>1636</v>
      </c>
      <c r="E6" s="5">
        <v>27800000</v>
      </c>
      <c r="F6" s="5">
        <v>30800000</v>
      </c>
      <c r="G6" s="5">
        <v>3000000</v>
      </c>
      <c r="H6" s="5">
        <v>2780000</v>
      </c>
      <c r="I6" s="5">
        <v>3080000</v>
      </c>
      <c r="J6" s="5">
        <v>28300000</v>
      </c>
      <c r="K6" s="5">
        <v>31300000</v>
      </c>
      <c r="L6" s="3">
        <v>0.97916666666666663</v>
      </c>
    </row>
    <row r="7" spans="1:12" x14ac:dyDescent="0.25">
      <c r="A7" s="2">
        <v>42675</v>
      </c>
      <c r="B7" s="2">
        <v>42380</v>
      </c>
      <c r="C7" t="s">
        <v>16</v>
      </c>
      <c r="D7" t="s">
        <v>1636</v>
      </c>
      <c r="E7" s="5">
        <v>27700000</v>
      </c>
      <c r="F7" s="5">
        <v>30700000</v>
      </c>
      <c r="G7" s="5">
        <v>3000000</v>
      </c>
      <c r="H7" s="5">
        <v>2770000</v>
      </c>
      <c r="I7" s="5">
        <v>3070000</v>
      </c>
      <c r="J7" s="5">
        <v>28200000</v>
      </c>
      <c r="K7" s="5">
        <v>31200000</v>
      </c>
      <c r="L7" s="3">
        <v>0.97916666666666663</v>
      </c>
    </row>
    <row r="8" spans="1:12" x14ac:dyDescent="0.25">
      <c r="A8" s="2">
        <v>42705</v>
      </c>
      <c r="B8" s="2">
        <v>42381</v>
      </c>
      <c r="C8" t="s">
        <v>18</v>
      </c>
      <c r="D8" t="s">
        <v>1636</v>
      </c>
      <c r="E8" s="5">
        <v>27400000</v>
      </c>
      <c r="F8" s="5">
        <v>30400000</v>
      </c>
      <c r="G8" s="5">
        <v>3000000</v>
      </c>
      <c r="H8" s="5">
        <v>2740000</v>
      </c>
      <c r="I8" s="5">
        <v>3040000</v>
      </c>
      <c r="J8" s="5">
        <v>27900000</v>
      </c>
      <c r="K8" s="5">
        <v>30900000</v>
      </c>
      <c r="L8" s="3">
        <v>0.97916666666666663</v>
      </c>
    </row>
    <row r="9" spans="1:12" x14ac:dyDescent="0.25">
      <c r="A9" t="s">
        <v>22</v>
      </c>
      <c r="B9" s="2">
        <v>42382</v>
      </c>
      <c r="C9" t="s">
        <v>19</v>
      </c>
      <c r="D9" t="s">
        <v>1636</v>
      </c>
      <c r="E9" s="5">
        <v>27500000</v>
      </c>
      <c r="F9" s="5">
        <v>30500000</v>
      </c>
      <c r="G9" s="5">
        <v>3000000</v>
      </c>
      <c r="H9" s="5">
        <v>2750000</v>
      </c>
      <c r="I9" s="5">
        <v>3050000</v>
      </c>
      <c r="J9" s="5">
        <v>28000000</v>
      </c>
      <c r="K9" s="5">
        <v>31000000</v>
      </c>
      <c r="L9" s="3">
        <v>0.97916666666666663</v>
      </c>
    </row>
    <row r="10" spans="1:12" x14ac:dyDescent="0.25">
      <c r="A10" t="s">
        <v>23</v>
      </c>
      <c r="B10" s="2">
        <v>42383</v>
      </c>
      <c r="C10" t="s">
        <v>20</v>
      </c>
      <c r="D10" t="s">
        <v>1636</v>
      </c>
      <c r="E10" s="5">
        <v>27100000</v>
      </c>
      <c r="F10" s="5">
        <v>30100000</v>
      </c>
      <c r="G10" s="5">
        <v>3000000</v>
      </c>
      <c r="H10" s="5">
        <v>2710000</v>
      </c>
      <c r="I10" s="5">
        <v>3010000</v>
      </c>
      <c r="J10" s="5">
        <v>27600000</v>
      </c>
      <c r="K10" s="5">
        <v>30600000</v>
      </c>
      <c r="L10" s="3">
        <v>0.97916666666666663</v>
      </c>
    </row>
    <row r="11" spans="1:12" x14ac:dyDescent="0.25">
      <c r="A11" t="s">
        <v>24</v>
      </c>
      <c r="B11" s="2">
        <v>42384</v>
      </c>
      <c r="C11" t="s">
        <v>21</v>
      </c>
      <c r="D11" t="s">
        <v>1636</v>
      </c>
      <c r="E11" s="5">
        <v>27600000</v>
      </c>
      <c r="F11" s="5">
        <v>30600000</v>
      </c>
      <c r="G11" s="5">
        <v>3000000</v>
      </c>
      <c r="H11" s="5">
        <v>2760000</v>
      </c>
      <c r="I11" s="5">
        <v>3060000</v>
      </c>
      <c r="J11" s="5">
        <v>28100000</v>
      </c>
      <c r="K11" s="5">
        <v>31100000</v>
      </c>
      <c r="L11" s="3">
        <v>0.97916666666666663</v>
      </c>
    </row>
    <row r="12" spans="1:12" x14ac:dyDescent="0.25">
      <c r="A12" t="s">
        <v>25</v>
      </c>
      <c r="B12" s="2">
        <v>42388</v>
      </c>
      <c r="C12" t="s">
        <v>18</v>
      </c>
      <c r="D12" t="s">
        <v>1636</v>
      </c>
      <c r="E12" s="5">
        <v>27500000</v>
      </c>
      <c r="F12" s="5">
        <v>30500000</v>
      </c>
      <c r="G12" s="5">
        <v>3000000</v>
      </c>
      <c r="H12" s="5">
        <v>2750000</v>
      </c>
      <c r="I12" s="5">
        <v>3050000</v>
      </c>
      <c r="J12" s="5">
        <v>28000000</v>
      </c>
      <c r="K12" s="5">
        <v>31000000</v>
      </c>
      <c r="L12" s="3">
        <v>0.97916666666666663</v>
      </c>
    </row>
    <row r="13" spans="1:12" x14ac:dyDescent="0.25">
      <c r="A13" t="s">
        <v>26</v>
      </c>
      <c r="B13" s="2">
        <v>42389</v>
      </c>
      <c r="C13" t="s">
        <v>19</v>
      </c>
      <c r="D13" t="s">
        <v>1636</v>
      </c>
      <c r="E13" s="5">
        <v>28000000</v>
      </c>
      <c r="F13" s="5">
        <v>31000000</v>
      </c>
      <c r="G13" s="5">
        <v>3000000</v>
      </c>
      <c r="H13" s="5">
        <v>2800000</v>
      </c>
      <c r="I13" s="5">
        <v>3100000</v>
      </c>
      <c r="J13" s="5">
        <v>28500000</v>
      </c>
      <c r="K13" s="5">
        <v>31500000</v>
      </c>
      <c r="L13" s="3">
        <v>0.97916666666666663</v>
      </c>
    </row>
    <row r="14" spans="1:12" x14ac:dyDescent="0.25">
      <c r="A14" t="s">
        <v>27</v>
      </c>
      <c r="B14" s="2">
        <v>42390</v>
      </c>
      <c r="C14" t="s">
        <v>20</v>
      </c>
      <c r="D14" t="s">
        <v>1636</v>
      </c>
      <c r="E14" s="5">
        <v>27800000</v>
      </c>
      <c r="F14" s="5">
        <v>30800000</v>
      </c>
      <c r="G14" s="5">
        <v>3000000</v>
      </c>
      <c r="H14" s="5">
        <v>2780000</v>
      </c>
      <c r="I14" s="5">
        <v>3080000</v>
      </c>
      <c r="J14" s="5">
        <v>28300000</v>
      </c>
      <c r="K14" s="5">
        <v>31300000</v>
      </c>
      <c r="L14" s="3">
        <v>0.97916666666666663</v>
      </c>
    </row>
    <row r="15" spans="1:12" x14ac:dyDescent="0.25">
      <c r="A15" t="s">
        <v>28</v>
      </c>
      <c r="B15" s="2">
        <v>42391</v>
      </c>
      <c r="C15" t="s">
        <v>21</v>
      </c>
      <c r="D15" t="s">
        <v>1636</v>
      </c>
      <c r="E15" s="5">
        <v>27700000</v>
      </c>
      <c r="F15" s="5">
        <v>30700000</v>
      </c>
      <c r="G15" s="5">
        <v>3000000</v>
      </c>
      <c r="H15" s="5">
        <v>2770000</v>
      </c>
      <c r="I15" s="5">
        <v>3070000</v>
      </c>
      <c r="J15" s="5">
        <v>28200000</v>
      </c>
      <c r="K15" s="5">
        <v>31200000</v>
      </c>
      <c r="L15" s="3">
        <v>0.97916666666666663</v>
      </c>
    </row>
    <row r="16" spans="1:12" x14ac:dyDescent="0.25">
      <c r="A16" t="s">
        <v>29</v>
      </c>
      <c r="B16" s="2">
        <v>42394</v>
      </c>
      <c r="C16" t="s">
        <v>16</v>
      </c>
      <c r="D16" t="s">
        <v>1636</v>
      </c>
      <c r="E16" s="5">
        <v>28000000</v>
      </c>
      <c r="F16" s="5">
        <v>31000000</v>
      </c>
      <c r="G16" s="5">
        <v>3000000</v>
      </c>
      <c r="H16" s="5">
        <v>2800000</v>
      </c>
      <c r="I16" s="5">
        <v>3100000</v>
      </c>
      <c r="J16" s="5">
        <v>28500000</v>
      </c>
      <c r="K16" s="5">
        <v>31500000</v>
      </c>
      <c r="L16" s="3">
        <v>0.97916666666666663</v>
      </c>
    </row>
    <row r="17" spans="1:12" x14ac:dyDescent="0.25">
      <c r="A17" t="s">
        <v>30</v>
      </c>
      <c r="B17" s="2">
        <v>42395</v>
      </c>
      <c r="C17" t="s">
        <v>18</v>
      </c>
      <c r="D17" t="s">
        <v>1636</v>
      </c>
      <c r="E17" s="5">
        <v>28400000</v>
      </c>
      <c r="F17" s="5">
        <v>31400000</v>
      </c>
      <c r="G17" s="5">
        <v>3000000</v>
      </c>
      <c r="H17" s="5">
        <v>2840000</v>
      </c>
      <c r="I17" s="5">
        <v>3140000</v>
      </c>
      <c r="J17" s="5">
        <v>28900000</v>
      </c>
      <c r="K17" s="5">
        <v>31900000</v>
      </c>
      <c r="L17" s="3">
        <v>0.97916666666666663</v>
      </c>
    </row>
    <row r="18" spans="1:12" x14ac:dyDescent="0.25">
      <c r="A18" t="s">
        <v>31</v>
      </c>
      <c r="B18" s="2">
        <v>42396</v>
      </c>
      <c r="C18" t="s">
        <v>19</v>
      </c>
      <c r="D18" t="s">
        <v>1636</v>
      </c>
      <c r="E18" s="5">
        <v>28300000</v>
      </c>
      <c r="F18" s="5">
        <v>31300000</v>
      </c>
      <c r="G18" s="5">
        <v>3000000</v>
      </c>
      <c r="H18" s="5">
        <v>2830000</v>
      </c>
      <c r="I18" s="5">
        <v>3130000</v>
      </c>
      <c r="J18" s="5">
        <v>28800000</v>
      </c>
      <c r="K18" s="5">
        <v>31800000</v>
      </c>
      <c r="L18" s="3">
        <v>0.97916666666666663</v>
      </c>
    </row>
    <row r="19" spans="1:12" x14ac:dyDescent="0.25">
      <c r="A19" t="s">
        <v>32</v>
      </c>
      <c r="B19" s="2">
        <v>42397</v>
      </c>
      <c r="C19" t="s">
        <v>20</v>
      </c>
      <c r="D19" t="s">
        <v>1636</v>
      </c>
      <c r="E19" s="5">
        <v>28300000</v>
      </c>
      <c r="F19" s="5">
        <v>31300000</v>
      </c>
      <c r="G19" s="5">
        <v>3000000</v>
      </c>
      <c r="H19" s="5">
        <v>2830000</v>
      </c>
      <c r="I19" s="5">
        <v>3130000</v>
      </c>
      <c r="J19" s="5">
        <v>28800000</v>
      </c>
      <c r="K19" s="5">
        <v>31800000</v>
      </c>
      <c r="L19" s="3">
        <v>0.97916666666666663</v>
      </c>
    </row>
    <row r="20" spans="1:12" x14ac:dyDescent="0.25">
      <c r="A20" t="s">
        <v>33</v>
      </c>
      <c r="B20" s="2">
        <v>42398</v>
      </c>
      <c r="C20" t="s">
        <v>21</v>
      </c>
      <c r="D20" t="s">
        <v>1636</v>
      </c>
      <c r="E20" s="5">
        <v>28300000</v>
      </c>
      <c r="F20" s="5">
        <v>31300000</v>
      </c>
      <c r="G20" s="5">
        <v>3000000</v>
      </c>
      <c r="H20" s="5">
        <v>2830000</v>
      </c>
      <c r="I20" s="5">
        <v>3130000</v>
      </c>
      <c r="J20" s="5">
        <v>28800000</v>
      </c>
      <c r="K20" s="5">
        <v>31800000</v>
      </c>
      <c r="L20" s="3">
        <v>0.97916666666666663</v>
      </c>
    </row>
    <row r="21" spans="1:12" x14ac:dyDescent="0.25">
      <c r="A21" s="2">
        <v>42371</v>
      </c>
      <c r="B21" s="2">
        <v>42401</v>
      </c>
      <c r="C21" t="s">
        <v>16</v>
      </c>
      <c r="D21" t="s">
        <v>1636</v>
      </c>
      <c r="E21" s="5">
        <v>28600000</v>
      </c>
      <c r="F21" s="5">
        <v>31600000</v>
      </c>
      <c r="G21" s="5">
        <v>3000000</v>
      </c>
      <c r="H21" s="5">
        <v>2860000</v>
      </c>
      <c r="I21" s="5">
        <v>3160000</v>
      </c>
      <c r="J21" s="5">
        <v>29100000</v>
      </c>
      <c r="K21" s="5">
        <v>32100000</v>
      </c>
      <c r="L21" s="3">
        <v>0.97916666666666663</v>
      </c>
    </row>
    <row r="22" spans="1:12" x14ac:dyDescent="0.25">
      <c r="A22" s="2">
        <v>42402</v>
      </c>
      <c r="B22" s="2">
        <v>42402</v>
      </c>
      <c r="C22" t="s">
        <v>18</v>
      </c>
      <c r="D22" t="s">
        <v>1636</v>
      </c>
      <c r="E22" s="5">
        <v>28600000</v>
      </c>
      <c r="F22" s="5">
        <v>31600000</v>
      </c>
      <c r="G22" s="5">
        <v>3000000</v>
      </c>
      <c r="H22" s="5">
        <v>2860000</v>
      </c>
      <c r="I22" s="5">
        <v>3160000</v>
      </c>
      <c r="J22" s="5">
        <v>29100000</v>
      </c>
      <c r="K22" s="5">
        <v>32100000</v>
      </c>
      <c r="L22" s="3">
        <v>0.97916666666666663</v>
      </c>
    </row>
    <row r="23" spans="1:12" x14ac:dyDescent="0.25">
      <c r="A23" s="2">
        <v>42431</v>
      </c>
      <c r="B23" s="2">
        <v>42403</v>
      </c>
      <c r="C23" t="s">
        <v>19</v>
      </c>
      <c r="D23" t="s">
        <v>1636</v>
      </c>
      <c r="E23" s="5">
        <v>29000000</v>
      </c>
      <c r="F23" s="5">
        <v>32000000</v>
      </c>
      <c r="G23" s="5">
        <v>3000000</v>
      </c>
      <c r="H23" s="5">
        <v>2900000</v>
      </c>
      <c r="I23" s="5">
        <v>3200000</v>
      </c>
      <c r="J23" s="5">
        <v>29500000</v>
      </c>
      <c r="K23" s="5">
        <v>32500000</v>
      </c>
      <c r="L23" s="3">
        <v>0.97916666666666663</v>
      </c>
    </row>
    <row r="24" spans="1:12" x14ac:dyDescent="0.25">
      <c r="A24" s="2">
        <v>42462</v>
      </c>
      <c r="B24" s="2">
        <v>42404</v>
      </c>
      <c r="C24" t="s">
        <v>20</v>
      </c>
      <c r="D24" t="s">
        <v>1636</v>
      </c>
      <c r="E24" s="5">
        <v>29400000</v>
      </c>
      <c r="F24" s="5">
        <v>32400000</v>
      </c>
      <c r="G24" s="5">
        <v>3000000</v>
      </c>
      <c r="H24" s="5">
        <v>2940000</v>
      </c>
      <c r="I24" s="5">
        <v>3240000</v>
      </c>
      <c r="J24" s="5">
        <v>29900000</v>
      </c>
      <c r="K24" s="5">
        <v>32900000</v>
      </c>
      <c r="L24" s="3">
        <v>0.97916666666666663</v>
      </c>
    </row>
    <row r="25" spans="1:12" x14ac:dyDescent="0.25">
      <c r="A25" s="2">
        <v>42492</v>
      </c>
      <c r="B25" s="2">
        <v>42405</v>
      </c>
      <c r="C25" t="s">
        <v>21</v>
      </c>
      <c r="D25" t="s">
        <v>1636</v>
      </c>
      <c r="E25" s="5">
        <v>29400000</v>
      </c>
      <c r="F25" s="5">
        <v>32400000</v>
      </c>
      <c r="G25" s="5">
        <v>3000000</v>
      </c>
      <c r="H25" s="5">
        <v>2940000</v>
      </c>
      <c r="I25" s="5">
        <v>3240000</v>
      </c>
      <c r="J25" s="5">
        <v>29900000</v>
      </c>
      <c r="K25" s="5">
        <v>32900000</v>
      </c>
      <c r="L25" s="3">
        <v>0.97916666666666663</v>
      </c>
    </row>
    <row r="26" spans="1:12" x14ac:dyDescent="0.25">
      <c r="A26" s="2">
        <v>42584</v>
      </c>
      <c r="B26" s="2">
        <v>42408</v>
      </c>
      <c r="C26" t="s">
        <v>16</v>
      </c>
      <c r="D26" t="s">
        <v>1636</v>
      </c>
      <c r="E26" s="5">
        <v>30600000</v>
      </c>
      <c r="F26" s="5">
        <v>33600000</v>
      </c>
      <c r="G26" s="5">
        <v>3000000</v>
      </c>
      <c r="H26" s="5">
        <v>3060000</v>
      </c>
      <c r="I26" s="5">
        <v>3360000</v>
      </c>
      <c r="J26" s="5">
        <v>31100000</v>
      </c>
      <c r="K26" s="5">
        <v>34100000</v>
      </c>
      <c r="L26" s="3">
        <v>0.97916666666666663</v>
      </c>
    </row>
    <row r="27" spans="1:12" x14ac:dyDescent="0.25">
      <c r="A27" s="2">
        <v>42615</v>
      </c>
      <c r="B27" s="2">
        <v>42409</v>
      </c>
      <c r="C27" t="s">
        <v>18</v>
      </c>
      <c r="D27" t="s">
        <v>1636</v>
      </c>
      <c r="E27" s="5">
        <v>30600000</v>
      </c>
      <c r="F27" s="5">
        <v>33600000</v>
      </c>
      <c r="G27" s="5">
        <v>3000000</v>
      </c>
      <c r="H27" s="5">
        <v>3060000</v>
      </c>
      <c r="I27" s="5">
        <v>3360000</v>
      </c>
      <c r="J27" s="5">
        <v>31100000</v>
      </c>
      <c r="K27" s="5">
        <v>34100000</v>
      </c>
      <c r="L27" s="3">
        <v>0.97916666666666663</v>
      </c>
    </row>
    <row r="28" spans="1:12" x14ac:dyDescent="0.25">
      <c r="A28" s="2">
        <v>42645</v>
      </c>
      <c r="B28" s="2">
        <v>42410</v>
      </c>
      <c r="C28" t="s">
        <v>19</v>
      </c>
      <c r="D28" t="s">
        <v>1636</v>
      </c>
      <c r="E28" s="5">
        <v>30500000</v>
      </c>
      <c r="F28" s="5">
        <v>33500000</v>
      </c>
      <c r="G28" s="5">
        <v>3000000</v>
      </c>
      <c r="H28" s="5">
        <v>3050000</v>
      </c>
      <c r="I28" s="5">
        <v>3350000</v>
      </c>
      <c r="J28" s="5">
        <v>31000000</v>
      </c>
      <c r="K28" s="5">
        <v>34000000</v>
      </c>
      <c r="L28" s="3">
        <v>0.97916666666666663</v>
      </c>
    </row>
    <row r="29" spans="1:12" x14ac:dyDescent="0.25">
      <c r="A29" s="2">
        <v>42676</v>
      </c>
      <c r="B29" s="2">
        <v>42411</v>
      </c>
      <c r="C29" t="s">
        <v>20</v>
      </c>
      <c r="D29" t="s">
        <v>1636</v>
      </c>
      <c r="E29" s="5">
        <v>32000000</v>
      </c>
      <c r="F29" s="5">
        <v>35000000</v>
      </c>
      <c r="G29" s="5">
        <v>3000000</v>
      </c>
      <c r="H29" s="5">
        <v>3200000</v>
      </c>
      <c r="I29" s="5">
        <v>3500000</v>
      </c>
      <c r="J29" s="5">
        <v>32500000</v>
      </c>
      <c r="K29" s="5">
        <v>35500000</v>
      </c>
      <c r="L29" s="3">
        <v>0.97916666666666663</v>
      </c>
    </row>
    <row r="30" spans="1:12" x14ac:dyDescent="0.25">
      <c r="A30" s="2">
        <v>42706</v>
      </c>
      <c r="B30" s="2">
        <v>42412</v>
      </c>
      <c r="C30" t="s">
        <v>21</v>
      </c>
      <c r="D30" t="s">
        <v>1636</v>
      </c>
      <c r="E30" s="5">
        <v>31700000</v>
      </c>
      <c r="F30" s="5">
        <v>34700000</v>
      </c>
      <c r="G30" s="5">
        <v>3000000</v>
      </c>
      <c r="H30" s="5">
        <v>3170000</v>
      </c>
      <c r="I30" s="5">
        <v>3470000</v>
      </c>
      <c r="J30" s="5">
        <v>32200000</v>
      </c>
      <c r="K30" s="5">
        <v>35200000</v>
      </c>
      <c r="L30" s="3">
        <v>0.97916666666666663</v>
      </c>
    </row>
    <row r="31" spans="1:12" x14ac:dyDescent="0.25">
      <c r="A31" t="s">
        <v>34</v>
      </c>
      <c r="B31" s="2">
        <v>42416</v>
      </c>
      <c r="C31" t="s">
        <v>18</v>
      </c>
      <c r="D31" t="s">
        <v>1636</v>
      </c>
      <c r="E31" s="5">
        <v>30900000</v>
      </c>
      <c r="F31" s="5">
        <v>33900000</v>
      </c>
      <c r="G31" s="5">
        <v>3000000</v>
      </c>
      <c r="H31" s="5">
        <v>3090000</v>
      </c>
      <c r="I31" s="5">
        <v>3390000</v>
      </c>
      <c r="J31" s="5">
        <v>31400000</v>
      </c>
      <c r="K31" s="5">
        <v>34400000</v>
      </c>
      <c r="L31" s="3">
        <v>0.97916666666666663</v>
      </c>
    </row>
    <row r="32" spans="1:12" x14ac:dyDescent="0.25">
      <c r="A32" t="s">
        <v>35</v>
      </c>
      <c r="B32" s="2">
        <v>42417</v>
      </c>
      <c r="C32" t="s">
        <v>19</v>
      </c>
      <c r="D32" t="s">
        <v>1636</v>
      </c>
      <c r="E32" s="5">
        <v>30900000</v>
      </c>
      <c r="F32" s="5">
        <v>33900000</v>
      </c>
      <c r="G32" s="5">
        <v>3000000</v>
      </c>
      <c r="H32" s="5">
        <v>3090000</v>
      </c>
      <c r="I32" s="5">
        <v>3390000</v>
      </c>
      <c r="J32" s="5">
        <v>31400000</v>
      </c>
      <c r="K32" s="5">
        <v>34400000</v>
      </c>
      <c r="L32" s="3">
        <v>0.97916666666666663</v>
      </c>
    </row>
    <row r="33" spans="1:12" x14ac:dyDescent="0.25">
      <c r="A33" t="s">
        <v>36</v>
      </c>
      <c r="B33" s="2">
        <v>42418</v>
      </c>
      <c r="C33" t="s">
        <v>20</v>
      </c>
      <c r="D33" t="s">
        <v>1636</v>
      </c>
      <c r="E33" s="5">
        <v>31400000</v>
      </c>
      <c r="F33" s="5">
        <v>34400000</v>
      </c>
      <c r="G33" s="5">
        <v>3000000</v>
      </c>
      <c r="H33" s="5">
        <v>3140000</v>
      </c>
      <c r="I33" s="5">
        <v>3440000</v>
      </c>
      <c r="J33" s="5">
        <v>31900000</v>
      </c>
      <c r="K33" s="5">
        <v>34900000</v>
      </c>
      <c r="L33" s="3">
        <v>0.97916666666666663</v>
      </c>
    </row>
    <row r="34" spans="1:12" x14ac:dyDescent="0.25">
      <c r="A34" t="s">
        <v>37</v>
      </c>
      <c r="B34" s="2">
        <v>42419</v>
      </c>
      <c r="C34" t="s">
        <v>21</v>
      </c>
      <c r="D34" t="s">
        <v>1636</v>
      </c>
      <c r="E34" s="5">
        <v>31500000</v>
      </c>
      <c r="F34" s="5">
        <v>34500000</v>
      </c>
      <c r="G34" s="5">
        <v>3000000</v>
      </c>
      <c r="H34" s="5">
        <v>3150000</v>
      </c>
      <c r="I34" s="5">
        <v>3450000</v>
      </c>
      <c r="J34" s="5">
        <v>32000000</v>
      </c>
      <c r="K34" s="5">
        <v>35000000</v>
      </c>
      <c r="L34" s="3">
        <v>0.97916666666666663</v>
      </c>
    </row>
    <row r="35" spans="1:12" x14ac:dyDescent="0.25">
      <c r="A35" t="s">
        <v>38</v>
      </c>
      <c r="B35" s="2">
        <v>42422</v>
      </c>
      <c r="C35" t="s">
        <v>16</v>
      </c>
      <c r="D35" t="s">
        <v>1636</v>
      </c>
      <c r="E35" s="5">
        <v>30900000</v>
      </c>
      <c r="F35" s="5">
        <v>33900000</v>
      </c>
      <c r="G35" s="5">
        <v>3000000</v>
      </c>
      <c r="H35" s="5">
        <v>3090000</v>
      </c>
      <c r="I35" s="5">
        <v>3390000</v>
      </c>
      <c r="J35" s="5">
        <v>31400000</v>
      </c>
      <c r="K35" s="5">
        <v>34400000</v>
      </c>
      <c r="L35" s="3">
        <v>0.97916666666666663</v>
      </c>
    </row>
    <row r="36" spans="1:12" x14ac:dyDescent="0.25">
      <c r="A36" t="s">
        <v>39</v>
      </c>
      <c r="B36" s="2">
        <v>42423</v>
      </c>
      <c r="C36" t="s">
        <v>18</v>
      </c>
      <c r="D36" t="s">
        <v>1636</v>
      </c>
      <c r="E36" s="5">
        <v>31300000</v>
      </c>
      <c r="F36" s="5">
        <v>34300000</v>
      </c>
      <c r="G36" s="5">
        <v>3000000</v>
      </c>
      <c r="H36" s="5">
        <v>3130000</v>
      </c>
      <c r="I36" s="5">
        <v>3430000</v>
      </c>
      <c r="J36" s="5">
        <v>31800000</v>
      </c>
      <c r="K36" s="5">
        <v>34800000</v>
      </c>
      <c r="L36" s="3">
        <v>0.97916666666666663</v>
      </c>
    </row>
    <row r="37" spans="1:12" x14ac:dyDescent="0.25">
      <c r="A37" t="s">
        <v>40</v>
      </c>
      <c r="B37" s="2">
        <v>42424</v>
      </c>
      <c r="C37" t="s">
        <v>19</v>
      </c>
      <c r="D37" t="s">
        <v>1636</v>
      </c>
      <c r="E37" s="5">
        <v>31700000</v>
      </c>
      <c r="F37" s="5">
        <v>34700000</v>
      </c>
      <c r="G37" s="5">
        <v>3000000</v>
      </c>
      <c r="H37" s="5">
        <v>3170000</v>
      </c>
      <c r="I37" s="5">
        <v>3470000</v>
      </c>
      <c r="J37" s="5">
        <v>32200000</v>
      </c>
      <c r="K37" s="5">
        <v>35200000</v>
      </c>
      <c r="L37" s="3">
        <v>0.97916666666666663</v>
      </c>
    </row>
    <row r="38" spans="1:12" x14ac:dyDescent="0.25">
      <c r="A38" t="s">
        <v>41</v>
      </c>
      <c r="B38" s="2">
        <v>42425</v>
      </c>
      <c r="C38" t="s">
        <v>20</v>
      </c>
      <c r="D38" t="s">
        <v>1636</v>
      </c>
      <c r="E38" s="5">
        <v>31700000</v>
      </c>
      <c r="F38" s="5">
        <v>34700000</v>
      </c>
      <c r="G38" s="5">
        <v>3000000</v>
      </c>
      <c r="H38" s="5">
        <v>3170000</v>
      </c>
      <c r="I38" s="5">
        <v>3470000</v>
      </c>
      <c r="J38" s="5">
        <v>32200000</v>
      </c>
      <c r="K38" s="5">
        <v>35200000</v>
      </c>
      <c r="L38" s="3">
        <v>0.97916666666666663</v>
      </c>
    </row>
    <row r="39" spans="1:12" x14ac:dyDescent="0.25">
      <c r="A39" t="s">
        <v>42</v>
      </c>
      <c r="B39" s="2">
        <v>42426</v>
      </c>
      <c r="C39" t="s">
        <v>21</v>
      </c>
      <c r="D39" t="s">
        <v>1636</v>
      </c>
      <c r="E39" s="5">
        <v>31200000</v>
      </c>
      <c r="F39" s="5">
        <v>34200000</v>
      </c>
      <c r="G39" s="5">
        <v>3000000</v>
      </c>
      <c r="H39" s="5">
        <v>3120000</v>
      </c>
      <c r="I39" s="5">
        <v>3420000</v>
      </c>
      <c r="J39" s="5">
        <v>31700000</v>
      </c>
      <c r="K39" s="5">
        <v>34700000</v>
      </c>
      <c r="L39" s="3">
        <v>0.97916666666666663</v>
      </c>
    </row>
    <row r="40" spans="1:12" x14ac:dyDescent="0.25">
      <c r="A40" t="s">
        <v>43</v>
      </c>
      <c r="B40" s="2">
        <v>42429</v>
      </c>
      <c r="C40" t="s">
        <v>16</v>
      </c>
      <c r="D40" t="s">
        <v>1636</v>
      </c>
      <c r="E40" s="5">
        <v>31600000</v>
      </c>
      <c r="F40" s="5">
        <v>34600000</v>
      </c>
      <c r="G40" s="5">
        <v>3000000</v>
      </c>
      <c r="H40" s="5">
        <v>3160000</v>
      </c>
      <c r="I40" s="5">
        <v>3460000</v>
      </c>
      <c r="J40" s="5">
        <v>32100000</v>
      </c>
      <c r="K40" s="5">
        <v>35100000</v>
      </c>
      <c r="L40" s="3">
        <v>0.97916666666666663</v>
      </c>
    </row>
    <row r="41" spans="1:12" x14ac:dyDescent="0.25">
      <c r="A41" s="2">
        <v>42372</v>
      </c>
      <c r="B41" s="2">
        <v>42430</v>
      </c>
      <c r="C41" t="s">
        <v>18</v>
      </c>
      <c r="D41" t="s">
        <v>1636</v>
      </c>
      <c r="E41" s="5">
        <v>31500000</v>
      </c>
      <c r="F41" s="5">
        <v>34500000</v>
      </c>
      <c r="G41" s="5">
        <v>3000000</v>
      </c>
      <c r="H41" s="5">
        <v>3150000</v>
      </c>
      <c r="I41" s="5">
        <v>3450000</v>
      </c>
      <c r="J41" s="5">
        <v>32000000</v>
      </c>
      <c r="K41" s="5">
        <v>35000000</v>
      </c>
      <c r="L41" s="3">
        <v>0.97916666666666663</v>
      </c>
    </row>
    <row r="42" spans="1:12" x14ac:dyDescent="0.25">
      <c r="A42" s="2">
        <v>42403</v>
      </c>
      <c r="B42" s="2">
        <v>42431</v>
      </c>
      <c r="C42" t="s">
        <v>19</v>
      </c>
      <c r="D42" t="s">
        <v>1636</v>
      </c>
      <c r="E42" s="5">
        <v>31800000</v>
      </c>
      <c r="F42" s="5">
        <v>34800000</v>
      </c>
      <c r="G42" s="5">
        <v>3000000</v>
      </c>
      <c r="H42" s="5">
        <v>3180000</v>
      </c>
      <c r="I42" s="5">
        <v>3480000</v>
      </c>
      <c r="J42" s="5">
        <v>32300000</v>
      </c>
      <c r="K42" s="5">
        <v>35300000</v>
      </c>
      <c r="L42" s="3">
        <v>0.97916666666666663</v>
      </c>
    </row>
    <row r="43" spans="1:12" x14ac:dyDescent="0.25">
      <c r="A43" s="2">
        <v>42432</v>
      </c>
      <c r="B43" s="2">
        <v>42432</v>
      </c>
      <c r="C43" t="s">
        <v>20</v>
      </c>
      <c r="D43" t="s">
        <v>1636</v>
      </c>
      <c r="E43" s="5">
        <v>32200000</v>
      </c>
      <c r="F43" s="5">
        <v>35200000</v>
      </c>
      <c r="G43" s="5">
        <v>3000000</v>
      </c>
      <c r="H43" s="5">
        <v>3220000</v>
      </c>
      <c r="I43" s="5">
        <v>3520000</v>
      </c>
      <c r="J43" s="5">
        <v>32700000</v>
      </c>
      <c r="K43" s="5">
        <v>35700000</v>
      </c>
      <c r="L43" s="3">
        <v>0.97916666666666663</v>
      </c>
    </row>
    <row r="44" spans="1:12" x14ac:dyDescent="0.25">
      <c r="A44" s="2">
        <v>42463</v>
      </c>
      <c r="B44" s="2">
        <v>42433</v>
      </c>
      <c r="C44" t="s">
        <v>21</v>
      </c>
      <c r="D44" t="s">
        <v>1636</v>
      </c>
      <c r="E44" s="5">
        <v>32600000</v>
      </c>
      <c r="F44" s="5">
        <v>35600000</v>
      </c>
      <c r="G44" s="5">
        <v>3000000</v>
      </c>
      <c r="H44" s="5">
        <v>3260000</v>
      </c>
      <c r="I44" s="5">
        <v>3560000</v>
      </c>
      <c r="J44" s="5">
        <v>33100000</v>
      </c>
      <c r="K44" s="5">
        <v>36100000</v>
      </c>
      <c r="L44" s="3">
        <v>0.97916666666666663</v>
      </c>
    </row>
    <row r="45" spans="1:12" x14ac:dyDescent="0.25">
      <c r="A45" s="2">
        <v>42554</v>
      </c>
      <c r="B45" s="2">
        <v>42436</v>
      </c>
      <c r="C45" t="s">
        <v>16</v>
      </c>
      <c r="D45" t="s">
        <v>1636</v>
      </c>
      <c r="E45" s="5">
        <v>32400000</v>
      </c>
      <c r="F45" s="5">
        <v>35400000</v>
      </c>
      <c r="G45" s="5">
        <v>3000000</v>
      </c>
      <c r="H45" s="5">
        <v>3240000</v>
      </c>
      <c r="I45" s="5">
        <v>3540000</v>
      </c>
      <c r="J45" s="5">
        <v>32900000</v>
      </c>
      <c r="K45" s="5">
        <v>35900000</v>
      </c>
      <c r="L45" s="3">
        <v>0.97916666666666663</v>
      </c>
    </row>
    <row r="46" spans="1:12" x14ac:dyDescent="0.25">
      <c r="A46" s="2">
        <v>42585</v>
      </c>
      <c r="B46" s="2">
        <v>42437</v>
      </c>
      <c r="C46" t="s">
        <v>18</v>
      </c>
      <c r="D46" t="s">
        <v>1636</v>
      </c>
      <c r="E46" s="5">
        <v>32400000</v>
      </c>
      <c r="F46" s="5">
        <v>35400000</v>
      </c>
      <c r="G46" s="5">
        <v>3000000</v>
      </c>
      <c r="H46" s="5">
        <v>3240000</v>
      </c>
      <c r="I46" s="5">
        <v>3540000</v>
      </c>
      <c r="J46" s="5">
        <v>32900000</v>
      </c>
      <c r="K46" s="5">
        <v>35900000</v>
      </c>
      <c r="L46" s="3">
        <v>0.97916666666666663</v>
      </c>
    </row>
    <row r="47" spans="1:12" x14ac:dyDescent="0.25">
      <c r="A47" s="2">
        <v>42616</v>
      </c>
      <c r="B47" s="2">
        <v>42438</v>
      </c>
      <c r="C47" t="s">
        <v>19</v>
      </c>
      <c r="D47" t="s">
        <v>1636</v>
      </c>
      <c r="E47" s="5">
        <v>32200000</v>
      </c>
      <c r="F47" s="5">
        <v>35200000</v>
      </c>
      <c r="G47" s="5">
        <v>3000000</v>
      </c>
      <c r="H47" s="5">
        <v>3220000</v>
      </c>
      <c r="I47" s="5">
        <v>3520000</v>
      </c>
      <c r="J47" s="5">
        <v>32700000</v>
      </c>
      <c r="K47" s="5">
        <v>35700000</v>
      </c>
      <c r="L47" s="3">
        <v>0.97916666666666663</v>
      </c>
    </row>
    <row r="48" spans="1:12" x14ac:dyDescent="0.25">
      <c r="A48" s="2">
        <v>42646</v>
      </c>
      <c r="B48" s="2">
        <v>42439</v>
      </c>
      <c r="C48" t="s">
        <v>20</v>
      </c>
      <c r="D48" t="s">
        <v>1636</v>
      </c>
      <c r="E48" s="5">
        <v>32600000</v>
      </c>
      <c r="F48" s="5">
        <v>35600000</v>
      </c>
      <c r="G48" s="5">
        <v>3000000</v>
      </c>
      <c r="H48" s="5">
        <v>3260000</v>
      </c>
      <c r="I48" s="5">
        <v>3560000</v>
      </c>
      <c r="J48" s="5">
        <v>33100000</v>
      </c>
      <c r="K48" s="5">
        <v>36100000</v>
      </c>
      <c r="L48" s="3">
        <v>0.97916666666666663</v>
      </c>
    </row>
    <row r="49" spans="1:12" x14ac:dyDescent="0.25">
      <c r="A49" s="2">
        <v>42677</v>
      </c>
      <c r="B49" s="2">
        <v>42440</v>
      </c>
      <c r="C49" t="s">
        <v>21</v>
      </c>
      <c r="D49" t="s">
        <v>1636</v>
      </c>
      <c r="E49" s="5">
        <v>32300000</v>
      </c>
      <c r="F49" s="5">
        <v>35300000</v>
      </c>
      <c r="G49" s="5">
        <v>3000000</v>
      </c>
      <c r="H49" s="5">
        <v>3230000</v>
      </c>
      <c r="I49" s="5">
        <v>3530000</v>
      </c>
      <c r="J49" s="5">
        <v>32800000</v>
      </c>
      <c r="K49" s="5">
        <v>35800000</v>
      </c>
      <c r="L49" s="3">
        <v>0.97916666666666663</v>
      </c>
    </row>
    <row r="50" spans="1:12" x14ac:dyDescent="0.25">
      <c r="A50" t="s">
        <v>44</v>
      </c>
      <c r="B50" s="2">
        <v>42443</v>
      </c>
      <c r="C50" t="s">
        <v>16</v>
      </c>
      <c r="D50" t="s">
        <v>1636</v>
      </c>
      <c r="E50" s="5">
        <v>31900000</v>
      </c>
      <c r="F50" s="5">
        <v>34900000</v>
      </c>
      <c r="G50" s="5">
        <v>3000000</v>
      </c>
      <c r="H50" s="5">
        <v>3190000</v>
      </c>
      <c r="I50" s="5">
        <v>3490000</v>
      </c>
      <c r="J50" s="5">
        <v>32400000</v>
      </c>
      <c r="K50" s="5">
        <v>35400000</v>
      </c>
      <c r="L50" s="3">
        <v>0.97916666666666663</v>
      </c>
    </row>
    <row r="51" spans="1:12" x14ac:dyDescent="0.25">
      <c r="A51" t="s">
        <v>45</v>
      </c>
      <c r="B51" s="2">
        <v>42444</v>
      </c>
      <c r="C51" t="s">
        <v>18</v>
      </c>
      <c r="D51" t="s">
        <v>1636</v>
      </c>
      <c r="E51" s="5">
        <v>31500000</v>
      </c>
      <c r="F51" s="5">
        <v>34500000</v>
      </c>
      <c r="G51" s="5">
        <v>3000000</v>
      </c>
      <c r="H51" s="5">
        <v>3150000</v>
      </c>
      <c r="I51" s="5">
        <v>3450000</v>
      </c>
      <c r="J51" s="5">
        <v>32000000</v>
      </c>
      <c r="K51" s="5">
        <v>35000000</v>
      </c>
      <c r="L51" s="3">
        <v>0.97916666666666663</v>
      </c>
    </row>
    <row r="52" spans="1:12" x14ac:dyDescent="0.25">
      <c r="A52" t="s">
        <v>46</v>
      </c>
      <c r="B52" s="2">
        <v>42445</v>
      </c>
      <c r="C52" t="s">
        <v>19</v>
      </c>
      <c r="D52" t="s">
        <v>1636</v>
      </c>
      <c r="E52" s="5">
        <v>31500000</v>
      </c>
      <c r="F52" s="5">
        <v>34500000</v>
      </c>
      <c r="G52" s="5">
        <v>3000000</v>
      </c>
      <c r="H52" s="5">
        <v>3150000</v>
      </c>
      <c r="I52" s="5">
        <v>3450000</v>
      </c>
      <c r="J52" s="5">
        <v>32000000</v>
      </c>
      <c r="K52" s="5">
        <v>35000000</v>
      </c>
      <c r="L52" s="3">
        <v>0.97916666666666663</v>
      </c>
    </row>
    <row r="53" spans="1:12" x14ac:dyDescent="0.25">
      <c r="A53" t="s">
        <v>47</v>
      </c>
      <c r="B53" s="2">
        <v>42446</v>
      </c>
      <c r="C53" t="s">
        <v>20</v>
      </c>
      <c r="D53" t="s">
        <v>1636</v>
      </c>
      <c r="E53" s="5">
        <v>32400000</v>
      </c>
      <c r="F53" s="5">
        <v>35400000</v>
      </c>
      <c r="G53" s="5">
        <v>3000000</v>
      </c>
      <c r="H53" s="5">
        <v>3240000</v>
      </c>
      <c r="I53" s="5">
        <v>3540000</v>
      </c>
      <c r="J53" s="5">
        <v>32900000</v>
      </c>
      <c r="K53" s="5">
        <v>35900000</v>
      </c>
      <c r="L53" s="3">
        <v>0.97916666666666663</v>
      </c>
    </row>
    <row r="54" spans="1:12" x14ac:dyDescent="0.25">
      <c r="A54" t="s">
        <v>48</v>
      </c>
      <c r="B54" s="2">
        <v>42447</v>
      </c>
      <c r="C54" t="s">
        <v>21</v>
      </c>
      <c r="D54" t="s">
        <v>1636</v>
      </c>
      <c r="E54" s="5">
        <v>32100000</v>
      </c>
      <c r="F54" s="5">
        <v>35100000</v>
      </c>
      <c r="G54" s="5">
        <v>3000000</v>
      </c>
      <c r="H54" s="5">
        <v>3210000</v>
      </c>
      <c r="I54" s="5">
        <v>3510000</v>
      </c>
      <c r="J54" s="5">
        <v>32600000</v>
      </c>
      <c r="K54" s="5">
        <v>35600000</v>
      </c>
      <c r="L54" s="3">
        <v>0.97916666666666663</v>
      </c>
    </row>
    <row r="55" spans="1:12" x14ac:dyDescent="0.25">
      <c r="A55" t="s">
        <v>49</v>
      </c>
      <c r="B55" s="2">
        <v>42450</v>
      </c>
      <c r="C55" t="s">
        <v>16</v>
      </c>
      <c r="D55" t="s">
        <v>1636</v>
      </c>
      <c r="E55" s="5">
        <v>31900000</v>
      </c>
      <c r="F55" s="5">
        <v>34900000</v>
      </c>
      <c r="G55" s="5">
        <v>3000000</v>
      </c>
      <c r="H55" s="5">
        <v>3190000</v>
      </c>
      <c r="I55" s="5">
        <v>3490000</v>
      </c>
      <c r="J55" s="5">
        <v>32400000</v>
      </c>
      <c r="K55" s="5">
        <v>35400000</v>
      </c>
      <c r="L55" s="3">
        <v>0.97916666666666663</v>
      </c>
    </row>
    <row r="56" spans="1:12" x14ac:dyDescent="0.25">
      <c r="A56" t="s">
        <v>50</v>
      </c>
      <c r="B56" s="2">
        <v>42451</v>
      </c>
      <c r="C56" t="s">
        <v>18</v>
      </c>
      <c r="D56" t="s">
        <v>1636</v>
      </c>
      <c r="E56" s="5">
        <v>32000000</v>
      </c>
      <c r="F56" s="5">
        <v>35000000</v>
      </c>
      <c r="G56" s="5">
        <v>3000000</v>
      </c>
      <c r="H56" s="5">
        <v>3200000</v>
      </c>
      <c r="I56" s="5">
        <v>3500000</v>
      </c>
      <c r="J56" s="5">
        <v>32500000</v>
      </c>
      <c r="K56" s="5">
        <v>35500000</v>
      </c>
      <c r="L56" s="3">
        <v>0.97916666666666663</v>
      </c>
    </row>
    <row r="57" spans="1:12" x14ac:dyDescent="0.25">
      <c r="A57" t="s">
        <v>51</v>
      </c>
      <c r="B57" s="2">
        <v>42452</v>
      </c>
      <c r="C57" t="s">
        <v>19</v>
      </c>
      <c r="D57" t="s">
        <v>1636</v>
      </c>
      <c r="E57" s="5">
        <v>31300000</v>
      </c>
      <c r="F57" s="5">
        <v>34300000</v>
      </c>
      <c r="G57" s="5">
        <v>3000000</v>
      </c>
      <c r="H57" s="5">
        <v>3130000</v>
      </c>
      <c r="I57" s="5">
        <v>3430000</v>
      </c>
      <c r="J57" s="5">
        <v>31800000</v>
      </c>
      <c r="K57" s="5">
        <v>34800000</v>
      </c>
      <c r="L57" s="3">
        <v>0.97916666666666663</v>
      </c>
    </row>
    <row r="58" spans="1:12" x14ac:dyDescent="0.25">
      <c r="A58" t="s">
        <v>52</v>
      </c>
      <c r="B58" s="2">
        <v>42453</v>
      </c>
      <c r="C58" t="s">
        <v>20</v>
      </c>
      <c r="D58" t="s">
        <v>1636</v>
      </c>
      <c r="E58" s="5">
        <v>31200000</v>
      </c>
      <c r="F58" s="5">
        <v>34200000</v>
      </c>
      <c r="G58" s="5">
        <v>3000000</v>
      </c>
      <c r="H58" s="5">
        <v>3120000</v>
      </c>
      <c r="I58" s="5">
        <v>3420000</v>
      </c>
      <c r="J58" s="5">
        <v>31700000</v>
      </c>
      <c r="K58" s="5">
        <v>34700000</v>
      </c>
      <c r="L58" s="3">
        <v>0.97916666666666663</v>
      </c>
    </row>
    <row r="59" spans="1:12" x14ac:dyDescent="0.25">
      <c r="A59" t="s">
        <v>53</v>
      </c>
      <c r="B59" s="2">
        <v>42457</v>
      </c>
      <c r="C59" t="s">
        <v>16</v>
      </c>
      <c r="D59" t="s">
        <v>1636</v>
      </c>
      <c r="E59" s="5">
        <v>31200000</v>
      </c>
      <c r="F59" s="5">
        <v>34200000</v>
      </c>
      <c r="G59" s="5">
        <v>3000000</v>
      </c>
      <c r="H59" s="5">
        <v>3120000</v>
      </c>
      <c r="I59" s="5">
        <v>3420000</v>
      </c>
      <c r="J59" s="5">
        <v>31700000</v>
      </c>
      <c r="K59" s="5">
        <v>34700000</v>
      </c>
      <c r="L59" s="3">
        <v>0.97916666666666663</v>
      </c>
    </row>
    <row r="60" spans="1:12" x14ac:dyDescent="0.25">
      <c r="A60" t="s">
        <v>54</v>
      </c>
      <c r="B60" s="2">
        <v>42458</v>
      </c>
      <c r="C60" t="s">
        <v>18</v>
      </c>
      <c r="D60" t="s">
        <v>1636</v>
      </c>
      <c r="E60" s="5">
        <v>31600000</v>
      </c>
      <c r="F60" s="5">
        <v>34600000</v>
      </c>
      <c r="G60" s="5">
        <v>3000000</v>
      </c>
      <c r="H60" s="5">
        <v>3160000</v>
      </c>
      <c r="I60" s="5">
        <v>3460000</v>
      </c>
      <c r="J60" s="5">
        <v>32100000</v>
      </c>
      <c r="K60" s="5">
        <v>35100000</v>
      </c>
      <c r="L60" s="3">
        <v>0.97916666666666663</v>
      </c>
    </row>
    <row r="61" spans="1:12" x14ac:dyDescent="0.25">
      <c r="A61" t="s">
        <v>55</v>
      </c>
      <c r="B61" s="2">
        <v>42459</v>
      </c>
      <c r="C61" t="s">
        <v>19</v>
      </c>
      <c r="D61" t="s">
        <v>1636</v>
      </c>
      <c r="E61" s="5">
        <v>31400000</v>
      </c>
      <c r="F61" s="5">
        <v>34400000</v>
      </c>
      <c r="G61" s="5">
        <v>3000000</v>
      </c>
      <c r="H61" s="5">
        <v>3140000</v>
      </c>
      <c r="I61" s="5">
        <v>3440000</v>
      </c>
      <c r="J61" s="5">
        <v>31900000</v>
      </c>
      <c r="K61" s="5">
        <v>34900000</v>
      </c>
      <c r="L61" s="3">
        <v>0.97916666666666663</v>
      </c>
    </row>
    <row r="62" spans="1:12" x14ac:dyDescent="0.25">
      <c r="A62" t="s">
        <v>56</v>
      </c>
      <c r="B62" s="2">
        <v>42460</v>
      </c>
      <c r="C62" t="s">
        <v>20</v>
      </c>
      <c r="D62" t="s">
        <v>1636</v>
      </c>
      <c r="E62" s="5">
        <v>31600000</v>
      </c>
      <c r="F62" s="5">
        <v>34600000</v>
      </c>
      <c r="G62" s="5">
        <v>3000000</v>
      </c>
      <c r="H62" s="5">
        <v>3160000</v>
      </c>
      <c r="I62" s="5">
        <v>3460000</v>
      </c>
      <c r="J62" s="5">
        <v>32100000</v>
      </c>
      <c r="K62" s="5">
        <v>35100000</v>
      </c>
      <c r="L62" s="3">
        <v>0.97916666666666663</v>
      </c>
    </row>
    <row r="63" spans="1:12" x14ac:dyDescent="0.25">
      <c r="A63" s="2">
        <v>42373</v>
      </c>
      <c r="B63" s="2">
        <v>42461</v>
      </c>
      <c r="C63" t="s">
        <v>21</v>
      </c>
      <c r="D63" t="s">
        <v>1636</v>
      </c>
      <c r="E63" s="5">
        <v>31300000</v>
      </c>
      <c r="F63" s="5">
        <v>34300000</v>
      </c>
      <c r="G63" s="5">
        <v>3000000</v>
      </c>
      <c r="H63" s="5">
        <v>3130000</v>
      </c>
      <c r="I63" s="5">
        <v>3430000</v>
      </c>
      <c r="J63" s="5">
        <v>31800000</v>
      </c>
      <c r="K63" s="5">
        <v>34800000</v>
      </c>
      <c r="L63" s="3">
        <v>0.97916666666666663</v>
      </c>
    </row>
    <row r="64" spans="1:12" x14ac:dyDescent="0.25">
      <c r="A64" s="2">
        <v>42464</v>
      </c>
      <c r="B64" s="2">
        <v>42464</v>
      </c>
      <c r="C64" t="s">
        <v>16</v>
      </c>
      <c r="D64" t="s">
        <v>1636</v>
      </c>
      <c r="E64" s="5">
        <v>31100000</v>
      </c>
      <c r="F64" s="5">
        <v>34100000</v>
      </c>
      <c r="G64" s="5">
        <v>3000000</v>
      </c>
      <c r="H64" s="5">
        <v>3110000</v>
      </c>
      <c r="I64" s="5">
        <v>3410000</v>
      </c>
      <c r="J64" s="5">
        <v>31600000</v>
      </c>
      <c r="K64" s="5">
        <v>34600000</v>
      </c>
      <c r="L64" s="3">
        <v>0.97916666666666663</v>
      </c>
    </row>
    <row r="65" spans="1:12" x14ac:dyDescent="0.25">
      <c r="A65" s="2">
        <v>42494</v>
      </c>
      <c r="B65" s="2">
        <v>42465</v>
      </c>
      <c r="C65" t="s">
        <v>18</v>
      </c>
      <c r="D65" t="s">
        <v>1636</v>
      </c>
      <c r="E65" s="5">
        <v>31400000</v>
      </c>
      <c r="F65" s="5">
        <v>34400000</v>
      </c>
      <c r="G65" s="5">
        <v>3000000</v>
      </c>
      <c r="H65" s="5">
        <v>3140000</v>
      </c>
      <c r="I65" s="5">
        <v>3440000</v>
      </c>
      <c r="J65" s="5">
        <v>31900000</v>
      </c>
      <c r="K65" s="5">
        <v>34900000</v>
      </c>
      <c r="L65" s="3">
        <v>0.97916666666666663</v>
      </c>
    </row>
    <row r="66" spans="1:12" x14ac:dyDescent="0.25">
      <c r="A66" s="2">
        <v>42525</v>
      </c>
      <c r="B66" s="2">
        <v>42466</v>
      </c>
      <c r="C66" t="s">
        <v>19</v>
      </c>
      <c r="D66" t="s">
        <v>1636</v>
      </c>
      <c r="E66" s="5">
        <v>31300000</v>
      </c>
      <c r="F66" s="5">
        <v>34300000</v>
      </c>
      <c r="G66" s="5">
        <v>3000000</v>
      </c>
      <c r="H66" s="5">
        <v>3130000</v>
      </c>
      <c r="I66" s="5">
        <v>3430000</v>
      </c>
      <c r="J66" s="5">
        <v>31800000</v>
      </c>
      <c r="K66" s="5">
        <v>34800000</v>
      </c>
      <c r="L66" s="3">
        <v>0.97916666666666663</v>
      </c>
    </row>
    <row r="67" spans="1:12" x14ac:dyDescent="0.25">
      <c r="A67" s="2">
        <v>42555</v>
      </c>
      <c r="B67" s="2">
        <v>42467</v>
      </c>
      <c r="C67" t="s">
        <v>20</v>
      </c>
      <c r="D67" t="s">
        <v>1636</v>
      </c>
      <c r="E67" s="5">
        <v>31600000</v>
      </c>
      <c r="F67" s="5">
        <v>34600000</v>
      </c>
      <c r="G67" s="5">
        <v>3000000</v>
      </c>
      <c r="H67" s="5">
        <v>3160000</v>
      </c>
      <c r="I67" s="5">
        <v>3460000</v>
      </c>
      <c r="J67" s="5">
        <v>32100000</v>
      </c>
      <c r="K67" s="5">
        <v>35100000</v>
      </c>
      <c r="L67" s="3">
        <v>0.97916666666666663</v>
      </c>
    </row>
    <row r="68" spans="1:12" x14ac:dyDescent="0.25">
      <c r="A68" s="2">
        <v>42586</v>
      </c>
      <c r="B68" s="2">
        <v>42468</v>
      </c>
      <c r="C68" t="s">
        <v>21</v>
      </c>
      <c r="D68" t="s">
        <v>1636</v>
      </c>
      <c r="E68" s="5">
        <v>31800000</v>
      </c>
      <c r="F68" s="5">
        <v>34800000</v>
      </c>
      <c r="G68" s="5">
        <v>3000000</v>
      </c>
      <c r="H68" s="5">
        <v>3180000</v>
      </c>
      <c r="I68" s="5">
        <v>3480000</v>
      </c>
      <c r="J68" s="5">
        <v>32300000</v>
      </c>
      <c r="K68" s="5">
        <v>35300000</v>
      </c>
      <c r="L68" s="3">
        <v>0.97916666666666663</v>
      </c>
    </row>
    <row r="69" spans="1:12" x14ac:dyDescent="0.25">
      <c r="A69" s="2">
        <v>42678</v>
      </c>
      <c r="B69" s="2">
        <v>42471</v>
      </c>
      <c r="C69" t="s">
        <v>16</v>
      </c>
      <c r="D69" t="s">
        <v>1636</v>
      </c>
      <c r="E69" s="5">
        <v>32200000</v>
      </c>
      <c r="F69" s="5">
        <v>35200000</v>
      </c>
      <c r="G69" s="5">
        <v>3000000</v>
      </c>
      <c r="H69" s="5">
        <v>3220000</v>
      </c>
      <c r="I69" s="5">
        <v>3520000</v>
      </c>
      <c r="J69" s="5">
        <v>32700000</v>
      </c>
      <c r="K69" s="5">
        <v>35700000</v>
      </c>
      <c r="L69" s="3">
        <v>0.97916666666666663</v>
      </c>
    </row>
    <row r="70" spans="1:12" x14ac:dyDescent="0.25">
      <c r="A70" s="2">
        <v>42708</v>
      </c>
      <c r="B70" s="2">
        <v>42472</v>
      </c>
      <c r="C70" t="s">
        <v>18</v>
      </c>
      <c r="D70" t="s">
        <v>1636</v>
      </c>
      <c r="E70" s="5">
        <v>32300000</v>
      </c>
      <c r="F70" s="5">
        <v>35300000</v>
      </c>
      <c r="G70" s="5">
        <v>3000000</v>
      </c>
      <c r="H70" s="5">
        <v>3230000</v>
      </c>
      <c r="I70" s="5">
        <v>3530000</v>
      </c>
      <c r="J70" s="5">
        <v>32800000</v>
      </c>
      <c r="K70" s="5">
        <v>35800000</v>
      </c>
      <c r="L70" s="3">
        <v>0.97916666666666663</v>
      </c>
    </row>
    <row r="71" spans="1:12" x14ac:dyDescent="0.25">
      <c r="A71" t="s">
        <v>57</v>
      </c>
      <c r="B71" s="2">
        <v>42473</v>
      </c>
      <c r="C71" t="s">
        <v>19</v>
      </c>
      <c r="D71" t="s">
        <v>1636</v>
      </c>
      <c r="E71" s="5">
        <v>31900000</v>
      </c>
      <c r="F71" s="5">
        <v>34900000</v>
      </c>
      <c r="G71" s="5">
        <v>3000000</v>
      </c>
      <c r="H71" s="5">
        <v>3190000</v>
      </c>
      <c r="I71" s="5">
        <v>3490000</v>
      </c>
      <c r="J71" s="5">
        <v>32400000</v>
      </c>
      <c r="K71" s="5">
        <v>35400000</v>
      </c>
      <c r="L71" s="3">
        <v>0.97916666666666663</v>
      </c>
    </row>
    <row r="72" spans="1:12" x14ac:dyDescent="0.25">
      <c r="A72" t="s">
        <v>58</v>
      </c>
      <c r="B72" s="2">
        <v>42474</v>
      </c>
      <c r="C72" t="s">
        <v>20</v>
      </c>
      <c r="D72" t="s">
        <v>1636</v>
      </c>
      <c r="E72" s="5">
        <v>31300000</v>
      </c>
      <c r="F72" s="5">
        <v>34300000</v>
      </c>
      <c r="G72" s="5">
        <v>3000000</v>
      </c>
      <c r="H72" s="5">
        <v>3130000</v>
      </c>
      <c r="I72" s="5">
        <v>3430000</v>
      </c>
      <c r="J72" s="5">
        <v>31800000</v>
      </c>
      <c r="K72" s="5">
        <v>34800000</v>
      </c>
      <c r="L72" s="3">
        <v>0.97916666666666663</v>
      </c>
    </row>
    <row r="73" spans="1:12" x14ac:dyDescent="0.25">
      <c r="A73" t="s">
        <v>59</v>
      </c>
      <c r="B73" s="2">
        <v>42475</v>
      </c>
      <c r="C73" t="s">
        <v>21</v>
      </c>
      <c r="D73" t="s">
        <v>1636</v>
      </c>
      <c r="E73" s="5">
        <v>31600000</v>
      </c>
      <c r="F73" s="5">
        <v>34600000</v>
      </c>
      <c r="G73" s="5">
        <v>3000000</v>
      </c>
      <c r="H73" s="5">
        <v>3160000</v>
      </c>
      <c r="I73" s="5">
        <v>3460000</v>
      </c>
      <c r="J73" s="5">
        <v>32100000</v>
      </c>
      <c r="K73" s="5">
        <v>35100000</v>
      </c>
      <c r="L73" s="3">
        <v>0.97916666666666663</v>
      </c>
    </row>
    <row r="74" spans="1:12" x14ac:dyDescent="0.25">
      <c r="A74" t="s">
        <v>60</v>
      </c>
      <c r="B74" s="2">
        <v>42478</v>
      </c>
      <c r="C74" t="s">
        <v>16</v>
      </c>
      <c r="D74" t="s">
        <v>1636</v>
      </c>
      <c r="E74" s="5">
        <v>31600000</v>
      </c>
      <c r="F74" s="5">
        <v>34600000</v>
      </c>
      <c r="G74" s="5">
        <v>3000000</v>
      </c>
      <c r="H74" s="5">
        <v>3160000</v>
      </c>
      <c r="I74" s="5">
        <v>3460000</v>
      </c>
      <c r="J74" s="5">
        <v>32100000</v>
      </c>
      <c r="K74" s="5">
        <v>35100000</v>
      </c>
      <c r="L74" s="3">
        <v>0.97916666666666663</v>
      </c>
    </row>
    <row r="75" spans="1:12" x14ac:dyDescent="0.25">
      <c r="A75" t="s">
        <v>61</v>
      </c>
      <c r="B75" s="2">
        <v>42479</v>
      </c>
      <c r="C75" t="s">
        <v>18</v>
      </c>
      <c r="D75" t="s">
        <v>1636</v>
      </c>
      <c r="E75" s="5">
        <v>32100000</v>
      </c>
      <c r="F75" s="5">
        <v>35100000</v>
      </c>
      <c r="G75" s="5">
        <v>3000000</v>
      </c>
      <c r="H75" s="5">
        <v>3210000</v>
      </c>
      <c r="I75" s="5">
        <v>3510000</v>
      </c>
      <c r="J75" s="5">
        <v>32600000</v>
      </c>
      <c r="K75" s="5">
        <v>35600000</v>
      </c>
      <c r="L75" s="3">
        <v>0.97916666666666663</v>
      </c>
    </row>
    <row r="76" spans="1:12" x14ac:dyDescent="0.25">
      <c r="A76" t="s">
        <v>62</v>
      </c>
      <c r="B76" s="2">
        <v>42480</v>
      </c>
      <c r="C76" t="s">
        <v>19</v>
      </c>
      <c r="D76" t="s">
        <v>1636</v>
      </c>
      <c r="E76" s="5">
        <v>32100000</v>
      </c>
      <c r="F76" s="5">
        <v>35100000</v>
      </c>
      <c r="G76" s="5">
        <v>3000000</v>
      </c>
      <c r="H76" s="5">
        <v>3210000</v>
      </c>
      <c r="I76" s="5">
        <v>3510000</v>
      </c>
      <c r="J76" s="5">
        <v>32600000</v>
      </c>
      <c r="K76" s="5">
        <v>35600000</v>
      </c>
      <c r="L76" s="3">
        <v>0.97916666666666663</v>
      </c>
    </row>
    <row r="77" spans="1:12" x14ac:dyDescent="0.25">
      <c r="A77" t="s">
        <v>63</v>
      </c>
      <c r="B77" s="2">
        <v>42481</v>
      </c>
      <c r="C77" t="s">
        <v>20</v>
      </c>
      <c r="D77" t="s">
        <v>1636</v>
      </c>
      <c r="E77" s="5">
        <v>32000000</v>
      </c>
      <c r="F77" s="5">
        <v>35000000</v>
      </c>
      <c r="G77" s="5">
        <v>3000000</v>
      </c>
      <c r="H77" s="5">
        <v>3200000</v>
      </c>
      <c r="I77" s="5">
        <v>3500000</v>
      </c>
      <c r="J77" s="5">
        <v>32500000</v>
      </c>
      <c r="K77" s="5">
        <v>35500000</v>
      </c>
      <c r="L77" s="3">
        <v>0.97916666666666663</v>
      </c>
    </row>
    <row r="78" spans="1:12" x14ac:dyDescent="0.25">
      <c r="A78" t="s">
        <v>64</v>
      </c>
      <c r="B78" s="2">
        <v>42482</v>
      </c>
      <c r="C78" t="s">
        <v>21</v>
      </c>
      <c r="D78" t="s">
        <v>1636</v>
      </c>
      <c r="E78" s="5">
        <v>31400000</v>
      </c>
      <c r="F78" s="5">
        <v>34400000</v>
      </c>
      <c r="G78" s="5">
        <v>3000000</v>
      </c>
      <c r="H78" s="5">
        <v>3140000</v>
      </c>
      <c r="I78" s="5">
        <v>3440000</v>
      </c>
      <c r="J78" s="5">
        <v>31900000</v>
      </c>
      <c r="K78" s="5">
        <v>34900000</v>
      </c>
      <c r="L78" s="3">
        <v>0.97916666666666663</v>
      </c>
    </row>
    <row r="79" spans="1:12" x14ac:dyDescent="0.25">
      <c r="A79" t="s">
        <v>65</v>
      </c>
      <c r="B79" s="2">
        <v>42485</v>
      </c>
      <c r="C79" t="s">
        <v>16</v>
      </c>
      <c r="D79" t="s">
        <v>1636</v>
      </c>
      <c r="E79" s="5">
        <v>31700000</v>
      </c>
      <c r="F79" s="5">
        <v>34700000</v>
      </c>
      <c r="G79" s="5">
        <v>3000000</v>
      </c>
      <c r="H79" s="5">
        <v>3170000</v>
      </c>
      <c r="I79" s="5">
        <v>3470000</v>
      </c>
      <c r="J79" s="5">
        <v>32200000</v>
      </c>
      <c r="K79" s="5">
        <v>35200000</v>
      </c>
      <c r="L79" s="3">
        <v>0.97916666666666663</v>
      </c>
    </row>
    <row r="80" spans="1:12" x14ac:dyDescent="0.25">
      <c r="A80" t="s">
        <v>66</v>
      </c>
      <c r="B80" s="2">
        <v>42486</v>
      </c>
      <c r="C80" t="s">
        <v>18</v>
      </c>
      <c r="D80" t="s">
        <v>1636</v>
      </c>
      <c r="E80" s="5">
        <v>31800000</v>
      </c>
      <c r="F80" s="5">
        <v>34800000</v>
      </c>
      <c r="G80" s="5">
        <v>3000000</v>
      </c>
      <c r="H80" s="5">
        <v>3180000</v>
      </c>
      <c r="I80" s="5">
        <v>3480000</v>
      </c>
      <c r="J80" s="5">
        <v>32300000</v>
      </c>
      <c r="K80" s="5">
        <v>35300000</v>
      </c>
      <c r="L80" s="3">
        <v>0.97916666666666663</v>
      </c>
    </row>
    <row r="81" spans="1:12" x14ac:dyDescent="0.25">
      <c r="A81" t="s">
        <v>67</v>
      </c>
      <c r="B81" s="2">
        <v>42487</v>
      </c>
      <c r="C81" t="s">
        <v>19</v>
      </c>
      <c r="D81" t="s">
        <v>1636</v>
      </c>
      <c r="E81" s="5">
        <v>32000000</v>
      </c>
      <c r="F81" s="5">
        <v>35000000</v>
      </c>
      <c r="G81" s="5">
        <v>3000000</v>
      </c>
      <c r="H81" s="5">
        <v>3200000</v>
      </c>
      <c r="I81" s="5">
        <v>3500000</v>
      </c>
      <c r="J81" s="5">
        <v>32500000</v>
      </c>
      <c r="K81" s="5">
        <v>35500000</v>
      </c>
      <c r="L81" s="3">
        <v>0.97916666666666663</v>
      </c>
    </row>
    <row r="82" spans="1:12" x14ac:dyDescent="0.25">
      <c r="A82" t="s">
        <v>68</v>
      </c>
      <c r="B82" s="2">
        <v>42488</v>
      </c>
      <c r="C82" t="s">
        <v>20</v>
      </c>
      <c r="D82" t="s">
        <v>1636</v>
      </c>
      <c r="E82" s="5">
        <v>32500000</v>
      </c>
      <c r="F82" s="5">
        <v>35500000</v>
      </c>
      <c r="G82" s="5">
        <v>3000000</v>
      </c>
      <c r="H82" s="5">
        <v>3250000</v>
      </c>
      <c r="I82" s="5">
        <v>3550000</v>
      </c>
      <c r="J82" s="5">
        <v>33000000</v>
      </c>
      <c r="K82" s="5">
        <v>36000000</v>
      </c>
      <c r="L82" s="3">
        <v>0.97916666666666663</v>
      </c>
    </row>
    <row r="83" spans="1:12" x14ac:dyDescent="0.25">
      <c r="A83" t="s">
        <v>69</v>
      </c>
      <c r="B83" s="2">
        <v>42489</v>
      </c>
      <c r="C83" t="s">
        <v>21</v>
      </c>
      <c r="D83" t="s">
        <v>1636</v>
      </c>
      <c r="E83" s="5">
        <v>33100000</v>
      </c>
      <c r="F83" s="5">
        <v>36100000</v>
      </c>
      <c r="G83" s="5">
        <v>3000000</v>
      </c>
      <c r="H83" s="5">
        <v>3310000</v>
      </c>
      <c r="I83" s="5">
        <v>3610000</v>
      </c>
      <c r="J83" s="5">
        <v>33600000</v>
      </c>
      <c r="K83" s="5">
        <v>36600000</v>
      </c>
      <c r="L83" s="3">
        <v>0.97916666666666663</v>
      </c>
    </row>
    <row r="84" spans="1:12" x14ac:dyDescent="0.25">
      <c r="A84" s="2">
        <v>42405</v>
      </c>
      <c r="B84" s="2">
        <v>42492</v>
      </c>
      <c r="C84" t="s">
        <v>16</v>
      </c>
      <c r="D84" t="s">
        <v>1636</v>
      </c>
      <c r="E84" s="5">
        <v>33300000</v>
      </c>
      <c r="F84" s="5">
        <v>36300000</v>
      </c>
      <c r="G84" s="5">
        <v>3000000</v>
      </c>
      <c r="H84" s="5">
        <v>3330000</v>
      </c>
      <c r="I84" s="5">
        <v>3630000</v>
      </c>
      <c r="J84" s="5">
        <v>33800000</v>
      </c>
      <c r="K84" s="5">
        <v>36800000</v>
      </c>
      <c r="L84" s="3">
        <v>0.97916666666666663</v>
      </c>
    </row>
    <row r="85" spans="1:12" x14ac:dyDescent="0.25">
      <c r="A85" s="2">
        <v>42434</v>
      </c>
      <c r="B85" s="2">
        <v>42493</v>
      </c>
      <c r="C85" t="s">
        <v>18</v>
      </c>
      <c r="D85" t="s">
        <v>1636</v>
      </c>
      <c r="E85" s="5">
        <v>33200000</v>
      </c>
      <c r="F85" s="5">
        <v>36200000</v>
      </c>
      <c r="G85" s="5">
        <v>3000000</v>
      </c>
      <c r="H85" s="5">
        <v>3320000</v>
      </c>
      <c r="I85" s="5">
        <v>3620000</v>
      </c>
      <c r="J85" s="5">
        <v>33700000</v>
      </c>
      <c r="K85" s="5">
        <v>36700000</v>
      </c>
      <c r="L85" s="3">
        <v>0.97916666666666663</v>
      </c>
    </row>
    <row r="86" spans="1:12" x14ac:dyDescent="0.25">
      <c r="A86" s="2">
        <v>42465</v>
      </c>
      <c r="B86" s="2">
        <v>42494</v>
      </c>
      <c r="C86" t="s">
        <v>19</v>
      </c>
      <c r="D86" t="s">
        <v>1636</v>
      </c>
      <c r="E86" s="5">
        <v>32700000</v>
      </c>
      <c r="F86" s="5">
        <v>35700000</v>
      </c>
      <c r="G86" s="5">
        <v>3000000</v>
      </c>
      <c r="H86" s="5">
        <v>3270000</v>
      </c>
      <c r="I86" s="5">
        <v>3570000</v>
      </c>
      <c r="J86" s="5">
        <v>33200000</v>
      </c>
      <c r="K86" s="5">
        <v>36200000</v>
      </c>
      <c r="L86" s="3">
        <v>0.97916666666666663</v>
      </c>
    </row>
    <row r="87" spans="1:12" x14ac:dyDescent="0.25">
      <c r="A87" s="2">
        <v>42495</v>
      </c>
      <c r="B87" s="2">
        <v>42495</v>
      </c>
      <c r="C87" t="s">
        <v>20</v>
      </c>
      <c r="D87" t="s">
        <v>1636</v>
      </c>
      <c r="E87" s="5">
        <v>32600000</v>
      </c>
      <c r="F87" s="5">
        <v>35600000</v>
      </c>
      <c r="G87" s="5">
        <v>3000000</v>
      </c>
      <c r="H87" s="5">
        <v>3260000</v>
      </c>
      <c r="I87" s="5">
        <v>3560000</v>
      </c>
      <c r="J87" s="5">
        <v>33100000</v>
      </c>
      <c r="K87" s="5">
        <v>36100000</v>
      </c>
      <c r="L87" s="3">
        <v>0.97916666666666663</v>
      </c>
    </row>
    <row r="88" spans="1:12" x14ac:dyDescent="0.25">
      <c r="A88" s="2">
        <v>42526</v>
      </c>
      <c r="B88" s="2">
        <v>42496</v>
      </c>
      <c r="C88" t="s">
        <v>21</v>
      </c>
      <c r="D88" t="s">
        <v>1636</v>
      </c>
      <c r="E88" s="5">
        <v>33200000</v>
      </c>
      <c r="F88" s="5">
        <v>36200000</v>
      </c>
      <c r="G88" s="5">
        <v>3000000</v>
      </c>
      <c r="H88" s="5">
        <v>3320000</v>
      </c>
      <c r="I88" s="5">
        <v>3620000</v>
      </c>
      <c r="J88" s="5">
        <v>33700000</v>
      </c>
      <c r="K88" s="5">
        <v>36700000</v>
      </c>
      <c r="L88" s="3">
        <v>0.97916666666666663</v>
      </c>
    </row>
    <row r="89" spans="1:12" x14ac:dyDescent="0.25">
      <c r="A89" s="2">
        <v>42618</v>
      </c>
      <c r="B89" s="2">
        <v>42499</v>
      </c>
      <c r="C89" t="s">
        <v>16</v>
      </c>
      <c r="D89" t="s">
        <v>1636</v>
      </c>
      <c r="E89" s="5">
        <v>32500000</v>
      </c>
      <c r="F89" s="5">
        <v>35500000</v>
      </c>
      <c r="G89" s="5">
        <v>3000000</v>
      </c>
      <c r="H89" s="5">
        <v>3250000</v>
      </c>
      <c r="I89" s="5">
        <v>3550000</v>
      </c>
      <c r="J89" s="5">
        <v>33000000</v>
      </c>
      <c r="K89" s="5">
        <v>36000000</v>
      </c>
      <c r="L89" s="3">
        <v>0.97916666666666663</v>
      </c>
    </row>
    <row r="90" spans="1:12" x14ac:dyDescent="0.25">
      <c r="A90" s="2">
        <v>42648</v>
      </c>
      <c r="B90" s="2">
        <v>42500</v>
      </c>
      <c r="C90" t="s">
        <v>18</v>
      </c>
      <c r="D90" t="s">
        <v>1636</v>
      </c>
      <c r="E90" s="5">
        <v>32400000</v>
      </c>
      <c r="F90" s="5">
        <v>35400000</v>
      </c>
      <c r="G90" s="5">
        <v>3000000</v>
      </c>
      <c r="H90" s="5">
        <v>3240000</v>
      </c>
      <c r="I90" s="5">
        <v>3540000</v>
      </c>
      <c r="J90" s="5">
        <v>32900000</v>
      </c>
      <c r="K90" s="5">
        <v>35900000</v>
      </c>
      <c r="L90" s="3">
        <v>0.97916666666666663</v>
      </c>
    </row>
    <row r="91" spans="1:12" x14ac:dyDescent="0.25">
      <c r="A91" s="2">
        <v>42679</v>
      </c>
      <c r="B91" s="2">
        <v>42501</v>
      </c>
      <c r="C91" t="s">
        <v>19</v>
      </c>
      <c r="D91" t="s">
        <v>1636</v>
      </c>
      <c r="E91" s="5">
        <v>32700000</v>
      </c>
      <c r="F91" s="5">
        <v>35700000</v>
      </c>
      <c r="G91" s="5">
        <v>3000000</v>
      </c>
      <c r="H91" s="5">
        <v>3270000</v>
      </c>
      <c r="I91" s="5">
        <v>3570000</v>
      </c>
      <c r="J91" s="5">
        <v>33200000</v>
      </c>
      <c r="K91" s="5">
        <v>36200000</v>
      </c>
      <c r="L91" s="3">
        <v>0.97916666666666663</v>
      </c>
    </row>
    <row r="92" spans="1:12" x14ac:dyDescent="0.25">
      <c r="A92" s="2">
        <v>42709</v>
      </c>
      <c r="B92" s="2">
        <v>42502</v>
      </c>
      <c r="C92" t="s">
        <v>20</v>
      </c>
      <c r="D92" t="s">
        <v>1636</v>
      </c>
      <c r="E92" s="5">
        <v>32600000</v>
      </c>
      <c r="F92" s="5">
        <v>35600000</v>
      </c>
      <c r="G92" s="5">
        <v>3000000</v>
      </c>
      <c r="H92" s="5">
        <v>3260000</v>
      </c>
      <c r="I92" s="5">
        <v>3560000</v>
      </c>
      <c r="J92" s="5">
        <v>33100000</v>
      </c>
      <c r="K92" s="5">
        <v>36100000</v>
      </c>
      <c r="L92" s="3">
        <v>0.97916666666666663</v>
      </c>
    </row>
    <row r="93" spans="1:12" x14ac:dyDescent="0.25">
      <c r="A93" t="s">
        <v>70</v>
      </c>
      <c r="B93" s="2">
        <v>42503</v>
      </c>
      <c r="C93" t="s">
        <v>21</v>
      </c>
      <c r="D93" t="s">
        <v>1636</v>
      </c>
      <c r="E93" s="5">
        <v>32600000</v>
      </c>
      <c r="F93" s="5">
        <v>35600000</v>
      </c>
      <c r="G93" s="5">
        <v>3000000</v>
      </c>
      <c r="H93" s="5">
        <v>3260000</v>
      </c>
      <c r="I93" s="5">
        <v>3560000</v>
      </c>
      <c r="J93" s="5">
        <v>33100000</v>
      </c>
      <c r="K93" s="5">
        <v>36100000</v>
      </c>
      <c r="L93" s="3">
        <v>0.97916666666666663</v>
      </c>
    </row>
    <row r="94" spans="1:12" x14ac:dyDescent="0.25">
      <c r="A94" t="s">
        <v>71</v>
      </c>
      <c r="B94" s="2">
        <v>42506</v>
      </c>
      <c r="C94" t="s">
        <v>16</v>
      </c>
      <c r="D94" t="s">
        <v>1636</v>
      </c>
      <c r="E94" s="5">
        <v>32700000</v>
      </c>
      <c r="F94" s="5">
        <v>35700000</v>
      </c>
      <c r="G94" s="5">
        <v>3000000</v>
      </c>
      <c r="H94" s="5">
        <v>3270000</v>
      </c>
      <c r="I94" s="5">
        <v>3570000</v>
      </c>
      <c r="J94" s="5">
        <v>33200000</v>
      </c>
      <c r="K94" s="5">
        <v>36200000</v>
      </c>
      <c r="L94" s="3">
        <v>0.97916666666666663</v>
      </c>
    </row>
    <row r="95" spans="1:12" x14ac:dyDescent="0.25">
      <c r="A95" t="s">
        <v>72</v>
      </c>
      <c r="B95" s="2">
        <v>42507</v>
      </c>
      <c r="C95" t="s">
        <v>18</v>
      </c>
      <c r="D95" t="s">
        <v>1636</v>
      </c>
      <c r="E95" s="5">
        <v>32800000</v>
      </c>
      <c r="F95" s="5">
        <v>35800000</v>
      </c>
      <c r="G95" s="5">
        <v>3000000</v>
      </c>
      <c r="H95" s="5">
        <v>3280000</v>
      </c>
      <c r="I95" s="5">
        <v>3580000</v>
      </c>
      <c r="J95" s="5">
        <v>33300000</v>
      </c>
      <c r="K95" s="5">
        <v>36300000</v>
      </c>
      <c r="L95" s="3">
        <v>0.97916666666666663</v>
      </c>
    </row>
    <row r="96" spans="1:12" x14ac:dyDescent="0.25">
      <c r="A96" t="s">
        <v>73</v>
      </c>
      <c r="B96" s="2">
        <v>42508</v>
      </c>
      <c r="C96" t="s">
        <v>19</v>
      </c>
      <c r="D96" t="s">
        <v>1636</v>
      </c>
      <c r="E96" s="5">
        <v>32700000</v>
      </c>
      <c r="F96" s="5">
        <v>35700000</v>
      </c>
      <c r="G96" s="5">
        <v>3000000</v>
      </c>
      <c r="H96" s="5">
        <v>3270000</v>
      </c>
      <c r="I96" s="5">
        <v>3570000</v>
      </c>
      <c r="J96" s="5">
        <v>33200000</v>
      </c>
      <c r="K96" s="5">
        <v>36200000</v>
      </c>
      <c r="L96" s="3">
        <v>0.97916666666666663</v>
      </c>
    </row>
    <row r="97" spans="1:12" x14ac:dyDescent="0.25">
      <c r="A97" t="s">
        <v>74</v>
      </c>
      <c r="B97" s="2">
        <v>42509</v>
      </c>
      <c r="C97" t="s">
        <v>20</v>
      </c>
      <c r="D97" t="s">
        <v>1636</v>
      </c>
      <c r="E97" s="5">
        <v>32100000</v>
      </c>
      <c r="F97" s="5">
        <v>35100000</v>
      </c>
      <c r="G97" s="5">
        <v>3000000</v>
      </c>
      <c r="H97" s="5">
        <v>3210000</v>
      </c>
      <c r="I97" s="5">
        <v>3510000</v>
      </c>
      <c r="J97" s="5">
        <v>32600000</v>
      </c>
      <c r="K97" s="5">
        <v>35600000</v>
      </c>
      <c r="L97" s="3">
        <v>0.97916666666666663</v>
      </c>
    </row>
    <row r="98" spans="1:12" x14ac:dyDescent="0.25">
      <c r="A98" t="s">
        <v>75</v>
      </c>
      <c r="B98" s="2">
        <v>42510</v>
      </c>
      <c r="C98" t="s">
        <v>21</v>
      </c>
      <c r="D98" t="s">
        <v>1636</v>
      </c>
      <c r="E98" s="5">
        <v>32100000</v>
      </c>
      <c r="F98" s="5">
        <v>35100000</v>
      </c>
      <c r="G98" s="5">
        <v>3000000</v>
      </c>
      <c r="H98" s="5">
        <v>3210000</v>
      </c>
      <c r="I98" s="5">
        <v>3510000</v>
      </c>
      <c r="J98" s="5">
        <v>32600000</v>
      </c>
      <c r="K98" s="5">
        <v>35600000</v>
      </c>
      <c r="L98" s="3">
        <v>0.97916666666666663</v>
      </c>
    </row>
    <row r="99" spans="1:12" x14ac:dyDescent="0.25">
      <c r="A99" t="s">
        <v>76</v>
      </c>
      <c r="B99" s="2">
        <v>42513</v>
      </c>
      <c r="C99" t="s">
        <v>16</v>
      </c>
      <c r="D99" t="s">
        <v>1636</v>
      </c>
      <c r="E99" s="5">
        <v>32100000</v>
      </c>
      <c r="F99" s="5">
        <v>35100000</v>
      </c>
      <c r="G99" s="5">
        <v>3000000</v>
      </c>
      <c r="H99" s="5">
        <v>3210000</v>
      </c>
      <c r="I99" s="5">
        <v>3510000</v>
      </c>
      <c r="J99" s="5">
        <v>32600000</v>
      </c>
      <c r="K99" s="5">
        <v>35600000</v>
      </c>
      <c r="L99" s="3">
        <v>0.97916666666666663</v>
      </c>
    </row>
    <row r="100" spans="1:12" x14ac:dyDescent="0.25">
      <c r="A100" t="s">
        <v>77</v>
      </c>
      <c r="B100" s="2">
        <v>42514</v>
      </c>
      <c r="C100" t="s">
        <v>18</v>
      </c>
      <c r="D100" t="s">
        <v>1636</v>
      </c>
      <c r="E100" s="5">
        <v>31400000</v>
      </c>
      <c r="F100" s="5">
        <v>34400000</v>
      </c>
      <c r="G100" s="5">
        <v>3000000</v>
      </c>
      <c r="H100" s="5">
        <v>3140000</v>
      </c>
      <c r="I100" s="5">
        <v>3440000</v>
      </c>
      <c r="J100" s="5">
        <v>31900000</v>
      </c>
      <c r="K100" s="5">
        <v>34900000</v>
      </c>
      <c r="L100" s="3">
        <v>0.97916666666666663</v>
      </c>
    </row>
    <row r="101" spans="1:12" x14ac:dyDescent="0.25">
      <c r="A101" t="s">
        <v>78</v>
      </c>
      <c r="B101" s="2">
        <v>42515</v>
      </c>
      <c r="C101" t="s">
        <v>19</v>
      </c>
      <c r="D101" t="s">
        <v>1636</v>
      </c>
      <c r="E101" s="5">
        <v>31300000</v>
      </c>
      <c r="F101" s="5">
        <v>34300000</v>
      </c>
      <c r="G101" s="5">
        <v>3000000</v>
      </c>
      <c r="H101" s="5">
        <v>3130000</v>
      </c>
      <c r="I101" s="5">
        <v>3430000</v>
      </c>
      <c r="J101" s="5">
        <v>31800000</v>
      </c>
      <c r="K101" s="5">
        <v>34800000</v>
      </c>
      <c r="L101" s="3">
        <v>0.97916666666666663</v>
      </c>
    </row>
    <row r="102" spans="1:12" x14ac:dyDescent="0.25">
      <c r="A102" t="s">
        <v>79</v>
      </c>
      <c r="B102" s="2">
        <v>42516</v>
      </c>
      <c r="C102" t="s">
        <v>20</v>
      </c>
      <c r="D102" t="s">
        <v>1636</v>
      </c>
      <c r="E102" s="5">
        <v>31200000</v>
      </c>
      <c r="F102" s="5">
        <v>34200000</v>
      </c>
      <c r="G102" s="5">
        <v>3000000</v>
      </c>
      <c r="H102" s="5">
        <v>3120000</v>
      </c>
      <c r="I102" s="5">
        <v>3420000</v>
      </c>
      <c r="J102" s="5">
        <v>31700000</v>
      </c>
      <c r="K102" s="5">
        <v>34700000</v>
      </c>
      <c r="L102" s="3">
        <v>0.97916666666666663</v>
      </c>
    </row>
    <row r="103" spans="1:12" x14ac:dyDescent="0.25">
      <c r="A103" t="s">
        <v>80</v>
      </c>
      <c r="B103" s="2">
        <v>42517</v>
      </c>
      <c r="C103" t="s">
        <v>21</v>
      </c>
      <c r="D103" t="s">
        <v>1636</v>
      </c>
      <c r="E103" s="5">
        <v>31000000</v>
      </c>
      <c r="F103" s="5">
        <v>34000000</v>
      </c>
      <c r="G103" s="5">
        <v>3000000</v>
      </c>
      <c r="H103" s="5">
        <v>3100000</v>
      </c>
      <c r="I103" s="5">
        <v>3400000</v>
      </c>
      <c r="J103" s="5">
        <v>31500000</v>
      </c>
      <c r="K103" s="5">
        <v>34500000</v>
      </c>
      <c r="L103" s="3">
        <v>0.97916666666666663</v>
      </c>
    </row>
    <row r="104" spans="1:12" x14ac:dyDescent="0.25">
      <c r="A104" t="s">
        <v>81</v>
      </c>
      <c r="B104" s="2">
        <v>42521</v>
      </c>
      <c r="C104" t="s">
        <v>18</v>
      </c>
      <c r="D104" t="s">
        <v>1636</v>
      </c>
      <c r="E104" s="5">
        <v>31000000</v>
      </c>
      <c r="F104" s="5">
        <v>34000000</v>
      </c>
      <c r="G104" s="5">
        <v>3000000</v>
      </c>
      <c r="H104" s="5">
        <v>3100000</v>
      </c>
      <c r="I104" s="5">
        <v>3400000</v>
      </c>
      <c r="J104" s="5">
        <v>31500000</v>
      </c>
      <c r="K104" s="5">
        <v>34500000</v>
      </c>
      <c r="L104" s="3">
        <v>0.97916666666666663</v>
      </c>
    </row>
    <row r="105" spans="1:12" x14ac:dyDescent="0.25">
      <c r="A105" s="2">
        <v>42375</v>
      </c>
      <c r="B105" s="2">
        <v>42522</v>
      </c>
      <c r="C105" t="s">
        <v>19</v>
      </c>
      <c r="D105" t="s">
        <v>1636</v>
      </c>
      <c r="E105" s="5">
        <v>31000000</v>
      </c>
      <c r="F105" s="5">
        <v>34000000</v>
      </c>
      <c r="G105" s="5">
        <v>3000000</v>
      </c>
      <c r="H105" s="5">
        <v>3100000</v>
      </c>
      <c r="I105" s="5">
        <v>3400000</v>
      </c>
      <c r="J105" s="5">
        <v>31500000</v>
      </c>
      <c r="K105" s="5">
        <v>34500000</v>
      </c>
      <c r="L105" s="3">
        <v>0.97916666666666663</v>
      </c>
    </row>
    <row r="106" spans="1:12" x14ac:dyDescent="0.25">
      <c r="A106" s="2">
        <v>42406</v>
      </c>
      <c r="B106" s="2">
        <v>42523</v>
      </c>
      <c r="C106" t="s">
        <v>20</v>
      </c>
      <c r="D106" t="s">
        <v>1636</v>
      </c>
      <c r="E106" s="5">
        <v>30900000</v>
      </c>
      <c r="F106" s="5">
        <v>33900000</v>
      </c>
      <c r="G106" s="5">
        <v>3000000</v>
      </c>
      <c r="H106" s="5">
        <v>3090000</v>
      </c>
      <c r="I106" s="5">
        <v>3390000</v>
      </c>
      <c r="J106" s="5">
        <v>31400000</v>
      </c>
      <c r="K106" s="5">
        <v>34400000</v>
      </c>
      <c r="L106" s="3">
        <v>0.97916666666666663</v>
      </c>
    </row>
    <row r="107" spans="1:12" x14ac:dyDescent="0.25">
      <c r="A107" s="2">
        <v>42435</v>
      </c>
      <c r="B107" s="2">
        <v>42524</v>
      </c>
      <c r="C107" t="s">
        <v>21</v>
      </c>
      <c r="D107" t="s">
        <v>1636</v>
      </c>
      <c r="E107" s="5">
        <v>31800000</v>
      </c>
      <c r="F107" s="5">
        <v>34800000</v>
      </c>
      <c r="G107" s="5">
        <v>3000000</v>
      </c>
      <c r="H107" s="5">
        <v>3180000</v>
      </c>
      <c r="I107" s="5">
        <v>3480000</v>
      </c>
      <c r="J107" s="5">
        <v>32300000</v>
      </c>
      <c r="K107" s="5">
        <v>35300000</v>
      </c>
      <c r="L107" s="3">
        <v>0.97916666666666663</v>
      </c>
    </row>
    <row r="108" spans="1:12" x14ac:dyDescent="0.25">
      <c r="A108" s="2">
        <v>42527</v>
      </c>
      <c r="B108" s="2">
        <v>42527</v>
      </c>
      <c r="C108" t="s">
        <v>16</v>
      </c>
      <c r="D108" t="s">
        <v>1636</v>
      </c>
      <c r="E108" s="5">
        <v>31900000</v>
      </c>
      <c r="F108" s="5">
        <v>34900000</v>
      </c>
      <c r="G108" s="5">
        <v>3000000</v>
      </c>
      <c r="H108" s="5">
        <v>3190000</v>
      </c>
      <c r="I108" s="5">
        <v>3490000</v>
      </c>
      <c r="J108" s="5">
        <v>32400000</v>
      </c>
      <c r="K108" s="5">
        <v>35400000</v>
      </c>
      <c r="L108" s="3">
        <v>0.97916666666666663</v>
      </c>
    </row>
    <row r="109" spans="1:12" x14ac:dyDescent="0.25">
      <c r="A109" s="2">
        <v>42557</v>
      </c>
      <c r="B109" s="2">
        <v>42528</v>
      </c>
      <c r="C109" t="s">
        <v>18</v>
      </c>
      <c r="D109" t="s">
        <v>1636</v>
      </c>
      <c r="E109" s="5">
        <v>31900000</v>
      </c>
      <c r="F109" s="5">
        <v>34900000</v>
      </c>
      <c r="G109" s="5">
        <v>3000000</v>
      </c>
      <c r="H109" s="5">
        <v>3190000</v>
      </c>
      <c r="I109" s="5">
        <v>3490000</v>
      </c>
      <c r="J109" s="5">
        <v>32400000</v>
      </c>
      <c r="K109" s="5">
        <v>35400000</v>
      </c>
      <c r="L109" s="3">
        <v>0.97916666666666663</v>
      </c>
    </row>
    <row r="110" spans="1:12" x14ac:dyDescent="0.25">
      <c r="A110" s="2">
        <v>42588</v>
      </c>
      <c r="B110" s="2">
        <v>42529</v>
      </c>
      <c r="C110" t="s">
        <v>19</v>
      </c>
      <c r="D110" t="s">
        <v>1636</v>
      </c>
      <c r="E110" s="5">
        <v>32300000</v>
      </c>
      <c r="F110" s="5">
        <v>35300000</v>
      </c>
      <c r="G110" s="5">
        <v>3000000</v>
      </c>
      <c r="H110" s="5">
        <v>3230000</v>
      </c>
      <c r="I110" s="5">
        <v>3530000</v>
      </c>
      <c r="J110" s="5">
        <v>32800000</v>
      </c>
      <c r="K110" s="5">
        <v>35800000</v>
      </c>
      <c r="L110" s="3">
        <v>0.97916666666666663</v>
      </c>
    </row>
    <row r="111" spans="1:12" x14ac:dyDescent="0.25">
      <c r="A111" s="2">
        <v>42619</v>
      </c>
      <c r="B111" s="2">
        <v>42530</v>
      </c>
      <c r="C111" t="s">
        <v>20</v>
      </c>
      <c r="D111" t="s">
        <v>1636</v>
      </c>
      <c r="E111" s="5">
        <v>32600000</v>
      </c>
      <c r="F111" s="5">
        <v>35600000</v>
      </c>
      <c r="G111" s="5">
        <v>3000000</v>
      </c>
      <c r="H111" s="5">
        <v>3260000</v>
      </c>
      <c r="I111" s="5">
        <v>3560000</v>
      </c>
      <c r="J111" s="5">
        <v>33100000</v>
      </c>
      <c r="K111" s="5">
        <v>36100000</v>
      </c>
      <c r="L111" s="3">
        <v>0.97916666666666663</v>
      </c>
    </row>
    <row r="112" spans="1:12" x14ac:dyDescent="0.25">
      <c r="A112" s="2">
        <v>42649</v>
      </c>
      <c r="B112" s="2">
        <v>42531</v>
      </c>
      <c r="C112" t="s">
        <v>21</v>
      </c>
      <c r="D112" t="s">
        <v>1636</v>
      </c>
      <c r="E112" s="5">
        <v>32700000</v>
      </c>
      <c r="F112" s="5">
        <v>35700000</v>
      </c>
      <c r="G112" s="5">
        <v>3000000</v>
      </c>
      <c r="H112" s="5">
        <v>3270000</v>
      </c>
      <c r="I112" s="5">
        <v>3570000</v>
      </c>
      <c r="J112" s="5">
        <v>33200000</v>
      </c>
      <c r="K112" s="5">
        <v>36200000</v>
      </c>
      <c r="L112" s="3">
        <v>0.97916666666666663</v>
      </c>
    </row>
    <row r="113" spans="1:12" x14ac:dyDescent="0.25">
      <c r="A113" t="s">
        <v>82</v>
      </c>
      <c r="B113" s="2">
        <v>42534</v>
      </c>
      <c r="C113" t="s">
        <v>16</v>
      </c>
      <c r="D113" t="s">
        <v>1636</v>
      </c>
      <c r="E113" s="5">
        <v>33000000</v>
      </c>
      <c r="F113" s="5">
        <v>36000000</v>
      </c>
      <c r="G113" s="5">
        <v>3000000</v>
      </c>
      <c r="H113" s="5">
        <v>3300000</v>
      </c>
      <c r="I113" s="5">
        <v>3600000</v>
      </c>
      <c r="J113" s="5">
        <v>33500000</v>
      </c>
      <c r="K113" s="5">
        <v>36500000</v>
      </c>
      <c r="L113" s="3">
        <v>0.97916666666666663</v>
      </c>
    </row>
    <row r="114" spans="1:12" x14ac:dyDescent="0.25">
      <c r="A114" t="s">
        <v>83</v>
      </c>
      <c r="B114" s="2">
        <v>42535</v>
      </c>
      <c r="C114" t="s">
        <v>18</v>
      </c>
      <c r="D114" t="s">
        <v>1636</v>
      </c>
      <c r="E114" s="5">
        <v>33000000</v>
      </c>
      <c r="F114" s="5">
        <v>36000000</v>
      </c>
      <c r="G114" s="5">
        <v>3000000</v>
      </c>
      <c r="H114" s="5">
        <v>3300000</v>
      </c>
      <c r="I114" s="5">
        <v>3600000</v>
      </c>
      <c r="J114" s="5">
        <v>33500000</v>
      </c>
      <c r="K114" s="5">
        <v>36500000</v>
      </c>
      <c r="L114" s="3">
        <v>0.97916666666666663</v>
      </c>
    </row>
    <row r="115" spans="1:12" x14ac:dyDescent="0.25">
      <c r="A115" t="s">
        <v>84</v>
      </c>
      <c r="B115" s="2">
        <v>42536</v>
      </c>
      <c r="C115" t="s">
        <v>19</v>
      </c>
      <c r="D115" t="s">
        <v>1636</v>
      </c>
      <c r="E115" s="5">
        <v>33000000</v>
      </c>
      <c r="F115" s="5">
        <v>36000000</v>
      </c>
      <c r="G115" s="5">
        <v>3000000</v>
      </c>
      <c r="H115" s="5">
        <v>3300000</v>
      </c>
      <c r="I115" s="5">
        <v>3600000</v>
      </c>
      <c r="J115" s="5">
        <v>33500000</v>
      </c>
      <c r="K115" s="5">
        <v>36500000</v>
      </c>
      <c r="L115" s="3">
        <v>0.97916666666666663</v>
      </c>
    </row>
    <row r="116" spans="1:12" x14ac:dyDescent="0.25">
      <c r="A116" t="s">
        <v>85</v>
      </c>
      <c r="B116" s="2">
        <v>42537</v>
      </c>
      <c r="C116" t="s">
        <v>20</v>
      </c>
      <c r="D116" t="s">
        <v>1636</v>
      </c>
      <c r="E116" s="5">
        <v>33300000</v>
      </c>
      <c r="F116" s="5">
        <v>36300000</v>
      </c>
      <c r="G116" s="5">
        <v>3000000</v>
      </c>
      <c r="H116" s="5">
        <v>3330000</v>
      </c>
      <c r="I116" s="5">
        <v>3630000</v>
      </c>
      <c r="J116" s="5">
        <v>33800000</v>
      </c>
      <c r="K116" s="5">
        <v>36800000</v>
      </c>
      <c r="L116" s="3">
        <v>0.97916666666666663</v>
      </c>
    </row>
    <row r="117" spans="1:12" x14ac:dyDescent="0.25">
      <c r="A117" t="s">
        <v>86</v>
      </c>
      <c r="B117" s="2">
        <v>42538</v>
      </c>
      <c r="C117" t="s">
        <v>21</v>
      </c>
      <c r="D117" t="s">
        <v>1636</v>
      </c>
      <c r="E117" s="5">
        <v>33200000</v>
      </c>
      <c r="F117" s="5">
        <v>36200000</v>
      </c>
      <c r="G117" s="5">
        <v>3000000</v>
      </c>
      <c r="H117" s="5">
        <v>3320000</v>
      </c>
      <c r="I117" s="5">
        <v>3620000</v>
      </c>
      <c r="J117" s="5">
        <v>33700000</v>
      </c>
      <c r="K117" s="5">
        <v>36700000</v>
      </c>
      <c r="L117" s="3">
        <v>0.97916666666666663</v>
      </c>
    </row>
    <row r="118" spans="1:12" x14ac:dyDescent="0.25">
      <c r="A118" t="s">
        <v>87</v>
      </c>
      <c r="B118" s="2">
        <v>42541</v>
      </c>
      <c r="C118" t="s">
        <v>16</v>
      </c>
      <c r="D118" t="s">
        <v>1636</v>
      </c>
      <c r="E118" s="5">
        <v>33200000</v>
      </c>
      <c r="F118" s="5">
        <v>36200000</v>
      </c>
      <c r="G118" s="5">
        <v>3000000</v>
      </c>
      <c r="H118" s="5">
        <v>3320000</v>
      </c>
      <c r="I118" s="5">
        <v>3620000</v>
      </c>
      <c r="J118" s="5">
        <v>33700000</v>
      </c>
      <c r="K118" s="5">
        <v>36700000</v>
      </c>
      <c r="L118" s="3">
        <v>0.97916666666666663</v>
      </c>
    </row>
    <row r="119" spans="1:12" x14ac:dyDescent="0.25">
      <c r="A119" t="s">
        <v>88</v>
      </c>
      <c r="B119" s="2">
        <v>42542</v>
      </c>
      <c r="C119" t="s">
        <v>18</v>
      </c>
      <c r="D119" t="s">
        <v>1636</v>
      </c>
      <c r="E119" s="5">
        <v>32600000</v>
      </c>
      <c r="F119" s="5">
        <v>35600000</v>
      </c>
      <c r="G119" s="5">
        <v>3000000</v>
      </c>
      <c r="H119" s="5">
        <v>3260000</v>
      </c>
      <c r="I119" s="5">
        <v>3560000</v>
      </c>
      <c r="J119" s="5">
        <v>33100000</v>
      </c>
      <c r="K119" s="5">
        <v>36100000</v>
      </c>
      <c r="L119" s="3">
        <v>0.97916666666666663</v>
      </c>
    </row>
    <row r="120" spans="1:12" x14ac:dyDescent="0.25">
      <c r="A120" t="s">
        <v>89</v>
      </c>
      <c r="B120" s="2">
        <v>42543</v>
      </c>
      <c r="C120" t="s">
        <v>19</v>
      </c>
      <c r="D120" t="s">
        <v>1636</v>
      </c>
      <c r="E120" s="5">
        <v>32500000</v>
      </c>
      <c r="F120" s="5">
        <v>35500000</v>
      </c>
      <c r="G120" s="5">
        <v>3000000</v>
      </c>
      <c r="H120" s="5">
        <v>3250000</v>
      </c>
      <c r="I120" s="5">
        <v>3550000</v>
      </c>
      <c r="J120" s="5">
        <v>33000000</v>
      </c>
      <c r="K120" s="5">
        <v>36000000</v>
      </c>
      <c r="L120" s="3">
        <v>0.97916666666666663</v>
      </c>
    </row>
    <row r="121" spans="1:12" x14ac:dyDescent="0.25">
      <c r="A121" t="s">
        <v>90</v>
      </c>
      <c r="B121" s="2">
        <v>42544</v>
      </c>
      <c r="C121" t="s">
        <v>20</v>
      </c>
      <c r="D121" t="s">
        <v>1636</v>
      </c>
      <c r="E121" s="5">
        <v>32300000</v>
      </c>
      <c r="F121" s="5">
        <v>35300000</v>
      </c>
      <c r="G121" s="5">
        <v>3000000</v>
      </c>
      <c r="H121" s="5">
        <v>3230000</v>
      </c>
      <c r="I121" s="5">
        <v>3530000</v>
      </c>
      <c r="J121" s="5">
        <v>32800000</v>
      </c>
      <c r="K121" s="5">
        <v>35800000</v>
      </c>
      <c r="L121" s="3">
        <v>0.97916666666666663</v>
      </c>
    </row>
    <row r="122" spans="1:12" x14ac:dyDescent="0.25">
      <c r="A122" t="s">
        <v>91</v>
      </c>
      <c r="B122" s="2">
        <v>42545</v>
      </c>
      <c r="C122" t="s">
        <v>21</v>
      </c>
      <c r="D122" t="s">
        <v>1636</v>
      </c>
      <c r="E122" s="5">
        <v>34000000</v>
      </c>
      <c r="F122" s="5">
        <v>37000000</v>
      </c>
      <c r="G122" s="5">
        <v>3000000</v>
      </c>
      <c r="H122" s="5">
        <v>3400000</v>
      </c>
      <c r="I122" s="5">
        <v>3700000</v>
      </c>
      <c r="J122" s="5">
        <v>34500000</v>
      </c>
      <c r="K122" s="5">
        <v>37500000</v>
      </c>
      <c r="L122" s="3">
        <v>0.97916666666666663</v>
      </c>
    </row>
    <row r="123" spans="1:12" x14ac:dyDescent="0.25">
      <c r="A123" t="s">
        <v>92</v>
      </c>
      <c r="B123" s="2">
        <v>42548</v>
      </c>
      <c r="C123" t="s">
        <v>16</v>
      </c>
      <c r="D123" t="s">
        <v>1636</v>
      </c>
      <c r="E123" s="5">
        <v>34100000</v>
      </c>
      <c r="F123" s="5">
        <v>37100000</v>
      </c>
      <c r="G123" s="5">
        <v>3000000</v>
      </c>
      <c r="H123" s="5">
        <v>3410000</v>
      </c>
      <c r="I123" s="5">
        <v>3710000</v>
      </c>
      <c r="J123" s="5">
        <v>34600000</v>
      </c>
      <c r="K123" s="5">
        <v>37600000</v>
      </c>
      <c r="L123" s="3">
        <v>0.97916666666666663</v>
      </c>
    </row>
    <row r="124" spans="1:12" x14ac:dyDescent="0.25">
      <c r="A124" t="s">
        <v>93</v>
      </c>
      <c r="B124" s="2">
        <v>42549</v>
      </c>
      <c r="C124" t="s">
        <v>18</v>
      </c>
      <c r="D124" t="s">
        <v>1636</v>
      </c>
      <c r="E124" s="5">
        <v>33900000</v>
      </c>
      <c r="F124" s="5">
        <v>36900000</v>
      </c>
      <c r="G124" s="5">
        <v>3000000</v>
      </c>
      <c r="H124" s="5">
        <v>3390000</v>
      </c>
      <c r="I124" s="5">
        <v>3690000</v>
      </c>
      <c r="J124" s="5">
        <v>34400000</v>
      </c>
      <c r="K124" s="5">
        <v>37400000</v>
      </c>
      <c r="L124" s="3">
        <v>0.97916666666666663</v>
      </c>
    </row>
    <row r="125" spans="1:12" x14ac:dyDescent="0.25">
      <c r="A125" t="s">
        <v>94</v>
      </c>
      <c r="B125" s="2">
        <v>42550</v>
      </c>
      <c r="C125" t="s">
        <v>19</v>
      </c>
      <c r="D125" t="s">
        <v>1636</v>
      </c>
      <c r="E125" s="5">
        <v>34100000</v>
      </c>
      <c r="F125" s="5">
        <v>37100000</v>
      </c>
      <c r="G125" s="5">
        <v>3000000</v>
      </c>
      <c r="H125" s="5">
        <v>3410000</v>
      </c>
      <c r="I125" s="5">
        <v>3710000</v>
      </c>
      <c r="J125" s="5">
        <v>34600000</v>
      </c>
      <c r="K125" s="5">
        <v>37600000</v>
      </c>
      <c r="L125" s="3">
        <v>0.97916666666666663</v>
      </c>
    </row>
    <row r="126" spans="1:12" x14ac:dyDescent="0.25">
      <c r="A126" t="s">
        <v>95</v>
      </c>
      <c r="B126" s="2">
        <v>42551</v>
      </c>
      <c r="C126" t="s">
        <v>20</v>
      </c>
      <c r="D126" t="s">
        <v>1636</v>
      </c>
      <c r="E126" s="5">
        <v>33900000</v>
      </c>
      <c r="F126" s="5">
        <v>36900000</v>
      </c>
      <c r="G126" s="5">
        <v>3000000</v>
      </c>
      <c r="H126" s="5">
        <v>3390000</v>
      </c>
      <c r="I126" s="5">
        <v>3690000</v>
      </c>
      <c r="J126" s="5">
        <v>34400000</v>
      </c>
      <c r="K126" s="5">
        <v>37400000</v>
      </c>
      <c r="L126" s="3">
        <v>0.97916666666666663</v>
      </c>
    </row>
    <row r="127" spans="1:12" x14ac:dyDescent="0.25">
      <c r="A127" s="2">
        <v>42376</v>
      </c>
      <c r="B127" s="2">
        <v>42552</v>
      </c>
      <c r="C127" t="s">
        <v>21</v>
      </c>
      <c r="D127" t="s">
        <v>1636</v>
      </c>
      <c r="E127" s="5">
        <v>34500000</v>
      </c>
      <c r="F127" s="5">
        <v>37500000</v>
      </c>
      <c r="G127" s="5">
        <v>3000000</v>
      </c>
      <c r="H127" s="5">
        <v>3450000</v>
      </c>
      <c r="I127" s="5">
        <v>3750000</v>
      </c>
      <c r="J127" s="5">
        <v>35000000</v>
      </c>
      <c r="K127" s="5">
        <v>38000000</v>
      </c>
      <c r="L127" s="3">
        <v>0.97916666666666663</v>
      </c>
    </row>
    <row r="128" spans="1:12" x14ac:dyDescent="0.25">
      <c r="A128" s="2">
        <v>42497</v>
      </c>
      <c r="B128" s="2">
        <v>42556</v>
      </c>
      <c r="C128" t="s">
        <v>18</v>
      </c>
      <c r="D128" t="s">
        <v>1636</v>
      </c>
      <c r="E128" s="5">
        <v>35000000</v>
      </c>
      <c r="F128" s="5">
        <v>38000000</v>
      </c>
      <c r="G128" s="5">
        <v>3000000</v>
      </c>
      <c r="H128" s="5">
        <v>3500000</v>
      </c>
      <c r="I128" s="5">
        <v>3800000</v>
      </c>
      <c r="J128" s="5">
        <v>35500000</v>
      </c>
      <c r="K128" s="5">
        <v>38500000</v>
      </c>
      <c r="L128" s="3">
        <v>0.97916666666666663</v>
      </c>
    </row>
    <row r="129" spans="1:12" x14ac:dyDescent="0.25">
      <c r="A129" s="2">
        <v>42528</v>
      </c>
      <c r="B129" s="2">
        <v>42557</v>
      </c>
      <c r="C129" t="s">
        <v>19</v>
      </c>
      <c r="D129" t="s">
        <v>1636</v>
      </c>
      <c r="E129" s="5">
        <v>35300000</v>
      </c>
      <c r="F129" s="5">
        <v>38300000</v>
      </c>
      <c r="G129" s="5">
        <v>3000000</v>
      </c>
      <c r="H129" s="5">
        <v>3530000</v>
      </c>
      <c r="I129" s="5">
        <v>3830000</v>
      </c>
      <c r="J129" s="5">
        <v>35800000</v>
      </c>
      <c r="K129" s="5">
        <v>38800000</v>
      </c>
      <c r="L129" s="3">
        <v>0.97916666666666663</v>
      </c>
    </row>
    <row r="130" spans="1:12" x14ac:dyDescent="0.25">
      <c r="A130" s="2">
        <v>42558</v>
      </c>
      <c r="B130" s="2">
        <v>42558</v>
      </c>
      <c r="C130" t="s">
        <v>20</v>
      </c>
      <c r="D130" t="s">
        <v>1636</v>
      </c>
      <c r="E130" s="5">
        <v>35100000</v>
      </c>
      <c r="F130" s="5">
        <v>38100000</v>
      </c>
      <c r="G130" s="5">
        <v>3000000</v>
      </c>
      <c r="H130" s="5">
        <v>3510000</v>
      </c>
      <c r="I130" s="5">
        <v>3810000</v>
      </c>
      <c r="J130" s="5">
        <v>35600000</v>
      </c>
      <c r="K130" s="5">
        <v>38600000</v>
      </c>
      <c r="L130" s="3">
        <v>0.97916666666666663</v>
      </c>
    </row>
    <row r="131" spans="1:12" x14ac:dyDescent="0.25">
      <c r="A131" s="2">
        <v>42589</v>
      </c>
      <c r="B131" s="2">
        <v>42559</v>
      </c>
      <c r="C131" t="s">
        <v>21</v>
      </c>
      <c r="D131" t="s">
        <v>1636</v>
      </c>
      <c r="E131" s="5">
        <v>35000000</v>
      </c>
      <c r="F131" s="5">
        <v>38000000</v>
      </c>
      <c r="G131" s="5">
        <v>3000000</v>
      </c>
      <c r="H131" s="5">
        <v>3500000</v>
      </c>
      <c r="I131" s="5">
        <v>3800000</v>
      </c>
      <c r="J131" s="5">
        <v>35500000</v>
      </c>
      <c r="K131" s="5">
        <v>38500000</v>
      </c>
      <c r="L131" s="3">
        <v>0.97916666666666663</v>
      </c>
    </row>
    <row r="132" spans="1:12" x14ac:dyDescent="0.25">
      <c r="A132" s="2">
        <v>42681</v>
      </c>
      <c r="B132" s="2">
        <v>42562</v>
      </c>
      <c r="C132" t="s">
        <v>16</v>
      </c>
      <c r="D132" t="s">
        <v>1636</v>
      </c>
      <c r="E132" s="5">
        <v>35000000</v>
      </c>
      <c r="F132" s="5">
        <v>38000000</v>
      </c>
      <c r="G132" s="5">
        <v>3000000</v>
      </c>
      <c r="H132" s="5">
        <v>3500000</v>
      </c>
      <c r="I132" s="5">
        <v>3800000</v>
      </c>
      <c r="J132" s="5">
        <v>35500000</v>
      </c>
      <c r="K132" s="5">
        <v>38500000</v>
      </c>
      <c r="L132" s="3">
        <v>0.97916666666666663</v>
      </c>
    </row>
    <row r="133" spans="1:12" x14ac:dyDescent="0.25">
      <c r="A133" s="2">
        <v>42711</v>
      </c>
      <c r="B133" s="2">
        <v>42563</v>
      </c>
      <c r="C133" t="s">
        <v>18</v>
      </c>
      <c r="D133" t="s">
        <v>1636</v>
      </c>
      <c r="E133" s="5">
        <v>34400000</v>
      </c>
      <c r="F133" s="5">
        <v>37400000</v>
      </c>
      <c r="G133" s="5">
        <v>3000000</v>
      </c>
      <c r="H133" s="5">
        <v>3440000</v>
      </c>
      <c r="I133" s="5">
        <v>3740000</v>
      </c>
      <c r="J133" s="5">
        <v>34900000</v>
      </c>
      <c r="K133" s="5">
        <v>37900000</v>
      </c>
      <c r="L133" s="3">
        <v>0.97916666666666663</v>
      </c>
    </row>
    <row r="134" spans="1:12" x14ac:dyDescent="0.25">
      <c r="A134" t="s">
        <v>96</v>
      </c>
      <c r="B134" s="2">
        <v>42564</v>
      </c>
      <c r="C134" t="s">
        <v>19</v>
      </c>
      <c r="D134" t="s">
        <v>1636</v>
      </c>
      <c r="E134" s="5">
        <v>34600000</v>
      </c>
      <c r="F134" s="5">
        <v>37600000</v>
      </c>
      <c r="G134" s="5">
        <v>3000000</v>
      </c>
      <c r="H134" s="5">
        <v>3460000</v>
      </c>
      <c r="I134" s="5">
        <v>3760000</v>
      </c>
      <c r="J134" s="5">
        <v>35100000</v>
      </c>
      <c r="K134" s="5">
        <v>38100000</v>
      </c>
      <c r="L134" s="3">
        <v>0.97916666666666663</v>
      </c>
    </row>
    <row r="135" spans="1:12" x14ac:dyDescent="0.25">
      <c r="A135" t="s">
        <v>97</v>
      </c>
      <c r="B135" s="2">
        <v>42565</v>
      </c>
      <c r="C135" t="s">
        <v>20</v>
      </c>
      <c r="D135" t="s">
        <v>1636</v>
      </c>
      <c r="E135" s="5">
        <v>34300000</v>
      </c>
      <c r="F135" s="5">
        <v>37300000</v>
      </c>
      <c r="G135" s="5">
        <v>3000000</v>
      </c>
      <c r="H135" s="5">
        <v>3430000</v>
      </c>
      <c r="I135" s="5">
        <v>3730000</v>
      </c>
      <c r="J135" s="5">
        <v>34800000</v>
      </c>
      <c r="K135" s="5">
        <v>37800000</v>
      </c>
      <c r="L135" s="3">
        <v>0.97916666666666663</v>
      </c>
    </row>
    <row r="136" spans="1:12" x14ac:dyDescent="0.25">
      <c r="A136" t="s">
        <v>98</v>
      </c>
      <c r="B136" s="2">
        <v>42566</v>
      </c>
      <c r="C136" t="s">
        <v>21</v>
      </c>
      <c r="D136" t="s">
        <v>1636</v>
      </c>
      <c r="E136" s="5">
        <v>34200000</v>
      </c>
      <c r="F136" s="5">
        <v>37200000</v>
      </c>
      <c r="G136" s="5">
        <v>3000000</v>
      </c>
      <c r="H136" s="5">
        <v>3420000</v>
      </c>
      <c r="I136" s="5">
        <v>3720000</v>
      </c>
      <c r="J136" s="5">
        <v>34700000</v>
      </c>
      <c r="K136" s="5">
        <v>37700000</v>
      </c>
      <c r="L136" s="3">
        <v>0.97916666666666663</v>
      </c>
    </row>
    <row r="137" spans="1:12" x14ac:dyDescent="0.25">
      <c r="A137" t="s">
        <v>99</v>
      </c>
      <c r="B137" s="2">
        <v>42569</v>
      </c>
      <c r="C137" t="s">
        <v>16</v>
      </c>
      <c r="D137" t="s">
        <v>1636</v>
      </c>
      <c r="E137" s="5">
        <v>34200000</v>
      </c>
      <c r="F137" s="5">
        <v>37200000</v>
      </c>
      <c r="G137" s="5">
        <v>3000000</v>
      </c>
      <c r="H137" s="5">
        <v>3420000</v>
      </c>
      <c r="I137" s="5">
        <v>3720000</v>
      </c>
      <c r="J137" s="5">
        <v>34700000</v>
      </c>
      <c r="K137" s="5">
        <v>37700000</v>
      </c>
      <c r="L137" s="3">
        <v>0.97916666666666663</v>
      </c>
    </row>
    <row r="138" spans="1:12" x14ac:dyDescent="0.25">
      <c r="A138" t="s">
        <v>100</v>
      </c>
      <c r="B138" s="2">
        <v>42570</v>
      </c>
      <c r="C138" t="s">
        <v>18</v>
      </c>
      <c r="D138" t="s">
        <v>1636</v>
      </c>
      <c r="E138" s="5">
        <v>34300000</v>
      </c>
      <c r="F138" s="5">
        <v>37300000</v>
      </c>
      <c r="G138" s="5">
        <v>3000000</v>
      </c>
      <c r="H138" s="5">
        <v>3430000</v>
      </c>
      <c r="I138" s="5">
        <v>3730000</v>
      </c>
      <c r="J138" s="5">
        <v>34800000</v>
      </c>
      <c r="K138" s="5">
        <v>37800000</v>
      </c>
      <c r="L138" s="3">
        <v>0.97916666666666663</v>
      </c>
    </row>
    <row r="139" spans="1:12" x14ac:dyDescent="0.25">
      <c r="A139" t="s">
        <v>101</v>
      </c>
      <c r="B139" s="2">
        <v>42571</v>
      </c>
      <c r="C139" t="s">
        <v>19</v>
      </c>
      <c r="D139" t="s">
        <v>1636</v>
      </c>
      <c r="E139" s="5">
        <v>34000000</v>
      </c>
      <c r="F139" s="5">
        <v>37000000</v>
      </c>
      <c r="G139" s="5">
        <v>3000000</v>
      </c>
      <c r="H139" s="5">
        <v>3400000</v>
      </c>
      <c r="I139" s="5">
        <v>3700000</v>
      </c>
      <c r="J139" s="5">
        <v>34500000</v>
      </c>
      <c r="K139" s="5">
        <v>37500000</v>
      </c>
      <c r="L139" s="3">
        <v>0.97916666666666663</v>
      </c>
    </row>
    <row r="140" spans="1:12" x14ac:dyDescent="0.25">
      <c r="A140" t="s">
        <v>102</v>
      </c>
      <c r="B140" s="2">
        <v>42572</v>
      </c>
      <c r="C140" t="s">
        <v>20</v>
      </c>
      <c r="D140" t="s">
        <v>1636</v>
      </c>
      <c r="E140" s="5">
        <v>34300000</v>
      </c>
      <c r="F140" s="5">
        <v>37300000</v>
      </c>
      <c r="G140" s="5">
        <v>3000000</v>
      </c>
      <c r="H140" s="5">
        <v>3430000</v>
      </c>
      <c r="I140" s="5">
        <v>3730000</v>
      </c>
      <c r="J140" s="5">
        <v>34800000</v>
      </c>
      <c r="K140" s="5">
        <v>37800000</v>
      </c>
      <c r="L140" s="3">
        <v>0.97916666666666663</v>
      </c>
    </row>
    <row r="141" spans="1:12" x14ac:dyDescent="0.25">
      <c r="A141" t="s">
        <v>103</v>
      </c>
      <c r="B141" s="2">
        <v>42573</v>
      </c>
      <c r="C141" t="s">
        <v>21</v>
      </c>
      <c r="D141" t="s">
        <v>1636</v>
      </c>
      <c r="E141" s="5">
        <v>34100000</v>
      </c>
      <c r="F141" s="5">
        <v>37100000</v>
      </c>
      <c r="G141" s="5">
        <v>3000000</v>
      </c>
      <c r="H141" s="5">
        <v>3410000</v>
      </c>
      <c r="I141" s="5">
        <v>3710000</v>
      </c>
      <c r="J141" s="5">
        <v>34600000</v>
      </c>
      <c r="K141" s="5">
        <v>37600000</v>
      </c>
      <c r="L141" s="3">
        <v>0.97916666666666663</v>
      </c>
    </row>
    <row r="142" spans="1:12" x14ac:dyDescent="0.25">
      <c r="A142" t="s">
        <v>104</v>
      </c>
      <c r="B142" s="2">
        <v>42576</v>
      </c>
      <c r="C142" t="s">
        <v>16</v>
      </c>
      <c r="D142" t="s">
        <v>1636</v>
      </c>
      <c r="E142" s="5">
        <v>34000000</v>
      </c>
      <c r="F142" s="5">
        <v>37000000</v>
      </c>
      <c r="G142" s="5">
        <v>3000000</v>
      </c>
      <c r="H142" s="5">
        <v>3400000</v>
      </c>
      <c r="I142" s="5">
        <v>3700000</v>
      </c>
      <c r="J142" s="5">
        <v>34500000</v>
      </c>
      <c r="K142" s="5">
        <v>37500000</v>
      </c>
      <c r="L142" s="3">
        <v>0.97916666666666663</v>
      </c>
    </row>
    <row r="143" spans="1:12" x14ac:dyDescent="0.25">
      <c r="A143" t="s">
        <v>105</v>
      </c>
      <c r="B143" s="2">
        <v>42577</v>
      </c>
      <c r="C143" t="s">
        <v>18</v>
      </c>
      <c r="D143" t="s">
        <v>1636</v>
      </c>
      <c r="E143" s="5">
        <v>34000000</v>
      </c>
      <c r="F143" s="5">
        <v>37000000</v>
      </c>
      <c r="G143" s="5">
        <v>3000000</v>
      </c>
      <c r="H143" s="5">
        <v>3400000</v>
      </c>
      <c r="I143" s="5">
        <v>3700000</v>
      </c>
      <c r="J143" s="5">
        <v>34500000</v>
      </c>
      <c r="K143" s="5">
        <v>37500000</v>
      </c>
      <c r="L143" s="3">
        <v>0.97916666666666663</v>
      </c>
    </row>
    <row r="144" spans="1:12" x14ac:dyDescent="0.25">
      <c r="A144" t="s">
        <v>106</v>
      </c>
      <c r="B144" s="2">
        <v>42578</v>
      </c>
      <c r="C144" t="s">
        <v>19</v>
      </c>
      <c r="D144" t="s">
        <v>1636</v>
      </c>
      <c r="E144" s="5">
        <v>34200000</v>
      </c>
      <c r="F144" s="5">
        <v>37200000</v>
      </c>
      <c r="G144" s="5">
        <v>3000000</v>
      </c>
      <c r="H144" s="5">
        <v>3420000</v>
      </c>
      <c r="I144" s="5">
        <v>3720000</v>
      </c>
      <c r="J144" s="5">
        <v>34700000</v>
      </c>
      <c r="K144" s="5">
        <v>37700000</v>
      </c>
      <c r="L144" s="3">
        <v>0.97916666666666663</v>
      </c>
    </row>
    <row r="145" spans="1:12" x14ac:dyDescent="0.25">
      <c r="A145" t="s">
        <v>107</v>
      </c>
      <c r="B145" s="2">
        <v>42579</v>
      </c>
      <c r="C145" t="s">
        <v>20</v>
      </c>
      <c r="D145" t="s">
        <v>1636</v>
      </c>
      <c r="E145" s="5">
        <v>34300000</v>
      </c>
      <c r="F145" s="5">
        <v>37300000</v>
      </c>
      <c r="G145" s="5">
        <v>3000000</v>
      </c>
      <c r="H145" s="5">
        <v>3430000</v>
      </c>
      <c r="I145" s="5">
        <v>3730000</v>
      </c>
      <c r="J145" s="5">
        <v>34800000</v>
      </c>
      <c r="K145" s="5">
        <v>37800000</v>
      </c>
      <c r="L145" s="3">
        <v>0.97916666666666663</v>
      </c>
    </row>
    <row r="146" spans="1:12" x14ac:dyDescent="0.25">
      <c r="A146" t="s">
        <v>108</v>
      </c>
      <c r="B146" s="2">
        <v>42580</v>
      </c>
      <c r="C146" t="s">
        <v>21</v>
      </c>
      <c r="D146" t="s">
        <v>1636</v>
      </c>
      <c r="E146" s="5">
        <v>34800000</v>
      </c>
      <c r="F146" s="5">
        <v>37800000</v>
      </c>
      <c r="G146" s="5">
        <v>3000000</v>
      </c>
      <c r="H146" s="5">
        <v>3480000</v>
      </c>
      <c r="I146" s="5">
        <v>3780000</v>
      </c>
      <c r="J146" s="5">
        <v>35300000</v>
      </c>
      <c r="K146" s="5">
        <v>38300000</v>
      </c>
      <c r="L146" s="3">
        <v>0.97916666666666663</v>
      </c>
    </row>
    <row r="147" spans="1:12" x14ac:dyDescent="0.25">
      <c r="A147" s="2">
        <v>42377</v>
      </c>
      <c r="B147" s="2">
        <v>42583</v>
      </c>
      <c r="C147" t="s">
        <v>16</v>
      </c>
      <c r="D147" t="s">
        <v>1636</v>
      </c>
      <c r="E147" s="5">
        <v>34900000</v>
      </c>
      <c r="F147" s="5">
        <v>37900000</v>
      </c>
      <c r="G147" s="5">
        <v>3000000</v>
      </c>
      <c r="H147" s="5">
        <v>3490000</v>
      </c>
      <c r="I147" s="5">
        <v>3790000</v>
      </c>
      <c r="J147" s="5">
        <v>35400000</v>
      </c>
      <c r="K147" s="5">
        <v>38400000</v>
      </c>
      <c r="L147" s="3">
        <v>0.97916666666666663</v>
      </c>
    </row>
    <row r="148" spans="1:12" x14ac:dyDescent="0.25">
      <c r="A148" s="2">
        <v>42408</v>
      </c>
      <c r="B148" s="2">
        <v>42584</v>
      </c>
      <c r="C148" t="s">
        <v>18</v>
      </c>
      <c r="D148" t="s">
        <v>1636</v>
      </c>
      <c r="E148" s="5">
        <v>35200000</v>
      </c>
      <c r="F148" s="5">
        <v>38200000</v>
      </c>
      <c r="G148" s="5">
        <v>3000000</v>
      </c>
      <c r="H148" s="5">
        <v>3520000</v>
      </c>
      <c r="I148" s="5">
        <v>3820000</v>
      </c>
      <c r="J148" s="5">
        <v>35700000</v>
      </c>
      <c r="K148" s="5">
        <v>38700000</v>
      </c>
      <c r="L148" s="3">
        <v>0.97916666666666663</v>
      </c>
    </row>
    <row r="149" spans="1:12" x14ac:dyDescent="0.25">
      <c r="A149" s="2">
        <v>42437</v>
      </c>
      <c r="B149" s="2">
        <v>42585</v>
      </c>
      <c r="C149" t="s">
        <v>19</v>
      </c>
      <c r="D149" t="s">
        <v>1636</v>
      </c>
      <c r="E149" s="5">
        <v>35000000</v>
      </c>
      <c r="F149" s="5">
        <v>38000000</v>
      </c>
      <c r="G149" s="5">
        <v>3000000</v>
      </c>
      <c r="H149" s="5">
        <v>3500000</v>
      </c>
      <c r="I149" s="5">
        <v>3800000</v>
      </c>
      <c r="J149" s="5">
        <v>35500000</v>
      </c>
      <c r="K149" s="5">
        <v>38500000</v>
      </c>
      <c r="L149" s="3">
        <v>0.97916666666666663</v>
      </c>
    </row>
    <row r="150" spans="1:12" x14ac:dyDescent="0.25">
      <c r="A150" s="2">
        <v>42468</v>
      </c>
      <c r="B150" s="2">
        <v>42586</v>
      </c>
      <c r="C150" t="s">
        <v>20</v>
      </c>
      <c r="D150" t="s">
        <v>1636</v>
      </c>
      <c r="E150" s="5">
        <v>35100000</v>
      </c>
      <c r="F150" s="5">
        <v>38100000</v>
      </c>
      <c r="G150" s="5">
        <v>3000000</v>
      </c>
      <c r="H150" s="5">
        <v>3510000</v>
      </c>
      <c r="I150" s="5">
        <v>3810000</v>
      </c>
      <c r="J150" s="5">
        <v>35600000</v>
      </c>
      <c r="K150" s="5">
        <v>38600000</v>
      </c>
      <c r="L150" s="3">
        <v>0.97916666666666663</v>
      </c>
    </row>
    <row r="151" spans="1:12" x14ac:dyDescent="0.25">
      <c r="A151" s="2">
        <v>42498</v>
      </c>
      <c r="B151" s="2">
        <v>42587</v>
      </c>
      <c r="C151" t="s">
        <v>21</v>
      </c>
      <c r="D151" t="s">
        <v>1636</v>
      </c>
      <c r="E151" s="5">
        <v>34500000</v>
      </c>
      <c r="F151" s="5">
        <v>37500000</v>
      </c>
      <c r="G151" s="5">
        <v>3000000</v>
      </c>
      <c r="H151" s="5">
        <v>3450000</v>
      </c>
      <c r="I151" s="5">
        <v>3750000</v>
      </c>
      <c r="J151" s="5">
        <v>35000000</v>
      </c>
      <c r="K151" s="5">
        <v>38000000</v>
      </c>
      <c r="L151" s="3">
        <v>0.97916666666666663</v>
      </c>
    </row>
    <row r="152" spans="1:12" x14ac:dyDescent="0.25">
      <c r="A152" s="2">
        <v>42590</v>
      </c>
      <c r="B152" s="2">
        <v>42590</v>
      </c>
      <c r="C152" t="s">
        <v>16</v>
      </c>
      <c r="D152" t="s">
        <v>1636</v>
      </c>
      <c r="E152" s="5">
        <v>34400000</v>
      </c>
      <c r="F152" s="5">
        <v>37400000</v>
      </c>
      <c r="G152" s="5">
        <v>3000000</v>
      </c>
      <c r="H152" s="5">
        <v>3440000</v>
      </c>
      <c r="I152" s="5">
        <v>3740000</v>
      </c>
      <c r="J152" s="5">
        <v>34900000</v>
      </c>
      <c r="K152" s="5">
        <v>37900000</v>
      </c>
      <c r="L152" s="3">
        <v>0.97916666666666663</v>
      </c>
    </row>
    <row r="153" spans="1:12" x14ac:dyDescent="0.25">
      <c r="A153" s="2">
        <v>42621</v>
      </c>
      <c r="B153" s="2">
        <v>42591</v>
      </c>
      <c r="C153" t="s">
        <v>18</v>
      </c>
      <c r="D153" t="s">
        <v>1636</v>
      </c>
      <c r="E153" s="5">
        <v>34500000</v>
      </c>
      <c r="F153" s="5">
        <v>37500000</v>
      </c>
      <c r="G153" s="5">
        <v>3000000</v>
      </c>
      <c r="H153" s="5">
        <v>3450000</v>
      </c>
      <c r="I153" s="5">
        <v>3750000</v>
      </c>
      <c r="J153" s="5">
        <v>35000000</v>
      </c>
      <c r="K153" s="5">
        <v>38000000</v>
      </c>
      <c r="L153" s="3">
        <v>0.97916666666666663</v>
      </c>
    </row>
    <row r="154" spans="1:12" x14ac:dyDescent="0.25">
      <c r="A154" s="2">
        <v>42651</v>
      </c>
      <c r="B154" s="2">
        <v>42592</v>
      </c>
      <c r="C154" t="s">
        <v>19</v>
      </c>
      <c r="D154" t="s">
        <v>1636</v>
      </c>
      <c r="E154" s="5">
        <v>34700000</v>
      </c>
      <c r="F154" s="5">
        <v>37700000</v>
      </c>
      <c r="G154" s="5">
        <v>3000000</v>
      </c>
      <c r="H154" s="5">
        <v>3470000</v>
      </c>
      <c r="I154" s="5">
        <v>3770000</v>
      </c>
      <c r="J154" s="5">
        <v>35200000</v>
      </c>
      <c r="K154" s="5">
        <v>38200000</v>
      </c>
      <c r="L154" s="3">
        <v>0.97916666666666663</v>
      </c>
    </row>
    <row r="155" spans="1:12" x14ac:dyDescent="0.25">
      <c r="A155" s="2">
        <v>42682</v>
      </c>
      <c r="B155" s="2">
        <v>42593</v>
      </c>
      <c r="C155" t="s">
        <v>20</v>
      </c>
      <c r="D155" t="s">
        <v>1636</v>
      </c>
      <c r="E155" s="5">
        <v>34600000</v>
      </c>
      <c r="F155" s="5">
        <v>37600000</v>
      </c>
      <c r="G155" s="5">
        <v>3000000</v>
      </c>
      <c r="H155" s="5">
        <v>3460000</v>
      </c>
      <c r="I155" s="5">
        <v>3760000</v>
      </c>
      <c r="J155" s="5">
        <v>35100000</v>
      </c>
      <c r="K155" s="5">
        <v>38100000</v>
      </c>
      <c r="L155" s="3">
        <v>0.97916666666666663</v>
      </c>
    </row>
    <row r="156" spans="1:12" x14ac:dyDescent="0.25">
      <c r="A156" s="2">
        <v>42712</v>
      </c>
      <c r="B156" s="2">
        <v>42594</v>
      </c>
      <c r="C156" t="s">
        <v>21</v>
      </c>
      <c r="D156" t="s">
        <v>1636</v>
      </c>
      <c r="E156" s="5">
        <v>34400000</v>
      </c>
      <c r="F156" s="5">
        <v>37400000</v>
      </c>
      <c r="G156" s="5">
        <v>3000000</v>
      </c>
      <c r="H156" s="5">
        <v>3440000</v>
      </c>
      <c r="I156" s="5">
        <v>3740000</v>
      </c>
      <c r="J156" s="5">
        <v>34900000</v>
      </c>
      <c r="K156" s="5">
        <v>37900000</v>
      </c>
      <c r="L156" s="3">
        <v>0.97916666666666663</v>
      </c>
    </row>
    <row r="157" spans="1:12" x14ac:dyDescent="0.25">
      <c r="A157" t="s">
        <v>109</v>
      </c>
      <c r="B157" s="2">
        <v>42597</v>
      </c>
      <c r="C157" t="s">
        <v>16</v>
      </c>
      <c r="D157" t="s">
        <v>1636</v>
      </c>
      <c r="E157" s="5">
        <v>34600000</v>
      </c>
      <c r="F157" s="5">
        <v>37600000</v>
      </c>
      <c r="G157" s="5">
        <v>3000000</v>
      </c>
      <c r="H157" s="5">
        <v>3460000</v>
      </c>
      <c r="I157" s="5">
        <v>3760000</v>
      </c>
      <c r="J157" s="5">
        <v>35100000</v>
      </c>
      <c r="K157" s="5">
        <v>38100000</v>
      </c>
      <c r="L157" s="3">
        <v>0.97916666666666663</v>
      </c>
    </row>
    <row r="158" spans="1:12" x14ac:dyDescent="0.25">
      <c r="A158" t="s">
        <v>110</v>
      </c>
      <c r="B158" s="2">
        <v>42598</v>
      </c>
      <c r="C158" t="s">
        <v>18</v>
      </c>
      <c r="D158" t="s">
        <v>1636</v>
      </c>
      <c r="E158" s="5">
        <v>34800000</v>
      </c>
      <c r="F158" s="5">
        <v>37800000</v>
      </c>
      <c r="G158" s="5">
        <v>3000000</v>
      </c>
      <c r="H158" s="5">
        <v>3480000</v>
      </c>
      <c r="I158" s="5">
        <v>3780000</v>
      </c>
      <c r="J158" s="5">
        <v>35300000</v>
      </c>
      <c r="K158" s="5">
        <v>38300000</v>
      </c>
      <c r="L158" s="3">
        <v>0.97916666666666663</v>
      </c>
    </row>
    <row r="159" spans="1:12" x14ac:dyDescent="0.25">
      <c r="A159" t="s">
        <v>111</v>
      </c>
      <c r="B159" s="2">
        <v>42599</v>
      </c>
      <c r="C159" t="s">
        <v>19</v>
      </c>
      <c r="D159" t="s">
        <v>1636</v>
      </c>
      <c r="E159" s="5">
        <v>34600000</v>
      </c>
      <c r="F159" s="5">
        <v>37600000</v>
      </c>
      <c r="G159" s="5">
        <v>3000000</v>
      </c>
      <c r="H159" s="5">
        <v>3460000</v>
      </c>
      <c r="I159" s="5">
        <v>3760000</v>
      </c>
      <c r="J159" s="5">
        <v>35100000</v>
      </c>
      <c r="K159" s="5">
        <v>38100000</v>
      </c>
      <c r="L159" s="3">
        <v>0.97916666666666663</v>
      </c>
    </row>
    <row r="160" spans="1:12" x14ac:dyDescent="0.25">
      <c r="A160" t="s">
        <v>112</v>
      </c>
      <c r="B160" s="2">
        <v>42600</v>
      </c>
      <c r="C160" t="s">
        <v>20</v>
      </c>
      <c r="D160" t="s">
        <v>1636</v>
      </c>
      <c r="E160" s="5">
        <v>34900000</v>
      </c>
      <c r="F160" s="5">
        <v>37900000</v>
      </c>
      <c r="G160" s="5">
        <v>3000000</v>
      </c>
      <c r="H160" s="5">
        <v>3490000</v>
      </c>
      <c r="I160" s="5">
        <v>3790000</v>
      </c>
      <c r="J160" s="5">
        <v>35400000</v>
      </c>
      <c r="K160" s="5">
        <v>38400000</v>
      </c>
      <c r="L160" s="3">
        <v>0.97916666666666663</v>
      </c>
    </row>
    <row r="161" spans="1:12" x14ac:dyDescent="0.25">
      <c r="A161" t="s">
        <v>113</v>
      </c>
      <c r="B161" s="2">
        <v>42601</v>
      </c>
      <c r="C161" t="s">
        <v>21</v>
      </c>
      <c r="D161" t="s">
        <v>1636</v>
      </c>
      <c r="E161" s="5">
        <v>34600000</v>
      </c>
      <c r="F161" s="5">
        <v>37600000</v>
      </c>
      <c r="G161" s="5">
        <v>3000000</v>
      </c>
      <c r="H161" s="5">
        <v>3460000</v>
      </c>
      <c r="I161" s="5">
        <v>3760000</v>
      </c>
      <c r="J161" s="5">
        <v>35100000</v>
      </c>
      <c r="K161" s="5">
        <v>38100000</v>
      </c>
      <c r="L161" s="3">
        <v>0.97916666666666663</v>
      </c>
    </row>
    <row r="162" spans="1:12" x14ac:dyDescent="0.25">
      <c r="A162" t="s">
        <v>114</v>
      </c>
      <c r="B162" s="2">
        <v>42604</v>
      </c>
      <c r="C162" t="s">
        <v>16</v>
      </c>
      <c r="D162" t="s">
        <v>1636</v>
      </c>
      <c r="E162" s="5">
        <v>34500000</v>
      </c>
      <c r="F162" s="5">
        <v>37500000</v>
      </c>
      <c r="G162" s="5">
        <v>3000000</v>
      </c>
      <c r="H162" s="5">
        <v>3450000</v>
      </c>
      <c r="I162" s="5">
        <v>3750000</v>
      </c>
      <c r="J162" s="5">
        <v>35000000</v>
      </c>
      <c r="K162" s="5">
        <v>38000000</v>
      </c>
      <c r="L162" s="3">
        <v>0.97916666666666663</v>
      </c>
    </row>
    <row r="163" spans="1:12" x14ac:dyDescent="0.25">
      <c r="A163" t="s">
        <v>115</v>
      </c>
      <c r="B163" s="2">
        <v>42605</v>
      </c>
      <c r="C163" t="s">
        <v>18</v>
      </c>
      <c r="D163" t="s">
        <v>1636</v>
      </c>
      <c r="E163" s="5">
        <v>34600000</v>
      </c>
      <c r="F163" s="5">
        <v>37600000</v>
      </c>
      <c r="G163" s="5">
        <v>3000000</v>
      </c>
      <c r="H163" s="5">
        <v>3460000</v>
      </c>
      <c r="I163" s="5">
        <v>3760000</v>
      </c>
      <c r="J163" s="5">
        <v>35100000</v>
      </c>
      <c r="K163" s="5">
        <v>38100000</v>
      </c>
      <c r="L163" s="3">
        <v>0.97916666666666663</v>
      </c>
    </row>
    <row r="164" spans="1:12" x14ac:dyDescent="0.25">
      <c r="A164" t="s">
        <v>116</v>
      </c>
      <c r="B164" s="2">
        <v>42606</v>
      </c>
      <c r="C164" t="s">
        <v>19</v>
      </c>
      <c r="D164" t="s">
        <v>1636</v>
      </c>
      <c r="E164" s="5">
        <v>34100000</v>
      </c>
      <c r="F164" s="5">
        <v>37100000</v>
      </c>
      <c r="G164" s="5">
        <v>3000000</v>
      </c>
      <c r="H164" s="5">
        <v>3410000</v>
      </c>
      <c r="I164" s="5">
        <v>3710000</v>
      </c>
      <c r="J164" s="5">
        <v>34600000</v>
      </c>
      <c r="K164" s="5">
        <v>37600000</v>
      </c>
      <c r="L164" s="3">
        <v>0.97916666666666663</v>
      </c>
    </row>
    <row r="165" spans="1:12" x14ac:dyDescent="0.25">
      <c r="A165" t="s">
        <v>117</v>
      </c>
      <c r="B165" s="2">
        <v>42607</v>
      </c>
      <c r="C165" t="s">
        <v>20</v>
      </c>
      <c r="D165" t="s">
        <v>1636</v>
      </c>
      <c r="E165" s="5">
        <v>34000000</v>
      </c>
      <c r="F165" s="5">
        <v>37000000</v>
      </c>
      <c r="G165" s="5">
        <v>3000000</v>
      </c>
      <c r="H165" s="5">
        <v>3400000</v>
      </c>
      <c r="I165" s="5">
        <v>3700000</v>
      </c>
      <c r="J165" s="5">
        <v>34500000</v>
      </c>
      <c r="K165" s="5">
        <v>37500000</v>
      </c>
      <c r="L165" s="3">
        <v>0.97916666666666663</v>
      </c>
    </row>
    <row r="166" spans="1:12" x14ac:dyDescent="0.25">
      <c r="A166" t="s">
        <v>118</v>
      </c>
      <c r="B166" s="2">
        <v>42608</v>
      </c>
      <c r="C166" t="s">
        <v>21</v>
      </c>
      <c r="D166" t="s">
        <v>1636</v>
      </c>
      <c r="E166" s="5">
        <v>34000000</v>
      </c>
      <c r="F166" s="5">
        <v>37000000</v>
      </c>
      <c r="G166" s="5">
        <v>3000000</v>
      </c>
      <c r="H166" s="5">
        <v>3400000</v>
      </c>
      <c r="I166" s="5">
        <v>3700000</v>
      </c>
      <c r="J166" s="5">
        <v>34500000</v>
      </c>
      <c r="K166" s="5">
        <v>37500000</v>
      </c>
      <c r="L166" s="3">
        <v>0.97916666666666663</v>
      </c>
    </row>
    <row r="167" spans="1:12" x14ac:dyDescent="0.25">
      <c r="A167" t="s">
        <v>119</v>
      </c>
      <c r="B167" s="2">
        <v>42611</v>
      </c>
      <c r="C167" t="s">
        <v>16</v>
      </c>
      <c r="D167" t="s">
        <v>1636</v>
      </c>
      <c r="E167" s="5">
        <v>34100000</v>
      </c>
      <c r="F167" s="5">
        <v>37100000</v>
      </c>
      <c r="G167" s="5">
        <v>3000000</v>
      </c>
      <c r="H167" s="5">
        <v>3410000</v>
      </c>
      <c r="I167" s="5">
        <v>3710000</v>
      </c>
      <c r="J167" s="5">
        <v>34600000</v>
      </c>
      <c r="K167" s="5">
        <v>37600000</v>
      </c>
      <c r="L167" s="3">
        <v>0.97916666666666663</v>
      </c>
    </row>
    <row r="168" spans="1:12" x14ac:dyDescent="0.25">
      <c r="A168" t="s">
        <v>120</v>
      </c>
      <c r="B168" s="2">
        <v>42612</v>
      </c>
      <c r="C168" t="s">
        <v>18</v>
      </c>
      <c r="D168" t="s">
        <v>1636</v>
      </c>
      <c r="E168" s="5">
        <v>33800000</v>
      </c>
      <c r="F168" s="5">
        <v>36800000</v>
      </c>
      <c r="G168" s="5">
        <v>3000000</v>
      </c>
      <c r="H168" s="5">
        <v>3380000</v>
      </c>
      <c r="I168" s="5">
        <v>3680000</v>
      </c>
      <c r="J168" s="5">
        <v>34300000</v>
      </c>
      <c r="K168" s="5">
        <v>37300000</v>
      </c>
      <c r="L168" s="3">
        <v>0.97916666666666663</v>
      </c>
    </row>
    <row r="169" spans="1:12" x14ac:dyDescent="0.25">
      <c r="A169" t="s">
        <v>121</v>
      </c>
      <c r="B169" s="2">
        <v>42613</v>
      </c>
      <c r="C169" t="s">
        <v>19</v>
      </c>
      <c r="D169" t="s">
        <v>1636</v>
      </c>
      <c r="E169" s="5">
        <v>33600000</v>
      </c>
      <c r="F169" s="5">
        <v>36600000</v>
      </c>
      <c r="G169" s="5">
        <v>3000000</v>
      </c>
      <c r="H169" s="5">
        <v>3360000</v>
      </c>
      <c r="I169" s="5">
        <v>3660000</v>
      </c>
      <c r="J169" s="5">
        <v>34100000</v>
      </c>
      <c r="K169" s="5">
        <v>37100000</v>
      </c>
      <c r="L169" s="3">
        <v>0.97916666666666663</v>
      </c>
    </row>
    <row r="170" spans="1:12" x14ac:dyDescent="0.25">
      <c r="A170" s="2">
        <v>42378</v>
      </c>
      <c r="B170" s="2">
        <v>42614</v>
      </c>
      <c r="C170" t="s">
        <v>20</v>
      </c>
      <c r="D170" t="s">
        <v>1636</v>
      </c>
      <c r="E170" s="5">
        <v>33800000</v>
      </c>
      <c r="F170" s="5">
        <v>36800000</v>
      </c>
      <c r="G170" s="5">
        <v>3000000</v>
      </c>
      <c r="H170" s="5">
        <v>3380000</v>
      </c>
      <c r="I170" s="5">
        <v>3680000</v>
      </c>
      <c r="J170" s="5">
        <v>34300000</v>
      </c>
      <c r="K170" s="5">
        <v>37300000</v>
      </c>
      <c r="L170" s="3">
        <v>0.97916666666666663</v>
      </c>
    </row>
    <row r="171" spans="1:12" x14ac:dyDescent="0.25">
      <c r="A171" s="2">
        <v>42409</v>
      </c>
      <c r="B171" s="2">
        <v>42615</v>
      </c>
      <c r="C171" t="s">
        <v>21</v>
      </c>
      <c r="D171" t="s">
        <v>1636</v>
      </c>
      <c r="E171" s="5">
        <v>34100000</v>
      </c>
      <c r="F171" s="5">
        <v>37100000</v>
      </c>
      <c r="G171" s="5">
        <v>3000000</v>
      </c>
      <c r="H171" s="5">
        <v>3410000</v>
      </c>
      <c r="I171" s="5">
        <v>3710000</v>
      </c>
      <c r="J171" s="5">
        <v>34600000</v>
      </c>
      <c r="K171" s="5">
        <v>37600000</v>
      </c>
      <c r="L171" s="3">
        <v>0.97916666666666663</v>
      </c>
    </row>
    <row r="172" spans="1:12" x14ac:dyDescent="0.25">
      <c r="A172" s="2">
        <v>42530</v>
      </c>
      <c r="B172" s="2">
        <v>42619</v>
      </c>
      <c r="C172" t="s">
        <v>18</v>
      </c>
      <c r="D172" t="s">
        <v>1636</v>
      </c>
      <c r="E172" s="5">
        <v>34800000</v>
      </c>
      <c r="F172" s="5">
        <v>37800000</v>
      </c>
      <c r="G172" s="5">
        <v>3000000</v>
      </c>
      <c r="H172" s="5">
        <v>3480000</v>
      </c>
      <c r="I172" s="5">
        <v>3780000</v>
      </c>
      <c r="J172" s="5">
        <v>35300000</v>
      </c>
      <c r="K172" s="5">
        <v>38300000</v>
      </c>
      <c r="L172" s="3">
        <v>0.97916666666666663</v>
      </c>
    </row>
    <row r="173" spans="1:12" x14ac:dyDescent="0.25">
      <c r="A173" s="2">
        <v>42560</v>
      </c>
      <c r="B173" s="2">
        <v>42620</v>
      </c>
      <c r="C173" t="s">
        <v>19</v>
      </c>
      <c r="D173" t="s">
        <v>1636</v>
      </c>
      <c r="E173" s="5">
        <v>34700000</v>
      </c>
      <c r="F173" s="5">
        <v>37700000</v>
      </c>
      <c r="G173" s="5">
        <v>3000000</v>
      </c>
      <c r="H173" s="5">
        <v>3470000</v>
      </c>
      <c r="I173" s="5">
        <v>3770000</v>
      </c>
      <c r="J173" s="5">
        <v>35200000</v>
      </c>
      <c r="K173" s="5">
        <v>38200000</v>
      </c>
      <c r="L173" s="3">
        <v>0.97916666666666663</v>
      </c>
    </row>
    <row r="174" spans="1:12" x14ac:dyDescent="0.25">
      <c r="A174" s="2">
        <v>42591</v>
      </c>
      <c r="B174" s="2">
        <v>42621</v>
      </c>
      <c r="C174" t="s">
        <v>20</v>
      </c>
      <c r="D174" t="s">
        <v>1636</v>
      </c>
      <c r="E174" s="5">
        <v>34500000</v>
      </c>
      <c r="F174" s="5">
        <v>37500000</v>
      </c>
      <c r="G174" s="5">
        <v>3000000</v>
      </c>
      <c r="H174" s="5">
        <v>3450000</v>
      </c>
      <c r="I174" s="5">
        <v>3750000</v>
      </c>
      <c r="J174" s="5">
        <v>35000000</v>
      </c>
      <c r="K174" s="5">
        <v>38000000</v>
      </c>
      <c r="L174" s="3">
        <v>0.97916666666666663</v>
      </c>
    </row>
    <row r="175" spans="1:12" x14ac:dyDescent="0.25">
      <c r="A175" s="2">
        <v>42622</v>
      </c>
      <c r="B175" s="2">
        <v>42622</v>
      </c>
      <c r="C175" t="s">
        <v>21</v>
      </c>
      <c r="D175" t="s">
        <v>1636</v>
      </c>
      <c r="E175" s="5">
        <v>34300000</v>
      </c>
      <c r="F175" s="5">
        <v>37300000</v>
      </c>
      <c r="G175" s="5">
        <v>3000000</v>
      </c>
      <c r="H175" s="5">
        <v>3430000</v>
      </c>
      <c r="I175" s="5">
        <v>3730000</v>
      </c>
      <c r="J175" s="5">
        <v>34800000</v>
      </c>
      <c r="K175" s="5">
        <v>37800000</v>
      </c>
      <c r="L175" s="3">
        <v>0.97916666666666663</v>
      </c>
    </row>
    <row r="176" spans="1:12" x14ac:dyDescent="0.25">
      <c r="A176" s="2">
        <v>42713</v>
      </c>
      <c r="B176" s="2">
        <v>42625</v>
      </c>
      <c r="C176" t="s">
        <v>16</v>
      </c>
      <c r="D176" t="s">
        <v>1636</v>
      </c>
      <c r="E176" s="5">
        <v>34000000</v>
      </c>
      <c r="F176" s="5">
        <v>37000000</v>
      </c>
      <c r="G176" s="5">
        <v>3000000</v>
      </c>
      <c r="H176" s="5">
        <v>3400000</v>
      </c>
      <c r="I176" s="5">
        <v>3700000</v>
      </c>
      <c r="J176" s="5">
        <v>34500000</v>
      </c>
      <c r="K176" s="5">
        <v>37500000</v>
      </c>
      <c r="L176" s="3">
        <v>0.97916666666666663</v>
      </c>
    </row>
    <row r="177" spans="1:12" x14ac:dyDescent="0.25">
      <c r="A177" t="s">
        <v>122</v>
      </c>
      <c r="B177" s="2">
        <v>42626</v>
      </c>
      <c r="C177" t="s">
        <v>18</v>
      </c>
      <c r="D177" t="s">
        <v>1636</v>
      </c>
      <c r="E177" s="5">
        <v>34000000</v>
      </c>
      <c r="F177" s="5">
        <v>37000000</v>
      </c>
      <c r="G177" s="5">
        <v>3000000</v>
      </c>
      <c r="H177" s="5">
        <v>3400000</v>
      </c>
      <c r="I177" s="5">
        <v>3700000</v>
      </c>
      <c r="J177" s="5">
        <v>34500000</v>
      </c>
      <c r="K177" s="5">
        <v>37500000</v>
      </c>
      <c r="L177" s="3">
        <v>0.97916666666666663</v>
      </c>
    </row>
    <row r="178" spans="1:12" x14ac:dyDescent="0.25">
      <c r="A178" t="s">
        <v>123</v>
      </c>
      <c r="B178" s="2">
        <v>42627</v>
      </c>
      <c r="C178" t="s">
        <v>19</v>
      </c>
      <c r="D178" t="s">
        <v>1636</v>
      </c>
      <c r="E178" s="5">
        <v>34000000</v>
      </c>
      <c r="F178" s="5">
        <v>37000000</v>
      </c>
      <c r="G178" s="5">
        <v>3000000</v>
      </c>
      <c r="H178" s="5">
        <v>3400000</v>
      </c>
      <c r="I178" s="5">
        <v>3700000</v>
      </c>
      <c r="J178" s="5">
        <v>34500000</v>
      </c>
      <c r="K178" s="5">
        <v>37500000</v>
      </c>
      <c r="L178" s="3">
        <v>0.97916666666666663</v>
      </c>
    </row>
    <row r="179" spans="1:12" x14ac:dyDescent="0.25">
      <c r="A179" t="s">
        <v>124</v>
      </c>
      <c r="B179" s="2">
        <v>42628</v>
      </c>
      <c r="C179" t="s">
        <v>20</v>
      </c>
      <c r="D179" t="s">
        <v>1636</v>
      </c>
      <c r="E179" s="5">
        <v>33800000</v>
      </c>
      <c r="F179" s="5">
        <v>36800000</v>
      </c>
      <c r="G179" s="5">
        <v>3000000</v>
      </c>
      <c r="H179" s="5">
        <v>3380000</v>
      </c>
      <c r="I179" s="5">
        <v>3680000</v>
      </c>
      <c r="J179" s="5">
        <v>34300000</v>
      </c>
      <c r="K179" s="5">
        <v>37300000</v>
      </c>
      <c r="L179" s="3">
        <v>0.97916666666666663</v>
      </c>
    </row>
    <row r="180" spans="1:12" x14ac:dyDescent="0.25">
      <c r="A180" t="s">
        <v>125</v>
      </c>
      <c r="B180" s="2">
        <v>42629</v>
      </c>
      <c r="C180" t="s">
        <v>21</v>
      </c>
      <c r="D180" t="s">
        <v>1636</v>
      </c>
      <c r="E180" s="5">
        <v>33600000</v>
      </c>
      <c r="F180" s="5">
        <v>36600000</v>
      </c>
      <c r="G180" s="5">
        <v>3000000</v>
      </c>
      <c r="H180" s="5">
        <v>3360000</v>
      </c>
      <c r="I180" s="5">
        <v>3660000</v>
      </c>
      <c r="J180" s="5">
        <v>34100000</v>
      </c>
      <c r="K180" s="5">
        <v>37100000</v>
      </c>
      <c r="L180" s="3">
        <v>0.97916666666666663</v>
      </c>
    </row>
    <row r="181" spans="1:12" x14ac:dyDescent="0.25">
      <c r="A181" t="s">
        <v>126</v>
      </c>
      <c r="B181" s="2">
        <v>42632</v>
      </c>
      <c r="C181" t="s">
        <v>16</v>
      </c>
      <c r="D181" t="s">
        <v>1636</v>
      </c>
      <c r="E181" s="5">
        <v>33800000</v>
      </c>
      <c r="F181" s="5">
        <v>36800000</v>
      </c>
      <c r="G181" s="5">
        <v>3000000</v>
      </c>
      <c r="H181" s="5">
        <v>3380000</v>
      </c>
      <c r="I181" s="5">
        <v>3680000</v>
      </c>
      <c r="J181" s="5">
        <v>34300000</v>
      </c>
      <c r="K181" s="5">
        <v>37300000</v>
      </c>
      <c r="L181" s="3">
        <v>0.97916666666666663</v>
      </c>
    </row>
    <row r="182" spans="1:12" x14ac:dyDescent="0.25">
      <c r="A182" t="s">
        <v>127</v>
      </c>
      <c r="B182" s="2">
        <v>42633</v>
      </c>
      <c r="C182" t="s">
        <v>18</v>
      </c>
      <c r="D182" t="s">
        <v>1636</v>
      </c>
      <c r="E182" s="5">
        <v>33800000</v>
      </c>
      <c r="F182" s="5">
        <v>36800000</v>
      </c>
      <c r="G182" s="5">
        <v>3000000</v>
      </c>
      <c r="H182" s="5">
        <v>3380000</v>
      </c>
      <c r="I182" s="5">
        <v>3680000</v>
      </c>
      <c r="J182" s="5">
        <v>34300000</v>
      </c>
      <c r="K182" s="5">
        <v>37300000</v>
      </c>
      <c r="L182" s="3">
        <v>0.97916666666666663</v>
      </c>
    </row>
    <row r="183" spans="1:12" x14ac:dyDescent="0.25">
      <c r="A183" t="s">
        <v>128</v>
      </c>
      <c r="B183" s="2">
        <v>42634</v>
      </c>
      <c r="C183" t="s">
        <v>19</v>
      </c>
      <c r="D183" t="s">
        <v>1636</v>
      </c>
      <c r="E183" s="5">
        <v>34200000</v>
      </c>
      <c r="F183" s="5">
        <v>37200000</v>
      </c>
      <c r="G183" s="5">
        <v>3000000</v>
      </c>
      <c r="H183" s="5">
        <v>3420000</v>
      </c>
      <c r="I183" s="5">
        <v>3720000</v>
      </c>
      <c r="J183" s="5">
        <v>34700000</v>
      </c>
      <c r="K183" s="5">
        <v>37700000</v>
      </c>
      <c r="L183" s="3">
        <v>0.97916666666666663</v>
      </c>
    </row>
    <row r="184" spans="1:12" x14ac:dyDescent="0.25">
      <c r="A184" t="s">
        <v>129</v>
      </c>
      <c r="B184" s="2">
        <v>42635</v>
      </c>
      <c r="C184" t="s">
        <v>20</v>
      </c>
      <c r="D184" t="s">
        <v>1636</v>
      </c>
      <c r="E184" s="5">
        <v>34600000</v>
      </c>
      <c r="F184" s="5">
        <v>37600000</v>
      </c>
      <c r="G184" s="5">
        <v>3000000</v>
      </c>
      <c r="H184" s="5">
        <v>3460000</v>
      </c>
      <c r="I184" s="5">
        <v>3760000</v>
      </c>
      <c r="J184" s="5">
        <v>35100000</v>
      </c>
      <c r="K184" s="5">
        <v>38100000</v>
      </c>
      <c r="L184" s="3">
        <v>0.97916666666666663</v>
      </c>
    </row>
    <row r="185" spans="1:12" x14ac:dyDescent="0.25">
      <c r="A185" t="s">
        <v>130</v>
      </c>
      <c r="B185" s="2">
        <v>42636</v>
      </c>
      <c r="C185" t="s">
        <v>21</v>
      </c>
      <c r="D185" t="s">
        <v>1636</v>
      </c>
      <c r="E185" s="5">
        <v>34500000</v>
      </c>
      <c r="F185" s="5">
        <v>37500000</v>
      </c>
      <c r="G185" s="5">
        <v>3000000</v>
      </c>
      <c r="H185" s="5">
        <v>3450000</v>
      </c>
      <c r="I185" s="5">
        <v>3750000</v>
      </c>
      <c r="J185" s="5">
        <v>35000000</v>
      </c>
      <c r="K185" s="5">
        <v>38000000</v>
      </c>
      <c r="L185" s="3">
        <v>0.97916666666666663</v>
      </c>
    </row>
    <row r="186" spans="1:12" x14ac:dyDescent="0.25">
      <c r="A186" t="s">
        <v>131</v>
      </c>
      <c r="B186" s="2">
        <v>42639</v>
      </c>
      <c r="C186" t="s">
        <v>16</v>
      </c>
      <c r="D186" t="s">
        <v>1636</v>
      </c>
      <c r="E186" s="5">
        <v>34500000</v>
      </c>
      <c r="F186" s="5">
        <v>37500000</v>
      </c>
      <c r="G186" s="5">
        <v>3000000</v>
      </c>
      <c r="H186" s="5">
        <v>3450000</v>
      </c>
      <c r="I186" s="5">
        <v>3750000</v>
      </c>
      <c r="J186" s="5">
        <v>35000000</v>
      </c>
      <c r="K186" s="5">
        <v>38000000</v>
      </c>
      <c r="L186" s="3">
        <v>0.97916666666666663</v>
      </c>
    </row>
    <row r="187" spans="1:12" x14ac:dyDescent="0.25">
      <c r="A187" t="s">
        <v>132</v>
      </c>
      <c r="B187" s="2">
        <v>42640</v>
      </c>
      <c r="C187" t="s">
        <v>18</v>
      </c>
      <c r="D187" t="s">
        <v>1636</v>
      </c>
      <c r="E187" s="5">
        <v>34200000</v>
      </c>
      <c r="F187" s="5">
        <v>37200000</v>
      </c>
      <c r="G187" s="5">
        <v>3000000</v>
      </c>
      <c r="H187" s="5">
        <v>3420000</v>
      </c>
      <c r="I187" s="5">
        <v>3720000</v>
      </c>
      <c r="J187" s="5">
        <v>34700000</v>
      </c>
      <c r="K187" s="5">
        <v>37700000</v>
      </c>
      <c r="L187" s="3">
        <v>0.97916666666666663</v>
      </c>
    </row>
    <row r="188" spans="1:12" x14ac:dyDescent="0.25">
      <c r="A188" t="s">
        <v>133</v>
      </c>
      <c r="B188" s="2">
        <v>42641</v>
      </c>
      <c r="C188" t="s">
        <v>19</v>
      </c>
      <c r="D188" t="s">
        <v>1636</v>
      </c>
      <c r="E188" s="5">
        <v>34000000</v>
      </c>
      <c r="F188" s="5">
        <v>37000000</v>
      </c>
      <c r="G188" s="5">
        <v>3000000</v>
      </c>
      <c r="H188" s="5">
        <v>3400000</v>
      </c>
      <c r="I188" s="5">
        <v>3700000</v>
      </c>
      <c r="J188" s="5">
        <v>34500000</v>
      </c>
      <c r="K188" s="5">
        <v>37500000</v>
      </c>
      <c r="L188" s="3">
        <v>0.97916666666666663</v>
      </c>
    </row>
    <row r="189" spans="1:12" x14ac:dyDescent="0.25">
      <c r="A189" t="s">
        <v>134</v>
      </c>
      <c r="B189" s="2">
        <v>42642</v>
      </c>
      <c r="C189" t="s">
        <v>20</v>
      </c>
      <c r="D189" t="s">
        <v>1636</v>
      </c>
      <c r="E189" s="5">
        <v>34000000</v>
      </c>
      <c r="F189" s="5">
        <v>37000000</v>
      </c>
      <c r="G189" s="5">
        <v>3000000</v>
      </c>
      <c r="H189" s="5">
        <v>3400000</v>
      </c>
      <c r="I189" s="5">
        <v>3700000</v>
      </c>
      <c r="J189" s="5">
        <v>34500000</v>
      </c>
      <c r="K189" s="5">
        <v>37500000</v>
      </c>
      <c r="L189" s="3">
        <v>0.97916666666666663</v>
      </c>
    </row>
    <row r="190" spans="1:12" x14ac:dyDescent="0.25">
      <c r="A190" t="s">
        <v>135</v>
      </c>
      <c r="B190" s="2">
        <v>42643</v>
      </c>
      <c r="C190" t="s">
        <v>21</v>
      </c>
      <c r="D190" t="s">
        <v>1636</v>
      </c>
      <c r="E190" s="5">
        <v>33800000</v>
      </c>
      <c r="F190" s="5">
        <v>36800000</v>
      </c>
      <c r="G190" s="5">
        <v>3000000</v>
      </c>
      <c r="H190" s="5">
        <v>3380000</v>
      </c>
      <c r="I190" s="5">
        <v>3680000</v>
      </c>
      <c r="J190" s="5">
        <v>34300000</v>
      </c>
      <c r="K190" s="5">
        <v>37300000</v>
      </c>
      <c r="L190" s="3">
        <v>0.97916666666666663</v>
      </c>
    </row>
    <row r="191" spans="1:12" x14ac:dyDescent="0.25">
      <c r="A191" s="2">
        <v>42439</v>
      </c>
      <c r="B191" s="2">
        <v>42646</v>
      </c>
      <c r="C191" t="s">
        <v>16</v>
      </c>
      <c r="D191" t="s">
        <v>1636</v>
      </c>
      <c r="E191" s="5">
        <v>33700000</v>
      </c>
      <c r="F191" s="5">
        <v>36700000</v>
      </c>
      <c r="G191" s="5">
        <v>3000000</v>
      </c>
      <c r="H191" s="5">
        <v>3370000</v>
      </c>
      <c r="I191" s="5">
        <v>3670000</v>
      </c>
      <c r="J191" s="5">
        <v>34200000</v>
      </c>
      <c r="K191" s="5">
        <v>37200000</v>
      </c>
      <c r="L191" s="3">
        <v>0.97916666666666663</v>
      </c>
    </row>
    <row r="192" spans="1:12" x14ac:dyDescent="0.25">
      <c r="A192" s="2">
        <v>42470</v>
      </c>
      <c r="B192" s="2">
        <v>42647</v>
      </c>
      <c r="C192" t="s">
        <v>18</v>
      </c>
      <c r="D192" t="s">
        <v>1636</v>
      </c>
      <c r="E192" s="5">
        <v>32500000</v>
      </c>
      <c r="F192" s="5">
        <v>35500000</v>
      </c>
      <c r="G192" s="5">
        <v>3000000</v>
      </c>
      <c r="H192" s="5">
        <v>3250000</v>
      </c>
      <c r="I192" s="5">
        <v>3550000</v>
      </c>
      <c r="J192" s="5">
        <v>33000000</v>
      </c>
      <c r="K192" s="5">
        <v>36000000</v>
      </c>
      <c r="L192" s="3">
        <v>0.97916666666666663</v>
      </c>
    </row>
    <row r="193" spans="1:12" x14ac:dyDescent="0.25">
      <c r="A193" s="2">
        <v>42500</v>
      </c>
      <c r="B193" s="2">
        <v>42648</v>
      </c>
      <c r="C193" t="s">
        <v>19</v>
      </c>
      <c r="D193" t="s">
        <v>1636</v>
      </c>
      <c r="E193" s="5">
        <v>32500000</v>
      </c>
      <c r="F193" s="5">
        <v>35500000</v>
      </c>
      <c r="G193" s="5">
        <v>3000000</v>
      </c>
      <c r="H193" s="5">
        <v>3250000</v>
      </c>
      <c r="I193" s="5">
        <v>3550000</v>
      </c>
      <c r="J193" s="5">
        <v>33000000</v>
      </c>
      <c r="K193" s="5">
        <v>36000000</v>
      </c>
      <c r="L193" s="3">
        <v>0.97916666666666663</v>
      </c>
    </row>
    <row r="194" spans="1:12" x14ac:dyDescent="0.25">
      <c r="A194" s="2">
        <v>42531</v>
      </c>
      <c r="B194" s="2">
        <v>42649</v>
      </c>
      <c r="C194" t="s">
        <v>20</v>
      </c>
      <c r="D194" t="s">
        <v>1636</v>
      </c>
      <c r="E194" s="5">
        <v>32000000</v>
      </c>
      <c r="F194" s="5">
        <v>35000000</v>
      </c>
      <c r="G194" s="5">
        <v>3000000</v>
      </c>
      <c r="H194" s="5">
        <v>3200000</v>
      </c>
      <c r="I194" s="5">
        <v>3500000</v>
      </c>
      <c r="J194" s="5">
        <v>32500000</v>
      </c>
      <c r="K194" s="5">
        <v>35500000</v>
      </c>
      <c r="L194" s="3">
        <v>0.97916666666666663</v>
      </c>
    </row>
    <row r="195" spans="1:12" x14ac:dyDescent="0.25">
      <c r="A195" s="2">
        <v>42561</v>
      </c>
      <c r="B195" s="2">
        <v>42650</v>
      </c>
      <c r="C195" t="s">
        <v>21</v>
      </c>
      <c r="D195" t="s">
        <v>1636</v>
      </c>
      <c r="E195" s="5">
        <v>32000000</v>
      </c>
      <c r="F195" s="5">
        <v>35000000</v>
      </c>
      <c r="G195" s="5">
        <v>3000000</v>
      </c>
      <c r="H195" s="5">
        <v>3200000</v>
      </c>
      <c r="I195" s="5">
        <v>3500000</v>
      </c>
      <c r="J195" s="5">
        <v>32500000</v>
      </c>
      <c r="K195" s="5">
        <v>35500000</v>
      </c>
      <c r="L195" s="3">
        <v>0.97916666666666663</v>
      </c>
    </row>
    <row r="196" spans="1:12" x14ac:dyDescent="0.25">
      <c r="A196" s="2">
        <v>42684</v>
      </c>
      <c r="B196" s="2">
        <v>42654</v>
      </c>
      <c r="C196" t="s">
        <v>18</v>
      </c>
      <c r="D196" t="s">
        <v>1636</v>
      </c>
      <c r="E196" s="5">
        <v>32100000</v>
      </c>
      <c r="F196" s="5">
        <v>35100000</v>
      </c>
      <c r="G196" s="5">
        <v>3000000</v>
      </c>
      <c r="H196" s="5">
        <v>3210000</v>
      </c>
      <c r="I196" s="5">
        <v>3510000</v>
      </c>
      <c r="J196" s="5">
        <v>32600000</v>
      </c>
      <c r="K196" s="5">
        <v>35600000</v>
      </c>
      <c r="L196" s="3">
        <v>0.97916666666666663</v>
      </c>
    </row>
    <row r="197" spans="1:12" x14ac:dyDescent="0.25">
      <c r="A197" s="2">
        <v>42714</v>
      </c>
      <c r="B197" s="2">
        <v>42655</v>
      </c>
      <c r="C197" t="s">
        <v>19</v>
      </c>
      <c r="D197" t="s">
        <v>1636</v>
      </c>
      <c r="E197" s="5">
        <v>32100000</v>
      </c>
      <c r="F197" s="5">
        <v>35100000</v>
      </c>
      <c r="G197" s="5">
        <v>3000000</v>
      </c>
      <c r="H197" s="5">
        <v>3210000</v>
      </c>
      <c r="I197" s="5">
        <v>3510000</v>
      </c>
      <c r="J197" s="5">
        <v>32600000</v>
      </c>
      <c r="K197" s="5">
        <v>35600000</v>
      </c>
      <c r="L197" s="3">
        <v>0.97916666666666663</v>
      </c>
    </row>
    <row r="198" spans="1:12" x14ac:dyDescent="0.25">
      <c r="A198" t="s">
        <v>136</v>
      </c>
      <c r="B198" s="2">
        <v>42656</v>
      </c>
      <c r="C198" t="s">
        <v>20</v>
      </c>
      <c r="D198" t="s">
        <v>1636</v>
      </c>
      <c r="E198" s="5">
        <v>32200000</v>
      </c>
      <c r="F198" s="5">
        <v>35200000</v>
      </c>
      <c r="G198" s="5">
        <v>3000000</v>
      </c>
      <c r="H198" s="5">
        <v>3220000</v>
      </c>
      <c r="I198" s="5">
        <v>3520000</v>
      </c>
      <c r="J198" s="5">
        <v>32700000</v>
      </c>
      <c r="K198" s="5">
        <v>35700000</v>
      </c>
      <c r="L198" s="3">
        <v>0.97916666666666663</v>
      </c>
    </row>
    <row r="199" spans="1:12" x14ac:dyDescent="0.25">
      <c r="A199" t="s">
        <v>137</v>
      </c>
      <c r="B199" s="2">
        <v>42657</v>
      </c>
      <c r="C199" t="s">
        <v>21</v>
      </c>
      <c r="D199" t="s">
        <v>1636</v>
      </c>
      <c r="E199" s="5">
        <v>32100000</v>
      </c>
      <c r="F199" s="5">
        <v>35100000</v>
      </c>
      <c r="G199" s="5">
        <v>3000000</v>
      </c>
      <c r="H199" s="5">
        <v>3210000</v>
      </c>
      <c r="I199" s="5">
        <v>3510000</v>
      </c>
      <c r="J199" s="5">
        <v>32600000</v>
      </c>
      <c r="K199" s="5">
        <v>35600000</v>
      </c>
      <c r="L199" s="3">
        <v>0.97916666666666663</v>
      </c>
    </row>
    <row r="200" spans="1:12" x14ac:dyDescent="0.25">
      <c r="A200" t="s">
        <v>138</v>
      </c>
      <c r="B200" s="2">
        <v>42660</v>
      </c>
      <c r="C200" t="s">
        <v>16</v>
      </c>
      <c r="D200" t="s">
        <v>1636</v>
      </c>
      <c r="E200" s="5">
        <v>32200000</v>
      </c>
      <c r="F200" s="5">
        <v>35200000</v>
      </c>
      <c r="G200" s="5">
        <v>3000000</v>
      </c>
      <c r="H200" s="5">
        <v>3220000</v>
      </c>
      <c r="I200" s="5">
        <v>3520000</v>
      </c>
      <c r="J200" s="5">
        <v>32700000</v>
      </c>
      <c r="K200" s="5">
        <v>35700000</v>
      </c>
      <c r="L200" s="3">
        <v>0.97916666666666663</v>
      </c>
    </row>
    <row r="201" spans="1:12" x14ac:dyDescent="0.25">
      <c r="A201" t="s">
        <v>139</v>
      </c>
      <c r="B201" s="2">
        <v>42661</v>
      </c>
      <c r="C201" t="s">
        <v>18</v>
      </c>
      <c r="D201" t="s">
        <v>1636</v>
      </c>
      <c r="E201" s="5">
        <v>32300000</v>
      </c>
      <c r="F201" s="5">
        <v>35300000</v>
      </c>
      <c r="G201" s="5">
        <v>3000000</v>
      </c>
      <c r="H201" s="5">
        <v>3230000</v>
      </c>
      <c r="I201" s="5">
        <v>3530000</v>
      </c>
      <c r="J201" s="5">
        <v>32800000</v>
      </c>
      <c r="K201" s="5">
        <v>35800000</v>
      </c>
      <c r="L201" s="3">
        <v>0.97916666666666663</v>
      </c>
    </row>
    <row r="202" spans="1:12" x14ac:dyDescent="0.25">
      <c r="A202" t="s">
        <v>140</v>
      </c>
      <c r="B202" s="2">
        <v>42662</v>
      </c>
      <c r="C202" t="s">
        <v>19</v>
      </c>
      <c r="D202" t="s">
        <v>1636</v>
      </c>
      <c r="E202" s="5">
        <v>32500000</v>
      </c>
      <c r="F202" s="5">
        <v>35500000</v>
      </c>
      <c r="G202" s="5">
        <v>3000000</v>
      </c>
      <c r="H202" s="5">
        <v>3250000</v>
      </c>
      <c r="I202" s="5">
        <v>3550000</v>
      </c>
      <c r="J202" s="5">
        <v>33000000</v>
      </c>
      <c r="K202" s="5">
        <v>36000000</v>
      </c>
      <c r="L202" s="3">
        <v>0.97916666666666663</v>
      </c>
    </row>
    <row r="203" spans="1:12" x14ac:dyDescent="0.25">
      <c r="A203" t="s">
        <v>141</v>
      </c>
      <c r="B203" s="2">
        <v>42663</v>
      </c>
      <c r="C203" t="s">
        <v>20</v>
      </c>
      <c r="D203" t="s">
        <v>1636</v>
      </c>
      <c r="E203" s="5">
        <v>32500000</v>
      </c>
      <c r="F203" s="5">
        <v>35500000</v>
      </c>
      <c r="G203" s="5">
        <v>3000000</v>
      </c>
      <c r="H203" s="5">
        <v>3250000</v>
      </c>
      <c r="I203" s="5">
        <v>3550000</v>
      </c>
      <c r="J203" s="5">
        <v>33000000</v>
      </c>
      <c r="K203" s="5">
        <v>36000000</v>
      </c>
      <c r="L203" s="3">
        <v>0.97916666666666663</v>
      </c>
    </row>
    <row r="204" spans="1:12" x14ac:dyDescent="0.25">
      <c r="A204" t="s">
        <v>142</v>
      </c>
      <c r="B204" s="2">
        <v>42664</v>
      </c>
      <c r="C204" t="s">
        <v>21</v>
      </c>
      <c r="D204" t="s">
        <v>1636</v>
      </c>
      <c r="E204" s="5">
        <v>32500000</v>
      </c>
      <c r="F204" s="5">
        <v>35500000</v>
      </c>
      <c r="G204" s="5">
        <v>3000000</v>
      </c>
      <c r="H204" s="5">
        <v>3250000</v>
      </c>
      <c r="I204" s="5">
        <v>3550000</v>
      </c>
      <c r="J204" s="5">
        <v>33000000</v>
      </c>
      <c r="K204" s="5">
        <v>36000000</v>
      </c>
      <c r="L204" s="3">
        <v>0.97916666666666663</v>
      </c>
    </row>
    <row r="205" spans="1:12" x14ac:dyDescent="0.25">
      <c r="A205" t="s">
        <v>143</v>
      </c>
      <c r="B205" s="2">
        <v>42667</v>
      </c>
      <c r="C205" t="s">
        <v>16</v>
      </c>
      <c r="D205" t="s">
        <v>1636</v>
      </c>
      <c r="E205" s="5">
        <v>32400000</v>
      </c>
      <c r="F205" s="5">
        <v>35400000</v>
      </c>
      <c r="G205" s="5">
        <v>3000000</v>
      </c>
      <c r="H205" s="5">
        <v>3240000</v>
      </c>
      <c r="I205" s="5">
        <v>3540000</v>
      </c>
      <c r="J205" s="5">
        <v>32900000</v>
      </c>
      <c r="K205" s="5">
        <v>35900000</v>
      </c>
      <c r="L205" s="3">
        <v>0.97916666666666663</v>
      </c>
    </row>
    <row r="206" spans="1:12" x14ac:dyDescent="0.25">
      <c r="A206" t="s">
        <v>144</v>
      </c>
      <c r="B206" s="2">
        <v>42668</v>
      </c>
      <c r="C206" t="s">
        <v>18</v>
      </c>
      <c r="D206" t="s">
        <v>1636</v>
      </c>
      <c r="E206" s="5">
        <v>32600000</v>
      </c>
      <c r="F206" s="5">
        <v>35600000</v>
      </c>
      <c r="G206" s="5">
        <v>3000000</v>
      </c>
      <c r="H206" s="5">
        <v>3260000</v>
      </c>
      <c r="I206" s="5">
        <v>3560000</v>
      </c>
      <c r="J206" s="5">
        <v>33100000</v>
      </c>
      <c r="K206" s="5">
        <v>36100000</v>
      </c>
      <c r="L206" s="3">
        <v>0.97916666666666663</v>
      </c>
    </row>
    <row r="207" spans="1:12" x14ac:dyDescent="0.25">
      <c r="A207" t="s">
        <v>145</v>
      </c>
      <c r="B207" s="2">
        <v>42669</v>
      </c>
      <c r="C207" t="s">
        <v>19</v>
      </c>
      <c r="D207" t="s">
        <v>1636</v>
      </c>
      <c r="E207" s="5">
        <v>32400000</v>
      </c>
      <c r="F207" s="5">
        <v>35400000</v>
      </c>
      <c r="G207" s="5">
        <v>3000000</v>
      </c>
      <c r="H207" s="5">
        <v>3240000</v>
      </c>
      <c r="I207" s="5">
        <v>3540000</v>
      </c>
      <c r="J207" s="5">
        <v>32900000</v>
      </c>
      <c r="K207" s="5">
        <v>35900000</v>
      </c>
      <c r="L207" s="3">
        <v>0.97916666666666663</v>
      </c>
    </row>
    <row r="208" spans="1:12" x14ac:dyDescent="0.25">
      <c r="A208" t="s">
        <v>146</v>
      </c>
      <c r="B208" s="2">
        <v>42670</v>
      </c>
      <c r="C208" t="s">
        <v>20</v>
      </c>
      <c r="D208" t="s">
        <v>1636</v>
      </c>
      <c r="E208" s="5">
        <v>32500000</v>
      </c>
      <c r="F208" s="5">
        <v>35500000</v>
      </c>
      <c r="G208" s="5">
        <v>3000000</v>
      </c>
      <c r="H208" s="5">
        <v>3250000</v>
      </c>
      <c r="I208" s="5">
        <v>3550000</v>
      </c>
      <c r="J208" s="5">
        <v>33000000</v>
      </c>
      <c r="K208" s="5">
        <v>36000000</v>
      </c>
      <c r="L208" s="3">
        <v>0.97916666666666663</v>
      </c>
    </row>
    <row r="209" spans="1:12" x14ac:dyDescent="0.25">
      <c r="A209" t="s">
        <v>147</v>
      </c>
      <c r="B209" s="2">
        <v>42671</v>
      </c>
      <c r="C209" t="s">
        <v>21</v>
      </c>
      <c r="D209" t="s">
        <v>1636</v>
      </c>
      <c r="E209" s="5">
        <v>32700000</v>
      </c>
      <c r="F209" s="5">
        <v>35700000</v>
      </c>
      <c r="G209" s="5">
        <v>3000000</v>
      </c>
      <c r="H209" s="5">
        <v>3270000</v>
      </c>
      <c r="I209" s="5">
        <v>3570000</v>
      </c>
      <c r="J209" s="5">
        <v>33200000</v>
      </c>
      <c r="K209" s="5">
        <v>36200000</v>
      </c>
      <c r="L209" s="3">
        <v>0.97916666666666663</v>
      </c>
    </row>
    <row r="210" spans="1:12" x14ac:dyDescent="0.25">
      <c r="A210" t="s">
        <v>148</v>
      </c>
      <c r="B210" s="2">
        <v>42674</v>
      </c>
      <c r="C210" t="s">
        <v>16</v>
      </c>
      <c r="D210" t="s">
        <v>1636</v>
      </c>
      <c r="E210" s="5">
        <v>32600000</v>
      </c>
      <c r="F210" s="5">
        <v>35600000</v>
      </c>
      <c r="G210" s="5">
        <v>3000000</v>
      </c>
      <c r="H210" s="5">
        <v>3260000</v>
      </c>
      <c r="I210" s="5">
        <v>3560000</v>
      </c>
      <c r="J210" s="5">
        <v>33100000</v>
      </c>
      <c r="K210" s="5">
        <v>36100000</v>
      </c>
      <c r="L210" s="3">
        <v>0.97916666666666663</v>
      </c>
    </row>
    <row r="211" spans="1:12" x14ac:dyDescent="0.25">
      <c r="A211" s="2">
        <v>42380</v>
      </c>
      <c r="B211" s="2">
        <v>42675</v>
      </c>
      <c r="C211" t="s">
        <v>18</v>
      </c>
      <c r="D211" t="s">
        <v>1636</v>
      </c>
      <c r="E211" s="5">
        <v>33100000</v>
      </c>
      <c r="F211" s="5">
        <v>36100000</v>
      </c>
      <c r="G211" s="5">
        <v>3000000</v>
      </c>
      <c r="H211" s="5">
        <v>3310000</v>
      </c>
      <c r="I211" s="5">
        <v>3610000</v>
      </c>
      <c r="J211" s="5">
        <v>33600000</v>
      </c>
      <c r="K211" s="5">
        <v>36600000</v>
      </c>
      <c r="L211" s="3">
        <v>0.97916666666666663</v>
      </c>
    </row>
    <row r="212" spans="1:12" x14ac:dyDescent="0.25">
      <c r="A212" s="2">
        <v>42411</v>
      </c>
      <c r="B212" s="2">
        <v>42676</v>
      </c>
      <c r="C212" t="s">
        <v>19</v>
      </c>
      <c r="D212" t="s">
        <v>1636</v>
      </c>
      <c r="E212" s="5">
        <v>33600000</v>
      </c>
      <c r="F212" s="5">
        <v>36600000</v>
      </c>
      <c r="G212" s="5">
        <v>3000000</v>
      </c>
      <c r="H212" s="5">
        <v>3360000</v>
      </c>
      <c r="I212" s="5">
        <v>3660000</v>
      </c>
      <c r="J212" s="5">
        <v>34100000</v>
      </c>
      <c r="K212" s="5">
        <v>37100000</v>
      </c>
      <c r="L212" s="3">
        <v>0.97916666666666663</v>
      </c>
    </row>
    <row r="213" spans="1:12" x14ac:dyDescent="0.25">
      <c r="A213" s="2">
        <v>42440</v>
      </c>
      <c r="B213" s="2">
        <v>42677</v>
      </c>
      <c r="C213" t="s">
        <v>20</v>
      </c>
      <c r="D213" t="s">
        <v>1636</v>
      </c>
      <c r="E213" s="5">
        <v>33500000</v>
      </c>
      <c r="F213" s="5">
        <v>36500000</v>
      </c>
      <c r="G213" s="5">
        <v>3000000</v>
      </c>
      <c r="H213" s="5">
        <v>3350000</v>
      </c>
      <c r="I213" s="5">
        <v>3650000</v>
      </c>
      <c r="J213" s="5">
        <v>34000000</v>
      </c>
      <c r="K213" s="5">
        <v>37000000</v>
      </c>
      <c r="L213" s="3">
        <v>0.97916666666666663</v>
      </c>
    </row>
    <row r="214" spans="1:12" x14ac:dyDescent="0.25">
      <c r="A214" s="2">
        <v>42471</v>
      </c>
      <c r="B214" s="2">
        <v>42678</v>
      </c>
      <c r="C214" t="s">
        <v>21</v>
      </c>
      <c r="D214" t="s">
        <v>1636</v>
      </c>
      <c r="E214" s="5">
        <v>33500000</v>
      </c>
      <c r="F214" s="5">
        <v>36500000</v>
      </c>
      <c r="G214" s="5">
        <v>3000000</v>
      </c>
      <c r="H214" s="5">
        <v>3350000</v>
      </c>
      <c r="I214" s="5">
        <v>3650000</v>
      </c>
      <c r="J214" s="5">
        <v>34000000</v>
      </c>
      <c r="K214" s="5">
        <v>37000000</v>
      </c>
      <c r="L214" s="3">
        <v>0.97916666666666663</v>
      </c>
    </row>
    <row r="215" spans="1:12" x14ac:dyDescent="0.25">
      <c r="A215" s="2">
        <v>42562</v>
      </c>
      <c r="B215" s="2">
        <v>42681</v>
      </c>
      <c r="C215" t="s">
        <v>16</v>
      </c>
      <c r="D215" t="s">
        <v>1636</v>
      </c>
      <c r="E215" s="5">
        <v>32800000</v>
      </c>
      <c r="F215" s="5">
        <v>35800000</v>
      </c>
      <c r="G215" s="5">
        <v>3000000</v>
      </c>
      <c r="H215" s="5">
        <v>3280000</v>
      </c>
      <c r="I215" s="5">
        <v>3580000</v>
      </c>
      <c r="J215" s="5">
        <v>33300000</v>
      </c>
      <c r="K215" s="5">
        <v>36300000</v>
      </c>
      <c r="L215" s="3">
        <v>0.97916666666666663</v>
      </c>
    </row>
    <row r="216" spans="1:12" x14ac:dyDescent="0.25">
      <c r="A216" s="2">
        <v>42593</v>
      </c>
      <c r="B216" s="2">
        <v>42682</v>
      </c>
      <c r="C216" t="s">
        <v>18</v>
      </c>
      <c r="D216" t="s">
        <v>1636</v>
      </c>
      <c r="E216" s="5">
        <v>32700000</v>
      </c>
      <c r="F216" s="5">
        <v>35700000</v>
      </c>
      <c r="G216" s="5">
        <v>3000000</v>
      </c>
      <c r="H216" s="5">
        <v>3270000</v>
      </c>
      <c r="I216" s="5">
        <v>3570000</v>
      </c>
      <c r="J216" s="5">
        <v>33200000</v>
      </c>
      <c r="K216" s="5">
        <v>36200000</v>
      </c>
      <c r="L216" s="3">
        <v>0.97916666666666663</v>
      </c>
    </row>
    <row r="217" spans="1:12" x14ac:dyDescent="0.25">
      <c r="A217" s="2">
        <v>42624</v>
      </c>
      <c r="B217" s="2">
        <v>42683</v>
      </c>
      <c r="C217" t="s">
        <v>19</v>
      </c>
      <c r="D217" t="s">
        <v>1636</v>
      </c>
      <c r="E217" s="5">
        <v>32700000</v>
      </c>
      <c r="F217" s="5">
        <v>35700000</v>
      </c>
      <c r="G217" s="5">
        <v>3000000</v>
      </c>
      <c r="H217" s="5">
        <v>3270000</v>
      </c>
      <c r="I217" s="5">
        <v>3570000</v>
      </c>
      <c r="J217" s="5">
        <v>33200000</v>
      </c>
      <c r="K217" s="5">
        <v>36200000</v>
      </c>
      <c r="L217" s="3">
        <v>0.97916666666666663</v>
      </c>
    </row>
    <row r="218" spans="1:12" x14ac:dyDescent="0.25">
      <c r="A218" s="2">
        <v>42654</v>
      </c>
      <c r="B218" s="2">
        <v>42684</v>
      </c>
      <c r="C218" t="s">
        <v>20</v>
      </c>
      <c r="D218" t="s">
        <v>1636</v>
      </c>
      <c r="E218" s="5">
        <v>32500000</v>
      </c>
      <c r="F218" s="5">
        <v>35500000</v>
      </c>
      <c r="G218" s="5">
        <v>3000000</v>
      </c>
      <c r="H218" s="5">
        <v>3250000</v>
      </c>
      <c r="I218" s="5">
        <v>3550000</v>
      </c>
      <c r="J218" s="5">
        <v>33000000</v>
      </c>
      <c r="K218" s="5">
        <v>36000000</v>
      </c>
      <c r="L218" s="3">
        <v>0.97916666666666663</v>
      </c>
    </row>
    <row r="219" spans="1:12" x14ac:dyDescent="0.25">
      <c r="A219" t="s">
        <v>149</v>
      </c>
      <c r="B219" s="2">
        <v>42688</v>
      </c>
      <c r="C219" t="s">
        <v>16</v>
      </c>
      <c r="D219" t="s">
        <v>1636</v>
      </c>
      <c r="E219" s="5">
        <v>31200000</v>
      </c>
      <c r="F219" s="5">
        <v>34200000</v>
      </c>
      <c r="G219" s="5">
        <v>3000000</v>
      </c>
      <c r="H219" s="5">
        <v>3120000</v>
      </c>
      <c r="I219" s="5">
        <v>3420000</v>
      </c>
      <c r="J219" s="5">
        <v>31700000</v>
      </c>
      <c r="K219" s="5">
        <v>34700000</v>
      </c>
      <c r="L219" s="3">
        <v>0.97916666666666663</v>
      </c>
    </row>
    <row r="220" spans="1:12" x14ac:dyDescent="0.25">
      <c r="A220" t="s">
        <v>150</v>
      </c>
      <c r="B220" s="2">
        <v>42689</v>
      </c>
      <c r="C220" t="s">
        <v>18</v>
      </c>
      <c r="D220" t="s">
        <v>1636</v>
      </c>
      <c r="E220" s="5">
        <v>31300000</v>
      </c>
      <c r="F220" s="5">
        <v>34300000</v>
      </c>
      <c r="G220" s="5">
        <v>3000000</v>
      </c>
      <c r="H220" s="5">
        <v>3130000</v>
      </c>
      <c r="I220" s="5">
        <v>3430000</v>
      </c>
      <c r="J220" s="5">
        <v>31800000</v>
      </c>
      <c r="K220" s="5">
        <v>34800000</v>
      </c>
      <c r="L220" s="3">
        <v>0.97916666666666663</v>
      </c>
    </row>
    <row r="221" spans="1:12" x14ac:dyDescent="0.25">
      <c r="A221" t="s">
        <v>151</v>
      </c>
      <c r="B221" s="2">
        <v>42690</v>
      </c>
      <c r="C221" t="s">
        <v>19</v>
      </c>
      <c r="D221" t="s">
        <v>1636</v>
      </c>
      <c r="E221" s="5">
        <v>31300000</v>
      </c>
      <c r="F221" s="5">
        <v>34300000</v>
      </c>
      <c r="G221" s="5">
        <v>3000000</v>
      </c>
      <c r="H221" s="5">
        <v>3130000</v>
      </c>
      <c r="I221" s="5">
        <v>3430000</v>
      </c>
      <c r="J221" s="5">
        <v>31800000</v>
      </c>
      <c r="K221" s="5">
        <v>34800000</v>
      </c>
      <c r="L221" s="3">
        <v>0.97916666666666663</v>
      </c>
    </row>
    <row r="222" spans="1:12" x14ac:dyDescent="0.25">
      <c r="A222" t="s">
        <v>152</v>
      </c>
      <c r="B222" s="2">
        <v>42691</v>
      </c>
      <c r="C222" t="s">
        <v>20</v>
      </c>
      <c r="D222" t="s">
        <v>1636</v>
      </c>
      <c r="E222" s="5">
        <v>31100000</v>
      </c>
      <c r="F222" s="5">
        <v>34100000</v>
      </c>
      <c r="G222" s="5">
        <v>3000000</v>
      </c>
      <c r="H222" s="5">
        <v>3110000</v>
      </c>
      <c r="I222" s="5">
        <v>3410000</v>
      </c>
      <c r="J222" s="5">
        <v>31600000</v>
      </c>
      <c r="K222" s="5">
        <v>34600000</v>
      </c>
      <c r="L222" s="3">
        <v>0.97916666666666663</v>
      </c>
    </row>
    <row r="223" spans="1:12" x14ac:dyDescent="0.25">
      <c r="A223" t="s">
        <v>153</v>
      </c>
      <c r="B223" s="2">
        <v>42692</v>
      </c>
      <c r="C223" t="s">
        <v>21</v>
      </c>
      <c r="D223" t="s">
        <v>1636</v>
      </c>
      <c r="E223" s="5">
        <v>30900000</v>
      </c>
      <c r="F223" s="5">
        <v>33900000</v>
      </c>
      <c r="G223" s="5">
        <v>3000000</v>
      </c>
      <c r="H223" s="5">
        <v>3090000</v>
      </c>
      <c r="I223" s="5">
        <v>3390000</v>
      </c>
      <c r="J223" s="5">
        <v>31400000</v>
      </c>
      <c r="K223" s="5">
        <v>34400000</v>
      </c>
      <c r="L223" s="3">
        <v>0.97916666666666663</v>
      </c>
    </row>
    <row r="224" spans="1:12" x14ac:dyDescent="0.25">
      <c r="A224" t="s">
        <v>154</v>
      </c>
      <c r="B224" s="2">
        <v>42695</v>
      </c>
      <c r="C224" t="s">
        <v>16</v>
      </c>
      <c r="D224" t="s">
        <v>1636</v>
      </c>
      <c r="E224" s="5">
        <v>30900000</v>
      </c>
      <c r="F224" s="5">
        <v>33900000</v>
      </c>
      <c r="G224" s="5">
        <v>3000000</v>
      </c>
      <c r="H224" s="5">
        <v>3090000</v>
      </c>
      <c r="I224" s="5">
        <v>3390000</v>
      </c>
      <c r="J224" s="5">
        <v>31400000</v>
      </c>
      <c r="K224" s="5">
        <v>34400000</v>
      </c>
      <c r="L224" s="3">
        <v>0.97916666666666663</v>
      </c>
    </row>
    <row r="225" spans="1:12" x14ac:dyDescent="0.25">
      <c r="A225" t="s">
        <v>155</v>
      </c>
      <c r="B225" s="2">
        <v>42696</v>
      </c>
      <c r="C225" t="s">
        <v>18</v>
      </c>
      <c r="D225" t="s">
        <v>1636</v>
      </c>
      <c r="E225" s="5">
        <v>30900000</v>
      </c>
      <c r="F225" s="5">
        <v>33900000</v>
      </c>
      <c r="G225" s="5">
        <v>3000000</v>
      </c>
      <c r="H225" s="5">
        <v>3090000</v>
      </c>
      <c r="I225" s="5">
        <v>3390000</v>
      </c>
      <c r="J225" s="5">
        <v>31400000</v>
      </c>
      <c r="K225" s="5">
        <v>34400000</v>
      </c>
      <c r="L225" s="3">
        <v>0.97916666666666663</v>
      </c>
    </row>
    <row r="226" spans="1:12" x14ac:dyDescent="0.25">
      <c r="A226" t="s">
        <v>156</v>
      </c>
      <c r="B226" s="2">
        <v>42697</v>
      </c>
      <c r="C226" t="s">
        <v>19</v>
      </c>
      <c r="D226" t="s">
        <v>1636</v>
      </c>
      <c r="E226" s="5">
        <v>30300000</v>
      </c>
      <c r="F226" s="5">
        <v>33300000</v>
      </c>
      <c r="G226" s="5">
        <v>3000000</v>
      </c>
      <c r="H226" s="5">
        <v>3030000</v>
      </c>
      <c r="I226" s="5">
        <v>3330000</v>
      </c>
      <c r="J226" s="5">
        <v>30800000</v>
      </c>
      <c r="K226" s="5">
        <v>33800000</v>
      </c>
      <c r="L226" s="3">
        <v>0.97916666666666663</v>
      </c>
    </row>
    <row r="227" spans="1:12" x14ac:dyDescent="0.25">
      <c r="A227" t="s">
        <v>157</v>
      </c>
      <c r="B227" s="2">
        <v>42699</v>
      </c>
      <c r="C227" t="s">
        <v>21</v>
      </c>
      <c r="D227" t="s">
        <v>1636</v>
      </c>
      <c r="E227" s="5">
        <v>30000000</v>
      </c>
      <c r="F227" s="5">
        <v>33000000</v>
      </c>
      <c r="G227" s="5">
        <v>3000000</v>
      </c>
      <c r="H227" s="5">
        <v>3000000</v>
      </c>
      <c r="I227" s="5">
        <v>3300000</v>
      </c>
      <c r="J227" s="5">
        <v>30500000</v>
      </c>
      <c r="K227" s="5">
        <v>33500000</v>
      </c>
      <c r="L227" s="3">
        <v>0.97916666666666663</v>
      </c>
    </row>
    <row r="228" spans="1:12" x14ac:dyDescent="0.25">
      <c r="A228" t="s">
        <v>158</v>
      </c>
      <c r="B228" s="2">
        <v>42702</v>
      </c>
      <c r="C228" t="s">
        <v>16</v>
      </c>
      <c r="D228" t="s">
        <v>1636</v>
      </c>
      <c r="E228" s="5">
        <v>30400000</v>
      </c>
      <c r="F228" s="5">
        <v>33400000</v>
      </c>
      <c r="G228" s="5">
        <v>3000000</v>
      </c>
      <c r="H228" s="5">
        <v>3040000</v>
      </c>
      <c r="I228" s="5">
        <v>3340000</v>
      </c>
      <c r="J228" s="5">
        <v>30900000</v>
      </c>
      <c r="K228" s="5">
        <v>33900000</v>
      </c>
      <c r="L228" s="3">
        <v>0.97916666666666663</v>
      </c>
    </row>
    <row r="229" spans="1:12" x14ac:dyDescent="0.25">
      <c r="A229" t="s">
        <v>159</v>
      </c>
      <c r="B229" s="2">
        <v>42703</v>
      </c>
      <c r="C229" t="s">
        <v>18</v>
      </c>
      <c r="D229" t="s">
        <v>1636</v>
      </c>
      <c r="E229" s="5">
        <v>30300000</v>
      </c>
      <c r="F229" s="5">
        <v>33300000</v>
      </c>
      <c r="G229" s="5">
        <v>3000000</v>
      </c>
      <c r="H229" s="5">
        <v>3030000</v>
      </c>
      <c r="I229" s="5">
        <v>3330000</v>
      </c>
      <c r="J229" s="5">
        <v>30800000</v>
      </c>
      <c r="K229" s="5">
        <v>33800000</v>
      </c>
      <c r="L229" s="3">
        <v>0.97916666666666663</v>
      </c>
    </row>
    <row r="230" spans="1:12" x14ac:dyDescent="0.25">
      <c r="A230" t="s">
        <v>160</v>
      </c>
      <c r="B230" s="2">
        <v>42704</v>
      </c>
      <c r="C230" t="s">
        <v>19</v>
      </c>
      <c r="D230" t="s">
        <v>1636</v>
      </c>
      <c r="E230" s="5">
        <v>29800000</v>
      </c>
      <c r="F230" s="5">
        <v>32800000</v>
      </c>
      <c r="G230" s="5">
        <v>3000000</v>
      </c>
      <c r="H230" s="5">
        <v>2980000</v>
      </c>
      <c r="I230" s="5">
        <v>3280000</v>
      </c>
      <c r="J230" s="5">
        <v>30300000</v>
      </c>
      <c r="K230" s="5">
        <v>33300000</v>
      </c>
      <c r="L230" s="3">
        <v>0.97916666666666663</v>
      </c>
    </row>
    <row r="231" spans="1:12" x14ac:dyDescent="0.25">
      <c r="A231" s="2">
        <v>42381</v>
      </c>
      <c r="B231" s="2">
        <v>42705</v>
      </c>
      <c r="C231" t="s">
        <v>20</v>
      </c>
      <c r="D231" t="s">
        <v>1636</v>
      </c>
      <c r="E231" s="5">
        <v>29700000</v>
      </c>
      <c r="F231" s="5">
        <v>32700000</v>
      </c>
      <c r="G231" s="5">
        <v>3000000</v>
      </c>
      <c r="H231" s="5">
        <v>2970000</v>
      </c>
      <c r="I231" s="5">
        <v>3270000</v>
      </c>
      <c r="J231" s="5">
        <v>30200000</v>
      </c>
      <c r="K231" s="5">
        <v>33200000</v>
      </c>
      <c r="L231" s="3">
        <v>0.97916666666666663</v>
      </c>
    </row>
    <row r="232" spans="1:12" x14ac:dyDescent="0.25">
      <c r="A232" s="2">
        <v>42412</v>
      </c>
      <c r="B232" s="2">
        <v>42706</v>
      </c>
      <c r="C232" t="s">
        <v>21</v>
      </c>
      <c r="D232" t="s">
        <v>1636</v>
      </c>
      <c r="E232" s="5">
        <v>29900000</v>
      </c>
      <c r="F232" s="5">
        <v>32900000</v>
      </c>
      <c r="G232" s="5">
        <v>3000000</v>
      </c>
      <c r="H232" s="5">
        <v>2990000</v>
      </c>
      <c r="I232" s="5">
        <v>3290000</v>
      </c>
      <c r="J232" s="5">
        <v>30400000</v>
      </c>
      <c r="K232" s="5">
        <v>33400000</v>
      </c>
      <c r="L232" s="3">
        <v>0.97916666666666663</v>
      </c>
    </row>
    <row r="233" spans="1:12" x14ac:dyDescent="0.25">
      <c r="A233" s="2">
        <v>42502</v>
      </c>
      <c r="B233" s="2">
        <v>42709</v>
      </c>
      <c r="C233" t="s">
        <v>16</v>
      </c>
      <c r="D233" t="s">
        <v>1636</v>
      </c>
      <c r="E233" s="5">
        <v>29900000</v>
      </c>
      <c r="F233" s="5">
        <v>32900000</v>
      </c>
      <c r="G233" s="5">
        <v>3000000</v>
      </c>
      <c r="H233" s="5">
        <v>2990000</v>
      </c>
      <c r="I233" s="5">
        <v>3290000</v>
      </c>
      <c r="J233" s="5">
        <v>30400000</v>
      </c>
      <c r="K233" s="5">
        <v>33400000</v>
      </c>
      <c r="L233" s="3">
        <v>0.97916666666666663</v>
      </c>
    </row>
    <row r="234" spans="1:12" x14ac:dyDescent="0.25">
      <c r="A234" s="2">
        <v>42533</v>
      </c>
      <c r="B234" s="2">
        <v>42710</v>
      </c>
      <c r="C234" t="s">
        <v>18</v>
      </c>
      <c r="D234" t="s">
        <v>1636</v>
      </c>
      <c r="E234" s="5">
        <v>29700000</v>
      </c>
      <c r="F234" s="5">
        <v>32700000</v>
      </c>
      <c r="G234" s="5">
        <v>3000000</v>
      </c>
      <c r="H234" s="5">
        <v>2970000</v>
      </c>
      <c r="I234" s="5">
        <v>3270000</v>
      </c>
      <c r="J234" s="5">
        <v>30200000</v>
      </c>
      <c r="K234" s="5">
        <v>33200000</v>
      </c>
      <c r="L234" s="3">
        <v>0.97916666666666663</v>
      </c>
    </row>
    <row r="235" spans="1:12" x14ac:dyDescent="0.25">
      <c r="A235" s="2">
        <v>42563</v>
      </c>
      <c r="B235" s="2">
        <v>42711</v>
      </c>
      <c r="C235" t="s">
        <v>19</v>
      </c>
      <c r="D235" t="s">
        <v>1636</v>
      </c>
      <c r="E235" s="5">
        <v>29900000</v>
      </c>
      <c r="F235" s="5">
        <v>32900000</v>
      </c>
      <c r="G235" s="5">
        <v>3000000</v>
      </c>
      <c r="H235" s="5">
        <v>2990000</v>
      </c>
      <c r="I235" s="5">
        <v>3290000</v>
      </c>
      <c r="J235" s="5">
        <v>30400000</v>
      </c>
      <c r="K235" s="5">
        <v>33400000</v>
      </c>
      <c r="L235" s="3">
        <v>0.97916666666666663</v>
      </c>
    </row>
    <row r="236" spans="1:12" x14ac:dyDescent="0.25">
      <c r="A236" s="2">
        <v>42594</v>
      </c>
      <c r="B236" s="2">
        <v>42712</v>
      </c>
      <c r="C236" t="s">
        <v>20</v>
      </c>
      <c r="D236" t="s">
        <v>1636</v>
      </c>
      <c r="E236" s="5">
        <v>29800000</v>
      </c>
      <c r="F236" s="5">
        <v>32800000</v>
      </c>
      <c r="G236" s="5">
        <v>3000000</v>
      </c>
      <c r="H236" s="5">
        <v>2980000</v>
      </c>
      <c r="I236" s="5">
        <v>3280000</v>
      </c>
      <c r="J236" s="5">
        <v>30300000</v>
      </c>
      <c r="K236" s="5">
        <v>33300000</v>
      </c>
      <c r="L236" s="3">
        <v>0.97916666666666663</v>
      </c>
    </row>
    <row r="237" spans="1:12" x14ac:dyDescent="0.25">
      <c r="A237" s="2">
        <v>42625</v>
      </c>
      <c r="B237" s="2">
        <v>42713</v>
      </c>
      <c r="C237" t="s">
        <v>21</v>
      </c>
      <c r="D237" t="s">
        <v>1636</v>
      </c>
      <c r="E237" s="5">
        <v>29500000</v>
      </c>
      <c r="F237" s="5">
        <v>32500000</v>
      </c>
      <c r="G237" s="5">
        <v>3000000</v>
      </c>
      <c r="H237" s="5">
        <v>2950000</v>
      </c>
      <c r="I237" s="5">
        <v>3250000</v>
      </c>
      <c r="J237" s="5">
        <v>30000000</v>
      </c>
      <c r="K237" s="5">
        <v>33000000</v>
      </c>
      <c r="L237" s="3">
        <v>0.97916666666666663</v>
      </c>
    </row>
    <row r="238" spans="1:12" x14ac:dyDescent="0.25">
      <c r="A238" s="2">
        <v>42716</v>
      </c>
      <c r="B238" s="2">
        <v>42716</v>
      </c>
      <c r="C238" t="s">
        <v>16</v>
      </c>
      <c r="D238" t="s">
        <v>1636</v>
      </c>
      <c r="E238" s="5">
        <v>29600000</v>
      </c>
      <c r="F238" s="5">
        <v>32600000</v>
      </c>
      <c r="G238" s="5">
        <v>3000000</v>
      </c>
      <c r="H238" s="5">
        <v>2960000</v>
      </c>
      <c r="I238" s="5">
        <v>3260000</v>
      </c>
      <c r="J238" s="5">
        <v>30100000</v>
      </c>
      <c r="K238" s="5">
        <v>33100000</v>
      </c>
      <c r="L238" s="3">
        <v>0.97916666666666663</v>
      </c>
    </row>
    <row r="239" spans="1:12" x14ac:dyDescent="0.25">
      <c r="A239" t="s">
        <v>161</v>
      </c>
      <c r="B239" s="2">
        <v>42717</v>
      </c>
      <c r="C239" t="s">
        <v>18</v>
      </c>
      <c r="D239" t="s">
        <v>1636</v>
      </c>
      <c r="E239" s="5">
        <v>29400000</v>
      </c>
      <c r="F239" s="5">
        <v>32400000</v>
      </c>
      <c r="G239" s="5">
        <v>3000000</v>
      </c>
      <c r="H239" s="5">
        <v>2940000</v>
      </c>
      <c r="I239" s="5">
        <v>3240000</v>
      </c>
      <c r="J239" s="5">
        <v>29900000</v>
      </c>
      <c r="K239" s="5">
        <v>32900000</v>
      </c>
      <c r="L239" s="3">
        <v>0.97916666666666663</v>
      </c>
    </row>
    <row r="240" spans="1:12" x14ac:dyDescent="0.25">
      <c r="A240" t="s">
        <v>162</v>
      </c>
      <c r="B240" s="2">
        <v>42718</v>
      </c>
      <c r="C240" t="s">
        <v>19</v>
      </c>
      <c r="D240" t="s">
        <v>1636</v>
      </c>
      <c r="E240" s="5">
        <v>29500000</v>
      </c>
      <c r="F240" s="5">
        <v>32500000</v>
      </c>
      <c r="G240" s="5">
        <v>3000000</v>
      </c>
      <c r="H240" s="5">
        <v>2950000</v>
      </c>
      <c r="I240" s="5">
        <v>3250000</v>
      </c>
      <c r="J240" s="5">
        <v>30000000</v>
      </c>
      <c r="K240" s="5">
        <v>33000000</v>
      </c>
      <c r="L240" s="3">
        <v>0.97916666666666663</v>
      </c>
    </row>
    <row r="241" spans="1:12" x14ac:dyDescent="0.25">
      <c r="A241" t="s">
        <v>163</v>
      </c>
      <c r="B241" s="2">
        <v>42719</v>
      </c>
      <c r="C241" t="s">
        <v>20</v>
      </c>
      <c r="D241" t="s">
        <v>1636</v>
      </c>
      <c r="E241" s="5">
        <v>28600000</v>
      </c>
      <c r="F241" s="5">
        <v>31600000</v>
      </c>
      <c r="G241" s="5">
        <v>3000000</v>
      </c>
      <c r="H241" s="5">
        <v>2860000</v>
      </c>
      <c r="I241" s="5">
        <v>3160000</v>
      </c>
      <c r="J241" s="5">
        <v>29100000</v>
      </c>
      <c r="K241" s="5">
        <v>32100000</v>
      </c>
      <c r="L241" s="3">
        <v>0.97916666666666663</v>
      </c>
    </row>
    <row r="242" spans="1:12" x14ac:dyDescent="0.25">
      <c r="A242" t="s">
        <v>164</v>
      </c>
      <c r="B242" s="2">
        <v>42720</v>
      </c>
      <c r="C242" t="s">
        <v>21</v>
      </c>
      <c r="D242" t="s">
        <v>1636</v>
      </c>
      <c r="E242" s="5">
        <v>28800000</v>
      </c>
      <c r="F242" s="5">
        <v>31800000</v>
      </c>
      <c r="G242" s="5">
        <v>3000000</v>
      </c>
      <c r="H242" s="5">
        <v>2880000</v>
      </c>
      <c r="I242" s="5">
        <v>3180000</v>
      </c>
      <c r="J242" s="5">
        <v>29300000</v>
      </c>
      <c r="K242" s="5">
        <v>32300000</v>
      </c>
      <c r="L242" s="3">
        <v>0.97916666666666663</v>
      </c>
    </row>
    <row r="243" spans="1:12" x14ac:dyDescent="0.25">
      <c r="A243" t="s">
        <v>165</v>
      </c>
      <c r="B243" s="2">
        <v>42723</v>
      </c>
      <c r="C243" t="s">
        <v>16</v>
      </c>
      <c r="D243" t="s">
        <v>1636</v>
      </c>
      <c r="E243" s="5">
        <v>29000000</v>
      </c>
      <c r="F243" s="5">
        <v>32000000</v>
      </c>
      <c r="G243" s="5">
        <v>3000000</v>
      </c>
      <c r="H243" s="5">
        <v>2900000</v>
      </c>
      <c r="I243" s="5">
        <v>3200000</v>
      </c>
      <c r="J243" s="5">
        <v>29500000</v>
      </c>
      <c r="K243" s="5">
        <v>32500000</v>
      </c>
      <c r="L243" s="3">
        <v>0.97916666666666663</v>
      </c>
    </row>
    <row r="244" spans="1:12" x14ac:dyDescent="0.25">
      <c r="A244" t="s">
        <v>166</v>
      </c>
      <c r="B244" s="2">
        <v>42724</v>
      </c>
      <c r="C244" t="s">
        <v>18</v>
      </c>
      <c r="D244" t="s">
        <v>1636</v>
      </c>
      <c r="E244" s="5">
        <v>28700000</v>
      </c>
      <c r="F244" s="5">
        <v>31700000</v>
      </c>
      <c r="G244" s="5">
        <v>3000000</v>
      </c>
      <c r="H244" s="5">
        <v>2870000</v>
      </c>
      <c r="I244" s="5">
        <v>3170000</v>
      </c>
      <c r="J244" s="5">
        <v>29200000</v>
      </c>
      <c r="K244" s="5">
        <v>32200000</v>
      </c>
      <c r="L244" s="3">
        <v>0.97916666666666663</v>
      </c>
    </row>
    <row r="245" spans="1:12" x14ac:dyDescent="0.25">
      <c r="A245" t="s">
        <v>167</v>
      </c>
      <c r="B245" s="2">
        <v>42725</v>
      </c>
      <c r="C245" t="s">
        <v>19</v>
      </c>
      <c r="D245" t="s">
        <v>1636</v>
      </c>
      <c r="E245" s="5">
        <v>28700000</v>
      </c>
      <c r="F245" s="5">
        <v>31700000</v>
      </c>
      <c r="G245" s="5">
        <v>3000000</v>
      </c>
      <c r="H245" s="5">
        <v>2870000</v>
      </c>
      <c r="I245" s="5">
        <v>3170000</v>
      </c>
      <c r="J245" s="5">
        <v>29200000</v>
      </c>
      <c r="K245" s="5">
        <v>32200000</v>
      </c>
      <c r="L245" s="3">
        <v>0.97916666666666663</v>
      </c>
    </row>
    <row r="246" spans="1:12" x14ac:dyDescent="0.25">
      <c r="A246" t="s">
        <v>168</v>
      </c>
      <c r="B246" s="2">
        <v>42726</v>
      </c>
      <c r="C246" t="s">
        <v>20</v>
      </c>
      <c r="D246" t="s">
        <v>1636</v>
      </c>
      <c r="E246" s="5">
        <v>28600000</v>
      </c>
      <c r="F246" s="5">
        <v>31600000</v>
      </c>
      <c r="G246" s="5">
        <v>3000000</v>
      </c>
      <c r="H246" s="5">
        <v>2860000</v>
      </c>
      <c r="I246" s="5">
        <v>3160000</v>
      </c>
      <c r="J246" s="5">
        <v>29100000</v>
      </c>
      <c r="K246" s="5">
        <v>32100000</v>
      </c>
      <c r="L246" s="3">
        <v>0.97916666666666663</v>
      </c>
    </row>
    <row r="247" spans="1:12" x14ac:dyDescent="0.25">
      <c r="A247" t="s">
        <v>169</v>
      </c>
      <c r="B247" s="2">
        <v>42727</v>
      </c>
      <c r="C247" t="s">
        <v>21</v>
      </c>
      <c r="D247" t="s">
        <v>1636</v>
      </c>
      <c r="E247" s="5">
        <v>28700000</v>
      </c>
      <c r="F247" s="5">
        <v>31700000</v>
      </c>
      <c r="G247" s="5">
        <v>3000000</v>
      </c>
      <c r="H247" s="5">
        <v>2870000</v>
      </c>
      <c r="I247" s="5">
        <v>3170000</v>
      </c>
      <c r="J247" s="5">
        <v>29200000</v>
      </c>
      <c r="K247" s="5">
        <v>32200000</v>
      </c>
      <c r="L247" s="3">
        <v>0.97916666666666663</v>
      </c>
    </row>
    <row r="248" spans="1:12" x14ac:dyDescent="0.25">
      <c r="A248" t="s">
        <v>170</v>
      </c>
      <c r="B248" s="2">
        <v>42731</v>
      </c>
      <c r="C248" t="s">
        <v>18</v>
      </c>
      <c r="D248" t="s">
        <v>1636</v>
      </c>
      <c r="E248" s="5">
        <v>28900000</v>
      </c>
      <c r="F248" s="5">
        <v>31900000</v>
      </c>
      <c r="G248" s="5">
        <v>3000000</v>
      </c>
      <c r="H248" s="5">
        <v>2890000</v>
      </c>
      <c r="I248" s="5">
        <v>3190000</v>
      </c>
      <c r="J248" s="5">
        <v>29400000</v>
      </c>
      <c r="K248" s="5">
        <v>32400000</v>
      </c>
      <c r="L248" s="3">
        <v>0.97916666666666663</v>
      </c>
    </row>
    <row r="249" spans="1:12" x14ac:dyDescent="0.25">
      <c r="A249" t="s">
        <v>171</v>
      </c>
      <c r="B249" s="2">
        <v>42732</v>
      </c>
      <c r="C249" t="s">
        <v>19</v>
      </c>
      <c r="D249" t="s">
        <v>1636</v>
      </c>
      <c r="E249" s="5">
        <v>28900000</v>
      </c>
      <c r="F249" s="5">
        <v>31900000</v>
      </c>
      <c r="G249" s="5">
        <v>3000000</v>
      </c>
      <c r="H249" s="5">
        <v>2890000</v>
      </c>
      <c r="I249" s="5">
        <v>3190000</v>
      </c>
      <c r="J249" s="5">
        <v>29400000</v>
      </c>
      <c r="K249" s="5">
        <v>32400000</v>
      </c>
      <c r="L249" s="3">
        <v>0.97916666666666663</v>
      </c>
    </row>
    <row r="250" spans="1:12" x14ac:dyDescent="0.25">
      <c r="A250" t="s">
        <v>172</v>
      </c>
      <c r="B250" s="2">
        <v>42733</v>
      </c>
      <c r="C250" t="s">
        <v>20</v>
      </c>
      <c r="D250" t="s">
        <v>1636</v>
      </c>
      <c r="E250" s="5">
        <v>29400000</v>
      </c>
      <c r="F250" s="5">
        <v>32400000</v>
      </c>
      <c r="G250" s="5">
        <v>3000000</v>
      </c>
      <c r="H250" s="5">
        <v>2940000</v>
      </c>
      <c r="I250" s="5">
        <v>3240000</v>
      </c>
      <c r="J250" s="5">
        <v>29900000</v>
      </c>
      <c r="K250" s="5">
        <v>32900000</v>
      </c>
      <c r="L250" s="3">
        <v>0.97916666666666663</v>
      </c>
    </row>
    <row r="251" spans="1:12" x14ac:dyDescent="0.25">
      <c r="A251" t="s">
        <v>173</v>
      </c>
      <c r="B251" s="2">
        <v>42734</v>
      </c>
      <c r="C251" t="s">
        <v>21</v>
      </c>
      <c r="D251" t="s">
        <v>1636</v>
      </c>
      <c r="E251" s="5">
        <v>29200000</v>
      </c>
      <c r="F251" s="5">
        <v>32200000</v>
      </c>
      <c r="G251" s="5">
        <v>3000000</v>
      </c>
      <c r="H251" s="5">
        <v>2920000</v>
      </c>
      <c r="I251" s="5">
        <v>3220000</v>
      </c>
      <c r="J251" s="5">
        <v>29700000</v>
      </c>
      <c r="K251" s="5">
        <v>32700000</v>
      </c>
      <c r="L251" s="3">
        <v>0.97916666666666663</v>
      </c>
    </row>
    <row r="252" spans="1:12" x14ac:dyDescent="0.25">
      <c r="A252" s="2">
        <v>42795</v>
      </c>
      <c r="B252" s="2">
        <v>42738</v>
      </c>
      <c r="C252" t="s">
        <v>18</v>
      </c>
      <c r="D252" t="s">
        <v>1636</v>
      </c>
      <c r="E252" s="5">
        <v>30300000</v>
      </c>
      <c r="F252" s="5">
        <v>33300000</v>
      </c>
      <c r="G252" s="5">
        <v>3000000</v>
      </c>
      <c r="H252" s="5">
        <v>3030000</v>
      </c>
      <c r="I252" s="5">
        <v>3330000</v>
      </c>
      <c r="J252" s="5">
        <v>30800000</v>
      </c>
      <c r="K252" s="5">
        <v>33800000</v>
      </c>
      <c r="L252" s="3">
        <v>0.97916666666666663</v>
      </c>
    </row>
    <row r="253" spans="1:12" x14ac:dyDescent="0.25">
      <c r="A253" s="2">
        <v>42826</v>
      </c>
      <c r="B253" s="2">
        <v>42739</v>
      </c>
      <c r="C253" t="s">
        <v>19</v>
      </c>
      <c r="D253" t="s">
        <v>1636</v>
      </c>
      <c r="E253" s="5">
        <v>30400000</v>
      </c>
      <c r="F253" s="5">
        <v>33400000</v>
      </c>
      <c r="G253" s="5">
        <v>3000000</v>
      </c>
      <c r="H253" s="5">
        <v>3040000</v>
      </c>
      <c r="I253" s="5">
        <v>3340000</v>
      </c>
      <c r="J253" s="5">
        <v>30900000</v>
      </c>
      <c r="K253" s="5">
        <v>33900000</v>
      </c>
      <c r="L253" s="3">
        <v>0.97916666666666663</v>
      </c>
    </row>
    <row r="254" spans="1:12" x14ac:dyDescent="0.25">
      <c r="A254" s="2">
        <v>42856</v>
      </c>
      <c r="B254" s="2">
        <v>42740</v>
      </c>
      <c r="C254" t="s">
        <v>20</v>
      </c>
      <c r="D254" t="s">
        <v>1636</v>
      </c>
      <c r="E254" s="5">
        <v>30900000</v>
      </c>
      <c r="F254" s="5">
        <v>33900000</v>
      </c>
      <c r="G254" s="5">
        <v>3000000</v>
      </c>
      <c r="H254" s="5">
        <v>3090000</v>
      </c>
      <c r="I254" s="5">
        <v>3390000</v>
      </c>
      <c r="J254" s="5">
        <v>31400000</v>
      </c>
      <c r="K254" s="5">
        <v>34400000</v>
      </c>
      <c r="L254" s="3">
        <v>0.97916666666666663</v>
      </c>
    </row>
    <row r="255" spans="1:12" x14ac:dyDescent="0.25">
      <c r="A255" s="2">
        <v>42887</v>
      </c>
      <c r="B255" s="2">
        <v>42741</v>
      </c>
      <c r="C255" t="s">
        <v>21</v>
      </c>
      <c r="D255" t="s">
        <v>1636</v>
      </c>
      <c r="E255" s="5">
        <v>30700000</v>
      </c>
      <c r="F255" s="5">
        <v>33700000</v>
      </c>
      <c r="G255" s="5">
        <v>3000000</v>
      </c>
      <c r="H255" s="5">
        <v>3070000</v>
      </c>
      <c r="I255" s="5">
        <v>3370000</v>
      </c>
      <c r="J255" s="5">
        <v>31200000</v>
      </c>
      <c r="K255" s="5">
        <v>34200000</v>
      </c>
      <c r="L255" s="3">
        <v>0.97916666666666663</v>
      </c>
    </row>
    <row r="256" spans="1:12" x14ac:dyDescent="0.25">
      <c r="A256" s="2">
        <v>42979</v>
      </c>
      <c r="B256" s="2">
        <v>42744</v>
      </c>
      <c r="C256" t="s">
        <v>16</v>
      </c>
      <c r="D256" t="s">
        <v>1636</v>
      </c>
      <c r="E256" s="5">
        <v>31000000</v>
      </c>
      <c r="F256" s="5">
        <v>34000000</v>
      </c>
      <c r="G256" s="5">
        <v>3000000</v>
      </c>
      <c r="H256" s="5">
        <v>3100000</v>
      </c>
      <c r="I256" s="5">
        <v>3400000</v>
      </c>
      <c r="J256" s="5">
        <v>31500000</v>
      </c>
      <c r="K256" s="5">
        <v>34500000</v>
      </c>
      <c r="L256" s="3">
        <v>0.97916666666666663</v>
      </c>
    </row>
    <row r="257" spans="1:12" x14ac:dyDescent="0.25">
      <c r="A257" s="2">
        <v>43009</v>
      </c>
      <c r="B257" s="2">
        <v>42745</v>
      </c>
      <c r="C257" t="s">
        <v>18</v>
      </c>
      <c r="D257" t="s">
        <v>1636</v>
      </c>
      <c r="E257" s="5">
        <v>31000000</v>
      </c>
      <c r="F257" s="5">
        <v>34000000</v>
      </c>
      <c r="G257" s="5">
        <v>3000000</v>
      </c>
      <c r="H257" s="5">
        <v>3100000</v>
      </c>
      <c r="I257" s="5">
        <v>3400000</v>
      </c>
      <c r="J257" s="5">
        <v>31500000</v>
      </c>
      <c r="K257" s="5">
        <v>34500000</v>
      </c>
      <c r="L257" s="3">
        <v>0.97916666666666663</v>
      </c>
    </row>
    <row r="258" spans="1:12" x14ac:dyDescent="0.25">
      <c r="A258" s="2">
        <v>43040</v>
      </c>
      <c r="B258" s="2">
        <v>42746</v>
      </c>
      <c r="C258" t="s">
        <v>19</v>
      </c>
      <c r="D258" t="s">
        <v>1636</v>
      </c>
      <c r="E258" s="5">
        <v>31400000</v>
      </c>
      <c r="F258" s="5">
        <v>34400000</v>
      </c>
      <c r="G258" s="5">
        <v>3000000</v>
      </c>
      <c r="H258" s="5">
        <v>3140000</v>
      </c>
      <c r="I258" s="5">
        <v>3440000</v>
      </c>
      <c r="J258" s="5">
        <v>31900000</v>
      </c>
      <c r="K258" s="5">
        <v>34900000</v>
      </c>
      <c r="L258" s="3">
        <v>0.97916666666666663</v>
      </c>
    </row>
    <row r="259" spans="1:12" x14ac:dyDescent="0.25">
      <c r="A259" s="2">
        <v>43070</v>
      </c>
      <c r="B259" s="2">
        <v>42747</v>
      </c>
      <c r="C259" t="s">
        <v>20</v>
      </c>
      <c r="D259" t="s">
        <v>1636</v>
      </c>
      <c r="E259" s="5">
        <v>31500000</v>
      </c>
      <c r="F259" s="5">
        <v>34500000</v>
      </c>
      <c r="G259" s="5">
        <v>3000000</v>
      </c>
      <c r="H259" s="5">
        <v>3150000</v>
      </c>
      <c r="I259" s="5">
        <v>3450000</v>
      </c>
      <c r="J259" s="5">
        <v>32000000</v>
      </c>
      <c r="K259" s="5">
        <v>35000000</v>
      </c>
      <c r="L259" s="3">
        <v>0.97916666666666663</v>
      </c>
    </row>
    <row r="260" spans="1:12" x14ac:dyDescent="0.25">
      <c r="A260" t="s">
        <v>174</v>
      </c>
      <c r="B260" s="2">
        <v>42748</v>
      </c>
      <c r="C260" t="s">
        <v>21</v>
      </c>
      <c r="D260" t="s">
        <v>1636</v>
      </c>
      <c r="E260" s="5">
        <v>31300000</v>
      </c>
      <c r="F260" s="5">
        <v>34300000</v>
      </c>
      <c r="G260" s="5">
        <v>3000000</v>
      </c>
      <c r="H260" s="5">
        <v>3130000</v>
      </c>
      <c r="I260" s="5">
        <v>3430000</v>
      </c>
      <c r="J260" s="5">
        <v>31800000</v>
      </c>
      <c r="K260" s="5">
        <v>34800000</v>
      </c>
      <c r="L260" s="3">
        <v>0.97916666666666663</v>
      </c>
    </row>
    <row r="261" spans="1:12" x14ac:dyDescent="0.25">
      <c r="A261" t="s">
        <v>175</v>
      </c>
      <c r="B261" s="2">
        <v>42752</v>
      </c>
      <c r="C261" t="s">
        <v>18</v>
      </c>
      <c r="D261" t="s">
        <v>1636</v>
      </c>
      <c r="E261" s="5">
        <v>31800000</v>
      </c>
      <c r="F261" s="5">
        <v>34800000</v>
      </c>
      <c r="G261" s="5">
        <v>3000000</v>
      </c>
      <c r="H261" s="5">
        <v>3180000</v>
      </c>
      <c r="I261" s="5">
        <v>3480000</v>
      </c>
      <c r="J261" s="5">
        <v>32300000</v>
      </c>
      <c r="K261" s="5">
        <v>35300000</v>
      </c>
      <c r="L261" s="3">
        <v>0.97916666666666663</v>
      </c>
    </row>
    <row r="262" spans="1:12" x14ac:dyDescent="0.25">
      <c r="A262" t="s">
        <v>176</v>
      </c>
      <c r="B262" s="2">
        <v>42753</v>
      </c>
      <c r="C262" t="s">
        <v>19</v>
      </c>
      <c r="D262" t="s">
        <v>1636</v>
      </c>
      <c r="E262" s="5">
        <v>31800000</v>
      </c>
      <c r="F262" s="5">
        <v>34800000</v>
      </c>
      <c r="G262" s="5">
        <v>3000000</v>
      </c>
      <c r="H262" s="5">
        <v>3180000</v>
      </c>
      <c r="I262" s="5">
        <v>3480000</v>
      </c>
      <c r="J262" s="5">
        <v>32300000</v>
      </c>
      <c r="K262" s="5">
        <v>35300000</v>
      </c>
      <c r="L262" s="3">
        <v>0.97916666666666663</v>
      </c>
    </row>
    <row r="263" spans="1:12" x14ac:dyDescent="0.25">
      <c r="A263" t="s">
        <v>177</v>
      </c>
      <c r="B263" s="2">
        <v>42754</v>
      </c>
      <c r="C263" t="s">
        <v>20</v>
      </c>
      <c r="D263" t="s">
        <v>1636</v>
      </c>
      <c r="E263" s="5">
        <v>31500000</v>
      </c>
      <c r="F263" s="5">
        <v>34500000</v>
      </c>
      <c r="G263" s="5">
        <v>3000000</v>
      </c>
      <c r="H263" s="5">
        <v>3150000</v>
      </c>
      <c r="I263" s="5">
        <v>3450000</v>
      </c>
      <c r="J263" s="5">
        <v>32000000</v>
      </c>
      <c r="K263" s="5">
        <v>35000000</v>
      </c>
      <c r="L263" s="3">
        <v>0.97916666666666663</v>
      </c>
    </row>
    <row r="264" spans="1:12" x14ac:dyDescent="0.25">
      <c r="A264" t="s">
        <v>178</v>
      </c>
      <c r="B264" s="2">
        <v>42755</v>
      </c>
      <c r="C264" t="s">
        <v>21</v>
      </c>
      <c r="D264" t="s">
        <v>1636</v>
      </c>
      <c r="E264" s="5">
        <v>31600000</v>
      </c>
      <c r="F264" s="5">
        <v>34600000</v>
      </c>
      <c r="G264" s="5">
        <v>3000000</v>
      </c>
      <c r="H264" s="5">
        <v>3160000</v>
      </c>
      <c r="I264" s="5">
        <v>3460000</v>
      </c>
      <c r="J264" s="5">
        <v>32100000</v>
      </c>
      <c r="K264" s="5">
        <v>35100000</v>
      </c>
      <c r="L264" s="3">
        <v>0.97916666666666663</v>
      </c>
    </row>
    <row r="265" spans="1:12" x14ac:dyDescent="0.25">
      <c r="A265" t="s">
        <v>179</v>
      </c>
      <c r="B265" s="2">
        <v>42758</v>
      </c>
      <c r="C265" t="s">
        <v>16</v>
      </c>
      <c r="D265" t="s">
        <v>1636</v>
      </c>
      <c r="E265" s="5">
        <v>31900000</v>
      </c>
      <c r="F265" s="5">
        <v>34900000</v>
      </c>
      <c r="G265" s="5">
        <v>3000000</v>
      </c>
      <c r="H265" s="5">
        <v>3190000</v>
      </c>
      <c r="I265" s="5">
        <v>3490000</v>
      </c>
      <c r="J265" s="5">
        <v>32400000</v>
      </c>
      <c r="K265" s="5">
        <v>35400000</v>
      </c>
      <c r="L265" s="3">
        <v>0.97916666666666663</v>
      </c>
    </row>
    <row r="266" spans="1:12" x14ac:dyDescent="0.25">
      <c r="A266" t="s">
        <v>180</v>
      </c>
      <c r="B266" s="2">
        <v>42759</v>
      </c>
      <c r="C266" t="s">
        <v>18</v>
      </c>
      <c r="D266" t="s">
        <v>1636</v>
      </c>
      <c r="E266" s="5">
        <v>31800000</v>
      </c>
      <c r="F266" s="5">
        <v>34800000</v>
      </c>
      <c r="G266" s="5">
        <v>3000000</v>
      </c>
      <c r="H266" s="5">
        <v>3180000</v>
      </c>
      <c r="I266" s="5">
        <v>3480000</v>
      </c>
      <c r="J266" s="5">
        <v>32300000</v>
      </c>
      <c r="K266" s="5">
        <v>35300000</v>
      </c>
      <c r="L266" s="3">
        <v>0.97916666666666663</v>
      </c>
    </row>
    <row r="267" spans="1:12" x14ac:dyDescent="0.25">
      <c r="A267" t="s">
        <v>181</v>
      </c>
      <c r="B267" s="2">
        <v>42760</v>
      </c>
      <c r="C267" t="s">
        <v>19</v>
      </c>
      <c r="D267" t="s">
        <v>1636</v>
      </c>
      <c r="E267" s="5">
        <v>31400000</v>
      </c>
      <c r="F267" s="5">
        <v>34400000</v>
      </c>
      <c r="G267" s="5">
        <v>3000000</v>
      </c>
      <c r="H267" s="5">
        <v>3140000</v>
      </c>
      <c r="I267" s="5">
        <v>3440000</v>
      </c>
      <c r="J267" s="5">
        <v>31900000</v>
      </c>
      <c r="K267" s="5">
        <v>34900000</v>
      </c>
      <c r="L267" s="3">
        <v>0.97916666666666663</v>
      </c>
    </row>
    <row r="268" spans="1:12" x14ac:dyDescent="0.25">
      <c r="A268" t="s">
        <v>182</v>
      </c>
      <c r="B268" s="2">
        <v>42761</v>
      </c>
      <c r="C268" t="s">
        <v>20</v>
      </c>
      <c r="D268" t="s">
        <v>1636</v>
      </c>
      <c r="E268" s="5">
        <v>31200000</v>
      </c>
      <c r="F268" s="5">
        <v>34200000</v>
      </c>
      <c r="G268" s="5">
        <v>3000000</v>
      </c>
      <c r="H268" s="5">
        <v>3120000</v>
      </c>
      <c r="I268" s="5">
        <v>3420000</v>
      </c>
      <c r="J268" s="5">
        <v>31700000</v>
      </c>
      <c r="K268" s="5">
        <v>34700000</v>
      </c>
      <c r="L268" s="3">
        <v>0.97916666666666663</v>
      </c>
    </row>
    <row r="269" spans="1:12" x14ac:dyDescent="0.25">
      <c r="A269" t="s">
        <v>183</v>
      </c>
      <c r="B269" s="2">
        <v>42762</v>
      </c>
      <c r="C269" t="s">
        <v>21</v>
      </c>
      <c r="D269" t="s">
        <v>1636</v>
      </c>
      <c r="E269" s="5">
        <v>31100000</v>
      </c>
      <c r="F269" s="5">
        <v>34100000</v>
      </c>
      <c r="G269" s="5">
        <v>3000000</v>
      </c>
      <c r="H269" s="5">
        <v>3110000</v>
      </c>
      <c r="I269" s="5">
        <v>3410000</v>
      </c>
      <c r="J269" s="5">
        <v>31600000</v>
      </c>
      <c r="K269" s="5">
        <v>34600000</v>
      </c>
      <c r="L269" s="3">
        <v>0.97916666666666663</v>
      </c>
    </row>
    <row r="270" spans="1:12" x14ac:dyDescent="0.25">
      <c r="A270" t="s">
        <v>184</v>
      </c>
      <c r="B270" s="2">
        <v>42765</v>
      </c>
      <c r="C270" t="s">
        <v>16</v>
      </c>
      <c r="D270" t="s">
        <v>1636</v>
      </c>
      <c r="E270" s="5">
        <v>31300000</v>
      </c>
      <c r="F270" s="5">
        <v>34300000</v>
      </c>
      <c r="G270" s="5">
        <v>3000000</v>
      </c>
      <c r="H270" s="5">
        <v>3130000</v>
      </c>
      <c r="I270" s="5">
        <v>3430000</v>
      </c>
      <c r="J270" s="5">
        <v>31800000</v>
      </c>
      <c r="K270" s="5">
        <v>34800000</v>
      </c>
      <c r="L270" s="3">
        <v>0.97916666666666663</v>
      </c>
    </row>
    <row r="271" spans="1:12" x14ac:dyDescent="0.25">
      <c r="A271" t="s">
        <v>185</v>
      </c>
      <c r="B271" s="2">
        <v>42766</v>
      </c>
      <c r="C271" t="s">
        <v>18</v>
      </c>
      <c r="D271" t="s">
        <v>1636</v>
      </c>
      <c r="E271" s="5">
        <v>31700000</v>
      </c>
      <c r="F271" s="5">
        <v>34700000</v>
      </c>
      <c r="G271" s="5">
        <v>3000000</v>
      </c>
      <c r="H271" s="5">
        <v>3170000</v>
      </c>
      <c r="I271" s="5">
        <v>3470000</v>
      </c>
      <c r="J271" s="5">
        <v>32200000</v>
      </c>
      <c r="K271" s="5">
        <v>35200000</v>
      </c>
      <c r="L271" s="3">
        <v>0.97916666666666663</v>
      </c>
    </row>
    <row r="272" spans="1:12" x14ac:dyDescent="0.25">
      <c r="A272" s="2">
        <v>42737</v>
      </c>
      <c r="B272" s="2">
        <v>42767</v>
      </c>
      <c r="C272" t="s">
        <v>19</v>
      </c>
      <c r="D272" t="s">
        <v>1636</v>
      </c>
      <c r="E272" s="5">
        <v>31600000</v>
      </c>
      <c r="F272" s="5">
        <v>34600000</v>
      </c>
      <c r="G272" s="5">
        <v>3000000</v>
      </c>
      <c r="H272" s="5">
        <v>3160000</v>
      </c>
      <c r="I272" s="5">
        <v>3460000</v>
      </c>
      <c r="J272" s="5">
        <v>32100000</v>
      </c>
      <c r="K272" s="5">
        <v>35100000</v>
      </c>
      <c r="L272" s="3">
        <v>0.97916666666666663</v>
      </c>
    </row>
    <row r="273" spans="1:12" x14ac:dyDescent="0.25">
      <c r="A273" s="2">
        <v>42768</v>
      </c>
      <c r="B273" s="2">
        <v>42768</v>
      </c>
      <c r="C273" t="s">
        <v>20</v>
      </c>
      <c r="D273" t="s">
        <v>1636</v>
      </c>
      <c r="E273" s="5">
        <v>32000000</v>
      </c>
      <c r="F273" s="5">
        <v>35000000</v>
      </c>
      <c r="G273" s="5">
        <v>3000000</v>
      </c>
      <c r="H273" s="5">
        <v>3200000</v>
      </c>
      <c r="I273" s="5">
        <v>3500000</v>
      </c>
      <c r="J273" s="5">
        <v>32500000</v>
      </c>
      <c r="K273" s="5">
        <v>35500000</v>
      </c>
      <c r="L273" s="3">
        <v>0.97916666666666663</v>
      </c>
    </row>
    <row r="274" spans="1:12" x14ac:dyDescent="0.25">
      <c r="A274" s="2">
        <v>42796</v>
      </c>
      <c r="B274" s="2">
        <v>42769</v>
      </c>
      <c r="C274" t="s">
        <v>21</v>
      </c>
      <c r="D274" t="s">
        <v>1636</v>
      </c>
      <c r="E274" s="5">
        <v>32000000</v>
      </c>
      <c r="F274" s="5">
        <v>35000000</v>
      </c>
      <c r="G274" s="5">
        <v>3000000</v>
      </c>
      <c r="H274" s="5">
        <v>3200000</v>
      </c>
      <c r="I274" s="5">
        <v>3500000</v>
      </c>
      <c r="J274" s="5">
        <v>32500000</v>
      </c>
      <c r="K274" s="5">
        <v>35500000</v>
      </c>
      <c r="L274" s="3">
        <v>0.97916666666666663</v>
      </c>
    </row>
    <row r="275" spans="1:12" x14ac:dyDescent="0.25">
      <c r="A275" s="2">
        <v>42888</v>
      </c>
      <c r="B275" s="2">
        <v>42772</v>
      </c>
      <c r="C275" t="s">
        <v>16</v>
      </c>
      <c r="D275" t="s">
        <v>1636</v>
      </c>
      <c r="E275" s="5">
        <v>32300000</v>
      </c>
      <c r="F275" s="5">
        <v>35300000</v>
      </c>
      <c r="G275" s="5">
        <v>3000000</v>
      </c>
      <c r="H275" s="5">
        <v>3230000</v>
      </c>
      <c r="I275" s="5">
        <v>3530000</v>
      </c>
      <c r="J275" s="5">
        <v>32800000</v>
      </c>
      <c r="K275" s="5">
        <v>35800000</v>
      </c>
      <c r="L275" s="3">
        <v>0.97916666666666663</v>
      </c>
    </row>
    <row r="276" spans="1:12" x14ac:dyDescent="0.25">
      <c r="A276" s="2">
        <v>42918</v>
      </c>
      <c r="B276" s="2">
        <v>42773</v>
      </c>
      <c r="C276" t="s">
        <v>18</v>
      </c>
      <c r="D276" t="s">
        <v>1636</v>
      </c>
      <c r="E276" s="5">
        <v>32500000</v>
      </c>
      <c r="F276" s="5">
        <v>35500000</v>
      </c>
      <c r="G276" s="5">
        <v>3000000</v>
      </c>
      <c r="H276" s="5">
        <v>3250000</v>
      </c>
      <c r="I276" s="5">
        <v>3550000</v>
      </c>
      <c r="J276" s="5">
        <v>33000000</v>
      </c>
      <c r="K276" s="5">
        <v>36000000</v>
      </c>
      <c r="L276" s="3">
        <v>0.97916666666666663</v>
      </c>
    </row>
    <row r="277" spans="1:12" x14ac:dyDescent="0.25">
      <c r="A277" s="2">
        <v>42949</v>
      </c>
      <c r="B277" s="2">
        <v>42774</v>
      </c>
      <c r="C277" t="s">
        <v>19</v>
      </c>
      <c r="D277" t="s">
        <v>1636</v>
      </c>
      <c r="E277" s="5">
        <v>32600000</v>
      </c>
      <c r="F277" s="5">
        <v>35600000</v>
      </c>
      <c r="G277" s="5">
        <v>3000000</v>
      </c>
      <c r="H277" s="5">
        <v>3260000</v>
      </c>
      <c r="I277" s="5">
        <v>3560000</v>
      </c>
      <c r="J277" s="5">
        <v>33100000</v>
      </c>
      <c r="K277" s="5">
        <v>36100000</v>
      </c>
      <c r="L277" s="3">
        <v>0.97916666666666663</v>
      </c>
    </row>
    <row r="278" spans="1:12" x14ac:dyDescent="0.25">
      <c r="A278" s="2">
        <v>42980</v>
      </c>
      <c r="B278" s="2">
        <v>42775</v>
      </c>
      <c r="C278" t="s">
        <v>20</v>
      </c>
      <c r="D278" t="s">
        <v>1636</v>
      </c>
      <c r="E278" s="5">
        <v>32500000</v>
      </c>
      <c r="F278" s="5">
        <v>35500000</v>
      </c>
      <c r="G278" s="5">
        <v>3000000</v>
      </c>
      <c r="H278" s="5">
        <v>3250000</v>
      </c>
      <c r="I278" s="5">
        <v>3550000</v>
      </c>
      <c r="J278" s="5">
        <v>33000000</v>
      </c>
      <c r="K278" s="5">
        <v>36000000</v>
      </c>
      <c r="L278" s="3">
        <v>0.97916666666666663</v>
      </c>
    </row>
    <row r="279" spans="1:12" x14ac:dyDescent="0.25">
      <c r="A279" s="2">
        <v>43010</v>
      </c>
      <c r="B279" s="2">
        <v>42776</v>
      </c>
      <c r="C279" t="s">
        <v>21</v>
      </c>
      <c r="D279" t="s">
        <v>1636</v>
      </c>
      <c r="E279" s="5">
        <v>32500000</v>
      </c>
      <c r="F279" s="5">
        <v>35500000</v>
      </c>
      <c r="G279" s="5">
        <v>3000000</v>
      </c>
      <c r="H279" s="5">
        <v>3250000</v>
      </c>
      <c r="I279" s="5">
        <v>3550000</v>
      </c>
      <c r="J279" s="5">
        <v>33000000</v>
      </c>
      <c r="K279" s="5">
        <v>36000000</v>
      </c>
      <c r="L279" s="3">
        <v>0.97916666666666663</v>
      </c>
    </row>
    <row r="280" spans="1:12" x14ac:dyDescent="0.25">
      <c r="A280" t="s">
        <v>186</v>
      </c>
      <c r="B280" s="2">
        <v>42779</v>
      </c>
      <c r="C280" t="s">
        <v>16</v>
      </c>
      <c r="D280" t="s">
        <v>1636</v>
      </c>
      <c r="E280" s="5">
        <v>32200000</v>
      </c>
      <c r="F280" s="5">
        <v>35200000</v>
      </c>
      <c r="G280" s="5">
        <v>3000000</v>
      </c>
      <c r="H280" s="5">
        <v>3220000</v>
      </c>
      <c r="I280" s="5">
        <v>3520000</v>
      </c>
      <c r="J280" s="5">
        <v>32700000</v>
      </c>
      <c r="K280" s="5">
        <v>35700000</v>
      </c>
      <c r="L280" s="3">
        <v>0.97916666666666663</v>
      </c>
    </row>
    <row r="281" spans="1:12" x14ac:dyDescent="0.25">
      <c r="A281" t="s">
        <v>187</v>
      </c>
      <c r="B281" s="2">
        <v>42780</v>
      </c>
      <c r="C281" t="s">
        <v>18</v>
      </c>
      <c r="D281" t="s">
        <v>1636</v>
      </c>
      <c r="E281" s="5">
        <v>32200000</v>
      </c>
      <c r="F281" s="5">
        <v>35200000</v>
      </c>
      <c r="G281" s="5">
        <v>3000000</v>
      </c>
      <c r="H281" s="5">
        <v>3220000</v>
      </c>
      <c r="I281" s="5">
        <v>3520000</v>
      </c>
      <c r="J281" s="5">
        <v>32700000</v>
      </c>
      <c r="K281" s="5">
        <v>35700000</v>
      </c>
      <c r="L281" s="3">
        <v>0.97916666666666663</v>
      </c>
    </row>
    <row r="282" spans="1:12" x14ac:dyDescent="0.25">
      <c r="A282" t="s">
        <v>188</v>
      </c>
      <c r="B282" s="2">
        <v>42781</v>
      </c>
      <c r="C282" t="s">
        <v>19</v>
      </c>
      <c r="D282" t="s">
        <v>1636</v>
      </c>
      <c r="E282" s="5">
        <v>32400000</v>
      </c>
      <c r="F282" s="5">
        <v>35400000</v>
      </c>
      <c r="G282" s="5">
        <v>3000000</v>
      </c>
      <c r="H282" s="5">
        <v>3240000</v>
      </c>
      <c r="I282" s="5">
        <v>3540000</v>
      </c>
      <c r="J282" s="5">
        <v>32900000</v>
      </c>
      <c r="K282" s="5">
        <v>35900000</v>
      </c>
      <c r="L282" s="3">
        <v>0.97916666666666663</v>
      </c>
    </row>
    <row r="283" spans="1:12" x14ac:dyDescent="0.25">
      <c r="A283" t="s">
        <v>189</v>
      </c>
      <c r="B283" s="2">
        <v>42782</v>
      </c>
      <c r="C283" t="s">
        <v>20</v>
      </c>
      <c r="D283" t="s">
        <v>1636</v>
      </c>
      <c r="E283" s="5">
        <v>32600000</v>
      </c>
      <c r="F283" s="5">
        <v>35600000</v>
      </c>
      <c r="G283" s="5">
        <v>3000000</v>
      </c>
      <c r="H283" s="5">
        <v>3260000</v>
      </c>
      <c r="I283" s="5">
        <v>3560000</v>
      </c>
      <c r="J283" s="5">
        <v>33100000</v>
      </c>
      <c r="K283" s="5">
        <v>36100000</v>
      </c>
      <c r="L283" s="3">
        <v>0.97916666666666663</v>
      </c>
    </row>
    <row r="284" spans="1:12" x14ac:dyDescent="0.25">
      <c r="A284" t="s">
        <v>190</v>
      </c>
      <c r="B284" s="2">
        <v>42783</v>
      </c>
      <c r="C284" t="s">
        <v>21</v>
      </c>
      <c r="D284" t="s">
        <v>1636</v>
      </c>
      <c r="E284" s="5">
        <v>32600000</v>
      </c>
      <c r="F284" s="5">
        <v>35600000</v>
      </c>
      <c r="G284" s="5">
        <v>3000000</v>
      </c>
      <c r="H284" s="5">
        <v>3260000</v>
      </c>
      <c r="I284" s="5">
        <v>3560000</v>
      </c>
      <c r="J284" s="5">
        <v>33100000</v>
      </c>
      <c r="K284" s="5">
        <v>36100000</v>
      </c>
      <c r="L284" s="3">
        <v>0.97916666666666663</v>
      </c>
    </row>
    <row r="285" spans="1:12" x14ac:dyDescent="0.25">
      <c r="A285" t="s">
        <v>191</v>
      </c>
      <c r="B285" s="2">
        <v>42787</v>
      </c>
      <c r="C285" t="s">
        <v>18</v>
      </c>
      <c r="D285" t="s">
        <v>1636</v>
      </c>
      <c r="E285" s="5">
        <v>32600000</v>
      </c>
      <c r="F285" s="5">
        <v>35600000</v>
      </c>
      <c r="G285" s="5">
        <v>3000000</v>
      </c>
      <c r="H285" s="5">
        <v>3260000</v>
      </c>
      <c r="I285" s="5">
        <v>3560000</v>
      </c>
      <c r="J285" s="5">
        <v>33100000</v>
      </c>
      <c r="K285" s="5">
        <v>36100000</v>
      </c>
      <c r="L285" s="3">
        <v>0.97916666666666663</v>
      </c>
    </row>
    <row r="286" spans="1:12" x14ac:dyDescent="0.25">
      <c r="A286" t="s">
        <v>192</v>
      </c>
      <c r="B286" s="2">
        <v>42788</v>
      </c>
      <c r="C286" t="s">
        <v>19</v>
      </c>
      <c r="D286" t="s">
        <v>1636</v>
      </c>
      <c r="E286" s="5">
        <v>32400000</v>
      </c>
      <c r="F286" s="5">
        <v>35400000</v>
      </c>
      <c r="G286" s="5">
        <v>3000000</v>
      </c>
      <c r="H286" s="5">
        <v>3240000</v>
      </c>
      <c r="I286" s="5">
        <v>3540000</v>
      </c>
      <c r="J286" s="5">
        <v>32900000</v>
      </c>
      <c r="K286" s="5">
        <v>35900000</v>
      </c>
      <c r="L286" s="3">
        <v>0.97916666666666663</v>
      </c>
    </row>
    <row r="287" spans="1:12" x14ac:dyDescent="0.25">
      <c r="A287" t="s">
        <v>193</v>
      </c>
      <c r="B287" s="2">
        <v>42789</v>
      </c>
      <c r="C287" t="s">
        <v>20</v>
      </c>
      <c r="D287" t="s">
        <v>1636</v>
      </c>
      <c r="E287" s="5">
        <v>32900000</v>
      </c>
      <c r="F287" s="5">
        <v>35900000</v>
      </c>
      <c r="G287" s="5">
        <v>3000000</v>
      </c>
      <c r="H287" s="5">
        <v>3290000</v>
      </c>
      <c r="I287" s="5">
        <v>3590000</v>
      </c>
      <c r="J287" s="5">
        <v>33400000</v>
      </c>
      <c r="K287" s="5">
        <v>36400000</v>
      </c>
      <c r="L287" s="3">
        <v>0.97916666666666663</v>
      </c>
    </row>
    <row r="288" spans="1:12" x14ac:dyDescent="0.25">
      <c r="A288" t="s">
        <v>194</v>
      </c>
      <c r="B288" s="2">
        <v>42790</v>
      </c>
      <c r="C288" t="s">
        <v>21</v>
      </c>
      <c r="D288" t="s">
        <v>1636</v>
      </c>
      <c r="E288" s="5">
        <v>33100000</v>
      </c>
      <c r="F288" s="5">
        <v>36100000</v>
      </c>
      <c r="G288" s="5">
        <v>3000000</v>
      </c>
      <c r="H288" s="5">
        <v>3310000</v>
      </c>
      <c r="I288" s="5">
        <v>3610000</v>
      </c>
      <c r="J288" s="5">
        <v>33600000</v>
      </c>
      <c r="K288" s="5">
        <v>36600000</v>
      </c>
      <c r="L288" s="3">
        <v>0.97916666666666663</v>
      </c>
    </row>
    <row r="289" spans="1:12" x14ac:dyDescent="0.25">
      <c r="A289" t="s">
        <v>195</v>
      </c>
      <c r="B289" s="2">
        <v>42793</v>
      </c>
      <c r="C289" t="s">
        <v>16</v>
      </c>
      <c r="D289" t="s">
        <v>1636</v>
      </c>
      <c r="E289" s="5">
        <v>33100000</v>
      </c>
      <c r="F289" s="5">
        <v>36100000</v>
      </c>
      <c r="G289" s="5">
        <v>3000000</v>
      </c>
      <c r="H289" s="5">
        <v>3310000</v>
      </c>
      <c r="I289" s="5">
        <v>3610000</v>
      </c>
      <c r="J289" s="5">
        <v>33600000</v>
      </c>
      <c r="K289" s="5">
        <v>36600000</v>
      </c>
      <c r="L289" s="3">
        <v>0.97916666666666663</v>
      </c>
    </row>
    <row r="290" spans="1:12" x14ac:dyDescent="0.25">
      <c r="A290" t="s">
        <v>196</v>
      </c>
      <c r="B290" s="2">
        <v>42794</v>
      </c>
      <c r="C290" t="s">
        <v>18</v>
      </c>
      <c r="D290" t="s">
        <v>1636</v>
      </c>
      <c r="E290" s="5">
        <v>33000000</v>
      </c>
      <c r="F290" s="5">
        <v>36000000</v>
      </c>
      <c r="G290" s="5">
        <v>3000000</v>
      </c>
      <c r="H290" s="5">
        <v>3300000</v>
      </c>
      <c r="I290" s="5">
        <v>3600000</v>
      </c>
      <c r="J290" s="5">
        <v>33500000</v>
      </c>
      <c r="K290" s="5">
        <v>36500000</v>
      </c>
      <c r="L290" s="3">
        <v>0.97916666666666663</v>
      </c>
    </row>
    <row r="291" spans="1:12" x14ac:dyDescent="0.25">
      <c r="A291" s="2">
        <v>42738</v>
      </c>
      <c r="B291" s="2">
        <v>42795</v>
      </c>
      <c r="C291" t="s">
        <v>19</v>
      </c>
      <c r="D291" t="s">
        <v>1636</v>
      </c>
      <c r="E291" s="5">
        <v>32900000</v>
      </c>
      <c r="F291" s="5">
        <v>35900000</v>
      </c>
      <c r="G291" s="5">
        <v>3000000</v>
      </c>
      <c r="H291" s="5">
        <v>3290000</v>
      </c>
      <c r="I291" s="5">
        <v>3590000</v>
      </c>
      <c r="J291" s="5">
        <v>33400000</v>
      </c>
      <c r="K291" s="5">
        <v>36400000</v>
      </c>
      <c r="L291" s="3">
        <v>0.97916666666666663</v>
      </c>
    </row>
    <row r="292" spans="1:12" x14ac:dyDescent="0.25">
      <c r="A292" s="2">
        <v>42769</v>
      </c>
      <c r="B292" s="2">
        <v>42796</v>
      </c>
      <c r="C292" t="s">
        <v>20</v>
      </c>
      <c r="D292" t="s">
        <v>1636</v>
      </c>
      <c r="E292" s="5">
        <v>32400000</v>
      </c>
      <c r="F292" s="5">
        <v>35400000</v>
      </c>
      <c r="G292" s="5">
        <v>3000000</v>
      </c>
      <c r="H292" s="5">
        <v>3240000</v>
      </c>
      <c r="I292" s="5">
        <v>3540000</v>
      </c>
      <c r="J292" s="5">
        <v>32900000</v>
      </c>
      <c r="K292" s="5">
        <v>35900000</v>
      </c>
      <c r="L292" s="3">
        <v>0.97916666666666663</v>
      </c>
    </row>
    <row r="293" spans="1:12" x14ac:dyDescent="0.25">
      <c r="A293" s="2">
        <v>42797</v>
      </c>
      <c r="B293" s="2">
        <v>42797</v>
      </c>
      <c r="C293" t="s">
        <v>21</v>
      </c>
      <c r="D293" t="s">
        <v>1636</v>
      </c>
      <c r="E293" s="5">
        <v>32200000</v>
      </c>
      <c r="F293" s="5">
        <v>35200000</v>
      </c>
      <c r="G293" s="5">
        <v>3000000</v>
      </c>
      <c r="H293" s="5">
        <v>3220000</v>
      </c>
      <c r="I293" s="5">
        <v>3520000</v>
      </c>
      <c r="J293" s="5">
        <v>32700000</v>
      </c>
      <c r="K293" s="5">
        <v>35700000</v>
      </c>
      <c r="L293" s="3">
        <v>0.97916666666666663</v>
      </c>
    </row>
    <row r="294" spans="1:12" x14ac:dyDescent="0.25">
      <c r="A294" s="2">
        <v>42889</v>
      </c>
      <c r="B294" s="2">
        <v>42800</v>
      </c>
      <c r="C294" t="s">
        <v>16</v>
      </c>
      <c r="D294" t="s">
        <v>1636</v>
      </c>
      <c r="E294" s="5">
        <v>32200000</v>
      </c>
      <c r="F294" s="5">
        <v>35200000</v>
      </c>
      <c r="G294" s="5">
        <v>3000000</v>
      </c>
      <c r="H294" s="5">
        <v>3220000</v>
      </c>
      <c r="I294" s="5">
        <v>3520000</v>
      </c>
      <c r="J294" s="5">
        <v>32700000</v>
      </c>
      <c r="K294" s="5">
        <v>35700000</v>
      </c>
      <c r="L294" s="3">
        <v>0.97916666666666663</v>
      </c>
    </row>
    <row r="295" spans="1:12" x14ac:dyDescent="0.25">
      <c r="A295" s="2">
        <v>42919</v>
      </c>
      <c r="B295" s="2">
        <v>42801</v>
      </c>
      <c r="C295" t="s">
        <v>18</v>
      </c>
      <c r="D295" t="s">
        <v>1636</v>
      </c>
      <c r="E295" s="5">
        <v>31900000</v>
      </c>
      <c r="F295" s="5">
        <v>34900000</v>
      </c>
      <c r="G295" s="5">
        <v>3000000</v>
      </c>
      <c r="H295" s="5">
        <v>3190000</v>
      </c>
      <c r="I295" s="5">
        <v>3490000</v>
      </c>
      <c r="J295" s="5">
        <v>32400000</v>
      </c>
      <c r="K295" s="5">
        <v>35400000</v>
      </c>
      <c r="L295" s="3">
        <v>0.97916666666666663</v>
      </c>
    </row>
    <row r="296" spans="1:12" x14ac:dyDescent="0.25">
      <c r="A296" s="2">
        <v>42950</v>
      </c>
      <c r="B296" s="2">
        <v>42802</v>
      </c>
      <c r="C296" t="s">
        <v>19</v>
      </c>
      <c r="D296" t="s">
        <v>1636</v>
      </c>
      <c r="E296" s="5">
        <v>31700000</v>
      </c>
      <c r="F296" s="5">
        <v>34700000</v>
      </c>
      <c r="G296" s="5">
        <v>3000000</v>
      </c>
      <c r="H296" s="5">
        <v>3170000</v>
      </c>
      <c r="I296" s="5">
        <v>3470000</v>
      </c>
      <c r="J296" s="5">
        <v>32200000</v>
      </c>
      <c r="K296" s="5">
        <v>35200000</v>
      </c>
      <c r="L296" s="3">
        <v>0.97916666666666663</v>
      </c>
    </row>
    <row r="297" spans="1:12" x14ac:dyDescent="0.25">
      <c r="A297" s="2">
        <v>42981</v>
      </c>
      <c r="B297" s="2">
        <v>42803</v>
      </c>
      <c r="C297" t="s">
        <v>20</v>
      </c>
      <c r="D297" t="s">
        <v>1636</v>
      </c>
      <c r="E297" s="5">
        <v>31600000</v>
      </c>
      <c r="F297" s="5">
        <v>34600000</v>
      </c>
      <c r="G297" s="5">
        <v>3000000</v>
      </c>
      <c r="H297" s="5">
        <v>3160000</v>
      </c>
      <c r="I297" s="5">
        <v>3460000</v>
      </c>
      <c r="J297" s="5">
        <v>32100000</v>
      </c>
      <c r="K297" s="5">
        <v>35100000</v>
      </c>
      <c r="L297" s="3">
        <v>0.97916666666666663</v>
      </c>
    </row>
    <row r="298" spans="1:12" x14ac:dyDescent="0.25">
      <c r="A298" s="2">
        <v>43011</v>
      </c>
      <c r="B298" s="2">
        <v>42804</v>
      </c>
      <c r="C298" t="s">
        <v>21</v>
      </c>
      <c r="D298" t="s">
        <v>1636</v>
      </c>
      <c r="E298" s="5">
        <v>31500000</v>
      </c>
      <c r="F298" s="5">
        <v>34500000</v>
      </c>
      <c r="G298" s="5">
        <v>3000000</v>
      </c>
      <c r="H298" s="5">
        <v>3150000</v>
      </c>
      <c r="I298" s="5">
        <v>3450000</v>
      </c>
      <c r="J298" s="5">
        <v>32000000</v>
      </c>
      <c r="K298" s="5">
        <v>35000000</v>
      </c>
      <c r="L298" s="3">
        <v>0.97916666666666663</v>
      </c>
    </row>
    <row r="299" spans="1:12" x14ac:dyDescent="0.25">
      <c r="A299" t="s">
        <v>197</v>
      </c>
      <c r="B299" s="2">
        <v>42807</v>
      </c>
      <c r="C299" t="s">
        <v>16</v>
      </c>
      <c r="D299" t="s">
        <v>1636</v>
      </c>
      <c r="E299" s="5">
        <v>31600000</v>
      </c>
      <c r="F299" s="5">
        <v>34600000</v>
      </c>
      <c r="G299" s="5">
        <v>3000000</v>
      </c>
      <c r="H299" s="5">
        <v>3160000</v>
      </c>
      <c r="I299" s="5">
        <v>3460000</v>
      </c>
      <c r="J299" s="5">
        <v>32100000</v>
      </c>
      <c r="K299" s="5">
        <v>35100000</v>
      </c>
      <c r="L299" s="3">
        <v>0.97916666666666663</v>
      </c>
    </row>
    <row r="300" spans="1:12" x14ac:dyDescent="0.25">
      <c r="A300" t="s">
        <v>198</v>
      </c>
      <c r="B300" s="2">
        <v>42808</v>
      </c>
      <c r="C300" t="s">
        <v>18</v>
      </c>
      <c r="D300" t="s">
        <v>1636</v>
      </c>
      <c r="E300" s="5">
        <v>31500000</v>
      </c>
      <c r="F300" s="5">
        <v>34500000</v>
      </c>
      <c r="G300" s="5">
        <v>3000000</v>
      </c>
      <c r="H300" s="5">
        <v>3150000</v>
      </c>
      <c r="I300" s="5">
        <v>3450000</v>
      </c>
      <c r="J300" s="5">
        <v>32000000</v>
      </c>
      <c r="K300" s="5">
        <v>35000000</v>
      </c>
      <c r="L300" s="3">
        <v>0.97916666666666663</v>
      </c>
    </row>
    <row r="301" spans="1:12" x14ac:dyDescent="0.25">
      <c r="A301" t="s">
        <v>199</v>
      </c>
      <c r="B301" s="2">
        <v>42809</v>
      </c>
      <c r="C301" t="s">
        <v>19</v>
      </c>
      <c r="D301" t="s">
        <v>1636</v>
      </c>
      <c r="E301" s="5">
        <v>31500000</v>
      </c>
      <c r="F301" s="5">
        <v>34500000</v>
      </c>
      <c r="G301" s="5">
        <v>3000000</v>
      </c>
      <c r="H301" s="5">
        <v>3150000</v>
      </c>
      <c r="I301" s="5">
        <v>3450000</v>
      </c>
      <c r="J301" s="5">
        <v>32000000</v>
      </c>
      <c r="K301" s="5">
        <v>35000000</v>
      </c>
      <c r="L301" s="3">
        <v>0.97916666666666663</v>
      </c>
    </row>
    <row r="302" spans="1:12" x14ac:dyDescent="0.25">
      <c r="A302" t="s">
        <v>200</v>
      </c>
      <c r="B302" s="2">
        <v>42810</v>
      </c>
      <c r="C302" t="s">
        <v>20</v>
      </c>
      <c r="D302" t="s">
        <v>1636</v>
      </c>
      <c r="E302" s="5">
        <v>32200000</v>
      </c>
      <c r="F302" s="5">
        <v>35200000</v>
      </c>
      <c r="G302" s="5">
        <v>3000000</v>
      </c>
      <c r="H302" s="5">
        <v>3220000</v>
      </c>
      <c r="I302" s="5">
        <v>3520000</v>
      </c>
      <c r="J302" s="5">
        <v>32700000</v>
      </c>
      <c r="K302" s="5">
        <v>35700000</v>
      </c>
      <c r="L302" s="3">
        <v>0.97916666666666663</v>
      </c>
    </row>
    <row r="303" spans="1:12" x14ac:dyDescent="0.25">
      <c r="A303" t="s">
        <v>201</v>
      </c>
      <c r="B303" s="2">
        <v>42811</v>
      </c>
      <c r="C303" t="s">
        <v>21</v>
      </c>
      <c r="D303" t="s">
        <v>1636</v>
      </c>
      <c r="E303" s="5">
        <v>32300000</v>
      </c>
      <c r="F303" s="5">
        <v>35300000</v>
      </c>
      <c r="G303" s="5">
        <v>3000000</v>
      </c>
      <c r="H303" s="5">
        <v>3230000</v>
      </c>
      <c r="I303" s="5">
        <v>3530000</v>
      </c>
      <c r="J303" s="5">
        <v>32800000</v>
      </c>
      <c r="K303" s="5">
        <v>35800000</v>
      </c>
      <c r="L303" s="3">
        <v>0.97916666666666663</v>
      </c>
    </row>
    <row r="304" spans="1:12" x14ac:dyDescent="0.25">
      <c r="A304" t="s">
        <v>202</v>
      </c>
      <c r="B304" s="2">
        <v>42814</v>
      </c>
      <c r="C304" t="s">
        <v>16</v>
      </c>
      <c r="D304" t="s">
        <v>1636</v>
      </c>
      <c r="E304" s="5">
        <v>32400000</v>
      </c>
      <c r="F304" s="5">
        <v>35400000</v>
      </c>
      <c r="G304" s="5">
        <v>3000000</v>
      </c>
      <c r="H304" s="5">
        <v>3240000</v>
      </c>
      <c r="I304" s="5">
        <v>3540000</v>
      </c>
      <c r="J304" s="5">
        <v>32900000</v>
      </c>
      <c r="K304" s="5">
        <v>35900000</v>
      </c>
      <c r="L304" s="3">
        <v>0.97916666666666663</v>
      </c>
    </row>
    <row r="305" spans="1:12" x14ac:dyDescent="0.25">
      <c r="A305" t="s">
        <v>203</v>
      </c>
      <c r="B305" s="2">
        <v>42815</v>
      </c>
      <c r="C305" t="s">
        <v>18</v>
      </c>
      <c r="D305" t="s">
        <v>1636</v>
      </c>
      <c r="E305" s="5">
        <v>32800000</v>
      </c>
      <c r="F305" s="5">
        <v>35800000</v>
      </c>
      <c r="G305" s="5">
        <v>3000000</v>
      </c>
      <c r="H305" s="5">
        <v>3280000</v>
      </c>
      <c r="I305" s="5">
        <v>3580000</v>
      </c>
      <c r="J305" s="5">
        <v>33300000</v>
      </c>
      <c r="K305" s="5">
        <v>36300000</v>
      </c>
      <c r="L305" s="3">
        <v>0.97916666666666663</v>
      </c>
    </row>
    <row r="306" spans="1:12" x14ac:dyDescent="0.25">
      <c r="A306" t="s">
        <v>204</v>
      </c>
      <c r="B306" s="2">
        <v>42816</v>
      </c>
      <c r="C306" t="s">
        <v>19</v>
      </c>
      <c r="D306" t="s">
        <v>1636</v>
      </c>
      <c r="E306" s="5">
        <v>32900000</v>
      </c>
      <c r="F306" s="5">
        <v>35900000</v>
      </c>
      <c r="G306" s="5">
        <v>3000000</v>
      </c>
      <c r="H306" s="5">
        <v>3290000</v>
      </c>
      <c r="I306" s="5">
        <v>3590000</v>
      </c>
      <c r="J306" s="5">
        <v>33400000</v>
      </c>
      <c r="K306" s="5">
        <v>36400000</v>
      </c>
      <c r="L306" s="3">
        <v>0.97916666666666663</v>
      </c>
    </row>
    <row r="307" spans="1:12" x14ac:dyDescent="0.25">
      <c r="A307" t="s">
        <v>205</v>
      </c>
      <c r="B307" s="2">
        <v>42817</v>
      </c>
      <c r="C307" t="s">
        <v>20</v>
      </c>
      <c r="D307" t="s">
        <v>1636</v>
      </c>
      <c r="E307" s="5">
        <v>32800000</v>
      </c>
      <c r="F307" s="5">
        <v>35800000</v>
      </c>
      <c r="G307" s="5">
        <v>3000000</v>
      </c>
      <c r="H307" s="5">
        <v>3280000</v>
      </c>
      <c r="I307" s="5">
        <v>3580000</v>
      </c>
      <c r="J307" s="5">
        <v>33300000</v>
      </c>
      <c r="K307" s="5">
        <v>36300000</v>
      </c>
      <c r="L307" s="3">
        <v>0.97916666666666663</v>
      </c>
    </row>
    <row r="308" spans="1:12" x14ac:dyDescent="0.25">
      <c r="A308" t="s">
        <v>206</v>
      </c>
      <c r="B308" s="2">
        <v>42818</v>
      </c>
      <c r="C308" t="s">
        <v>21</v>
      </c>
      <c r="D308" t="s">
        <v>1636</v>
      </c>
      <c r="E308" s="5">
        <v>32900000</v>
      </c>
      <c r="F308" s="5">
        <v>35900000</v>
      </c>
      <c r="G308" s="5">
        <v>3000000</v>
      </c>
      <c r="H308" s="5">
        <v>3290000</v>
      </c>
      <c r="I308" s="5">
        <v>3590000</v>
      </c>
      <c r="J308" s="5">
        <v>33400000</v>
      </c>
      <c r="K308" s="5">
        <v>36400000</v>
      </c>
      <c r="L308" s="3">
        <v>0.97916666666666663</v>
      </c>
    </row>
    <row r="309" spans="1:12" x14ac:dyDescent="0.25">
      <c r="A309" t="s">
        <v>207</v>
      </c>
      <c r="B309" s="2">
        <v>42821</v>
      </c>
      <c r="C309" t="s">
        <v>16</v>
      </c>
      <c r="D309" t="s">
        <v>1636</v>
      </c>
      <c r="E309" s="5">
        <v>33100000</v>
      </c>
      <c r="F309" s="5">
        <v>36100000</v>
      </c>
      <c r="G309" s="5">
        <v>3000000</v>
      </c>
      <c r="H309" s="5">
        <v>3310000</v>
      </c>
      <c r="I309" s="5">
        <v>3610000</v>
      </c>
      <c r="J309" s="5">
        <v>33600000</v>
      </c>
      <c r="K309" s="5">
        <v>36600000</v>
      </c>
      <c r="L309" s="3">
        <v>0.97916666666666663</v>
      </c>
    </row>
    <row r="310" spans="1:12" x14ac:dyDescent="0.25">
      <c r="A310" t="s">
        <v>208</v>
      </c>
      <c r="B310" s="2">
        <v>42822</v>
      </c>
      <c r="C310" t="s">
        <v>18</v>
      </c>
      <c r="D310" t="s">
        <v>1636</v>
      </c>
      <c r="E310" s="5">
        <v>33100000</v>
      </c>
      <c r="F310" s="5">
        <v>36100000</v>
      </c>
      <c r="G310" s="5">
        <v>3000000</v>
      </c>
      <c r="H310" s="5">
        <v>3310000</v>
      </c>
      <c r="I310" s="5">
        <v>3610000</v>
      </c>
      <c r="J310" s="5">
        <v>33600000</v>
      </c>
      <c r="K310" s="5">
        <v>36600000</v>
      </c>
      <c r="L310" s="3">
        <v>0.97916666666666663</v>
      </c>
    </row>
    <row r="311" spans="1:12" x14ac:dyDescent="0.25">
      <c r="A311" t="s">
        <v>209</v>
      </c>
      <c r="B311" s="2">
        <v>42823</v>
      </c>
      <c r="C311" t="s">
        <v>19</v>
      </c>
      <c r="D311" t="s">
        <v>1636</v>
      </c>
      <c r="E311" s="5">
        <v>33000000</v>
      </c>
      <c r="F311" s="5">
        <v>36000000</v>
      </c>
      <c r="G311" s="5">
        <v>3000000</v>
      </c>
      <c r="H311" s="5">
        <v>3300000</v>
      </c>
      <c r="I311" s="5">
        <v>3600000</v>
      </c>
      <c r="J311" s="5">
        <v>33500000</v>
      </c>
      <c r="K311" s="5">
        <v>36500000</v>
      </c>
      <c r="L311" s="3">
        <v>0.97916666666666663</v>
      </c>
    </row>
    <row r="312" spans="1:12" x14ac:dyDescent="0.25">
      <c r="A312" t="s">
        <v>210</v>
      </c>
      <c r="B312" s="2">
        <v>42824</v>
      </c>
      <c r="C312" t="s">
        <v>20</v>
      </c>
      <c r="D312" t="s">
        <v>1636</v>
      </c>
      <c r="E312" s="5">
        <v>32800000</v>
      </c>
      <c r="F312" s="5">
        <v>35800000</v>
      </c>
      <c r="G312" s="5">
        <v>3000000</v>
      </c>
      <c r="H312" s="5">
        <v>3280000</v>
      </c>
      <c r="I312" s="5">
        <v>3580000</v>
      </c>
      <c r="J312" s="5">
        <v>33300000</v>
      </c>
      <c r="K312" s="5">
        <v>36300000</v>
      </c>
      <c r="L312" s="3">
        <v>0.97916666666666663</v>
      </c>
    </row>
    <row r="313" spans="1:12" x14ac:dyDescent="0.25">
      <c r="A313" t="s">
        <v>211</v>
      </c>
      <c r="B313" s="2">
        <v>42825</v>
      </c>
      <c r="C313" t="s">
        <v>21</v>
      </c>
      <c r="D313" t="s">
        <v>1636</v>
      </c>
      <c r="E313" s="5">
        <v>32800000</v>
      </c>
      <c r="F313" s="5">
        <v>35800000</v>
      </c>
      <c r="G313" s="5">
        <v>3000000</v>
      </c>
      <c r="H313" s="5">
        <v>3280000</v>
      </c>
      <c r="I313" s="5">
        <v>3580000</v>
      </c>
      <c r="J313" s="5">
        <v>33300000</v>
      </c>
      <c r="K313" s="5">
        <v>36300000</v>
      </c>
      <c r="L313" s="3">
        <v>0.97916666666666663</v>
      </c>
    </row>
    <row r="314" spans="1:12" x14ac:dyDescent="0.25">
      <c r="A314" s="2">
        <v>42798</v>
      </c>
      <c r="B314" s="2">
        <v>42828</v>
      </c>
      <c r="C314" t="s">
        <v>16</v>
      </c>
      <c r="D314" t="s">
        <v>1636</v>
      </c>
      <c r="E314" s="5">
        <v>32900000</v>
      </c>
      <c r="F314" s="5">
        <v>35900000</v>
      </c>
      <c r="G314" s="5">
        <v>3000000</v>
      </c>
      <c r="H314" s="5">
        <v>3290000</v>
      </c>
      <c r="I314" s="5">
        <v>3590000</v>
      </c>
      <c r="J314" s="5">
        <v>33400000</v>
      </c>
      <c r="K314" s="5">
        <v>36400000</v>
      </c>
      <c r="L314" s="3">
        <v>0.97916666666666663</v>
      </c>
    </row>
    <row r="315" spans="1:12" x14ac:dyDescent="0.25">
      <c r="A315" s="2">
        <v>42829</v>
      </c>
      <c r="B315" s="2">
        <v>42829</v>
      </c>
      <c r="C315" t="s">
        <v>18</v>
      </c>
      <c r="D315" t="s">
        <v>1636</v>
      </c>
      <c r="E315" s="5">
        <v>33100000</v>
      </c>
      <c r="F315" s="5">
        <v>36100000</v>
      </c>
      <c r="G315" s="5">
        <v>3000000</v>
      </c>
      <c r="H315" s="5">
        <v>3310000</v>
      </c>
      <c r="I315" s="5">
        <v>3610000</v>
      </c>
      <c r="J315" s="5">
        <v>33600000</v>
      </c>
      <c r="K315" s="5">
        <v>36600000</v>
      </c>
      <c r="L315" s="3">
        <v>0.97916666666666663</v>
      </c>
    </row>
    <row r="316" spans="1:12" x14ac:dyDescent="0.25">
      <c r="A316" s="2">
        <v>42859</v>
      </c>
      <c r="B316" s="2">
        <v>42830</v>
      </c>
      <c r="C316" t="s">
        <v>19</v>
      </c>
      <c r="D316" t="s">
        <v>1636</v>
      </c>
      <c r="E316" s="5">
        <v>32800000</v>
      </c>
      <c r="F316" s="5">
        <v>35800000</v>
      </c>
      <c r="G316" s="5">
        <v>3000000</v>
      </c>
      <c r="H316" s="5">
        <v>3280000</v>
      </c>
      <c r="I316" s="5">
        <v>3580000</v>
      </c>
      <c r="J316" s="5">
        <v>33300000</v>
      </c>
      <c r="K316" s="5">
        <v>36300000</v>
      </c>
      <c r="L316" s="3">
        <v>0.97916666666666663</v>
      </c>
    </row>
    <row r="317" spans="1:12" x14ac:dyDescent="0.25">
      <c r="A317" s="2">
        <v>42890</v>
      </c>
      <c r="B317" s="2">
        <v>42831</v>
      </c>
      <c r="C317" t="s">
        <v>20</v>
      </c>
      <c r="D317" t="s">
        <v>1636</v>
      </c>
      <c r="E317" s="5">
        <v>32900000</v>
      </c>
      <c r="F317" s="5">
        <v>35900000</v>
      </c>
      <c r="G317" s="5">
        <v>3000000</v>
      </c>
      <c r="H317" s="5">
        <v>3290000</v>
      </c>
      <c r="I317" s="5">
        <v>3590000</v>
      </c>
      <c r="J317" s="5">
        <v>33400000</v>
      </c>
      <c r="K317" s="5">
        <v>36400000</v>
      </c>
      <c r="L317" s="3">
        <v>0.97916666666666663</v>
      </c>
    </row>
    <row r="318" spans="1:12" x14ac:dyDescent="0.25">
      <c r="A318" s="2">
        <v>42920</v>
      </c>
      <c r="B318" s="2">
        <v>42832</v>
      </c>
      <c r="C318" t="s">
        <v>21</v>
      </c>
      <c r="D318" t="s">
        <v>1636</v>
      </c>
      <c r="E318" s="5">
        <v>33000000</v>
      </c>
      <c r="F318" s="5">
        <v>36000000</v>
      </c>
      <c r="G318" s="5">
        <v>3000000</v>
      </c>
      <c r="H318" s="5">
        <v>3300000</v>
      </c>
      <c r="I318" s="5">
        <v>3600000</v>
      </c>
      <c r="J318" s="5">
        <v>33500000</v>
      </c>
      <c r="K318" s="5">
        <v>36500000</v>
      </c>
      <c r="L318" s="3">
        <v>0.97916666666666663</v>
      </c>
    </row>
    <row r="319" spans="1:12" x14ac:dyDescent="0.25">
      <c r="A319" s="2">
        <v>43012</v>
      </c>
      <c r="B319" s="2">
        <v>42835</v>
      </c>
      <c r="C319" t="s">
        <v>16</v>
      </c>
      <c r="D319" t="s">
        <v>1636</v>
      </c>
      <c r="E319" s="5">
        <v>33000000</v>
      </c>
      <c r="F319" s="5">
        <v>36000000</v>
      </c>
      <c r="G319" s="5">
        <v>3000000</v>
      </c>
      <c r="H319" s="5">
        <v>3300000</v>
      </c>
      <c r="I319" s="5">
        <v>3600000</v>
      </c>
      <c r="J319" s="5">
        <v>33500000</v>
      </c>
      <c r="K319" s="5">
        <v>36500000</v>
      </c>
      <c r="L319" s="3">
        <v>0.97916666666666663</v>
      </c>
    </row>
    <row r="320" spans="1:12" x14ac:dyDescent="0.25">
      <c r="A320" s="2">
        <v>43043</v>
      </c>
      <c r="B320" s="2">
        <v>42836</v>
      </c>
      <c r="C320" t="s">
        <v>18</v>
      </c>
      <c r="D320" t="s">
        <v>1636</v>
      </c>
      <c r="E320" s="5">
        <v>33500000</v>
      </c>
      <c r="F320" s="5">
        <v>36500000</v>
      </c>
      <c r="G320" s="5">
        <v>3000000</v>
      </c>
      <c r="H320" s="5">
        <v>3350000</v>
      </c>
      <c r="I320" s="5">
        <v>3650000</v>
      </c>
      <c r="J320" s="5">
        <v>34000000</v>
      </c>
      <c r="K320" s="5">
        <v>37000000</v>
      </c>
      <c r="L320" s="3">
        <v>0.97916666666666663</v>
      </c>
    </row>
    <row r="321" spans="1:12" x14ac:dyDescent="0.25">
      <c r="A321" s="2">
        <v>43073</v>
      </c>
      <c r="B321" s="2">
        <v>42837</v>
      </c>
      <c r="C321" t="s">
        <v>19</v>
      </c>
      <c r="D321" t="s">
        <v>1636</v>
      </c>
      <c r="E321" s="5">
        <v>33600000</v>
      </c>
      <c r="F321" s="5">
        <v>36600000</v>
      </c>
      <c r="G321" s="5">
        <v>3000000</v>
      </c>
      <c r="H321" s="5">
        <v>3360000</v>
      </c>
      <c r="I321" s="5">
        <v>3660000</v>
      </c>
      <c r="J321" s="5">
        <v>34100000</v>
      </c>
      <c r="K321" s="5">
        <v>37100000</v>
      </c>
      <c r="L321" s="3">
        <v>0.97916666666666663</v>
      </c>
    </row>
    <row r="322" spans="1:12" x14ac:dyDescent="0.25">
      <c r="A322" t="s">
        <v>212</v>
      </c>
      <c r="B322" s="2">
        <v>42838</v>
      </c>
      <c r="C322" t="s">
        <v>20</v>
      </c>
      <c r="D322" t="s">
        <v>1636</v>
      </c>
      <c r="E322" s="5">
        <v>34000000</v>
      </c>
      <c r="F322" s="5">
        <v>37000000</v>
      </c>
      <c r="G322" s="5">
        <v>3000000</v>
      </c>
      <c r="H322" s="5">
        <v>3400000</v>
      </c>
      <c r="I322" s="5">
        <v>3700000</v>
      </c>
      <c r="J322" s="5">
        <v>34500000</v>
      </c>
      <c r="K322" s="5">
        <v>37500000</v>
      </c>
      <c r="L322" s="3">
        <v>0.97916666666666663</v>
      </c>
    </row>
    <row r="323" spans="1:12" x14ac:dyDescent="0.25">
      <c r="A323" t="s">
        <v>213</v>
      </c>
      <c r="B323" s="2">
        <v>42842</v>
      </c>
      <c r="C323" t="s">
        <v>16</v>
      </c>
      <c r="D323" t="s">
        <v>1636</v>
      </c>
      <c r="E323" s="5">
        <v>34100000</v>
      </c>
      <c r="F323" s="5">
        <v>37100000</v>
      </c>
      <c r="G323" s="5">
        <v>3000000</v>
      </c>
      <c r="H323" s="5">
        <v>3410000</v>
      </c>
      <c r="I323" s="5">
        <v>3710000</v>
      </c>
      <c r="J323" s="5">
        <v>34600000</v>
      </c>
      <c r="K323" s="5">
        <v>37600000</v>
      </c>
      <c r="L323" s="3">
        <v>0.97916666666666663</v>
      </c>
    </row>
    <row r="324" spans="1:12" x14ac:dyDescent="0.25">
      <c r="A324" t="s">
        <v>214</v>
      </c>
      <c r="B324" s="2">
        <v>42843</v>
      </c>
      <c r="C324" t="s">
        <v>18</v>
      </c>
      <c r="D324" t="s">
        <v>1636</v>
      </c>
      <c r="E324" s="5">
        <v>34100000</v>
      </c>
      <c r="F324" s="5">
        <v>37100000</v>
      </c>
      <c r="G324" s="5">
        <v>3000000</v>
      </c>
      <c r="H324" s="5">
        <v>3410000</v>
      </c>
      <c r="I324" s="5">
        <v>3710000</v>
      </c>
      <c r="J324" s="5">
        <v>34600000</v>
      </c>
      <c r="K324" s="5">
        <v>37600000</v>
      </c>
      <c r="L324" s="3">
        <v>0.97916666666666663</v>
      </c>
    </row>
    <row r="325" spans="1:12" x14ac:dyDescent="0.25">
      <c r="A325" t="s">
        <v>215</v>
      </c>
      <c r="B325" s="2">
        <v>42844</v>
      </c>
      <c r="C325" t="s">
        <v>19</v>
      </c>
      <c r="D325" t="s">
        <v>1636</v>
      </c>
      <c r="E325" s="5">
        <v>33800000</v>
      </c>
      <c r="F325" s="5">
        <v>36800000</v>
      </c>
      <c r="G325" s="5">
        <v>3000000</v>
      </c>
      <c r="H325" s="5">
        <v>3380000</v>
      </c>
      <c r="I325" s="5">
        <v>3680000</v>
      </c>
      <c r="J325" s="5">
        <v>34300000</v>
      </c>
      <c r="K325" s="5">
        <v>37300000</v>
      </c>
      <c r="L325" s="3">
        <v>0.97916666666666663</v>
      </c>
    </row>
    <row r="326" spans="1:12" x14ac:dyDescent="0.25">
      <c r="A326" t="s">
        <v>216</v>
      </c>
      <c r="B326" s="2">
        <v>42845</v>
      </c>
      <c r="C326" t="s">
        <v>20</v>
      </c>
      <c r="D326" t="s">
        <v>1636</v>
      </c>
      <c r="E326" s="5">
        <v>33800000</v>
      </c>
      <c r="F326" s="5">
        <v>36800000</v>
      </c>
      <c r="G326" s="5">
        <v>3000000</v>
      </c>
      <c r="H326" s="5">
        <v>3380000</v>
      </c>
      <c r="I326" s="5">
        <v>3680000</v>
      </c>
      <c r="J326" s="5">
        <v>34300000</v>
      </c>
      <c r="K326" s="5">
        <v>37300000</v>
      </c>
      <c r="L326" s="3">
        <v>0.97916666666666663</v>
      </c>
    </row>
    <row r="327" spans="1:12" x14ac:dyDescent="0.25">
      <c r="A327" t="s">
        <v>217</v>
      </c>
      <c r="B327" s="2">
        <v>42846</v>
      </c>
      <c r="C327" t="s">
        <v>21</v>
      </c>
      <c r="D327" t="s">
        <v>1636</v>
      </c>
      <c r="E327" s="5">
        <v>34000000</v>
      </c>
      <c r="F327" s="5">
        <v>37000000</v>
      </c>
      <c r="G327" s="5">
        <v>3000000</v>
      </c>
      <c r="H327" s="5">
        <v>3400000</v>
      </c>
      <c r="I327" s="5">
        <v>3700000</v>
      </c>
      <c r="J327" s="5">
        <v>34500000</v>
      </c>
      <c r="K327" s="5">
        <v>37500000</v>
      </c>
      <c r="L327" s="3">
        <v>0.97916666666666663</v>
      </c>
    </row>
    <row r="328" spans="1:12" x14ac:dyDescent="0.25">
      <c r="A328" t="s">
        <v>218</v>
      </c>
      <c r="B328" s="2">
        <v>42849</v>
      </c>
      <c r="C328" t="s">
        <v>16</v>
      </c>
      <c r="D328" t="s">
        <v>1636</v>
      </c>
      <c r="E328" s="5">
        <v>33700000</v>
      </c>
      <c r="F328" s="5">
        <v>36700000</v>
      </c>
      <c r="G328" s="5">
        <v>3000000</v>
      </c>
      <c r="H328" s="5">
        <v>3370000</v>
      </c>
      <c r="I328" s="5">
        <v>3670000</v>
      </c>
      <c r="J328" s="5">
        <v>34200000</v>
      </c>
      <c r="K328" s="5">
        <v>37200000</v>
      </c>
      <c r="L328" s="3">
        <v>0.97916666666666663</v>
      </c>
    </row>
    <row r="329" spans="1:12" x14ac:dyDescent="0.25">
      <c r="A329" t="s">
        <v>219</v>
      </c>
      <c r="B329" s="2">
        <v>42850</v>
      </c>
      <c r="C329" t="s">
        <v>18</v>
      </c>
      <c r="D329" t="s">
        <v>1636</v>
      </c>
      <c r="E329" s="5">
        <v>33400000</v>
      </c>
      <c r="F329" s="5">
        <v>36400000</v>
      </c>
      <c r="G329" s="5">
        <v>3000000</v>
      </c>
      <c r="H329" s="5">
        <v>3340000</v>
      </c>
      <c r="I329" s="5">
        <v>3640000</v>
      </c>
      <c r="J329" s="5">
        <v>33900000</v>
      </c>
      <c r="K329" s="5">
        <v>36900000</v>
      </c>
      <c r="L329" s="3">
        <v>0.97916666666666663</v>
      </c>
    </row>
    <row r="330" spans="1:12" x14ac:dyDescent="0.25">
      <c r="A330" t="s">
        <v>220</v>
      </c>
      <c r="B330" s="2">
        <v>42851</v>
      </c>
      <c r="C330" t="s">
        <v>19</v>
      </c>
      <c r="D330" t="s">
        <v>1636</v>
      </c>
      <c r="E330" s="5">
        <v>33300000</v>
      </c>
      <c r="F330" s="5">
        <v>36300000</v>
      </c>
      <c r="G330" s="5">
        <v>3000000</v>
      </c>
      <c r="H330" s="5">
        <v>3330000</v>
      </c>
      <c r="I330" s="5">
        <v>3630000</v>
      </c>
      <c r="J330" s="5">
        <v>33800000</v>
      </c>
      <c r="K330" s="5">
        <v>36800000</v>
      </c>
      <c r="L330" s="3">
        <v>0.97916666666666663</v>
      </c>
    </row>
    <row r="331" spans="1:12" x14ac:dyDescent="0.25">
      <c r="A331" t="s">
        <v>221</v>
      </c>
      <c r="B331" s="2">
        <v>42852</v>
      </c>
      <c r="C331" t="s">
        <v>20</v>
      </c>
      <c r="D331" t="s">
        <v>1636</v>
      </c>
      <c r="E331" s="5">
        <v>33300000</v>
      </c>
      <c r="F331" s="5">
        <v>36300000</v>
      </c>
      <c r="G331" s="5">
        <v>3000000</v>
      </c>
      <c r="H331" s="5">
        <v>3330000</v>
      </c>
      <c r="I331" s="5">
        <v>3630000</v>
      </c>
      <c r="J331" s="5">
        <v>33800000</v>
      </c>
      <c r="K331" s="5">
        <v>36800000</v>
      </c>
      <c r="L331" s="3">
        <v>0.97916666666666663</v>
      </c>
    </row>
    <row r="332" spans="1:12" x14ac:dyDescent="0.25">
      <c r="A332" t="s">
        <v>222</v>
      </c>
      <c r="B332" s="2">
        <v>42853</v>
      </c>
      <c r="C332" t="s">
        <v>21</v>
      </c>
      <c r="D332" t="s">
        <v>1636</v>
      </c>
      <c r="E332" s="5">
        <v>33400000</v>
      </c>
      <c r="F332" s="5">
        <v>36400000</v>
      </c>
      <c r="G332" s="5">
        <v>3000000</v>
      </c>
      <c r="H332" s="5">
        <v>3340000</v>
      </c>
      <c r="I332" s="5">
        <v>3640000</v>
      </c>
      <c r="J332" s="5">
        <v>33900000</v>
      </c>
      <c r="K332" s="5">
        <v>36900000</v>
      </c>
      <c r="L332" s="3">
        <v>0.97916666666666663</v>
      </c>
    </row>
    <row r="333" spans="1:12" x14ac:dyDescent="0.25">
      <c r="A333" s="2">
        <v>42740</v>
      </c>
      <c r="B333" s="2">
        <v>42856</v>
      </c>
      <c r="C333" t="s">
        <v>16</v>
      </c>
      <c r="D333" t="s">
        <v>1636</v>
      </c>
      <c r="E333" s="5">
        <v>33000000</v>
      </c>
      <c r="F333" s="5">
        <v>36000000</v>
      </c>
      <c r="G333" s="5">
        <v>3000000</v>
      </c>
      <c r="H333" s="5">
        <v>3300000</v>
      </c>
      <c r="I333" s="5">
        <v>3600000</v>
      </c>
      <c r="J333" s="5">
        <v>33500000</v>
      </c>
      <c r="K333" s="5">
        <v>36500000</v>
      </c>
      <c r="L333" s="3">
        <v>0.97916666666666663</v>
      </c>
    </row>
    <row r="334" spans="1:12" x14ac:dyDescent="0.25">
      <c r="A334" s="2">
        <v>42771</v>
      </c>
      <c r="B334" s="2">
        <v>42857</v>
      </c>
      <c r="C334" t="s">
        <v>18</v>
      </c>
      <c r="D334" t="s">
        <v>1636</v>
      </c>
      <c r="E334" s="5">
        <v>33100000</v>
      </c>
      <c r="F334" s="5">
        <v>36100000</v>
      </c>
      <c r="G334" s="5">
        <v>3000000</v>
      </c>
      <c r="H334" s="5">
        <v>3310000</v>
      </c>
      <c r="I334" s="5">
        <v>3610000</v>
      </c>
      <c r="J334" s="5">
        <v>33600000</v>
      </c>
      <c r="K334" s="5">
        <v>36600000</v>
      </c>
      <c r="L334" s="3">
        <v>0.97916666666666663</v>
      </c>
    </row>
    <row r="335" spans="1:12" x14ac:dyDescent="0.25">
      <c r="A335" s="2">
        <v>42799</v>
      </c>
      <c r="B335" s="2">
        <v>42858</v>
      </c>
      <c r="C335" t="s">
        <v>19</v>
      </c>
      <c r="D335" t="s">
        <v>1636</v>
      </c>
      <c r="E335" s="5">
        <v>32800000</v>
      </c>
      <c r="F335" s="5">
        <v>35800000</v>
      </c>
      <c r="G335" s="5">
        <v>3000000</v>
      </c>
      <c r="H335" s="5">
        <v>3280000</v>
      </c>
      <c r="I335" s="5">
        <v>3580000</v>
      </c>
      <c r="J335" s="5">
        <v>33300000</v>
      </c>
      <c r="K335" s="5">
        <v>36300000</v>
      </c>
      <c r="L335" s="3">
        <v>0.97916666666666663</v>
      </c>
    </row>
    <row r="336" spans="1:12" x14ac:dyDescent="0.25">
      <c r="A336" s="2">
        <v>42830</v>
      </c>
      <c r="B336" s="2">
        <v>42859</v>
      </c>
      <c r="C336" t="s">
        <v>20</v>
      </c>
      <c r="D336" t="s">
        <v>1636</v>
      </c>
      <c r="E336" s="5">
        <v>32200000</v>
      </c>
      <c r="F336" s="5">
        <v>35200000</v>
      </c>
      <c r="G336" s="5">
        <v>3000000</v>
      </c>
      <c r="H336" s="5">
        <v>3220000</v>
      </c>
      <c r="I336" s="5">
        <v>3520000</v>
      </c>
      <c r="J336" s="5">
        <v>32700000</v>
      </c>
      <c r="K336" s="5">
        <v>35700000</v>
      </c>
      <c r="L336" s="3">
        <v>0.97916666666666663</v>
      </c>
    </row>
    <row r="337" spans="1:12" x14ac:dyDescent="0.25">
      <c r="A337" s="2">
        <v>42860</v>
      </c>
      <c r="B337" s="2">
        <v>42860</v>
      </c>
      <c r="C337" t="s">
        <v>21</v>
      </c>
      <c r="D337" t="s">
        <v>1636</v>
      </c>
      <c r="E337" s="5">
        <v>32200000</v>
      </c>
      <c r="F337" s="5">
        <v>35200000</v>
      </c>
      <c r="G337" s="5">
        <v>3000000</v>
      </c>
      <c r="H337" s="5">
        <v>3220000</v>
      </c>
      <c r="I337" s="5">
        <v>3520000</v>
      </c>
      <c r="J337" s="5">
        <v>32700000</v>
      </c>
      <c r="K337" s="5">
        <v>35700000</v>
      </c>
      <c r="L337" s="3">
        <v>0.97916666666666663</v>
      </c>
    </row>
    <row r="338" spans="1:12" x14ac:dyDescent="0.25">
      <c r="A338" s="2">
        <v>42952</v>
      </c>
      <c r="B338" s="2">
        <v>42863</v>
      </c>
      <c r="C338" t="s">
        <v>16</v>
      </c>
      <c r="D338" t="s">
        <v>1636</v>
      </c>
      <c r="E338" s="5">
        <v>32200000</v>
      </c>
      <c r="F338" s="5">
        <v>35200000</v>
      </c>
      <c r="G338" s="5">
        <v>3000000</v>
      </c>
      <c r="H338" s="5">
        <v>3220000</v>
      </c>
      <c r="I338" s="5">
        <v>3520000</v>
      </c>
      <c r="J338" s="5">
        <v>32700000</v>
      </c>
      <c r="K338" s="5">
        <v>35700000</v>
      </c>
      <c r="L338" s="3">
        <v>0.97916666666666663</v>
      </c>
    </row>
    <row r="339" spans="1:12" x14ac:dyDescent="0.25">
      <c r="A339" s="2">
        <v>42983</v>
      </c>
      <c r="B339" s="2">
        <v>42864</v>
      </c>
      <c r="C339" t="s">
        <v>18</v>
      </c>
      <c r="D339" t="s">
        <v>1636</v>
      </c>
      <c r="E339" s="5">
        <v>31900000</v>
      </c>
      <c r="F339" s="5">
        <v>34900000</v>
      </c>
      <c r="G339" s="5">
        <v>3000000</v>
      </c>
      <c r="H339" s="5">
        <v>3190000</v>
      </c>
      <c r="I339" s="5">
        <v>3490000</v>
      </c>
      <c r="J339" s="5">
        <v>32400000</v>
      </c>
      <c r="K339" s="5">
        <v>35400000</v>
      </c>
      <c r="L339" s="3">
        <v>0.97916666666666663</v>
      </c>
    </row>
    <row r="340" spans="1:12" x14ac:dyDescent="0.25">
      <c r="A340" s="2">
        <v>43013</v>
      </c>
      <c r="B340" s="2">
        <v>42865</v>
      </c>
      <c r="C340" t="s">
        <v>19</v>
      </c>
      <c r="D340" t="s">
        <v>1636</v>
      </c>
      <c r="E340" s="5">
        <v>32000000</v>
      </c>
      <c r="F340" s="5">
        <v>35000000</v>
      </c>
      <c r="G340" s="5">
        <v>3000000</v>
      </c>
      <c r="H340" s="5">
        <v>3200000</v>
      </c>
      <c r="I340" s="5">
        <v>3500000</v>
      </c>
      <c r="J340" s="5">
        <v>32500000</v>
      </c>
      <c r="K340" s="5">
        <v>35500000</v>
      </c>
      <c r="L340" s="3">
        <v>0.97916666666666663</v>
      </c>
    </row>
    <row r="341" spans="1:12" x14ac:dyDescent="0.25">
      <c r="A341" s="2">
        <v>43044</v>
      </c>
      <c r="B341" s="2">
        <v>42866</v>
      </c>
      <c r="C341" t="s">
        <v>20</v>
      </c>
      <c r="D341" t="s">
        <v>1636</v>
      </c>
      <c r="E341" s="5">
        <v>32100000</v>
      </c>
      <c r="F341" s="5">
        <v>35100000</v>
      </c>
      <c r="G341" s="5">
        <v>3000000</v>
      </c>
      <c r="H341" s="5">
        <v>3210000</v>
      </c>
      <c r="I341" s="5">
        <v>3510000</v>
      </c>
      <c r="J341" s="5">
        <v>32600000</v>
      </c>
      <c r="K341" s="5">
        <v>35600000</v>
      </c>
      <c r="L341" s="3">
        <v>0.97916666666666663</v>
      </c>
    </row>
    <row r="342" spans="1:12" x14ac:dyDescent="0.25">
      <c r="A342" s="2">
        <v>43074</v>
      </c>
      <c r="B342" s="2">
        <v>42867</v>
      </c>
      <c r="C342" t="s">
        <v>21</v>
      </c>
      <c r="D342" t="s">
        <v>1636</v>
      </c>
      <c r="E342" s="5">
        <v>32200000</v>
      </c>
      <c r="F342" s="5">
        <v>35200000</v>
      </c>
      <c r="G342" s="5">
        <v>3000000</v>
      </c>
      <c r="H342" s="5">
        <v>3220000</v>
      </c>
      <c r="I342" s="5">
        <v>3520000</v>
      </c>
      <c r="J342" s="5">
        <v>32700000</v>
      </c>
      <c r="K342" s="5">
        <v>35700000</v>
      </c>
      <c r="L342" s="3">
        <v>0.97916666666666663</v>
      </c>
    </row>
    <row r="343" spans="1:12" x14ac:dyDescent="0.25">
      <c r="A343" t="s">
        <v>223</v>
      </c>
      <c r="B343" s="2">
        <v>42870</v>
      </c>
      <c r="C343" t="s">
        <v>16</v>
      </c>
      <c r="D343" t="s">
        <v>1636</v>
      </c>
      <c r="E343" s="5">
        <v>32300000</v>
      </c>
      <c r="F343" s="5">
        <v>35300000</v>
      </c>
      <c r="G343" s="5">
        <v>3000000</v>
      </c>
      <c r="H343" s="5">
        <v>3230000</v>
      </c>
      <c r="I343" s="5">
        <v>3530000</v>
      </c>
      <c r="J343" s="5">
        <v>32800000</v>
      </c>
      <c r="K343" s="5">
        <v>35800000</v>
      </c>
      <c r="L343" s="3">
        <v>0.97916666666666663</v>
      </c>
    </row>
    <row r="344" spans="1:12" x14ac:dyDescent="0.25">
      <c r="A344" t="s">
        <v>224</v>
      </c>
      <c r="B344" s="2">
        <v>42871</v>
      </c>
      <c r="C344" t="s">
        <v>18</v>
      </c>
      <c r="D344" t="s">
        <v>1636</v>
      </c>
      <c r="E344" s="5">
        <v>32500000</v>
      </c>
      <c r="F344" s="5">
        <v>35500000</v>
      </c>
      <c r="G344" s="5">
        <v>3000000</v>
      </c>
      <c r="H344" s="5">
        <v>3250000</v>
      </c>
      <c r="I344" s="5">
        <v>3550000</v>
      </c>
      <c r="J344" s="5">
        <v>33000000</v>
      </c>
      <c r="K344" s="5">
        <v>36000000</v>
      </c>
      <c r="L344" s="3">
        <v>0.97916666666666663</v>
      </c>
    </row>
    <row r="345" spans="1:12" x14ac:dyDescent="0.25">
      <c r="A345" t="s">
        <v>225</v>
      </c>
      <c r="B345" s="2">
        <v>42872</v>
      </c>
      <c r="C345" t="s">
        <v>19</v>
      </c>
      <c r="D345" t="s">
        <v>1636</v>
      </c>
      <c r="E345" s="5">
        <v>33100000</v>
      </c>
      <c r="F345" s="5">
        <v>36100000</v>
      </c>
      <c r="G345" s="5">
        <v>3000000</v>
      </c>
      <c r="H345" s="5">
        <v>3310000</v>
      </c>
      <c r="I345" s="5">
        <v>3610000</v>
      </c>
      <c r="J345" s="5">
        <v>33600000</v>
      </c>
      <c r="K345" s="5">
        <v>36600000</v>
      </c>
      <c r="L345" s="3">
        <v>0.97916666666666663</v>
      </c>
    </row>
    <row r="346" spans="1:12" x14ac:dyDescent="0.25">
      <c r="A346" t="s">
        <v>226</v>
      </c>
      <c r="B346" s="2">
        <v>42873</v>
      </c>
      <c r="C346" t="s">
        <v>20</v>
      </c>
      <c r="D346" t="s">
        <v>1636</v>
      </c>
      <c r="E346" s="5">
        <v>33000000</v>
      </c>
      <c r="F346" s="5">
        <v>36000000</v>
      </c>
      <c r="G346" s="5">
        <v>3000000</v>
      </c>
      <c r="H346" s="5">
        <v>3300000</v>
      </c>
      <c r="I346" s="5">
        <v>3600000</v>
      </c>
      <c r="J346" s="5">
        <v>33500000</v>
      </c>
      <c r="K346" s="5">
        <v>36500000</v>
      </c>
      <c r="L346" s="3">
        <v>0.97916666666666663</v>
      </c>
    </row>
    <row r="347" spans="1:12" x14ac:dyDescent="0.25">
      <c r="A347" t="s">
        <v>227</v>
      </c>
      <c r="B347" s="2">
        <v>42874</v>
      </c>
      <c r="C347" t="s">
        <v>21</v>
      </c>
      <c r="D347" t="s">
        <v>1636</v>
      </c>
      <c r="E347" s="5">
        <v>33000000</v>
      </c>
      <c r="F347" s="5">
        <v>36000000</v>
      </c>
      <c r="G347" s="5">
        <v>3000000</v>
      </c>
      <c r="H347" s="5">
        <v>3300000</v>
      </c>
      <c r="I347" s="5">
        <v>3600000</v>
      </c>
      <c r="J347" s="5">
        <v>33500000</v>
      </c>
      <c r="K347" s="5">
        <v>36500000</v>
      </c>
      <c r="L347" s="3">
        <v>0.97916666666666663</v>
      </c>
    </row>
    <row r="348" spans="1:12" x14ac:dyDescent="0.25">
      <c r="A348" t="s">
        <v>228</v>
      </c>
      <c r="B348" s="2">
        <v>42877</v>
      </c>
      <c r="C348" t="s">
        <v>16</v>
      </c>
      <c r="D348" t="s">
        <v>1636</v>
      </c>
      <c r="E348" s="5">
        <v>33200000</v>
      </c>
      <c r="F348" s="5">
        <v>36200000</v>
      </c>
      <c r="G348" s="5">
        <v>3000000</v>
      </c>
      <c r="H348" s="5">
        <v>3320000</v>
      </c>
      <c r="I348" s="5">
        <v>3620000</v>
      </c>
      <c r="J348" s="5">
        <v>33700000</v>
      </c>
      <c r="K348" s="5">
        <v>36700000</v>
      </c>
      <c r="L348" s="3">
        <v>0.97916666666666663</v>
      </c>
    </row>
    <row r="349" spans="1:12" x14ac:dyDescent="0.25">
      <c r="A349" t="s">
        <v>229</v>
      </c>
      <c r="B349" s="2">
        <v>42878</v>
      </c>
      <c r="C349" t="s">
        <v>18</v>
      </c>
      <c r="D349" t="s">
        <v>1636</v>
      </c>
      <c r="E349" s="5">
        <v>33100000</v>
      </c>
      <c r="F349" s="5">
        <v>36100000</v>
      </c>
      <c r="G349" s="5">
        <v>3000000</v>
      </c>
      <c r="H349" s="5">
        <v>3310000</v>
      </c>
      <c r="I349" s="5">
        <v>3610000</v>
      </c>
      <c r="J349" s="5">
        <v>33600000</v>
      </c>
      <c r="K349" s="5">
        <v>36600000</v>
      </c>
      <c r="L349" s="3">
        <v>0.97916666666666663</v>
      </c>
    </row>
    <row r="350" spans="1:12" x14ac:dyDescent="0.25">
      <c r="A350" t="s">
        <v>230</v>
      </c>
      <c r="B350" s="2">
        <v>42879</v>
      </c>
      <c r="C350" t="s">
        <v>19</v>
      </c>
      <c r="D350" t="s">
        <v>1636</v>
      </c>
      <c r="E350" s="5">
        <v>33000000</v>
      </c>
      <c r="F350" s="5">
        <v>36000000</v>
      </c>
      <c r="G350" s="5">
        <v>3000000</v>
      </c>
      <c r="H350" s="5">
        <v>3300000</v>
      </c>
      <c r="I350" s="5">
        <v>3600000</v>
      </c>
      <c r="J350" s="5">
        <v>33500000</v>
      </c>
      <c r="K350" s="5">
        <v>36500000</v>
      </c>
      <c r="L350" s="3">
        <v>0.97916666666666663</v>
      </c>
    </row>
    <row r="351" spans="1:12" x14ac:dyDescent="0.25">
      <c r="A351" t="s">
        <v>231</v>
      </c>
      <c r="B351" s="2">
        <v>42880</v>
      </c>
      <c r="C351" t="s">
        <v>20</v>
      </c>
      <c r="D351" t="s">
        <v>1636</v>
      </c>
      <c r="E351" s="5">
        <v>33100000</v>
      </c>
      <c r="F351" s="5">
        <v>36100000</v>
      </c>
      <c r="G351" s="5">
        <v>3000000</v>
      </c>
      <c r="H351" s="5">
        <v>3310000</v>
      </c>
      <c r="I351" s="5">
        <v>3610000</v>
      </c>
      <c r="J351" s="5">
        <v>33600000</v>
      </c>
      <c r="K351" s="5">
        <v>36600000</v>
      </c>
      <c r="L351" s="3">
        <v>0.97916666666666663</v>
      </c>
    </row>
    <row r="352" spans="1:12" x14ac:dyDescent="0.25">
      <c r="A352" t="s">
        <v>232</v>
      </c>
      <c r="B352" s="2">
        <v>42881</v>
      </c>
      <c r="C352" t="s">
        <v>21</v>
      </c>
      <c r="D352" t="s">
        <v>1636</v>
      </c>
      <c r="E352" s="5">
        <v>33400000</v>
      </c>
      <c r="F352" s="5">
        <v>36400000</v>
      </c>
      <c r="G352" s="5">
        <v>3000000</v>
      </c>
      <c r="H352" s="5">
        <v>3340000</v>
      </c>
      <c r="I352" s="5">
        <v>3640000</v>
      </c>
      <c r="J352" s="5">
        <v>33900000</v>
      </c>
      <c r="K352" s="5">
        <v>36900000</v>
      </c>
      <c r="L352" s="3">
        <v>0.97916666666666663</v>
      </c>
    </row>
    <row r="353" spans="1:12" x14ac:dyDescent="0.25">
      <c r="A353" t="s">
        <v>233</v>
      </c>
      <c r="B353" s="2">
        <v>42885</v>
      </c>
      <c r="C353" t="s">
        <v>18</v>
      </c>
      <c r="D353" t="s">
        <v>1636</v>
      </c>
      <c r="E353" s="5">
        <v>33300000</v>
      </c>
      <c r="F353" s="5">
        <v>36300000</v>
      </c>
      <c r="G353" s="5">
        <v>3000000</v>
      </c>
      <c r="H353" s="5">
        <v>3330000</v>
      </c>
      <c r="I353" s="5">
        <v>3630000</v>
      </c>
      <c r="J353" s="5">
        <v>33800000</v>
      </c>
      <c r="K353" s="5">
        <v>36800000</v>
      </c>
      <c r="L353" s="3">
        <v>0.97916666666666663</v>
      </c>
    </row>
    <row r="354" spans="1:12" x14ac:dyDescent="0.25">
      <c r="A354" t="s">
        <v>234</v>
      </c>
      <c r="B354" s="2">
        <v>42886</v>
      </c>
      <c r="C354" t="s">
        <v>19</v>
      </c>
      <c r="D354" t="s">
        <v>1636</v>
      </c>
      <c r="E354" s="5">
        <v>33600000</v>
      </c>
      <c r="F354" s="5">
        <v>36600000</v>
      </c>
      <c r="G354" s="5">
        <v>3000000</v>
      </c>
      <c r="H354" s="5">
        <v>3360000</v>
      </c>
      <c r="I354" s="5">
        <v>3660000</v>
      </c>
      <c r="J354" s="5">
        <v>34100000</v>
      </c>
      <c r="K354" s="5">
        <v>37100000</v>
      </c>
      <c r="L354" s="3">
        <v>0.97916666666666663</v>
      </c>
    </row>
    <row r="355" spans="1:12" x14ac:dyDescent="0.25">
      <c r="A355" s="2">
        <v>42741</v>
      </c>
      <c r="B355" s="2">
        <v>42887</v>
      </c>
      <c r="C355" t="s">
        <v>20</v>
      </c>
      <c r="D355" t="s">
        <v>1636</v>
      </c>
      <c r="E355" s="5">
        <v>33400000</v>
      </c>
      <c r="F355" s="5">
        <v>36400000</v>
      </c>
      <c r="G355" s="5">
        <v>3000000</v>
      </c>
      <c r="H355" s="5">
        <v>3340000</v>
      </c>
      <c r="I355" s="5">
        <v>3640000</v>
      </c>
      <c r="J355" s="5">
        <v>33900000</v>
      </c>
      <c r="K355" s="5">
        <v>36900000</v>
      </c>
      <c r="L355" s="3">
        <v>0.97916666666666663</v>
      </c>
    </row>
    <row r="356" spans="1:12" x14ac:dyDescent="0.25">
      <c r="A356" s="2">
        <v>42772</v>
      </c>
      <c r="B356" s="2">
        <v>42888</v>
      </c>
      <c r="C356" t="s">
        <v>21</v>
      </c>
      <c r="D356" t="s">
        <v>1636</v>
      </c>
      <c r="E356" s="5">
        <v>33700000</v>
      </c>
      <c r="F356" s="5">
        <v>36700000</v>
      </c>
      <c r="G356" s="5">
        <v>3000000</v>
      </c>
      <c r="H356" s="5">
        <v>3370000</v>
      </c>
      <c r="I356" s="5">
        <v>3670000</v>
      </c>
      <c r="J356" s="5">
        <v>34200000</v>
      </c>
      <c r="K356" s="5">
        <v>37200000</v>
      </c>
      <c r="L356" s="3">
        <v>0.97916666666666663</v>
      </c>
    </row>
    <row r="357" spans="1:12" x14ac:dyDescent="0.25">
      <c r="A357" s="2">
        <v>42861</v>
      </c>
      <c r="B357" s="2">
        <v>42891</v>
      </c>
      <c r="C357" t="s">
        <v>16</v>
      </c>
      <c r="D357" t="s">
        <v>1636</v>
      </c>
      <c r="E357" s="5">
        <v>33800000</v>
      </c>
      <c r="F357" s="5">
        <v>36800000</v>
      </c>
      <c r="G357" s="5">
        <v>3000000</v>
      </c>
      <c r="H357" s="5">
        <v>3380000</v>
      </c>
      <c r="I357" s="5">
        <v>3680000</v>
      </c>
      <c r="J357" s="5">
        <v>34300000</v>
      </c>
      <c r="K357" s="5">
        <v>37300000</v>
      </c>
      <c r="L357" s="3">
        <v>0.97916666666666663</v>
      </c>
    </row>
    <row r="358" spans="1:12" x14ac:dyDescent="0.25">
      <c r="A358" s="2">
        <v>42892</v>
      </c>
      <c r="B358" s="2">
        <v>42892</v>
      </c>
      <c r="C358" t="s">
        <v>18</v>
      </c>
      <c r="D358" t="s">
        <v>1636</v>
      </c>
      <c r="E358" s="5">
        <v>34200000</v>
      </c>
      <c r="F358" s="5">
        <v>37200000</v>
      </c>
      <c r="G358" s="5">
        <v>3000000</v>
      </c>
      <c r="H358" s="5">
        <v>3420000</v>
      </c>
      <c r="I358" s="5">
        <v>3720000</v>
      </c>
      <c r="J358" s="5">
        <v>34700000</v>
      </c>
      <c r="K358" s="5">
        <v>37700000</v>
      </c>
      <c r="L358" s="3">
        <v>0.97916666666666663</v>
      </c>
    </row>
    <row r="359" spans="1:12" x14ac:dyDescent="0.25">
      <c r="A359" s="2">
        <v>42922</v>
      </c>
      <c r="B359" s="2">
        <v>42893</v>
      </c>
      <c r="C359" t="s">
        <v>19</v>
      </c>
      <c r="D359" t="s">
        <v>1636</v>
      </c>
      <c r="E359" s="5">
        <v>34100000</v>
      </c>
      <c r="F359" s="5">
        <v>37100000</v>
      </c>
      <c r="G359" s="5">
        <v>3000000</v>
      </c>
      <c r="H359" s="5">
        <v>3410000</v>
      </c>
      <c r="I359" s="5">
        <v>3710000</v>
      </c>
      <c r="J359" s="5">
        <v>34600000</v>
      </c>
      <c r="K359" s="5">
        <v>37600000</v>
      </c>
      <c r="L359" s="3">
        <v>0.97916666666666663</v>
      </c>
    </row>
    <row r="360" spans="1:12" x14ac:dyDescent="0.25">
      <c r="A360" s="2">
        <v>42953</v>
      </c>
      <c r="B360" s="2">
        <v>42894</v>
      </c>
      <c r="C360" t="s">
        <v>20</v>
      </c>
      <c r="D360" t="s">
        <v>1636</v>
      </c>
      <c r="E360" s="5">
        <v>33700000</v>
      </c>
      <c r="F360" s="5">
        <v>36700000</v>
      </c>
      <c r="G360" s="5">
        <v>3000000</v>
      </c>
      <c r="H360" s="5">
        <v>3370000</v>
      </c>
      <c r="I360" s="5">
        <v>3670000</v>
      </c>
      <c r="J360" s="5">
        <v>34200000</v>
      </c>
      <c r="K360" s="5">
        <v>37200000</v>
      </c>
      <c r="L360" s="3">
        <v>0.97916666666666663</v>
      </c>
    </row>
    <row r="361" spans="1:12" x14ac:dyDescent="0.25">
      <c r="A361" s="2">
        <v>42984</v>
      </c>
      <c r="B361" s="2">
        <v>42895</v>
      </c>
      <c r="C361" t="s">
        <v>21</v>
      </c>
      <c r="D361" t="s">
        <v>1636</v>
      </c>
      <c r="E361" s="5">
        <v>33500000</v>
      </c>
      <c r="F361" s="5">
        <v>36500000</v>
      </c>
      <c r="G361" s="5">
        <v>3000000</v>
      </c>
      <c r="H361" s="5">
        <v>3350000</v>
      </c>
      <c r="I361" s="5">
        <v>3650000</v>
      </c>
      <c r="J361" s="5">
        <v>34000000</v>
      </c>
      <c r="K361" s="5">
        <v>37000000</v>
      </c>
      <c r="L361" s="3">
        <v>0.97916666666666663</v>
      </c>
    </row>
    <row r="362" spans="1:12" x14ac:dyDescent="0.25">
      <c r="A362" s="2">
        <v>43075</v>
      </c>
      <c r="B362" s="2">
        <v>42898</v>
      </c>
      <c r="C362" t="s">
        <v>16</v>
      </c>
      <c r="D362" t="s">
        <v>1636</v>
      </c>
      <c r="E362" s="5">
        <v>33400000</v>
      </c>
      <c r="F362" s="5">
        <v>36400000</v>
      </c>
      <c r="G362" s="5">
        <v>3000000</v>
      </c>
      <c r="H362" s="5">
        <v>3340000</v>
      </c>
      <c r="I362" s="5">
        <v>3640000</v>
      </c>
      <c r="J362" s="5">
        <v>33900000</v>
      </c>
      <c r="K362" s="5">
        <v>36900000</v>
      </c>
      <c r="L362" s="3">
        <v>0.97916666666666663</v>
      </c>
    </row>
    <row r="363" spans="1:12" x14ac:dyDescent="0.25">
      <c r="A363" t="s">
        <v>235</v>
      </c>
      <c r="B363" s="2">
        <v>42899</v>
      </c>
      <c r="C363" t="s">
        <v>18</v>
      </c>
      <c r="D363" t="s">
        <v>1636</v>
      </c>
      <c r="E363" s="5">
        <v>33400000</v>
      </c>
      <c r="F363" s="5">
        <v>36400000</v>
      </c>
      <c r="G363" s="5">
        <v>3000000</v>
      </c>
      <c r="H363" s="5">
        <v>3340000</v>
      </c>
      <c r="I363" s="5">
        <v>3640000</v>
      </c>
      <c r="J363" s="5">
        <v>33900000</v>
      </c>
      <c r="K363" s="5">
        <v>36900000</v>
      </c>
      <c r="L363" s="3">
        <v>0.97916666666666663</v>
      </c>
    </row>
    <row r="364" spans="1:12" x14ac:dyDescent="0.25">
      <c r="A364" t="s">
        <v>236</v>
      </c>
      <c r="B364" s="2">
        <v>42900</v>
      </c>
      <c r="C364" t="s">
        <v>19</v>
      </c>
      <c r="D364" t="s">
        <v>1636</v>
      </c>
      <c r="E364" s="5">
        <v>33600000</v>
      </c>
      <c r="F364" s="5">
        <v>36600000</v>
      </c>
      <c r="G364" s="5">
        <v>3000000</v>
      </c>
      <c r="H364" s="5">
        <v>3360000</v>
      </c>
      <c r="I364" s="5">
        <v>3660000</v>
      </c>
      <c r="J364" s="5">
        <v>34100000</v>
      </c>
      <c r="K364" s="5">
        <v>37100000</v>
      </c>
      <c r="L364" s="3">
        <v>0.97916666666666663</v>
      </c>
    </row>
    <row r="365" spans="1:12" x14ac:dyDescent="0.25">
      <c r="A365" t="s">
        <v>237</v>
      </c>
      <c r="B365" s="2">
        <v>42901</v>
      </c>
      <c r="C365" t="s">
        <v>20</v>
      </c>
      <c r="D365" t="s">
        <v>1636</v>
      </c>
      <c r="E365" s="5">
        <v>33000000</v>
      </c>
      <c r="F365" s="5">
        <v>36000000</v>
      </c>
      <c r="G365" s="5">
        <v>3000000</v>
      </c>
      <c r="H365" s="5">
        <v>3300000</v>
      </c>
      <c r="I365" s="5">
        <v>3600000</v>
      </c>
      <c r="J365" s="5">
        <v>33500000</v>
      </c>
      <c r="K365" s="5">
        <v>36500000</v>
      </c>
      <c r="L365" s="3">
        <v>0.97916666666666663</v>
      </c>
    </row>
    <row r="366" spans="1:12" x14ac:dyDescent="0.25">
      <c r="A366" t="s">
        <v>238</v>
      </c>
      <c r="B366" s="2">
        <v>42902</v>
      </c>
      <c r="C366" t="s">
        <v>21</v>
      </c>
      <c r="D366" t="s">
        <v>1636</v>
      </c>
      <c r="E366" s="5">
        <v>33000000</v>
      </c>
      <c r="F366" s="5">
        <v>36000000</v>
      </c>
      <c r="G366" s="5">
        <v>3000000</v>
      </c>
      <c r="H366" s="5">
        <v>3300000</v>
      </c>
      <c r="I366" s="5">
        <v>3600000</v>
      </c>
      <c r="J366" s="5">
        <v>33500000</v>
      </c>
      <c r="K366" s="5">
        <v>36500000</v>
      </c>
      <c r="L366" s="3">
        <v>0.97916666666666663</v>
      </c>
    </row>
    <row r="367" spans="1:12" x14ac:dyDescent="0.25">
      <c r="A367" t="s">
        <v>239</v>
      </c>
      <c r="B367" s="2">
        <v>42905</v>
      </c>
      <c r="C367" t="s">
        <v>16</v>
      </c>
      <c r="D367" t="s">
        <v>1636</v>
      </c>
      <c r="E367" s="5">
        <v>32800000</v>
      </c>
      <c r="F367" s="5">
        <v>35800000</v>
      </c>
      <c r="G367" s="5">
        <v>3000000</v>
      </c>
      <c r="H367" s="5">
        <v>3280000</v>
      </c>
      <c r="I367" s="5">
        <v>3580000</v>
      </c>
      <c r="J367" s="5">
        <v>33300000</v>
      </c>
      <c r="K367" s="5">
        <v>36300000</v>
      </c>
      <c r="L367" s="3">
        <v>0.97916666666666663</v>
      </c>
    </row>
    <row r="368" spans="1:12" x14ac:dyDescent="0.25">
      <c r="A368" t="s">
        <v>240</v>
      </c>
      <c r="B368" s="2">
        <v>42906</v>
      </c>
      <c r="C368" t="s">
        <v>18</v>
      </c>
      <c r="D368" t="s">
        <v>1636</v>
      </c>
      <c r="E368" s="5">
        <v>32700000</v>
      </c>
      <c r="F368" s="5">
        <v>35700000</v>
      </c>
      <c r="G368" s="5">
        <v>3000000</v>
      </c>
      <c r="H368" s="5">
        <v>3270000</v>
      </c>
      <c r="I368" s="5">
        <v>3570000</v>
      </c>
      <c r="J368" s="5">
        <v>33200000</v>
      </c>
      <c r="K368" s="5">
        <v>36200000</v>
      </c>
      <c r="L368" s="3">
        <v>0.97916666666666663</v>
      </c>
    </row>
    <row r="369" spans="1:12" x14ac:dyDescent="0.25">
      <c r="A369" t="s">
        <v>241</v>
      </c>
      <c r="B369" s="2">
        <v>42907</v>
      </c>
      <c r="C369" t="s">
        <v>19</v>
      </c>
      <c r="D369" t="s">
        <v>1636</v>
      </c>
      <c r="E369" s="5">
        <v>32700000</v>
      </c>
      <c r="F369" s="5">
        <v>35700000</v>
      </c>
      <c r="G369" s="5">
        <v>3000000</v>
      </c>
      <c r="H369" s="5">
        <v>3270000</v>
      </c>
      <c r="I369" s="5">
        <v>3570000</v>
      </c>
      <c r="J369" s="5">
        <v>33200000</v>
      </c>
      <c r="K369" s="5">
        <v>36200000</v>
      </c>
      <c r="L369" s="3">
        <v>0.97916666666666663</v>
      </c>
    </row>
    <row r="370" spans="1:12" x14ac:dyDescent="0.25">
      <c r="A370" t="s">
        <v>242</v>
      </c>
      <c r="B370" s="2">
        <v>42908</v>
      </c>
      <c r="C370" t="s">
        <v>20</v>
      </c>
      <c r="D370" t="s">
        <v>1636</v>
      </c>
      <c r="E370" s="5">
        <v>32900000</v>
      </c>
      <c r="F370" s="5">
        <v>35900000</v>
      </c>
      <c r="G370" s="5">
        <v>3000000</v>
      </c>
      <c r="H370" s="5">
        <v>3290000</v>
      </c>
      <c r="I370" s="5">
        <v>3590000</v>
      </c>
      <c r="J370" s="5">
        <v>33400000</v>
      </c>
      <c r="K370" s="5">
        <v>36400000</v>
      </c>
      <c r="L370" s="3">
        <v>0.97916666666666663</v>
      </c>
    </row>
    <row r="371" spans="1:12" x14ac:dyDescent="0.25">
      <c r="A371" t="s">
        <v>243</v>
      </c>
      <c r="B371" s="2">
        <v>42909</v>
      </c>
      <c r="C371" t="s">
        <v>21</v>
      </c>
      <c r="D371" t="s">
        <v>1636</v>
      </c>
      <c r="E371" s="5">
        <v>33100000</v>
      </c>
      <c r="F371" s="5">
        <v>36100000</v>
      </c>
      <c r="G371" s="5">
        <v>3000000</v>
      </c>
      <c r="H371" s="5">
        <v>3310000</v>
      </c>
      <c r="I371" s="5">
        <v>3610000</v>
      </c>
      <c r="J371" s="5">
        <v>33600000</v>
      </c>
      <c r="K371" s="5">
        <v>36600000</v>
      </c>
      <c r="L371" s="3">
        <v>0.97916666666666663</v>
      </c>
    </row>
    <row r="372" spans="1:12" x14ac:dyDescent="0.25">
      <c r="A372" t="s">
        <v>244</v>
      </c>
      <c r="B372" s="2">
        <v>42912</v>
      </c>
      <c r="C372" t="s">
        <v>16</v>
      </c>
      <c r="D372" t="s">
        <v>1636</v>
      </c>
      <c r="E372" s="5">
        <v>32800000</v>
      </c>
      <c r="F372" s="5">
        <v>35800000</v>
      </c>
      <c r="G372" s="5">
        <v>3000000</v>
      </c>
      <c r="H372" s="5">
        <v>3280000</v>
      </c>
      <c r="I372" s="5">
        <v>3580000</v>
      </c>
      <c r="J372" s="5">
        <v>33300000</v>
      </c>
      <c r="K372" s="5">
        <v>36300000</v>
      </c>
      <c r="L372" s="3">
        <v>0.97916666666666663</v>
      </c>
    </row>
    <row r="373" spans="1:12" x14ac:dyDescent="0.25">
      <c r="A373" t="s">
        <v>245</v>
      </c>
      <c r="B373" s="2">
        <v>42913</v>
      </c>
      <c r="C373" t="s">
        <v>18</v>
      </c>
      <c r="D373" t="s">
        <v>1636</v>
      </c>
      <c r="E373" s="5">
        <v>32800000</v>
      </c>
      <c r="F373" s="5">
        <v>35800000</v>
      </c>
      <c r="G373" s="5">
        <v>3000000</v>
      </c>
      <c r="H373" s="5">
        <v>3280000</v>
      </c>
      <c r="I373" s="5">
        <v>3580000</v>
      </c>
      <c r="J373" s="5">
        <v>33300000</v>
      </c>
      <c r="K373" s="5">
        <v>36300000</v>
      </c>
      <c r="L373" s="3">
        <v>0.97916666666666663</v>
      </c>
    </row>
    <row r="374" spans="1:12" x14ac:dyDescent="0.25">
      <c r="A374" t="s">
        <v>246</v>
      </c>
      <c r="B374" s="2">
        <v>42914</v>
      </c>
      <c r="C374" t="s">
        <v>19</v>
      </c>
      <c r="D374" t="s">
        <v>1636</v>
      </c>
      <c r="E374" s="5">
        <v>32900000</v>
      </c>
      <c r="F374" s="5">
        <v>35900000</v>
      </c>
      <c r="G374" s="5">
        <v>3000000</v>
      </c>
      <c r="H374" s="5">
        <v>3290000</v>
      </c>
      <c r="I374" s="5">
        <v>3590000</v>
      </c>
      <c r="J374" s="5">
        <v>33400000</v>
      </c>
      <c r="K374" s="5">
        <v>36400000</v>
      </c>
      <c r="L374" s="3">
        <v>0.97916666666666663</v>
      </c>
    </row>
    <row r="375" spans="1:12" x14ac:dyDescent="0.25">
      <c r="A375" t="s">
        <v>247</v>
      </c>
      <c r="B375" s="2">
        <v>42915</v>
      </c>
      <c r="C375" t="s">
        <v>20</v>
      </c>
      <c r="D375" t="s">
        <v>1636</v>
      </c>
      <c r="E375" s="5">
        <v>32800000</v>
      </c>
      <c r="F375" s="5">
        <v>35800000</v>
      </c>
      <c r="G375" s="5">
        <v>3000000</v>
      </c>
      <c r="H375" s="5">
        <v>3280000</v>
      </c>
      <c r="I375" s="5">
        <v>3580000</v>
      </c>
      <c r="J375" s="5">
        <v>33300000</v>
      </c>
      <c r="K375" s="5">
        <v>36300000</v>
      </c>
      <c r="L375" s="3">
        <v>0.97916666666666663</v>
      </c>
    </row>
    <row r="376" spans="1:12" x14ac:dyDescent="0.25">
      <c r="A376" t="s">
        <v>248</v>
      </c>
      <c r="B376" s="2">
        <v>42916</v>
      </c>
      <c r="C376" t="s">
        <v>21</v>
      </c>
      <c r="D376" t="s">
        <v>1636</v>
      </c>
      <c r="E376" s="5">
        <v>32700000</v>
      </c>
      <c r="F376" s="5">
        <v>35700000</v>
      </c>
      <c r="G376" s="5">
        <v>3000000</v>
      </c>
      <c r="H376" s="5">
        <v>3270000</v>
      </c>
      <c r="I376" s="5">
        <v>3570000</v>
      </c>
      <c r="J376" s="5">
        <v>33200000</v>
      </c>
      <c r="K376" s="5">
        <v>36200000</v>
      </c>
      <c r="L376" s="3">
        <v>0.97916666666666663</v>
      </c>
    </row>
    <row r="377" spans="1:12" x14ac:dyDescent="0.25">
      <c r="A377" s="2">
        <v>42801</v>
      </c>
      <c r="B377" s="2">
        <v>42919</v>
      </c>
      <c r="C377" t="s">
        <v>16</v>
      </c>
      <c r="D377" t="s">
        <v>1636</v>
      </c>
      <c r="E377" s="5">
        <v>32000000</v>
      </c>
      <c r="F377" s="5">
        <v>35000000</v>
      </c>
      <c r="G377" s="5">
        <v>3000000</v>
      </c>
      <c r="H377" s="5">
        <v>3200000</v>
      </c>
      <c r="I377" s="5">
        <v>3500000</v>
      </c>
      <c r="J377" s="5">
        <v>32500000</v>
      </c>
      <c r="K377" s="5">
        <v>35500000</v>
      </c>
      <c r="L377" s="3">
        <v>0.97916666666666663</v>
      </c>
    </row>
    <row r="378" spans="1:12" x14ac:dyDescent="0.25">
      <c r="A378" s="2">
        <v>42862</v>
      </c>
      <c r="B378" s="2">
        <v>42921</v>
      </c>
      <c r="C378" t="s">
        <v>19</v>
      </c>
      <c r="D378" t="s">
        <v>1636</v>
      </c>
      <c r="E378" s="5">
        <v>32100000</v>
      </c>
      <c r="F378" s="5">
        <v>35100000</v>
      </c>
      <c r="G378" s="5">
        <v>3000000</v>
      </c>
      <c r="H378" s="5">
        <v>3210000</v>
      </c>
      <c r="I378" s="5">
        <v>3510000</v>
      </c>
      <c r="J378" s="5">
        <v>32600000</v>
      </c>
      <c r="K378" s="5">
        <v>35600000</v>
      </c>
      <c r="L378" s="3">
        <v>0.97916666666666663</v>
      </c>
    </row>
    <row r="379" spans="1:12" x14ac:dyDescent="0.25">
      <c r="A379" s="2">
        <v>42893</v>
      </c>
      <c r="B379" s="2">
        <v>42922</v>
      </c>
      <c r="C379" t="s">
        <v>20</v>
      </c>
      <c r="D379" t="s">
        <v>1636</v>
      </c>
      <c r="E379" s="5">
        <v>32100000</v>
      </c>
      <c r="F379" s="5">
        <v>35100000</v>
      </c>
      <c r="G379" s="5">
        <v>3000000</v>
      </c>
      <c r="H379" s="5">
        <v>3210000</v>
      </c>
      <c r="I379" s="5">
        <v>3510000</v>
      </c>
      <c r="J379" s="5">
        <v>32600000</v>
      </c>
      <c r="K379" s="5">
        <v>35600000</v>
      </c>
      <c r="L379" s="3">
        <v>0.97916666666666663</v>
      </c>
    </row>
    <row r="380" spans="1:12" x14ac:dyDescent="0.25">
      <c r="A380" s="2">
        <v>42923</v>
      </c>
      <c r="B380" s="2">
        <v>42923</v>
      </c>
      <c r="C380" t="s">
        <v>21</v>
      </c>
      <c r="D380" t="s">
        <v>1636</v>
      </c>
      <c r="E380" s="5">
        <v>31700000</v>
      </c>
      <c r="F380" s="5">
        <v>34700000</v>
      </c>
      <c r="G380" s="5">
        <v>3000000</v>
      </c>
      <c r="H380" s="5">
        <v>3170000</v>
      </c>
      <c r="I380" s="5">
        <v>3470000</v>
      </c>
      <c r="J380" s="5">
        <v>32200000</v>
      </c>
      <c r="K380" s="5">
        <v>35200000</v>
      </c>
      <c r="L380" s="3">
        <v>0.97916666666666663</v>
      </c>
    </row>
    <row r="381" spans="1:12" x14ac:dyDescent="0.25">
      <c r="A381" s="2">
        <v>43015</v>
      </c>
      <c r="B381" s="2">
        <v>42926</v>
      </c>
      <c r="C381" t="s">
        <v>16</v>
      </c>
      <c r="D381" t="s">
        <v>1636</v>
      </c>
      <c r="E381" s="5">
        <v>31800000</v>
      </c>
      <c r="F381" s="5">
        <v>34800000</v>
      </c>
      <c r="G381" s="5">
        <v>3000000</v>
      </c>
      <c r="H381" s="5">
        <v>3180000</v>
      </c>
      <c r="I381" s="5">
        <v>3480000</v>
      </c>
      <c r="J381" s="5">
        <v>32300000</v>
      </c>
      <c r="K381" s="5">
        <v>35300000</v>
      </c>
      <c r="L381" s="3">
        <v>0.97916666666666663</v>
      </c>
    </row>
    <row r="382" spans="1:12" x14ac:dyDescent="0.25">
      <c r="A382" s="2">
        <v>43046</v>
      </c>
      <c r="B382" s="2">
        <v>42927</v>
      </c>
      <c r="C382" t="s">
        <v>18</v>
      </c>
      <c r="D382" t="s">
        <v>1636</v>
      </c>
      <c r="E382" s="5">
        <v>31900000</v>
      </c>
      <c r="F382" s="5">
        <v>34900000</v>
      </c>
      <c r="G382" s="5">
        <v>3000000</v>
      </c>
      <c r="H382" s="5">
        <v>3190000</v>
      </c>
      <c r="I382" s="5">
        <v>3490000</v>
      </c>
      <c r="J382" s="5">
        <v>32400000</v>
      </c>
      <c r="K382" s="5">
        <v>35400000</v>
      </c>
      <c r="L382" s="3">
        <v>0.97916666666666663</v>
      </c>
    </row>
    <row r="383" spans="1:12" x14ac:dyDescent="0.25">
      <c r="A383" s="2">
        <v>43076</v>
      </c>
      <c r="B383" s="2">
        <v>42928</v>
      </c>
      <c r="C383" t="s">
        <v>19</v>
      </c>
      <c r="D383" t="s">
        <v>1636</v>
      </c>
      <c r="E383" s="5">
        <v>32000000</v>
      </c>
      <c r="F383" s="5">
        <v>35000000</v>
      </c>
      <c r="G383" s="5">
        <v>3000000</v>
      </c>
      <c r="H383" s="5">
        <v>3200000</v>
      </c>
      <c r="I383" s="5">
        <v>3500000</v>
      </c>
      <c r="J383" s="5">
        <v>32500000</v>
      </c>
      <c r="K383" s="5">
        <v>35500000</v>
      </c>
      <c r="L383" s="3">
        <v>0.97916666666666663</v>
      </c>
    </row>
    <row r="384" spans="1:12" x14ac:dyDescent="0.25">
      <c r="A384" t="s">
        <v>249</v>
      </c>
      <c r="B384" s="2">
        <v>42929</v>
      </c>
      <c r="C384" t="s">
        <v>20</v>
      </c>
      <c r="D384" t="s">
        <v>1636</v>
      </c>
      <c r="E384" s="5">
        <v>32000000</v>
      </c>
      <c r="F384" s="5">
        <v>35000000</v>
      </c>
      <c r="G384" s="5">
        <v>3000000</v>
      </c>
      <c r="H384" s="5">
        <v>3200000</v>
      </c>
      <c r="I384" s="5">
        <v>3500000</v>
      </c>
      <c r="J384" s="5">
        <v>32500000</v>
      </c>
      <c r="K384" s="5">
        <v>35500000</v>
      </c>
      <c r="L384" s="3">
        <v>0.97916666666666663</v>
      </c>
    </row>
    <row r="385" spans="1:12" x14ac:dyDescent="0.25">
      <c r="A385" t="s">
        <v>250</v>
      </c>
      <c r="B385" s="2">
        <v>42930</v>
      </c>
      <c r="C385" t="s">
        <v>21</v>
      </c>
      <c r="D385" t="s">
        <v>1636</v>
      </c>
      <c r="E385" s="5">
        <v>32200000</v>
      </c>
      <c r="F385" s="5">
        <v>35200000</v>
      </c>
      <c r="G385" s="5">
        <v>3000000</v>
      </c>
      <c r="H385" s="5">
        <v>3220000</v>
      </c>
      <c r="I385" s="5">
        <v>3520000</v>
      </c>
      <c r="J385" s="5">
        <v>32700000</v>
      </c>
      <c r="K385" s="5">
        <v>35700000</v>
      </c>
      <c r="L385" s="3">
        <v>0.97916666666666663</v>
      </c>
    </row>
    <row r="386" spans="1:12" x14ac:dyDescent="0.25">
      <c r="A386" t="s">
        <v>251</v>
      </c>
      <c r="B386" s="2">
        <v>42933</v>
      </c>
      <c r="C386" t="s">
        <v>16</v>
      </c>
      <c r="D386" t="s">
        <v>1636</v>
      </c>
      <c r="E386" s="5">
        <v>32400000</v>
      </c>
      <c r="F386" s="5">
        <v>35400000</v>
      </c>
      <c r="G386" s="5">
        <v>3000000</v>
      </c>
      <c r="H386" s="5">
        <v>3240000</v>
      </c>
      <c r="I386" s="5">
        <v>3540000</v>
      </c>
      <c r="J386" s="5">
        <v>32900000</v>
      </c>
      <c r="K386" s="5">
        <v>35900000</v>
      </c>
      <c r="L386" s="3">
        <v>0.97916666666666663</v>
      </c>
    </row>
    <row r="387" spans="1:12" x14ac:dyDescent="0.25">
      <c r="A387" t="s">
        <v>252</v>
      </c>
      <c r="B387" s="2">
        <v>42934</v>
      </c>
      <c r="C387" t="s">
        <v>18</v>
      </c>
      <c r="D387" t="s">
        <v>1636</v>
      </c>
      <c r="E387" s="5">
        <v>32700000</v>
      </c>
      <c r="F387" s="5">
        <v>35700000</v>
      </c>
      <c r="G387" s="5">
        <v>3000000</v>
      </c>
      <c r="H387" s="5">
        <v>3270000</v>
      </c>
      <c r="I387" s="5">
        <v>3570000</v>
      </c>
      <c r="J387" s="5">
        <v>33200000</v>
      </c>
      <c r="K387" s="5">
        <v>36200000</v>
      </c>
      <c r="L387" s="3">
        <v>0.97916666666666663</v>
      </c>
    </row>
    <row r="388" spans="1:12" x14ac:dyDescent="0.25">
      <c r="A388" t="s">
        <v>253</v>
      </c>
      <c r="B388" s="2">
        <v>42935</v>
      </c>
      <c r="C388" t="s">
        <v>19</v>
      </c>
      <c r="D388" t="s">
        <v>1636</v>
      </c>
      <c r="E388" s="5">
        <v>32700000</v>
      </c>
      <c r="F388" s="5">
        <v>35700000</v>
      </c>
      <c r="G388" s="5">
        <v>3000000</v>
      </c>
      <c r="H388" s="5">
        <v>3270000</v>
      </c>
      <c r="I388" s="5">
        <v>3570000</v>
      </c>
      <c r="J388" s="5">
        <v>33200000</v>
      </c>
      <c r="K388" s="5">
        <v>36200000</v>
      </c>
      <c r="L388" s="3">
        <v>0.97916666666666663</v>
      </c>
    </row>
    <row r="389" spans="1:12" x14ac:dyDescent="0.25">
      <c r="A389" t="s">
        <v>254</v>
      </c>
      <c r="B389" s="2">
        <v>42936</v>
      </c>
      <c r="C389" t="s">
        <v>20</v>
      </c>
      <c r="D389" t="s">
        <v>1636</v>
      </c>
      <c r="E389" s="5">
        <v>32800000</v>
      </c>
      <c r="F389" s="5">
        <v>35800000</v>
      </c>
      <c r="G389" s="5">
        <v>3000000</v>
      </c>
      <c r="H389" s="5">
        <v>3280000</v>
      </c>
      <c r="I389" s="5">
        <v>3580000</v>
      </c>
      <c r="J389" s="5">
        <v>33300000</v>
      </c>
      <c r="K389" s="5">
        <v>36300000</v>
      </c>
      <c r="L389" s="3">
        <v>0.97916666666666663</v>
      </c>
    </row>
    <row r="390" spans="1:12" x14ac:dyDescent="0.25">
      <c r="A390" t="s">
        <v>255</v>
      </c>
      <c r="B390" s="2">
        <v>42937</v>
      </c>
      <c r="C390" t="s">
        <v>21</v>
      </c>
      <c r="D390" t="s">
        <v>1636</v>
      </c>
      <c r="E390" s="5">
        <v>33000000</v>
      </c>
      <c r="F390" s="5">
        <v>36000000</v>
      </c>
      <c r="G390" s="5">
        <v>3000000</v>
      </c>
      <c r="H390" s="5">
        <v>3300000</v>
      </c>
      <c r="I390" s="5">
        <v>3600000</v>
      </c>
      <c r="J390" s="5">
        <v>33500000</v>
      </c>
      <c r="K390" s="5">
        <v>36500000</v>
      </c>
      <c r="L390" s="3">
        <v>0.97916666666666663</v>
      </c>
    </row>
    <row r="391" spans="1:12" x14ac:dyDescent="0.25">
      <c r="A391" t="s">
        <v>256</v>
      </c>
      <c r="B391" s="2">
        <v>42940</v>
      </c>
      <c r="C391" t="s">
        <v>16</v>
      </c>
      <c r="D391" t="s">
        <v>1636</v>
      </c>
      <c r="E391" s="5">
        <v>33000000</v>
      </c>
      <c r="F391" s="5">
        <v>36000000</v>
      </c>
      <c r="G391" s="5">
        <v>3000000</v>
      </c>
      <c r="H391" s="5">
        <v>3300000</v>
      </c>
      <c r="I391" s="5">
        <v>3600000</v>
      </c>
      <c r="J391" s="5">
        <v>33500000</v>
      </c>
      <c r="K391" s="5">
        <v>36500000</v>
      </c>
      <c r="L391" s="3">
        <v>0.97916666666666663</v>
      </c>
    </row>
    <row r="392" spans="1:12" x14ac:dyDescent="0.25">
      <c r="A392" t="s">
        <v>257</v>
      </c>
      <c r="B392" s="2">
        <v>42941</v>
      </c>
      <c r="C392" t="s">
        <v>18</v>
      </c>
      <c r="D392" t="s">
        <v>1636</v>
      </c>
      <c r="E392" s="5">
        <v>33000000</v>
      </c>
      <c r="F392" s="5">
        <v>36000000</v>
      </c>
      <c r="G392" s="5">
        <v>3000000</v>
      </c>
      <c r="H392" s="5">
        <v>3300000</v>
      </c>
      <c r="I392" s="5">
        <v>3600000</v>
      </c>
      <c r="J392" s="5">
        <v>33500000</v>
      </c>
      <c r="K392" s="5">
        <v>36500000</v>
      </c>
      <c r="L392" s="3">
        <v>0.97916666666666663</v>
      </c>
    </row>
    <row r="393" spans="1:12" x14ac:dyDescent="0.25">
      <c r="A393" t="s">
        <v>258</v>
      </c>
      <c r="B393" s="2">
        <v>42942</v>
      </c>
      <c r="C393" t="s">
        <v>19</v>
      </c>
      <c r="D393" t="s">
        <v>1636</v>
      </c>
      <c r="E393" s="5">
        <v>32900000</v>
      </c>
      <c r="F393" s="5">
        <v>35900000</v>
      </c>
      <c r="G393" s="5">
        <v>3000000</v>
      </c>
      <c r="H393" s="5">
        <v>3290000</v>
      </c>
      <c r="I393" s="5">
        <v>3590000</v>
      </c>
      <c r="J393" s="5">
        <v>33400000</v>
      </c>
      <c r="K393" s="5">
        <v>36400000</v>
      </c>
      <c r="L393" s="3">
        <v>0.97916666666666663</v>
      </c>
    </row>
    <row r="394" spans="1:12" x14ac:dyDescent="0.25">
      <c r="A394" t="s">
        <v>259</v>
      </c>
      <c r="B394" s="2">
        <v>42943</v>
      </c>
      <c r="C394" t="s">
        <v>20</v>
      </c>
      <c r="D394" t="s">
        <v>1636</v>
      </c>
      <c r="E394" s="5">
        <v>33200000</v>
      </c>
      <c r="F394" s="5">
        <v>36200000</v>
      </c>
      <c r="G394" s="5">
        <v>3000000</v>
      </c>
      <c r="H394" s="5">
        <v>3320000</v>
      </c>
      <c r="I394" s="5">
        <v>3620000</v>
      </c>
      <c r="J394" s="5">
        <v>33700000</v>
      </c>
      <c r="K394" s="5">
        <v>36700000</v>
      </c>
      <c r="L394" s="3">
        <v>0.97916666666666663</v>
      </c>
    </row>
    <row r="395" spans="1:12" x14ac:dyDescent="0.25">
      <c r="A395" t="s">
        <v>260</v>
      </c>
      <c r="B395" s="2">
        <v>42944</v>
      </c>
      <c r="C395" t="s">
        <v>21</v>
      </c>
      <c r="D395" t="s">
        <v>1636</v>
      </c>
      <c r="E395" s="5">
        <v>33400000</v>
      </c>
      <c r="F395" s="5">
        <v>36400000</v>
      </c>
      <c r="G395" s="5">
        <v>3000000</v>
      </c>
      <c r="H395" s="5">
        <v>3340000</v>
      </c>
      <c r="I395" s="5">
        <v>3640000</v>
      </c>
      <c r="J395" s="5">
        <v>33900000</v>
      </c>
      <c r="K395" s="5">
        <v>36900000</v>
      </c>
      <c r="L395" s="3">
        <v>0.97916666666666663</v>
      </c>
    </row>
    <row r="396" spans="1:12" x14ac:dyDescent="0.25">
      <c r="A396" t="s">
        <v>261</v>
      </c>
      <c r="B396" s="2">
        <v>42947</v>
      </c>
      <c r="C396" t="s">
        <v>16</v>
      </c>
      <c r="D396" t="s">
        <v>1636</v>
      </c>
      <c r="E396" s="5">
        <v>33400000</v>
      </c>
      <c r="F396" s="5">
        <v>36400000</v>
      </c>
      <c r="G396" s="5">
        <v>3000000</v>
      </c>
      <c r="H396" s="5">
        <v>3340000</v>
      </c>
      <c r="I396" s="5">
        <v>3640000</v>
      </c>
      <c r="J396" s="5">
        <v>33900000</v>
      </c>
      <c r="K396" s="5">
        <v>36900000</v>
      </c>
      <c r="L396" s="3">
        <v>0.97916666666666663</v>
      </c>
    </row>
    <row r="397" spans="1:12" x14ac:dyDescent="0.25">
      <c r="A397" s="2">
        <v>42743</v>
      </c>
      <c r="B397" s="2">
        <v>42948</v>
      </c>
      <c r="C397" t="s">
        <v>18</v>
      </c>
      <c r="D397" t="s">
        <v>1636</v>
      </c>
      <c r="E397" s="5">
        <v>33600000</v>
      </c>
      <c r="F397" s="5">
        <v>36600000</v>
      </c>
      <c r="G397" s="5">
        <v>3000000</v>
      </c>
      <c r="H397" s="5">
        <v>3360000</v>
      </c>
      <c r="I397" s="5">
        <v>3660000</v>
      </c>
      <c r="J397" s="5">
        <v>34100000</v>
      </c>
      <c r="K397" s="5">
        <v>37100000</v>
      </c>
      <c r="L397" s="3">
        <v>0.97916666666666663</v>
      </c>
    </row>
    <row r="398" spans="1:12" x14ac:dyDescent="0.25">
      <c r="A398" s="2">
        <v>42774</v>
      </c>
      <c r="B398" s="2">
        <v>42949</v>
      </c>
      <c r="C398" t="s">
        <v>19</v>
      </c>
      <c r="D398" t="s">
        <v>1636</v>
      </c>
      <c r="E398" s="5">
        <v>33500000</v>
      </c>
      <c r="F398" s="5">
        <v>36500000</v>
      </c>
      <c r="G398" s="5">
        <v>3000000</v>
      </c>
      <c r="H398" s="5">
        <v>3350000</v>
      </c>
      <c r="I398" s="5">
        <v>3650000</v>
      </c>
      <c r="J398" s="5">
        <v>34000000</v>
      </c>
      <c r="K398" s="5">
        <v>37000000</v>
      </c>
      <c r="L398" s="3">
        <v>0.97916666666666663</v>
      </c>
    </row>
    <row r="399" spans="1:12" x14ac:dyDescent="0.25">
      <c r="A399" s="2">
        <v>42802</v>
      </c>
      <c r="B399" s="2">
        <v>42950</v>
      </c>
      <c r="C399" t="s">
        <v>20</v>
      </c>
      <c r="D399" t="s">
        <v>1636</v>
      </c>
      <c r="E399" s="5">
        <v>33400000</v>
      </c>
      <c r="F399" s="5">
        <v>36400000</v>
      </c>
      <c r="G399" s="5">
        <v>3000000</v>
      </c>
      <c r="H399" s="5">
        <v>3340000</v>
      </c>
      <c r="I399" s="5">
        <v>3640000</v>
      </c>
      <c r="J399" s="5">
        <v>33900000</v>
      </c>
      <c r="K399" s="5">
        <v>36900000</v>
      </c>
      <c r="L399" s="3">
        <v>0.97916666666666663</v>
      </c>
    </row>
    <row r="400" spans="1:12" x14ac:dyDescent="0.25">
      <c r="A400" s="2">
        <v>42833</v>
      </c>
      <c r="B400" s="2">
        <v>42951</v>
      </c>
      <c r="C400" t="s">
        <v>21</v>
      </c>
      <c r="D400" t="s">
        <v>1636</v>
      </c>
      <c r="E400" s="5">
        <v>33200000</v>
      </c>
      <c r="F400" s="5">
        <v>36200000</v>
      </c>
      <c r="G400" s="5">
        <v>3000000</v>
      </c>
      <c r="H400" s="5">
        <v>3320000</v>
      </c>
      <c r="I400" s="5">
        <v>3620000</v>
      </c>
      <c r="J400" s="5">
        <v>33700000</v>
      </c>
      <c r="K400" s="5">
        <v>36700000</v>
      </c>
      <c r="L400" s="3">
        <v>0.97916666666666663</v>
      </c>
    </row>
    <row r="401" spans="1:12" x14ac:dyDescent="0.25">
      <c r="A401" s="2">
        <v>42924</v>
      </c>
      <c r="B401" s="2">
        <v>42954</v>
      </c>
      <c r="C401" t="s">
        <v>16</v>
      </c>
      <c r="D401" t="s">
        <v>1636</v>
      </c>
      <c r="E401" s="5">
        <v>33200000</v>
      </c>
      <c r="F401" s="5">
        <v>36200000</v>
      </c>
      <c r="G401" s="5">
        <v>3000000</v>
      </c>
      <c r="H401" s="5">
        <v>3320000</v>
      </c>
      <c r="I401" s="5">
        <v>3620000</v>
      </c>
      <c r="J401" s="5">
        <v>33700000</v>
      </c>
      <c r="K401" s="5">
        <v>36700000</v>
      </c>
      <c r="L401" s="3">
        <v>0.97916666666666663</v>
      </c>
    </row>
    <row r="402" spans="1:12" x14ac:dyDescent="0.25">
      <c r="A402" s="2">
        <v>42955</v>
      </c>
      <c r="B402" s="2">
        <v>42955</v>
      </c>
      <c r="C402" t="s">
        <v>18</v>
      </c>
      <c r="D402" t="s">
        <v>1636</v>
      </c>
      <c r="E402" s="5">
        <v>33100000</v>
      </c>
      <c r="F402" s="5">
        <v>36100000</v>
      </c>
      <c r="G402" s="5">
        <v>3000000</v>
      </c>
      <c r="H402" s="5">
        <v>3310000</v>
      </c>
      <c r="I402" s="5">
        <v>3610000</v>
      </c>
      <c r="J402" s="5">
        <v>33600000</v>
      </c>
      <c r="K402" s="5">
        <v>36600000</v>
      </c>
      <c r="L402" s="3">
        <v>0.97916666666666663</v>
      </c>
    </row>
    <row r="403" spans="1:12" x14ac:dyDescent="0.25">
      <c r="A403" s="2">
        <v>42986</v>
      </c>
      <c r="B403" s="2">
        <v>42956</v>
      </c>
      <c r="C403" t="s">
        <v>19</v>
      </c>
      <c r="D403" t="s">
        <v>1636</v>
      </c>
      <c r="E403" s="5">
        <v>33600000</v>
      </c>
      <c r="F403" s="5">
        <v>36600000</v>
      </c>
      <c r="G403" s="5">
        <v>3000000</v>
      </c>
      <c r="H403" s="5">
        <v>3360000</v>
      </c>
      <c r="I403" s="5">
        <v>3660000</v>
      </c>
      <c r="J403" s="5">
        <v>34100000</v>
      </c>
      <c r="K403" s="5">
        <v>37100000</v>
      </c>
      <c r="L403" s="3">
        <v>0.97916666666666663</v>
      </c>
    </row>
    <row r="404" spans="1:12" x14ac:dyDescent="0.25">
      <c r="A404" s="2">
        <v>43016</v>
      </c>
      <c r="B404" s="2">
        <v>42957</v>
      </c>
      <c r="C404" t="s">
        <v>20</v>
      </c>
      <c r="D404" t="s">
        <v>1636</v>
      </c>
      <c r="E404" s="5">
        <v>33900000</v>
      </c>
      <c r="F404" s="5">
        <v>36900000</v>
      </c>
      <c r="G404" s="5">
        <v>3000000</v>
      </c>
      <c r="H404" s="5">
        <v>3390000</v>
      </c>
      <c r="I404" s="5">
        <v>3690000</v>
      </c>
      <c r="J404" s="5">
        <v>34400000</v>
      </c>
      <c r="K404" s="5">
        <v>37400000</v>
      </c>
      <c r="L404" s="3">
        <v>0.97916666666666663</v>
      </c>
    </row>
    <row r="405" spans="1:12" x14ac:dyDescent="0.25">
      <c r="A405" s="2">
        <v>43047</v>
      </c>
      <c r="B405" s="2">
        <v>42958</v>
      </c>
      <c r="C405" t="s">
        <v>21</v>
      </c>
      <c r="D405" t="s">
        <v>1636</v>
      </c>
      <c r="E405" s="5">
        <v>34000000</v>
      </c>
      <c r="F405" s="5">
        <v>37000000</v>
      </c>
      <c r="G405" s="5">
        <v>3000000</v>
      </c>
      <c r="H405" s="5">
        <v>3400000</v>
      </c>
      <c r="I405" s="5">
        <v>3700000</v>
      </c>
      <c r="J405" s="5">
        <v>34500000</v>
      </c>
      <c r="K405" s="5">
        <v>37500000</v>
      </c>
      <c r="L405" s="3">
        <v>0.97916666666666663</v>
      </c>
    </row>
    <row r="406" spans="1:12" x14ac:dyDescent="0.25">
      <c r="A406" t="s">
        <v>262</v>
      </c>
      <c r="B406" s="2">
        <v>42961</v>
      </c>
      <c r="C406" t="s">
        <v>16</v>
      </c>
      <c r="D406" t="s">
        <v>1636</v>
      </c>
      <c r="E406" s="5">
        <v>33900000</v>
      </c>
      <c r="F406" s="5">
        <v>36900000</v>
      </c>
      <c r="G406" s="5">
        <v>3000000</v>
      </c>
      <c r="H406" s="5">
        <v>3390000</v>
      </c>
      <c r="I406" s="5">
        <v>3690000</v>
      </c>
      <c r="J406" s="5">
        <v>34400000</v>
      </c>
      <c r="K406" s="5">
        <v>37400000</v>
      </c>
      <c r="L406" s="3">
        <v>0.97916666666666663</v>
      </c>
    </row>
    <row r="407" spans="1:12" x14ac:dyDescent="0.25">
      <c r="A407" t="s">
        <v>263</v>
      </c>
      <c r="B407" s="2">
        <v>42962</v>
      </c>
      <c r="C407" t="s">
        <v>18</v>
      </c>
      <c r="D407" t="s">
        <v>1636</v>
      </c>
      <c r="E407" s="5">
        <v>33600000</v>
      </c>
      <c r="F407" s="5">
        <v>36600000</v>
      </c>
      <c r="G407" s="5">
        <v>3000000</v>
      </c>
      <c r="H407" s="5">
        <v>3360000</v>
      </c>
      <c r="I407" s="5">
        <v>3660000</v>
      </c>
      <c r="J407" s="5">
        <v>34100000</v>
      </c>
      <c r="K407" s="5">
        <v>37100000</v>
      </c>
      <c r="L407" s="3">
        <v>0.97916666666666663</v>
      </c>
    </row>
    <row r="408" spans="1:12" x14ac:dyDescent="0.25">
      <c r="A408" t="s">
        <v>264</v>
      </c>
      <c r="B408" s="2">
        <v>42963</v>
      </c>
      <c r="C408" t="s">
        <v>19</v>
      </c>
      <c r="D408" t="s">
        <v>1636</v>
      </c>
      <c r="E408" s="5">
        <v>33700000</v>
      </c>
      <c r="F408" s="5">
        <v>36700000</v>
      </c>
      <c r="G408" s="5">
        <v>3000000</v>
      </c>
      <c r="H408" s="5">
        <v>3370000</v>
      </c>
      <c r="I408" s="5">
        <v>3670000</v>
      </c>
      <c r="J408" s="5">
        <v>34200000</v>
      </c>
      <c r="K408" s="5">
        <v>37200000</v>
      </c>
      <c r="L408" s="3">
        <v>0.97916666666666663</v>
      </c>
    </row>
    <row r="409" spans="1:12" x14ac:dyDescent="0.25">
      <c r="A409" t="s">
        <v>265</v>
      </c>
      <c r="B409" s="2">
        <v>42964</v>
      </c>
      <c r="C409" t="s">
        <v>20</v>
      </c>
      <c r="D409" t="s">
        <v>1636</v>
      </c>
      <c r="E409" s="5">
        <v>34000000</v>
      </c>
      <c r="F409" s="5">
        <v>37000000</v>
      </c>
      <c r="G409" s="5">
        <v>3000000</v>
      </c>
      <c r="H409" s="5">
        <v>3400000</v>
      </c>
      <c r="I409" s="5">
        <v>3700000</v>
      </c>
      <c r="J409" s="5">
        <v>34500000</v>
      </c>
      <c r="K409" s="5">
        <v>37500000</v>
      </c>
      <c r="L409" s="3">
        <v>0.97916666666666663</v>
      </c>
    </row>
    <row r="410" spans="1:12" x14ac:dyDescent="0.25">
      <c r="A410" t="s">
        <v>266</v>
      </c>
      <c r="B410" s="2">
        <v>42965</v>
      </c>
      <c r="C410" t="s">
        <v>21</v>
      </c>
      <c r="D410" t="s">
        <v>1636</v>
      </c>
      <c r="E410" s="5">
        <v>33900000</v>
      </c>
      <c r="F410" s="5">
        <v>36900000</v>
      </c>
      <c r="G410" s="5">
        <v>3000000</v>
      </c>
      <c r="H410" s="5">
        <v>3390000</v>
      </c>
      <c r="I410" s="5">
        <v>3690000</v>
      </c>
      <c r="J410" s="5">
        <v>34400000</v>
      </c>
      <c r="K410" s="5">
        <v>37400000</v>
      </c>
      <c r="L410" s="3">
        <v>0.97916666666666663</v>
      </c>
    </row>
    <row r="411" spans="1:12" x14ac:dyDescent="0.25">
      <c r="A411" t="s">
        <v>267</v>
      </c>
      <c r="B411" s="2">
        <v>42968</v>
      </c>
      <c r="C411" t="s">
        <v>16</v>
      </c>
      <c r="D411" t="s">
        <v>1636</v>
      </c>
      <c r="E411" s="5">
        <v>34100000</v>
      </c>
      <c r="F411" s="5">
        <v>37100000</v>
      </c>
      <c r="G411" s="5">
        <v>3000000</v>
      </c>
      <c r="H411" s="5">
        <v>3410000</v>
      </c>
      <c r="I411" s="5">
        <v>3710000</v>
      </c>
      <c r="J411" s="5">
        <v>34600000</v>
      </c>
      <c r="K411" s="5">
        <v>37600000</v>
      </c>
      <c r="L411" s="3">
        <v>0.97916666666666663</v>
      </c>
    </row>
    <row r="412" spans="1:12" x14ac:dyDescent="0.25">
      <c r="A412" t="s">
        <v>268</v>
      </c>
      <c r="B412" s="2">
        <v>42969</v>
      </c>
      <c r="C412" t="s">
        <v>18</v>
      </c>
      <c r="D412" t="s">
        <v>1636</v>
      </c>
      <c r="E412" s="5">
        <v>33900000</v>
      </c>
      <c r="F412" s="5">
        <v>36900000</v>
      </c>
      <c r="G412" s="5">
        <v>3000000</v>
      </c>
      <c r="H412" s="5">
        <v>3390000</v>
      </c>
      <c r="I412" s="5">
        <v>3690000</v>
      </c>
      <c r="J412" s="5">
        <v>34400000</v>
      </c>
      <c r="K412" s="5">
        <v>37400000</v>
      </c>
      <c r="L412" s="3">
        <v>0.97916666666666663</v>
      </c>
    </row>
    <row r="413" spans="1:12" x14ac:dyDescent="0.25">
      <c r="A413" t="s">
        <v>269</v>
      </c>
      <c r="B413" s="2">
        <v>42970</v>
      </c>
      <c r="C413" t="s">
        <v>19</v>
      </c>
      <c r="D413" t="s">
        <v>1636</v>
      </c>
      <c r="E413" s="5">
        <v>34000000</v>
      </c>
      <c r="F413" s="5">
        <v>37000000</v>
      </c>
      <c r="G413" s="5">
        <v>3000000</v>
      </c>
      <c r="H413" s="5">
        <v>3400000</v>
      </c>
      <c r="I413" s="5">
        <v>3700000</v>
      </c>
      <c r="J413" s="5">
        <v>34500000</v>
      </c>
      <c r="K413" s="5">
        <v>37500000</v>
      </c>
      <c r="L413" s="3">
        <v>0.97916666666666663</v>
      </c>
    </row>
    <row r="414" spans="1:12" x14ac:dyDescent="0.25">
      <c r="A414" t="s">
        <v>270</v>
      </c>
      <c r="B414" s="2">
        <v>42971</v>
      </c>
      <c r="C414" t="s">
        <v>20</v>
      </c>
      <c r="D414" t="s">
        <v>1636</v>
      </c>
      <c r="E414" s="5">
        <v>34000000</v>
      </c>
      <c r="F414" s="5">
        <v>37000000</v>
      </c>
      <c r="G414" s="5">
        <v>3000000</v>
      </c>
      <c r="H414" s="5">
        <v>3400000</v>
      </c>
      <c r="I414" s="5">
        <v>3700000</v>
      </c>
      <c r="J414" s="5">
        <v>34500000</v>
      </c>
      <c r="K414" s="5">
        <v>37500000</v>
      </c>
      <c r="L414" s="3">
        <v>0.97916666666666663</v>
      </c>
    </row>
    <row r="415" spans="1:12" x14ac:dyDescent="0.25">
      <c r="A415" t="s">
        <v>271</v>
      </c>
      <c r="B415" s="2">
        <v>42972</v>
      </c>
      <c r="C415" t="s">
        <v>21</v>
      </c>
      <c r="D415" t="s">
        <v>1636</v>
      </c>
      <c r="E415" s="5">
        <v>34100000</v>
      </c>
      <c r="F415" s="5">
        <v>37100000</v>
      </c>
      <c r="G415" s="5">
        <v>3000000</v>
      </c>
      <c r="H415" s="5">
        <v>3410000</v>
      </c>
      <c r="I415" s="5">
        <v>3710000</v>
      </c>
      <c r="J415" s="5">
        <v>34600000</v>
      </c>
      <c r="K415" s="5">
        <v>37600000</v>
      </c>
      <c r="L415" s="3">
        <v>0.97916666666666663</v>
      </c>
    </row>
    <row r="416" spans="1:12" x14ac:dyDescent="0.25">
      <c r="A416" t="s">
        <v>272</v>
      </c>
      <c r="B416" s="2">
        <v>42975</v>
      </c>
      <c r="C416" t="s">
        <v>16</v>
      </c>
      <c r="D416" t="s">
        <v>1636</v>
      </c>
      <c r="E416" s="5">
        <v>34600000</v>
      </c>
      <c r="F416" s="5">
        <v>37600000</v>
      </c>
      <c r="G416" s="5">
        <v>3000000</v>
      </c>
      <c r="H416" s="5">
        <v>3460000</v>
      </c>
      <c r="I416" s="5">
        <v>3760000</v>
      </c>
      <c r="J416" s="5">
        <v>35100000</v>
      </c>
      <c r="K416" s="5">
        <v>38100000</v>
      </c>
      <c r="L416" s="3">
        <v>0.97916666666666663</v>
      </c>
    </row>
    <row r="417" spans="1:12" x14ac:dyDescent="0.25">
      <c r="A417" t="s">
        <v>273</v>
      </c>
      <c r="B417" s="2">
        <v>42976</v>
      </c>
      <c r="C417" t="s">
        <v>18</v>
      </c>
      <c r="D417" t="s">
        <v>1636</v>
      </c>
      <c r="E417" s="5">
        <v>34700000</v>
      </c>
      <c r="F417" s="5">
        <v>37700000</v>
      </c>
      <c r="G417" s="5">
        <v>3000000</v>
      </c>
      <c r="H417" s="5">
        <v>3470000</v>
      </c>
      <c r="I417" s="5">
        <v>3770000</v>
      </c>
      <c r="J417" s="5">
        <v>35200000</v>
      </c>
      <c r="K417" s="5">
        <v>38200000</v>
      </c>
      <c r="L417" s="3">
        <v>0.97916666666666663</v>
      </c>
    </row>
    <row r="418" spans="1:12" x14ac:dyDescent="0.25">
      <c r="A418" t="s">
        <v>274</v>
      </c>
      <c r="B418" s="2">
        <v>42977</v>
      </c>
      <c r="C418" t="s">
        <v>19</v>
      </c>
      <c r="D418" t="s">
        <v>1636</v>
      </c>
      <c r="E418" s="5">
        <v>34600000</v>
      </c>
      <c r="F418" s="5">
        <v>37600000</v>
      </c>
      <c r="G418" s="5">
        <v>3000000</v>
      </c>
      <c r="H418" s="5">
        <v>3460000</v>
      </c>
      <c r="I418" s="5">
        <v>3760000</v>
      </c>
      <c r="J418" s="5">
        <v>35100000</v>
      </c>
      <c r="K418" s="5">
        <v>38100000</v>
      </c>
      <c r="L418" s="3">
        <v>0.97916666666666663</v>
      </c>
    </row>
    <row r="419" spans="1:12" x14ac:dyDescent="0.25">
      <c r="A419" t="s">
        <v>275</v>
      </c>
      <c r="B419" s="2">
        <v>42978</v>
      </c>
      <c r="C419" t="s">
        <v>20</v>
      </c>
      <c r="D419" t="s">
        <v>1636</v>
      </c>
      <c r="E419" s="5">
        <v>34800000</v>
      </c>
      <c r="F419" s="5">
        <v>37800000</v>
      </c>
      <c r="G419" s="5">
        <v>3000000</v>
      </c>
      <c r="H419" s="5">
        <v>3480000</v>
      </c>
      <c r="I419" s="5">
        <v>3780000</v>
      </c>
      <c r="J419" s="5">
        <v>35300000</v>
      </c>
      <c r="K419" s="5">
        <v>38300000</v>
      </c>
      <c r="L419" s="3">
        <v>0.97916666666666663</v>
      </c>
    </row>
    <row r="420" spans="1:12" x14ac:dyDescent="0.25">
      <c r="A420" s="2">
        <v>42744</v>
      </c>
      <c r="B420" s="2">
        <v>42979</v>
      </c>
      <c r="C420" t="s">
        <v>21</v>
      </c>
      <c r="D420" t="s">
        <v>1636</v>
      </c>
      <c r="E420" s="5">
        <v>35100000</v>
      </c>
      <c r="F420" s="5">
        <v>38100000</v>
      </c>
      <c r="G420" s="5">
        <v>3000000</v>
      </c>
      <c r="H420" s="5">
        <v>3510000</v>
      </c>
      <c r="I420" s="5">
        <v>3810000</v>
      </c>
      <c r="J420" s="5">
        <v>35600000</v>
      </c>
      <c r="K420" s="5">
        <v>38600000</v>
      </c>
      <c r="L420" s="3">
        <v>0.97916666666666663</v>
      </c>
    </row>
    <row r="421" spans="1:12" x14ac:dyDescent="0.25">
      <c r="A421" s="2">
        <v>42864</v>
      </c>
      <c r="B421" s="2">
        <v>42983</v>
      </c>
      <c r="C421" t="s">
        <v>18</v>
      </c>
      <c r="D421" t="s">
        <v>1636</v>
      </c>
      <c r="E421" s="5">
        <v>35500000</v>
      </c>
      <c r="F421" s="5">
        <v>38500000</v>
      </c>
      <c r="G421" s="5">
        <v>3000000</v>
      </c>
      <c r="H421" s="5">
        <v>3550000</v>
      </c>
      <c r="I421" s="5">
        <v>3850000</v>
      </c>
      <c r="J421" s="5">
        <v>36000000</v>
      </c>
      <c r="K421" s="5">
        <v>39000000</v>
      </c>
      <c r="L421" s="3">
        <v>0.97916666666666663</v>
      </c>
    </row>
    <row r="422" spans="1:12" x14ac:dyDescent="0.25">
      <c r="A422" s="2">
        <v>42895</v>
      </c>
      <c r="B422" s="2">
        <v>42984</v>
      </c>
      <c r="C422" t="s">
        <v>19</v>
      </c>
      <c r="D422" t="s">
        <v>1636</v>
      </c>
      <c r="E422" s="5">
        <v>35300000</v>
      </c>
      <c r="F422" s="5">
        <v>38300000</v>
      </c>
      <c r="G422" s="5">
        <v>3000000</v>
      </c>
      <c r="H422" s="5">
        <v>3530000</v>
      </c>
      <c r="I422" s="5">
        <v>3830000</v>
      </c>
      <c r="J422" s="5">
        <v>35800000</v>
      </c>
      <c r="K422" s="5">
        <v>38800000</v>
      </c>
      <c r="L422" s="3">
        <v>0.97916666666666663</v>
      </c>
    </row>
    <row r="423" spans="1:12" x14ac:dyDescent="0.25">
      <c r="A423" s="2">
        <v>42925</v>
      </c>
      <c r="B423" s="2">
        <v>42985</v>
      </c>
      <c r="C423" t="s">
        <v>20</v>
      </c>
      <c r="D423" t="s">
        <v>1636</v>
      </c>
      <c r="E423" s="5">
        <v>35700000</v>
      </c>
      <c r="F423" s="5">
        <v>38700000</v>
      </c>
      <c r="G423" s="5">
        <v>3000000</v>
      </c>
      <c r="H423" s="5">
        <v>3570000</v>
      </c>
      <c r="I423" s="5">
        <v>3870000</v>
      </c>
      <c r="J423" s="5">
        <v>36200000</v>
      </c>
      <c r="K423" s="5">
        <v>39200000</v>
      </c>
      <c r="L423" s="3">
        <v>0.97916666666666663</v>
      </c>
    </row>
    <row r="424" spans="1:12" x14ac:dyDescent="0.25">
      <c r="A424" s="2">
        <v>42956</v>
      </c>
      <c r="B424" s="2">
        <v>42986</v>
      </c>
      <c r="C424" t="s">
        <v>21</v>
      </c>
      <c r="D424" t="s">
        <v>1636</v>
      </c>
      <c r="E424" s="5">
        <v>35700000</v>
      </c>
      <c r="F424" s="5">
        <v>38700000</v>
      </c>
      <c r="G424" s="5">
        <v>3000000</v>
      </c>
      <c r="H424" s="5">
        <v>3570000</v>
      </c>
      <c r="I424" s="5">
        <v>3870000</v>
      </c>
      <c r="J424" s="5">
        <v>36200000</v>
      </c>
      <c r="K424" s="5">
        <v>39200000</v>
      </c>
      <c r="L424" s="3">
        <v>0.97916666666666663</v>
      </c>
    </row>
    <row r="425" spans="1:12" x14ac:dyDescent="0.25">
      <c r="A425" s="2">
        <v>43048</v>
      </c>
      <c r="B425" s="2">
        <v>42989</v>
      </c>
      <c r="C425" t="s">
        <v>16</v>
      </c>
      <c r="D425" t="s">
        <v>1636</v>
      </c>
      <c r="E425" s="5">
        <v>35200000</v>
      </c>
      <c r="F425" s="5">
        <v>38200000</v>
      </c>
      <c r="G425" s="5">
        <v>3000000</v>
      </c>
      <c r="H425" s="5">
        <v>3520000</v>
      </c>
      <c r="I425" s="5">
        <v>3820000</v>
      </c>
      <c r="J425" s="5">
        <v>35700000</v>
      </c>
      <c r="K425" s="5">
        <v>38700000</v>
      </c>
      <c r="L425" s="3">
        <v>0.97916666666666663</v>
      </c>
    </row>
    <row r="426" spans="1:12" x14ac:dyDescent="0.25">
      <c r="A426" s="2">
        <v>43078</v>
      </c>
      <c r="B426" s="2">
        <v>42990</v>
      </c>
      <c r="C426" t="s">
        <v>18</v>
      </c>
      <c r="D426" t="s">
        <v>1636</v>
      </c>
      <c r="E426" s="5">
        <v>35200000</v>
      </c>
      <c r="F426" s="5">
        <v>38200000</v>
      </c>
      <c r="G426" s="5">
        <v>3000000</v>
      </c>
      <c r="H426" s="5">
        <v>3520000</v>
      </c>
      <c r="I426" s="5">
        <v>3820000</v>
      </c>
      <c r="J426" s="5">
        <v>35700000</v>
      </c>
      <c r="K426" s="5">
        <v>38700000</v>
      </c>
      <c r="L426" s="3">
        <v>0.97916666666666663</v>
      </c>
    </row>
    <row r="427" spans="1:12" x14ac:dyDescent="0.25">
      <c r="A427" t="s">
        <v>276</v>
      </c>
      <c r="B427" s="2">
        <v>42991</v>
      </c>
      <c r="C427" t="s">
        <v>19</v>
      </c>
      <c r="D427" t="s">
        <v>1636</v>
      </c>
      <c r="E427" s="5">
        <v>35000000</v>
      </c>
      <c r="F427" s="5">
        <v>38000000</v>
      </c>
      <c r="G427" s="5">
        <v>3000000</v>
      </c>
      <c r="H427" s="5">
        <v>3500000</v>
      </c>
      <c r="I427" s="5">
        <v>3800000</v>
      </c>
      <c r="J427" s="5">
        <v>35500000</v>
      </c>
      <c r="K427" s="5">
        <v>38500000</v>
      </c>
      <c r="L427" s="3">
        <v>0.97916666666666663</v>
      </c>
    </row>
    <row r="428" spans="1:12" x14ac:dyDescent="0.25">
      <c r="A428" t="s">
        <v>277</v>
      </c>
      <c r="B428" s="2">
        <v>42992</v>
      </c>
      <c r="C428" t="s">
        <v>20</v>
      </c>
      <c r="D428" t="s">
        <v>1636</v>
      </c>
      <c r="E428" s="5">
        <v>35100000</v>
      </c>
      <c r="F428" s="5">
        <v>38100000</v>
      </c>
      <c r="G428" s="5">
        <v>3000000</v>
      </c>
      <c r="H428" s="5">
        <v>3510000</v>
      </c>
      <c r="I428" s="5">
        <v>3810000</v>
      </c>
      <c r="J428" s="5">
        <v>35600000</v>
      </c>
      <c r="K428" s="5">
        <v>38600000</v>
      </c>
      <c r="L428" s="3">
        <v>0.97916666666666663</v>
      </c>
    </row>
    <row r="429" spans="1:12" x14ac:dyDescent="0.25">
      <c r="A429" t="s">
        <v>278</v>
      </c>
      <c r="B429" s="2">
        <v>42993</v>
      </c>
      <c r="C429" t="s">
        <v>21</v>
      </c>
      <c r="D429" t="s">
        <v>1636</v>
      </c>
      <c r="E429" s="5">
        <v>34900000</v>
      </c>
      <c r="F429" s="5">
        <v>37900000</v>
      </c>
      <c r="G429" s="5">
        <v>3000000</v>
      </c>
      <c r="H429" s="5">
        <v>3490000</v>
      </c>
      <c r="I429" s="5">
        <v>3790000</v>
      </c>
      <c r="J429" s="5">
        <v>35400000</v>
      </c>
      <c r="K429" s="5">
        <v>38400000</v>
      </c>
      <c r="L429" s="3">
        <v>0.97916666666666663</v>
      </c>
    </row>
    <row r="430" spans="1:12" x14ac:dyDescent="0.25">
      <c r="A430" t="s">
        <v>279</v>
      </c>
      <c r="B430" s="2">
        <v>42996</v>
      </c>
      <c r="C430" t="s">
        <v>16</v>
      </c>
      <c r="D430" t="s">
        <v>1636</v>
      </c>
      <c r="E430" s="5">
        <v>34500000</v>
      </c>
      <c r="F430" s="5">
        <v>37500000</v>
      </c>
      <c r="G430" s="5">
        <v>3000000</v>
      </c>
      <c r="H430" s="5">
        <v>3450000</v>
      </c>
      <c r="I430" s="5">
        <v>3750000</v>
      </c>
      <c r="J430" s="5">
        <v>35000000</v>
      </c>
      <c r="K430" s="5">
        <v>38000000</v>
      </c>
      <c r="L430" s="3">
        <v>0.97916666666666663</v>
      </c>
    </row>
    <row r="431" spans="1:12" x14ac:dyDescent="0.25">
      <c r="A431" t="s">
        <v>280</v>
      </c>
      <c r="B431" s="2">
        <v>42997</v>
      </c>
      <c r="C431" t="s">
        <v>18</v>
      </c>
      <c r="D431" t="s">
        <v>1636</v>
      </c>
      <c r="E431" s="5">
        <v>34500000</v>
      </c>
      <c r="F431" s="5">
        <v>37500000</v>
      </c>
      <c r="G431" s="5">
        <v>3000000</v>
      </c>
      <c r="H431" s="5">
        <v>3450000</v>
      </c>
      <c r="I431" s="5">
        <v>3750000</v>
      </c>
      <c r="J431" s="5">
        <v>35000000</v>
      </c>
      <c r="K431" s="5">
        <v>38000000</v>
      </c>
      <c r="L431" s="3">
        <v>0.97916666666666663</v>
      </c>
    </row>
    <row r="432" spans="1:12" x14ac:dyDescent="0.25">
      <c r="A432" t="s">
        <v>281</v>
      </c>
      <c r="B432" s="2">
        <v>42998</v>
      </c>
      <c r="C432" t="s">
        <v>19</v>
      </c>
      <c r="D432" t="s">
        <v>1636</v>
      </c>
      <c r="E432" s="5">
        <v>34700000</v>
      </c>
      <c r="F432" s="5">
        <v>37700000</v>
      </c>
      <c r="G432" s="5">
        <v>3000000</v>
      </c>
      <c r="H432" s="5">
        <v>3470000</v>
      </c>
      <c r="I432" s="5">
        <v>3770000</v>
      </c>
      <c r="J432" s="5">
        <v>35200000</v>
      </c>
      <c r="K432" s="5">
        <v>38200000</v>
      </c>
      <c r="L432" s="3">
        <v>0.97916666666666663</v>
      </c>
    </row>
    <row r="433" spans="1:12" x14ac:dyDescent="0.25">
      <c r="A433" t="s">
        <v>282</v>
      </c>
      <c r="B433" s="2">
        <v>42999</v>
      </c>
      <c r="C433" t="s">
        <v>20</v>
      </c>
      <c r="D433" t="s">
        <v>1636</v>
      </c>
      <c r="E433" s="5">
        <v>34100000</v>
      </c>
      <c r="F433" s="5">
        <v>37100000</v>
      </c>
      <c r="G433" s="5">
        <v>3000000</v>
      </c>
      <c r="H433" s="5">
        <v>3410000</v>
      </c>
      <c r="I433" s="5">
        <v>3710000</v>
      </c>
      <c r="J433" s="5">
        <v>34600000</v>
      </c>
      <c r="K433" s="5">
        <v>37600000</v>
      </c>
      <c r="L433" s="3">
        <v>0.97916666666666663</v>
      </c>
    </row>
    <row r="434" spans="1:12" x14ac:dyDescent="0.25">
      <c r="A434" t="s">
        <v>283</v>
      </c>
      <c r="B434" s="2">
        <v>43000</v>
      </c>
      <c r="C434" t="s">
        <v>21</v>
      </c>
      <c r="D434" t="s">
        <v>1636</v>
      </c>
      <c r="E434" s="5">
        <v>34200000</v>
      </c>
      <c r="F434" s="5">
        <v>37200000</v>
      </c>
      <c r="G434" s="5">
        <v>3000000</v>
      </c>
      <c r="H434" s="5">
        <v>3420000</v>
      </c>
      <c r="I434" s="5">
        <v>3720000</v>
      </c>
      <c r="J434" s="5">
        <v>34700000</v>
      </c>
      <c r="K434" s="5">
        <v>37700000</v>
      </c>
      <c r="L434" s="3">
        <v>0.97916666666666663</v>
      </c>
    </row>
    <row r="435" spans="1:12" x14ac:dyDescent="0.25">
      <c r="A435" t="s">
        <v>284</v>
      </c>
      <c r="B435" s="2">
        <v>43003</v>
      </c>
      <c r="C435" t="s">
        <v>16</v>
      </c>
      <c r="D435" t="s">
        <v>1636</v>
      </c>
      <c r="E435" s="5">
        <v>34600000</v>
      </c>
      <c r="F435" s="5">
        <v>37600000</v>
      </c>
      <c r="G435" s="5">
        <v>3000000</v>
      </c>
      <c r="H435" s="5">
        <v>3460000</v>
      </c>
      <c r="I435" s="5">
        <v>3760000</v>
      </c>
      <c r="J435" s="5">
        <v>35100000</v>
      </c>
      <c r="K435" s="5">
        <v>38100000</v>
      </c>
      <c r="L435" s="3">
        <v>0.97916666666666663</v>
      </c>
    </row>
    <row r="436" spans="1:12" x14ac:dyDescent="0.25">
      <c r="A436" t="s">
        <v>285</v>
      </c>
      <c r="B436" s="2">
        <v>43004</v>
      </c>
      <c r="C436" t="s">
        <v>18</v>
      </c>
      <c r="D436" t="s">
        <v>1636</v>
      </c>
      <c r="E436" s="5">
        <v>34300000</v>
      </c>
      <c r="F436" s="5">
        <v>37300000</v>
      </c>
      <c r="G436" s="5">
        <v>3000000</v>
      </c>
      <c r="H436" s="5">
        <v>3430000</v>
      </c>
      <c r="I436" s="5">
        <v>3730000</v>
      </c>
      <c r="J436" s="5">
        <v>34800000</v>
      </c>
      <c r="K436" s="5">
        <v>37800000</v>
      </c>
      <c r="L436" s="3">
        <v>0.97916666666666663</v>
      </c>
    </row>
    <row r="437" spans="1:12" x14ac:dyDescent="0.25">
      <c r="A437" t="s">
        <v>286</v>
      </c>
      <c r="B437" s="2">
        <v>43005</v>
      </c>
      <c r="C437" t="s">
        <v>19</v>
      </c>
      <c r="D437" t="s">
        <v>1636</v>
      </c>
      <c r="E437" s="5">
        <v>33900000</v>
      </c>
      <c r="F437" s="5">
        <v>36900000</v>
      </c>
      <c r="G437" s="5">
        <v>3000000</v>
      </c>
      <c r="H437" s="5">
        <v>3390000</v>
      </c>
      <c r="I437" s="5">
        <v>3690000</v>
      </c>
      <c r="J437" s="5">
        <v>34400000</v>
      </c>
      <c r="K437" s="5">
        <v>37400000</v>
      </c>
      <c r="L437" s="3">
        <v>0.97916666666666663</v>
      </c>
    </row>
    <row r="438" spans="1:12" x14ac:dyDescent="0.25">
      <c r="A438" t="s">
        <v>287</v>
      </c>
      <c r="B438" s="2">
        <v>43006</v>
      </c>
      <c r="C438" t="s">
        <v>20</v>
      </c>
      <c r="D438" t="s">
        <v>1636</v>
      </c>
      <c r="E438" s="5">
        <v>33900000</v>
      </c>
      <c r="F438" s="5">
        <v>36900000</v>
      </c>
      <c r="G438" s="5">
        <v>3000000</v>
      </c>
      <c r="H438" s="5">
        <v>3390000</v>
      </c>
      <c r="I438" s="5">
        <v>3690000</v>
      </c>
      <c r="J438" s="5">
        <v>34400000</v>
      </c>
      <c r="K438" s="5">
        <v>37400000</v>
      </c>
      <c r="L438" s="3">
        <v>0.97916666666666663</v>
      </c>
    </row>
    <row r="439" spans="1:12" x14ac:dyDescent="0.25">
      <c r="A439" t="s">
        <v>288</v>
      </c>
      <c r="B439" s="2">
        <v>43007</v>
      </c>
      <c r="C439" t="s">
        <v>21</v>
      </c>
      <c r="D439" t="s">
        <v>1636</v>
      </c>
      <c r="E439" s="5">
        <v>33800000</v>
      </c>
      <c r="F439" s="5">
        <v>36800000</v>
      </c>
      <c r="G439" s="5">
        <v>3000000</v>
      </c>
      <c r="H439" s="5">
        <v>3380000</v>
      </c>
      <c r="I439" s="5">
        <v>3680000</v>
      </c>
      <c r="J439" s="5">
        <v>34300000</v>
      </c>
      <c r="K439" s="5">
        <v>37300000</v>
      </c>
      <c r="L439" s="3">
        <v>0.97916666666666663</v>
      </c>
    </row>
    <row r="440" spans="1:12" x14ac:dyDescent="0.25">
      <c r="A440" s="2">
        <v>42776</v>
      </c>
      <c r="B440" s="2">
        <v>43010</v>
      </c>
      <c r="C440" t="s">
        <v>16</v>
      </c>
      <c r="D440" t="s">
        <v>1636</v>
      </c>
      <c r="E440" s="5">
        <v>33600000</v>
      </c>
      <c r="F440" s="5">
        <v>36600000</v>
      </c>
      <c r="G440" s="5">
        <v>3000000</v>
      </c>
      <c r="H440" s="5">
        <v>3360000</v>
      </c>
      <c r="I440" s="5">
        <v>3660000</v>
      </c>
      <c r="J440" s="5">
        <v>34100000</v>
      </c>
      <c r="K440" s="5">
        <v>37100000</v>
      </c>
      <c r="L440" s="3">
        <v>0.97916666666666663</v>
      </c>
    </row>
    <row r="441" spans="1:12" x14ac:dyDescent="0.25">
      <c r="A441" s="2">
        <v>42804</v>
      </c>
      <c r="B441" s="2">
        <v>43011</v>
      </c>
      <c r="C441" t="s">
        <v>18</v>
      </c>
      <c r="D441" t="s">
        <v>1636</v>
      </c>
      <c r="E441" s="5">
        <v>33500000</v>
      </c>
      <c r="F441" s="5">
        <v>36500000</v>
      </c>
      <c r="G441" s="5">
        <v>3000000</v>
      </c>
      <c r="H441" s="5">
        <v>3350000</v>
      </c>
      <c r="I441" s="5">
        <v>3650000</v>
      </c>
      <c r="J441" s="5">
        <v>34000000</v>
      </c>
      <c r="K441" s="5">
        <v>37000000</v>
      </c>
      <c r="L441" s="3">
        <v>0.97916666666666663</v>
      </c>
    </row>
    <row r="442" spans="1:12" x14ac:dyDescent="0.25">
      <c r="A442" s="2">
        <v>42835</v>
      </c>
      <c r="B442" s="2">
        <v>43012</v>
      </c>
      <c r="C442" t="s">
        <v>19</v>
      </c>
      <c r="D442" t="s">
        <v>1636</v>
      </c>
      <c r="E442" s="5">
        <v>33600000</v>
      </c>
      <c r="F442" s="5">
        <v>36600000</v>
      </c>
      <c r="G442" s="5">
        <v>3000000</v>
      </c>
      <c r="H442" s="5">
        <v>3360000</v>
      </c>
      <c r="I442" s="5">
        <v>3660000</v>
      </c>
      <c r="J442" s="5">
        <v>34100000</v>
      </c>
      <c r="K442" s="5">
        <v>37100000</v>
      </c>
      <c r="L442" s="3">
        <v>0.97916666666666663</v>
      </c>
    </row>
    <row r="443" spans="1:12" x14ac:dyDescent="0.25">
      <c r="A443" s="2">
        <v>42865</v>
      </c>
      <c r="B443" s="2">
        <v>43013</v>
      </c>
      <c r="C443" t="s">
        <v>20</v>
      </c>
      <c r="D443" t="s">
        <v>1636</v>
      </c>
      <c r="E443" s="5">
        <v>33500000</v>
      </c>
      <c r="F443" s="5">
        <v>36500000</v>
      </c>
      <c r="G443" s="5">
        <v>3000000</v>
      </c>
      <c r="H443" s="5">
        <v>3350000</v>
      </c>
      <c r="I443" s="5">
        <v>3650000</v>
      </c>
      <c r="J443" s="5">
        <v>34000000</v>
      </c>
      <c r="K443" s="5">
        <v>37000000</v>
      </c>
      <c r="L443" s="3">
        <v>0.97916666666666663</v>
      </c>
    </row>
    <row r="444" spans="1:12" x14ac:dyDescent="0.25">
      <c r="A444" s="2">
        <v>42896</v>
      </c>
      <c r="B444" s="2">
        <v>43014</v>
      </c>
      <c r="C444" t="s">
        <v>21</v>
      </c>
      <c r="D444" t="s">
        <v>1636</v>
      </c>
      <c r="E444" s="5">
        <v>33500000</v>
      </c>
      <c r="F444" s="5">
        <v>36500000</v>
      </c>
      <c r="G444" s="5">
        <v>3000000</v>
      </c>
      <c r="H444" s="5">
        <v>3350000</v>
      </c>
      <c r="I444" s="5">
        <v>3650000</v>
      </c>
      <c r="J444" s="5">
        <v>34000000</v>
      </c>
      <c r="K444" s="5">
        <v>37000000</v>
      </c>
      <c r="L444" s="3">
        <v>0.97916666666666663</v>
      </c>
    </row>
    <row r="445" spans="1:12" x14ac:dyDescent="0.25">
      <c r="A445" s="2">
        <v>42988</v>
      </c>
      <c r="B445" s="2">
        <v>43017</v>
      </c>
      <c r="C445" t="s">
        <v>16</v>
      </c>
      <c r="D445" t="s">
        <v>1636</v>
      </c>
      <c r="E445" s="5">
        <v>33800000</v>
      </c>
      <c r="F445" s="5">
        <v>36800000</v>
      </c>
      <c r="G445" s="5">
        <v>3000000</v>
      </c>
      <c r="H445" s="5">
        <v>3380000</v>
      </c>
      <c r="I445" s="5">
        <v>3680000</v>
      </c>
      <c r="J445" s="5">
        <v>34300000</v>
      </c>
      <c r="K445" s="5">
        <v>37300000</v>
      </c>
      <c r="L445" s="3">
        <v>0.97916666666666663</v>
      </c>
    </row>
    <row r="446" spans="1:12" x14ac:dyDescent="0.25">
      <c r="A446" s="2">
        <v>43018</v>
      </c>
      <c r="B446" s="2">
        <v>43018</v>
      </c>
      <c r="C446" t="s">
        <v>18</v>
      </c>
      <c r="D446" t="s">
        <v>1636</v>
      </c>
      <c r="E446" s="5">
        <v>34100000</v>
      </c>
      <c r="F446" s="5">
        <v>37100000</v>
      </c>
      <c r="G446" s="5">
        <v>3000000</v>
      </c>
      <c r="H446" s="5">
        <v>3410000</v>
      </c>
      <c r="I446" s="5">
        <v>3710000</v>
      </c>
      <c r="J446" s="5">
        <v>34600000</v>
      </c>
      <c r="K446" s="5">
        <v>37600000</v>
      </c>
      <c r="L446" s="3">
        <v>0.97916666666666663</v>
      </c>
    </row>
    <row r="447" spans="1:12" x14ac:dyDescent="0.25">
      <c r="A447" s="2">
        <v>43049</v>
      </c>
      <c r="B447" s="2">
        <v>43019</v>
      </c>
      <c r="C447" t="s">
        <v>19</v>
      </c>
      <c r="D447" t="s">
        <v>1636</v>
      </c>
      <c r="E447" s="5">
        <v>33900000</v>
      </c>
      <c r="F447" s="5">
        <v>36900000</v>
      </c>
      <c r="G447" s="5">
        <v>3000000</v>
      </c>
      <c r="H447" s="5">
        <v>3390000</v>
      </c>
      <c r="I447" s="5">
        <v>3690000</v>
      </c>
      <c r="J447" s="5">
        <v>34400000</v>
      </c>
      <c r="K447" s="5">
        <v>37400000</v>
      </c>
      <c r="L447" s="3">
        <v>0.97916666666666663</v>
      </c>
    </row>
    <row r="448" spans="1:12" x14ac:dyDescent="0.25">
      <c r="A448" s="2">
        <v>43079</v>
      </c>
      <c r="B448" s="2">
        <v>43020</v>
      </c>
      <c r="C448" t="s">
        <v>20</v>
      </c>
      <c r="D448" t="s">
        <v>1636</v>
      </c>
      <c r="E448" s="5">
        <v>34200000</v>
      </c>
      <c r="F448" s="5">
        <v>37200000</v>
      </c>
      <c r="G448" s="5">
        <v>3000000</v>
      </c>
      <c r="H448" s="5">
        <v>3420000</v>
      </c>
      <c r="I448" s="5">
        <v>3720000</v>
      </c>
      <c r="J448" s="5">
        <v>34700000</v>
      </c>
      <c r="K448" s="5">
        <v>37700000</v>
      </c>
      <c r="L448" s="3">
        <v>0.97916666666666663</v>
      </c>
    </row>
    <row r="449" spans="1:12" x14ac:dyDescent="0.25">
      <c r="A449" t="s">
        <v>289</v>
      </c>
      <c r="B449" s="2">
        <v>43021</v>
      </c>
      <c r="C449" t="s">
        <v>21</v>
      </c>
      <c r="D449" t="s">
        <v>1636</v>
      </c>
      <c r="E449" s="5">
        <v>34400000</v>
      </c>
      <c r="F449" s="5">
        <v>37400000</v>
      </c>
      <c r="G449" s="5">
        <v>3000000</v>
      </c>
      <c r="H449" s="5">
        <v>3440000</v>
      </c>
      <c r="I449" s="5">
        <v>3740000</v>
      </c>
      <c r="J449" s="5">
        <v>34900000</v>
      </c>
      <c r="K449" s="5">
        <v>37900000</v>
      </c>
      <c r="L449" s="3">
        <v>0.97916666666666663</v>
      </c>
    </row>
    <row r="450" spans="1:12" x14ac:dyDescent="0.25">
      <c r="A450" t="s">
        <v>290</v>
      </c>
      <c r="B450" s="2">
        <v>43024</v>
      </c>
      <c r="C450" t="s">
        <v>16</v>
      </c>
      <c r="D450" t="s">
        <v>1636</v>
      </c>
      <c r="E450" s="5">
        <v>34400000</v>
      </c>
      <c r="F450" s="5">
        <v>37400000</v>
      </c>
      <c r="G450" s="5">
        <v>3000000</v>
      </c>
      <c r="H450" s="5">
        <v>3440000</v>
      </c>
      <c r="I450" s="5">
        <v>3740000</v>
      </c>
      <c r="J450" s="5">
        <v>34900000</v>
      </c>
      <c r="K450" s="5">
        <v>37900000</v>
      </c>
      <c r="L450" s="3">
        <v>0.97916666666666663</v>
      </c>
    </row>
    <row r="451" spans="1:12" x14ac:dyDescent="0.25">
      <c r="A451" t="s">
        <v>291</v>
      </c>
      <c r="B451" s="2">
        <v>43025</v>
      </c>
      <c r="C451" t="s">
        <v>18</v>
      </c>
      <c r="D451" t="s">
        <v>1636</v>
      </c>
      <c r="E451" s="5">
        <v>33900000</v>
      </c>
      <c r="F451" s="5">
        <v>36900000</v>
      </c>
      <c r="G451" s="5">
        <v>3000000</v>
      </c>
      <c r="H451" s="5">
        <v>3390000</v>
      </c>
      <c r="I451" s="5">
        <v>3690000</v>
      </c>
      <c r="J451" s="5">
        <v>34400000</v>
      </c>
      <c r="K451" s="5">
        <v>37400000</v>
      </c>
      <c r="L451" s="3">
        <v>0.97916666666666663</v>
      </c>
    </row>
    <row r="452" spans="1:12" x14ac:dyDescent="0.25">
      <c r="A452" t="s">
        <v>292</v>
      </c>
      <c r="B452" s="2">
        <v>43026</v>
      </c>
      <c r="C452" t="s">
        <v>19</v>
      </c>
      <c r="D452" t="s">
        <v>1636</v>
      </c>
      <c r="E452" s="5">
        <v>33800000</v>
      </c>
      <c r="F452" s="5">
        <v>36800000</v>
      </c>
      <c r="G452" s="5">
        <v>3000000</v>
      </c>
      <c r="H452" s="5">
        <v>3380000</v>
      </c>
      <c r="I452" s="5">
        <v>3680000</v>
      </c>
      <c r="J452" s="5">
        <v>34300000</v>
      </c>
      <c r="K452" s="5">
        <v>37300000</v>
      </c>
      <c r="L452" s="3">
        <v>0.97916666666666663</v>
      </c>
    </row>
    <row r="453" spans="1:12" x14ac:dyDescent="0.25">
      <c r="A453" t="s">
        <v>293</v>
      </c>
      <c r="B453" s="2">
        <v>43027</v>
      </c>
      <c r="C453" t="s">
        <v>20</v>
      </c>
      <c r="D453" t="s">
        <v>1636</v>
      </c>
      <c r="E453" s="5">
        <v>34000000</v>
      </c>
      <c r="F453" s="5">
        <v>37000000</v>
      </c>
      <c r="G453" s="5">
        <v>3000000</v>
      </c>
      <c r="H453" s="5">
        <v>3400000</v>
      </c>
      <c r="I453" s="5">
        <v>3700000</v>
      </c>
      <c r="J453" s="5">
        <v>34500000</v>
      </c>
      <c r="K453" s="5">
        <v>37500000</v>
      </c>
      <c r="L453" s="3">
        <v>0.97916666666666663</v>
      </c>
    </row>
    <row r="454" spans="1:12" x14ac:dyDescent="0.25">
      <c r="A454" t="s">
        <v>294</v>
      </c>
      <c r="B454" s="2">
        <v>43028</v>
      </c>
      <c r="C454" t="s">
        <v>21</v>
      </c>
      <c r="D454" t="s">
        <v>1636</v>
      </c>
      <c r="E454" s="5">
        <v>33700000</v>
      </c>
      <c r="F454" s="5">
        <v>36700000</v>
      </c>
      <c r="G454" s="5">
        <v>3000000</v>
      </c>
      <c r="H454" s="5">
        <v>3370000</v>
      </c>
      <c r="I454" s="5">
        <v>3670000</v>
      </c>
      <c r="J454" s="5">
        <v>34200000</v>
      </c>
      <c r="K454" s="5">
        <v>37200000</v>
      </c>
      <c r="L454" s="3">
        <v>0.97916666666666663</v>
      </c>
    </row>
    <row r="455" spans="1:12" x14ac:dyDescent="0.25">
      <c r="A455" t="s">
        <v>295</v>
      </c>
      <c r="B455" s="2">
        <v>43031</v>
      </c>
      <c r="C455" t="s">
        <v>16</v>
      </c>
      <c r="D455" t="s">
        <v>1636</v>
      </c>
      <c r="E455" s="5">
        <v>33700000</v>
      </c>
      <c r="F455" s="5">
        <v>36700000</v>
      </c>
      <c r="G455" s="5">
        <v>3000000</v>
      </c>
      <c r="H455" s="5">
        <v>3370000</v>
      </c>
      <c r="I455" s="5">
        <v>3670000</v>
      </c>
      <c r="J455" s="5">
        <v>34200000</v>
      </c>
      <c r="K455" s="5">
        <v>37200000</v>
      </c>
      <c r="L455" s="3">
        <v>0.97916666666666663</v>
      </c>
    </row>
    <row r="456" spans="1:12" x14ac:dyDescent="0.25">
      <c r="A456" t="s">
        <v>296</v>
      </c>
      <c r="B456" s="2">
        <v>43032</v>
      </c>
      <c r="C456" t="s">
        <v>18</v>
      </c>
      <c r="D456" t="s">
        <v>1636</v>
      </c>
      <c r="E456" s="5">
        <v>33600000</v>
      </c>
      <c r="F456" s="5">
        <v>36600000</v>
      </c>
      <c r="G456" s="5">
        <v>3000000</v>
      </c>
      <c r="H456" s="5">
        <v>3360000</v>
      </c>
      <c r="I456" s="5">
        <v>3660000</v>
      </c>
      <c r="J456" s="5">
        <v>34100000</v>
      </c>
      <c r="K456" s="5">
        <v>37100000</v>
      </c>
      <c r="L456" s="3">
        <v>0.97916666666666663</v>
      </c>
    </row>
    <row r="457" spans="1:12" x14ac:dyDescent="0.25">
      <c r="A457" t="s">
        <v>297</v>
      </c>
      <c r="B457" s="2">
        <v>43033</v>
      </c>
      <c r="C457" t="s">
        <v>19</v>
      </c>
      <c r="D457" t="s">
        <v>1636</v>
      </c>
      <c r="E457" s="5">
        <v>33700000</v>
      </c>
      <c r="F457" s="5">
        <v>36700000</v>
      </c>
      <c r="G457" s="5">
        <v>3000000</v>
      </c>
      <c r="H457" s="5">
        <v>3370000</v>
      </c>
      <c r="I457" s="5">
        <v>3670000</v>
      </c>
      <c r="J457" s="5">
        <v>34200000</v>
      </c>
      <c r="K457" s="5">
        <v>37200000</v>
      </c>
      <c r="L457" s="3">
        <v>0.97916666666666663</v>
      </c>
    </row>
    <row r="458" spans="1:12" x14ac:dyDescent="0.25">
      <c r="A458" t="s">
        <v>298</v>
      </c>
      <c r="B458" s="2">
        <v>43034</v>
      </c>
      <c r="C458" t="s">
        <v>20</v>
      </c>
      <c r="D458" t="s">
        <v>1636</v>
      </c>
      <c r="E458" s="5">
        <v>33400000</v>
      </c>
      <c r="F458" s="5">
        <v>36400000</v>
      </c>
      <c r="G458" s="5">
        <v>3000000</v>
      </c>
      <c r="H458" s="5">
        <v>3340000</v>
      </c>
      <c r="I458" s="5">
        <v>3640000</v>
      </c>
      <c r="J458" s="5">
        <v>33900000</v>
      </c>
      <c r="K458" s="5">
        <v>36900000</v>
      </c>
      <c r="L458" s="3">
        <v>0.97916666666666663</v>
      </c>
    </row>
    <row r="459" spans="1:12" x14ac:dyDescent="0.25">
      <c r="A459" t="s">
        <v>299</v>
      </c>
      <c r="B459" s="2">
        <v>43035</v>
      </c>
      <c r="C459" t="s">
        <v>21</v>
      </c>
      <c r="D459" t="s">
        <v>1636</v>
      </c>
      <c r="E459" s="5">
        <v>33500000</v>
      </c>
      <c r="F459" s="5">
        <v>36500000</v>
      </c>
      <c r="G459" s="5">
        <v>3000000</v>
      </c>
      <c r="H459" s="5">
        <v>3350000</v>
      </c>
      <c r="I459" s="5">
        <v>3650000</v>
      </c>
      <c r="J459" s="5">
        <v>34000000</v>
      </c>
      <c r="K459" s="5">
        <v>37000000</v>
      </c>
      <c r="L459" s="3">
        <v>0.97916666666666663</v>
      </c>
    </row>
    <row r="460" spans="1:12" x14ac:dyDescent="0.25">
      <c r="A460" t="s">
        <v>300</v>
      </c>
      <c r="B460" s="2">
        <v>43038</v>
      </c>
      <c r="C460" t="s">
        <v>16</v>
      </c>
      <c r="D460" t="s">
        <v>1636</v>
      </c>
      <c r="E460" s="5">
        <v>33600000</v>
      </c>
      <c r="F460" s="5">
        <v>36600000</v>
      </c>
      <c r="G460" s="5">
        <v>3000000</v>
      </c>
      <c r="H460" s="5">
        <v>3360000</v>
      </c>
      <c r="I460" s="5">
        <v>3660000</v>
      </c>
      <c r="J460" s="5">
        <v>34100000</v>
      </c>
      <c r="K460" s="5">
        <v>37100000</v>
      </c>
      <c r="L460" s="3">
        <v>0.97916666666666663</v>
      </c>
    </row>
    <row r="461" spans="1:12" x14ac:dyDescent="0.25">
      <c r="A461" t="s">
        <v>301</v>
      </c>
      <c r="B461" s="2">
        <v>43039</v>
      </c>
      <c r="C461" t="s">
        <v>18</v>
      </c>
      <c r="D461" t="s">
        <v>1636</v>
      </c>
      <c r="E461" s="5">
        <v>33400000</v>
      </c>
      <c r="F461" s="5">
        <v>36400000</v>
      </c>
      <c r="G461" s="5">
        <v>3000000</v>
      </c>
      <c r="H461" s="5">
        <v>3340000</v>
      </c>
      <c r="I461" s="5">
        <v>3640000</v>
      </c>
      <c r="J461" s="5">
        <v>33900000</v>
      </c>
      <c r="K461" s="5">
        <v>36900000</v>
      </c>
      <c r="L461" s="3">
        <v>0.97916666666666663</v>
      </c>
    </row>
    <row r="462" spans="1:12" x14ac:dyDescent="0.25">
      <c r="A462" s="2">
        <v>42746</v>
      </c>
      <c r="B462" s="2">
        <v>43040</v>
      </c>
      <c r="C462" t="s">
        <v>19</v>
      </c>
      <c r="D462" t="s">
        <v>1636</v>
      </c>
      <c r="E462" s="5">
        <v>33600000</v>
      </c>
      <c r="F462" s="5">
        <v>36600000</v>
      </c>
      <c r="G462" s="5">
        <v>3000000</v>
      </c>
      <c r="H462" s="5">
        <v>3360000</v>
      </c>
      <c r="I462" s="5">
        <v>3660000</v>
      </c>
      <c r="J462" s="5">
        <v>34100000</v>
      </c>
      <c r="K462" s="5">
        <v>37100000</v>
      </c>
      <c r="L462" s="3">
        <v>0.97916666666666663</v>
      </c>
    </row>
    <row r="463" spans="1:12" x14ac:dyDescent="0.25">
      <c r="A463" s="2">
        <v>42777</v>
      </c>
      <c r="B463" s="2">
        <v>43041</v>
      </c>
      <c r="C463" t="s">
        <v>20</v>
      </c>
      <c r="D463" t="s">
        <v>1636</v>
      </c>
      <c r="E463" s="5">
        <v>33600000</v>
      </c>
      <c r="F463" s="5">
        <v>36600000</v>
      </c>
      <c r="G463" s="5">
        <v>3000000</v>
      </c>
      <c r="H463" s="5">
        <v>3360000</v>
      </c>
      <c r="I463" s="5">
        <v>3660000</v>
      </c>
      <c r="J463" s="5">
        <v>34100000</v>
      </c>
      <c r="K463" s="5">
        <v>37100000</v>
      </c>
      <c r="L463" s="3">
        <v>0.97916666666666663</v>
      </c>
    </row>
    <row r="464" spans="1:12" x14ac:dyDescent="0.25">
      <c r="A464" s="2">
        <v>42805</v>
      </c>
      <c r="B464" s="2">
        <v>43042</v>
      </c>
      <c r="C464" t="s">
        <v>21</v>
      </c>
      <c r="D464" t="s">
        <v>1636</v>
      </c>
      <c r="E464" s="5">
        <v>33400000</v>
      </c>
      <c r="F464" s="5">
        <v>36400000</v>
      </c>
      <c r="G464" s="5">
        <v>3000000</v>
      </c>
      <c r="H464" s="5">
        <v>3340000</v>
      </c>
      <c r="I464" s="5">
        <v>3640000</v>
      </c>
      <c r="J464" s="5">
        <v>33900000</v>
      </c>
      <c r="K464" s="5">
        <v>36900000</v>
      </c>
      <c r="L464" s="3">
        <v>0.97916666666666663</v>
      </c>
    </row>
    <row r="465" spans="1:12" x14ac:dyDescent="0.25">
      <c r="A465" s="2">
        <v>42897</v>
      </c>
      <c r="B465" s="2">
        <v>43045</v>
      </c>
      <c r="C465" t="s">
        <v>16</v>
      </c>
      <c r="D465" t="s">
        <v>1636</v>
      </c>
      <c r="E465" s="5">
        <v>33800000</v>
      </c>
      <c r="F465" s="5">
        <v>36800000</v>
      </c>
      <c r="G465" s="5">
        <v>3000000</v>
      </c>
      <c r="H465" s="5">
        <v>3380000</v>
      </c>
      <c r="I465" s="5">
        <v>3680000</v>
      </c>
      <c r="J465" s="5">
        <v>34300000</v>
      </c>
      <c r="K465" s="5">
        <v>37300000</v>
      </c>
      <c r="L465" s="3">
        <v>0.97916666666666663</v>
      </c>
    </row>
    <row r="466" spans="1:12" x14ac:dyDescent="0.25">
      <c r="A466" s="2">
        <v>42927</v>
      </c>
      <c r="B466" s="2">
        <v>43046</v>
      </c>
      <c r="C466" t="s">
        <v>18</v>
      </c>
      <c r="D466" t="s">
        <v>1636</v>
      </c>
      <c r="E466" s="5">
        <v>33600000</v>
      </c>
      <c r="F466" s="5">
        <v>36600000</v>
      </c>
      <c r="G466" s="5">
        <v>3000000</v>
      </c>
      <c r="H466" s="5">
        <v>3360000</v>
      </c>
      <c r="I466" s="5">
        <v>3660000</v>
      </c>
      <c r="J466" s="5">
        <v>34100000</v>
      </c>
      <c r="K466" s="5">
        <v>37100000</v>
      </c>
      <c r="L466" s="3">
        <v>0.97916666666666663</v>
      </c>
    </row>
    <row r="467" spans="1:12" x14ac:dyDescent="0.25">
      <c r="A467" s="2">
        <v>42958</v>
      </c>
      <c r="B467" s="2">
        <v>43047</v>
      </c>
      <c r="C467" t="s">
        <v>19</v>
      </c>
      <c r="D467" t="s">
        <v>1636</v>
      </c>
      <c r="E467" s="5">
        <v>33800000</v>
      </c>
      <c r="F467" s="5">
        <v>36800000</v>
      </c>
      <c r="G467" s="5">
        <v>3000000</v>
      </c>
      <c r="H467" s="5">
        <v>3380000</v>
      </c>
      <c r="I467" s="5">
        <v>3680000</v>
      </c>
      <c r="J467" s="5">
        <v>34300000</v>
      </c>
      <c r="K467" s="5">
        <v>37300000</v>
      </c>
      <c r="L467" s="3">
        <v>0.97916666666666663</v>
      </c>
    </row>
    <row r="468" spans="1:12" x14ac:dyDescent="0.25">
      <c r="A468" s="2">
        <v>42989</v>
      </c>
      <c r="B468" s="2">
        <v>43048</v>
      </c>
      <c r="C468" t="s">
        <v>20</v>
      </c>
      <c r="D468" t="s">
        <v>1636</v>
      </c>
      <c r="E468" s="5">
        <v>33900000</v>
      </c>
      <c r="F468" s="5">
        <v>36900000</v>
      </c>
      <c r="G468" s="5">
        <v>3000000</v>
      </c>
      <c r="H468" s="5">
        <v>3390000</v>
      </c>
      <c r="I468" s="5">
        <v>3690000</v>
      </c>
      <c r="J468" s="5">
        <v>34400000</v>
      </c>
      <c r="K468" s="5">
        <v>37400000</v>
      </c>
      <c r="L468" s="3">
        <v>0.97916666666666663</v>
      </c>
    </row>
    <row r="469" spans="1:12" x14ac:dyDescent="0.25">
      <c r="A469" s="2">
        <v>43019</v>
      </c>
      <c r="B469" s="2">
        <v>43049</v>
      </c>
      <c r="C469" t="s">
        <v>21</v>
      </c>
      <c r="D469" t="s">
        <v>1636</v>
      </c>
      <c r="E469" s="5">
        <v>33600000</v>
      </c>
      <c r="F469" s="5">
        <v>36600000</v>
      </c>
      <c r="G469" s="5">
        <v>3000000</v>
      </c>
      <c r="H469" s="5">
        <v>3360000</v>
      </c>
      <c r="I469" s="5">
        <v>3660000</v>
      </c>
      <c r="J469" s="5">
        <v>34100000</v>
      </c>
      <c r="K469" s="5">
        <v>37100000</v>
      </c>
      <c r="L469" s="3">
        <v>0.97916666666666663</v>
      </c>
    </row>
    <row r="470" spans="1:12" x14ac:dyDescent="0.25">
      <c r="A470" t="s">
        <v>302</v>
      </c>
      <c r="B470" s="2">
        <v>43052</v>
      </c>
      <c r="C470" t="s">
        <v>16</v>
      </c>
      <c r="D470" t="s">
        <v>1636</v>
      </c>
      <c r="E470" s="5">
        <v>33700000</v>
      </c>
      <c r="F470" s="5">
        <v>36700000</v>
      </c>
      <c r="G470" s="5">
        <v>3000000</v>
      </c>
      <c r="H470" s="5">
        <v>3370000</v>
      </c>
      <c r="I470" s="5">
        <v>3670000</v>
      </c>
      <c r="J470" s="5">
        <v>34200000</v>
      </c>
      <c r="K470" s="5">
        <v>37200000</v>
      </c>
      <c r="L470" s="3">
        <v>0.97916666666666663</v>
      </c>
    </row>
    <row r="471" spans="1:12" x14ac:dyDescent="0.25">
      <c r="A471" t="s">
        <v>303</v>
      </c>
      <c r="B471" s="2">
        <v>43053</v>
      </c>
      <c r="C471" t="s">
        <v>18</v>
      </c>
      <c r="D471" t="s">
        <v>1636</v>
      </c>
      <c r="E471" s="5">
        <v>33800000</v>
      </c>
      <c r="F471" s="5">
        <v>36800000</v>
      </c>
      <c r="G471" s="5">
        <v>3000000</v>
      </c>
      <c r="H471" s="5">
        <v>3380000</v>
      </c>
      <c r="I471" s="5">
        <v>3680000</v>
      </c>
      <c r="J471" s="5">
        <v>34300000</v>
      </c>
      <c r="K471" s="5">
        <v>37300000</v>
      </c>
      <c r="L471" s="3">
        <v>0.97916666666666663</v>
      </c>
    </row>
    <row r="472" spans="1:12" x14ac:dyDescent="0.25">
      <c r="A472" t="s">
        <v>304</v>
      </c>
      <c r="B472" s="2">
        <v>43054</v>
      </c>
      <c r="C472" t="s">
        <v>19</v>
      </c>
      <c r="D472" t="s">
        <v>1636</v>
      </c>
      <c r="E472" s="5">
        <v>33700000</v>
      </c>
      <c r="F472" s="5">
        <v>36700000</v>
      </c>
      <c r="G472" s="5">
        <v>3000000</v>
      </c>
      <c r="H472" s="5">
        <v>3370000</v>
      </c>
      <c r="I472" s="5">
        <v>3670000</v>
      </c>
      <c r="J472" s="5">
        <v>34200000</v>
      </c>
      <c r="K472" s="5">
        <v>37200000</v>
      </c>
      <c r="L472" s="3">
        <v>0.97916666666666663</v>
      </c>
    </row>
    <row r="473" spans="1:12" x14ac:dyDescent="0.25">
      <c r="A473" t="s">
        <v>305</v>
      </c>
      <c r="B473" s="2">
        <v>43055</v>
      </c>
      <c r="C473" t="s">
        <v>20</v>
      </c>
      <c r="D473" t="s">
        <v>1636</v>
      </c>
      <c r="E473" s="5">
        <v>33700000</v>
      </c>
      <c r="F473" s="5">
        <v>36700000</v>
      </c>
      <c r="G473" s="5">
        <v>3000000</v>
      </c>
      <c r="H473" s="5">
        <v>3370000</v>
      </c>
      <c r="I473" s="5">
        <v>3670000</v>
      </c>
      <c r="J473" s="5">
        <v>34200000</v>
      </c>
      <c r="K473" s="5">
        <v>37200000</v>
      </c>
      <c r="L473" s="3">
        <v>0.97916666666666663</v>
      </c>
    </row>
    <row r="474" spans="1:12" x14ac:dyDescent="0.25">
      <c r="A474" t="s">
        <v>306</v>
      </c>
      <c r="B474" s="2">
        <v>43056</v>
      </c>
      <c r="C474" t="s">
        <v>21</v>
      </c>
      <c r="D474" t="s">
        <v>1636</v>
      </c>
      <c r="E474" s="5">
        <v>34200000</v>
      </c>
      <c r="F474" s="5">
        <v>37200000</v>
      </c>
      <c r="G474" s="5">
        <v>3000000</v>
      </c>
      <c r="H474" s="5">
        <v>3420000</v>
      </c>
      <c r="I474" s="5">
        <v>3720000</v>
      </c>
      <c r="J474" s="5">
        <v>34700000</v>
      </c>
      <c r="K474" s="5">
        <v>37700000</v>
      </c>
      <c r="L474" s="3">
        <v>0.97916666666666663</v>
      </c>
    </row>
    <row r="475" spans="1:12" x14ac:dyDescent="0.25">
      <c r="A475" t="s">
        <v>307</v>
      </c>
      <c r="B475" s="2">
        <v>43059</v>
      </c>
      <c r="C475" t="s">
        <v>16</v>
      </c>
      <c r="D475" t="s">
        <v>1636</v>
      </c>
      <c r="E475" s="5">
        <v>33600000</v>
      </c>
      <c r="F475" s="5">
        <v>36600000</v>
      </c>
      <c r="G475" s="5">
        <v>3000000</v>
      </c>
      <c r="H475" s="5">
        <v>3360000</v>
      </c>
      <c r="I475" s="5">
        <v>3660000</v>
      </c>
      <c r="J475" s="5">
        <v>34100000</v>
      </c>
      <c r="K475" s="5">
        <v>37100000</v>
      </c>
      <c r="L475" s="3">
        <v>0.97916666666666663</v>
      </c>
    </row>
    <row r="476" spans="1:12" x14ac:dyDescent="0.25">
      <c r="A476" t="s">
        <v>308</v>
      </c>
      <c r="B476" s="2">
        <v>43060</v>
      </c>
      <c r="C476" t="s">
        <v>18</v>
      </c>
      <c r="D476" t="s">
        <v>1636</v>
      </c>
      <c r="E476" s="5">
        <v>33800000</v>
      </c>
      <c r="F476" s="5">
        <v>36800000</v>
      </c>
      <c r="G476" s="5">
        <v>3000000</v>
      </c>
      <c r="H476" s="5">
        <v>3380000</v>
      </c>
      <c r="I476" s="5">
        <v>3680000</v>
      </c>
      <c r="J476" s="5">
        <v>34300000</v>
      </c>
      <c r="K476" s="5">
        <v>37300000</v>
      </c>
      <c r="L476" s="3">
        <v>0.97916666666666663</v>
      </c>
    </row>
    <row r="477" spans="1:12" x14ac:dyDescent="0.25">
      <c r="A477" t="s">
        <v>309</v>
      </c>
      <c r="B477" s="2">
        <v>43061</v>
      </c>
      <c r="C477" t="s">
        <v>19</v>
      </c>
      <c r="D477" t="s">
        <v>1636</v>
      </c>
      <c r="E477" s="5">
        <v>34100000</v>
      </c>
      <c r="F477" s="5">
        <v>37100000</v>
      </c>
      <c r="G477" s="5">
        <v>3000000</v>
      </c>
      <c r="H477" s="5">
        <v>3410000</v>
      </c>
      <c r="I477" s="5">
        <v>3710000</v>
      </c>
      <c r="J477" s="5">
        <v>34600000</v>
      </c>
      <c r="K477" s="5">
        <v>37600000</v>
      </c>
      <c r="L477" s="3">
        <v>0.97916666666666663</v>
      </c>
    </row>
    <row r="478" spans="1:12" x14ac:dyDescent="0.25">
      <c r="A478" t="s">
        <v>310</v>
      </c>
      <c r="B478" s="2">
        <v>43063</v>
      </c>
      <c r="C478" t="s">
        <v>21</v>
      </c>
      <c r="D478" t="s">
        <v>1636</v>
      </c>
      <c r="E478" s="5">
        <v>34000000</v>
      </c>
      <c r="F478" s="5">
        <v>37000000</v>
      </c>
      <c r="G478" s="5">
        <v>3000000</v>
      </c>
      <c r="H478" s="5">
        <v>3400000</v>
      </c>
      <c r="I478" s="5">
        <v>3700000</v>
      </c>
      <c r="J478" s="5">
        <v>34500000</v>
      </c>
      <c r="K478" s="5">
        <v>37500000</v>
      </c>
      <c r="L478" s="3">
        <v>0.97916666666666663</v>
      </c>
    </row>
    <row r="479" spans="1:12" x14ac:dyDescent="0.25">
      <c r="A479" t="s">
        <v>311</v>
      </c>
      <c r="B479" s="2">
        <v>43066</v>
      </c>
      <c r="C479" t="s">
        <v>16</v>
      </c>
      <c r="D479" t="s">
        <v>1636</v>
      </c>
      <c r="E479" s="5">
        <v>34200000</v>
      </c>
      <c r="F479" s="5">
        <v>37200000</v>
      </c>
      <c r="G479" s="5">
        <v>3000000</v>
      </c>
      <c r="H479" s="5">
        <v>3420000</v>
      </c>
      <c r="I479" s="5">
        <v>3720000</v>
      </c>
      <c r="J479" s="5">
        <v>34700000</v>
      </c>
      <c r="K479" s="5">
        <v>37700000</v>
      </c>
      <c r="L479" s="3">
        <v>0.97916666666666663</v>
      </c>
    </row>
    <row r="480" spans="1:12" x14ac:dyDescent="0.25">
      <c r="A480" t="s">
        <v>312</v>
      </c>
      <c r="B480" s="2">
        <v>43067</v>
      </c>
      <c r="C480" t="s">
        <v>18</v>
      </c>
      <c r="D480" t="s">
        <v>1636</v>
      </c>
      <c r="E480" s="5">
        <v>34200000</v>
      </c>
      <c r="F480" s="5">
        <v>37200000</v>
      </c>
      <c r="G480" s="5">
        <v>3000000</v>
      </c>
      <c r="H480" s="5">
        <v>3420000</v>
      </c>
      <c r="I480" s="5">
        <v>3720000</v>
      </c>
      <c r="J480" s="5">
        <v>34700000</v>
      </c>
      <c r="K480" s="5">
        <v>37700000</v>
      </c>
      <c r="L480" s="3">
        <v>0.97916666666666663</v>
      </c>
    </row>
    <row r="481" spans="1:12" x14ac:dyDescent="0.25">
      <c r="A481" t="s">
        <v>313</v>
      </c>
      <c r="B481" s="2">
        <v>43068</v>
      </c>
      <c r="C481" t="s">
        <v>19</v>
      </c>
      <c r="D481" t="s">
        <v>1636</v>
      </c>
      <c r="E481" s="5">
        <v>33800000</v>
      </c>
      <c r="F481" s="5">
        <v>36800000</v>
      </c>
      <c r="G481" s="5">
        <v>3000000</v>
      </c>
      <c r="H481" s="5">
        <v>3380000</v>
      </c>
      <c r="I481" s="5">
        <v>3680000</v>
      </c>
      <c r="J481" s="5">
        <v>34300000</v>
      </c>
      <c r="K481" s="5">
        <v>37300000</v>
      </c>
      <c r="L481" s="3">
        <v>0.97916666666666663</v>
      </c>
    </row>
    <row r="482" spans="1:12" x14ac:dyDescent="0.25">
      <c r="A482" t="s">
        <v>314</v>
      </c>
      <c r="B482" s="2">
        <v>43069</v>
      </c>
      <c r="C482" t="s">
        <v>20</v>
      </c>
      <c r="D482" t="s">
        <v>1636</v>
      </c>
      <c r="E482" s="5">
        <v>33600000</v>
      </c>
      <c r="F482" s="5">
        <v>36600000</v>
      </c>
      <c r="G482" s="5">
        <v>3000000</v>
      </c>
      <c r="H482" s="5">
        <v>3360000</v>
      </c>
      <c r="I482" s="5">
        <v>3660000</v>
      </c>
      <c r="J482" s="5">
        <v>34100000</v>
      </c>
      <c r="K482" s="5">
        <v>37100000</v>
      </c>
      <c r="L482" s="3">
        <v>0.97916666666666663</v>
      </c>
    </row>
    <row r="483" spans="1:12" x14ac:dyDescent="0.25">
      <c r="A483" s="2">
        <v>42747</v>
      </c>
      <c r="B483" s="2">
        <v>43070</v>
      </c>
      <c r="C483" t="s">
        <v>21</v>
      </c>
      <c r="D483" t="s">
        <v>1636</v>
      </c>
      <c r="E483" s="5">
        <v>33700000</v>
      </c>
      <c r="F483" s="5">
        <v>36700000</v>
      </c>
      <c r="G483" s="5">
        <v>3000000</v>
      </c>
      <c r="H483" s="5">
        <v>3370000</v>
      </c>
      <c r="I483" s="5">
        <v>3670000</v>
      </c>
      <c r="J483" s="5">
        <v>34200000</v>
      </c>
      <c r="K483" s="5">
        <v>37200000</v>
      </c>
      <c r="L483" s="3">
        <v>0.97916666666666663</v>
      </c>
    </row>
    <row r="484" spans="1:12" x14ac:dyDescent="0.25">
      <c r="A484" s="2">
        <v>42837</v>
      </c>
      <c r="B484" s="2">
        <v>43073</v>
      </c>
      <c r="C484" t="s">
        <v>16</v>
      </c>
      <c r="D484" t="s">
        <v>1636</v>
      </c>
      <c r="E484" s="5">
        <v>33600000</v>
      </c>
      <c r="F484" s="5">
        <v>36600000</v>
      </c>
      <c r="G484" s="5">
        <v>3000000</v>
      </c>
      <c r="H484" s="5">
        <v>3360000</v>
      </c>
      <c r="I484" s="5">
        <v>3660000</v>
      </c>
      <c r="J484" s="5">
        <v>34100000</v>
      </c>
      <c r="K484" s="5">
        <v>37100000</v>
      </c>
      <c r="L484" s="3">
        <v>0.97916666666666663</v>
      </c>
    </row>
    <row r="485" spans="1:12" x14ac:dyDescent="0.25">
      <c r="A485" s="2">
        <v>42867</v>
      </c>
      <c r="B485" s="2">
        <v>43074</v>
      </c>
      <c r="C485" t="s">
        <v>18</v>
      </c>
      <c r="D485" t="s">
        <v>1636</v>
      </c>
      <c r="E485" s="5">
        <v>33300000</v>
      </c>
      <c r="F485" s="5">
        <v>36300000</v>
      </c>
      <c r="G485" s="5">
        <v>3000000</v>
      </c>
      <c r="H485" s="5">
        <v>3330000</v>
      </c>
      <c r="I485" s="5">
        <v>3630000</v>
      </c>
      <c r="J485" s="5">
        <v>33800000</v>
      </c>
      <c r="K485" s="5">
        <v>36800000</v>
      </c>
      <c r="L485" s="3">
        <v>0.97916666666666663</v>
      </c>
    </row>
    <row r="486" spans="1:12" x14ac:dyDescent="0.25">
      <c r="A486" s="2">
        <v>42898</v>
      </c>
      <c r="B486" s="2">
        <v>43075</v>
      </c>
      <c r="C486" t="s">
        <v>19</v>
      </c>
      <c r="D486" t="s">
        <v>1636</v>
      </c>
      <c r="E486" s="5">
        <v>33300000</v>
      </c>
      <c r="F486" s="5">
        <v>36300000</v>
      </c>
      <c r="G486" s="5">
        <v>3000000</v>
      </c>
      <c r="H486" s="5">
        <v>3330000</v>
      </c>
      <c r="I486" s="5">
        <v>3630000</v>
      </c>
      <c r="J486" s="5">
        <v>33800000</v>
      </c>
      <c r="K486" s="5">
        <v>36800000</v>
      </c>
      <c r="L486" s="3">
        <v>0.97916666666666663</v>
      </c>
    </row>
    <row r="487" spans="1:12" x14ac:dyDescent="0.25">
      <c r="A487" s="2">
        <v>42928</v>
      </c>
      <c r="B487" s="2">
        <v>43076</v>
      </c>
      <c r="C487" t="s">
        <v>20</v>
      </c>
      <c r="D487" t="s">
        <v>1636</v>
      </c>
      <c r="E487" s="5">
        <v>32900000</v>
      </c>
      <c r="F487" s="5">
        <v>35900000</v>
      </c>
      <c r="G487" s="5">
        <v>3000000</v>
      </c>
      <c r="H487" s="5">
        <v>3290000</v>
      </c>
      <c r="I487" s="5">
        <v>3590000</v>
      </c>
      <c r="J487" s="5">
        <v>33400000</v>
      </c>
      <c r="K487" s="5">
        <v>36400000</v>
      </c>
      <c r="L487" s="3">
        <v>0.97916666666666663</v>
      </c>
    </row>
    <row r="488" spans="1:12" x14ac:dyDescent="0.25">
      <c r="A488" s="2">
        <v>42959</v>
      </c>
      <c r="B488" s="2">
        <v>43077</v>
      </c>
      <c r="C488" t="s">
        <v>21</v>
      </c>
      <c r="D488" t="s">
        <v>1636</v>
      </c>
      <c r="E488" s="5">
        <v>32800000</v>
      </c>
      <c r="F488" s="5">
        <v>35800000</v>
      </c>
      <c r="G488" s="5">
        <v>3000000</v>
      </c>
      <c r="H488" s="5">
        <v>3280000</v>
      </c>
      <c r="I488" s="5">
        <v>3580000</v>
      </c>
      <c r="J488" s="5">
        <v>33300000</v>
      </c>
      <c r="K488" s="5">
        <v>36300000</v>
      </c>
      <c r="L488" s="3">
        <v>0.97916666666666663</v>
      </c>
    </row>
    <row r="489" spans="1:12" x14ac:dyDescent="0.25">
      <c r="A489" s="2">
        <v>43051</v>
      </c>
      <c r="B489" s="2">
        <v>43080</v>
      </c>
      <c r="C489" t="s">
        <v>16</v>
      </c>
      <c r="D489" t="s">
        <v>1636</v>
      </c>
      <c r="E489" s="5">
        <v>32700000</v>
      </c>
      <c r="F489" s="5">
        <v>35700000</v>
      </c>
      <c r="G489" s="5">
        <v>3000000</v>
      </c>
      <c r="H489" s="5">
        <v>3270000</v>
      </c>
      <c r="I489" s="5">
        <v>3570000</v>
      </c>
      <c r="J489" s="5">
        <v>33200000</v>
      </c>
      <c r="K489" s="5">
        <v>36200000</v>
      </c>
      <c r="L489" s="3">
        <v>0.97916666666666663</v>
      </c>
    </row>
    <row r="490" spans="1:12" x14ac:dyDescent="0.25">
      <c r="A490" s="2">
        <v>43081</v>
      </c>
      <c r="B490" s="2">
        <v>43081</v>
      </c>
      <c r="C490" t="s">
        <v>18</v>
      </c>
      <c r="D490" t="s">
        <v>1636</v>
      </c>
      <c r="E490" s="5">
        <v>32600000</v>
      </c>
      <c r="F490" s="5">
        <v>35600000</v>
      </c>
      <c r="G490" s="5">
        <v>3000000</v>
      </c>
      <c r="H490" s="5">
        <v>3260000</v>
      </c>
      <c r="I490" s="5">
        <v>3560000</v>
      </c>
      <c r="J490" s="5">
        <v>33100000</v>
      </c>
      <c r="K490" s="5">
        <v>36100000</v>
      </c>
      <c r="L490" s="3">
        <v>0.97916666666666663</v>
      </c>
    </row>
    <row r="491" spans="1:12" x14ac:dyDescent="0.25">
      <c r="A491" t="s">
        <v>315</v>
      </c>
      <c r="B491" s="2">
        <v>43082</v>
      </c>
      <c r="C491" t="s">
        <v>19</v>
      </c>
      <c r="D491" t="s">
        <v>1636</v>
      </c>
      <c r="E491" s="5">
        <v>32800000</v>
      </c>
      <c r="F491" s="5">
        <v>35800000</v>
      </c>
      <c r="G491" s="5">
        <v>3000000</v>
      </c>
      <c r="H491" s="5">
        <v>3280000</v>
      </c>
      <c r="I491" s="5">
        <v>3580000</v>
      </c>
      <c r="J491" s="5">
        <v>33300000</v>
      </c>
      <c r="K491" s="5">
        <v>36300000</v>
      </c>
      <c r="L491" s="3">
        <v>0.97916666666666663</v>
      </c>
    </row>
    <row r="492" spans="1:12" x14ac:dyDescent="0.25">
      <c r="A492" t="s">
        <v>316</v>
      </c>
      <c r="B492" s="2">
        <v>43083</v>
      </c>
      <c r="C492" t="s">
        <v>20</v>
      </c>
      <c r="D492" t="s">
        <v>1636</v>
      </c>
      <c r="E492" s="5">
        <v>33000000</v>
      </c>
      <c r="F492" s="5">
        <v>36000000</v>
      </c>
      <c r="G492" s="5">
        <v>3000000</v>
      </c>
      <c r="H492" s="5">
        <v>3300000</v>
      </c>
      <c r="I492" s="5">
        <v>3600000</v>
      </c>
      <c r="J492" s="5">
        <v>33500000</v>
      </c>
      <c r="K492" s="5">
        <v>36500000</v>
      </c>
      <c r="L492" s="3">
        <v>0.97916666666666663</v>
      </c>
    </row>
    <row r="493" spans="1:12" x14ac:dyDescent="0.25">
      <c r="A493" t="s">
        <v>317</v>
      </c>
      <c r="B493" s="2">
        <v>43084</v>
      </c>
      <c r="C493" t="s">
        <v>21</v>
      </c>
      <c r="D493" t="s">
        <v>1636</v>
      </c>
      <c r="E493" s="5">
        <v>33000000</v>
      </c>
      <c r="F493" s="5">
        <v>36000000</v>
      </c>
      <c r="G493" s="5">
        <v>3000000</v>
      </c>
      <c r="H493" s="5">
        <v>3300000</v>
      </c>
      <c r="I493" s="5">
        <v>3600000</v>
      </c>
      <c r="J493" s="5">
        <v>33500000</v>
      </c>
      <c r="K493" s="5">
        <v>36500000</v>
      </c>
      <c r="L493" s="3">
        <v>0.97916666666666663</v>
      </c>
    </row>
    <row r="494" spans="1:12" x14ac:dyDescent="0.25">
      <c r="A494" t="s">
        <v>318</v>
      </c>
      <c r="B494" s="2">
        <v>43087</v>
      </c>
      <c r="C494" t="s">
        <v>16</v>
      </c>
      <c r="D494" t="s">
        <v>1636</v>
      </c>
      <c r="E494" s="5">
        <v>33300000</v>
      </c>
      <c r="F494" s="5">
        <v>36300000</v>
      </c>
      <c r="G494" s="5">
        <v>3000000</v>
      </c>
      <c r="H494" s="5">
        <v>3330000</v>
      </c>
      <c r="I494" s="5">
        <v>3630000</v>
      </c>
      <c r="J494" s="5">
        <v>33800000</v>
      </c>
      <c r="K494" s="5">
        <v>36800000</v>
      </c>
      <c r="L494" s="3">
        <v>0.97916666666666663</v>
      </c>
    </row>
    <row r="495" spans="1:12" x14ac:dyDescent="0.25">
      <c r="A495" t="s">
        <v>319</v>
      </c>
      <c r="B495" s="2">
        <v>43088</v>
      </c>
      <c r="C495" t="s">
        <v>18</v>
      </c>
      <c r="D495" t="s">
        <v>1636</v>
      </c>
      <c r="E495" s="5">
        <v>33200000</v>
      </c>
      <c r="F495" s="5">
        <v>36200000</v>
      </c>
      <c r="G495" s="5">
        <v>3000000</v>
      </c>
      <c r="H495" s="5">
        <v>3320000</v>
      </c>
      <c r="I495" s="5">
        <v>3620000</v>
      </c>
      <c r="J495" s="5">
        <v>33700000</v>
      </c>
      <c r="K495" s="5">
        <v>36700000</v>
      </c>
      <c r="L495" s="3">
        <v>0.97916666666666663</v>
      </c>
    </row>
    <row r="496" spans="1:12" x14ac:dyDescent="0.25">
      <c r="A496" t="s">
        <v>320</v>
      </c>
      <c r="B496" s="2">
        <v>43089</v>
      </c>
      <c r="C496" t="s">
        <v>19</v>
      </c>
      <c r="D496" t="s">
        <v>1636</v>
      </c>
      <c r="E496" s="5">
        <v>33400000</v>
      </c>
      <c r="F496" s="5">
        <v>36400000</v>
      </c>
      <c r="G496" s="5">
        <v>3000000</v>
      </c>
      <c r="H496" s="5">
        <v>3340000</v>
      </c>
      <c r="I496" s="5">
        <v>3640000</v>
      </c>
      <c r="J496" s="5">
        <v>33900000</v>
      </c>
      <c r="K496" s="5">
        <v>36900000</v>
      </c>
      <c r="L496" s="3">
        <v>0.97916666666666663</v>
      </c>
    </row>
    <row r="497" spans="1:12" x14ac:dyDescent="0.25">
      <c r="A497" t="s">
        <v>321</v>
      </c>
      <c r="B497" s="2">
        <v>43090</v>
      </c>
      <c r="C497" t="s">
        <v>20</v>
      </c>
      <c r="D497" t="s">
        <v>1636</v>
      </c>
      <c r="E497" s="5">
        <v>33400000</v>
      </c>
      <c r="F497" s="5">
        <v>36400000</v>
      </c>
      <c r="G497" s="5">
        <v>3000000</v>
      </c>
      <c r="H497" s="5">
        <v>3340000</v>
      </c>
      <c r="I497" s="5">
        <v>3640000</v>
      </c>
      <c r="J497" s="5">
        <v>33900000</v>
      </c>
      <c r="K497" s="5">
        <v>36900000</v>
      </c>
      <c r="L497" s="3">
        <v>0.97916666666666663</v>
      </c>
    </row>
    <row r="498" spans="1:12" x14ac:dyDescent="0.25">
      <c r="A498" t="s">
        <v>322</v>
      </c>
      <c r="B498" s="2">
        <v>43091</v>
      </c>
      <c r="C498" t="s">
        <v>21</v>
      </c>
      <c r="D498" t="s">
        <v>1636</v>
      </c>
      <c r="E498" s="5">
        <v>33700000</v>
      </c>
      <c r="F498" s="5">
        <v>36700000</v>
      </c>
      <c r="G498" s="5">
        <v>3000000</v>
      </c>
      <c r="H498" s="5">
        <v>3370000</v>
      </c>
      <c r="I498" s="5">
        <v>3670000</v>
      </c>
      <c r="J498" s="5">
        <v>34200000</v>
      </c>
      <c r="K498" s="5">
        <v>37200000</v>
      </c>
      <c r="L498" s="3">
        <v>0.97916666666666663</v>
      </c>
    </row>
    <row r="499" spans="1:12" x14ac:dyDescent="0.25">
      <c r="A499" t="s">
        <v>323</v>
      </c>
      <c r="B499" s="2">
        <v>43095</v>
      </c>
      <c r="C499" t="s">
        <v>18</v>
      </c>
      <c r="D499" t="s">
        <v>1636</v>
      </c>
      <c r="E499" s="5">
        <v>33900000</v>
      </c>
      <c r="F499" s="5">
        <v>36900000</v>
      </c>
      <c r="G499" s="5">
        <v>3000000</v>
      </c>
      <c r="H499" s="5">
        <v>3390000</v>
      </c>
      <c r="I499" s="5">
        <v>3690000</v>
      </c>
      <c r="J499" s="5">
        <v>34400000</v>
      </c>
      <c r="K499" s="5">
        <v>37400000</v>
      </c>
      <c r="L499" s="3">
        <v>0.97916666666666663</v>
      </c>
    </row>
    <row r="500" spans="1:12" x14ac:dyDescent="0.25">
      <c r="A500" t="s">
        <v>324</v>
      </c>
      <c r="B500" s="2">
        <v>43096</v>
      </c>
      <c r="C500" t="s">
        <v>19</v>
      </c>
      <c r="D500" t="s">
        <v>1636</v>
      </c>
      <c r="E500" s="5">
        <v>34000000</v>
      </c>
      <c r="F500" s="5">
        <v>37000000</v>
      </c>
      <c r="G500" s="5">
        <v>3000000</v>
      </c>
      <c r="H500" s="5">
        <v>3400000</v>
      </c>
      <c r="I500" s="5">
        <v>3700000</v>
      </c>
      <c r="J500" s="5">
        <v>34500000</v>
      </c>
      <c r="K500" s="5">
        <v>37500000</v>
      </c>
      <c r="L500" s="3">
        <v>0.97916666666666663</v>
      </c>
    </row>
    <row r="501" spans="1:12" x14ac:dyDescent="0.25">
      <c r="A501" t="s">
        <v>325</v>
      </c>
      <c r="B501" s="2">
        <v>43097</v>
      </c>
      <c r="C501" t="s">
        <v>20</v>
      </c>
      <c r="D501" t="s">
        <v>1636</v>
      </c>
      <c r="E501" s="5">
        <v>34200000</v>
      </c>
      <c r="F501" s="5">
        <v>37200000</v>
      </c>
      <c r="G501" s="5">
        <v>3000000</v>
      </c>
      <c r="H501" s="5">
        <v>3420000</v>
      </c>
      <c r="I501" s="5">
        <v>3720000</v>
      </c>
      <c r="J501" s="5">
        <v>34700000</v>
      </c>
      <c r="K501" s="5">
        <v>37700000</v>
      </c>
      <c r="L501" s="3">
        <v>0.97916666666666663</v>
      </c>
    </row>
    <row r="502" spans="1:12" x14ac:dyDescent="0.25">
      <c r="A502" t="s">
        <v>326</v>
      </c>
      <c r="B502" s="2">
        <v>43098</v>
      </c>
      <c r="C502" t="s">
        <v>21</v>
      </c>
      <c r="D502" t="s">
        <v>1636</v>
      </c>
      <c r="E502" s="5">
        <v>34500000</v>
      </c>
      <c r="F502" s="5">
        <v>37500000</v>
      </c>
      <c r="G502" s="5">
        <v>3000000</v>
      </c>
      <c r="H502" s="5">
        <v>3450000</v>
      </c>
      <c r="I502" s="5">
        <v>3750000</v>
      </c>
      <c r="J502" s="5">
        <v>35000000</v>
      </c>
      <c r="K502" s="5">
        <v>38000000</v>
      </c>
      <c r="L502" s="3">
        <v>0.97916666666666663</v>
      </c>
    </row>
    <row r="503" spans="1:12" x14ac:dyDescent="0.25">
      <c r="A503" s="2">
        <v>43132</v>
      </c>
      <c r="B503" s="2">
        <v>43102</v>
      </c>
      <c r="C503" t="s">
        <v>18</v>
      </c>
      <c r="D503" t="s">
        <v>1636</v>
      </c>
      <c r="E503" s="5">
        <v>35000000</v>
      </c>
      <c r="F503" s="5">
        <v>38000000</v>
      </c>
      <c r="G503" s="5">
        <v>3000000</v>
      </c>
      <c r="H503" s="5">
        <v>3500000</v>
      </c>
      <c r="I503" s="5">
        <v>3800000</v>
      </c>
      <c r="J503" s="5">
        <v>35500000</v>
      </c>
      <c r="K503" s="5">
        <v>38500000</v>
      </c>
      <c r="L503" s="3">
        <v>0.97916666666666663</v>
      </c>
    </row>
    <row r="504" spans="1:12" x14ac:dyDescent="0.25">
      <c r="A504" s="2">
        <v>43160</v>
      </c>
      <c r="B504" s="2">
        <v>43103</v>
      </c>
      <c r="C504" t="s">
        <v>19</v>
      </c>
      <c r="D504" t="s">
        <v>1636</v>
      </c>
      <c r="E504" s="5">
        <v>35100000</v>
      </c>
      <c r="F504" s="5">
        <v>38100000</v>
      </c>
      <c r="G504" s="5">
        <v>3000000</v>
      </c>
      <c r="H504" s="5">
        <v>3510000</v>
      </c>
      <c r="I504" s="5">
        <v>3810000</v>
      </c>
      <c r="J504" s="5">
        <v>35600000</v>
      </c>
      <c r="K504" s="5">
        <v>38600000</v>
      </c>
      <c r="L504" s="3">
        <v>0.97916666666666663</v>
      </c>
    </row>
    <row r="505" spans="1:12" x14ac:dyDescent="0.25">
      <c r="A505" s="2">
        <v>43191</v>
      </c>
      <c r="B505" s="2">
        <v>43104</v>
      </c>
      <c r="C505" t="s">
        <v>20</v>
      </c>
      <c r="D505" t="s">
        <v>1636</v>
      </c>
      <c r="E505" s="5">
        <v>35200000</v>
      </c>
      <c r="F505" s="5">
        <v>38200000</v>
      </c>
      <c r="G505" s="5">
        <v>3000000</v>
      </c>
      <c r="H505" s="5">
        <v>3520000</v>
      </c>
      <c r="I505" s="5">
        <v>3820000</v>
      </c>
      <c r="J505" s="5">
        <v>35700000</v>
      </c>
      <c r="K505" s="5">
        <v>38700000</v>
      </c>
      <c r="L505" s="3">
        <v>0.97916666666666663</v>
      </c>
    </row>
    <row r="506" spans="1:12" x14ac:dyDescent="0.25">
      <c r="A506" s="2">
        <v>43221</v>
      </c>
      <c r="B506" s="2">
        <v>43105</v>
      </c>
      <c r="C506" t="s">
        <v>21</v>
      </c>
      <c r="D506" t="s">
        <v>1636</v>
      </c>
      <c r="E506" s="5">
        <v>35200000</v>
      </c>
      <c r="F506" s="5">
        <v>38200000</v>
      </c>
      <c r="G506" s="5">
        <v>3000000</v>
      </c>
      <c r="H506" s="5">
        <v>3520000</v>
      </c>
      <c r="I506" s="5">
        <v>3820000</v>
      </c>
      <c r="J506" s="5">
        <v>35700000</v>
      </c>
      <c r="K506" s="5">
        <v>38700000</v>
      </c>
      <c r="L506" s="3">
        <v>0.97916666666666663</v>
      </c>
    </row>
    <row r="507" spans="1:12" x14ac:dyDescent="0.25">
      <c r="A507" s="2">
        <v>43313</v>
      </c>
      <c r="B507" s="2">
        <v>43108</v>
      </c>
      <c r="C507" t="s">
        <v>16</v>
      </c>
      <c r="D507" t="s">
        <v>1636</v>
      </c>
      <c r="E507" s="5">
        <v>35100000</v>
      </c>
      <c r="F507" s="5">
        <v>38100000</v>
      </c>
      <c r="G507" s="5">
        <v>3000000</v>
      </c>
      <c r="H507" s="5">
        <v>3510000</v>
      </c>
      <c r="I507" s="5">
        <v>3810000</v>
      </c>
      <c r="J507" s="5">
        <v>35600000</v>
      </c>
      <c r="K507" s="5">
        <v>38600000</v>
      </c>
      <c r="L507" s="3">
        <v>0.97916666666666663</v>
      </c>
    </row>
    <row r="508" spans="1:12" x14ac:dyDescent="0.25">
      <c r="A508" s="2">
        <v>43344</v>
      </c>
      <c r="B508" s="2">
        <v>43109</v>
      </c>
      <c r="C508" t="s">
        <v>18</v>
      </c>
      <c r="D508" t="s">
        <v>1636</v>
      </c>
      <c r="E508" s="5">
        <v>34900000</v>
      </c>
      <c r="F508" s="5">
        <v>37900000</v>
      </c>
      <c r="G508" s="5">
        <v>3000000</v>
      </c>
      <c r="H508" s="5">
        <v>3490000</v>
      </c>
      <c r="I508" s="5">
        <v>3790000</v>
      </c>
      <c r="J508" s="5">
        <v>35400000</v>
      </c>
      <c r="K508" s="5">
        <v>38400000</v>
      </c>
      <c r="L508" s="3">
        <v>0.97916666666666663</v>
      </c>
    </row>
    <row r="509" spans="1:12" x14ac:dyDescent="0.25">
      <c r="A509" s="2">
        <v>43374</v>
      </c>
      <c r="B509" s="2">
        <v>43110</v>
      </c>
      <c r="C509" t="s">
        <v>19</v>
      </c>
      <c r="D509" t="s">
        <v>1636</v>
      </c>
      <c r="E509" s="5">
        <v>35100000</v>
      </c>
      <c r="F509" s="5">
        <v>38100000</v>
      </c>
      <c r="G509" s="5">
        <v>3000000</v>
      </c>
      <c r="H509" s="5">
        <v>3510000</v>
      </c>
      <c r="I509" s="5">
        <v>3810000</v>
      </c>
      <c r="J509" s="5">
        <v>35600000</v>
      </c>
      <c r="K509" s="5">
        <v>38600000</v>
      </c>
      <c r="L509" s="3">
        <v>0.97916666666666663</v>
      </c>
    </row>
    <row r="510" spans="1:12" x14ac:dyDescent="0.25">
      <c r="A510" s="2">
        <v>43405</v>
      </c>
      <c r="B510" s="2">
        <v>43111</v>
      </c>
      <c r="C510" t="s">
        <v>20</v>
      </c>
      <c r="D510" t="s">
        <v>1636</v>
      </c>
      <c r="E510" s="5">
        <v>35200000</v>
      </c>
      <c r="F510" s="5">
        <v>38200000</v>
      </c>
      <c r="G510" s="5">
        <v>3000000</v>
      </c>
      <c r="H510" s="5">
        <v>3520000</v>
      </c>
      <c r="I510" s="5">
        <v>3820000</v>
      </c>
      <c r="J510" s="5">
        <v>35700000</v>
      </c>
      <c r="K510" s="5">
        <v>38700000</v>
      </c>
      <c r="L510" s="3">
        <v>0.97916666666666663</v>
      </c>
    </row>
    <row r="511" spans="1:12" x14ac:dyDescent="0.25">
      <c r="A511" s="2">
        <v>43435</v>
      </c>
      <c r="B511" s="2">
        <v>43112</v>
      </c>
      <c r="C511" t="s">
        <v>21</v>
      </c>
      <c r="D511" t="s">
        <v>1636</v>
      </c>
      <c r="E511" s="5">
        <v>35600000</v>
      </c>
      <c r="F511" s="5">
        <v>38600000</v>
      </c>
      <c r="G511" s="5">
        <v>3000000</v>
      </c>
      <c r="H511" s="5">
        <v>3560000</v>
      </c>
      <c r="I511" s="5">
        <v>3860000</v>
      </c>
      <c r="J511" s="5">
        <v>36100000</v>
      </c>
      <c r="K511" s="5">
        <v>39100000</v>
      </c>
      <c r="L511" s="3">
        <v>0.97916666666666663</v>
      </c>
    </row>
    <row r="512" spans="1:12" x14ac:dyDescent="0.25">
      <c r="A512" t="s">
        <v>327</v>
      </c>
      <c r="B512" s="2">
        <v>43116</v>
      </c>
      <c r="C512" t="s">
        <v>18</v>
      </c>
      <c r="D512" t="s">
        <v>1636</v>
      </c>
      <c r="E512" s="5">
        <v>35600000</v>
      </c>
      <c r="F512" s="5">
        <v>38600000</v>
      </c>
      <c r="G512" s="5">
        <v>3000000</v>
      </c>
      <c r="H512" s="5">
        <v>3560000</v>
      </c>
      <c r="I512" s="5">
        <v>3860000</v>
      </c>
      <c r="J512" s="5">
        <v>36100000</v>
      </c>
      <c r="K512" s="5">
        <v>39100000</v>
      </c>
      <c r="L512" s="3">
        <v>0.97916666666666663</v>
      </c>
    </row>
    <row r="513" spans="1:12" x14ac:dyDescent="0.25">
      <c r="A513" t="s">
        <v>328</v>
      </c>
      <c r="B513" s="2">
        <v>43117</v>
      </c>
      <c r="C513" t="s">
        <v>19</v>
      </c>
      <c r="D513" t="s">
        <v>1636</v>
      </c>
      <c r="E513" s="5">
        <v>35700000</v>
      </c>
      <c r="F513" s="5">
        <v>38700000</v>
      </c>
      <c r="G513" s="5">
        <v>3000000</v>
      </c>
      <c r="H513" s="5">
        <v>3570000</v>
      </c>
      <c r="I513" s="5">
        <v>3870000</v>
      </c>
      <c r="J513" s="5">
        <v>36200000</v>
      </c>
      <c r="K513" s="5">
        <v>39200000</v>
      </c>
      <c r="L513" s="3">
        <v>0.97916666666666663</v>
      </c>
    </row>
    <row r="514" spans="1:12" x14ac:dyDescent="0.25">
      <c r="A514" t="s">
        <v>329</v>
      </c>
      <c r="B514" s="2">
        <v>43118</v>
      </c>
      <c r="C514" t="s">
        <v>20</v>
      </c>
      <c r="D514" t="s">
        <v>1636</v>
      </c>
      <c r="E514" s="5">
        <v>35400000</v>
      </c>
      <c r="F514" s="5">
        <v>38400000</v>
      </c>
      <c r="G514" s="5">
        <v>3000000</v>
      </c>
      <c r="H514" s="5">
        <v>3540000</v>
      </c>
      <c r="I514" s="5">
        <v>3840000</v>
      </c>
      <c r="J514" s="5">
        <v>35900000</v>
      </c>
      <c r="K514" s="5">
        <v>38900000</v>
      </c>
      <c r="L514" s="3">
        <v>0.97916666666666663</v>
      </c>
    </row>
    <row r="515" spans="1:12" x14ac:dyDescent="0.25">
      <c r="A515" t="s">
        <v>330</v>
      </c>
      <c r="B515" s="2">
        <v>43119</v>
      </c>
      <c r="C515" t="s">
        <v>21</v>
      </c>
      <c r="D515" t="s">
        <v>1636</v>
      </c>
      <c r="E515" s="5">
        <v>35500000</v>
      </c>
      <c r="F515" s="5">
        <v>38500000</v>
      </c>
      <c r="G515" s="5">
        <v>3000000</v>
      </c>
      <c r="H515" s="5">
        <v>3550000</v>
      </c>
      <c r="I515" s="5">
        <v>3850000</v>
      </c>
      <c r="J515" s="5">
        <v>36000000</v>
      </c>
      <c r="K515" s="5">
        <v>39000000</v>
      </c>
      <c r="L515" s="3">
        <v>0.97916666666666663</v>
      </c>
    </row>
    <row r="516" spans="1:12" x14ac:dyDescent="0.25">
      <c r="A516" t="s">
        <v>331</v>
      </c>
      <c r="B516" s="2">
        <v>43122</v>
      </c>
      <c r="C516" t="s">
        <v>16</v>
      </c>
      <c r="D516" t="s">
        <v>1636</v>
      </c>
      <c r="E516" s="5">
        <v>35500000</v>
      </c>
      <c r="F516" s="5">
        <v>38500000</v>
      </c>
      <c r="G516" s="5">
        <v>3000000</v>
      </c>
      <c r="H516" s="5">
        <v>3550000</v>
      </c>
      <c r="I516" s="5">
        <v>3850000</v>
      </c>
      <c r="J516" s="5">
        <v>36000000</v>
      </c>
      <c r="K516" s="5">
        <v>39000000</v>
      </c>
      <c r="L516" s="3">
        <v>0.97916666666666663</v>
      </c>
    </row>
    <row r="517" spans="1:12" x14ac:dyDescent="0.25">
      <c r="A517" t="s">
        <v>332</v>
      </c>
      <c r="B517" s="2">
        <v>43123</v>
      </c>
      <c r="C517" t="s">
        <v>18</v>
      </c>
      <c r="D517" t="s">
        <v>1636</v>
      </c>
      <c r="E517" s="5">
        <v>35600000</v>
      </c>
      <c r="F517" s="5">
        <v>38600000</v>
      </c>
      <c r="G517" s="5">
        <v>3000000</v>
      </c>
      <c r="H517" s="5">
        <v>3560000</v>
      </c>
      <c r="I517" s="5">
        <v>3860000</v>
      </c>
      <c r="J517" s="5">
        <v>36100000</v>
      </c>
      <c r="K517" s="5">
        <v>39100000</v>
      </c>
      <c r="L517" s="3">
        <v>0.97916666666666663</v>
      </c>
    </row>
    <row r="518" spans="1:12" x14ac:dyDescent="0.25">
      <c r="A518" t="s">
        <v>333</v>
      </c>
      <c r="B518" s="2">
        <v>43124</v>
      </c>
      <c r="C518" t="s">
        <v>19</v>
      </c>
      <c r="D518" t="s">
        <v>1636</v>
      </c>
      <c r="E518" s="5">
        <v>36200000</v>
      </c>
      <c r="F518" s="5">
        <v>39200000</v>
      </c>
      <c r="G518" s="5">
        <v>3000000</v>
      </c>
      <c r="H518" s="5">
        <v>3620000</v>
      </c>
      <c r="I518" s="5">
        <v>3920000</v>
      </c>
      <c r="J518" s="5">
        <v>36700000</v>
      </c>
      <c r="K518" s="5">
        <v>39700000</v>
      </c>
      <c r="L518" s="3">
        <v>0.97916666666666663</v>
      </c>
    </row>
    <row r="519" spans="1:12" x14ac:dyDescent="0.25">
      <c r="A519" t="s">
        <v>334</v>
      </c>
      <c r="B519" s="2">
        <v>43125</v>
      </c>
      <c r="C519" t="s">
        <v>20</v>
      </c>
      <c r="D519" t="s">
        <v>1636</v>
      </c>
      <c r="E519" s="5">
        <v>36400000</v>
      </c>
      <c r="F519" s="5">
        <v>39400000</v>
      </c>
      <c r="G519" s="5">
        <v>3000000</v>
      </c>
      <c r="H519" s="5">
        <v>3640000</v>
      </c>
      <c r="I519" s="5">
        <v>3940000</v>
      </c>
      <c r="J519" s="5">
        <v>36900000</v>
      </c>
      <c r="K519" s="5">
        <v>39900000</v>
      </c>
      <c r="L519" s="3">
        <v>0.97916666666666663</v>
      </c>
    </row>
    <row r="520" spans="1:12" x14ac:dyDescent="0.25">
      <c r="A520" t="s">
        <v>335</v>
      </c>
      <c r="B520" s="2">
        <v>43126</v>
      </c>
      <c r="C520" t="s">
        <v>21</v>
      </c>
      <c r="D520" t="s">
        <v>1636</v>
      </c>
      <c r="E520" s="5">
        <v>36100000</v>
      </c>
      <c r="F520" s="5">
        <v>39100000</v>
      </c>
      <c r="G520" s="5">
        <v>3000000</v>
      </c>
      <c r="H520" s="5">
        <v>3610000</v>
      </c>
      <c r="I520" s="5">
        <v>3910000</v>
      </c>
      <c r="J520" s="5">
        <v>36600000</v>
      </c>
      <c r="K520" s="5">
        <v>39600000</v>
      </c>
      <c r="L520" s="3">
        <v>0.97916666666666663</v>
      </c>
    </row>
    <row r="521" spans="1:12" x14ac:dyDescent="0.25">
      <c r="A521" t="s">
        <v>336</v>
      </c>
      <c r="B521" s="2">
        <v>43130</v>
      </c>
      <c r="C521" t="s">
        <v>18</v>
      </c>
      <c r="D521" t="s">
        <v>1636</v>
      </c>
      <c r="E521" s="5">
        <v>35600000</v>
      </c>
      <c r="F521" s="5">
        <v>38600000</v>
      </c>
      <c r="G521" s="5">
        <v>3000000</v>
      </c>
      <c r="H521" s="5">
        <v>3560000</v>
      </c>
      <c r="I521" s="5">
        <v>3860000</v>
      </c>
      <c r="J521" s="5">
        <v>36100000</v>
      </c>
      <c r="K521" s="5">
        <v>39100000</v>
      </c>
      <c r="L521" s="3">
        <v>0.97916666666666663</v>
      </c>
    </row>
    <row r="522" spans="1:12" x14ac:dyDescent="0.25">
      <c r="A522" t="s">
        <v>337</v>
      </c>
      <c r="B522" s="2">
        <v>43131</v>
      </c>
      <c r="C522" t="s">
        <v>19</v>
      </c>
      <c r="D522" t="s">
        <v>1636</v>
      </c>
      <c r="E522" s="5">
        <v>35700000</v>
      </c>
      <c r="F522" s="5">
        <v>38700000</v>
      </c>
      <c r="G522" s="5">
        <v>3000000</v>
      </c>
      <c r="H522" s="5">
        <v>3570000</v>
      </c>
      <c r="I522" s="5">
        <v>3870000</v>
      </c>
      <c r="J522" s="5">
        <v>36200000</v>
      </c>
      <c r="K522" s="5">
        <v>39200000</v>
      </c>
      <c r="L522" s="3">
        <v>0.97916666666666663</v>
      </c>
    </row>
    <row r="523" spans="1:12" x14ac:dyDescent="0.25">
      <c r="A523" s="2">
        <v>43102</v>
      </c>
      <c r="B523" s="2">
        <v>43132</v>
      </c>
      <c r="C523" t="s">
        <v>20</v>
      </c>
      <c r="D523" t="s">
        <v>1636</v>
      </c>
      <c r="E523" s="5">
        <v>35900000</v>
      </c>
      <c r="F523" s="5">
        <v>38900000</v>
      </c>
      <c r="G523" s="5">
        <v>3000000</v>
      </c>
      <c r="H523" s="5">
        <v>3590000</v>
      </c>
      <c r="I523" s="5">
        <v>3890000</v>
      </c>
      <c r="J523" s="5">
        <v>36400000</v>
      </c>
      <c r="K523" s="5">
        <v>39400000</v>
      </c>
      <c r="L523" s="3">
        <v>0.97916666666666663</v>
      </c>
    </row>
    <row r="524" spans="1:12" x14ac:dyDescent="0.25">
      <c r="A524" s="2">
        <v>43133</v>
      </c>
      <c r="B524" s="2">
        <v>43133</v>
      </c>
      <c r="C524" t="s">
        <v>21</v>
      </c>
      <c r="D524" t="s">
        <v>1636</v>
      </c>
      <c r="E524" s="5">
        <v>35600000</v>
      </c>
      <c r="F524" s="5">
        <v>38600000</v>
      </c>
      <c r="G524" s="5">
        <v>3000000</v>
      </c>
      <c r="H524" s="5">
        <v>3560000</v>
      </c>
      <c r="I524" s="5">
        <v>3860000</v>
      </c>
      <c r="J524" s="5">
        <v>36100000</v>
      </c>
      <c r="K524" s="5">
        <v>39100000</v>
      </c>
      <c r="L524" s="3">
        <v>0.97916666666666663</v>
      </c>
    </row>
    <row r="525" spans="1:12" x14ac:dyDescent="0.25">
      <c r="A525" s="2">
        <v>43222</v>
      </c>
      <c r="B525" s="2">
        <v>43136</v>
      </c>
      <c r="C525" t="s">
        <v>16</v>
      </c>
      <c r="D525" t="s">
        <v>1636</v>
      </c>
      <c r="E525" s="5">
        <v>35600000</v>
      </c>
      <c r="F525" s="5">
        <v>38600000</v>
      </c>
      <c r="G525" s="5">
        <v>3000000</v>
      </c>
      <c r="H525" s="5">
        <v>3560000</v>
      </c>
      <c r="I525" s="5">
        <v>3860000</v>
      </c>
      <c r="J525" s="5">
        <v>36100000</v>
      </c>
      <c r="K525" s="5">
        <v>39100000</v>
      </c>
      <c r="L525" s="3">
        <v>0.97916666666666663</v>
      </c>
    </row>
    <row r="526" spans="1:12" x14ac:dyDescent="0.25">
      <c r="A526" s="2">
        <v>43253</v>
      </c>
      <c r="B526" s="2">
        <v>43137</v>
      </c>
      <c r="C526" t="s">
        <v>18</v>
      </c>
      <c r="D526" t="s">
        <v>1636</v>
      </c>
      <c r="E526" s="5">
        <v>35400000</v>
      </c>
      <c r="F526" s="5">
        <v>38400000</v>
      </c>
      <c r="G526" s="5">
        <v>3000000</v>
      </c>
      <c r="H526" s="5">
        <v>3540000</v>
      </c>
      <c r="I526" s="5">
        <v>3840000</v>
      </c>
      <c r="J526" s="5">
        <v>35900000</v>
      </c>
      <c r="K526" s="5">
        <v>38900000</v>
      </c>
      <c r="L526" s="3">
        <v>0.97916666666666663</v>
      </c>
    </row>
    <row r="527" spans="1:12" x14ac:dyDescent="0.25">
      <c r="A527" s="2">
        <v>43283</v>
      </c>
      <c r="B527" s="2">
        <v>43138</v>
      </c>
      <c r="C527" t="s">
        <v>19</v>
      </c>
      <c r="D527" t="s">
        <v>1636</v>
      </c>
      <c r="E527" s="5">
        <v>34900000</v>
      </c>
      <c r="F527" s="5">
        <v>37900000</v>
      </c>
      <c r="G527" s="5">
        <v>3000000</v>
      </c>
      <c r="H527" s="5">
        <v>3490000</v>
      </c>
      <c r="I527" s="5">
        <v>3790000</v>
      </c>
      <c r="J527" s="5">
        <v>35400000</v>
      </c>
      <c r="K527" s="5">
        <v>38400000</v>
      </c>
      <c r="L527" s="3">
        <v>0.97916666666666663</v>
      </c>
    </row>
    <row r="528" spans="1:12" x14ac:dyDescent="0.25">
      <c r="A528" s="2">
        <v>43314</v>
      </c>
      <c r="B528" s="2">
        <v>43139</v>
      </c>
      <c r="C528" t="s">
        <v>20</v>
      </c>
      <c r="D528" t="s">
        <v>1636</v>
      </c>
      <c r="E528" s="5">
        <v>35100000</v>
      </c>
      <c r="F528" s="5">
        <v>38100000</v>
      </c>
      <c r="G528" s="5">
        <v>3000000</v>
      </c>
      <c r="H528" s="5">
        <v>3510000</v>
      </c>
      <c r="I528" s="5">
        <v>3810000</v>
      </c>
      <c r="J528" s="5">
        <v>35600000</v>
      </c>
      <c r="K528" s="5">
        <v>38600000</v>
      </c>
      <c r="L528" s="3">
        <v>0.97916666666666663</v>
      </c>
    </row>
    <row r="529" spans="1:12" x14ac:dyDescent="0.25">
      <c r="A529" s="2">
        <v>43345</v>
      </c>
      <c r="B529" s="2">
        <v>43140</v>
      </c>
      <c r="C529" t="s">
        <v>21</v>
      </c>
      <c r="D529" t="s">
        <v>1636</v>
      </c>
      <c r="E529" s="5">
        <v>35000000</v>
      </c>
      <c r="F529" s="5">
        <v>38000000</v>
      </c>
      <c r="G529" s="5">
        <v>3000000</v>
      </c>
      <c r="H529" s="5">
        <v>3500000</v>
      </c>
      <c r="I529" s="5">
        <v>3800000</v>
      </c>
      <c r="J529" s="5">
        <v>35500000</v>
      </c>
      <c r="K529" s="5">
        <v>38500000</v>
      </c>
      <c r="L529" s="3">
        <v>0.97916666666666663</v>
      </c>
    </row>
    <row r="530" spans="1:12" x14ac:dyDescent="0.25">
      <c r="A530" s="2">
        <v>43436</v>
      </c>
      <c r="B530" s="2">
        <v>43143</v>
      </c>
      <c r="C530" t="s">
        <v>16</v>
      </c>
      <c r="D530" t="s">
        <v>1636</v>
      </c>
      <c r="E530" s="5">
        <v>35300000</v>
      </c>
      <c r="F530" s="5">
        <v>38300000</v>
      </c>
      <c r="G530" s="5">
        <v>3000000</v>
      </c>
      <c r="H530" s="5">
        <v>3530000</v>
      </c>
      <c r="I530" s="5">
        <v>3830000</v>
      </c>
      <c r="J530" s="5">
        <v>35800000</v>
      </c>
      <c r="K530" s="5">
        <v>38800000</v>
      </c>
      <c r="L530" s="3">
        <v>0.97916666666666663</v>
      </c>
    </row>
    <row r="531" spans="1:12" x14ac:dyDescent="0.25">
      <c r="A531" t="s">
        <v>338</v>
      </c>
      <c r="B531" s="2">
        <v>43144</v>
      </c>
      <c r="C531" t="s">
        <v>18</v>
      </c>
      <c r="D531" t="s">
        <v>1636</v>
      </c>
      <c r="E531" s="5">
        <v>35400000</v>
      </c>
      <c r="F531" s="5">
        <v>38400000</v>
      </c>
      <c r="G531" s="5">
        <v>3000000</v>
      </c>
      <c r="H531" s="5">
        <v>3540000</v>
      </c>
      <c r="I531" s="5">
        <v>3840000</v>
      </c>
      <c r="J531" s="5">
        <v>35900000</v>
      </c>
      <c r="K531" s="5">
        <v>38900000</v>
      </c>
      <c r="L531" s="3">
        <v>0.97916666666666663</v>
      </c>
    </row>
    <row r="532" spans="1:12" x14ac:dyDescent="0.25">
      <c r="A532" t="s">
        <v>339</v>
      </c>
      <c r="B532" s="2">
        <v>43145</v>
      </c>
      <c r="C532" t="s">
        <v>19</v>
      </c>
      <c r="D532" t="s">
        <v>1636</v>
      </c>
      <c r="E532" s="5">
        <v>36200000</v>
      </c>
      <c r="F532" s="5">
        <v>39200000</v>
      </c>
      <c r="G532" s="5">
        <v>3000000</v>
      </c>
      <c r="H532" s="5">
        <v>3620000</v>
      </c>
      <c r="I532" s="5">
        <v>3920000</v>
      </c>
      <c r="J532" s="5">
        <v>36700000</v>
      </c>
      <c r="K532" s="5">
        <v>39700000</v>
      </c>
      <c r="L532" s="3">
        <v>0.97916666666666663</v>
      </c>
    </row>
    <row r="533" spans="1:12" x14ac:dyDescent="0.25">
      <c r="A533" t="s">
        <v>340</v>
      </c>
      <c r="B533" s="2">
        <v>43146</v>
      </c>
      <c r="C533" t="s">
        <v>20</v>
      </c>
      <c r="D533" t="s">
        <v>1636</v>
      </c>
      <c r="E533" s="5">
        <v>36100000</v>
      </c>
      <c r="F533" s="5">
        <v>39100000</v>
      </c>
      <c r="G533" s="5">
        <v>3000000</v>
      </c>
      <c r="H533" s="5">
        <v>3610000</v>
      </c>
      <c r="I533" s="5">
        <v>3910000</v>
      </c>
      <c r="J533" s="5">
        <v>36600000</v>
      </c>
      <c r="K533" s="5">
        <v>39600000</v>
      </c>
      <c r="L533" s="3">
        <v>0.97916666666666663</v>
      </c>
    </row>
    <row r="534" spans="1:12" x14ac:dyDescent="0.25">
      <c r="A534" t="s">
        <v>341</v>
      </c>
      <c r="B534" s="2">
        <v>43147</v>
      </c>
      <c r="C534" t="s">
        <v>21</v>
      </c>
      <c r="D534" t="s">
        <v>1636</v>
      </c>
      <c r="E534" s="5">
        <v>36100000</v>
      </c>
      <c r="F534" s="5">
        <v>39100000</v>
      </c>
      <c r="G534" s="5">
        <v>3000000</v>
      </c>
      <c r="H534" s="5">
        <v>3610000</v>
      </c>
      <c r="I534" s="5">
        <v>3910000</v>
      </c>
      <c r="J534" s="5">
        <v>36600000</v>
      </c>
      <c r="K534" s="5">
        <v>39600000</v>
      </c>
      <c r="L534" s="3">
        <v>0.97916666666666663</v>
      </c>
    </row>
    <row r="535" spans="1:12" x14ac:dyDescent="0.25">
      <c r="A535" t="s">
        <v>342</v>
      </c>
      <c r="B535" s="2">
        <v>43151</v>
      </c>
      <c r="C535" t="s">
        <v>18</v>
      </c>
      <c r="D535" t="s">
        <v>1636</v>
      </c>
      <c r="E535" s="5">
        <v>35400000</v>
      </c>
      <c r="F535" s="5">
        <v>38400000</v>
      </c>
      <c r="G535" s="5">
        <v>3000000</v>
      </c>
      <c r="H535" s="5">
        <v>3540000</v>
      </c>
      <c r="I535" s="5">
        <v>3840000</v>
      </c>
      <c r="J535" s="5">
        <v>35900000</v>
      </c>
      <c r="K535" s="5">
        <v>38900000</v>
      </c>
      <c r="L535" s="3">
        <v>0.97916666666666663</v>
      </c>
    </row>
    <row r="536" spans="1:12" x14ac:dyDescent="0.25">
      <c r="A536" t="s">
        <v>343</v>
      </c>
      <c r="B536" s="2">
        <v>43152</v>
      </c>
      <c r="C536" t="s">
        <v>19</v>
      </c>
      <c r="D536" t="s">
        <v>1636</v>
      </c>
      <c r="E536" s="5">
        <v>35500000</v>
      </c>
      <c r="F536" s="5">
        <v>38500000</v>
      </c>
      <c r="G536" s="5">
        <v>3000000</v>
      </c>
      <c r="H536" s="5">
        <v>3550000</v>
      </c>
      <c r="I536" s="5">
        <v>3850000</v>
      </c>
      <c r="J536" s="5">
        <v>36000000</v>
      </c>
      <c r="K536" s="5">
        <v>39000000</v>
      </c>
      <c r="L536" s="3">
        <v>0.97916666666666663</v>
      </c>
    </row>
    <row r="537" spans="1:12" x14ac:dyDescent="0.25">
      <c r="A537" t="s">
        <v>344</v>
      </c>
      <c r="B537" s="2">
        <v>43153</v>
      </c>
      <c r="C537" t="s">
        <v>20</v>
      </c>
      <c r="D537" t="s">
        <v>1636</v>
      </c>
      <c r="E537" s="5">
        <v>35500000</v>
      </c>
      <c r="F537" s="5">
        <v>38500000</v>
      </c>
      <c r="G537" s="5">
        <v>3000000</v>
      </c>
      <c r="H537" s="5">
        <v>3550000</v>
      </c>
      <c r="I537" s="5">
        <v>3850000</v>
      </c>
      <c r="J537" s="5">
        <v>36000000</v>
      </c>
      <c r="K537" s="5">
        <v>39000000</v>
      </c>
      <c r="L537" s="3">
        <v>0.97916666666666663</v>
      </c>
    </row>
    <row r="538" spans="1:12" x14ac:dyDescent="0.25">
      <c r="A538" t="s">
        <v>345</v>
      </c>
      <c r="B538" s="2">
        <v>43154</v>
      </c>
      <c r="C538" t="s">
        <v>21</v>
      </c>
      <c r="D538" t="s">
        <v>1636</v>
      </c>
      <c r="E538" s="5">
        <v>35400000</v>
      </c>
      <c r="F538" s="5">
        <v>38400000</v>
      </c>
      <c r="G538" s="5">
        <v>3000000</v>
      </c>
      <c r="H538" s="5">
        <v>3540000</v>
      </c>
      <c r="I538" s="5">
        <v>3840000</v>
      </c>
      <c r="J538" s="5">
        <v>35900000</v>
      </c>
      <c r="K538" s="5">
        <v>38900000</v>
      </c>
      <c r="L538" s="3">
        <v>0.97916666666666663</v>
      </c>
    </row>
    <row r="539" spans="1:12" x14ac:dyDescent="0.25">
      <c r="A539" t="s">
        <v>346</v>
      </c>
      <c r="B539" s="2">
        <v>43157</v>
      </c>
      <c r="C539" t="s">
        <v>16</v>
      </c>
      <c r="D539" t="s">
        <v>1636</v>
      </c>
      <c r="E539" s="5">
        <v>35500000</v>
      </c>
      <c r="F539" s="5">
        <v>38500000</v>
      </c>
      <c r="G539" s="5">
        <v>3000000</v>
      </c>
      <c r="H539" s="5">
        <v>3550000</v>
      </c>
      <c r="I539" s="5">
        <v>3850000</v>
      </c>
      <c r="J539" s="5">
        <v>36000000</v>
      </c>
      <c r="K539" s="5">
        <v>39000000</v>
      </c>
      <c r="L539" s="3">
        <v>0.97916666666666663</v>
      </c>
    </row>
    <row r="540" spans="1:12" x14ac:dyDescent="0.25">
      <c r="A540" t="s">
        <v>347</v>
      </c>
      <c r="B540" s="2">
        <v>43158</v>
      </c>
      <c r="C540" t="s">
        <v>18</v>
      </c>
      <c r="D540" t="s">
        <v>1636</v>
      </c>
      <c r="E540" s="5">
        <v>35100000</v>
      </c>
      <c r="F540" s="5">
        <v>38100000</v>
      </c>
      <c r="G540" s="5">
        <v>3000000</v>
      </c>
      <c r="H540" s="5">
        <v>3510000</v>
      </c>
      <c r="I540" s="5">
        <v>3810000</v>
      </c>
      <c r="J540" s="5">
        <v>35600000</v>
      </c>
      <c r="K540" s="5">
        <v>38600000</v>
      </c>
      <c r="L540" s="3">
        <v>0.97916666666666663</v>
      </c>
    </row>
    <row r="541" spans="1:12" x14ac:dyDescent="0.25">
      <c r="A541" t="s">
        <v>348</v>
      </c>
      <c r="B541" s="2">
        <v>43159</v>
      </c>
      <c r="C541" t="s">
        <v>19</v>
      </c>
      <c r="D541" t="s">
        <v>1636</v>
      </c>
      <c r="E541" s="5">
        <v>35100000</v>
      </c>
      <c r="F541" s="5">
        <v>38100000</v>
      </c>
      <c r="G541" s="5">
        <v>3000000</v>
      </c>
      <c r="H541" s="5">
        <v>3510000</v>
      </c>
      <c r="I541" s="5">
        <v>3810000</v>
      </c>
      <c r="J541" s="5">
        <v>35600000</v>
      </c>
      <c r="K541" s="5">
        <v>38600000</v>
      </c>
      <c r="L541" s="3">
        <v>0.97916666666666663</v>
      </c>
    </row>
    <row r="542" spans="1:12" x14ac:dyDescent="0.25">
      <c r="A542" s="2">
        <v>43103</v>
      </c>
      <c r="B542" s="2">
        <v>43160</v>
      </c>
      <c r="C542" t="s">
        <v>20</v>
      </c>
      <c r="D542" t="s">
        <v>1636</v>
      </c>
      <c r="E542" s="5">
        <v>34700000</v>
      </c>
      <c r="F542" s="5">
        <v>37700000</v>
      </c>
      <c r="G542" s="5">
        <v>3000000</v>
      </c>
      <c r="H542" s="5">
        <v>3470000</v>
      </c>
      <c r="I542" s="5">
        <v>3770000</v>
      </c>
      <c r="J542" s="5">
        <v>35200000</v>
      </c>
      <c r="K542" s="5">
        <v>38200000</v>
      </c>
      <c r="L542" s="3">
        <v>0.97916666666666663</v>
      </c>
    </row>
    <row r="543" spans="1:12" x14ac:dyDescent="0.25">
      <c r="A543" s="2">
        <v>43134</v>
      </c>
      <c r="B543" s="2">
        <v>43161</v>
      </c>
      <c r="C543" t="s">
        <v>21</v>
      </c>
      <c r="D543" t="s">
        <v>1636</v>
      </c>
      <c r="E543" s="5">
        <v>35200000</v>
      </c>
      <c r="F543" s="5">
        <v>38200000</v>
      </c>
      <c r="G543" s="5">
        <v>3000000</v>
      </c>
      <c r="H543" s="5">
        <v>3520000</v>
      </c>
      <c r="I543" s="5">
        <v>3820000</v>
      </c>
      <c r="J543" s="5">
        <v>35700000</v>
      </c>
      <c r="K543" s="5">
        <v>38700000</v>
      </c>
      <c r="L543" s="3">
        <v>0.97916666666666663</v>
      </c>
    </row>
    <row r="544" spans="1:12" x14ac:dyDescent="0.25">
      <c r="A544" s="2">
        <v>43223</v>
      </c>
      <c r="B544" s="2">
        <v>43164</v>
      </c>
      <c r="C544" t="s">
        <v>16</v>
      </c>
      <c r="D544" t="s">
        <v>1636</v>
      </c>
      <c r="E544" s="5">
        <v>35100000</v>
      </c>
      <c r="F544" s="5">
        <v>38100000</v>
      </c>
      <c r="G544" s="5">
        <v>3000000</v>
      </c>
      <c r="H544" s="5">
        <v>3510000</v>
      </c>
      <c r="I544" s="5">
        <v>3810000</v>
      </c>
      <c r="J544" s="5">
        <v>35600000</v>
      </c>
      <c r="K544" s="5">
        <v>38600000</v>
      </c>
      <c r="L544" s="3">
        <v>0.97916666666666663</v>
      </c>
    </row>
    <row r="545" spans="1:12" x14ac:dyDescent="0.25">
      <c r="A545" s="2">
        <v>43254</v>
      </c>
      <c r="B545" s="2">
        <v>43165</v>
      </c>
      <c r="C545" t="s">
        <v>18</v>
      </c>
      <c r="D545" t="s">
        <v>1636</v>
      </c>
      <c r="E545" s="5">
        <v>35600000</v>
      </c>
      <c r="F545" s="5">
        <v>38600000</v>
      </c>
      <c r="G545" s="5">
        <v>3000000</v>
      </c>
      <c r="H545" s="5">
        <v>3560000</v>
      </c>
      <c r="I545" s="5">
        <v>3860000</v>
      </c>
      <c r="J545" s="5">
        <v>36100000</v>
      </c>
      <c r="K545" s="5">
        <v>39100000</v>
      </c>
      <c r="L545" s="3">
        <v>0.97916666666666663</v>
      </c>
    </row>
    <row r="546" spans="1:12" x14ac:dyDescent="0.25">
      <c r="A546" s="2">
        <v>43284</v>
      </c>
      <c r="B546" s="2">
        <v>43166</v>
      </c>
      <c r="C546" t="s">
        <v>19</v>
      </c>
      <c r="D546" t="s">
        <v>1636</v>
      </c>
      <c r="E546" s="5">
        <v>35400000</v>
      </c>
      <c r="F546" s="5">
        <v>38400000</v>
      </c>
      <c r="G546" s="5">
        <v>3000000</v>
      </c>
      <c r="H546" s="5">
        <v>3540000</v>
      </c>
      <c r="I546" s="5">
        <v>3840000</v>
      </c>
      <c r="J546" s="5">
        <v>35900000</v>
      </c>
      <c r="K546" s="5">
        <v>38900000</v>
      </c>
      <c r="L546" s="3">
        <v>0.97916666666666663</v>
      </c>
    </row>
    <row r="547" spans="1:12" x14ac:dyDescent="0.25">
      <c r="A547" s="2">
        <v>43315</v>
      </c>
      <c r="B547" s="2">
        <v>43167</v>
      </c>
      <c r="C547" t="s">
        <v>20</v>
      </c>
      <c r="D547" t="s">
        <v>1636</v>
      </c>
      <c r="E547" s="5">
        <v>35200000</v>
      </c>
      <c r="F547" s="5">
        <v>38200000</v>
      </c>
      <c r="G547" s="5">
        <v>3000000</v>
      </c>
      <c r="H547" s="5">
        <v>3520000</v>
      </c>
      <c r="I547" s="5">
        <v>3820000</v>
      </c>
      <c r="J547" s="5">
        <v>35700000</v>
      </c>
      <c r="K547" s="5">
        <v>38700000</v>
      </c>
      <c r="L547" s="3">
        <v>0.97916666666666663</v>
      </c>
    </row>
    <row r="548" spans="1:12" x14ac:dyDescent="0.25">
      <c r="A548" s="2">
        <v>43346</v>
      </c>
      <c r="B548" s="2">
        <v>43168</v>
      </c>
      <c r="C548" t="s">
        <v>21</v>
      </c>
      <c r="D548" t="s">
        <v>1636</v>
      </c>
      <c r="E548" s="5">
        <v>35300000</v>
      </c>
      <c r="F548" s="5">
        <v>38300000</v>
      </c>
      <c r="G548" s="5">
        <v>3000000</v>
      </c>
      <c r="H548" s="5">
        <v>3530000</v>
      </c>
      <c r="I548" s="5">
        <v>3830000</v>
      </c>
      <c r="J548" s="5">
        <v>35800000</v>
      </c>
      <c r="K548" s="5">
        <v>38800000</v>
      </c>
      <c r="L548" s="3">
        <v>0.97916666666666663</v>
      </c>
    </row>
    <row r="549" spans="1:12" x14ac:dyDescent="0.25">
      <c r="A549" s="2">
        <v>43437</v>
      </c>
      <c r="B549" s="2">
        <v>43171</v>
      </c>
      <c r="C549" t="s">
        <v>16</v>
      </c>
      <c r="D549" t="s">
        <v>1636</v>
      </c>
      <c r="E549" s="5">
        <v>35200000</v>
      </c>
      <c r="F549" s="5">
        <v>38200000</v>
      </c>
      <c r="G549" s="5">
        <v>3000000</v>
      </c>
      <c r="H549" s="5">
        <v>3520000</v>
      </c>
      <c r="I549" s="5">
        <v>3820000</v>
      </c>
      <c r="J549" s="5">
        <v>35700000</v>
      </c>
      <c r="K549" s="5">
        <v>38700000</v>
      </c>
      <c r="L549" s="3">
        <v>0.97916666666666663</v>
      </c>
    </row>
    <row r="550" spans="1:12" x14ac:dyDescent="0.25">
      <c r="A550" t="s">
        <v>349</v>
      </c>
      <c r="B550" s="2">
        <v>43172</v>
      </c>
      <c r="C550" t="s">
        <v>18</v>
      </c>
      <c r="D550" t="s">
        <v>1636</v>
      </c>
      <c r="E550" s="5">
        <v>35400000</v>
      </c>
      <c r="F550" s="5">
        <v>38400000</v>
      </c>
      <c r="G550" s="5">
        <v>3000000</v>
      </c>
      <c r="H550" s="5">
        <v>3540000</v>
      </c>
      <c r="I550" s="5">
        <v>3840000</v>
      </c>
      <c r="J550" s="5">
        <v>35900000</v>
      </c>
      <c r="K550" s="5">
        <v>38900000</v>
      </c>
      <c r="L550" s="3">
        <v>0.97916666666666663</v>
      </c>
    </row>
    <row r="551" spans="1:12" x14ac:dyDescent="0.25">
      <c r="A551" t="s">
        <v>350</v>
      </c>
      <c r="B551" s="2">
        <v>43173</v>
      </c>
      <c r="C551" t="s">
        <v>19</v>
      </c>
      <c r="D551" t="s">
        <v>1636</v>
      </c>
      <c r="E551" s="5">
        <v>35300000</v>
      </c>
      <c r="F551" s="5">
        <v>38300000</v>
      </c>
      <c r="G551" s="5">
        <v>3000000</v>
      </c>
      <c r="H551" s="5">
        <v>3530000</v>
      </c>
      <c r="I551" s="5">
        <v>3830000</v>
      </c>
      <c r="J551" s="5">
        <v>35800000</v>
      </c>
      <c r="K551" s="5">
        <v>38800000</v>
      </c>
      <c r="L551" s="3">
        <v>0.97916666666666663</v>
      </c>
    </row>
    <row r="552" spans="1:12" x14ac:dyDescent="0.25">
      <c r="A552" t="s">
        <v>351</v>
      </c>
      <c r="B552" s="2">
        <v>43174</v>
      </c>
      <c r="C552" t="s">
        <v>20</v>
      </c>
      <c r="D552" t="s">
        <v>1636</v>
      </c>
      <c r="E552" s="5">
        <v>35100000</v>
      </c>
      <c r="F552" s="5">
        <v>38100000</v>
      </c>
      <c r="G552" s="5">
        <v>3000000</v>
      </c>
      <c r="H552" s="5">
        <v>3510000</v>
      </c>
      <c r="I552" s="5">
        <v>3810000</v>
      </c>
      <c r="J552" s="5">
        <v>35600000</v>
      </c>
      <c r="K552" s="5">
        <v>38600000</v>
      </c>
      <c r="L552" s="3">
        <v>0.97916666666666663</v>
      </c>
    </row>
    <row r="553" spans="1:12" x14ac:dyDescent="0.25">
      <c r="A553" t="s">
        <v>352</v>
      </c>
      <c r="B553" s="2">
        <v>43175</v>
      </c>
      <c r="C553" t="s">
        <v>21</v>
      </c>
      <c r="D553" t="s">
        <v>1636</v>
      </c>
      <c r="E553" s="5">
        <v>34900000</v>
      </c>
      <c r="F553" s="5">
        <v>37900000</v>
      </c>
      <c r="G553" s="5">
        <v>3000000</v>
      </c>
      <c r="H553" s="5">
        <v>3490000</v>
      </c>
      <c r="I553" s="5">
        <v>3790000</v>
      </c>
      <c r="J553" s="5">
        <v>35400000</v>
      </c>
      <c r="K553" s="5">
        <v>38400000</v>
      </c>
      <c r="L553" s="3">
        <v>0.97916666666666663</v>
      </c>
    </row>
    <row r="554" spans="1:12" x14ac:dyDescent="0.25">
      <c r="A554" t="s">
        <v>353</v>
      </c>
      <c r="B554" s="2">
        <v>43178</v>
      </c>
      <c r="C554" t="s">
        <v>16</v>
      </c>
      <c r="D554" t="s">
        <v>1636</v>
      </c>
      <c r="E554" s="5">
        <v>35100000</v>
      </c>
      <c r="F554" s="5">
        <v>38100000</v>
      </c>
      <c r="G554" s="5">
        <v>3000000</v>
      </c>
      <c r="H554" s="5">
        <v>3510000</v>
      </c>
      <c r="I554" s="5">
        <v>3810000</v>
      </c>
      <c r="J554" s="5">
        <v>35600000</v>
      </c>
      <c r="K554" s="5">
        <v>38600000</v>
      </c>
      <c r="L554" s="3">
        <v>0.97916666666666663</v>
      </c>
    </row>
    <row r="555" spans="1:12" x14ac:dyDescent="0.25">
      <c r="A555" t="s">
        <v>354</v>
      </c>
      <c r="B555" s="2">
        <v>43179</v>
      </c>
      <c r="C555" t="s">
        <v>18</v>
      </c>
      <c r="D555" t="s">
        <v>1636</v>
      </c>
      <c r="E555" s="5">
        <v>34900000</v>
      </c>
      <c r="F555" s="5">
        <v>37900000</v>
      </c>
      <c r="G555" s="5">
        <v>3000000</v>
      </c>
      <c r="H555" s="5">
        <v>3490000</v>
      </c>
      <c r="I555" s="5">
        <v>3790000</v>
      </c>
      <c r="J555" s="5">
        <v>35400000</v>
      </c>
      <c r="K555" s="5">
        <v>38400000</v>
      </c>
      <c r="L555" s="3">
        <v>0.97916666666666663</v>
      </c>
    </row>
    <row r="556" spans="1:12" x14ac:dyDescent="0.25">
      <c r="A556" t="s">
        <v>355</v>
      </c>
      <c r="B556" s="2">
        <v>43180</v>
      </c>
      <c r="C556" t="s">
        <v>19</v>
      </c>
      <c r="D556" t="s">
        <v>1636</v>
      </c>
      <c r="E556" s="5">
        <v>35200000</v>
      </c>
      <c r="F556" s="5">
        <v>38200000</v>
      </c>
      <c r="G556" s="5">
        <v>3000000</v>
      </c>
      <c r="H556" s="5">
        <v>3520000</v>
      </c>
      <c r="I556" s="5">
        <v>3820000</v>
      </c>
      <c r="J556" s="5">
        <v>35700000</v>
      </c>
      <c r="K556" s="5">
        <v>38700000</v>
      </c>
      <c r="L556" s="3">
        <v>0.97916666666666663</v>
      </c>
    </row>
    <row r="557" spans="1:12" x14ac:dyDescent="0.25">
      <c r="A557" t="s">
        <v>356</v>
      </c>
      <c r="B557" s="2">
        <v>43181</v>
      </c>
      <c r="C557" t="s">
        <v>20</v>
      </c>
      <c r="D557" t="s">
        <v>1636</v>
      </c>
      <c r="E557" s="5">
        <v>35400000</v>
      </c>
      <c r="F557" s="5">
        <v>38400000</v>
      </c>
      <c r="G557" s="5">
        <v>3000000</v>
      </c>
      <c r="H557" s="5">
        <v>3540000</v>
      </c>
      <c r="I557" s="5">
        <v>3840000</v>
      </c>
      <c r="J557" s="5">
        <v>35900000</v>
      </c>
      <c r="K557" s="5">
        <v>38900000</v>
      </c>
      <c r="L557" s="3">
        <v>0.97916666666666663</v>
      </c>
    </row>
    <row r="558" spans="1:12" x14ac:dyDescent="0.25">
      <c r="A558" t="s">
        <v>357</v>
      </c>
      <c r="B558" s="2">
        <v>43182</v>
      </c>
      <c r="C558" t="s">
        <v>21</v>
      </c>
      <c r="D558" t="s">
        <v>1636</v>
      </c>
      <c r="E558" s="5">
        <v>36000000</v>
      </c>
      <c r="F558" s="5">
        <v>39000000</v>
      </c>
      <c r="G558" s="5">
        <v>3000000</v>
      </c>
      <c r="H558" s="5">
        <v>3600000</v>
      </c>
      <c r="I558" s="5">
        <v>3900000</v>
      </c>
      <c r="J558" s="5">
        <v>36500000</v>
      </c>
      <c r="K558" s="5">
        <v>39500000</v>
      </c>
      <c r="L558" s="3">
        <v>0.97916666666666663</v>
      </c>
    </row>
    <row r="559" spans="1:12" x14ac:dyDescent="0.25">
      <c r="A559" t="s">
        <v>358</v>
      </c>
      <c r="B559" s="2">
        <v>43185</v>
      </c>
      <c r="C559" t="s">
        <v>16</v>
      </c>
      <c r="D559" t="s">
        <v>1636</v>
      </c>
      <c r="E559" s="5">
        <v>36200000</v>
      </c>
      <c r="F559" s="5">
        <v>39200000</v>
      </c>
      <c r="G559" s="5">
        <v>3000000</v>
      </c>
      <c r="H559" s="5">
        <v>3620000</v>
      </c>
      <c r="I559" s="5">
        <v>3920000</v>
      </c>
      <c r="J559" s="5">
        <v>36700000</v>
      </c>
      <c r="K559" s="5">
        <v>39700000</v>
      </c>
      <c r="L559" s="3">
        <v>0.97916666666666663</v>
      </c>
    </row>
    <row r="560" spans="1:12" x14ac:dyDescent="0.25">
      <c r="A560" t="s">
        <v>359</v>
      </c>
      <c r="B560" s="2">
        <v>43186</v>
      </c>
      <c r="C560" t="s">
        <v>18</v>
      </c>
      <c r="D560" t="s">
        <v>1636</v>
      </c>
      <c r="E560" s="5">
        <v>35800000</v>
      </c>
      <c r="F560" s="5">
        <v>38800000</v>
      </c>
      <c r="G560" s="5">
        <v>3000000</v>
      </c>
      <c r="H560" s="5">
        <v>3580000</v>
      </c>
      <c r="I560" s="5">
        <v>3880000</v>
      </c>
      <c r="J560" s="5">
        <v>36300000</v>
      </c>
      <c r="K560" s="5">
        <v>39300000</v>
      </c>
      <c r="L560" s="3">
        <v>0.97916666666666663</v>
      </c>
    </row>
    <row r="561" spans="1:12" x14ac:dyDescent="0.25">
      <c r="A561" t="s">
        <v>360</v>
      </c>
      <c r="B561" s="2">
        <v>43187</v>
      </c>
      <c r="C561" t="s">
        <v>19</v>
      </c>
      <c r="D561" t="s">
        <v>1636</v>
      </c>
      <c r="E561" s="5">
        <v>35300000</v>
      </c>
      <c r="F561" s="5">
        <v>38300000</v>
      </c>
      <c r="G561" s="5">
        <v>3000000</v>
      </c>
      <c r="H561" s="5">
        <v>3530000</v>
      </c>
      <c r="I561" s="5">
        <v>3830000</v>
      </c>
      <c r="J561" s="5">
        <v>35800000</v>
      </c>
      <c r="K561" s="5">
        <v>38800000</v>
      </c>
      <c r="L561" s="3">
        <v>0.97916666666666663</v>
      </c>
    </row>
    <row r="562" spans="1:12" x14ac:dyDescent="0.25">
      <c r="A562" t="s">
        <v>361</v>
      </c>
      <c r="B562" s="2">
        <v>43188</v>
      </c>
      <c r="C562" t="s">
        <v>20</v>
      </c>
      <c r="D562" t="s">
        <v>1636</v>
      </c>
      <c r="E562" s="5">
        <v>35300000</v>
      </c>
      <c r="F562" s="5">
        <v>38300000</v>
      </c>
      <c r="G562" s="5">
        <v>3000000</v>
      </c>
      <c r="H562" s="5">
        <v>3530000</v>
      </c>
      <c r="I562" s="5">
        <v>3830000</v>
      </c>
      <c r="J562" s="5">
        <v>35800000</v>
      </c>
      <c r="K562" s="5">
        <v>38800000</v>
      </c>
      <c r="L562" s="3">
        <v>0.97916666666666663</v>
      </c>
    </row>
    <row r="563" spans="1:12" x14ac:dyDescent="0.25">
      <c r="A563" s="2">
        <v>43135</v>
      </c>
      <c r="B563" s="2">
        <v>43192</v>
      </c>
      <c r="C563" t="s">
        <v>16</v>
      </c>
      <c r="D563" t="s">
        <v>1636</v>
      </c>
      <c r="E563" s="5">
        <v>35800000</v>
      </c>
      <c r="F563" s="5">
        <v>38800000</v>
      </c>
      <c r="G563" s="5">
        <v>3000000</v>
      </c>
      <c r="H563" s="5">
        <v>3580000</v>
      </c>
      <c r="I563" s="5">
        <v>3880000</v>
      </c>
      <c r="J563" s="5">
        <v>36300000</v>
      </c>
      <c r="K563" s="5">
        <v>39300000</v>
      </c>
      <c r="L563" s="3">
        <v>0.97916666666666663</v>
      </c>
    </row>
    <row r="564" spans="1:12" x14ac:dyDescent="0.25">
      <c r="A564" s="2">
        <v>43163</v>
      </c>
      <c r="B564" s="2">
        <v>43193</v>
      </c>
      <c r="C564" t="s">
        <v>18</v>
      </c>
      <c r="D564" t="s">
        <v>1636</v>
      </c>
      <c r="E564" s="5">
        <v>35600000</v>
      </c>
      <c r="F564" s="5">
        <v>38600000</v>
      </c>
      <c r="G564" s="5">
        <v>3000000</v>
      </c>
      <c r="H564" s="5">
        <v>3560000</v>
      </c>
      <c r="I564" s="5">
        <v>3860000</v>
      </c>
      <c r="J564" s="5">
        <v>36100000</v>
      </c>
      <c r="K564" s="5">
        <v>39100000</v>
      </c>
      <c r="L564" s="3">
        <v>0.97916666666666663</v>
      </c>
    </row>
    <row r="565" spans="1:12" x14ac:dyDescent="0.25">
      <c r="A565" s="2">
        <v>43194</v>
      </c>
      <c r="B565" s="2">
        <v>43194</v>
      </c>
      <c r="C565" t="s">
        <v>19</v>
      </c>
      <c r="D565" t="s">
        <v>1636</v>
      </c>
      <c r="E565" s="5">
        <v>35600000</v>
      </c>
      <c r="F565" s="5">
        <v>38600000</v>
      </c>
      <c r="G565" s="5">
        <v>3000000</v>
      </c>
      <c r="H565" s="5">
        <v>3560000</v>
      </c>
      <c r="I565" s="5">
        <v>3860000</v>
      </c>
      <c r="J565" s="5">
        <v>36100000</v>
      </c>
      <c r="K565" s="5">
        <v>39100000</v>
      </c>
      <c r="L565" s="3">
        <v>0.97916666666666663</v>
      </c>
    </row>
    <row r="566" spans="1:12" x14ac:dyDescent="0.25">
      <c r="A566" s="2">
        <v>43224</v>
      </c>
      <c r="B566" s="2">
        <v>43195</v>
      </c>
      <c r="C566" t="s">
        <v>20</v>
      </c>
      <c r="D566" t="s">
        <v>1636</v>
      </c>
      <c r="E566" s="5">
        <v>35300000</v>
      </c>
      <c r="F566" s="5">
        <v>38300000</v>
      </c>
      <c r="G566" s="5">
        <v>3000000</v>
      </c>
      <c r="H566" s="5">
        <v>3530000</v>
      </c>
      <c r="I566" s="5">
        <v>3830000</v>
      </c>
      <c r="J566" s="5">
        <v>35800000</v>
      </c>
      <c r="K566" s="5">
        <v>38800000</v>
      </c>
      <c r="L566" s="3">
        <v>0.97916666666666663</v>
      </c>
    </row>
    <row r="567" spans="1:12" x14ac:dyDescent="0.25">
      <c r="A567" s="2">
        <v>43255</v>
      </c>
      <c r="B567" s="2">
        <v>43196</v>
      </c>
      <c r="C567" t="s">
        <v>21</v>
      </c>
      <c r="D567" t="s">
        <v>1636</v>
      </c>
      <c r="E567" s="5">
        <v>35500000</v>
      </c>
      <c r="F567" s="5">
        <v>38500000</v>
      </c>
      <c r="G567" s="5">
        <v>3000000</v>
      </c>
      <c r="H567" s="5">
        <v>3550000</v>
      </c>
      <c r="I567" s="5">
        <v>3850000</v>
      </c>
      <c r="J567" s="5">
        <v>36000000</v>
      </c>
      <c r="K567" s="5">
        <v>39000000</v>
      </c>
      <c r="L567" s="3">
        <v>0.97916666666666663</v>
      </c>
    </row>
    <row r="568" spans="1:12" x14ac:dyDescent="0.25">
      <c r="A568" s="2">
        <v>43347</v>
      </c>
      <c r="B568" s="2">
        <v>43199</v>
      </c>
      <c r="C568" t="s">
        <v>16</v>
      </c>
      <c r="D568" t="s">
        <v>1636</v>
      </c>
      <c r="E568" s="5">
        <v>35700000</v>
      </c>
      <c r="F568" s="5">
        <v>38700000</v>
      </c>
      <c r="G568" s="5">
        <v>3000000</v>
      </c>
      <c r="H568" s="5">
        <v>3570000</v>
      </c>
      <c r="I568" s="5">
        <v>3870000</v>
      </c>
      <c r="J568" s="5">
        <v>36200000</v>
      </c>
      <c r="K568" s="5">
        <v>39200000</v>
      </c>
      <c r="L568" s="3">
        <v>0.97916666666666663</v>
      </c>
    </row>
    <row r="569" spans="1:12" x14ac:dyDescent="0.25">
      <c r="A569" s="2">
        <v>43377</v>
      </c>
      <c r="B569" s="2">
        <v>43200</v>
      </c>
      <c r="C569" t="s">
        <v>18</v>
      </c>
      <c r="D569" t="s">
        <v>1636</v>
      </c>
      <c r="E569" s="5">
        <v>35800000</v>
      </c>
      <c r="F569" s="5">
        <v>38800000</v>
      </c>
      <c r="G569" s="5">
        <v>3000000</v>
      </c>
      <c r="H569" s="5">
        <v>3580000</v>
      </c>
      <c r="I569" s="5">
        <v>3880000</v>
      </c>
      <c r="J569" s="5">
        <v>36300000</v>
      </c>
      <c r="K569" s="5">
        <v>39300000</v>
      </c>
      <c r="L569" s="3">
        <v>0.97916666666666663</v>
      </c>
    </row>
    <row r="570" spans="1:12" x14ac:dyDescent="0.25">
      <c r="A570" s="2">
        <v>43408</v>
      </c>
      <c r="B570" s="2">
        <v>43201</v>
      </c>
      <c r="C570" t="s">
        <v>19</v>
      </c>
      <c r="D570" t="s">
        <v>1636</v>
      </c>
      <c r="E570" s="5">
        <v>36200000</v>
      </c>
      <c r="F570" s="5">
        <v>39200000</v>
      </c>
      <c r="G570" s="5">
        <v>3000000</v>
      </c>
      <c r="H570" s="5">
        <v>3620000</v>
      </c>
      <c r="I570" s="5">
        <v>3920000</v>
      </c>
      <c r="J570" s="5">
        <v>36700000</v>
      </c>
      <c r="K570" s="5">
        <v>39700000</v>
      </c>
      <c r="L570" s="3">
        <v>0.97916666666666663</v>
      </c>
    </row>
    <row r="571" spans="1:12" x14ac:dyDescent="0.25">
      <c r="A571" s="2">
        <v>43438</v>
      </c>
      <c r="B571" s="2">
        <v>43202</v>
      </c>
      <c r="C571" t="s">
        <v>20</v>
      </c>
      <c r="D571" t="s">
        <v>1636</v>
      </c>
      <c r="E571" s="5">
        <v>35700000</v>
      </c>
      <c r="F571" s="5">
        <v>38700000</v>
      </c>
      <c r="G571" s="5">
        <v>3000000</v>
      </c>
      <c r="H571" s="5">
        <v>3570000</v>
      </c>
      <c r="I571" s="5">
        <v>3870000</v>
      </c>
      <c r="J571" s="5">
        <v>36200000</v>
      </c>
      <c r="K571" s="5">
        <v>39200000</v>
      </c>
      <c r="L571" s="3">
        <v>0.97916666666666663</v>
      </c>
    </row>
    <row r="572" spans="1:12" x14ac:dyDescent="0.25">
      <c r="A572" t="s">
        <v>362</v>
      </c>
      <c r="B572" s="2">
        <v>43203</v>
      </c>
      <c r="C572" t="s">
        <v>21</v>
      </c>
      <c r="D572" t="s">
        <v>1636</v>
      </c>
      <c r="E572" s="5">
        <v>35900000</v>
      </c>
      <c r="F572" s="5">
        <v>38900000</v>
      </c>
      <c r="G572" s="5">
        <v>3000000</v>
      </c>
      <c r="H572" s="5">
        <v>3590000</v>
      </c>
      <c r="I572" s="5">
        <v>3890000</v>
      </c>
      <c r="J572" s="5">
        <v>36400000</v>
      </c>
      <c r="K572" s="5">
        <v>39400000</v>
      </c>
      <c r="L572" s="3">
        <v>0.97916666666666663</v>
      </c>
    </row>
    <row r="573" spans="1:12" x14ac:dyDescent="0.25">
      <c r="A573" t="s">
        <v>363</v>
      </c>
      <c r="B573" s="2">
        <v>43206</v>
      </c>
      <c r="C573" t="s">
        <v>16</v>
      </c>
      <c r="D573" t="s">
        <v>1636</v>
      </c>
      <c r="E573" s="5">
        <v>36000000</v>
      </c>
      <c r="F573" s="5">
        <v>39000000</v>
      </c>
      <c r="G573" s="5">
        <v>3000000</v>
      </c>
      <c r="H573" s="5">
        <v>3600000</v>
      </c>
      <c r="I573" s="5">
        <v>3900000</v>
      </c>
      <c r="J573" s="5">
        <v>36500000</v>
      </c>
      <c r="K573" s="5">
        <v>39500000</v>
      </c>
      <c r="L573" s="3">
        <v>0.97916666666666663</v>
      </c>
    </row>
    <row r="574" spans="1:12" x14ac:dyDescent="0.25">
      <c r="A574" t="s">
        <v>364</v>
      </c>
      <c r="B574" s="2">
        <v>43207</v>
      </c>
      <c r="C574" t="s">
        <v>18</v>
      </c>
      <c r="D574" t="s">
        <v>1636</v>
      </c>
      <c r="E574" s="5">
        <v>36000000</v>
      </c>
      <c r="F574" s="5">
        <v>39000000</v>
      </c>
      <c r="G574" s="5">
        <v>3000000</v>
      </c>
      <c r="H574" s="5">
        <v>3600000</v>
      </c>
      <c r="I574" s="5">
        <v>3900000</v>
      </c>
      <c r="J574" s="5">
        <v>36500000</v>
      </c>
      <c r="K574" s="5">
        <v>39500000</v>
      </c>
      <c r="L574" s="3">
        <v>0.97916666666666663</v>
      </c>
    </row>
    <row r="575" spans="1:12" x14ac:dyDescent="0.25">
      <c r="A575" t="s">
        <v>365</v>
      </c>
      <c r="B575" s="2">
        <v>43208</v>
      </c>
      <c r="C575" t="s">
        <v>19</v>
      </c>
      <c r="D575" t="s">
        <v>1636</v>
      </c>
      <c r="E575" s="5">
        <v>36100000</v>
      </c>
      <c r="F575" s="5">
        <v>39100000</v>
      </c>
      <c r="G575" s="5">
        <v>3000000</v>
      </c>
      <c r="H575" s="5">
        <v>3610000</v>
      </c>
      <c r="I575" s="5">
        <v>3910000</v>
      </c>
      <c r="J575" s="5">
        <v>36600000</v>
      </c>
      <c r="K575" s="5">
        <v>39600000</v>
      </c>
      <c r="L575" s="3">
        <v>0.97916666666666663</v>
      </c>
    </row>
    <row r="576" spans="1:12" x14ac:dyDescent="0.25">
      <c r="A576" t="s">
        <v>366</v>
      </c>
      <c r="B576" s="2">
        <v>43209</v>
      </c>
      <c r="C576" t="s">
        <v>20</v>
      </c>
      <c r="D576" t="s">
        <v>1636</v>
      </c>
      <c r="E576" s="5">
        <v>36000000</v>
      </c>
      <c r="F576" s="5">
        <v>39000000</v>
      </c>
      <c r="G576" s="5">
        <v>3000000</v>
      </c>
      <c r="H576" s="5">
        <v>3600000</v>
      </c>
      <c r="I576" s="5">
        <v>3900000</v>
      </c>
      <c r="J576" s="5">
        <v>36500000</v>
      </c>
      <c r="K576" s="5">
        <v>39500000</v>
      </c>
      <c r="L576" s="3">
        <v>0.97916666666666663</v>
      </c>
    </row>
    <row r="577" spans="1:12" x14ac:dyDescent="0.25">
      <c r="A577" t="s">
        <v>367</v>
      </c>
      <c r="B577" s="2">
        <v>43210</v>
      </c>
      <c r="C577" t="s">
        <v>21</v>
      </c>
      <c r="D577" t="s">
        <v>1636</v>
      </c>
      <c r="E577" s="5">
        <v>35700000</v>
      </c>
      <c r="F577" s="5">
        <v>38700000</v>
      </c>
      <c r="G577" s="5">
        <v>3000000</v>
      </c>
      <c r="H577" s="5">
        <v>3570000</v>
      </c>
      <c r="I577" s="5">
        <v>3870000</v>
      </c>
      <c r="J577" s="5">
        <v>36200000</v>
      </c>
      <c r="K577" s="5">
        <v>39200000</v>
      </c>
      <c r="L577" s="3">
        <v>0.97916666666666663</v>
      </c>
    </row>
    <row r="578" spans="1:12" x14ac:dyDescent="0.25">
      <c r="A578" t="s">
        <v>368</v>
      </c>
      <c r="B578" s="2">
        <v>43213</v>
      </c>
      <c r="C578" t="s">
        <v>16</v>
      </c>
      <c r="D578" t="s">
        <v>1636</v>
      </c>
      <c r="E578" s="5">
        <v>35300000</v>
      </c>
      <c r="F578" s="5">
        <v>38300000</v>
      </c>
      <c r="G578" s="5">
        <v>3000000</v>
      </c>
      <c r="H578" s="5">
        <v>3530000</v>
      </c>
      <c r="I578" s="5">
        <v>3830000</v>
      </c>
      <c r="J578" s="5">
        <v>35800000</v>
      </c>
      <c r="K578" s="5">
        <v>38800000</v>
      </c>
      <c r="L578" s="3">
        <v>0.97916666666666663</v>
      </c>
    </row>
    <row r="579" spans="1:12" x14ac:dyDescent="0.25">
      <c r="A579" t="s">
        <v>369</v>
      </c>
      <c r="B579" s="2">
        <v>43214</v>
      </c>
      <c r="C579" t="s">
        <v>18</v>
      </c>
      <c r="D579" t="s">
        <v>1636</v>
      </c>
      <c r="E579" s="5">
        <v>35500000</v>
      </c>
      <c r="F579" s="5">
        <v>38500000</v>
      </c>
      <c r="G579" s="5">
        <v>3000000</v>
      </c>
      <c r="H579" s="5">
        <v>3550000</v>
      </c>
      <c r="I579" s="5">
        <v>3850000</v>
      </c>
      <c r="J579" s="5">
        <v>36000000</v>
      </c>
      <c r="K579" s="5">
        <v>39000000</v>
      </c>
      <c r="L579" s="3">
        <v>0.97916666666666663</v>
      </c>
    </row>
    <row r="580" spans="1:12" x14ac:dyDescent="0.25">
      <c r="A580" t="s">
        <v>370</v>
      </c>
      <c r="B580" s="2">
        <v>43215</v>
      </c>
      <c r="C580" t="s">
        <v>19</v>
      </c>
      <c r="D580" t="s">
        <v>1636</v>
      </c>
      <c r="E580" s="5">
        <v>35200000</v>
      </c>
      <c r="F580" s="5">
        <v>38200000</v>
      </c>
      <c r="G580" s="5">
        <v>3000000</v>
      </c>
      <c r="H580" s="5">
        <v>3520000</v>
      </c>
      <c r="I580" s="5">
        <v>3820000</v>
      </c>
      <c r="J580" s="5">
        <v>35700000</v>
      </c>
      <c r="K580" s="5">
        <v>38700000</v>
      </c>
      <c r="L580" s="3">
        <v>0.97916666666666663</v>
      </c>
    </row>
    <row r="581" spans="1:12" x14ac:dyDescent="0.25">
      <c r="A581" t="s">
        <v>371</v>
      </c>
      <c r="B581" s="2">
        <v>43216</v>
      </c>
      <c r="C581" t="s">
        <v>20</v>
      </c>
      <c r="D581" t="s">
        <v>1636</v>
      </c>
      <c r="E581" s="5">
        <v>35100000</v>
      </c>
      <c r="F581" s="5">
        <v>38100000</v>
      </c>
      <c r="G581" s="5">
        <v>3000000</v>
      </c>
      <c r="H581" s="5">
        <v>3510000</v>
      </c>
      <c r="I581" s="5">
        <v>3810000</v>
      </c>
      <c r="J581" s="5">
        <v>35600000</v>
      </c>
      <c r="K581" s="5">
        <v>38600000</v>
      </c>
      <c r="L581" s="3">
        <v>0.97916666666666663</v>
      </c>
    </row>
    <row r="582" spans="1:12" x14ac:dyDescent="0.25">
      <c r="A582" t="s">
        <v>372</v>
      </c>
      <c r="B582" s="2">
        <v>43217</v>
      </c>
      <c r="C582" t="s">
        <v>21</v>
      </c>
      <c r="D582" t="s">
        <v>1636</v>
      </c>
      <c r="E582" s="5">
        <v>35200000</v>
      </c>
      <c r="F582" s="5">
        <v>38200000</v>
      </c>
      <c r="G582" s="5">
        <v>3000000</v>
      </c>
      <c r="H582" s="5">
        <v>3520000</v>
      </c>
      <c r="I582" s="5">
        <v>3820000</v>
      </c>
      <c r="J582" s="5">
        <v>35700000</v>
      </c>
      <c r="K582" s="5">
        <v>38700000</v>
      </c>
      <c r="L582" s="3">
        <v>0.97916666666666663</v>
      </c>
    </row>
    <row r="583" spans="1:12" x14ac:dyDescent="0.25">
      <c r="A583" t="s">
        <v>373</v>
      </c>
      <c r="B583" s="2">
        <v>43220</v>
      </c>
      <c r="C583" t="s">
        <v>16</v>
      </c>
      <c r="D583" t="s">
        <v>1636</v>
      </c>
      <c r="E583" s="5">
        <v>35100000</v>
      </c>
      <c r="F583" s="5">
        <v>38100000</v>
      </c>
      <c r="G583" s="5">
        <v>3000000</v>
      </c>
      <c r="H583" s="5">
        <v>3510000</v>
      </c>
      <c r="I583" s="5">
        <v>3810000</v>
      </c>
      <c r="J583" s="5">
        <v>35600000</v>
      </c>
      <c r="K583" s="5">
        <v>38600000</v>
      </c>
      <c r="L583" s="3">
        <v>0.97916666666666663</v>
      </c>
    </row>
    <row r="584" spans="1:12" x14ac:dyDescent="0.25">
      <c r="A584" s="2">
        <v>43105</v>
      </c>
      <c r="B584" s="2">
        <v>43221</v>
      </c>
      <c r="C584" t="s">
        <v>18</v>
      </c>
      <c r="D584" t="s">
        <v>1636</v>
      </c>
      <c r="E584" s="5">
        <v>34700000</v>
      </c>
      <c r="F584" s="5">
        <v>37700000</v>
      </c>
      <c r="G584" s="5">
        <v>3000000</v>
      </c>
      <c r="H584" s="5">
        <v>3470000</v>
      </c>
      <c r="I584" s="5">
        <v>3770000</v>
      </c>
      <c r="J584" s="5">
        <v>35200000</v>
      </c>
      <c r="K584" s="5">
        <v>38200000</v>
      </c>
      <c r="L584" s="3">
        <v>0.97916666666666663</v>
      </c>
    </row>
    <row r="585" spans="1:12" x14ac:dyDescent="0.25">
      <c r="A585" s="2">
        <v>43136</v>
      </c>
      <c r="B585" s="2">
        <v>43222</v>
      </c>
      <c r="C585" t="s">
        <v>19</v>
      </c>
      <c r="D585" t="s">
        <v>1636</v>
      </c>
      <c r="E585" s="5">
        <v>34700000</v>
      </c>
      <c r="F585" s="5">
        <v>37700000</v>
      </c>
      <c r="G585" s="5">
        <v>3000000</v>
      </c>
      <c r="H585" s="5">
        <v>3470000</v>
      </c>
      <c r="I585" s="5">
        <v>3770000</v>
      </c>
      <c r="J585" s="5">
        <v>35200000</v>
      </c>
      <c r="K585" s="5">
        <v>38200000</v>
      </c>
      <c r="L585" s="3">
        <v>0.97916666666666663</v>
      </c>
    </row>
    <row r="586" spans="1:12" x14ac:dyDescent="0.25">
      <c r="A586" s="2">
        <v>43164</v>
      </c>
      <c r="B586" s="2">
        <v>43223</v>
      </c>
      <c r="C586" t="s">
        <v>20</v>
      </c>
      <c r="D586" t="s">
        <v>1636</v>
      </c>
      <c r="E586" s="5">
        <v>34900000</v>
      </c>
      <c r="F586" s="5">
        <v>37900000</v>
      </c>
      <c r="G586" s="5">
        <v>3000000</v>
      </c>
      <c r="H586" s="5">
        <v>3490000</v>
      </c>
      <c r="I586" s="5">
        <v>3790000</v>
      </c>
      <c r="J586" s="5">
        <v>35400000</v>
      </c>
      <c r="K586" s="5">
        <v>38400000</v>
      </c>
      <c r="L586" s="3">
        <v>0.97916666666666663</v>
      </c>
    </row>
    <row r="587" spans="1:12" x14ac:dyDescent="0.25">
      <c r="A587" s="2">
        <v>43195</v>
      </c>
      <c r="B587" s="2">
        <v>43224</v>
      </c>
      <c r="C587" t="s">
        <v>21</v>
      </c>
      <c r="D587" t="s">
        <v>1636</v>
      </c>
      <c r="E587" s="5">
        <v>35000000</v>
      </c>
      <c r="F587" s="5">
        <v>38000000</v>
      </c>
      <c r="G587" s="5">
        <v>3000000</v>
      </c>
      <c r="H587" s="5">
        <v>3500000</v>
      </c>
      <c r="I587" s="5">
        <v>3800000</v>
      </c>
      <c r="J587" s="5">
        <v>35500000</v>
      </c>
      <c r="K587" s="5">
        <v>38500000</v>
      </c>
      <c r="L587" s="3">
        <v>0.97916666666666663</v>
      </c>
    </row>
    <row r="588" spans="1:12" x14ac:dyDescent="0.25">
      <c r="A588" s="2">
        <v>43286</v>
      </c>
      <c r="B588" s="2">
        <v>43227</v>
      </c>
      <c r="C588" t="s">
        <v>16</v>
      </c>
      <c r="D588" t="s">
        <v>1636</v>
      </c>
      <c r="E588" s="5">
        <v>35000000</v>
      </c>
      <c r="F588" s="5">
        <v>38000000</v>
      </c>
      <c r="G588" s="5">
        <v>3000000</v>
      </c>
      <c r="H588" s="5">
        <v>3500000</v>
      </c>
      <c r="I588" s="5">
        <v>3800000</v>
      </c>
      <c r="J588" s="5">
        <v>35500000</v>
      </c>
      <c r="K588" s="5">
        <v>38500000</v>
      </c>
      <c r="L588" s="3">
        <v>0.97916666666666663</v>
      </c>
    </row>
    <row r="589" spans="1:12" x14ac:dyDescent="0.25">
      <c r="A589" s="2">
        <v>43317</v>
      </c>
      <c r="B589" s="2">
        <v>43228</v>
      </c>
      <c r="C589" t="s">
        <v>18</v>
      </c>
      <c r="D589" t="s">
        <v>1636</v>
      </c>
      <c r="E589" s="5">
        <v>35000000</v>
      </c>
      <c r="F589" s="5">
        <v>38000000</v>
      </c>
      <c r="G589" s="5">
        <v>3000000</v>
      </c>
      <c r="H589" s="5">
        <v>3500000</v>
      </c>
      <c r="I589" s="5">
        <v>3800000</v>
      </c>
      <c r="J589" s="5">
        <v>35500000</v>
      </c>
      <c r="K589" s="5">
        <v>38500000</v>
      </c>
      <c r="L589" s="3">
        <v>0.97916666666666663</v>
      </c>
    </row>
    <row r="590" spans="1:12" x14ac:dyDescent="0.25">
      <c r="A590" s="2">
        <v>43348</v>
      </c>
      <c r="B590" s="2">
        <v>43229</v>
      </c>
      <c r="C590" t="s">
        <v>19</v>
      </c>
      <c r="D590" t="s">
        <v>1636</v>
      </c>
      <c r="E590" s="5">
        <v>34900000</v>
      </c>
      <c r="F590" s="5">
        <v>37900000</v>
      </c>
      <c r="G590" s="5">
        <v>3000000</v>
      </c>
      <c r="H590" s="5">
        <v>3490000</v>
      </c>
      <c r="I590" s="5">
        <v>3790000</v>
      </c>
      <c r="J590" s="5">
        <v>35400000</v>
      </c>
      <c r="K590" s="5">
        <v>38400000</v>
      </c>
      <c r="L590" s="3">
        <v>0.97916666666666663</v>
      </c>
    </row>
    <row r="591" spans="1:12" x14ac:dyDescent="0.25">
      <c r="A591" s="2">
        <v>43378</v>
      </c>
      <c r="B591" s="2">
        <v>43230</v>
      </c>
      <c r="C591" t="s">
        <v>20</v>
      </c>
      <c r="D591" t="s">
        <v>1636</v>
      </c>
      <c r="E591" s="5">
        <v>35200000</v>
      </c>
      <c r="F591" s="5">
        <v>38200000</v>
      </c>
      <c r="G591" s="5">
        <v>3000000</v>
      </c>
      <c r="H591" s="5">
        <v>3520000</v>
      </c>
      <c r="I591" s="5">
        <v>3820000</v>
      </c>
      <c r="J591" s="5">
        <v>35700000</v>
      </c>
      <c r="K591" s="5">
        <v>38700000</v>
      </c>
      <c r="L591" s="3">
        <v>0.97916666666666663</v>
      </c>
    </row>
    <row r="592" spans="1:12" x14ac:dyDescent="0.25">
      <c r="A592" s="2">
        <v>43409</v>
      </c>
      <c r="B592" s="2">
        <v>43231</v>
      </c>
      <c r="C592" t="s">
        <v>21</v>
      </c>
      <c r="D592" t="s">
        <v>1636</v>
      </c>
      <c r="E592" s="5">
        <v>35200000</v>
      </c>
      <c r="F592" s="5">
        <v>38200000</v>
      </c>
      <c r="G592" s="5">
        <v>3000000</v>
      </c>
      <c r="H592" s="5">
        <v>3520000</v>
      </c>
      <c r="I592" s="5">
        <v>3820000</v>
      </c>
      <c r="J592" s="5">
        <v>35700000</v>
      </c>
      <c r="K592" s="5">
        <v>38700000</v>
      </c>
      <c r="L592" s="3">
        <v>0.97916666666666663</v>
      </c>
    </row>
    <row r="593" spans="1:12" x14ac:dyDescent="0.25">
      <c r="A593" t="s">
        <v>374</v>
      </c>
      <c r="B593" s="2">
        <v>43234</v>
      </c>
      <c r="C593" t="s">
        <v>16</v>
      </c>
      <c r="D593" t="s">
        <v>1636</v>
      </c>
      <c r="E593" s="5">
        <v>35100000</v>
      </c>
      <c r="F593" s="5">
        <v>38100000</v>
      </c>
      <c r="G593" s="5">
        <v>3000000</v>
      </c>
      <c r="H593" s="5">
        <v>3510000</v>
      </c>
      <c r="I593" s="5">
        <v>3810000</v>
      </c>
      <c r="J593" s="5">
        <v>35600000</v>
      </c>
      <c r="K593" s="5">
        <v>38600000</v>
      </c>
      <c r="L593" s="3">
        <v>0.97916666666666663</v>
      </c>
    </row>
    <row r="594" spans="1:12" x14ac:dyDescent="0.25">
      <c r="A594" t="s">
        <v>375</v>
      </c>
      <c r="B594" s="2">
        <v>43235</v>
      </c>
      <c r="C594" t="s">
        <v>18</v>
      </c>
      <c r="D594" t="s">
        <v>1636</v>
      </c>
      <c r="E594" s="5">
        <v>34300000</v>
      </c>
      <c r="F594" s="5">
        <v>37300000</v>
      </c>
      <c r="G594" s="5">
        <v>3000000</v>
      </c>
      <c r="H594" s="5">
        <v>3430000</v>
      </c>
      <c r="I594" s="5">
        <v>3730000</v>
      </c>
      <c r="J594" s="5">
        <v>34800000</v>
      </c>
      <c r="K594" s="5">
        <v>37800000</v>
      </c>
      <c r="L594" s="3">
        <v>0.97916666666666663</v>
      </c>
    </row>
    <row r="595" spans="1:12" x14ac:dyDescent="0.25">
      <c r="A595" t="s">
        <v>376</v>
      </c>
      <c r="B595" s="2">
        <v>43236</v>
      </c>
      <c r="C595" t="s">
        <v>19</v>
      </c>
      <c r="D595" t="s">
        <v>1636</v>
      </c>
      <c r="E595" s="5">
        <v>34300000</v>
      </c>
      <c r="F595" s="5">
        <v>37300000</v>
      </c>
      <c r="G595" s="5">
        <v>3000000</v>
      </c>
      <c r="H595" s="5">
        <v>3430000</v>
      </c>
      <c r="I595" s="5">
        <v>3730000</v>
      </c>
      <c r="J595" s="5">
        <v>34800000</v>
      </c>
      <c r="K595" s="5">
        <v>37800000</v>
      </c>
      <c r="L595" s="3">
        <v>0.97916666666666663</v>
      </c>
    </row>
    <row r="596" spans="1:12" x14ac:dyDescent="0.25">
      <c r="A596" t="s">
        <v>377</v>
      </c>
      <c r="B596" s="2">
        <v>43237</v>
      </c>
      <c r="C596" t="s">
        <v>20</v>
      </c>
      <c r="D596" t="s">
        <v>1636</v>
      </c>
      <c r="E596" s="5">
        <v>34300000</v>
      </c>
      <c r="F596" s="5">
        <v>37300000</v>
      </c>
      <c r="G596" s="5">
        <v>3000000</v>
      </c>
      <c r="H596" s="5">
        <v>3430000</v>
      </c>
      <c r="I596" s="5">
        <v>3730000</v>
      </c>
      <c r="J596" s="5">
        <v>34800000</v>
      </c>
      <c r="K596" s="5">
        <v>37800000</v>
      </c>
      <c r="L596" s="3">
        <v>0.97916666666666663</v>
      </c>
    </row>
    <row r="597" spans="1:12" x14ac:dyDescent="0.25">
      <c r="A597" t="s">
        <v>378</v>
      </c>
      <c r="B597" s="2">
        <v>43238</v>
      </c>
      <c r="C597" t="s">
        <v>21</v>
      </c>
      <c r="D597" t="s">
        <v>1636</v>
      </c>
      <c r="E597" s="5">
        <v>34300000</v>
      </c>
      <c r="F597" s="5">
        <v>37300000</v>
      </c>
      <c r="G597" s="5">
        <v>3000000</v>
      </c>
      <c r="H597" s="5">
        <v>3430000</v>
      </c>
      <c r="I597" s="5">
        <v>3730000</v>
      </c>
      <c r="J597" s="5">
        <v>34800000</v>
      </c>
      <c r="K597" s="5">
        <v>37800000</v>
      </c>
      <c r="L597" s="3">
        <v>0.97916666666666663</v>
      </c>
    </row>
    <row r="598" spans="1:12" x14ac:dyDescent="0.25">
      <c r="A598" t="s">
        <v>379</v>
      </c>
      <c r="B598" s="2">
        <v>43241</v>
      </c>
      <c r="C598" t="s">
        <v>16</v>
      </c>
      <c r="D598" t="s">
        <v>1636</v>
      </c>
      <c r="E598" s="5">
        <v>34300000</v>
      </c>
      <c r="F598" s="5">
        <v>37300000</v>
      </c>
      <c r="G598" s="5">
        <v>3000000</v>
      </c>
      <c r="H598" s="5">
        <v>3430000</v>
      </c>
      <c r="I598" s="5">
        <v>3730000</v>
      </c>
      <c r="J598" s="5">
        <v>34800000</v>
      </c>
      <c r="K598" s="5">
        <v>37800000</v>
      </c>
      <c r="L598" s="3">
        <v>0.97916666666666663</v>
      </c>
    </row>
    <row r="599" spans="1:12" x14ac:dyDescent="0.25">
      <c r="A599" t="s">
        <v>380</v>
      </c>
      <c r="B599" s="2">
        <v>43242</v>
      </c>
      <c r="C599" t="s">
        <v>18</v>
      </c>
      <c r="D599" t="s">
        <v>1636</v>
      </c>
      <c r="E599" s="5">
        <v>34400000</v>
      </c>
      <c r="F599" s="5">
        <v>37400000</v>
      </c>
      <c r="G599" s="5">
        <v>3000000</v>
      </c>
      <c r="H599" s="5">
        <v>3440000</v>
      </c>
      <c r="I599" s="5">
        <v>3740000</v>
      </c>
      <c r="J599" s="5">
        <v>34900000</v>
      </c>
      <c r="K599" s="5">
        <v>37900000</v>
      </c>
      <c r="L599" s="3">
        <v>0.97916666666666663</v>
      </c>
    </row>
    <row r="600" spans="1:12" x14ac:dyDescent="0.25">
      <c r="A600" t="s">
        <v>381</v>
      </c>
      <c r="B600" s="2">
        <v>43243</v>
      </c>
      <c r="C600" t="s">
        <v>19</v>
      </c>
      <c r="D600" t="s">
        <v>1636</v>
      </c>
      <c r="E600" s="5">
        <v>34300000</v>
      </c>
      <c r="F600" s="5">
        <v>37300000</v>
      </c>
      <c r="G600" s="5">
        <v>3000000</v>
      </c>
      <c r="H600" s="5">
        <v>3430000</v>
      </c>
      <c r="I600" s="5">
        <v>3730000</v>
      </c>
      <c r="J600" s="5">
        <v>34800000</v>
      </c>
      <c r="K600" s="5">
        <v>37800000</v>
      </c>
      <c r="L600" s="3">
        <v>0.97916666666666663</v>
      </c>
    </row>
    <row r="601" spans="1:12" x14ac:dyDescent="0.25">
      <c r="A601" t="s">
        <v>382</v>
      </c>
      <c r="B601" s="2">
        <v>43244</v>
      </c>
      <c r="C601" t="s">
        <v>20</v>
      </c>
      <c r="D601" t="s">
        <v>1636</v>
      </c>
      <c r="E601" s="5">
        <v>34700000</v>
      </c>
      <c r="F601" s="5">
        <v>37700000</v>
      </c>
      <c r="G601" s="5">
        <v>3000000</v>
      </c>
      <c r="H601" s="5">
        <v>3470000</v>
      </c>
      <c r="I601" s="5">
        <v>3770000</v>
      </c>
      <c r="J601" s="5">
        <v>35200000</v>
      </c>
      <c r="K601" s="5">
        <v>38200000</v>
      </c>
      <c r="L601" s="3">
        <v>0.97916666666666663</v>
      </c>
    </row>
    <row r="602" spans="1:12" x14ac:dyDescent="0.25">
      <c r="A602" t="s">
        <v>383</v>
      </c>
      <c r="B602" s="2">
        <v>43245</v>
      </c>
      <c r="C602" t="s">
        <v>21</v>
      </c>
      <c r="D602" t="s">
        <v>1636</v>
      </c>
      <c r="E602" s="5">
        <v>34700000</v>
      </c>
      <c r="F602" s="5">
        <v>37700000</v>
      </c>
      <c r="G602" s="5">
        <v>3000000</v>
      </c>
      <c r="H602" s="5">
        <v>3470000</v>
      </c>
      <c r="I602" s="5">
        <v>3770000</v>
      </c>
      <c r="J602" s="5">
        <v>35200000</v>
      </c>
      <c r="K602" s="5">
        <v>38200000</v>
      </c>
      <c r="L602" s="3">
        <v>0.97916666666666663</v>
      </c>
    </row>
    <row r="603" spans="1:12" x14ac:dyDescent="0.25">
      <c r="A603" t="s">
        <v>384</v>
      </c>
      <c r="B603" s="2">
        <v>43249</v>
      </c>
      <c r="C603" t="s">
        <v>18</v>
      </c>
      <c r="D603" t="s">
        <v>1636</v>
      </c>
      <c r="E603" s="5">
        <v>34600000</v>
      </c>
      <c r="F603" s="5">
        <v>37600000</v>
      </c>
      <c r="G603" s="5">
        <v>3000000</v>
      </c>
      <c r="H603" s="5">
        <v>3460000</v>
      </c>
      <c r="I603" s="5">
        <v>3760000</v>
      </c>
      <c r="J603" s="5">
        <v>35100000</v>
      </c>
      <c r="K603" s="5">
        <v>38100000</v>
      </c>
      <c r="L603" s="3">
        <v>0.97916666666666663</v>
      </c>
    </row>
    <row r="604" spans="1:12" x14ac:dyDescent="0.25">
      <c r="A604" t="s">
        <v>385</v>
      </c>
      <c r="B604" s="2">
        <v>43250</v>
      </c>
      <c r="C604" t="s">
        <v>19</v>
      </c>
      <c r="D604" t="s">
        <v>1636</v>
      </c>
      <c r="E604" s="5">
        <v>34600000</v>
      </c>
      <c r="F604" s="5">
        <v>37600000</v>
      </c>
      <c r="G604" s="5">
        <v>3000000</v>
      </c>
      <c r="H604" s="5">
        <v>3460000</v>
      </c>
      <c r="I604" s="5">
        <v>3760000</v>
      </c>
      <c r="J604" s="5">
        <v>35100000</v>
      </c>
      <c r="K604" s="5">
        <v>38100000</v>
      </c>
      <c r="L604" s="3">
        <v>0.97916666666666663</v>
      </c>
    </row>
    <row r="605" spans="1:12" x14ac:dyDescent="0.25">
      <c r="A605" t="s">
        <v>386</v>
      </c>
      <c r="B605" s="2">
        <v>43251</v>
      </c>
      <c r="C605" t="s">
        <v>20</v>
      </c>
      <c r="D605" t="s">
        <v>1636</v>
      </c>
      <c r="E605" s="5">
        <v>34600000</v>
      </c>
      <c r="F605" s="5">
        <v>37600000</v>
      </c>
      <c r="G605" s="5">
        <v>3000000</v>
      </c>
      <c r="H605" s="5">
        <v>3460000</v>
      </c>
      <c r="I605" s="5">
        <v>3760000</v>
      </c>
      <c r="J605" s="5">
        <v>35100000</v>
      </c>
      <c r="K605" s="5">
        <v>38100000</v>
      </c>
      <c r="L605" s="3">
        <v>0.97916666666666663</v>
      </c>
    </row>
    <row r="606" spans="1:12" x14ac:dyDescent="0.25">
      <c r="A606" s="2">
        <v>43106</v>
      </c>
      <c r="B606" s="2">
        <v>43252</v>
      </c>
      <c r="C606" t="s">
        <v>21</v>
      </c>
      <c r="D606" t="s">
        <v>1636</v>
      </c>
      <c r="E606" s="5">
        <v>34500000</v>
      </c>
      <c r="F606" s="5">
        <v>37500000</v>
      </c>
      <c r="G606" s="5">
        <v>3000000</v>
      </c>
      <c r="H606" s="5">
        <v>3450000</v>
      </c>
      <c r="I606" s="5">
        <v>3750000</v>
      </c>
      <c r="J606" s="5">
        <v>35000000</v>
      </c>
      <c r="K606" s="5">
        <v>38000000</v>
      </c>
      <c r="L606" s="3">
        <v>0.97916666666666663</v>
      </c>
    </row>
    <row r="607" spans="1:12" x14ac:dyDescent="0.25">
      <c r="A607" s="2">
        <v>43196</v>
      </c>
      <c r="B607" s="2">
        <v>43255</v>
      </c>
      <c r="C607" t="s">
        <v>16</v>
      </c>
      <c r="D607" t="s">
        <v>1636</v>
      </c>
      <c r="E607" s="5">
        <v>34400000</v>
      </c>
      <c r="F607" s="5">
        <v>37400000</v>
      </c>
      <c r="G607" s="5">
        <v>3000000</v>
      </c>
      <c r="H607" s="5">
        <v>3440000</v>
      </c>
      <c r="I607" s="5">
        <v>3740000</v>
      </c>
      <c r="J607" s="5">
        <v>34900000</v>
      </c>
      <c r="K607" s="5">
        <v>37900000</v>
      </c>
      <c r="L607" s="3">
        <v>0.97916666666666663</v>
      </c>
    </row>
    <row r="608" spans="1:12" x14ac:dyDescent="0.25">
      <c r="A608" s="2">
        <v>43226</v>
      </c>
      <c r="B608" s="2">
        <v>43256</v>
      </c>
      <c r="C608" t="s">
        <v>18</v>
      </c>
      <c r="D608" t="s">
        <v>1636</v>
      </c>
      <c r="E608" s="5">
        <v>34500000</v>
      </c>
      <c r="F608" s="5">
        <v>37500000</v>
      </c>
      <c r="G608" s="5">
        <v>3000000</v>
      </c>
      <c r="H608" s="5">
        <v>3450000</v>
      </c>
      <c r="I608" s="5">
        <v>3750000</v>
      </c>
      <c r="J608" s="5">
        <v>35000000</v>
      </c>
      <c r="K608" s="5">
        <v>38000000</v>
      </c>
      <c r="L608" s="3">
        <v>0.97916666666666663</v>
      </c>
    </row>
    <row r="609" spans="1:12" x14ac:dyDescent="0.25">
      <c r="A609" s="2">
        <v>43257</v>
      </c>
      <c r="B609" s="2">
        <v>43257</v>
      </c>
      <c r="C609" t="s">
        <v>19</v>
      </c>
      <c r="D609" t="s">
        <v>1636</v>
      </c>
      <c r="E609" s="5">
        <v>34500000</v>
      </c>
      <c r="F609" s="5">
        <v>37500000</v>
      </c>
      <c r="G609" s="5">
        <v>3000000</v>
      </c>
      <c r="H609" s="5">
        <v>3450000</v>
      </c>
      <c r="I609" s="5">
        <v>3750000</v>
      </c>
      <c r="J609" s="5">
        <v>35000000</v>
      </c>
      <c r="K609" s="5">
        <v>38000000</v>
      </c>
      <c r="L609" s="3">
        <v>0.97916666666666663</v>
      </c>
    </row>
    <row r="610" spans="1:12" x14ac:dyDescent="0.25">
      <c r="A610" s="2">
        <v>43287</v>
      </c>
      <c r="B610" s="2">
        <v>43258</v>
      </c>
      <c r="C610" t="s">
        <v>20</v>
      </c>
      <c r="D610" t="s">
        <v>1636</v>
      </c>
      <c r="E610" s="5">
        <v>34600000</v>
      </c>
      <c r="F610" s="5">
        <v>37600000</v>
      </c>
      <c r="G610" s="5">
        <v>3000000</v>
      </c>
      <c r="H610" s="5">
        <v>3460000</v>
      </c>
      <c r="I610" s="5">
        <v>3760000</v>
      </c>
      <c r="J610" s="5">
        <v>35100000</v>
      </c>
      <c r="K610" s="5">
        <v>38100000</v>
      </c>
      <c r="L610" s="3">
        <v>0.97916666666666663</v>
      </c>
    </row>
    <row r="611" spans="1:12" x14ac:dyDescent="0.25">
      <c r="A611" s="2">
        <v>43318</v>
      </c>
      <c r="B611" s="2">
        <v>43259</v>
      </c>
      <c r="C611" t="s">
        <v>21</v>
      </c>
      <c r="D611" t="s">
        <v>1636</v>
      </c>
      <c r="E611" s="5">
        <v>34500000</v>
      </c>
      <c r="F611" s="5">
        <v>37500000</v>
      </c>
      <c r="G611" s="5">
        <v>3000000</v>
      </c>
      <c r="H611" s="5">
        <v>3450000</v>
      </c>
      <c r="I611" s="5">
        <v>3750000</v>
      </c>
      <c r="J611" s="5">
        <v>35000000</v>
      </c>
      <c r="K611" s="5">
        <v>38000000</v>
      </c>
      <c r="L611" s="3">
        <v>0.97916666666666663</v>
      </c>
    </row>
    <row r="612" spans="1:12" x14ac:dyDescent="0.25">
      <c r="A612" s="2">
        <v>43410</v>
      </c>
      <c r="B612" s="2">
        <v>43262</v>
      </c>
      <c r="C612" t="s">
        <v>16</v>
      </c>
      <c r="D612" t="s">
        <v>1636</v>
      </c>
      <c r="E612" s="5">
        <v>34600000</v>
      </c>
      <c r="F612" s="5">
        <v>37600000</v>
      </c>
      <c r="G612" s="5">
        <v>3000000</v>
      </c>
      <c r="H612" s="5">
        <v>3460000</v>
      </c>
      <c r="I612" s="5">
        <v>3760000</v>
      </c>
      <c r="J612" s="5">
        <v>35100000</v>
      </c>
      <c r="K612" s="5">
        <v>38100000</v>
      </c>
      <c r="L612" s="3">
        <v>0.97916666666666663</v>
      </c>
    </row>
    <row r="613" spans="1:12" x14ac:dyDescent="0.25">
      <c r="A613" s="2">
        <v>43440</v>
      </c>
      <c r="B613" s="2">
        <v>43263</v>
      </c>
      <c r="C613" t="s">
        <v>18</v>
      </c>
      <c r="D613" t="s">
        <v>1636</v>
      </c>
      <c r="E613" s="5">
        <v>34500000</v>
      </c>
      <c r="F613" s="5">
        <v>37500000</v>
      </c>
      <c r="G613" s="5">
        <v>3000000</v>
      </c>
      <c r="H613" s="5">
        <v>3450000</v>
      </c>
      <c r="I613" s="5">
        <v>3750000</v>
      </c>
      <c r="J613" s="5">
        <v>35000000</v>
      </c>
      <c r="K613" s="5">
        <v>38000000</v>
      </c>
      <c r="L613" s="3">
        <v>0.97916666666666663</v>
      </c>
    </row>
    <row r="614" spans="1:12" x14ac:dyDescent="0.25">
      <c r="A614" t="s">
        <v>387</v>
      </c>
      <c r="B614" s="2">
        <v>43264</v>
      </c>
      <c r="C614" t="s">
        <v>19</v>
      </c>
      <c r="D614" t="s">
        <v>1636</v>
      </c>
      <c r="E614" s="5">
        <v>34500000</v>
      </c>
      <c r="F614" s="5">
        <v>37500000</v>
      </c>
      <c r="G614" s="5">
        <v>3000000</v>
      </c>
      <c r="H614" s="5">
        <v>3450000</v>
      </c>
      <c r="I614" s="5">
        <v>3750000</v>
      </c>
      <c r="J614" s="5">
        <v>35000000</v>
      </c>
      <c r="K614" s="5">
        <v>38000000</v>
      </c>
      <c r="L614" s="3">
        <v>0.97916666666666663</v>
      </c>
    </row>
    <row r="615" spans="1:12" x14ac:dyDescent="0.25">
      <c r="A615" t="s">
        <v>388</v>
      </c>
      <c r="B615" s="2">
        <v>43265</v>
      </c>
      <c r="C615" t="s">
        <v>20</v>
      </c>
      <c r="D615" t="s">
        <v>1636</v>
      </c>
      <c r="E615" s="5">
        <v>34700000</v>
      </c>
      <c r="F615" s="5">
        <v>37700000</v>
      </c>
      <c r="G615" s="5">
        <v>3000000</v>
      </c>
      <c r="H615" s="5">
        <v>3470000</v>
      </c>
      <c r="I615" s="5">
        <v>3770000</v>
      </c>
      <c r="J615" s="5">
        <v>35200000</v>
      </c>
      <c r="K615" s="5">
        <v>38200000</v>
      </c>
      <c r="L615" s="3">
        <v>0.97916666666666663</v>
      </c>
    </row>
    <row r="616" spans="1:12" x14ac:dyDescent="0.25">
      <c r="A616" t="s">
        <v>389</v>
      </c>
      <c r="B616" s="2">
        <v>43266</v>
      </c>
      <c r="C616" t="s">
        <v>21</v>
      </c>
      <c r="D616" t="s">
        <v>1636</v>
      </c>
      <c r="E616" s="5">
        <v>33900000</v>
      </c>
      <c r="F616" s="5">
        <v>36900000</v>
      </c>
      <c r="G616" s="5">
        <v>3000000</v>
      </c>
      <c r="H616" s="5">
        <v>3390000</v>
      </c>
      <c r="I616" s="5">
        <v>3690000</v>
      </c>
      <c r="J616" s="5">
        <v>34400000</v>
      </c>
      <c r="K616" s="5">
        <v>37400000</v>
      </c>
      <c r="L616" s="3">
        <v>0.97916666666666663</v>
      </c>
    </row>
    <row r="617" spans="1:12" x14ac:dyDescent="0.25">
      <c r="A617" t="s">
        <v>390</v>
      </c>
      <c r="B617" s="2">
        <v>43269</v>
      </c>
      <c r="C617" t="s">
        <v>16</v>
      </c>
      <c r="D617" t="s">
        <v>1636</v>
      </c>
      <c r="E617" s="5">
        <v>33900000</v>
      </c>
      <c r="F617" s="5">
        <v>36900000</v>
      </c>
      <c r="G617" s="5">
        <v>3000000</v>
      </c>
      <c r="H617" s="5">
        <v>3390000</v>
      </c>
      <c r="I617" s="5">
        <v>3690000</v>
      </c>
      <c r="J617" s="5">
        <v>34400000</v>
      </c>
      <c r="K617" s="5">
        <v>37400000</v>
      </c>
      <c r="L617" s="3">
        <v>0.97916666666666663</v>
      </c>
    </row>
    <row r="618" spans="1:12" x14ac:dyDescent="0.25">
      <c r="A618" t="s">
        <v>391</v>
      </c>
      <c r="B618" s="2">
        <v>43270</v>
      </c>
      <c r="C618" t="s">
        <v>18</v>
      </c>
      <c r="D618" t="s">
        <v>1636</v>
      </c>
      <c r="E618" s="5">
        <v>33900000</v>
      </c>
      <c r="F618" s="5">
        <v>36900000</v>
      </c>
      <c r="G618" s="5">
        <v>3000000</v>
      </c>
      <c r="H618" s="5">
        <v>3390000</v>
      </c>
      <c r="I618" s="5">
        <v>3690000</v>
      </c>
      <c r="J618" s="5">
        <v>34400000</v>
      </c>
      <c r="K618" s="5">
        <v>37400000</v>
      </c>
      <c r="L618" s="3">
        <v>0.97916666666666663</v>
      </c>
    </row>
    <row r="619" spans="1:12" x14ac:dyDescent="0.25">
      <c r="A619" t="s">
        <v>392</v>
      </c>
      <c r="B619" s="2">
        <v>43271</v>
      </c>
      <c r="C619" t="s">
        <v>19</v>
      </c>
      <c r="D619" t="s">
        <v>1636</v>
      </c>
      <c r="E619" s="5">
        <v>33800000</v>
      </c>
      <c r="F619" s="5">
        <v>36800000</v>
      </c>
      <c r="G619" s="5">
        <v>3000000</v>
      </c>
      <c r="H619" s="5">
        <v>3380000</v>
      </c>
      <c r="I619" s="5">
        <v>3680000</v>
      </c>
      <c r="J619" s="5">
        <v>34300000</v>
      </c>
      <c r="K619" s="5">
        <v>37300000</v>
      </c>
      <c r="L619" s="3">
        <v>0.97916666666666663</v>
      </c>
    </row>
    <row r="620" spans="1:12" x14ac:dyDescent="0.25">
      <c r="A620" t="s">
        <v>393</v>
      </c>
      <c r="B620" s="2">
        <v>43272</v>
      </c>
      <c r="C620" t="s">
        <v>20</v>
      </c>
      <c r="D620" t="s">
        <v>1636</v>
      </c>
      <c r="E620" s="5">
        <v>33700000</v>
      </c>
      <c r="F620" s="5">
        <v>36700000</v>
      </c>
      <c r="G620" s="5">
        <v>3000000</v>
      </c>
      <c r="H620" s="5">
        <v>3370000</v>
      </c>
      <c r="I620" s="5">
        <v>3670000</v>
      </c>
      <c r="J620" s="5">
        <v>34200000</v>
      </c>
      <c r="K620" s="5">
        <v>37200000</v>
      </c>
      <c r="L620" s="3">
        <v>0.97916666666666663</v>
      </c>
    </row>
    <row r="621" spans="1:12" x14ac:dyDescent="0.25">
      <c r="A621" t="s">
        <v>394</v>
      </c>
      <c r="B621" s="2">
        <v>43273</v>
      </c>
      <c r="C621" t="s">
        <v>21</v>
      </c>
      <c r="D621" t="s">
        <v>1636</v>
      </c>
      <c r="E621" s="5">
        <v>33700000</v>
      </c>
      <c r="F621" s="5">
        <v>36700000</v>
      </c>
      <c r="G621" s="5">
        <v>3000000</v>
      </c>
      <c r="H621" s="5">
        <v>3370000</v>
      </c>
      <c r="I621" s="5">
        <v>3670000</v>
      </c>
      <c r="J621" s="5">
        <v>34200000</v>
      </c>
      <c r="K621" s="5">
        <v>37200000</v>
      </c>
      <c r="L621" s="3">
        <v>0.97916666666666663</v>
      </c>
    </row>
    <row r="622" spans="1:12" x14ac:dyDescent="0.25">
      <c r="A622" t="s">
        <v>395</v>
      </c>
      <c r="B622" s="2">
        <v>43276</v>
      </c>
      <c r="C622" t="s">
        <v>16</v>
      </c>
      <c r="D622" t="s">
        <v>1636</v>
      </c>
      <c r="E622" s="5">
        <v>33600000</v>
      </c>
      <c r="F622" s="5">
        <v>36600000</v>
      </c>
      <c r="G622" s="5">
        <v>3000000</v>
      </c>
      <c r="H622" s="5">
        <v>3360000</v>
      </c>
      <c r="I622" s="5">
        <v>3660000</v>
      </c>
      <c r="J622" s="5">
        <v>34100000</v>
      </c>
      <c r="K622" s="5">
        <v>37100000</v>
      </c>
      <c r="L622" s="3">
        <v>0.97916666666666663</v>
      </c>
    </row>
    <row r="623" spans="1:12" x14ac:dyDescent="0.25">
      <c r="A623" t="s">
        <v>396</v>
      </c>
      <c r="B623" s="2">
        <v>43277</v>
      </c>
      <c r="C623" t="s">
        <v>18</v>
      </c>
      <c r="D623" t="s">
        <v>1636</v>
      </c>
      <c r="E623" s="5">
        <v>33300000</v>
      </c>
      <c r="F623" s="5">
        <v>36300000</v>
      </c>
      <c r="G623" s="5">
        <v>3000000</v>
      </c>
      <c r="H623" s="5">
        <v>3330000</v>
      </c>
      <c r="I623" s="5">
        <v>3630000</v>
      </c>
      <c r="J623" s="5">
        <v>33800000</v>
      </c>
      <c r="K623" s="5">
        <v>36800000</v>
      </c>
      <c r="L623" s="3">
        <v>0.97916666666666663</v>
      </c>
    </row>
    <row r="624" spans="1:12" x14ac:dyDescent="0.25">
      <c r="A624" t="s">
        <v>397</v>
      </c>
      <c r="B624" s="2">
        <v>43278</v>
      </c>
      <c r="C624" t="s">
        <v>19</v>
      </c>
      <c r="D624" t="s">
        <v>1636</v>
      </c>
      <c r="E624" s="5">
        <v>33200000</v>
      </c>
      <c r="F624" s="5">
        <v>36200000</v>
      </c>
      <c r="G624" s="5">
        <v>3000000</v>
      </c>
      <c r="H624" s="5">
        <v>3320000</v>
      </c>
      <c r="I624" s="5">
        <v>3620000</v>
      </c>
      <c r="J624" s="5">
        <v>33700000</v>
      </c>
      <c r="K624" s="5">
        <v>36700000</v>
      </c>
      <c r="L624" s="3">
        <v>0.97916666666666663</v>
      </c>
    </row>
    <row r="625" spans="1:12" x14ac:dyDescent="0.25">
      <c r="A625" t="s">
        <v>398</v>
      </c>
      <c r="B625" s="2">
        <v>43279</v>
      </c>
      <c r="C625" t="s">
        <v>20</v>
      </c>
      <c r="D625" t="s">
        <v>1636</v>
      </c>
      <c r="E625" s="5">
        <v>33100000</v>
      </c>
      <c r="F625" s="5">
        <v>36100000</v>
      </c>
      <c r="G625" s="5">
        <v>3000000</v>
      </c>
      <c r="H625" s="5">
        <v>3310000</v>
      </c>
      <c r="I625" s="5">
        <v>3610000</v>
      </c>
      <c r="J625" s="5">
        <v>33600000</v>
      </c>
      <c r="K625" s="5">
        <v>36600000</v>
      </c>
      <c r="L625" s="3">
        <v>0.97916666666666663</v>
      </c>
    </row>
    <row r="626" spans="1:12" x14ac:dyDescent="0.25">
      <c r="A626" t="s">
        <v>399</v>
      </c>
      <c r="B626" s="2">
        <v>43280</v>
      </c>
      <c r="C626" t="s">
        <v>21</v>
      </c>
      <c r="D626" t="s">
        <v>1636</v>
      </c>
      <c r="E626" s="5">
        <v>33200000</v>
      </c>
      <c r="F626" s="5">
        <v>36200000</v>
      </c>
      <c r="G626" s="5">
        <v>3000000</v>
      </c>
      <c r="H626" s="5">
        <v>3320000</v>
      </c>
      <c r="I626" s="5">
        <v>3620000</v>
      </c>
      <c r="J626" s="5">
        <v>33700000</v>
      </c>
      <c r="K626" s="5">
        <v>36700000</v>
      </c>
      <c r="L626" s="3">
        <v>0.97916666666666663</v>
      </c>
    </row>
    <row r="627" spans="1:12" x14ac:dyDescent="0.25">
      <c r="A627" s="2">
        <v>43138</v>
      </c>
      <c r="B627" s="2">
        <v>43283</v>
      </c>
      <c r="C627" t="s">
        <v>16</v>
      </c>
      <c r="D627" t="s">
        <v>1636</v>
      </c>
      <c r="E627" s="5">
        <v>32900000</v>
      </c>
      <c r="F627" s="5">
        <v>35900000</v>
      </c>
      <c r="G627" s="5">
        <v>3000000</v>
      </c>
      <c r="H627" s="5">
        <v>3290000</v>
      </c>
      <c r="I627" s="5">
        <v>3590000</v>
      </c>
      <c r="J627" s="5">
        <v>33400000</v>
      </c>
      <c r="K627" s="5">
        <v>36400000</v>
      </c>
      <c r="L627" s="3">
        <v>0.97916666666666663</v>
      </c>
    </row>
    <row r="628" spans="1:12" x14ac:dyDescent="0.25">
      <c r="A628" s="2">
        <v>43166</v>
      </c>
      <c r="B628" s="2">
        <v>43284</v>
      </c>
      <c r="C628" t="s">
        <v>18</v>
      </c>
      <c r="D628" t="s">
        <v>1636</v>
      </c>
      <c r="E628" s="5">
        <v>33200000</v>
      </c>
      <c r="F628" s="5">
        <v>36200000</v>
      </c>
      <c r="G628" s="5">
        <v>3000000</v>
      </c>
      <c r="H628" s="5">
        <v>3320000</v>
      </c>
      <c r="I628" s="5">
        <v>3620000</v>
      </c>
      <c r="J628" s="5">
        <v>33700000</v>
      </c>
      <c r="K628" s="5">
        <v>36700000</v>
      </c>
      <c r="L628" s="3">
        <v>0.97916666666666663</v>
      </c>
    </row>
    <row r="629" spans="1:12" x14ac:dyDescent="0.25">
      <c r="A629" s="2">
        <v>43227</v>
      </c>
      <c r="B629" s="2">
        <v>43286</v>
      </c>
      <c r="C629" t="s">
        <v>20</v>
      </c>
      <c r="D629" t="s">
        <v>1636</v>
      </c>
      <c r="E629" s="5">
        <v>33400000</v>
      </c>
      <c r="F629" s="5">
        <v>36400000</v>
      </c>
      <c r="G629" s="5">
        <v>3000000</v>
      </c>
      <c r="H629" s="5">
        <v>3340000</v>
      </c>
      <c r="I629" s="5">
        <v>3640000</v>
      </c>
      <c r="J629" s="5">
        <v>33900000</v>
      </c>
      <c r="K629" s="5">
        <v>36900000</v>
      </c>
      <c r="L629" s="3">
        <v>0.97916666666666663</v>
      </c>
    </row>
    <row r="630" spans="1:12" x14ac:dyDescent="0.25">
      <c r="A630" s="2">
        <v>43258</v>
      </c>
      <c r="B630" s="2">
        <v>43287</v>
      </c>
      <c r="C630" t="s">
        <v>21</v>
      </c>
      <c r="D630" t="s">
        <v>1636</v>
      </c>
      <c r="E630" s="5">
        <v>33300000</v>
      </c>
      <c r="F630" s="5">
        <v>36300000</v>
      </c>
      <c r="G630" s="5">
        <v>3000000</v>
      </c>
      <c r="H630" s="5">
        <v>3330000</v>
      </c>
      <c r="I630" s="5">
        <v>3630000</v>
      </c>
      <c r="J630" s="5">
        <v>33800000</v>
      </c>
      <c r="K630" s="5">
        <v>36800000</v>
      </c>
      <c r="L630" s="3">
        <v>0.97916666666666663</v>
      </c>
    </row>
    <row r="631" spans="1:12" x14ac:dyDescent="0.25">
      <c r="A631" s="2">
        <v>43350</v>
      </c>
      <c r="B631" s="2">
        <v>43290</v>
      </c>
      <c r="C631" t="s">
        <v>16</v>
      </c>
      <c r="D631" t="s">
        <v>1636</v>
      </c>
      <c r="E631" s="5">
        <v>33400000</v>
      </c>
      <c r="F631" s="5">
        <v>36400000</v>
      </c>
      <c r="G631" s="5">
        <v>3000000</v>
      </c>
      <c r="H631" s="5">
        <v>3340000</v>
      </c>
      <c r="I631" s="5">
        <v>3640000</v>
      </c>
      <c r="J631" s="5">
        <v>33900000</v>
      </c>
      <c r="K631" s="5">
        <v>36900000</v>
      </c>
      <c r="L631" s="3">
        <v>0.97916666666666663</v>
      </c>
    </row>
    <row r="632" spans="1:12" x14ac:dyDescent="0.25">
      <c r="A632" s="2">
        <v>43380</v>
      </c>
      <c r="B632" s="2">
        <v>43291</v>
      </c>
      <c r="C632" t="s">
        <v>18</v>
      </c>
      <c r="D632" t="s">
        <v>1636</v>
      </c>
      <c r="E632" s="5">
        <v>33300000</v>
      </c>
      <c r="F632" s="5">
        <v>36300000</v>
      </c>
      <c r="G632" s="5">
        <v>3000000</v>
      </c>
      <c r="H632" s="5">
        <v>3330000</v>
      </c>
      <c r="I632" s="5">
        <v>3630000</v>
      </c>
      <c r="J632" s="5">
        <v>33800000</v>
      </c>
      <c r="K632" s="5">
        <v>36800000</v>
      </c>
      <c r="L632" s="3">
        <v>0.97916666666666663</v>
      </c>
    </row>
    <row r="633" spans="1:12" x14ac:dyDescent="0.25">
      <c r="A633" s="2">
        <v>43411</v>
      </c>
      <c r="B633" s="2">
        <v>43292</v>
      </c>
      <c r="C633" t="s">
        <v>19</v>
      </c>
      <c r="D633" t="s">
        <v>1636</v>
      </c>
      <c r="E633" s="5">
        <v>33000000</v>
      </c>
      <c r="F633" s="5">
        <v>36000000</v>
      </c>
      <c r="G633" s="5">
        <v>3000000</v>
      </c>
      <c r="H633" s="5">
        <v>3300000</v>
      </c>
      <c r="I633" s="5">
        <v>3600000</v>
      </c>
      <c r="J633" s="5">
        <v>33500000</v>
      </c>
      <c r="K633" s="5">
        <v>36500000</v>
      </c>
      <c r="L633" s="3">
        <v>0.97916666666666663</v>
      </c>
    </row>
    <row r="634" spans="1:12" x14ac:dyDescent="0.25">
      <c r="A634" s="2">
        <v>43441</v>
      </c>
      <c r="B634" s="2">
        <v>43293</v>
      </c>
      <c r="C634" t="s">
        <v>20</v>
      </c>
      <c r="D634" t="s">
        <v>1636</v>
      </c>
      <c r="E634" s="5">
        <v>33000000</v>
      </c>
      <c r="F634" s="5">
        <v>36000000</v>
      </c>
      <c r="G634" s="5">
        <v>3000000</v>
      </c>
      <c r="H634" s="5">
        <v>3300000</v>
      </c>
      <c r="I634" s="5">
        <v>3600000</v>
      </c>
      <c r="J634" s="5">
        <v>33500000</v>
      </c>
      <c r="K634" s="5">
        <v>36500000</v>
      </c>
      <c r="L634" s="3">
        <v>0.97916666666666663</v>
      </c>
    </row>
    <row r="635" spans="1:12" x14ac:dyDescent="0.25">
      <c r="A635" t="s">
        <v>400</v>
      </c>
      <c r="B635" s="2">
        <v>43294</v>
      </c>
      <c r="C635" t="s">
        <v>21</v>
      </c>
      <c r="D635" t="s">
        <v>1636</v>
      </c>
      <c r="E635" s="5">
        <v>32900000</v>
      </c>
      <c r="F635" s="5">
        <v>35900000</v>
      </c>
      <c r="G635" s="5">
        <v>3000000</v>
      </c>
      <c r="H635" s="5">
        <v>3290000</v>
      </c>
      <c r="I635" s="5">
        <v>3590000</v>
      </c>
      <c r="J635" s="5">
        <v>33400000</v>
      </c>
      <c r="K635" s="5">
        <v>36400000</v>
      </c>
      <c r="L635" s="3">
        <v>0.97916666666666663</v>
      </c>
    </row>
    <row r="636" spans="1:12" x14ac:dyDescent="0.25">
      <c r="A636" t="s">
        <v>401</v>
      </c>
      <c r="B636" s="2">
        <v>43297</v>
      </c>
      <c r="C636" t="s">
        <v>16</v>
      </c>
      <c r="D636" t="s">
        <v>1636</v>
      </c>
      <c r="E636" s="5">
        <v>32800000</v>
      </c>
      <c r="F636" s="5">
        <v>35800000</v>
      </c>
      <c r="G636" s="5">
        <v>3000000</v>
      </c>
      <c r="H636" s="5">
        <v>3280000</v>
      </c>
      <c r="I636" s="5">
        <v>3580000</v>
      </c>
      <c r="J636" s="5">
        <v>33300000</v>
      </c>
      <c r="K636" s="5">
        <v>36300000</v>
      </c>
      <c r="L636" s="3">
        <v>0.97916666666666663</v>
      </c>
    </row>
    <row r="637" spans="1:12" x14ac:dyDescent="0.25">
      <c r="A637" t="s">
        <v>402</v>
      </c>
      <c r="B637" s="2">
        <v>43298</v>
      </c>
      <c r="C637" t="s">
        <v>18</v>
      </c>
      <c r="D637" t="s">
        <v>1636</v>
      </c>
      <c r="E637" s="5">
        <v>32500000</v>
      </c>
      <c r="F637" s="5">
        <v>35500000</v>
      </c>
      <c r="G637" s="5">
        <v>3000000</v>
      </c>
      <c r="H637" s="5">
        <v>3250000</v>
      </c>
      <c r="I637" s="5">
        <v>3550000</v>
      </c>
      <c r="J637" s="5">
        <v>33000000</v>
      </c>
      <c r="K637" s="5">
        <v>36000000</v>
      </c>
      <c r="L637" s="3">
        <v>0.97916666666666663</v>
      </c>
    </row>
    <row r="638" spans="1:12" x14ac:dyDescent="0.25">
      <c r="A638" t="s">
        <v>403</v>
      </c>
      <c r="B638" s="2">
        <v>43299</v>
      </c>
      <c r="C638" t="s">
        <v>19</v>
      </c>
      <c r="D638" t="s">
        <v>1636</v>
      </c>
      <c r="E638" s="5">
        <v>32500000</v>
      </c>
      <c r="F638" s="5">
        <v>35500000</v>
      </c>
      <c r="G638" s="5">
        <v>3000000</v>
      </c>
      <c r="H638" s="5">
        <v>3250000</v>
      </c>
      <c r="I638" s="5">
        <v>3550000</v>
      </c>
      <c r="J638" s="5">
        <v>33000000</v>
      </c>
      <c r="K638" s="5">
        <v>36000000</v>
      </c>
      <c r="L638" s="3">
        <v>0.97916666666666663</v>
      </c>
    </row>
    <row r="639" spans="1:12" x14ac:dyDescent="0.25">
      <c r="A639" t="s">
        <v>404</v>
      </c>
      <c r="B639" s="2">
        <v>43300</v>
      </c>
      <c r="C639" t="s">
        <v>20</v>
      </c>
      <c r="D639" t="s">
        <v>1636</v>
      </c>
      <c r="E639" s="5">
        <v>32400000</v>
      </c>
      <c r="F639" s="5">
        <v>35400000</v>
      </c>
      <c r="G639" s="5">
        <v>3000000</v>
      </c>
      <c r="H639" s="5">
        <v>3240000</v>
      </c>
      <c r="I639" s="5">
        <v>3540000</v>
      </c>
      <c r="J639" s="5">
        <v>32900000</v>
      </c>
      <c r="K639" s="5">
        <v>35900000</v>
      </c>
      <c r="L639" s="3">
        <v>0.97916666666666663</v>
      </c>
    </row>
    <row r="640" spans="1:12" x14ac:dyDescent="0.25">
      <c r="A640" t="s">
        <v>405</v>
      </c>
      <c r="B640" s="2">
        <v>43301</v>
      </c>
      <c r="C640" t="s">
        <v>21</v>
      </c>
      <c r="D640" t="s">
        <v>1636</v>
      </c>
      <c r="E640" s="5">
        <v>32600000</v>
      </c>
      <c r="F640" s="5">
        <v>35600000</v>
      </c>
      <c r="G640" s="5">
        <v>3000000</v>
      </c>
      <c r="H640" s="5">
        <v>3260000</v>
      </c>
      <c r="I640" s="5">
        <v>3560000</v>
      </c>
      <c r="J640" s="5">
        <v>33100000</v>
      </c>
      <c r="K640" s="5">
        <v>36100000</v>
      </c>
      <c r="L640" s="3">
        <v>0.97916666666666663</v>
      </c>
    </row>
    <row r="641" spans="1:12" x14ac:dyDescent="0.25">
      <c r="A641" t="s">
        <v>406</v>
      </c>
      <c r="B641" s="2">
        <v>43304</v>
      </c>
      <c r="C641" t="s">
        <v>16</v>
      </c>
      <c r="D641" t="s">
        <v>1636</v>
      </c>
      <c r="E641" s="5">
        <v>32400000</v>
      </c>
      <c r="F641" s="5">
        <v>35400000</v>
      </c>
      <c r="G641" s="5">
        <v>3000000</v>
      </c>
      <c r="H641" s="5">
        <v>3240000</v>
      </c>
      <c r="I641" s="5">
        <v>3540000</v>
      </c>
      <c r="J641" s="5">
        <v>32900000</v>
      </c>
      <c r="K641" s="5">
        <v>35900000</v>
      </c>
      <c r="L641" s="3">
        <v>0.97916666666666663</v>
      </c>
    </row>
    <row r="642" spans="1:12" x14ac:dyDescent="0.25">
      <c r="A642" t="s">
        <v>407</v>
      </c>
      <c r="B642" s="2">
        <v>43305</v>
      </c>
      <c r="C642" t="s">
        <v>18</v>
      </c>
      <c r="D642" t="s">
        <v>1636</v>
      </c>
      <c r="E642" s="5">
        <v>32400000</v>
      </c>
      <c r="F642" s="5">
        <v>35400000</v>
      </c>
      <c r="G642" s="5">
        <v>3000000</v>
      </c>
      <c r="H642" s="5">
        <v>3240000</v>
      </c>
      <c r="I642" s="5">
        <v>3540000</v>
      </c>
      <c r="J642" s="5">
        <v>32900000</v>
      </c>
      <c r="K642" s="5">
        <v>35900000</v>
      </c>
      <c r="L642" s="3">
        <v>0.97916666666666663</v>
      </c>
    </row>
    <row r="643" spans="1:12" x14ac:dyDescent="0.25">
      <c r="A643" t="s">
        <v>408</v>
      </c>
      <c r="B643" s="2">
        <v>43306</v>
      </c>
      <c r="C643" t="s">
        <v>19</v>
      </c>
      <c r="D643" t="s">
        <v>1636</v>
      </c>
      <c r="E643" s="5">
        <v>32600000</v>
      </c>
      <c r="F643" s="5">
        <v>35600000</v>
      </c>
      <c r="G643" s="5">
        <v>3000000</v>
      </c>
      <c r="H643" s="5">
        <v>3260000</v>
      </c>
      <c r="I643" s="5">
        <v>3560000</v>
      </c>
      <c r="J643" s="5">
        <v>33100000</v>
      </c>
      <c r="K643" s="5">
        <v>36100000</v>
      </c>
      <c r="L643" s="3">
        <v>0.97916666666666663</v>
      </c>
    </row>
    <row r="644" spans="1:12" x14ac:dyDescent="0.25">
      <c r="A644" t="s">
        <v>409</v>
      </c>
      <c r="B644" s="2">
        <v>43307</v>
      </c>
      <c r="C644" t="s">
        <v>20</v>
      </c>
      <c r="D644" t="s">
        <v>1636</v>
      </c>
      <c r="E644" s="5">
        <v>32400000</v>
      </c>
      <c r="F644" s="5">
        <v>35400000</v>
      </c>
      <c r="G644" s="5">
        <v>3000000</v>
      </c>
      <c r="H644" s="5">
        <v>3240000</v>
      </c>
      <c r="I644" s="5">
        <v>3540000</v>
      </c>
      <c r="J644" s="5">
        <v>32900000</v>
      </c>
      <c r="K644" s="5">
        <v>35900000</v>
      </c>
      <c r="L644" s="3">
        <v>0.97916666666666663</v>
      </c>
    </row>
    <row r="645" spans="1:12" x14ac:dyDescent="0.25">
      <c r="A645" t="s">
        <v>410</v>
      </c>
      <c r="B645" s="2">
        <v>43308</v>
      </c>
      <c r="C645" t="s">
        <v>21</v>
      </c>
      <c r="D645" t="s">
        <v>1636</v>
      </c>
      <c r="E645" s="5">
        <v>32400000</v>
      </c>
      <c r="F645" s="5">
        <v>35400000</v>
      </c>
      <c r="G645" s="5">
        <v>3000000</v>
      </c>
      <c r="H645" s="5">
        <v>3240000</v>
      </c>
      <c r="I645" s="5">
        <v>3540000</v>
      </c>
      <c r="J645" s="5">
        <v>32900000</v>
      </c>
      <c r="K645" s="5">
        <v>35900000</v>
      </c>
      <c r="L645" s="3">
        <v>0.97916666666666663</v>
      </c>
    </row>
    <row r="646" spans="1:12" x14ac:dyDescent="0.25">
      <c r="A646" t="s">
        <v>411</v>
      </c>
      <c r="B646" s="2">
        <v>43311</v>
      </c>
      <c r="C646" t="s">
        <v>16</v>
      </c>
      <c r="D646" t="s">
        <v>1636</v>
      </c>
      <c r="E646" s="5">
        <v>32300000</v>
      </c>
      <c r="F646" s="5">
        <v>35300000</v>
      </c>
      <c r="G646" s="5">
        <v>3000000</v>
      </c>
      <c r="H646" s="5">
        <v>3230000</v>
      </c>
      <c r="I646" s="5">
        <v>3530000</v>
      </c>
      <c r="J646" s="5">
        <v>32800000</v>
      </c>
      <c r="K646" s="5">
        <v>35800000</v>
      </c>
      <c r="L646" s="3">
        <v>0.97916666666666663</v>
      </c>
    </row>
    <row r="647" spans="1:12" x14ac:dyDescent="0.25">
      <c r="A647" t="s">
        <v>412</v>
      </c>
      <c r="B647" s="2">
        <v>43312</v>
      </c>
      <c r="C647" t="s">
        <v>18</v>
      </c>
      <c r="D647" t="s">
        <v>1636</v>
      </c>
      <c r="E647" s="5">
        <v>32400000</v>
      </c>
      <c r="F647" s="5">
        <v>35400000</v>
      </c>
      <c r="G647" s="5">
        <v>3000000</v>
      </c>
      <c r="H647" s="5">
        <v>3240000</v>
      </c>
      <c r="I647" s="5">
        <v>3540000</v>
      </c>
      <c r="J647" s="5">
        <v>32900000</v>
      </c>
      <c r="K647" s="5">
        <v>35900000</v>
      </c>
      <c r="L647" s="3">
        <v>0.97916666666666663</v>
      </c>
    </row>
    <row r="648" spans="1:12" x14ac:dyDescent="0.25">
      <c r="A648" s="2">
        <v>43108</v>
      </c>
      <c r="B648" s="2">
        <v>43313</v>
      </c>
      <c r="C648" t="s">
        <v>19</v>
      </c>
      <c r="D648" t="s">
        <v>1636</v>
      </c>
      <c r="E648" s="5">
        <v>32200000</v>
      </c>
      <c r="F648" s="5">
        <v>35200000</v>
      </c>
      <c r="G648" s="5">
        <v>3000000</v>
      </c>
      <c r="H648" s="5">
        <v>3220000</v>
      </c>
      <c r="I648" s="5">
        <v>3520000</v>
      </c>
      <c r="J648" s="5">
        <v>32700000</v>
      </c>
      <c r="K648" s="5">
        <v>35700000</v>
      </c>
      <c r="L648" s="3">
        <v>0.97916666666666663</v>
      </c>
    </row>
    <row r="649" spans="1:12" x14ac:dyDescent="0.25">
      <c r="A649" s="2">
        <v>43139</v>
      </c>
      <c r="B649" s="2">
        <v>43314</v>
      </c>
      <c r="C649" t="s">
        <v>20</v>
      </c>
      <c r="D649" t="s">
        <v>1636</v>
      </c>
      <c r="E649" s="5">
        <v>32000000</v>
      </c>
      <c r="F649" s="5">
        <v>35000000</v>
      </c>
      <c r="G649" s="5">
        <v>3000000</v>
      </c>
      <c r="H649" s="5">
        <v>3200000</v>
      </c>
      <c r="I649" s="5">
        <v>3500000</v>
      </c>
      <c r="J649" s="5">
        <v>32500000</v>
      </c>
      <c r="K649" s="5">
        <v>35500000</v>
      </c>
      <c r="L649" s="3">
        <v>0.97916666666666663</v>
      </c>
    </row>
    <row r="650" spans="1:12" x14ac:dyDescent="0.25">
      <c r="A650" s="2">
        <v>43167</v>
      </c>
      <c r="B650" s="2">
        <v>43315</v>
      </c>
      <c r="C650" t="s">
        <v>21</v>
      </c>
      <c r="D650" t="s">
        <v>1636</v>
      </c>
      <c r="E650" s="5">
        <v>32100000</v>
      </c>
      <c r="F650" s="5">
        <v>35100000</v>
      </c>
      <c r="G650" s="5">
        <v>3000000</v>
      </c>
      <c r="H650" s="5">
        <v>3210000</v>
      </c>
      <c r="I650" s="5">
        <v>3510000</v>
      </c>
      <c r="J650" s="5">
        <v>32600000</v>
      </c>
      <c r="K650" s="5">
        <v>35600000</v>
      </c>
      <c r="L650" s="3">
        <v>0.97916666666666663</v>
      </c>
    </row>
    <row r="651" spans="1:12" x14ac:dyDescent="0.25">
      <c r="A651" s="2">
        <v>43259</v>
      </c>
      <c r="B651" s="2">
        <v>43318</v>
      </c>
      <c r="C651" t="s">
        <v>16</v>
      </c>
      <c r="D651" t="s">
        <v>1636</v>
      </c>
      <c r="E651" s="5">
        <v>32000000</v>
      </c>
      <c r="F651" s="5">
        <v>35000000</v>
      </c>
      <c r="G651" s="5">
        <v>3000000</v>
      </c>
      <c r="H651" s="5">
        <v>3200000</v>
      </c>
      <c r="I651" s="5">
        <v>3500000</v>
      </c>
      <c r="J651" s="5">
        <v>32500000</v>
      </c>
      <c r="K651" s="5">
        <v>35500000</v>
      </c>
      <c r="L651" s="3">
        <v>0.97916666666666663</v>
      </c>
    </row>
    <row r="652" spans="1:12" x14ac:dyDescent="0.25">
      <c r="A652" s="2">
        <v>43289</v>
      </c>
      <c r="B652" s="2">
        <v>43319</v>
      </c>
      <c r="C652" t="s">
        <v>18</v>
      </c>
      <c r="D652" t="s">
        <v>1636</v>
      </c>
      <c r="E652" s="5">
        <v>32000000</v>
      </c>
      <c r="F652" s="5">
        <v>35000000</v>
      </c>
      <c r="G652" s="5">
        <v>3000000</v>
      </c>
      <c r="H652" s="5">
        <v>3200000</v>
      </c>
      <c r="I652" s="5">
        <v>3500000</v>
      </c>
      <c r="J652" s="5">
        <v>32500000</v>
      </c>
      <c r="K652" s="5">
        <v>35500000</v>
      </c>
      <c r="L652" s="3">
        <v>0.97916666666666663</v>
      </c>
    </row>
    <row r="653" spans="1:12" x14ac:dyDescent="0.25">
      <c r="A653" s="2">
        <v>43320</v>
      </c>
      <c r="B653" s="2">
        <v>43320</v>
      </c>
      <c r="C653" t="s">
        <v>19</v>
      </c>
      <c r="D653" t="s">
        <v>1636</v>
      </c>
      <c r="E653" s="5">
        <v>32100000</v>
      </c>
      <c r="F653" s="5">
        <v>35100000</v>
      </c>
      <c r="G653" s="5">
        <v>3000000</v>
      </c>
      <c r="H653" s="5">
        <v>3210000</v>
      </c>
      <c r="I653" s="5">
        <v>3510000</v>
      </c>
      <c r="J653" s="5">
        <v>32600000</v>
      </c>
      <c r="K653" s="5">
        <v>35600000</v>
      </c>
      <c r="L653" s="3">
        <v>0.97916666666666663</v>
      </c>
    </row>
    <row r="654" spans="1:12" x14ac:dyDescent="0.25">
      <c r="A654" s="2">
        <v>43351</v>
      </c>
      <c r="B654" s="2">
        <v>43321</v>
      </c>
      <c r="C654" t="s">
        <v>20</v>
      </c>
      <c r="D654" t="s">
        <v>1636</v>
      </c>
      <c r="E654" s="5">
        <v>32100000</v>
      </c>
      <c r="F654" s="5">
        <v>35100000</v>
      </c>
      <c r="G654" s="5">
        <v>3000000</v>
      </c>
      <c r="H654" s="5">
        <v>3210000</v>
      </c>
      <c r="I654" s="5">
        <v>3510000</v>
      </c>
      <c r="J654" s="5">
        <v>32600000</v>
      </c>
      <c r="K654" s="5">
        <v>35600000</v>
      </c>
      <c r="L654" s="3">
        <v>0.97916666666666663</v>
      </c>
    </row>
    <row r="655" spans="1:12" x14ac:dyDescent="0.25">
      <c r="A655" s="2">
        <v>43381</v>
      </c>
      <c r="B655" s="2">
        <v>43322</v>
      </c>
      <c r="C655" t="s">
        <v>21</v>
      </c>
      <c r="D655" t="s">
        <v>1636</v>
      </c>
      <c r="E655" s="5">
        <v>32000000</v>
      </c>
      <c r="F655" s="5">
        <v>35000000</v>
      </c>
      <c r="G655" s="5">
        <v>3000000</v>
      </c>
      <c r="H655" s="5">
        <v>3200000</v>
      </c>
      <c r="I655" s="5">
        <v>3500000</v>
      </c>
      <c r="J655" s="5">
        <v>32500000</v>
      </c>
      <c r="K655" s="5">
        <v>35500000</v>
      </c>
      <c r="L655" s="3">
        <v>0.97916666666666663</v>
      </c>
    </row>
    <row r="656" spans="1:12" x14ac:dyDescent="0.25">
      <c r="A656" t="s">
        <v>413</v>
      </c>
      <c r="B656" s="2">
        <v>43325</v>
      </c>
      <c r="C656" t="s">
        <v>16</v>
      </c>
      <c r="D656" t="s">
        <v>1636</v>
      </c>
      <c r="E656" s="5">
        <v>31500000</v>
      </c>
      <c r="F656" s="5">
        <v>34500000</v>
      </c>
      <c r="G656" s="5">
        <v>3000000</v>
      </c>
      <c r="H656" s="5">
        <v>3150000</v>
      </c>
      <c r="I656" s="5">
        <v>3450000</v>
      </c>
      <c r="J656" s="5">
        <v>32000000</v>
      </c>
      <c r="K656" s="5">
        <v>35000000</v>
      </c>
      <c r="L656" s="3">
        <v>0.97916666666666663</v>
      </c>
    </row>
    <row r="657" spans="1:12" x14ac:dyDescent="0.25">
      <c r="A657" t="s">
        <v>414</v>
      </c>
      <c r="B657" s="2">
        <v>43326</v>
      </c>
      <c r="C657" t="s">
        <v>18</v>
      </c>
      <c r="D657" t="s">
        <v>1636</v>
      </c>
      <c r="E657" s="5">
        <v>31500000</v>
      </c>
      <c r="F657" s="5">
        <v>34500000</v>
      </c>
      <c r="G657" s="5">
        <v>3000000</v>
      </c>
      <c r="H657" s="5">
        <v>3150000</v>
      </c>
      <c r="I657" s="5">
        <v>3450000</v>
      </c>
      <c r="J657" s="5">
        <v>32000000</v>
      </c>
      <c r="K657" s="5">
        <v>35000000</v>
      </c>
      <c r="L657" s="3">
        <v>0.97916666666666663</v>
      </c>
    </row>
    <row r="658" spans="1:12" x14ac:dyDescent="0.25">
      <c r="A658" t="s">
        <v>415</v>
      </c>
      <c r="B658" s="2">
        <v>43327</v>
      </c>
      <c r="C658" t="s">
        <v>19</v>
      </c>
      <c r="D658" t="s">
        <v>1636</v>
      </c>
      <c r="E658" s="5">
        <v>31100000</v>
      </c>
      <c r="F658" s="5">
        <v>34100000</v>
      </c>
      <c r="G658" s="5">
        <v>3000000</v>
      </c>
      <c r="H658" s="5">
        <v>3110000</v>
      </c>
      <c r="I658" s="5">
        <v>3410000</v>
      </c>
      <c r="J658" s="5">
        <v>31600000</v>
      </c>
      <c r="K658" s="5">
        <v>34600000</v>
      </c>
      <c r="L658" s="3">
        <v>0.97916666666666663</v>
      </c>
    </row>
    <row r="659" spans="1:12" x14ac:dyDescent="0.25">
      <c r="A659" t="s">
        <v>416</v>
      </c>
      <c r="B659" s="2">
        <v>43328</v>
      </c>
      <c r="C659" t="s">
        <v>20</v>
      </c>
      <c r="D659" t="s">
        <v>1636</v>
      </c>
      <c r="E659" s="5">
        <v>31000000</v>
      </c>
      <c r="F659" s="5">
        <v>34000000</v>
      </c>
      <c r="G659" s="5">
        <v>3000000</v>
      </c>
      <c r="H659" s="5">
        <v>3100000</v>
      </c>
      <c r="I659" s="5">
        <v>3400000</v>
      </c>
      <c r="J659" s="5">
        <v>31500000</v>
      </c>
      <c r="K659" s="5">
        <v>34500000</v>
      </c>
      <c r="L659" s="3">
        <v>0.97916666666666663</v>
      </c>
    </row>
    <row r="660" spans="1:12" x14ac:dyDescent="0.25">
      <c r="A660" t="s">
        <v>417</v>
      </c>
      <c r="B660" s="2">
        <v>43329</v>
      </c>
      <c r="C660" t="s">
        <v>21</v>
      </c>
      <c r="D660" t="s">
        <v>1636</v>
      </c>
      <c r="E660" s="5">
        <v>31000000</v>
      </c>
      <c r="F660" s="5">
        <v>34000000</v>
      </c>
      <c r="G660" s="5">
        <v>3000000</v>
      </c>
      <c r="H660" s="5">
        <v>3100000</v>
      </c>
      <c r="I660" s="5">
        <v>3400000</v>
      </c>
      <c r="J660" s="5">
        <v>31500000</v>
      </c>
      <c r="K660" s="5">
        <v>34500000</v>
      </c>
      <c r="L660" s="3">
        <v>0.97916666666666663</v>
      </c>
    </row>
    <row r="661" spans="1:12" x14ac:dyDescent="0.25">
      <c r="A661" t="s">
        <v>418</v>
      </c>
      <c r="B661" s="2">
        <v>43332</v>
      </c>
      <c r="C661" t="s">
        <v>16</v>
      </c>
      <c r="D661" t="s">
        <v>1636</v>
      </c>
      <c r="E661" s="5">
        <v>31300000</v>
      </c>
      <c r="F661" s="5">
        <v>34300000</v>
      </c>
      <c r="G661" s="5">
        <v>3000000</v>
      </c>
      <c r="H661" s="5">
        <v>3130000</v>
      </c>
      <c r="I661" s="5">
        <v>3430000</v>
      </c>
      <c r="J661" s="5">
        <v>31800000</v>
      </c>
      <c r="K661" s="5">
        <v>34800000</v>
      </c>
      <c r="L661" s="3">
        <v>0.97916666666666663</v>
      </c>
    </row>
    <row r="662" spans="1:12" x14ac:dyDescent="0.25">
      <c r="A662" t="s">
        <v>419</v>
      </c>
      <c r="B662" s="2">
        <v>43333</v>
      </c>
      <c r="C662" t="s">
        <v>18</v>
      </c>
      <c r="D662" t="s">
        <v>1636</v>
      </c>
      <c r="E662" s="5">
        <v>31500000</v>
      </c>
      <c r="F662" s="5">
        <v>34500000</v>
      </c>
      <c r="G662" s="5">
        <v>3000000</v>
      </c>
      <c r="H662" s="5">
        <v>3150000</v>
      </c>
      <c r="I662" s="5">
        <v>3450000</v>
      </c>
      <c r="J662" s="5">
        <v>32000000</v>
      </c>
      <c r="K662" s="5">
        <v>35000000</v>
      </c>
      <c r="L662" s="3">
        <v>0.97916666666666663</v>
      </c>
    </row>
    <row r="663" spans="1:12" x14ac:dyDescent="0.25">
      <c r="A663" t="s">
        <v>420</v>
      </c>
      <c r="B663" s="2">
        <v>43334</v>
      </c>
      <c r="C663" t="s">
        <v>19</v>
      </c>
      <c r="D663" t="s">
        <v>1636</v>
      </c>
      <c r="E663" s="5">
        <v>31600000</v>
      </c>
      <c r="F663" s="5">
        <v>34600000</v>
      </c>
      <c r="G663" s="5">
        <v>3000000</v>
      </c>
      <c r="H663" s="5">
        <v>3160000</v>
      </c>
      <c r="I663" s="5">
        <v>3460000</v>
      </c>
      <c r="J663" s="5">
        <v>32100000</v>
      </c>
      <c r="K663" s="5">
        <v>35100000</v>
      </c>
      <c r="L663" s="3">
        <v>0.97916666666666663</v>
      </c>
    </row>
    <row r="664" spans="1:12" x14ac:dyDescent="0.25">
      <c r="A664" t="s">
        <v>421</v>
      </c>
      <c r="B664" s="2">
        <v>43335</v>
      </c>
      <c r="C664" t="s">
        <v>20</v>
      </c>
      <c r="D664" t="s">
        <v>1636</v>
      </c>
      <c r="E664" s="5">
        <v>31300000</v>
      </c>
      <c r="F664" s="5">
        <v>34300000</v>
      </c>
      <c r="G664" s="5">
        <v>3000000</v>
      </c>
      <c r="H664" s="5">
        <v>3130000</v>
      </c>
      <c r="I664" s="5">
        <v>3430000</v>
      </c>
      <c r="J664" s="5">
        <v>31800000</v>
      </c>
      <c r="K664" s="5">
        <v>34800000</v>
      </c>
      <c r="L664" s="3">
        <v>0.97916666666666663</v>
      </c>
    </row>
    <row r="665" spans="1:12" x14ac:dyDescent="0.25">
      <c r="A665" t="s">
        <v>422</v>
      </c>
      <c r="B665" s="2">
        <v>43336</v>
      </c>
      <c r="C665" t="s">
        <v>21</v>
      </c>
      <c r="D665" t="s">
        <v>1636</v>
      </c>
      <c r="E665" s="5">
        <v>31900000</v>
      </c>
      <c r="F665" s="5">
        <v>34900000</v>
      </c>
      <c r="G665" s="5">
        <v>3000000</v>
      </c>
      <c r="H665" s="5">
        <v>3190000</v>
      </c>
      <c r="I665" s="5">
        <v>3490000</v>
      </c>
      <c r="J665" s="5">
        <v>32400000</v>
      </c>
      <c r="K665" s="5">
        <v>35400000</v>
      </c>
      <c r="L665" s="3">
        <v>0.97916666666666663</v>
      </c>
    </row>
    <row r="666" spans="1:12" x14ac:dyDescent="0.25">
      <c r="A666" t="s">
        <v>423</v>
      </c>
      <c r="B666" s="2">
        <v>43339</v>
      </c>
      <c r="C666" t="s">
        <v>16</v>
      </c>
      <c r="D666" t="s">
        <v>1636</v>
      </c>
      <c r="E666" s="5">
        <v>32000000</v>
      </c>
      <c r="F666" s="5">
        <v>35000000</v>
      </c>
      <c r="G666" s="5">
        <v>3000000</v>
      </c>
      <c r="H666" s="5">
        <v>3200000</v>
      </c>
      <c r="I666" s="5">
        <v>3500000</v>
      </c>
      <c r="J666" s="5">
        <v>32500000</v>
      </c>
      <c r="K666" s="5">
        <v>35500000</v>
      </c>
      <c r="L666" s="3">
        <v>0.97916666666666663</v>
      </c>
    </row>
    <row r="667" spans="1:12" x14ac:dyDescent="0.25">
      <c r="A667" t="s">
        <v>424</v>
      </c>
      <c r="B667" s="2">
        <v>43340</v>
      </c>
      <c r="C667" t="s">
        <v>18</v>
      </c>
      <c r="D667" t="s">
        <v>1636</v>
      </c>
      <c r="E667" s="5">
        <v>31900000</v>
      </c>
      <c r="F667" s="5">
        <v>34900000</v>
      </c>
      <c r="G667" s="5">
        <v>3000000</v>
      </c>
      <c r="H667" s="5">
        <v>3190000</v>
      </c>
      <c r="I667" s="5">
        <v>3490000</v>
      </c>
      <c r="J667" s="5">
        <v>32400000</v>
      </c>
      <c r="K667" s="5">
        <v>35400000</v>
      </c>
      <c r="L667" s="3">
        <v>0.97916666666666663</v>
      </c>
    </row>
    <row r="668" spans="1:12" x14ac:dyDescent="0.25">
      <c r="A668" t="s">
        <v>425</v>
      </c>
      <c r="B668" s="2">
        <v>43341</v>
      </c>
      <c r="C668" t="s">
        <v>19</v>
      </c>
      <c r="D668" t="s">
        <v>1636</v>
      </c>
      <c r="E668" s="5">
        <v>31800000</v>
      </c>
      <c r="F668" s="5">
        <v>34800000</v>
      </c>
      <c r="G668" s="5">
        <v>3000000</v>
      </c>
      <c r="H668" s="5">
        <v>3180000</v>
      </c>
      <c r="I668" s="5">
        <v>3480000</v>
      </c>
      <c r="J668" s="5">
        <v>32300000</v>
      </c>
      <c r="K668" s="5">
        <v>35300000</v>
      </c>
      <c r="L668" s="3">
        <v>0.97916666666666663</v>
      </c>
    </row>
    <row r="669" spans="1:12" x14ac:dyDescent="0.25">
      <c r="A669" t="s">
        <v>426</v>
      </c>
      <c r="B669" s="2">
        <v>43342</v>
      </c>
      <c r="C669" t="s">
        <v>20</v>
      </c>
      <c r="D669" t="s">
        <v>1636</v>
      </c>
      <c r="E669" s="5">
        <v>31600000</v>
      </c>
      <c r="F669" s="5">
        <v>34600000</v>
      </c>
      <c r="G669" s="5">
        <v>3000000</v>
      </c>
      <c r="H669" s="5">
        <v>3160000</v>
      </c>
      <c r="I669" s="5">
        <v>3460000</v>
      </c>
      <c r="J669" s="5">
        <v>32100000</v>
      </c>
      <c r="K669" s="5">
        <v>35100000</v>
      </c>
      <c r="L669" s="3">
        <v>0.97916666666666663</v>
      </c>
    </row>
    <row r="670" spans="1:12" x14ac:dyDescent="0.25">
      <c r="A670" t="s">
        <v>427</v>
      </c>
      <c r="B670" s="2">
        <v>43343</v>
      </c>
      <c r="C670" t="s">
        <v>21</v>
      </c>
      <c r="D670" t="s">
        <v>1636</v>
      </c>
      <c r="E670" s="5">
        <v>31700000</v>
      </c>
      <c r="F670" s="5">
        <v>34700000</v>
      </c>
      <c r="G670" s="5">
        <v>3000000</v>
      </c>
      <c r="H670" s="5">
        <v>3170000</v>
      </c>
      <c r="I670" s="5">
        <v>3470000</v>
      </c>
      <c r="J670" s="5">
        <v>32200000</v>
      </c>
      <c r="K670" s="5">
        <v>35200000</v>
      </c>
      <c r="L670" s="3">
        <v>0.97916666666666663</v>
      </c>
    </row>
    <row r="671" spans="1:12" x14ac:dyDescent="0.25">
      <c r="A671" s="2">
        <v>43199</v>
      </c>
      <c r="B671" s="2">
        <v>43347</v>
      </c>
      <c r="C671" t="s">
        <v>18</v>
      </c>
      <c r="D671" t="s">
        <v>1636</v>
      </c>
      <c r="E671" s="5">
        <v>31500000</v>
      </c>
      <c r="F671" s="5">
        <v>34500000</v>
      </c>
      <c r="G671" s="5">
        <v>3000000</v>
      </c>
      <c r="H671" s="5">
        <v>3150000</v>
      </c>
      <c r="I671" s="5">
        <v>3450000</v>
      </c>
      <c r="J671" s="5">
        <v>32000000</v>
      </c>
      <c r="K671" s="5">
        <v>35000000</v>
      </c>
      <c r="L671" s="3">
        <v>0.97916666666666663</v>
      </c>
    </row>
    <row r="672" spans="1:12" x14ac:dyDescent="0.25">
      <c r="A672" s="2">
        <v>43229</v>
      </c>
      <c r="B672" s="2">
        <v>43348</v>
      </c>
      <c r="C672" t="s">
        <v>19</v>
      </c>
      <c r="D672" t="s">
        <v>1636</v>
      </c>
      <c r="E672" s="5">
        <v>31600000</v>
      </c>
      <c r="F672" s="5">
        <v>34600000</v>
      </c>
      <c r="G672" s="5">
        <v>3000000</v>
      </c>
      <c r="H672" s="5">
        <v>3160000</v>
      </c>
      <c r="I672" s="5">
        <v>3460000</v>
      </c>
      <c r="J672" s="5">
        <v>32100000</v>
      </c>
      <c r="K672" s="5">
        <v>35100000</v>
      </c>
      <c r="L672" s="3">
        <v>0.97916666666666663</v>
      </c>
    </row>
    <row r="673" spans="1:12" x14ac:dyDescent="0.25">
      <c r="A673" s="2">
        <v>43260</v>
      </c>
      <c r="B673" s="2">
        <v>43349</v>
      </c>
      <c r="C673" t="s">
        <v>20</v>
      </c>
      <c r="D673" t="s">
        <v>1636</v>
      </c>
      <c r="E673" s="5">
        <v>31700000</v>
      </c>
      <c r="F673" s="5">
        <v>34700000</v>
      </c>
      <c r="G673" s="5">
        <v>3000000</v>
      </c>
      <c r="H673" s="5">
        <v>3170000</v>
      </c>
      <c r="I673" s="5">
        <v>3470000</v>
      </c>
      <c r="J673" s="5">
        <v>32200000</v>
      </c>
      <c r="K673" s="5">
        <v>35200000</v>
      </c>
      <c r="L673" s="3">
        <v>0.97916666666666663</v>
      </c>
    </row>
    <row r="674" spans="1:12" x14ac:dyDescent="0.25">
      <c r="A674" s="2">
        <v>43290</v>
      </c>
      <c r="B674" s="2">
        <v>43350</v>
      </c>
      <c r="C674" t="s">
        <v>21</v>
      </c>
      <c r="D674" t="s">
        <v>1636</v>
      </c>
      <c r="E674" s="5">
        <v>31500000</v>
      </c>
      <c r="F674" s="5">
        <v>34500000</v>
      </c>
      <c r="G674" s="5">
        <v>3000000</v>
      </c>
      <c r="H674" s="5">
        <v>3150000</v>
      </c>
      <c r="I674" s="5">
        <v>3450000</v>
      </c>
      <c r="J674" s="5">
        <v>32000000</v>
      </c>
      <c r="K674" s="5">
        <v>35000000</v>
      </c>
      <c r="L674" s="3">
        <v>0.97916666666666663</v>
      </c>
    </row>
    <row r="675" spans="1:12" x14ac:dyDescent="0.25">
      <c r="A675" s="2">
        <v>43382</v>
      </c>
      <c r="B675" s="2">
        <v>43353</v>
      </c>
      <c r="C675" t="s">
        <v>16</v>
      </c>
      <c r="D675" t="s">
        <v>1636</v>
      </c>
      <c r="E675" s="5">
        <v>31500000</v>
      </c>
      <c r="F675" s="5">
        <v>34500000</v>
      </c>
      <c r="G675" s="5">
        <v>3000000</v>
      </c>
      <c r="H675" s="5">
        <v>3150000</v>
      </c>
      <c r="I675" s="5">
        <v>3450000</v>
      </c>
      <c r="J675" s="5">
        <v>32000000</v>
      </c>
      <c r="K675" s="5">
        <v>35000000</v>
      </c>
      <c r="L675" s="3">
        <v>0.97916666666666663</v>
      </c>
    </row>
    <row r="676" spans="1:12" x14ac:dyDescent="0.25">
      <c r="A676" s="2">
        <v>43413</v>
      </c>
      <c r="B676" s="2">
        <v>43354</v>
      </c>
      <c r="C676" t="s">
        <v>18</v>
      </c>
      <c r="D676" t="s">
        <v>1636</v>
      </c>
      <c r="E676" s="5">
        <v>31600000</v>
      </c>
      <c r="F676" s="5">
        <v>34600000</v>
      </c>
      <c r="G676" s="5">
        <v>3000000</v>
      </c>
      <c r="H676" s="5">
        <v>3160000</v>
      </c>
      <c r="I676" s="5">
        <v>3460000</v>
      </c>
      <c r="J676" s="5">
        <v>32100000</v>
      </c>
      <c r="K676" s="5">
        <v>35100000</v>
      </c>
      <c r="L676" s="3">
        <v>0.97916666666666663</v>
      </c>
    </row>
    <row r="677" spans="1:12" x14ac:dyDescent="0.25">
      <c r="A677" s="2">
        <v>43443</v>
      </c>
      <c r="B677" s="2">
        <v>43355</v>
      </c>
      <c r="C677" t="s">
        <v>19</v>
      </c>
      <c r="D677" t="s">
        <v>1636</v>
      </c>
      <c r="E677" s="5">
        <v>31800000</v>
      </c>
      <c r="F677" s="5">
        <v>34800000</v>
      </c>
      <c r="G677" s="5">
        <v>3000000</v>
      </c>
      <c r="H677" s="5">
        <v>3180000</v>
      </c>
      <c r="I677" s="5">
        <v>3480000</v>
      </c>
      <c r="J677" s="5">
        <v>32300000</v>
      </c>
      <c r="K677" s="5">
        <v>35300000</v>
      </c>
      <c r="L677" s="3">
        <v>0.97916666666666663</v>
      </c>
    </row>
    <row r="678" spans="1:12" x14ac:dyDescent="0.25">
      <c r="A678" t="s">
        <v>428</v>
      </c>
      <c r="B678" s="2">
        <v>43356</v>
      </c>
      <c r="C678" t="s">
        <v>20</v>
      </c>
      <c r="D678" t="s">
        <v>1636</v>
      </c>
      <c r="E678" s="5">
        <v>31800000</v>
      </c>
      <c r="F678" s="5">
        <v>34800000</v>
      </c>
      <c r="G678" s="5">
        <v>3000000</v>
      </c>
      <c r="H678" s="5">
        <v>3180000</v>
      </c>
      <c r="I678" s="5">
        <v>3480000</v>
      </c>
      <c r="J678" s="5">
        <v>32300000</v>
      </c>
      <c r="K678" s="5">
        <v>35300000</v>
      </c>
      <c r="L678" s="3">
        <v>0.97916666666666663</v>
      </c>
    </row>
    <row r="679" spans="1:12" x14ac:dyDescent="0.25">
      <c r="A679" t="s">
        <v>429</v>
      </c>
      <c r="B679" s="2">
        <v>43357</v>
      </c>
      <c r="C679" t="s">
        <v>21</v>
      </c>
      <c r="D679" t="s">
        <v>1636</v>
      </c>
      <c r="E679" s="5">
        <v>31600000</v>
      </c>
      <c r="F679" s="5">
        <v>34600000</v>
      </c>
      <c r="G679" s="5">
        <v>3000000</v>
      </c>
      <c r="H679" s="5">
        <v>3160000</v>
      </c>
      <c r="I679" s="5">
        <v>3460000</v>
      </c>
      <c r="J679" s="5">
        <v>32100000</v>
      </c>
      <c r="K679" s="5">
        <v>35100000</v>
      </c>
      <c r="L679" s="3">
        <v>0.97916666666666663</v>
      </c>
    </row>
    <row r="680" spans="1:12" x14ac:dyDescent="0.25">
      <c r="A680" t="s">
        <v>430</v>
      </c>
      <c r="B680" s="2">
        <v>43360</v>
      </c>
      <c r="C680" t="s">
        <v>16</v>
      </c>
      <c r="D680" t="s">
        <v>1636</v>
      </c>
      <c r="E680" s="5">
        <v>31700000</v>
      </c>
      <c r="F680" s="5">
        <v>34700000</v>
      </c>
      <c r="G680" s="5">
        <v>3000000</v>
      </c>
      <c r="H680" s="5">
        <v>3170000</v>
      </c>
      <c r="I680" s="5">
        <v>3470000</v>
      </c>
      <c r="J680" s="5">
        <v>32200000</v>
      </c>
      <c r="K680" s="5">
        <v>35200000</v>
      </c>
      <c r="L680" s="3">
        <v>0.97916666666666663</v>
      </c>
    </row>
    <row r="681" spans="1:12" x14ac:dyDescent="0.25">
      <c r="A681" t="s">
        <v>431</v>
      </c>
      <c r="B681" s="2">
        <v>43361</v>
      </c>
      <c r="C681" t="s">
        <v>18</v>
      </c>
      <c r="D681" t="s">
        <v>1636</v>
      </c>
      <c r="E681" s="5">
        <v>31600000</v>
      </c>
      <c r="F681" s="5">
        <v>34600000</v>
      </c>
      <c r="G681" s="5">
        <v>3000000</v>
      </c>
      <c r="H681" s="5">
        <v>3160000</v>
      </c>
      <c r="I681" s="5">
        <v>3460000</v>
      </c>
      <c r="J681" s="5">
        <v>32100000</v>
      </c>
      <c r="K681" s="5">
        <v>35100000</v>
      </c>
      <c r="L681" s="3">
        <v>0.97916666666666663</v>
      </c>
    </row>
    <row r="682" spans="1:12" x14ac:dyDescent="0.25">
      <c r="A682" t="s">
        <v>432</v>
      </c>
      <c r="B682" s="2">
        <v>43362</v>
      </c>
      <c r="C682" t="s">
        <v>19</v>
      </c>
      <c r="D682" t="s">
        <v>1636</v>
      </c>
      <c r="E682" s="5">
        <v>31800000</v>
      </c>
      <c r="F682" s="5">
        <v>34800000</v>
      </c>
      <c r="G682" s="5">
        <v>3000000</v>
      </c>
      <c r="H682" s="5">
        <v>3180000</v>
      </c>
      <c r="I682" s="5">
        <v>3480000</v>
      </c>
      <c r="J682" s="5">
        <v>32300000</v>
      </c>
      <c r="K682" s="5">
        <v>35300000</v>
      </c>
      <c r="L682" s="3">
        <v>0.97916666666666663</v>
      </c>
    </row>
    <row r="683" spans="1:12" x14ac:dyDescent="0.25">
      <c r="A683" t="s">
        <v>433</v>
      </c>
      <c r="B683" s="2">
        <v>43363</v>
      </c>
      <c r="C683" t="s">
        <v>20</v>
      </c>
      <c r="D683" t="s">
        <v>1636</v>
      </c>
      <c r="E683" s="5">
        <v>31900000</v>
      </c>
      <c r="F683" s="5">
        <v>34900000</v>
      </c>
      <c r="G683" s="5">
        <v>3000000</v>
      </c>
      <c r="H683" s="5">
        <v>3190000</v>
      </c>
      <c r="I683" s="5">
        <v>3490000</v>
      </c>
      <c r="J683" s="5">
        <v>32400000</v>
      </c>
      <c r="K683" s="5">
        <v>35400000</v>
      </c>
      <c r="L683" s="3">
        <v>0.97916666666666663</v>
      </c>
    </row>
    <row r="684" spans="1:12" x14ac:dyDescent="0.25">
      <c r="A684" t="s">
        <v>434</v>
      </c>
      <c r="B684" s="2">
        <v>43364</v>
      </c>
      <c r="C684" t="s">
        <v>21</v>
      </c>
      <c r="D684" t="s">
        <v>1636</v>
      </c>
      <c r="E684" s="5">
        <v>31600000</v>
      </c>
      <c r="F684" s="5">
        <v>34600000</v>
      </c>
      <c r="G684" s="5">
        <v>3000000</v>
      </c>
      <c r="H684" s="5">
        <v>3160000</v>
      </c>
      <c r="I684" s="5">
        <v>3460000</v>
      </c>
      <c r="J684" s="5">
        <v>32100000</v>
      </c>
      <c r="K684" s="5">
        <v>35100000</v>
      </c>
      <c r="L684" s="3">
        <v>0.97916666666666663</v>
      </c>
    </row>
    <row r="685" spans="1:12" x14ac:dyDescent="0.25">
      <c r="A685" t="s">
        <v>435</v>
      </c>
      <c r="B685" s="2">
        <v>43367</v>
      </c>
      <c r="C685" t="s">
        <v>16</v>
      </c>
      <c r="D685" t="s">
        <v>1636</v>
      </c>
      <c r="E685" s="5">
        <v>31700000</v>
      </c>
      <c r="F685" s="5">
        <v>34700000</v>
      </c>
      <c r="G685" s="5">
        <v>3000000</v>
      </c>
      <c r="H685" s="5">
        <v>3170000</v>
      </c>
      <c r="I685" s="5">
        <v>3470000</v>
      </c>
      <c r="J685" s="5">
        <v>32200000</v>
      </c>
      <c r="K685" s="5">
        <v>35200000</v>
      </c>
      <c r="L685" s="3">
        <v>0.97916666666666663</v>
      </c>
    </row>
    <row r="686" spans="1:12" x14ac:dyDescent="0.25">
      <c r="A686" t="s">
        <v>436</v>
      </c>
      <c r="B686" s="2">
        <v>43368</v>
      </c>
      <c r="C686" t="s">
        <v>18</v>
      </c>
      <c r="D686" t="s">
        <v>1636</v>
      </c>
      <c r="E686" s="5">
        <v>31700000</v>
      </c>
      <c r="F686" s="5">
        <v>34700000</v>
      </c>
      <c r="G686" s="5">
        <v>3000000</v>
      </c>
      <c r="H686" s="5">
        <v>3170000</v>
      </c>
      <c r="I686" s="5">
        <v>3470000</v>
      </c>
      <c r="J686" s="5">
        <v>32200000</v>
      </c>
      <c r="K686" s="5">
        <v>35200000</v>
      </c>
      <c r="L686" s="3">
        <v>0.97916666666666663</v>
      </c>
    </row>
    <row r="687" spans="1:12" x14ac:dyDescent="0.25">
      <c r="A687" t="s">
        <v>437</v>
      </c>
      <c r="B687" s="2">
        <v>43369</v>
      </c>
      <c r="C687" t="s">
        <v>19</v>
      </c>
      <c r="D687" t="s">
        <v>1636</v>
      </c>
      <c r="E687" s="5">
        <v>31500000</v>
      </c>
      <c r="F687" s="5">
        <v>34500000</v>
      </c>
      <c r="G687" s="5">
        <v>3000000</v>
      </c>
      <c r="H687" s="5">
        <v>3150000</v>
      </c>
      <c r="I687" s="5">
        <v>3450000</v>
      </c>
      <c r="J687" s="5">
        <v>32000000</v>
      </c>
      <c r="K687" s="5">
        <v>35000000</v>
      </c>
      <c r="L687" s="3">
        <v>0.97916666666666663</v>
      </c>
    </row>
    <row r="688" spans="1:12" x14ac:dyDescent="0.25">
      <c r="A688" t="s">
        <v>438</v>
      </c>
      <c r="B688" s="2">
        <v>43370</v>
      </c>
      <c r="C688" t="s">
        <v>20</v>
      </c>
      <c r="D688" t="s">
        <v>1636</v>
      </c>
      <c r="E688" s="5">
        <v>31200000</v>
      </c>
      <c r="F688" s="5">
        <v>34200000</v>
      </c>
      <c r="G688" s="5">
        <v>3000000</v>
      </c>
      <c r="H688" s="5">
        <v>3120000</v>
      </c>
      <c r="I688" s="5">
        <v>3420000</v>
      </c>
      <c r="J688" s="5">
        <v>31700000</v>
      </c>
      <c r="K688" s="5">
        <v>34700000</v>
      </c>
      <c r="L688" s="3">
        <v>0.97916666666666663</v>
      </c>
    </row>
    <row r="689" spans="1:12" x14ac:dyDescent="0.25">
      <c r="A689" t="s">
        <v>439</v>
      </c>
      <c r="B689" s="2">
        <v>43371</v>
      </c>
      <c r="C689" t="s">
        <v>21</v>
      </c>
      <c r="D689" t="s">
        <v>1636</v>
      </c>
      <c r="E689" s="5">
        <v>31500000</v>
      </c>
      <c r="F689" s="5">
        <v>34500000</v>
      </c>
      <c r="G689" s="5">
        <v>3000000</v>
      </c>
      <c r="H689" s="5">
        <v>3150000</v>
      </c>
      <c r="I689" s="5">
        <v>3450000</v>
      </c>
      <c r="J689" s="5">
        <v>32000000</v>
      </c>
      <c r="K689" s="5">
        <v>35000000</v>
      </c>
      <c r="L689" s="3">
        <v>0.97916666666666663</v>
      </c>
    </row>
    <row r="690" spans="1:12" x14ac:dyDescent="0.25">
      <c r="A690" s="2">
        <v>43110</v>
      </c>
      <c r="B690" s="2">
        <v>43374</v>
      </c>
      <c r="C690" t="s">
        <v>16</v>
      </c>
      <c r="D690" t="s">
        <v>1636</v>
      </c>
      <c r="E690" s="5">
        <v>31300000</v>
      </c>
      <c r="F690" s="5">
        <v>34300000</v>
      </c>
      <c r="G690" s="5">
        <v>3000000</v>
      </c>
      <c r="H690" s="5">
        <v>3130000</v>
      </c>
      <c r="I690" s="5">
        <v>3430000</v>
      </c>
      <c r="J690" s="5">
        <v>31800000</v>
      </c>
      <c r="K690" s="5">
        <v>34800000</v>
      </c>
      <c r="L690" s="3">
        <v>0.97916666666666663</v>
      </c>
    </row>
    <row r="691" spans="1:12" x14ac:dyDescent="0.25">
      <c r="A691" s="2">
        <v>43141</v>
      </c>
      <c r="B691" s="2">
        <v>43375</v>
      </c>
      <c r="C691" t="s">
        <v>18</v>
      </c>
      <c r="D691" t="s">
        <v>1636</v>
      </c>
      <c r="E691" s="5">
        <v>31800000</v>
      </c>
      <c r="F691" s="5">
        <v>34800000</v>
      </c>
      <c r="G691" s="5">
        <v>3000000</v>
      </c>
      <c r="H691" s="5">
        <v>3180000</v>
      </c>
      <c r="I691" s="5">
        <v>3480000</v>
      </c>
      <c r="J691" s="5">
        <v>32300000</v>
      </c>
      <c r="K691" s="5">
        <v>35300000</v>
      </c>
      <c r="L691" s="3">
        <v>0.97916666666666663</v>
      </c>
    </row>
    <row r="692" spans="1:12" x14ac:dyDescent="0.25">
      <c r="A692" s="2">
        <v>43169</v>
      </c>
      <c r="B692" s="2">
        <v>43376</v>
      </c>
      <c r="C692" t="s">
        <v>19</v>
      </c>
      <c r="D692" t="s">
        <v>1636</v>
      </c>
      <c r="E692" s="5">
        <v>31700000</v>
      </c>
      <c r="F692" s="5">
        <v>34700000</v>
      </c>
      <c r="G692" s="5">
        <v>3000000</v>
      </c>
      <c r="H692" s="5">
        <v>3170000</v>
      </c>
      <c r="I692" s="5">
        <v>3470000</v>
      </c>
      <c r="J692" s="5">
        <v>32200000</v>
      </c>
      <c r="K692" s="5">
        <v>35200000</v>
      </c>
      <c r="L692" s="3">
        <v>0.97916666666666663</v>
      </c>
    </row>
    <row r="693" spans="1:12" x14ac:dyDescent="0.25">
      <c r="A693" s="2">
        <v>43200</v>
      </c>
      <c r="B693" s="2">
        <v>43377</v>
      </c>
      <c r="C693" t="s">
        <v>20</v>
      </c>
      <c r="D693" t="s">
        <v>1636</v>
      </c>
      <c r="E693" s="5">
        <v>31600000</v>
      </c>
      <c r="F693" s="5">
        <v>34600000</v>
      </c>
      <c r="G693" s="5">
        <v>3000000</v>
      </c>
      <c r="H693" s="5">
        <v>3160000</v>
      </c>
      <c r="I693" s="5">
        <v>3460000</v>
      </c>
      <c r="J693" s="5">
        <v>32100000</v>
      </c>
      <c r="K693" s="5">
        <v>35100000</v>
      </c>
      <c r="L693" s="3">
        <v>0.97916666666666663</v>
      </c>
    </row>
    <row r="694" spans="1:12" x14ac:dyDescent="0.25">
      <c r="A694" s="2">
        <v>43230</v>
      </c>
      <c r="B694" s="2">
        <v>43378</v>
      </c>
      <c r="C694" t="s">
        <v>21</v>
      </c>
      <c r="D694" t="s">
        <v>1636</v>
      </c>
      <c r="E694" s="5">
        <v>31700000</v>
      </c>
      <c r="F694" s="5">
        <v>34700000</v>
      </c>
      <c r="G694" s="5">
        <v>3000000</v>
      </c>
      <c r="H694" s="5">
        <v>3170000</v>
      </c>
      <c r="I694" s="5">
        <v>3470000</v>
      </c>
      <c r="J694" s="5">
        <v>32200000</v>
      </c>
      <c r="K694" s="5">
        <v>35200000</v>
      </c>
      <c r="L694" s="3">
        <v>0.97916666666666663</v>
      </c>
    </row>
    <row r="695" spans="1:12" x14ac:dyDescent="0.25">
      <c r="A695" s="2">
        <v>43322</v>
      </c>
      <c r="B695" s="2">
        <v>43381</v>
      </c>
      <c r="C695" t="s">
        <v>16</v>
      </c>
      <c r="D695" t="s">
        <v>1636</v>
      </c>
      <c r="E695" s="5">
        <v>31300000</v>
      </c>
      <c r="F695" s="5">
        <v>34300000</v>
      </c>
      <c r="G695" s="5">
        <v>3000000</v>
      </c>
      <c r="H695" s="5">
        <v>3130000</v>
      </c>
      <c r="I695" s="5">
        <v>3430000</v>
      </c>
      <c r="J695" s="5">
        <v>31800000</v>
      </c>
      <c r="K695" s="5">
        <v>34800000</v>
      </c>
      <c r="L695" s="3">
        <v>0.97916666666666663</v>
      </c>
    </row>
    <row r="696" spans="1:12" x14ac:dyDescent="0.25">
      <c r="A696" s="2">
        <v>43353</v>
      </c>
      <c r="B696" s="2">
        <v>43382</v>
      </c>
      <c r="C696" t="s">
        <v>18</v>
      </c>
      <c r="D696" t="s">
        <v>1636</v>
      </c>
      <c r="E696" s="5">
        <v>31300000</v>
      </c>
      <c r="F696" s="5">
        <v>34300000</v>
      </c>
      <c r="G696" s="5">
        <v>3000000</v>
      </c>
      <c r="H696" s="5">
        <v>3130000</v>
      </c>
      <c r="I696" s="5">
        <v>3430000</v>
      </c>
      <c r="J696" s="5">
        <v>31800000</v>
      </c>
      <c r="K696" s="5">
        <v>34800000</v>
      </c>
      <c r="L696" s="3">
        <v>0.97916666666666663</v>
      </c>
    </row>
    <row r="697" spans="1:12" x14ac:dyDescent="0.25">
      <c r="A697" s="2">
        <v>43383</v>
      </c>
      <c r="B697" s="2">
        <v>43383</v>
      </c>
      <c r="C697" t="s">
        <v>19</v>
      </c>
      <c r="D697" t="s">
        <v>1636</v>
      </c>
      <c r="E697" s="5">
        <v>31400000</v>
      </c>
      <c r="F697" s="5">
        <v>34400000</v>
      </c>
      <c r="G697" s="5">
        <v>3000000</v>
      </c>
      <c r="H697" s="5">
        <v>3140000</v>
      </c>
      <c r="I697" s="5">
        <v>3440000</v>
      </c>
      <c r="J697" s="5">
        <v>31900000</v>
      </c>
      <c r="K697" s="5">
        <v>34900000</v>
      </c>
      <c r="L697" s="3">
        <v>0.97916666666666663</v>
      </c>
    </row>
    <row r="698" spans="1:12" x14ac:dyDescent="0.25">
      <c r="A698" s="2">
        <v>43414</v>
      </c>
      <c r="B698" s="2">
        <v>43384</v>
      </c>
      <c r="C698" t="s">
        <v>20</v>
      </c>
      <c r="D698" t="s">
        <v>1636</v>
      </c>
      <c r="E698" s="5">
        <v>32400000</v>
      </c>
      <c r="F698" s="5">
        <v>35400000</v>
      </c>
      <c r="G698" s="5">
        <v>3000000</v>
      </c>
      <c r="H698" s="5">
        <v>3240000</v>
      </c>
      <c r="I698" s="5">
        <v>3540000</v>
      </c>
      <c r="J698" s="5">
        <v>32900000</v>
      </c>
      <c r="K698" s="5">
        <v>35900000</v>
      </c>
      <c r="L698" s="3">
        <v>0.97916666666666663</v>
      </c>
    </row>
    <row r="699" spans="1:12" x14ac:dyDescent="0.25">
      <c r="A699" s="2">
        <v>43444</v>
      </c>
      <c r="B699" s="2">
        <v>43385</v>
      </c>
      <c r="C699" t="s">
        <v>21</v>
      </c>
      <c r="D699" t="s">
        <v>1636</v>
      </c>
      <c r="E699" s="5">
        <v>32200000</v>
      </c>
      <c r="F699" s="5">
        <v>35200000</v>
      </c>
      <c r="G699" s="5">
        <v>3000000</v>
      </c>
      <c r="H699" s="5">
        <v>3220000</v>
      </c>
      <c r="I699" s="5">
        <v>3520000</v>
      </c>
      <c r="J699" s="5">
        <v>32700000</v>
      </c>
      <c r="K699" s="5">
        <v>35700000</v>
      </c>
      <c r="L699" s="3">
        <v>0.97916666666666663</v>
      </c>
    </row>
    <row r="700" spans="1:12" x14ac:dyDescent="0.25">
      <c r="A700" t="s">
        <v>440</v>
      </c>
      <c r="B700" s="2">
        <v>43388</v>
      </c>
      <c r="C700" t="s">
        <v>16</v>
      </c>
      <c r="D700" t="s">
        <v>1636</v>
      </c>
      <c r="E700" s="5">
        <v>32500000</v>
      </c>
      <c r="F700" s="5">
        <v>35500000</v>
      </c>
      <c r="G700" s="5">
        <v>3000000</v>
      </c>
      <c r="H700" s="5">
        <v>3250000</v>
      </c>
      <c r="I700" s="5">
        <v>3550000</v>
      </c>
      <c r="J700" s="5">
        <v>33000000</v>
      </c>
      <c r="K700" s="5">
        <v>36000000</v>
      </c>
      <c r="L700" s="3">
        <v>0.97916666666666663</v>
      </c>
    </row>
    <row r="701" spans="1:12" x14ac:dyDescent="0.25">
      <c r="A701" t="s">
        <v>441</v>
      </c>
      <c r="B701" s="2">
        <v>43389</v>
      </c>
      <c r="C701" t="s">
        <v>18</v>
      </c>
      <c r="D701" t="s">
        <v>1636</v>
      </c>
      <c r="E701" s="5">
        <v>32500000</v>
      </c>
      <c r="F701" s="5">
        <v>35500000</v>
      </c>
      <c r="G701" s="5">
        <v>3000000</v>
      </c>
      <c r="H701" s="5">
        <v>3250000</v>
      </c>
      <c r="I701" s="5">
        <v>3550000</v>
      </c>
      <c r="J701" s="5">
        <v>33000000</v>
      </c>
      <c r="K701" s="5">
        <v>36000000</v>
      </c>
      <c r="L701" s="3">
        <v>0.97916666666666663</v>
      </c>
    </row>
    <row r="702" spans="1:12" x14ac:dyDescent="0.25">
      <c r="A702" t="s">
        <v>442</v>
      </c>
      <c r="B702" s="2">
        <v>43390</v>
      </c>
      <c r="C702" t="s">
        <v>19</v>
      </c>
      <c r="D702" t="s">
        <v>1636</v>
      </c>
      <c r="E702" s="5">
        <v>32400000</v>
      </c>
      <c r="F702" s="5">
        <v>35400000</v>
      </c>
      <c r="G702" s="5">
        <v>3000000</v>
      </c>
      <c r="H702" s="5">
        <v>3240000</v>
      </c>
      <c r="I702" s="5">
        <v>3540000</v>
      </c>
      <c r="J702" s="5">
        <v>32900000</v>
      </c>
      <c r="K702" s="5">
        <v>35900000</v>
      </c>
      <c r="L702" s="3">
        <v>0.97916666666666663</v>
      </c>
    </row>
    <row r="703" spans="1:12" x14ac:dyDescent="0.25">
      <c r="A703" t="s">
        <v>443</v>
      </c>
      <c r="B703" s="2">
        <v>43391</v>
      </c>
      <c r="C703" t="s">
        <v>20</v>
      </c>
      <c r="D703" t="s">
        <v>1636</v>
      </c>
      <c r="E703" s="5">
        <v>32500000</v>
      </c>
      <c r="F703" s="5">
        <v>35500000</v>
      </c>
      <c r="G703" s="5">
        <v>3000000</v>
      </c>
      <c r="H703" s="5">
        <v>3250000</v>
      </c>
      <c r="I703" s="5">
        <v>3550000</v>
      </c>
      <c r="J703" s="5">
        <v>33000000</v>
      </c>
      <c r="K703" s="5">
        <v>36000000</v>
      </c>
      <c r="L703" s="3">
        <v>0.97916666666666663</v>
      </c>
    </row>
    <row r="704" spans="1:12" x14ac:dyDescent="0.25">
      <c r="A704" t="s">
        <v>444</v>
      </c>
      <c r="B704" s="2">
        <v>43392</v>
      </c>
      <c r="C704" t="s">
        <v>21</v>
      </c>
      <c r="D704" t="s">
        <v>1636</v>
      </c>
      <c r="E704" s="5">
        <v>32400000</v>
      </c>
      <c r="F704" s="5">
        <v>35400000</v>
      </c>
      <c r="G704" s="5">
        <v>3000000</v>
      </c>
      <c r="H704" s="5">
        <v>3240000</v>
      </c>
      <c r="I704" s="5">
        <v>3540000</v>
      </c>
      <c r="J704" s="5">
        <v>32900000</v>
      </c>
      <c r="K704" s="5">
        <v>35900000</v>
      </c>
      <c r="L704" s="3">
        <v>0.97916666666666663</v>
      </c>
    </row>
    <row r="705" spans="1:12" x14ac:dyDescent="0.25">
      <c r="A705" t="s">
        <v>445</v>
      </c>
      <c r="B705" s="2">
        <v>43395</v>
      </c>
      <c r="C705" t="s">
        <v>16</v>
      </c>
      <c r="D705" t="s">
        <v>1636</v>
      </c>
      <c r="E705" s="5">
        <v>32300000</v>
      </c>
      <c r="F705" s="5">
        <v>35300000</v>
      </c>
      <c r="G705" s="5">
        <v>3000000</v>
      </c>
      <c r="H705" s="5">
        <v>3230000</v>
      </c>
      <c r="I705" s="5">
        <v>3530000</v>
      </c>
      <c r="J705" s="5">
        <v>32800000</v>
      </c>
      <c r="K705" s="5">
        <v>35800000</v>
      </c>
      <c r="L705" s="3">
        <v>0.97916666666666663</v>
      </c>
    </row>
    <row r="706" spans="1:12" x14ac:dyDescent="0.25">
      <c r="A706" t="s">
        <v>446</v>
      </c>
      <c r="B706" s="2">
        <v>43396</v>
      </c>
      <c r="C706" t="s">
        <v>18</v>
      </c>
      <c r="D706" t="s">
        <v>1636</v>
      </c>
      <c r="E706" s="5">
        <v>32700000</v>
      </c>
      <c r="F706" s="5">
        <v>35700000</v>
      </c>
      <c r="G706" s="5">
        <v>3000000</v>
      </c>
      <c r="H706" s="5">
        <v>3270000</v>
      </c>
      <c r="I706" s="5">
        <v>3570000</v>
      </c>
      <c r="J706" s="5">
        <v>33200000</v>
      </c>
      <c r="K706" s="5">
        <v>36200000</v>
      </c>
      <c r="L706" s="3">
        <v>0.97916666666666663</v>
      </c>
    </row>
    <row r="707" spans="1:12" x14ac:dyDescent="0.25">
      <c r="A707" t="s">
        <v>447</v>
      </c>
      <c r="B707" s="2">
        <v>43397</v>
      </c>
      <c r="C707" t="s">
        <v>19</v>
      </c>
      <c r="D707" t="s">
        <v>1636</v>
      </c>
      <c r="E707" s="5">
        <v>32500000</v>
      </c>
      <c r="F707" s="5">
        <v>35500000</v>
      </c>
      <c r="G707" s="5">
        <v>3000000</v>
      </c>
      <c r="H707" s="5">
        <v>3250000</v>
      </c>
      <c r="I707" s="5">
        <v>3550000</v>
      </c>
      <c r="J707" s="5">
        <v>33000000</v>
      </c>
      <c r="K707" s="5">
        <v>36000000</v>
      </c>
      <c r="L707" s="3">
        <v>0.97916666666666663</v>
      </c>
    </row>
    <row r="708" spans="1:12" x14ac:dyDescent="0.25">
      <c r="A708" t="s">
        <v>448</v>
      </c>
      <c r="B708" s="2">
        <v>43398</v>
      </c>
      <c r="C708" t="s">
        <v>20</v>
      </c>
      <c r="D708" t="s">
        <v>1636</v>
      </c>
      <c r="E708" s="5">
        <v>32600000</v>
      </c>
      <c r="F708" s="5">
        <v>35600000</v>
      </c>
      <c r="G708" s="5">
        <v>3000000</v>
      </c>
      <c r="H708" s="5">
        <v>3260000</v>
      </c>
      <c r="I708" s="5">
        <v>3560000</v>
      </c>
      <c r="J708" s="5">
        <v>33100000</v>
      </c>
      <c r="K708" s="5">
        <v>36100000</v>
      </c>
      <c r="L708" s="3">
        <v>0.97916666666666663</v>
      </c>
    </row>
    <row r="709" spans="1:12" x14ac:dyDescent="0.25">
      <c r="A709" t="s">
        <v>449</v>
      </c>
      <c r="B709" s="2">
        <v>43399</v>
      </c>
      <c r="C709" t="s">
        <v>21</v>
      </c>
      <c r="D709" t="s">
        <v>1636</v>
      </c>
      <c r="E709" s="5">
        <v>32700000</v>
      </c>
      <c r="F709" s="5">
        <v>35700000</v>
      </c>
      <c r="G709" s="5">
        <v>3000000</v>
      </c>
      <c r="H709" s="5">
        <v>3270000</v>
      </c>
      <c r="I709" s="5">
        <v>3570000</v>
      </c>
      <c r="J709" s="5">
        <v>33200000</v>
      </c>
      <c r="K709" s="5">
        <v>36200000</v>
      </c>
      <c r="L709" s="3">
        <v>0.97916666666666663</v>
      </c>
    </row>
    <row r="710" spans="1:12" x14ac:dyDescent="0.25">
      <c r="A710" t="s">
        <v>450</v>
      </c>
      <c r="B710" s="2">
        <v>43402</v>
      </c>
      <c r="C710" t="s">
        <v>16</v>
      </c>
      <c r="D710" t="s">
        <v>1636</v>
      </c>
      <c r="E710" s="5">
        <v>32400000</v>
      </c>
      <c r="F710" s="5">
        <v>35400000</v>
      </c>
      <c r="G710" s="5">
        <v>3000000</v>
      </c>
      <c r="H710" s="5">
        <v>3240000</v>
      </c>
      <c r="I710" s="5">
        <v>3540000</v>
      </c>
      <c r="J710" s="5">
        <v>32900000</v>
      </c>
      <c r="K710" s="5">
        <v>35900000</v>
      </c>
      <c r="L710" s="3">
        <v>0.97916666666666663</v>
      </c>
    </row>
    <row r="711" spans="1:12" x14ac:dyDescent="0.25">
      <c r="A711" t="s">
        <v>451</v>
      </c>
      <c r="B711" s="2">
        <v>43403</v>
      </c>
      <c r="C711" t="s">
        <v>18</v>
      </c>
      <c r="D711" t="s">
        <v>1636</v>
      </c>
      <c r="E711" s="5">
        <v>32400000</v>
      </c>
      <c r="F711" s="5">
        <v>35400000</v>
      </c>
      <c r="G711" s="5">
        <v>3000000</v>
      </c>
      <c r="H711" s="5">
        <v>3240000</v>
      </c>
      <c r="I711" s="5">
        <v>3540000</v>
      </c>
      <c r="J711" s="5">
        <v>32900000</v>
      </c>
      <c r="K711" s="5">
        <v>35900000</v>
      </c>
      <c r="L711" s="3">
        <v>0.97916666666666663</v>
      </c>
    </row>
    <row r="712" spans="1:12" x14ac:dyDescent="0.25">
      <c r="A712" t="s">
        <v>452</v>
      </c>
      <c r="B712" s="2">
        <v>43404</v>
      </c>
      <c r="C712" t="s">
        <v>19</v>
      </c>
      <c r="D712" t="s">
        <v>1636</v>
      </c>
      <c r="E712" s="5">
        <v>32100000</v>
      </c>
      <c r="F712" s="5">
        <v>35100000</v>
      </c>
      <c r="G712" s="5">
        <v>3000000</v>
      </c>
      <c r="H712" s="5">
        <v>3210000</v>
      </c>
      <c r="I712" s="5">
        <v>3510000</v>
      </c>
      <c r="J712" s="5">
        <v>32600000</v>
      </c>
      <c r="K712" s="5">
        <v>35600000</v>
      </c>
      <c r="L712" s="3">
        <v>0.97916666666666663</v>
      </c>
    </row>
    <row r="713" spans="1:12" x14ac:dyDescent="0.25">
      <c r="A713" s="2">
        <v>43111</v>
      </c>
      <c r="B713" s="2">
        <v>43405</v>
      </c>
      <c r="C713" t="s">
        <v>20</v>
      </c>
      <c r="D713" t="s">
        <v>1636</v>
      </c>
      <c r="E713" s="5">
        <v>32800000</v>
      </c>
      <c r="F713" s="5">
        <v>35800000</v>
      </c>
      <c r="G713" s="5">
        <v>3000000</v>
      </c>
      <c r="H713" s="5">
        <v>3280000</v>
      </c>
      <c r="I713" s="5">
        <v>3580000</v>
      </c>
      <c r="J713" s="5">
        <v>33300000</v>
      </c>
      <c r="K713" s="5">
        <v>36300000</v>
      </c>
      <c r="L713" s="3">
        <v>0.97916666666666663</v>
      </c>
    </row>
    <row r="714" spans="1:12" x14ac:dyDescent="0.25">
      <c r="A714" s="2">
        <v>43142</v>
      </c>
      <c r="B714" s="2">
        <v>43406</v>
      </c>
      <c r="C714" t="s">
        <v>21</v>
      </c>
      <c r="D714" t="s">
        <v>1636</v>
      </c>
      <c r="E714" s="5">
        <v>32600000</v>
      </c>
      <c r="F714" s="5">
        <v>35600000</v>
      </c>
      <c r="G714" s="5">
        <v>3000000</v>
      </c>
      <c r="H714" s="5">
        <v>3260000</v>
      </c>
      <c r="I714" s="5">
        <v>3560000</v>
      </c>
      <c r="J714" s="5">
        <v>33100000</v>
      </c>
      <c r="K714" s="5">
        <v>36100000</v>
      </c>
      <c r="L714" s="3">
        <v>0.97916666666666663</v>
      </c>
    </row>
    <row r="715" spans="1:12" x14ac:dyDescent="0.25">
      <c r="A715" s="2">
        <v>43231</v>
      </c>
      <c r="B715" s="2">
        <v>43409</v>
      </c>
      <c r="C715" t="s">
        <v>16</v>
      </c>
      <c r="D715" t="s">
        <v>1636</v>
      </c>
      <c r="E715" s="5">
        <v>32600000</v>
      </c>
      <c r="F715" s="5">
        <v>35600000</v>
      </c>
      <c r="G715" s="5">
        <v>3000000</v>
      </c>
      <c r="H715" s="5">
        <v>3260000</v>
      </c>
      <c r="I715" s="5">
        <v>3560000</v>
      </c>
      <c r="J715" s="5">
        <v>33100000</v>
      </c>
      <c r="K715" s="5">
        <v>36100000</v>
      </c>
      <c r="L715" s="3">
        <v>0.97916666666666663</v>
      </c>
    </row>
    <row r="716" spans="1:12" x14ac:dyDescent="0.25">
      <c r="A716" s="2">
        <v>43262</v>
      </c>
      <c r="B716" s="2">
        <v>43410</v>
      </c>
      <c r="C716" t="s">
        <v>18</v>
      </c>
      <c r="D716" t="s">
        <v>1636</v>
      </c>
      <c r="E716" s="5">
        <v>32400000</v>
      </c>
      <c r="F716" s="5">
        <v>35400000</v>
      </c>
      <c r="G716" s="5">
        <v>3000000</v>
      </c>
      <c r="H716" s="5">
        <v>3240000</v>
      </c>
      <c r="I716" s="5">
        <v>3540000</v>
      </c>
      <c r="J716" s="5">
        <v>32900000</v>
      </c>
      <c r="K716" s="5">
        <v>35900000</v>
      </c>
      <c r="L716" s="3">
        <v>0.97916666666666663</v>
      </c>
    </row>
    <row r="717" spans="1:12" x14ac:dyDescent="0.25">
      <c r="A717" s="2">
        <v>43292</v>
      </c>
      <c r="B717" s="2">
        <v>43411</v>
      </c>
      <c r="C717" t="s">
        <v>19</v>
      </c>
      <c r="D717" t="s">
        <v>1636</v>
      </c>
      <c r="E717" s="5">
        <v>32500000</v>
      </c>
      <c r="F717" s="5">
        <v>35500000</v>
      </c>
      <c r="G717" s="5">
        <v>3000000</v>
      </c>
      <c r="H717" s="5">
        <v>3250000</v>
      </c>
      <c r="I717" s="5">
        <v>3550000</v>
      </c>
      <c r="J717" s="5">
        <v>33000000</v>
      </c>
      <c r="K717" s="5">
        <v>36000000</v>
      </c>
      <c r="L717" s="3">
        <v>0.97916666666666663</v>
      </c>
    </row>
    <row r="718" spans="1:12" x14ac:dyDescent="0.25">
      <c r="A718" s="2">
        <v>43323</v>
      </c>
      <c r="B718" s="2">
        <v>43412</v>
      </c>
      <c r="C718" t="s">
        <v>20</v>
      </c>
      <c r="D718" t="s">
        <v>1636</v>
      </c>
      <c r="E718" s="5">
        <v>32400000</v>
      </c>
      <c r="F718" s="5">
        <v>35400000</v>
      </c>
      <c r="G718" s="5">
        <v>3000000</v>
      </c>
      <c r="H718" s="5">
        <v>3240000</v>
      </c>
      <c r="I718" s="5">
        <v>3540000</v>
      </c>
      <c r="J718" s="5">
        <v>32900000</v>
      </c>
      <c r="K718" s="5">
        <v>35900000</v>
      </c>
      <c r="L718" s="3">
        <v>0.97916666666666663</v>
      </c>
    </row>
    <row r="719" spans="1:12" x14ac:dyDescent="0.25">
      <c r="A719" s="2">
        <v>43354</v>
      </c>
      <c r="B719" s="2">
        <v>43413</v>
      </c>
      <c r="C719" t="s">
        <v>21</v>
      </c>
      <c r="D719" t="s">
        <v>1636</v>
      </c>
      <c r="E719" s="5">
        <v>31900000</v>
      </c>
      <c r="F719" s="5">
        <v>34900000</v>
      </c>
      <c r="G719" s="5">
        <v>3000000</v>
      </c>
      <c r="H719" s="5">
        <v>3190000</v>
      </c>
      <c r="I719" s="5">
        <v>3490000</v>
      </c>
      <c r="J719" s="5">
        <v>32400000</v>
      </c>
      <c r="K719" s="5">
        <v>35400000</v>
      </c>
      <c r="L719" s="3">
        <v>0.97916666666666663</v>
      </c>
    </row>
    <row r="720" spans="1:12" x14ac:dyDescent="0.25">
      <c r="A720" s="2">
        <v>43445</v>
      </c>
      <c r="B720" s="2">
        <v>43416</v>
      </c>
      <c r="C720" t="s">
        <v>16</v>
      </c>
      <c r="D720" t="s">
        <v>1636</v>
      </c>
      <c r="E720" s="5">
        <v>31700000</v>
      </c>
      <c r="F720" s="5">
        <v>34700000</v>
      </c>
      <c r="G720" s="5">
        <v>3000000</v>
      </c>
      <c r="H720" s="5">
        <v>3170000</v>
      </c>
      <c r="I720" s="5">
        <v>3470000</v>
      </c>
      <c r="J720" s="5">
        <v>32200000</v>
      </c>
      <c r="K720" s="5">
        <v>35200000</v>
      </c>
      <c r="L720" s="3">
        <v>0.97916666666666663</v>
      </c>
    </row>
    <row r="721" spans="1:12" x14ac:dyDescent="0.25">
      <c r="A721" t="s">
        <v>453</v>
      </c>
      <c r="B721" s="2">
        <v>43417</v>
      </c>
      <c r="C721" t="s">
        <v>18</v>
      </c>
      <c r="D721" t="s">
        <v>1636</v>
      </c>
      <c r="E721" s="5">
        <v>31700000</v>
      </c>
      <c r="F721" s="5">
        <v>34700000</v>
      </c>
      <c r="G721" s="5">
        <v>3000000</v>
      </c>
      <c r="H721" s="5">
        <v>3170000</v>
      </c>
      <c r="I721" s="5">
        <v>3470000</v>
      </c>
      <c r="J721" s="5">
        <v>32200000</v>
      </c>
      <c r="K721" s="5">
        <v>35200000</v>
      </c>
      <c r="L721" s="3">
        <v>0.97916666666666663</v>
      </c>
    </row>
    <row r="722" spans="1:12" x14ac:dyDescent="0.25">
      <c r="A722" t="s">
        <v>454</v>
      </c>
      <c r="B722" s="2">
        <v>43418</v>
      </c>
      <c r="C722" t="s">
        <v>19</v>
      </c>
      <c r="D722" t="s">
        <v>1636</v>
      </c>
      <c r="E722" s="5">
        <v>31900000</v>
      </c>
      <c r="F722" s="5">
        <v>34900000</v>
      </c>
      <c r="G722" s="5">
        <v>3000000</v>
      </c>
      <c r="H722" s="5">
        <v>3190000</v>
      </c>
      <c r="I722" s="5">
        <v>3490000</v>
      </c>
      <c r="J722" s="5">
        <v>32400000</v>
      </c>
      <c r="K722" s="5">
        <v>35400000</v>
      </c>
      <c r="L722" s="3">
        <v>0.97916666666666663</v>
      </c>
    </row>
    <row r="723" spans="1:12" x14ac:dyDescent="0.25">
      <c r="A723" t="s">
        <v>455</v>
      </c>
      <c r="B723" s="2">
        <v>43419</v>
      </c>
      <c r="C723" t="s">
        <v>20</v>
      </c>
      <c r="D723" t="s">
        <v>1636</v>
      </c>
      <c r="E723" s="5">
        <v>32100000</v>
      </c>
      <c r="F723" s="5">
        <v>35100000</v>
      </c>
      <c r="G723" s="5">
        <v>3000000</v>
      </c>
      <c r="H723" s="5">
        <v>3210000</v>
      </c>
      <c r="I723" s="5">
        <v>3510000</v>
      </c>
      <c r="J723" s="5">
        <v>32600000</v>
      </c>
      <c r="K723" s="5">
        <v>35600000</v>
      </c>
      <c r="L723" s="3">
        <v>0.97916666666666663</v>
      </c>
    </row>
    <row r="724" spans="1:12" x14ac:dyDescent="0.25">
      <c r="A724" t="s">
        <v>456</v>
      </c>
      <c r="B724" s="2">
        <v>43420</v>
      </c>
      <c r="C724" t="s">
        <v>21</v>
      </c>
      <c r="D724" t="s">
        <v>1636</v>
      </c>
      <c r="E724" s="5">
        <v>32300000</v>
      </c>
      <c r="F724" s="5">
        <v>35300000</v>
      </c>
      <c r="G724" s="5">
        <v>3000000</v>
      </c>
      <c r="H724" s="5">
        <v>3230000</v>
      </c>
      <c r="I724" s="5">
        <v>3530000</v>
      </c>
      <c r="J724" s="5">
        <v>32800000</v>
      </c>
      <c r="K724" s="5">
        <v>35800000</v>
      </c>
      <c r="L724" s="3">
        <v>0.97916666666666663</v>
      </c>
    </row>
    <row r="725" spans="1:12" x14ac:dyDescent="0.25">
      <c r="A725" t="s">
        <v>457</v>
      </c>
      <c r="B725" s="2">
        <v>43423</v>
      </c>
      <c r="C725" t="s">
        <v>16</v>
      </c>
      <c r="D725" t="s">
        <v>1636</v>
      </c>
      <c r="E725" s="5">
        <v>32400000</v>
      </c>
      <c r="F725" s="5">
        <v>35400000</v>
      </c>
      <c r="G725" s="5">
        <v>3000000</v>
      </c>
      <c r="H725" s="5">
        <v>3240000</v>
      </c>
      <c r="I725" s="5">
        <v>3540000</v>
      </c>
      <c r="J725" s="5">
        <v>32900000</v>
      </c>
      <c r="K725" s="5">
        <v>35900000</v>
      </c>
      <c r="L725" s="3">
        <v>0.97916666666666663</v>
      </c>
    </row>
    <row r="726" spans="1:12" x14ac:dyDescent="0.25">
      <c r="A726" t="s">
        <v>458</v>
      </c>
      <c r="B726" s="2">
        <v>43424</v>
      </c>
      <c r="C726" t="s">
        <v>18</v>
      </c>
      <c r="D726" t="s">
        <v>1636</v>
      </c>
      <c r="E726" s="5">
        <v>32300000</v>
      </c>
      <c r="F726" s="5">
        <v>35300000</v>
      </c>
      <c r="G726" s="5">
        <v>3000000</v>
      </c>
      <c r="H726" s="5">
        <v>3230000</v>
      </c>
      <c r="I726" s="5">
        <v>3530000</v>
      </c>
      <c r="J726" s="5">
        <v>32800000</v>
      </c>
      <c r="K726" s="5">
        <v>35800000</v>
      </c>
      <c r="L726" s="3">
        <v>0.97916666666666663</v>
      </c>
    </row>
    <row r="727" spans="1:12" x14ac:dyDescent="0.25">
      <c r="A727" t="s">
        <v>459</v>
      </c>
      <c r="B727" s="2">
        <v>43425</v>
      </c>
      <c r="C727" t="s">
        <v>19</v>
      </c>
      <c r="D727" t="s">
        <v>1636</v>
      </c>
      <c r="E727" s="5">
        <v>32500000</v>
      </c>
      <c r="F727" s="5">
        <v>35500000</v>
      </c>
      <c r="G727" s="5">
        <v>3000000</v>
      </c>
      <c r="H727" s="5">
        <v>3250000</v>
      </c>
      <c r="I727" s="5">
        <v>3550000</v>
      </c>
      <c r="J727" s="5">
        <v>33000000</v>
      </c>
      <c r="K727" s="5">
        <v>36000000</v>
      </c>
      <c r="L727" s="3">
        <v>0.97916666666666663</v>
      </c>
    </row>
    <row r="728" spans="1:12" x14ac:dyDescent="0.25">
      <c r="A728" t="s">
        <v>460</v>
      </c>
      <c r="B728" s="2">
        <v>43427</v>
      </c>
      <c r="C728" t="s">
        <v>21</v>
      </c>
      <c r="D728" t="s">
        <v>1636</v>
      </c>
      <c r="E728" s="5">
        <v>32300000</v>
      </c>
      <c r="F728" s="5">
        <v>35300000</v>
      </c>
      <c r="G728" s="5">
        <v>3000000</v>
      </c>
      <c r="H728" s="5">
        <v>3230000</v>
      </c>
      <c r="I728" s="5">
        <v>3530000</v>
      </c>
      <c r="J728" s="5">
        <v>32800000</v>
      </c>
      <c r="K728" s="5">
        <v>35800000</v>
      </c>
      <c r="L728" s="3">
        <v>0.97916666666666663</v>
      </c>
    </row>
    <row r="729" spans="1:12" x14ac:dyDescent="0.25">
      <c r="A729" t="s">
        <v>461</v>
      </c>
      <c r="B729" s="2">
        <v>43430</v>
      </c>
      <c r="C729" t="s">
        <v>16</v>
      </c>
      <c r="D729" t="s">
        <v>1636</v>
      </c>
      <c r="E729" s="5">
        <v>32300000</v>
      </c>
      <c r="F729" s="5">
        <v>35300000</v>
      </c>
      <c r="G729" s="5">
        <v>3000000</v>
      </c>
      <c r="H729" s="5">
        <v>3230000</v>
      </c>
      <c r="I729" s="5">
        <v>3530000</v>
      </c>
      <c r="J729" s="5">
        <v>32800000</v>
      </c>
      <c r="K729" s="5">
        <v>35800000</v>
      </c>
      <c r="L729" s="3">
        <v>0.97916666666666663</v>
      </c>
    </row>
    <row r="730" spans="1:12" x14ac:dyDescent="0.25">
      <c r="A730" t="s">
        <v>462</v>
      </c>
      <c r="B730" s="2">
        <v>43431</v>
      </c>
      <c r="C730" t="s">
        <v>18</v>
      </c>
      <c r="D730" t="s">
        <v>1636</v>
      </c>
      <c r="E730" s="5">
        <v>32000000</v>
      </c>
      <c r="F730" s="5">
        <v>35000000</v>
      </c>
      <c r="G730" s="5">
        <v>3000000</v>
      </c>
      <c r="H730" s="5">
        <v>3200000</v>
      </c>
      <c r="I730" s="5">
        <v>3500000</v>
      </c>
      <c r="J730" s="5">
        <v>32500000</v>
      </c>
      <c r="K730" s="5">
        <v>35500000</v>
      </c>
      <c r="L730" s="3">
        <v>0.97916666666666663</v>
      </c>
    </row>
    <row r="731" spans="1:12" x14ac:dyDescent="0.25">
      <c r="A731" t="s">
        <v>463</v>
      </c>
      <c r="B731" s="2">
        <v>43432</v>
      </c>
      <c r="C731" t="s">
        <v>19</v>
      </c>
      <c r="D731" t="s">
        <v>1636</v>
      </c>
      <c r="E731" s="5">
        <v>32300000</v>
      </c>
      <c r="F731" s="5">
        <v>35300000</v>
      </c>
      <c r="G731" s="5">
        <v>3000000</v>
      </c>
      <c r="H731" s="5">
        <v>3230000</v>
      </c>
      <c r="I731" s="5">
        <v>3530000</v>
      </c>
      <c r="J731" s="5">
        <v>32800000</v>
      </c>
      <c r="K731" s="5">
        <v>35800000</v>
      </c>
      <c r="L731" s="3">
        <v>0.97916666666666663</v>
      </c>
    </row>
    <row r="732" spans="1:12" x14ac:dyDescent="0.25">
      <c r="A732" t="s">
        <v>464</v>
      </c>
      <c r="B732" s="2">
        <v>43433</v>
      </c>
      <c r="C732" t="s">
        <v>20</v>
      </c>
      <c r="D732" t="s">
        <v>1636</v>
      </c>
      <c r="E732" s="5">
        <v>32400000</v>
      </c>
      <c r="F732" s="5">
        <v>35400000</v>
      </c>
      <c r="G732" s="5">
        <v>3000000</v>
      </c>
      <c r="H732" s="5">
        <v>3240000</v>
      </c>
      <c r="I732" s="5">
        <v>3540000</v>
      </c>
      <c r="J732" s="5">
        <v>32900000</v>
      </c>
      <c r="K732" s="5">
        <v>35900000</v>
      </c>
      <c r="L732" s="3">
        <v>0.97916666666666663</v>
      </c>
    </row>
    <row r="733" spans="1:12" x14ac:dyDescent="0.25">
      <c r="A733" t="s">
        <v>465</v>
      </c>
      <c r="B733" s="2">
        <v>43434</v>
      </c>
      <c r="C733" t="s">
        <v>21</v>
      </c>
      <c r="D733" t="s">
        <v>1636</v>
      </c>
      <c r="E733" s="5">
        <v>32300000</v>
      </c>
      <c r="F733" s="5">
        <v>35300000</v>
      </c>
      <c r="G733" s="5">
        <v>3000000</v>
      </c>
      <c r="H733" s="5">
        <v>3230000</v>
      </c>
      <c r="I733" s="5">
        <v>3530000</v>
      </c>
      <c r="J733" s="5">
        <v>32800000</v>
      </c>
      <c r="K733" s="5">
        <v>35800000</v>
      </c>
      <c r="L733" s="3">
        <v>0.97916666666666663</v>
      </c>
    </row>
    <row r="734" spans="1:12" x14ac:dyDescent="0.25">
      <c r="A734" s="2">
        <v>43171</v>
      </c>
      <c r="B734" s="2">
        <v>43437</v>
      </c>
      <c r="C734" t="s">
        <v>16</v>
      </c>
      <c r="D734" t="s">
        <v>1636</v>
      </c>
      <c r="E734" s="5">
        <v>32700000</v>
      </c>
      <c r="F734" s="5">
        <v>35700000</v>
      </c>
      <c r="G734" s="5">
        <v>3000000</v>
      </c>
      <c r="H734" s="5">
        <v>3270000</v>
      </c>
      <c r="I734" s="5">
        <v>3570000</v>
      </c>
      <c r="J734" s="5">
        <v>33200000</v>
      </c>
      <c r="K734" s="5">
        <v>36200000</v>
      </c>
      <c r="L734" s="3">
        <v>0.97916666666666663</v>
      </c>
    </row>
    <row r="735" spans="1:12" x14ac:dyDescent="0.25">
      <c r="A735" s="2">
        <v>43202</v>
      </c>
      <c r="B735" s="2">
        <v>43438</v>
      </c>
      <c r="C735" t="s">
        <v>18</v>
      </c>
      <c r="D735" t="s">
        <v>1636</v>
      </c>
      <c r="E735" s="5">
        <v>32900000</v>
      </c>
      <c r="F735" s="5">
        <v>35900000</v>
      </c>
      <c r="G735" s="5">
        <v>3000000</v>
      </c>
      <c r="H735" s="5">
        <v>3290000</v>
      </c>
      <c r="I735" s="5">
        <v>3590000</v>
      </c>
      <c r="J735" s="5">
        <v>33400000</v>
      </c>
      <c r="K735" s="5">
        <v>36400000</v>
      </c>
      <c r="L735" s="3">
        <v>0.97916666666666663</v>
      </c>
    </row>
    <row r="736" spans="1:12" x14ac:dyDescent="0.25">
      <c r="A736" s="2">
        <v>43263</v>
      </c>
      <c r="B736" s="2">
        <v>43440</v>
      </c>
      <c r="C736" t="s">
        <v>20</v>
      </c>
      <c r="D736" t="s">
        <v>1636</v>
      </c>
      <c r="E736" s="5">
        <v>32800000</v>
      </c>
      <c r="F736" s="5">
        <v>35800000</v>
      </c>
      <c r="G736" s="5">
        <v>3000000</v>
      </c>
      <c r="H736" s="5">
        <v>3280000</v>
      </c>
      <c r="I736" s="5">
        <v>3580000</v>
      </c>
      <c r="J736" s="5">
        <v>33300000</v>
      </c>
      <c r="K736" s="5">
        <v>36300000</v>
      </c>
      <c r="L736" s="3">
        <v>0.97916666666666663</v>
      </c>
    </row>
    <row r="737" spans="1:12" x14ac:dyDescent="0.25">
      <c r="A737" s="2">
        <v>43293</v>
      </c>
      <c r="B737" s="2">
        <v>43441</v>
      </c>
      <c r="C737" t="s">
        <v>21</v>
      </c>
      <c r="D737" t="s">
        <v>1636</v>
      </c>
      <c r="E737" s="5">
        <v>33100000</v>
      </c>
      <c r="F737" s="5">
        <v>36100000</v>
      </c>
      <c r="G737" s="5">
        <v>3000000</v>
      </c>
      <c r="H737" s="5">
        <v>3310000</v>
      </c>
      <c r="I737" s="5">
        <v>3610000</v>
      </c>
      <c r="J737" s="5">
        <v>33600000</v>
      </c>
      <c r="K737" s="5">
        <v>36600000</v>
      </c>
      <c r="L737" s="3">
        <v>0.97916666666666663</v>
      </c>
    </row>
    <row r="738" spans="1:12" x14ac:dyDescent="0.25">
      <c r="A738" s="2">
        <v>43385</v>
      </c>
      <c r="B738" s="2">
        <v>43444</v>
      </c>
      <c r="C738" t="s">
        <v>16</v>
      </c>
      <c r="D738" t="s">
        <v>1636</v>
      </c>
      <c r="E738" s="5">
        <v>33000000</v>
      </c>
      <c r="F738" s="5">
        <v>36000000</v>
      </c>
      <c r="G738" s="5">
        <v>3000000</v>
      </c>
      <c r="H738" s="5">
        <v>3300000</v>
      </c>
      <c r="I738" s="5">
        <v>3600000</v>
      </c>
      <c r="J738" s="5">
        <v>33500000</v>
      </c>
      <c r="K738" s="5">
        <v>36500000</v>
      </c>
      <c r="L738" s="3">
        <v>0.97916666666666663</v>
      </c>
    </row>
    <row r="739" spans="1:12" x14ac:dyDescent="0.25">
      <c r="A739" s="2">
        <v>43416</v>
      </c>
      <c r="B739" s="2">
        <v>43445</v>
      </c>
      <c r="C739" t="s">
        <v>18</v>
      </c>
      <c r="D739" t="s">
        <v>1636</v>
      </c>
      <c r="E739" s="5">
        <v>32900000</v>
      </c>
      <c r="F739" s="5">
        <v>35900000</v>
      </c>
      <c r="G739" s="5">
        <v>3000000</v>
      </c>
      <c r="H739" s="5">
        <v>3290000</v>
      </c>
      <c r="I739" s="5">
        <v>3590000</v>
      </c>
      <c r="J739" s="5">
        <v>33400000</v>
      </c>
      <c r="K739" s="5">
        <v>36400000</v>
      </c>
      <c r="L739" s="3">
        <v>0.97916666666666663</v>
      </c>
    </row>
    <row r="740" spans="1:12" x14ac:dyDescent="0.25">
      <c r="A740" s="2">
        <v>43446</v>
      </c>
      <c r="B740" s="2">
        <v>43446</v>
      </c>
      <c r="C740" t="s">
        <v>19</v>
      </c>
      <c r="D740" t="s">
        <v>1636</v>
      </c>
      <c r="E740" s="5">
        <v>33000000</v>
      </c>
      <c r="F740" s="5">
        <v>36000000</v>
      </c>
      <c r="G740" s="5">
        <v>3000000</v>
      </c>
      <c r="H740" s="5">
        <v>3300000</v>
      </c>
      <c r="I740" s="5">
        <v>3600000</v>
      </c>
      <c r="J740" s="5">
        <v>33500000</v>
      </c>
      <c r="K740" s="5">
        <v>36500000</v>
      </c>
      <c r="L740" s="3">
        <v>0.97916666666666663</v>
      </c>
    </row>
    <row r="741" spans="1:12" x14ac:dyDescent="0.25">
      <c r="A741" t="s">
        <v>466</v>
      </c>
      <c r="B741" s="2">
        <v>43447</v>
      </c>
      <c r="C741" t="s">
        <v>20</v>
      </c>
      <c r="D741" t="s">
        <v>1636</v>
      </c>
      <c r="E741" s="5">
        <v>32900000</v>
      </c>
      <c r="F741" s="5">
        <v>35900000</v>
      </c>
      <c r="G741" s="5">
        <v>3000000</v>
      </c>
      <c r="H741" s="5">
        <v>3290000</v>
      </c>
      <c r="I741" s="5">
        <v>3590000</v>
      </c>
      <c r="J741" s="5">
        <v>33400000</v>
      </c>
      <c r="K741" s="5">
        <v>36400000</v>
      </c>
      <c r="L741" s="3">
        <v>0.97916666666666663</v>
      </c>
    </row>
    <row r="742" spans="1:12" x14ac:dyDescent="0.25">
      <c r="A742" t="s">
        <v>467</v>
      </c>
      <c r="B742" s="2">
        <v>43448</v>
      </c>
      <c r="C742" t="s">
        <v>21</v>
      </c>
      <c r="D742" t="s">
        <v>1636</v>
      </c>
      <c r="E742" s="5">
        <v>32800000</v>
      </c>
      <c r="F742" s="5">
        <v>35800000</v>
      </c>
      <c r="G742" s="5">
        <v>3000000</v>
      </c>
      <c r="H742" s="5">
        <v>3280000</v>
      </c>
      <c r="I742" s="5">
        <v>3580000</v>
      </c>
      <c r="J742" s="5">
        <v>33300000</v>
      </c>
      <c r="K742" s="5">
        <v>36300000</v>
      </c>
      <c r="L742" s="3">
        <v>0.97916666666666663</v>
      </c>
    </row>
    <row r="743" spans="1:12" x14ac:dyDescent="0.25">
      <c r="A743" t="s">
        <v>468</v>
      </c>
      <c r="B743" s="2">
        <v>43451</v>
      </c>
      <c r="C743" t="s">
        <v>16</v>
      </c>
      <c r="D743" t="s">
        <v>1636</v>
      </c>
      <c r="E743" s="5">
        <v>33100000</v>
      </c>
      <c r="F743" s="5">
        <v>36100000</v>
      </c>
      <c r="G743" s="5">
        <v>3000000</v>
      </c>
      <c r="H743" s="5">
        <v>3310000</v>
      </c>
      <c r="I743" s="5">
        <v>3610000</v>
      </c>
      <c r="J743" s="5">
        <v>33600000</v>
      </c>
      <c r="K743" s="5">
        <v>36600000</v>
      </c>
      <c r="L743" s="3">
        <v>0.97916666666666663</v>
      </c>
    </row>
    <row r="744" spans="1:12" x14ac:dyDescent="0.25">
      <c r="A744" t="s">
        <v>469</v>
      </c>
      <c r="B744" s="2">
        <v>43452</v>
      </c>
      <c r="C744" t="s">
        <v>18</v>
      </c>
      <c r="D744" t="s">
        <v>1636</v>
      </c>
      <c r="E744" s="5">
        <v>33100000</v>
      </c>
      <c r="F744" s="5">
        <v>36100000</v>
      </c>
      <c r="G744" s="5">
        <v>3000000</v>
      </c>
      <c r="H744" s="5">
        <v>3310000</v>
      </c>
      <c r="I744" s="5">
        <v>3610000</v>
      </c>
      <c r="J744" s="5">
        <v>33600000</v>
      </c>
      <c r="K744" s="5">
        <v>36600000</v>
      </c>
      <c r="L744" s="3">
        <v>0.97916666666666663</v>
      </c>
    </row>
    <row r="745" spans="1:12" x14ac:dyDescent="0.25">
      <c r="A745" t="s">
        <v>470</v>
      </c>
      <c r="B745" s="2">
        <v>43453</v>
      </c>
      <c r="C745" t="s">
        <v>19</v>
      </c>
      <c r="D745" t="s">
        <v>1636</v>
      </c>
      <c r="E745" s="5">
        <v>33200000</v>
      </c>
      <c r="F745" s="5">
        <v>36200000</v>
      </c>
      <c r="G745" s="5">
        <v>3000000</v>
      </c>
      <c r="H745" s="5">
        <v>3320000</v>
      </c>
      <c r="I745" s="5">
        <v>3620000</v>
      </c>
      <c r="J745" s="5">
        <v>33700000</v>
      </c>
      <c r="K745" s="5">
        <v>36700000</v>
      </c>
      <c r="L745" s="3">
        <v>0.97916666666666663</v>
      </c>
    </row>
    <row r="746" spans="1:12" x14ac:dyDescent="0.25">
      <c r="A746" t="s">
        <v>471</v>
      </c>
      <c r="B746" s="2">
        <v>43454</v>
      </c>
      <c r="C746" t="s">
        <v>20</v>
      </c>
      <c r="D746" t="s">
        <v>1636</v>
      </c>
      <c r="E746" s="5">
        <v>33600000</v>
      </c>
      <c r="F746" s="5">
        <v>36600000</v>
      </c>
      <c r="G746" s="5">
        <v>3000000</v>
      </c>
      <c r="H746" s="5">
        <v>3360000</v>
      </c>
      <c r="I746" s="5">
        <v>3660000</v>
      </c>
      <c r="J746" s="5">
        <v>34100000</v>
      </c>
      <c r="K746" s="5">
        <v>37100000</v>
      </c>
      <c r="L746" s="3">
        <v>0.97916666666666663</v>
      </c>
    </row>
    <row r="747" spans="1:12" x14ac:dyDescent="0.25">
      <c r="A747" t="s">
        <v>472</v>
      </c>
      <c r="B747" s="2">
        <v>43455</v>
      </c>
      <c r="C747" t="s">
        <v>21</v>
      </c>
      <c r="D747" t="s">
        <v>1636</v>
      </c>
      <c r="E747" s="5">
        <v>33300000</v>
      </c>
      <c r="F747" s="5">
        <v>36300000</v>
      </c>
      <c r="G747" s="5">
        <v>3000000</v>
      </c>
      <c r="H747" s="5">
        <v>3330000</v>
      </c>
      <c r="I747" s="5">
        <v>3630000</v>
      </c>
      <c r="J747" s="5">
        <v>33800000</v>
      </c>
      <c r="K747" s="5">
        <v>36800000</v>
      </c>
      <c r="L747" s="3">
        <v>0.97916666666666663</v>
      </c>
    </row>
    <row r="748" spans="1:12" x14ac:dyDescent="0.25">
      <c r="A748" t="s">
        <v>473</v>
      </c>
      <c r="B748" s="2">
        <v>43458</v>
      </c>
      <c r="C748" t="s">
        <v>16</v>
      </c>
      <c r="D748" t="s">
        <v>1636</v>
      </c>
      <c r="E748" s="5">
        <v>33700000</v>
      </c>
      <c r="F748" s="5">
        <v>36700000</v>
      </c>
      <c r="G748" s="5">
        <v>3000000</v>
      </c>
      <c r="H748" s="5">
        <v>3370000</v>
      </c>
      <c r="I748" s="5">
        <v>3670000</v>
      </c>
      <c r="J748" s="5">
        <v>34200000</v>
      </c>
      <c r="K748" s="5">
        <v>37200000</v>
      </c>
      <c r="L748" s="3">
        <v>0.97916666666666663</v>
      </c>
    </row>
    <row r="749" spans="1:12" x14ac:dyDescent="0.25">
      <c r="A749" t="s">
        <v>474</v>
      </c>
      <c r="B749" s="2">
        <v>43460</v>
      </c>
      <c r="C749" t="s">
        <v>19</v>
      </c>
      <c r="D749" t="s">
        <v>1636</v>
      </c>
      <c r="E749" s="5">
        <v>33700000</v>
      </c>
      <c r="F749" s="5">
        <v>36700000</v>
      </c>
      <c r="G749" s="5">
        <v>3000000</v>
      </c>
      <c r="H749" s="5">
        <v>3370000</v>
      </c>
      <c r="I749" s="5">
        <v>3670000</v>
      </c>
      <c r="J749" s="5">
        <v>34200000</v>
      </c>
      <c r="K749" s="5">
        <v>37200000</v>
      </c>
      <c r="L749" s="3">
        <v>0.97916666666666663</v>
      </c>
    </row>
    <row r="750" spans="1:12" x14ac:dyDescent="0.25">
      <c r="A750" t="s">
        <v>475</v>
      </c>
      <c r="B750" s="2">
        <v>43461</v>
      </c>
      <c r="C750" t="s">
        <v>20</v>
      </c>
      <c r="D750" t="s">
        <v>1636</v>
      </c>
      <c r="E750" s="5">
        <v>33900000</v>
      </c>
      <c r="F750" s="5">
        <v>36900000</v>
      </c>
      <c r="G750" s="5">
        <v>3000000</v>
      </c>
      <c r="H750" s="5">
        <v>3390000</v>
      </c>
      <c r="I750" s="5">
        <v>3690000</v>
      </c>
      <c r="J750" s="5">
        <v>34400000</v>
      </c>
      <c r="K750" s="5">
        <v>37400000</v>
      </c>
      <c r="L750" s="3">
        <v>0.97916666666666663</v>
      </c>
    </row>
    <row r="751" spans="1:12" x14ac:dyDescent="0.25">
      <c r="A751" t="s">
        <v>476</v>
      </c>
      <c r="B751" s="2">
        <v>43462</v>
      </c>
      <c r="C751" t="s">
        <v>21</v>
      </c>
      <c r="D751" t="s">
        <v>1636</v>
      </c>
      <c r="E751" s="5">
        <v>34000000</v>
      </c>
      <c r="F751" s="5">
        <v>37000000</v>
      </c>
      <c r="G751" s="5">
        <v>3000000</v>
      </c>
      <c r="H751" s="5">
        <v>3400000</v>
      </c>
      <c r="I751" s="5">
        <v>3700000</v>
      </c>
      <c r="J751" s="5">
        <v>34500000</v>
      </c>
      <c r="K751" s="5">
        <v>37500000</v>
      </c>
      <c r="L751" s="3">
        <v>0.97916666666666663</v>
      </c>
    </row>
    <row r="752" spans="1:12" x14ac:dyDescent="0.25">
      <c r="A752" t="s">
        <v>477</v>
      </c>
      <c r="B752" s="2">
        <v>43465</v>
      </c>
      <c r="C752" t="s">
        <v>16</v>
      </c>
      <c r="D752" t="s">
        <v>1636</v>
      </c>
      <c r="E752" s="5">
        <v>34000000</v>
      </c>
      <c r="F752" s="5">
        <v>37000000</v>
      </c>
      <c r="G752" s="5">
        <v>3000000</v>
      </c>
      <c r="H752" s="5">
        <v>3400000</v>
      </c>
      <c r="I752" s="5">
        <v>3700000</v>
      </c>
      <c r="J752" s="5">
        <v>34500000</v>
      </c>
      <c r="K752" s="5">
        <v>37500000</v>
      </c>
      <c r="L752" s="3">
        <v>0.97916666666666663</v>
      </c>
    </row>
    <row r="753" spans="1:12" x14ac:dyDescent="0.25">
      <c r="A753" s="2">
        <v>43497</v>
      </c>
      <c r="B753" s="2">
        <v>43467</v>
      </c>
      <c r="C753" t="s">
        <v>19</v>
      </c>
      <c r="D753" t="s">
        <v>1636</v>
      </c>
      <c r="E753" s="5">
        <v>35000000</v>
      </c>
      <c r="F753" s="5">
        <v>38000000</v>
      </c>
      <c r="G753" s="5">
        <v>3000000</v>
      </c>
      <c r="H753" s="5">
        <v>3500000</v>
      </c>
      <c r="I753" s="5">
        <v>3800000</v>
      </c>
      <c r="J753" s="5">
        <v>35500000</v>
      </c>
      <c r="K753" s="5">
        <v>38500000</v>
      </c>
      <c r="L753" s="3">
        <v>0.97916666666666663</v>
      </c>
    </row>
    <row r="754" spans="1:12" x14ac:dyDescent="0.25">
      <c r="A754" s="2">
        <v>43525</v>
      </c>
      <c r="B754" s="2">
        <v>43468</v>
      </c>
      <c r="C754" t="s">
        <v>20</v>
      </c>
      <c r="D754" t="s">
        <v>1636</v>
      </c>
      <c r="E754" s="5">
        <v>35300000</v>
      </c>
      <c r="F754" s="5">
        <v>38300000</v>
      </c>
      <c r="G754" s="5">
        <v>3000000</v>
      </c>
      <c r="H754" s="5">
        <v>3530000</v>
      </c>
      <c r="I754" s="5">
        <v>3830000</v>
      </c>
      <c r="J754" s="5">
        <v>35800000</v>
      </c>
      <c r="K754" s="5">
        <v>38800000</v>
      </c>
      <c r="L754" s="3">
        <v>0.97916666666666663</v>
      </c>
    </row>
    <row r="755" spans="1:12" x14ac:dyDescent="0.25">
      <c r="A755" s="2">
        <v>43556</v>
      </c>
      <c r="B755" s="2">
        <v>43469</v>
      </c>
      <c r="C755" t="s">
        <v>21</v>
      </c>
      <c r="D755" t="s">
        <v>1636</v>
      </c>
      <c r="E755" s="5">
        <v>35000000</v>
      </c>
      <c r="F755" s="5">
        <v>38000000</v>
      </c>
      <c r="G755" s="5">
        <v>3000000</v>
      </c>
      <c r="H755" s="5">
        <v>3500000</v>
      </c>
      <c r="I755" s="5">
        <v>3800000</v>
      </c>
      <c r="J755" s="5">
        <v>35500000</v>
      </c>
      <c r="K755" s="5">
        <v>38500000</v>
      </c>
      <c r="L755" s="3">
        <v>0.97916666666666663</v>
      </c>
    </row>
    <row r="756" spans="1:12" x14ac:dyDescent="0.25">
      <c r="A756" s="2">
        <v>43647</v>
      </c>
      <c r="B756" s="2">
        <v>43472</v>
      </c>
      <c r="C756" t="s">
        <v>16</v>
      </c>
      <c r="D756" t="s">
        <v>1636</v>
      </c>
      <c r="E756" s="5">
        <v>35200000</v>
      </c>
      <c r="F756" s="5">
        <v>38200000</v>
      </c>
      <c r="G756" s="5">
        <v>3000000</v>
      </c>
      <c r="H756" s="5">
        <v>3520000</v>
      </c>
      <c r="I756" s="5">
        <v>3820000</v>
      </c>
      <c r="J756" s="5">
        <v>35700000</v>
      </c>
      <c r="K756" s="5">
        <v>38700000</v>
      </c>
      <c r="L756" s="3">
        <v>0.97916666666666663</v>
      </c>
    </row>
    <row r="757" spans="1:12" x14ac:dyDescent="0.25">
      <c r="A757" s="2">
        <v>43678</v>
      </c>
      <c r="B757" s="2">
        <v>43473</v>
      </c>
      <c r="C757" t="s">
        <v>18</v>
      </c>
      <c r="D757" t="s">
        <v>1636</v>
      </c>
      <c r="E757" s="5">
        <v>35000000</v>
      </c>
      <c r="F757" s="5">
        <v>38000000</v>
      </c>
      <c r="G757" s="5">
        <v>3000000</v>
      </c>
      <c r="H757" s="5">
        <v>3500000</v>
      </c>
      <c r="I757" s="5">
        <v>3800000</v>
      </c>
      <c r="J757" s="5">
        <v>35500000</v>
      </c>
      <c r="K757" s="5">
        <v>38500000</v>
      </c>
      <c r="L757" s="3">
        <v>0.97916666666666663</v>
      </c>
    </row>
    <row r="758" spans="1:12" x14ac:dyDescent="0.25">
      <c r="A758" s="2">
        <v>43709</v>
      </c>
      <c r="B758" s="2">
        <v>43474</v>
      </c>
      <c r="C758" t="s">
        <v>19</v>
      </c>
      <c r="D758" t="s">
        <v>1636</v>
      </c>
      <c r="E758" s="5">
        <v>35200000</v>
      </c>
      <c r="F758" s="5">
        <v>38200000</v>
      </c>
      <c r="G758" s="5">
        <v>3000000</v>
      </c>
      <c r="H758" s="5">
        <v>3520000</v>
      </c>
      <c r="I758" s="5">
        <v>3820000</v>
      </c>
      <c r="J758" s="5">
        <v>35700000</v>
      </c>
      <c r="K758" s="5">
        <v>38700000</v>
      </c>
      <c r="L758" s="3">
        <v>0.97916666666666663</v>
      </c>
    </row>
    <row r="759" spans="1:12" x14ac:dyDescent="0.25">
      <c r="A759" s="2">
        <v>43739</v>
      </c>
      <c r="B759" s="2">
        <v>43475</v>
      </c>
      <c r="C759" t="s">
        <v>20</v>
      </c>
      <c r="D759" t="s">
        <v>1636</v>
      </c>
      <c r="E759" s="5">
        <v>35100000</v>
      </c>
      <c r="F759" s="5">
        <v>38100000</v>
      </c>
      <c r="G759" s="5">
        <v>3000000</v>
      </c>
      <c r="H759" s="5">
        <v>3510000</v>
      </c>
      <c r="I759" s="5">
        <v>3810000</v>
      </c>
      <c r="J759" s="5">
        <v>35600000</v>
      </c>
      <c r="K759" s="5">
        <v>38600000</v>
      </c>
      <c r="L759" s="3">
        <v>0.97916666666666663</v>
      </c>
    </row>
    <row r="760" spans="1:12" x14ac:dyDescent="0.25">
      <c r="A760" s="2">
        <v>43770</v>
      </c>
      <c r="B760" s="2">
        <v>43476</v>
      </c>
      <c r="C760" t="s">
        <v>21</v>
      </c>
      <c r="D760" t="s">
        <v>1636</v>
      </c>
      <c r="E760" s="5">
        <v>35200000</v>
      </c>
      <c r="F760" s="5">
        <v>38200000</v>
      </c>
      <c r="G760" s="5">
        <v>3000000</v>
      </c>
      <c r="H760" s="5">
        <v>3520000</v>
      </c>
      <c r="I760" s="5">
        <v>3820000</v>
      </c>
      <c r="J760" s="5">
        <v>35700000</v>
      </c>
      <c r="K760" s="5">
        <v>38700000</v>
      </c>
      <c r="L760" s="3">
        <v>0.97916666666666663</v>
      </c>
    </row>
    <row r="761" spans="1:12" x14ac:dyDescent="0.25">
      <c r="A761" t="s">
        <v>478</v>
      </c>
      <c r="B761" s="2">
        <v>43479</v>
      </c>
      <c r="C761" t="s">
        <v>16</v>
      </c>
      <c r="D761" t="s">
        <v>1636</v>
      </c>
      <c r="E761" s="5">
        <v>35200000</v>
      </c>
      <c r="F761" s="5">
        <v>38200000</v>
      </c>
      <c r="G761" s="5">
        <v>3000000</v>
      </c>
      <c r="H761" s="5">
        <v>3520000</v>
      </c>
      <c r="I761" s="5">
        <v>3820000</v>
      </c>
      <c r="J761" s="5">
        <v>35700000</v>
      </c>
      <c r="K761" s="5">
        <v>38700000</v>
      </c>
      <c r="L761" s="3">
        <v>0.97916666666666663</v>
      </c>
    </row>
    <row r="762" spans="1:12" x14ac:dyDescent="0.25">
      <c r="A762" t="s">
        <v>479</v>
      </c>
      <c r="B762" s="2">
        <v>43480</v>
      </c>
      <c r="C762" t="s">
        <v>18</v>
      </c>
      <c r="D762" t="s">
        <v>1636</v>
      </c>
      <c r="E762" s="5">
        <v>35100000</v>
      </c>
      <c r="F762" s="5">
        <v>38100000</v>
      </c>
      <c r="G762" s="5">
        <v>3000000</v>
      </c>
      <c r="H762" s="5">
        <v>3510000</v>
      </c>
      <c r="I762" s="5">
        <v>3810000</v>
      </c>
      <c r="J762" s="5">
        <v>35600000</v>
      </c>
      <c r="K762" s="5">
        <v>38600000</v>
      </c>
      <c r="L762" s="3">
        <v>0.97916666666666663</v>
      </c>
    </row>
    <row r="763" spans="1:12" x14ac:dyDescent="0.25">
      <c r="A763" t="s">
        <v>480</v>
      </c>
      <c r="B763" s="2">
        <v>43481</v>
      </c>
      <c r="C763" t="s">
        <v>19</v>
      </c>
      <c r="D763" t="s">
        <v>1636</v>
      </c>
      <c r="E763" s="5">
        <v>35300000</v>
      </c>
      <c r="F763" s="5">
        <v>38300000</v>
      </c>
      <c r="G763" s="5">
        <v>3000000</v>
      </c>
      <c r="H763" s="5">
        <v>3530000</v>
      </c>
      <c r="I763" s="5">
        <v>3830000</v>
      </c>
      <c r="J763" s="5">
        <v>35800000</v>
      </c>
      <c r="K763" s="5">
        <v>38800000</v>
      </c>
      <c r="L763" s="3">
        <v>0.97916666666666663</v>
      </c>
    </row>
    <row r="764" spans="1:12" x14ac:dyDescent="0.25">
      <c r="A764" t="s">
        <v>481</v>
      </c>
      <c r="B764" s="2">
        <v>43482</v>
      </c>
      <c r="C764" t="s">
        <v>20</v>
      </c>
      <c r="D764" t="s">
        <v>1636</v>
      </c>
      <c r="E764" s="5">
        <v>35300000</v>
      </c>
      <c r="F764" s="5">
        <v>38300000</v>
      </c>
      <c r="G764" s="5">
        <v>3000000</v>
      </c>
      <c r="H764" s="5">
        <v>3530000</v>
      </c>
      <c r="I764" s="5">
        <v>3830000</v>
      </c>
      <c r="J764" s="5">
        <v>35800000</v>
      </c>
      <c r="K764" s="5">
        <v>38800000</v>
      </c>
      <c r="L764" s="3">
        <v>0.97916666666666663</v>
      </c>
    </row>
    <row r="765" spans="1:12" x14ac:dyDescent="0.25">
      <c r="A765" t="s">
        <v>482</v>
      </c>
      <c r="B765" s="2">
        <v>43483</v>
      </c>
      <c r="C765" t="s">
        <v>21</v>
      </c>
      <c r="D765" t="s">
        <v>1636</v>
      </c>
      <c r="E765" s="5">
        <v>35000000</v>
      </c>
      <c r="F765" s="5">
        <v>38000000</v>
      </c>
      <c r="G765" s="5">
        <v>3000000</v>
      </c>
      <c r="H765" s="5">
        <v>3500000</v>
      </c>
      <c r="I765" s="5">
        <v>3800000</v>
      </c>
      <c r="J765" s="5">
        <v>35500000</v>
      </c>
      <c r="K765" s="5">
        <v>38500000</v>
      </c>
      <c r="L765" s="3">
        <v>0.97916666666666663</v>
      </c>
    </row>
    <row r="766" spans="1:12" x14ac:dyDescent="0.25">
      <c r="A766" t="s">
        <v>483</v>
      </c>
      <c r="B766" s="2">
        <v>43487</v>
      </c>
      <c r="C766" t="s">
        <v>18</v>
      </c>
      <c r="D766" t="s">
        <v>1636</v>
      </c>
      <c r="E766" s="5">
        <v>35000000</v>
      </c>
      <c r="F766" s="5">
        <v>38000000</v>
      </c>
      <c r="G766" s="5">
        <v>3000000</v>
      </c>
      <c r="H766" s="5">
        <v>3500000</v>
      </c>
      <c r="I766" s="5">
        <v>3800000</v>
      </c>
      <c r="J766" s="5">
        <v>35500000</v>
      </c>
      <c r="K766" s="5">
        <v>38500000</v>
      </c>
      <c r="L766" s="3">
        <v>0.97916666666666663</v>
      </c>
    </row>
    <row r="767" spans="1:12" x14ac:dyDescent="0.25">
      <c r="A767" t="s">
        <v>484</v>
      </c>
      <c r="B767" s="2">
        <v>43488</v>
      </c>
      <c r="C767" t="s">
        <v>19</v>
      </c>
      <c r="D767" t="s">
        <v>1636</v>
      </c>
      <c r="E767" s="5">
        <v>35000000</v>
      </c>
      <c r="F767" s="5">
        <v>38000000</v>
      </c>
      <c r="G767" s="5">
        <v>3000000</v>
      </c>
      <c r="H767" s="5">
        <v>3500000</v>
      </c>
      <c r="I767" s="5">
        <v>3800000</v>
      </c>
      <c r="J767" s="5">
        <v>35500000</v>
      </c>
      <c r="K767" s="5">
        <v>38500000</v>
      </c>
      <c r="L767" s="3">
        <v>0.97916666666666663</v>
      </c>
    </row>
    <row r="768" spans="1:12" x14ac:dyDescent="0.25">
      <c r="A768" t="s">
        <v>485</v>
      </c>
      <c r="B768" s="2">
        <v>43489</v>
      </c>
      <c r="C768" t="s">
        <v>20</v>
      </c>
      <c r="D768" t="s">
        <v>1636</v>
      </c>
      <c r="E768" s="5">
        <v>34900000</v>
      </c>
      <c r="F768" s="5">
        <v>37900000</v>
      </c>
      <c r="G768" s="5">
        <v>3000000</v>
      </c>
      <c r="H768" s="5">
        <v>3490000</v>
      </c>
      <c r="I768" s="5">
        <v>3790000</v>
      </c>
      <c r="J768" s="5">
        <v>35400000</v>
      </c>
      <c r="K768" s="5">
        <v>38400000</v>
      </c>
      <c r="L768" s="3">
        <v>0.97916666666666663</v>
      </c>
    </row>
    <row r="769" spans="1:12" x14ac:dyDescent="0.25">
      <c r="A769" t="s">
        <v>486</v>
      </c>
      <c r="B769" s="2">
        <v>43490</v>
      </c>
      <c r="C769" t="s">
        <v>21</v>
      </c>
      <c r="D769" t="s">
        <v>1636</v>
      </c>
      <c r="E769" s="5">
        <v>35500000</v>
      </c>
      <c r="F769" s="5">
        <v>38500000</v>
      </c>
      <c r="G769" s="5">
        <v>3000000</v>
      </c>
      <c r="H769" s="5">
        <v>3550000</v>
      </c>
      <c r="I769" s="5">
        <v>3850000</v>
      </c>
      <c r="J769" s="5">
        <v>36000000</v>
      </c>
      <c r="K769" s="5">
        <v>39000000</v>
      </c>
      <c r="L769" s="3">
        <v>0.97916666666666663</v>
      </c>
    </row>
    <row r="770" spans="1:12" x14ac:dyDescent="0.25">
      <c r="A770" t="s">
        <v>487</v>
      </c>
      <c r="B770" s="2">
        <v>43493</v>
      </c>
      <c r="C770" t="s">
        <v>16</v>
      </c>
      <c r="D770" t="s">
        <v>1636</v>
      </c>
      <c r="E770" s="5">
        <v>35600000</v>
      </c>
      <c r="F770" s="5">
        <v>38600000</v>
      </c>
      <c r="G770" s="5">
        <v>3000000</v>
      </c>
      <c r="H770" s="5">
        <v>3560000</v>
      </c>
      <c r="I770" s="5">
        <v>3860000</v>
      </c>
      <c r="J770" s="5">
        <v>36100000</v>
      </c>
      <c r="K770" s="5">
        <v>39100000</v>
      </c>
      <c r="L770" s="3">
        <v>0.97916666666666663</v>
      </c>
    </row>
    <row r="771" spans="1:12" x14ac:dyDescent="0.25">
      <c r="A771" t="s">
        <v>488</v>
      </c>
      <c r="B771" s="2">
        <v>43494</v>
      </c>
      <c r="C771" t="s">
        <v>18</v>
      </c>
      <c r="D771" t="s">
        <v>1636</v>
      </c>
      <c r="E771" s="5">
        <v>35800000</v>
      </c>
      <c r="F771" s="5">
        <v>38800000</v>
      </c>
      <c r="G771" s="5">
        <v>3000000</v>
      </c>
      <c r="H771" s="5">
        <v>3580000</v>
      </c>
      <c r="I771" s="5">
        <v>3880000</v>
      </c>
      <c r="J771" s="5">
        <v>36300000</v>
      </c>
      <c r="K771" s="5">
        <v>39300000</v>
      </c>
      <c r="L771" s="3">
        <v>0.97916666666666663</v>
      </c>
    </row>
    <row r="772" spans="1:12" x14ac:dyDescent="0.25">
      <c r="A772" t="s">
        <v>489</v>
      </c>
      <c r="B772" s="2">
        <v>43495</v>
      </c>
      <c r="C772" t="s">
        <v>19</v>
      </c>
      <c r="D772" t="s">
        <v>1636</v>
      </c>
      <c r="E772" s="5">
        <v>35800000</v>
      </c>
      <c r="F772" s="5">
        <v>38800000</v>
      </c>
      <c r="G772" s="5">
        <v>3000000</v>
      </c>
      <c r="H772" s="5">
        <v>3580000</v>
      </c>
      <c r="I772" s="5">
        <v>3880000</v>
      </c>
      <c r="J772" s="5">
        <v>36300000</v>
      </c>
      <c r="K772" s="5">
        <v>39300000</v>
      </c>
      <c r="L772" s="3">
        <v>0.97916666666666663</v>
      </c>
    </row>
    <row r="773" spans="1:12" x14ac:dyDescent="0.25">
      <c r="A773" t="s">
        <v>490</v>
      </c>
      <c r="B773" s="2">
        <v>43496</v>
      </c>
      <c r="C773" t="s">
        <v>20</v>
      </c>
      <c r="D773" t="s">
        <v>1636</v>
      </c>
      <c r="E773" s="5">
        <v>36100000</v>
      </c>
      <c r="F773" s="5">
        <v>39100000</v>
      </c>
      <c r="G773" s="5">
        <v>3000000</v>
      </c>
      <c r="H773" s="5">
        <v>3610000</v>
      </c>
      <c r="I773" s="5">
        <v>3910000</v>
      </c>
      <c r="J773" s="5">
        <v>36600000</v>
      </c>
      <c r="K773" s="5">
        <v>39600000</v>
      </c>
      <c r="L773" s="3">
        <v>0.97916666666666663</v>
      </c>
    </row>
    <row r="774" spans="1:12" x14ac:dyDescent="0.25">
      <c r="A774" s="2">
        <v>43467</v>
      </c>
      <c r="B774" s="2">
        <v>43497</v>
      </c>
      <c r="C774" t="s">
        <v>21</v>
      </c>
      <c r="D774" t="s">
        <v>1636</v>
      </c>
      <c r="E774" s="5">
        <v>36000000</v>
      </c>
      <c r="F774" s="5">
        <v>39000000</v>
      </c>
      <c r="G774" s="5">
        <v>3000000</v>
      </c>
      <c r="H774" s="5">
        <v>3600000</v>
      </c>
      <c r="I774" s="5">
        <v>3900000</v>
      </c>
      <c r="J774" s="5">
        <v>36500000</v>
      </c>
      <c r="K774" s="5">
        <v>39500000</v>
      </c>
      <c r="L774" s="3">
        <v>0.97916666666666663</v>
      </c>
    </row>
    <row r="775" spans="1:12" x14ac:dyDescent="0.25">
      <c r="A775" s="2">
        <v>43557</v>
      </c>
      <c r="B775" s="2">
        <v>43500</v>
      </c>
      <c r="C775" t="s">
        <v>16</v>
      </c>
      <c r="D775" t="s">
        <v>1636</v>
      </c>
      <c r="E775" s="5">
        <v>36000000</v>
      </c>
      <c r="F775" s="5">
        <v>39000000</v>
      </c>
      <c r="G775" s="5">
        <v>3000000</v>
      </c>
      <c r="H775" s="5">
        <v>3600000</v>
      </c>
      <c r="I775" s="5">
        <v>3900000</v>
      </c>
      <c r="J775" s="5">
        <v>36500000</v>
      </c>
      <c r="K775" s="5">
        <v>39500000</v>
      </c>
      <c r="L775" s="3">
        <v>0.97916666666666663</v>
      </c>
    </row>
    <row r="776" spans="1:12" x14ac:dyDescent="0.25">
      <c r="A776" s="2">
        <v>43587</v>
      </c>
      <c r="B776" s="2">
        <v>43501</v>
      </c>
      <c r="C776" t="s">
        <v>18</v>
      </c>
      <c r="D776" t="s">
        <v>1636</v>
      </c>
      <c r="E776" s="5">
        <v>36000000</v>
      </c>
      <c r="F776" s="5">
        <v>39000000</v>
      </c>
      <c r="G776" s="5">
        <v>3000000</v>
      </c>
      <c r="H776" s="5">
        <v>3600000</v>
      </c>
      <c r="I776" s="5">
        <v>3900000</v>
      </c>
      <c r="J776" s="5">
        <v>36500000</v>
      </c>
      <c r="K776" s="5">
        <v>39500000</v>
      </c>
      <c r="L776" s="3">
        <v>0.97916666666666663</v>
      </c>
    </row>
    <row r="777" spans="1:12" x14ac:dyDescent="0.25">
      <c r="A777" s="2">
        <v>43618</v>
      </c>
      <c r="B777" s="2">
        <v>43502</v>
      </c>
      <c r="C777" t="s">
        <v>19</v>
      </c>
      <c r="D777" t="s">
        <v>1636</v>
      </c>
      <c r="E777" s="5">
        <v>35800000</v>
      </c>
      <c r="F777" s="5">
        <v>38800000</v>
      </c>
      <c r="G777" s="5">
        <v>3000000</v>
      </c>
      <c r="H777" s="5">
        <v>3580000</v>
      </c>
      <c r="I777" s="5">
        <v>3880000</v>
      </c>
      <c r="J777" s="5">
        <v>36300000</v>
      </c>
      <c r="K777" s="5">
        <v>39300000</v>
      </c>
      <c r="L777" s="3">
        <v>0.97916666666666663</v>
      </c>
    </row>
    <row r="778" spans="1:12" x14ac:dyDescent="0.25">
      <c r="A778" s="2">
        <v>43648</v>
      </c>
      <c r="B778" s="2">
        <v>43503</v>
      </c>
      <c r="C778" t="s">
        <v>20</v>
      </c>
      <c r="D778" t="s">
        <v>1636</v>
      </c>
      <c r="E778" s="5">
        <v>35800000</v>
      </c>
      <c r="F778" s="5">
        <v>38800000</v>
      </c>
      <c r="G778" s="5">
        <v>3000000</v>
      </c>
      <c r="H778" s="5">
        <v>3580000</v>
      </c>
      <c r="I778" s="5">
        <v>3880000</v>
      </c>
      <c r="J778" s="5">
        <v>36300000</v>
      </c>
      <c r="K778" s="5">
        <v>39300000</v>
      </c>
      <c r="L778" s="3">
        <v>0.97916666666666663</v>
      </c>
    </row>
    <row r="779" spans="1:12" x14ac:dyDescent="0.25">
      <c r="A779" s="2">
        <v>43679</v>
      </c>
      <c r="B779" s="2">
        <v>43504</v>
      </c>
      <c r="C779" t="s">
        <v>21</v>
      </c>
      <c r="D779" t="s">
        <v>1636</v>
      </c>
      <c r="E779" s="5">
        <v>36000000</v>
      </c>
      <c r="F779" s="5">
        <v>39000000</v>
      </c>
      <c r="G779" s="5">
        <v>3000000</v>
      </c>
      <c r="H779" s="5">
        <v>3600000</v>
      </c>
      <c r="I779" s="5">
        <v>3900000</v>
      </c>
      <c r="J779" s="5">
        <v>36500000</v>
      </c>
      <c r="K779" s="5">
        <v>39500000</v>
      </c>
      <c r="L779" s="3">
        <v>0.97916666666666663</v>
      </c>
    </row>
    <row r="780" spans="1:12" x14ac:dyDescent="0.25">
      <c r="A780" s="2">
        <v>43771</v>
      </c>
      <c r="B780" s="2">
        <v>43507</v>
      </c>
      <c r="C780" t="s">
        <v>16</v>
      </c>
      <c r="D780" t="s">
        <v>1636</v>
      </c>
      <c r="E780" s="5">
        <v>35800000</v>
      </c>
      <c r="F780" s="5">
        <v>38800000</v>
      </c>
      <c r="G780" s="5">
        <v>3000000</v>
      </c>
      <c r="H780" s="5">
        <v>3580000</v>
      </c>
      <c r="I780" s="5">
        <v>3880000</v>
      </c>
      <c r="J780" s="5">
        <v>36300000</v>
      </c>
      <c r="K780" s="5">
        <v>39300000</v>
      </c>
      <c r="L780" s="3">
        <v>0.97916666666666663</v>
      </c>
    </row>
    <row r="781" spans="1:12" x14ac:dyDescent="0.25">
      <c r="A781" s="2">
        <v>43801</v>
      </c>
      <c r="B781" s="2">
        <v>43508</v>
      </c>
      <c r="C781" t="s">
        <v>18</v>
      </c>
      <c r="D781" t="s">
        <v>1636</v>
      </c>
      <c r="E781" s="5">
        <v>35800000</v>
      </c>
      <c r="F781" s="5">
        <v>38800000</v>
      </c>
      <c r="G781" s="5">
        <v>3000000</v>
      </c>
      <c r="H781" s="5">
        <v>3580000</v>
      </c>
      <c r="I781" s="5">
        <v>3880000</v>
      </c>
      <c r="J781" s="5">
        <v>36300000</v>
      </c>
      <c r="K781" s="5">
        <v>39300000</v>
      </c>
      <c r="L781" s="3">
        <v>0.97916666666666663</v>
      </c>
    </row>
    <row r="782" spans="1:12" x14ac:dyDescent="0.25">
      <c r="A782" t="s">
        <v>491</v>
      </c>
      <c r="B782" s="2">
        <v>43509</v>
      </c>
      <c r="C782" t="s">
        <v>19</v>
      </c>
      <c r="D782" t="s">
        <v>1636</v>
      </c>
      <c r="E782" s="5">
        <v>35900000</v>
      </c>
      <c r="F782" s="5">
        <v>38900000</v>
      </c>
      <c r="G782" s="5">
        <v>3000000</v>
      </c>
      <c r="H782" s="5">
        <v>3590000</v>
      </c>
      <c r="I782" s="5">
        <v>3890000</v>
      </c>
      <c r="J782" s="5">
        <v>36400000</v>
      </c>
      <c r="K782" s="5">
        <v>39400000</v>
      </c>
      <c r="L782" s="3">
        <v>0.97916666666666663</v>
      </c>
    </row>
    <row r="783" spans="1:12" x14ac:dyDescent="0.25">
      <c r="A783" t="s">
        <v>492</v>
      </c>
      <c r="B783" s="2">
        <v>43510</v>
      </c>
      <c r="C783" t="s">
        <v>20</v>
      </c>
      <c r="D783" t="s">
        <v>1636</v>
      </c>
      <c r="E783" s="5">
        <v>35800000</v>
      </c>
      <c r="F783" s="5">
        <v>38800000</v>
      </c>
      <c r="G783" s="5">
        <v>3000000</v>
      </c>
      <c r="H783" s="5">
        <v>3580000</v>
      </c>
      <c r="I783" s="5">
        <v>3880000</v>
      </c>
      <c r="J783" s="5">
        <v>36300000</v>
      </c>
      <c r="K783" s="5">
        <v>39300000</v>
      </c>
      <c r="L783" s="3">
        <v>0.97916666666666663</v>
      </c>
    </row>
    <row r="784" spans="1:12" x14ac:dyDescent="0.25">
      <c r="A784" t="s">
        <v>493</v>
      </c>
      <c r="B784" s="2">
        <v>43511</v>
      </c>
      <c r="C784" t="s">
        <v>21</v>
      </c>
      <c r="D784" t="s">
        <v>1636</v>
      </c>
      <c r="E784" s="5">
        <v>36100000</v>
      </c>
      <c r="F784" s="5">
        <v>39100000</v>
      </c>
      <c r="G784" s="5">
        <v>3000000</v>
      </c>
      <c r="H784" s="5">
        <v>3610000</v>
      </c>
      <c r="I784" s="5">
        <v>3910000</v>
      </c>
      <c r="J784" s="5">
        <v>36600000</v>
      </c>
      <c r="K784" s="5">
        <v>39600000</v>
      </c>
      <c r="L784" s="3">
        <v>0.97916666666666663</v>
      </c>
    </row>
    <row r="785" spans="1:12" x14ac:dyDescent="0.25">
      <c r="A785" t="s">
        <v>494</v>
      </c>
      <c r="B785" s="2">
        <v>43515</v>
      </c>
      <c r="C785" t="s">
        <v>18</v>
      </c>
      <c r="D785" t="s">
        <v>1636</v>
      </c>
      <c r="E785" s="5">
        <v>36700000</v>
      </c>
      <c r="F785" s="5">
        <v>39700000</v>
      </c>
      <c r="G785" s="5">
        <v>3000000</v>
      </c>
      <c r="H785" s="5">
        <v>3670000</v>
      </c>
      <c r="I785" s="5">
        <v>3970000</v>
      </c>
      <c r="J785" s="5">
        <v>37200000</v>
      </c>
      <c r="K785" s="5">
        <v>40200000</v>
      </c>
      <c r="L785" s="3">
        <v>0.97916666666666663</v>
      </c>
    </row>
    <row r="786" spans="1:12" x14ac:dyDescent="0.25">
      <c r="A786" t="s">
        <v>495</v>
      </c>
      <c r="B786" s="2">
        <v>43516</v>
      </c>
      <c r="C786" t="s">
        <v>19</v>
      </c>
      <c r="D786" t="s">
        <v>1636</v>
      </c>
      <c r="E786" s="5">
        <v>36800000</v>
      </c>
      <c r="F786" s="5">
        <v>39800000</v>
      </c>
      <c r="G786" s="5">
        <v>3000000</v>
      </c>
      <c r="H786" s="5">
        <v>3680000</v>
      </c>
      <c r="I786" s="5">
        <v>3980000</v>
      </c>
      <c r="J786" s="5">
        <v>37300000</v>
      </c>
      <c r="K786" s="5">
        <v>40300000</v>
      </c>
      <c r="L786" s="3">
        <v>0.97916666666666663</v>
      </c>
    </row>
    <row r="787" spans="1:12" x14ac:dyDescent="0.25">
      <c r="A787" t="s">
        <v>496</v>
      </c>
      <c r="B787" s="2">
        <v>43517</v>
      </c>
      <c r="C787" t="s">
        <v>20</v>
      </c>
      <c r="D787" t="s">
        <v>1636</v>
      </c>
      <c r="E787" s="5">
        <v>36200000</v>
      </c>
      <c r="F787" s="5">
        <v>39200000</v>
      </c>
      <c r="G787" s="5">
        <v>3000000</v>
      </c>
      <c r="H787" s="5">
        <v>3620000</v>
      </c>
      <c r="I787" s="5">
        <v>3920000</v>
      </c>
      <c r="J787" s="5">
        <v>36700000</v>
      </c>
      <c r="K787" s="5">
        <v>39700000</v>
      </c>
      <c r="L787" s="3">
        <v>0.97916666666666663</v>
      </c>
    </row>
    <row r="788" spans="1:12" x14ac:dyDescent="0.25">
      <c r="A788" t="s">
        <v>497</v>
      </c>
      <c r="B788" s="2">
        <v>43518</v>
      </c>
      <c r="C788" t="s">
        <v>21</v>
      </c>
      <c r="D788" t="s">
        <v>1636</v>
      </c>
      <c r="E788" s="5">
        <v>36400000</v>
      </c>
      <c r="F788" s="5">
        <v>39400000</v>
      </c>
      <c r="G788" s="5">
        <v>3000000</v>
      </c>
      <c r="H788" s="5">
        <v>3640000</v>
      </c>
      <c r="I788" s="5">
        <v>3940000</v>
      </c>
      <c r="J788" s="5">
        <v>36900000</v>
      </c>
      <c r="K788" s="5">
        <v>39900000</v>
      </c>
      <c r="L788" s="3">
        <v>0.97916666666666663</v>
      </c>
    </row>
    <row r="789" spans="1:12" x14ac:dyDescent="0.25">
      <c r="A789" t="s">
        <v>498</v>
      </c>
      <c r="B789" s="2">
        <v>43521</v>
      </c>
      <c r="C789" t="s">
        <v>16</v>
      </c>
      <c r="D789" t="s">
        <v>1636</v>
      </c>
      <c r="E789" s="5">
        <v>36300000</v>
      </c>
      <c r="F789" s="5">
        <v>39300000</v>
      </c>
      <c r="G789" s="5">
        <v>3000000</v>
      </c>
      <c r="H789" s="5">
        <v>3630000</v>
      </c>
      <c r="I789" s="5">
        <v>3930000</v>
      </c>
      <c r="J789" s="5">
        <v>36800000</v>
      </c>
      <c r="K789" s="5">
        <v>39800000</v>
      </c>
      <c r="L789" s="3">
        <v>0.97916666666666663</v>
      </c>
    </row>
    <row r="790" spans="1:12" x14ac:dyDescent="0.25">
      <c r="A790" t="s">
        <v>499</v>
      </c>
      <c r="B790" s="2">
        <v>43522</v>
      </c>
      <c r="C790" t="s">
        <v>18</v>
      </c>
      <c r="D790" t="s">
        <v>1636</v>
      </c>
      <c r="E790" s="5">
        <v>36300000</v>
      </c>
      <c r="F790" s="5">
        <v>39300000</v>
      </c>
      <c r="G790" s="5">
        <v>3000000</v>
      </c>
      <c r="H790" s="5">
        <v>3630000</v>
      </c>
      <c r="I790" s="5">
        <v>3930000</v>
      </c>
      <c r="J790" s="5">
        <v>36800000</v>
      </c>
      <c r="K790" s="5">
        <v>39800000</v>
      </c>
      <c r="L790" s="3">
        <v>0.97916666666666663</v>
      </c>
    </row>
    <row r="791" spans="1:12" x14ac:dyDescent="0.25">
      <c r="A791" t="s">
        <v>500</v>
      </c>
      <c r="B791" s="2">
        <v>43523</v>
      </c>
      <c r="C791" t="s">
        <v>19</v>
      </c>
      <c r="D791" t="s">
        <v>1636</v>
      </c>
      <c r="E791" s="5">
        <v>36100000</v>
      </c>
      <c r="F791" s="5">
        <v>39100000</v>
      </c>
      <c r="G791" s="5">
        <v>3000000</v>
      </c>
      <c r="H791" s="5">
        <v>3610000</v>
      </c>
      <c r="I791" s="5">
        <v>3910000</v>
      </c>
      <c r="J791" s="5">
        <v>36600000</v>
      </c>
      <c r="K791" s="5">
        <v>39600000</v>
      </c>
      <c r="L791" s="3">
        <v>0.97916666666666663</v>
      </c>
    </row>
    <row r="792" spans="1:12" x14ac:dyDescent="0.25">
      <c r="A792" t="s">
        <v>501</v>
      </c>
      <c r="B792" s="2">
        <v>43524</v>
      </c>
      <c r="C792" t="s">
        <v>20</v>
      </c>
      <c r="D792" t="s">
        <v>1636</v>
      </c>
      <c r="E792" s="5">
        <v>35900000</v>
      </c>
      <c r="F792" s="5">
        <v>38900000</v>
      </c>
      <c r="G792" s="5">
        <v>3000000</v>
      </c>
      <c r="H792" s="5">
        <v>3590000</v>
      </c>
      <c r="I792" s="5">
        <v>3890000</v>
      </c>
      <c r="J792" s="5">
        <v>36400000</v>
      </c>
      <c r="K792" s="5">
        <v>39400000</v>
      </c>
      <c r="L792" s="3">
        <v>0.97916666666666663</v>
      </c>
    </row>
    <row r="793" spans="1:12" x14ac:dyDescent="0.25">
      <c r="A793" s="2">
        <v>43468</v>
      </c>
      <c r="B793" s="2">
        <v>43525</v>
      </c>
      <c r="C793" t="s">
        <v>21</v>
      </c>
      <c r="D793" t="s">
        <v>1636</v>
      </c>
      <c r="E793" s="5">
        <v>35400000</v>
      </c>
      <c r="F793" s="5">
        <v>38400000</v>
      </c>
      <c r="G793" s="5">
        <v>3000000</v>
      </c>
      <c r="H793" s="5">
        <v>3540000</v>
      </c>
      <c r="I793" s="5">
        <v>3840000</v>
      </c>
      <c r="J793" s="5">
        <v>35900000</v>
      </c>
      <c r="K793" s="5">
        <v>38900000</v>
      </c>
      <c r="L793" s="3">
        <v>0.97916666666666663</v>
      </c>
    </row>
    <row r="794" spans="1:12" x14ac:dyDescent="0.25">
      <c r="A794" s="2">
        <v>43558</v>
      </c>
      <c r="B794" s="2">
        <v>43528</v>
      </c>
      <c r="C794" t="s">
        <v>16</v>
      </c>
      <c r="D794" t="s">
        <v>1636</v>
      </c>
      <c r="E794" s="5">
        <v>35100000</v>
      </c>
      <c r="F794" s="5">
        <v>38100000</v>
      </c>
      <c r="G794" s="5">
        <v>3000000</v>
      </c>
      <c r="H794" s="5">
        <v>3510000</v>
      </c>
      <c r="I794" s="5">
        <v>3810000</v>
      </c>
      <c r="J794" s="5">
        <v>35600000</v>
      </c>
      <c r="K794" s="5">
        <v>38600000</v>
      </c>
      <c r="L794" s="3">
        <v>0.97916666666666663</v>
      </c>
    </row>
    <row r="795" spans="1:12" x14ac:dyDescent="0.25">
      <c r="A795" s="2">
        <v>43588</v>
      </c>
      <c r="B795" s="2">
        <v>43529</v>
      </c>
      <c r="C795" t="s">
        <v>18</v>
      </c>
      <c r="D795" t="s">
        <v>1636</v>
      </c>
      <c r="E795" s="5">
        <v>35000000</v>
      </c>
      <c r="F795" s="5">
        <v>38000000</v>
      </c>
      <c r="G795" s="5">
        <v>3000000</v>
      </c>
      <c r="H795" s="5">
        <v>3500000</v>
      </c>
      <c r="I795" s="5">
        <v>3800000</v>
      </c>
      <c r="J795" s="5">
        <v>35500000</v>
      </c>
      <c r="K795" s="5">
        <v>38500000</v>
      </c>
      <c r="L795" s="3">
        <v>0.97916666666666663</v>
      </c>
    </row>
    <row r="796" spans="1:12" x14ac:dyDescent="0.25">
      <c r="A796" s="2">
        <v>43619</v>
      </c>
      <c r="B796" s="2">
        <v>43530</v>
      </c>
      <c r="C796" t="s">
        <v>19</v>
      </c>
      <c r="D796" t="s">
        <v>1636</v>
      </c>
      <c r="E796" s="5">
        <v>35100000</v>
      </c>
      <c r="F796" s="5">
        <v>38100000</v>
      </c>
      <c r="G796" s="5">
        <v>3000000</v>
      </c>
      <c r="H796" s="5">
        <v>3510000</v>
      </c>
      <c r="I796" s="5">
        <v>3810000</v>
      </c>
      <c r="J796" s="5">
        <v>35600000</v>
      </c>
      <c r="K796" s="5">
        <v>38600000</v>
      </c>
      <c r="L796" s="3">
        <v>0.97916666666666663</v>
      </c>
    </row>
    <row r="797" spans="1:12" x14ac:dyDescent="0.25">
      <c r="A797" s="2">
        <v>43649</v>
      </c>
      <c r="B797" s="2">
        <v>43531</v>
      </c>
      <c r="C797" t="s">
        <v>20</v>
      </c>
      <c r="D797" t="s">
        <v>1636</v>
      </c>
      <c r="E797" s="5">
        <v>35100000</v>
      </c>
      <c r="F797" s="5">
        <v>38100000</v>
      </c>
      <c r="G797" s="5">
        <v>3000000</v>
      </c>
      <c r="H797" s="5">
        <v>3510000</v>
      </c>
      <c r="I797" s="5">
        <v>3810000</v>
      </c>
      <c r="J797" s="5">
        <v>35600000</v>
      </c>
      <c r="K797" s="5">
        <v>38600000</v>
      </c>
      <c r="L797" s="3">
        <v>0.97916666666666663</v>
      </c>
    </row>
    <row r="798" spans="1:12" x14ac:dyDescent="0.25">
      <c r="A798" s="2">
        <v>43680</v>
      </c>
      <c r="B798" s="2">
        <v>43532</v>
      </c>
      <c r="C798" t="s">
        <v>21</v>
      </c>
      <c r="D798" t="s">
        <v>1636</v>
      </c>
      <c r="E798" s="5">
        <v>35500000</v>
      </c>
      <c r="F798" s="5">
        <v>38500000</v>
      </c>
      <c r="G798" s="5">
        <v>3000000</v>
      </c>
      <c r="H798" s="5">
        <v>3550000</v>
      </c>
      <c r="I798" s="5">
        <v>3850000</v>
      </c>
      <c r="J798" s="5">
        <v>36000000</v>
      </c>
      <c r="K798" s="5">
        <v>39000000</v>
      </c>
      <c r="L798" s="3">
        <v>0.97916666666666663</v>
      </c>
    </row>
    <row r="799" spans="1:12" x14ac:dyDescent="0.25">
      <c r="A799" s="2">
        <v>43772</v>
      </c>
      <c r="B799" s="2">
        <v>43535</v>
      </c>
      <c r="C799" t="s">
        <v>16</v>
      </c>
      <c r="D799" t="s">
        <v>1636</v>
      </c>
      <c r="E799" s="5">
        <v>35200000</v>
      </c>
      <c r="F799" s="5">
        <v>38200000</v>
      </c>
      <c r="G799" s="5">
        <v>3000000</v>
      </c>
      <c r="H799" s="5">
        <v>3520000</v>
      </c>
      <c r="I799" s="5">
        <v>3820000</v>
      </c>
      <c r="J799" s="5">
        <v>35700000</v>
      </c>
      <c r="K799" s="5">
        <v>38700000</v>
      </c>
      <c r="L799" s="3">
        <v>0.97916666666666663</v>
      </c>
    </row>
    <row r="800" spans="1:12" x14ac:dyDescent="0.25">
      <c r="A800" s="2">
        <v>43802</v>
      </c>
      <c r="B800" s="2">
        <v>43536</v>
      </c>
      <c r="C800" t="s">
        <v>18</v>
      </c>
      <c r="D800" t="s">
        <v>1636</v>
      </c>
      <c r="E800" s="5">
        <v>35400000</v>
      </c>
      <c r="F800" s="5">
        <v>38400000</v>
      </c>
      <c r="G800" s="5">
        <v>3000000</v>
      </c>
      <c r="H800" s="5">
        <v>3540000</v>
      </c>
      <c r="I800" s="5">
        <v>3840000</v>
      </c>
      <c r="J800" s="5">
        <v>35900000</v>
      </c>
      <c r="K800" s="5">
        <v>38900000</v>
      </c>
      <c r="L800" s="3">
        <v>0.97916666666666663</v>
      </c>
    </row>
    <row r="801" spans="1:12" x14ac:dyDescent="0.25">
      <c r="A801" t="s">
        <v>502</v>
      </c>
      <c r="B801" s="2">
        <v>43537</v>
      </c>
      <c r="C801" t="s">
        <v>19</v>
      </c>
      <c r="D801" t="s">
        <v>1636</v>
      </c>
      <c r="E801" s="5">
        <v>35800000</v>
      </c>
      <c r="F801" s="5">
        <v>38800000</v>
      </c>
      <c r="G801" s="5">
        <v>3000000</v>
      </c>
      <c r="H801" s="5">
        <v>3580000</v>
      </c>
      <c r="I801" s="5">
        <v>3880000</v>
      </c>
      <c r="J801" s="5">
        <v>36300000</v>
      </c>
      <c r="K801" s="5">
        <v>39300000</v>
      </c>
      <c r="L801" s="3">
        <v>0.97916666666666663</v>
      </c>
    </row>
    <row r="802" spans="1:12" x14ac:dyDescent="0.25">
      <c r="A802" t="s">
        <v>503</v>
      </c>
      <c r="B802" s="2">
        <v>43538</v>
      </c>
      <c r="C802" t="s">
        <v>20</v>
      </c>
      <c r="D802" t="s">
        <v>1636</v>
      </c>
      <c r="E802" s="5">
        <v>35300000</v>
      </c>
      <c r="F802" s="5">
        <v>38300000</v>
      </c>
      <c r="G802" s="5">
        <v>3000000</v>
      </c>
      <c r="H802" s="5">
        <v>3530000</v>
      </c>
      <c r="I802" s="5">
        <v>3830000</v>
      </c>
      <c r="J802" s="5">
        <v>35800000</v>
      </c>
      <c r="K802" s="5">
        <v>38800000</v>
      </c>
      <c r="L802" s="3">
        <v>0.97916666666666663</v>
      </c>
    </row>
    <row r="803" spans="1:12" x14ac:dyDescent="0.25">
      <c r="A803" t="s">
        <v>504</v>
      </c>
      <c r="B803" s="2">
        <v>43539</v>
      </c>
      <c r="C803" t="s">
        <v>21</v>
      </c>
      <c r="D803" t="s">
        <v>1636</v>
      </c>
      <c r="E803" s="5">
        <v>35600000</v>
      </c>
      <c r="F803" s="5">
        <v>38600000</v>
      </c>
      <c r="G803" s="5">
        <v>3000000</v>
      </c>
      <c r="H803" s="5">
        <v>3560000</v>
      </c>
      <c r="I803" s="5">
        <v>3860000</v>
      </c>
      <c r="J803" s="5">
        <v>36100000</v>
      </c>
      <c r="K803" s="5">
        <v>39100000</v>
      </c>
      <c r="L803" s="3">
        <v>0.97916666666666663</v>
      </c>
    </row>
    <row r="804" spans="1:12" x14ac:dyDescent="0.25">
      <c r="A804" t="s">
        <v>505</v>
      </c>
      <c r="B804" s="2">
        <v>43542</v>
      </c>
      <c r="C804" t="s">
        <v>16</v>
      </c>
      <c r="D804" t="s">
        <v>1636</v>
      </c>
      <c r="E804" s="5">
        <v>35600000</v>
      </c>
      <c r="F804" s="5">
        <v>38600000</v>
      </c>
      <c r="G804" s="5">
        <v>3000000</v>
      </c>
      <c r="H804" s="5">
        <v>3560000</v>
      </c>
      <c r="I804" s="5">
        <v>3860000</v>
      </c>
      <c r="J804" s="5">
        <v>36100000</v>
      </c>
      <c r="K804" s="5">
        <v>39100000</v>
      </c>
      <c r="L804" s="3">
        <v>0.97916666666666663</v>
      </c>
    </row>
    <row r="805" spans="1:12" x14ac:dyDescent="0.25">
      <c r="A805" t="s">
        <v>506</v>
      </c>
      <c r="B805" s="2">
        <v>43543</v>
      </c>
      <c r="C805" t="s">
        <v>18</v>
      </c>
      <c r="D805" t="s">
        <v>1636</v>
      </c>
      <c r="E805" s="5">
        <v>35700000</v>
      </c>
      <c r="F805" s="5">
        <v>38700000</v>
      </c>
      <c r="G805" s="5">
        <v>3000000</v>
      </c>
      <c r="H805" s="5">
        <v>3570000</v>
      </c>
      <c r="I805" s="5">
        <v>3870000</v>
      </c>
      <c r="J805" s="5">
        <v>36200000</v>
      </c>
      <c r="K805" s="5">
        <v>39200000</v>
      </c>
      <c r="L805" s="3">
        <v>0.97916666666666663</v>
      </c>
    </row>
    <row r="806" spans="1:12" x14ac:dyDescent="0.25">
      <c r="A806" t="s">
        <v>507</v>
      </c>
      <c r="B806" s="2">
        <v>43544</v>
      </c>
      <c r="C806" t="s">
        <v>19</v>
      </c>
      <c r="D806" t="s">
        <v>1636</v>
      </c>
      <c r="E806" s="5">
        <v>35600000</v>
      </c>
      <c r="F806" s="5">
        <v>38600000</v>
      </c>
      <c r="G806" s="5">
        <v>3000000</v>
      </c>
      <c r="H806" s="5">
        <v>3560000</v>
      </c>
      <c r="I806" s="5">
        <v>3860000</v>
      </c>
      <c r="J806" s="5">
        <v>36100000</v>
      </c>
      <c r="K806" s="5">
        <v>39100000</v>
      </c>
      <c r="L806" s="3">
        <v>0.97916666666666663</v>
      </c>
    </row>
    <row r="807" spans="1:12" x14ac:dyDescent="0.25">
      <c r="A807" t="s">
        <v>508</v>
      </c>
      <c r="B807" s="2">
        <v>43545</v>
      </c>
      <c r="C807" t="s">
        <v>20</v>
      </c>
      <c r="D807" t="s">
        <v>1636</v>
      </c>
      <c r="E807" s="5">
        <v>35700000</v>
      </c>
      <c r="F807" s="5">
        <v>38700000</v>
      </c>
      <c r="G807" s="5">
        <v>3000000</v>
      </c>
      <c r="H807" s="5">
        <v>3570000</v>
      </c>
      <c r="I807" s="5">
        <v>3870000</v>
      </c>
      <c r="J807" s="5">
        <v>36200000</v>
      </c>
      <c r="K807" s="5">
        <v>39200000</v>
      </c>
      <c r="L807" s="3">
        <v>0.97916666666666663</v>
      </c>
    </row>
    <row r="808" spans="1:12" x14ac:dyDescent="0.25">
      <c r="A808" t="s">
        <v>509</v>
      </c>
      <c r="B808" s="2">
        <v>43546</v>
      </c>
      <c r="C808" t="s">
        <v>21</v>
      </c>
      <c r="D808" t="s">
        <v>1636</v>
      </c>
      <c r="E808" s="5">
        <v>35900000</v>
      </c>
      <c r="F808" s="5">
        <v>38900000</v>
      </c>
      <c r="G808" s="5">
        <v>3000000</v>
      </c>
      <c r="H808" s="5">
        <v>3590000</v>
      </c>
      <c r="I808" s="5">
        <v>3890000</v>
      </c>
      <c r="J808" s="5">
        <v>36400000</v>
      </c>
      <c r="K808" s="5">
        <v>39400000</v>
      </c>
      <c r="L808" s="3">
        <v>0.97916666666666663</v>
      </c>
    </row>
    <row r="809" spans="1:12" x14ac:dyDescent="0.25">
      <c r="A809" t="s">
        <v>510</v>
      </c>
      <c r="B809" s="2">
        <v>43549</v>
      </c>
      <c r="C809" t="s">
        <v>16</v>
      </c>
      <c r="D809" t="s">
        <v>1636</v>
      </c>
      <c r="E809" s="5">
        <v>36200000</v>
      </c>
      <c r="F809" s="5">
        <v>39200000</v>
      </c>
      <c r="G809" s="5">
        <v>3000000</v>
      </c>
      <c r="H809" s="5">
        <v>3620000</v>
      </c>
      <c r="I809" s="5">
        <v>3920000</v>
      </c>
      <c r="J809" s="5">
        <v>36700000</v>
      </c>
      <c r="K809" s="5">
        <v>39700000</v>
      </c>
      <c r="L809" s="3">
        <v>0.97916666666666663</v>
      </c>
    </row>
    <row r="810" spans="1:12" x14ac:dyDescent="0.25">
      <c r="A810" t="s">
        <v>511</v>
      </c>
      <c r="B810" s="2">
        <v>43550</v>
      </c>
      <c r="C810" t="s">
        <v>18</v>
      </c>
      <c r="D810" t="s">
        <v>1636</v>
      </c>
      <c r="E810" s="5">
        <v>36000000</v>
      </c>
      <c r="F810" s="5">
        <v>39000000</v>
      </c>
      <c r="G810" s="5">
        <v>3000000</v>
      </c>
      <c r="H810" s="5">
        <v>3600000</v>
      </c>
      <c r="I810" s="5">
        <v>3900000</v>
      </c>
      <c r="J810" s="5">
        <v>36500000</v>
      </c>
      <c r="K810" s="5">
        <v>39500000</v>
      </c>
      <c r="L810" s="3">
        <v>0.97916666666666663</v>
      </c>
    </row>
    <row r="811" spans="1:12" x14ac:dyDescent="0.25">
      <c r="A811" t="s">
        <v>512</v>
      </c>
      <c r="B811" s="2">
        <v>43551</v>
      </c>
      <c r="C811" t="s">
        <v>19</v>
      </c>
      <c r="D811" t="s">
        <v>1636</v>
      </c>
      <c r="E811" s="5">
        <v>35800000</v>
      </c>
      <c r="F811" s="5">
        <v>38800000</v>
      </c>
      <c r="G811" s="5">
        <v>3000000</v>
      </c>
      <c r="H811" s="5">
        <v>3580000</v>
      </c>
      <c r="I811" s="5">
        <v>3880000</v>
      </c>
      <c r="J811" s="5">
        <v>36300000</v>
      </c>
      <c r="K811" s="5">
        <v>39300000</v>
      </c>
      <c r="L811" s="3">
        <v>0.97916666666666663</v>
      </c>
    </row>
    <row r="812" spans="1:12" x14ac:dyDescent="0.25">
      <c r="A812" t="s">
        <v>513</v>
      </c>
      <c r="B812" s="2">
        <v>43552</v>
      </c>
      <c r="C812" t="s">
        <v>20</v>
      </c>
      <c r="D812" t="s">
        <v>1636</v>
      </c>
      <c r="E812" s="5">
        <v>35200000</v>
      </c>
      <c r="F812" s="5">
        <v>38200000</v>
      </c>
      <c r="G812" s="5">
        <v>3000000</v>
      </c>
      <c r="H812" s="5">
        <v>3520000</v>
      </c>
      <c r="I812" s="5">
        <v>3820000</v>
      </c>
      <c r="J812" s="5">
        <v>35700000</v>
      </c>
      <c r="K812" s="5">
        <v>38700000</v>
      </c>
      <c r="L812" s="3">
        <v>0.97916666666666663</v>
      </c>
    </row>
    <row r="813" spans="1:12" x14ac:dyDescent="0.25">
      <c r="A813" t="s">
        <v>514</v>
      </c>
      <c r="B813" s="2">
        <v>43553</v>
      </c>
      <c r="C813" t="s">
        <v>21</v>
      </c>
      <c r="D813" t="s">
        <v>1636</v>
      </c>
      <c r="E813" s="5">
        <v>35300000</v>
      </c>
      <c r="F813" s="5">
        <v>38300000</v>
      </c>
      <c r="G813" s="5">
        <v>3000000</v>
      </c>
      <c r="H813" s="5">
        <v>3530000</v>
      </c>
      <c r="I813" s="5">
        <v>3830000</v>
      </c>
      <c r="J813" s="5">
        <v>35800000</v>
      </c>
      <c r="K813" s="5">
        <v>38800000</v>
      </c>
      <c r="L813" s="3">
        <v>0.97916666666666663</v>
      </c>
    </row>
    <row r="814" spans="1:12" x14ac:dyDescent="0.25">
      <c r="A814" s="2">
        <v>43469</v>
      </c>
      <c r="B814" s="2">
        <v>43556</v>
      </c>
      <c r="C814" t="s">
        <v>16</v>
      </c>
      <c r="D814" t="s">
        <v>1636</v>
      </c>
      <c r="E814" s="5">
        <v>35200000</v>
      </c>
      <c r="F814" s="5">
        <v>38200000</v>
      </c>
      <c r="G814" s="5">
        <v>3000000</v>
      </c>
      <c r="H814" s="5">
        <v>3520000</v>
      </c>
      <c r="I814" s="5">
        <v>3820000</v>
      </c>
      <c r="J814" s="5">
        <v>35700000</v>
      </c>
      <c r="K814" s="5">
        <v>38700000</v>
      </c>
      <c r="L814" s="3">
        <v>0.97916666666666663</v>
      </c>
    </row>
    <row r="815" spans="1:12" x14ac:dyDescent="0.25">
      <c r="A815" s="2">
        <v>43500</v>
      </c>
      <c r="B815" s="2">
        <v>43557</v>
      </c>
      <c r="C815" t="s">
        <v>18</v>
      </c>
      <c r="D815" t="s">
        <v>1636</v>
      </c>
      <c r="E815" s="5">
        <v>35200000</v>
      </c>
      <c r="F815" s="5">
        <v>38200000</v>
      </c>
      <c r="G815" s="5">
        <v>3000000</v>
      </c>
      <c r="H815" s="5">
        <v>3520000</v>
      </c>
      <c r="I815" s="5">
        <v>3820000</v>
      </c>
      <c r="J815" s="5">
        <v>35700000</v>
      </c>
      <c r="K815" s="5">
        <v>38700000</v>
      </c>
      <c r="L815" s="3">
        <v>0.97916666666666663</v>
      </c>
    </row>
    <row r="816" spans="1:12" x14ac:dyDescent="0.25">
      <c r="A816" s="2">
        <v>43528</v>
      </c>
      <c r="B816" s="2">
        <v>43558</v>
      </c>
      <c r="C816" t="s">
        <v>19</v>
      </c>
      <c r="D816" t="s">
        <v>1636</v>
      </c>
      <c r="E816" s="5">
        <v>35200000</v>
      </c>
      <c r="F816" s="5">
        <v>38200000</v>
      </c>
      <c r="G816" s="5">
        <v>3000000</v>
      </c>
      <c r="H816" s="5">
        <v>3520000</v>
      </c>
      <c r="I816" s="5">
        <v>3820000</v>
      </c>
      <c r="J816" s="5">
        <v>35700000</v>
      </c>
      <c r="K816" s="5">
        <v>38700000</v>
      </c>
      <c r="L816" s="3">
        <v>0.97916666666666663</v>
      </c>
    </row>
    <row r="817" spans="1:12" x14ac:dyDescent="0.25">
      <c r="A817" s="2">
        <v>43559</v>
      </c>
      <c r="B817" s="2">
        <v>43559</v>
      </c>
      <c r="C817" t="s">
        <v>20</v>
      </c>
      <c r="D817" t="s">
        <v>1636</v>
      </c>
      <c r="E817" s="5">
        <v>35200000</v>
      </c>
      <c r="F817" s="5">
        <v>38200000</v>
      </c>
      <c r="G817" s="5">
        <v>3000000</v>
      </c>
      <c r="H817" s="5">
        <v>3520000</v>
      </c>
      <c r="I817" s="5">
        <v>3820000</v>
      </c>
      <c r="J817" s="5">
        <v>35700000</v>
      </c>
      <c r="K817" s="5">
        <v>38700000</v>
      </c>
      <c r="L817" s="3">
        <v>0.97916666666666663</v>
      </c>
    </row>
    <row r="818" spans="1:12" x14ac:dyDescent="0.25">
      <c r="A818" s="2">
        <v>43589</v>
      </c>
      <c r="B818" s="2">
        <v>43560</v>
      </c>
      <c r="C818" t="s">
        <v>21</v>
      </c>
      <c r="D818" t="s">
        <v>1636</v>
      </c>
      <c r="E818" s="5">
        <v>35300000</v>
      </c>
      <c r="F818" s="5">
        <v>38300000</v>
      </c>
      <c r="G818" s="5">
        <v>3000000</v>
      </c>
      <c r="H818" s="5">
        <v>3530000</v>
      </c>
      <c r="I818" s="5">
        <v>3830000</v>
      </c>
      <c r="J818" s="5">
        <v>35800000</v>
      </c>
      <c r="K818" s="5">
        <v>38800000</v>
      </c>
      <c r="L818" s="3">
        <v>0.97916666666666663</v>
      </c>
    </row>
    <row r="819" spans="1:12" x14ac:dyDescent="0.25">
      <c r="A819" s="2">
        <v>43681</v>
      </c>
      <c r="B819" s="2">
        <v>43563</v>
      </c>
      <c r="C819" t="s">
        <v>16</v>
      </c>
      <c r="D819" t="s">
        <v>1636</v>
      </c>
      <c r="E819" s="5">
        <v>35500000</v>
      </c>
      <c r="F819" s="5">
        <v>38500000</v>
      </c>
      <c r="G819" s="5">
        <v>3000000</v>
      </c>
      <c r="H819" s="5">
        <v>3550000</v>
      </c>
      <c r="I819" s="5">
        <v>3850000</v>
      </c>
      <c r="J819" s="5">
        <v>36000000</v>
      </c>
      <c r="K819" s="5">
        <v>39000000</v>
      </c>
      <c r="L819" s="3">
        <v>0.97916666666666663</v>
      </c>
    </row>
    <row r="820" spans="1:12" x14ac:dyDescent="0.25">
      <c r="A820" s="2">
        <v>43712</v>
      </c>
      <c r="B820" s="2">
        <v>43564</v>
      </c>
      <c r="C820" t="s">
        <v>18</v>
      </c>
      <c r="D820" t="s">
        <v>1636</v>
      </c>
      <c r="E820" s="5">
        <v>35600000</v>
      </c>
      <c r="F820" s="5">
        <v>38600000</v>
      </c>
      <c r="G820" s="5">
        <v>3000000</v>
      </c>
      <c r="H820" s="5">
        <v>3560000</v>
      </c>
      <c r="I820" s="5">
        <v>3860000</v>
      </c>
      <c r="J820" s="5">
        <v>36100000</v>
      </c>
      <c r="K820" s="5">
        <v>39100000</v>
      </c>
      <c r="L820" s="3">
        <v>0.97916666666666663</v>
      </c>
    </row>
    <row r="821" spans="1:12" x14ac:dyDescent="0.25">
      <c r="A821" s="2">
        <v>43742</v>
      </c>
      <c r="B821" s="2">
        <v>43565</v>
      </c>
      <c r="C821" t="s">
        <v>19</v>
      </c>
      <c r="D821" t="s">
        <v>1636</v>
      </c>
      <c r="E821" s="5">
        <v>35800000</v>
      </c>
      <c r="F821" s="5">
        <v>38800000</v>
      </c>
      <c r="G821" s="5">
        <v>3000000</v>
      </c>
      <c r="H821" s="5">
        <v>3580000</v>
      </c>
      <c r="I821" s="5">
        <v>3880000</v>
      </c>
      <c r="J821" s="5">
        <v>36300000</v>
      </c>
      <c r="K821" s="5">
        <v>39300000</v>
      </c>
      <c r="L821" s="3">
        <v>0.97916666666666663</v>
      </c>
    </row>
    <row r="822" spans="1:12" x14ac:dyDescent="0.25">
      <c r="A822" s="2">
        <v>43773</v>
      </c>
      <c r="B822" s="2">
        <v>43566</v>
      </c>
      <c r="C822" t="s">
        <v>20</v>
      </c>
      <c r="D822" t="s">
        <v>1636</v>
      </c>
      <c r="E822" s="5">
        <v>35200000</v>
      </c>
      <c r="F822" s="5">
        <v>38200000</v>
      </c>
      <c r="G822" s="5">
        <v>3000000</v>
      </c>
      <c r="H822" s="5">
        <v>3520000</v>
      </c>
      <c r="I822" s="5">
        <v>3820000</v>
      </c>
      <c r="J822" s="5">
        <v>35700000</v>
      </c>
      <c r="K822" s="5">
        <v>38700000</v>
      </c>
      <c r="L822" s="3">
        <v>0.97916666666666663</v>
      </c>
    </row>
    <row r="823" spans="1:12" x14ac:dyDescent="0.25">
      <c r="A823" s="2">
        <v>43803</v>
      </c>
      <c r="B823" s="2">
        <v>43567</v>
      </c>
      <c r="C823" t="s">
        <v>21</v>
      </c>
      <c r="D823" t="s">
        <v>1636</v>
      </c>
      <c r="E823" s="5">
        <v>35300000</v>
      </c>
      <c r="F823" s="5">
        <v>38300000</v>
      </c>
      <c r="G823" s="5">
        <v>3000000</v>
      </c>
      <c r="H823" s="5">
        <v>3530000</v>
      </c>
      <c r="I823" s="5">
        <v>3830000</v>
      </c>
      <c r="J823" s="5">
        <v>35800000</v>
      </c>
      <c r="K823" s="5">
        <v>38800000</v>
      </c>
      <c r="L823" s="3">
        <v>0.97916666666666663</v>
      </c>
    </row>
    <row r="824" spans="1:12" x14ac:dyDescent="0.25">
      <c r="A824" t="s">
        <v>515</v>
      </c>
      <c r="B824" s="2">
        <v>43570</v>
      </c>
      <c r="C824" t="s">
        <v>16</v>
      </c>
      <c r="D824" t="s">
        <v>1636</v>
      </c>
      <c r="E824" s="5">
        <v>35200000</v>
      </c>
      <c r="F824" s="5">
        <v>38200000</v>
      </c>
      <c r="G824" s="5">
        <v>3000000</v>
      </c>
      <c r="H824" s="5">
        <v>3520000</v>
      </c>
      <c r="I824" s="5">
        <v>3820000</v>
      </c>
      <c r="J824" s="5">
        <v>35700000</v>
      </c>
      <c r="K824" s="5">
        <v>38700000</v>
      </c>
      <c r="L824" s="3">
        <v>0.97916666666666663</v>
      </c>
    </row>
    <row r="825" spans="1:12" x14ac:dyDescent="0.25">
      <c r="A825" t="s">
        <v>516</v>
      </c>
      <c r="B825" s="2">
        <v>43571</v>
      </c>
      <c r="C825" t="s">
        <v>18</v>
      </c>
      <c r="D825" t="s">
        <v>1636</v>
      </c>
      <c r="E825" s="5">
        <v>34700000</v>
      </c>
      <c r="F825" s="5">
        <v>37700000</v>
      </c>
      <c r="G825" s="5">
        <v>3000000</v>
      </c>
      <c r="H825" s="5">
        <v>3470000</v>
      </c>
      <c r="I825" s="5">
        <v>3770000</v>
      </c>
      <c r="J825" s="5">
        <v>35200000</v>
      </c>
      <c r="K825" s="5">
        <v>38200000</v>
      </c>
      <c r="L825" s="3">
        <v>0.97916666666666663</v>
      </c>
    </row>
    <row r="826" spans="1:12" x14ac:dyDescent="0.25">
      <c r="A826" t="s">
        <v>517</v>
      </c>
      <c r="B826" s="2">
        <v>43572</v>
      </c>
      <c r="C826" t="s">
        <v>19</v>
      </c>
      <c r="D826" t="s">
        <v>1636</v>
      </c>
      <c r="E826" s="5">
        <v>34700000</v>
      </c>
      <c r="F826" s="5">
        <v>37700000</v>
      </c>
      <c r="G826" s="5">
        <v>3000000</v>
      </c>
      <c r="H826" s="5">
        <v>3470000</v>
      </c>
      <c r="I826" s="5">
        <v>3770000</v>
      </c>
      <c r="J826" s="5">
        <v>35200000</v>
      </c>
      <c r="K826" s="5">
        <v>38200000</v>
      </c>
      <c r="L826" s="3">
        <v>0.97916666666666663</v>
      </c>
    </row>
    <row r="827" spans="1:12" x14ac:dyDescent="0.25">
      <c r="A827" t="s">
        <v>518</v>
      </c>
      <c r="B827" s="2">
        <v>43573</v>
      </c>
      <c r="C827" t="s">
        <v>20</v>
      </c>
      <c r="D827" t="s">
        <v>1636</v>
      </c>
      <c r="E827" s="5">
        <v>34700000</v>
      </c>
      <c r="F827" s="5">
        <v>37700000</v>
      </c>
      <c r="G827" s="5">
        <v>3000000</v>
      </c>
      <c r="H827" s="5">
        <v>3470000</v>
      </c>
      <c r="I827" s="5">
        <v>3770000</v>
      </c>
      <c r="J827" s="5">
        <v>35200000</v>
      </c>
      <c r="K827" s="5">
        <v>38200000</v>
      </c>
      <c r="L827" s="3">
        <v>0.97916666666666663</v>
      </c>
    </row>
    <row r="828" spans="1:12" x14ac:dyDescent="0.25">
      <c r="A828" t="s">
        <v>519</v>
      </c>
      <c r="B828" s="2">
        <v>43577</v>
      </c>
      <c r="C828" t="s">
        <v>16</v>
      </c>
      <c r="D828" t="s">
        <v>1636</v>
      </c>
      <c r="E828" s="5">
        <v>34800000</v>
      </c>
      <c r="F828" s="5">
        <v>37800000</v>
      </c>
      <c r="G828" s="5">
        <v>3000000</v>
      </c>
      <c r="H828" s="5">
        <v>3480000</v>
      </c>
      <c r="I828" s="5">
        <v>3780000</v>
      </c>
      <c r="J828" s="5">
        <v>35300000</v>
      </c>
      <c r="K828" s="5">
        <v>38300000</v>
      </c>
      <c r="L828" s="3">
        <v>0.97916666666666663</v>
      </c>
    </row>
    <row r="829" spans="1:12" x14ac:dyDescent="0.25">
      <c r="A829" t="s">
        <v>520</v>
      </c>
      <c r="B829" s="2">
        <v>43578</v>
      </c>
      <c r="C829" t="s">
        <v>18</v>
      </c>
      <c r="D829" t="s">
        <v>1636</v>
      </c>
      <c r="E829" s="5">
        <v>34600000</v>
      </c>
      <c r="F829" s="5">
        <v>37600000</v>
      </c>
      <c r="G829" s="5">
        <v>3000000</v>
      </c>
      <c r="H829" s="5">
        <v>3460000</v>
      </c>
      <c r="I829" s="5">
        <v>3760000</v>
      </c>
      <c r="J829" s="5">
        <v>35100000</v>
      </c>
      <c r="K829" s="5">
        <v>38100000</v>
      </c>
      <c r="L829" s="3">
        <v>0.97916666666666663</v>
      </c>
    </row>
    <row r="830" spans="1:12" x14ac:dyDescent="0.25">
      <c r="A830" t="s">
        <v>521</v>
      </c>
      <c r="B830" s="2">
        <v>43579</v>
      </c>
      <c r="C830" t="s">
        <v>19</v>
      </c>
      <c r="D830" t="s">
        <v>1636</v>
      </c>
      <c r="E830" s="5">
        <v>34800000</v>
      </c>
      <c r="F830" s="5">
        <v>37800000</v>
      </c>
      <c r="G830" s="5">
        <v>3000000</v>
      </c>
      <c r="H830" s="5">
        <v>3480000</v>
      </c>
      <c r="I830" s="5">
        <v>3780000</v>
      </c>
      <c r="J830" s="5">
        <v>35300000</v>
      </c>
      <c r="K830" s="5">
        <v>38300000</v>
      </c>
      <c r="L830" s="3">
        <v>0.97916666666666663</v>
      </c>
    </row>
    <row r="831" spans="1:12" x14ac:dyDescent="0.25">
      <c r="A831" t="s">
        <v>522</v>
      </c>
      <c r="B831" s="2">
        <v>43580</v>
      </c>
      <c r="C831" t="s">
        <v>20</v>
      </c>
      <c r="D831" t="s">
        <v>1636</v>
      </c>
      <c r="E831" s="5">
        <v>34800000</v>
      </c>
      <c r="F831" s="5">
        <v>37800000</v>
      </c>
      <c r="G831" s="5">
        <v>3000000</v>
      </c>
      <c r="H831" s="5">
        <v>3480000</v>
      </c>
      <c r="I831" s="5">
        <v>3780000</v>
      </c>
      <c r="J831" s="5">
        <v>35300000</v>
      </c>
      <c r="K831" s="5">
        <v>38300000</v>
      </c>
      <c r="L831" s="3">
        <v>0.97916666666666663</v>
      </c>
    </row>
    <row r="832" spans="1:12" x14ac:dyDescent="0.25">
      <c r="A832" t="s">
        <v>523</v>
      </c>
      <c r="B832" s="2">
        <v>43581</v>
      </c>
      <c r="C832" t="s">
        <v>21</v>
      </c>
      <c r="D832" t="s">
        <v>1636</v>
      </c>
      <c r="E832" s="5">
        <v>35100000</v>
      </c>
      <c r="F832" s="5">
        <v>38100000</v>
      </c>
      <c r="G832" s="5">
        <v>3000000</v>
      </c>
      <c r="H832" s="5">
        <v>3510000</v>
      </c>
      <c r="I832" s="5">
        <v>3810000</v>
      </c>
      <c r="J832" s="5">
        <v>35600000</v>
      </c>
      <c r="K832" s="5">
        <v>38600000</v>
      </c>
      <c r="L832" s="3">
        <v>0.97916666666666663</v>
      </c>
    </row>
    <row r="833" spans="1:12" x14ac:dyDescent="0.25">
      <c r="A833" t="s">
        <v>524</v>
      </c>
      <c r="B833" s="2">
        <v>43584</v>
      </c>
      <c r="C833" t="s">
        <v>16</v>
      </c>
      <c r="D833" t="s">
        <v>1636</v>
      </c>
      <c r="E833" s="5">
        <v>34900000</v>
      </c>
      <c r="F833" s="5">
        <v>37900000</v>
      </c>
      <c r="G833" s="5">
        <v>3000000</v>
      </c>
      <c r="H833" s="5">
        <v>3490000</v>
      </c>
      <c r="I833" s="5">
        <v>3790000</v>
      </c>
      <c r="J833" s="5">
        <v>35400000</v>
      </c>
      <c r="K833" s="5">
        <v>38400000</v>
      </c>
      <c r="L833" s="3">
        <v>0.97916666666666663</v>
      </c>
    </row>
    <row r="834" spans="1:12" x14ac:dyDescent="0.25">
      <c r="A834" t="s">
        <v>525</v>
      </c>
      <c r="B834" s="2">
        <v>43585</v>
      </c>
      <c r="C834" t="s">
        <v>18</v>
      </c>
      <c r="D834" t="s">
        <v>1636</v>
      </c>
      <c r="E834" s="5">
        <v>35000000</v>
      </c>
      <c r="F834" s="5">
        <v>38000000</v>
      </c>
      <c r="G834" s="5">
        <v>3000000</v>
      </c>
      <c r="H834" s="5">
        <v>3500000</v>
      </c>
      <c r="I834" s="5">
        <v>3800000</v>
      </c>
      <c r="J834" s="5">
        <v>35500000</v>
      </c>
      <c r="K834" s="5">
        <v>38500000</v>
      </c>
      <c r="L834" s="3">
        <v>0.97916666666666663</v>
      </c>
    </row>
    <row r="835" spans="1:12" x14ac:dyDescent="0.25">
      <c r="A835" s="2">
        <v>43470</v>
      </c>
      <c r="B835" s="2">
        <v>43586</v>
      </c>
      <c r="C835" t="s">
        <v>19</v>
      </c>
      <c r="D835" t="s">
        <v>1636</v>
      </c>
      <c r="E835" s="5">
        <v>35000000</v>
      </c>
      <c r="F835" s="5">
        <v>38000000</v>
      </c>
      <c r="G835" s="5">
        <v>3000000</v>
      </c>
      <c r="H835" s="5">
        <v>3500000</v>
      </c>
      <c r="I835" s="5">
        <v>3800000</v>
      </c>
      <c r="J835" s="5">
        <v>35500000</v>
      </c>
      <c r="K835" s="5">
        <v>38500000</v>
      </c>
      <c r="L835" s="3">
        <v>0.97916666666666663</v>
      </c>
    </row>
    <row r="836" spans="1:12" x14ac:dyDescent="0.25">
      <c r="A836" s="2">
        <v>43501</v>
      </c>
      <c r="B836" s="2">
        <v>43587</v>
      </c>
      <c r="C836" t="s">
        <v>20</v>
      </c>
      <c r="D836" t="s">
        <v>1636</v>
      </c>
      <c r="E836" s="5">
        <v>34600000</v>
      </c>
      <c r="F836" s="5">
        <v>37600000</v>
      </c>
      <c r="G836" s="5">
        <v>3000000</v>
      </c>
      <c r="H836" s="5">
        <v>3460000</v>
      </c>
      <c r="I836" s="5">
        <v>3760000</v>
      </c>
      <c r="J836" s="5">
        <v>35100000</v>
      </c>
      <c r="K836" s="5">
        <v>38100000</v>
      </c>
      <c r="L836" s="3">
        <v>0.97916666666666663</v>
      </c>
    </row>
    <row r="837" spans="1:12" x14ac:dyDescent="0.25">
      <c r="A837" s="2">
        <v>43529</v>
      </c>
      <c r="B837" s="2">
        <v>43588</v>
      </c>
      <c r="C837" t="s">
        <v>21</v>
      </c>
      <c r="D837" t="s">
        <v>1636</v>
      </c>
      <c r="E837" s="5">
        <v>34900000</v>
      </c>
      <c r="F837" s="5">
        <v>37900000</v>
      </c>
      <c r="G837" s="5">
        <v>3000000</v>
      </c>
      <c r="H837" s="5">
        <v>3490000</v>
      </c>
      <c r="I837" s="5">
        <v>3790000</v>
      </c>
      <c r="J837" s="5">
        <v>35400000</v>
      </c>
      <c r="K837" s="5">
        <v>38400000</v>
      </c>
      <c r="L837" s="3">
        <v>0.97916666666666663</v>
      </c>
    </row>
    <row r="838" spans="1:12" x14ac:dyDescent="0.25">
      <c r="A838" s="2">
        <v>43621</v>
      </c>
      <c r="B838" s="2">
        <v>43591</v>
      </c>
      <c r="C838" t="s">
        <v>16</v>
      </c>
      <c r="D838" t="s">
        <v>1636</v>
      </c>
      <c r="E838" s="5">
        <v>35000000</v>
      </c>
      <c r="F838" s="5">
        <v>38000000</v>
      </c>
      <c r="G838" s="5">
        <v>3000000</v>
      </c>
      <c r="H838" s="5">
        <v>3500000</v>
      </c>
      <c r="I838" s="5">
        <v>3800000</v>
      </c>
      <c r="J838" s="5">
        <v>35500000</v>
      </c>
      <c r="K838" s="5">
        <v>38500000</v>
      </c>
      <c r="L838" s="3">
        <v>0.97916666666666663</v>
      </c>
    </row>
    <row r="839" spans="1:12" x14ac:dyDescent="0.25">
      <c r="A839" s="2">
        <v>43651</v>
      </c>
      <c r="B839" s="2">
        <v>43592</v>
      </c>
      <c r="C839" t="s">
        <v>18</v>
      </c>
      <c r="D839" t="s">
        <v>1636</v>
      </c>
      <c r="E839" s="5">
        <v>35100000</v>
      </c>
      <c r="F839" s="5">
        <v>38100000</v>
      </c>
      <c r="G839" s="5">
        <v>3000000</v>
      </c>
      <c r="H839" s="5">
        <v>3510000</v>
      </c>
      <c r="I839" s="5">
        <v>3810000</v>
      </c>
      <c r="J839" s="5">
        <v>35600000</v>
      </c>
      <c r="K839" s="5">
        <v>38600000</v>
      </c>
      <c r="L839" s="3">
        <v>0.97916666666666663</v>
      </c>
    </row>
    <row r="840" spans="1:12" x14ac:dyDescent="0.25">
      <c r="A840" s="2">
        <v>43682</v>
      </c>
      <c r="B840" s="2">
        <v>43593</v>
      </c>
      <c r="C840" t="s">
        <v>19</v>
      </c>
      <c r="D840" t="s">
        <v>1636</v>
      </c>
      <c r="E840" s="5">
        <v>34900000</v>
      </c>
      <c r="F840" s="5">
        <v>37900000</v>
      </c>
      <c r="G840" s="5">
        <v>3000000</v>
      </c>
      <c r="H840" s="5">
        <v>3490000</v>
      </c>
      <c r="I840" s="5">
        <v>3790000</v>
      </c>
      <c r="J840" s="5">
        <v>35400000</v>
      </c>
      <c r="K840" s="5">
        <v>38400000</v>
      </c>
      <c r="L840" s="3">
        <v>0.97916666666666663</v>
      </c>
    </row>
    <row r="841" spans="1:12" x14ac:dyDescent="0.25">
      <c r="A841" s="2">
        <v>43713</v>
      </c>
      <c r="B841" s="2">
        <v>43594</v>
      </c>
      <c r="C841" t="s">
        <v>20</v>
      </c>
      <c r="D841" t="s">
        <v>1636</v>
      </c>
      <c r="E841" s="5">
        <v>35100000</v>
      </c>
      <c r="F841" s="5">
        <v>38100000</v>
      </c>
      <c r="G841" s="5">
        <v>3000000</v>
      </c>
      <c r="H841" s="5">
        <v>3510000</v>
      </c>
      <c r="I841" s="5">
        <v>3810000</v>
      </c>
      <c r="J841" s="5">
        <v>35600000</v>
      </c>
      <c r="K841" s="5">
        <v>38600000</v>
      </c>
      <c r="L841" s="3">
        <v>0.97916666666666663</v>
      </c>
    </row>
    <row r="842" spans="1:12" x14ac:dyDescent="0.25">
      <c r="A842" s="2">
        <v>43743</v>
      </c>
      <c r="B842" s="2">
        <v>43595</v>
      </c>
      <c r="C842" t="s">
        <v>21</v>
      </c>
      <c r="D842" t="s">
        <v>1636</v>
      </c>
      <c r="E842" s="5">
        <v>35100000</v>
      </c>
      <c r="F842" s="5">
        <v>38100000</v>
      </c>
      <c r="G842" s="5">
        <v>3000000</v>
      </c>
      <c r="H842" s="5">
        <v>3510000</v>
      </c>
      <c r="I842" s="5">
        <v>3810000</v>
      </c>
      <c r="J842" s="5">
        <v>35600000</v>
      </c>
      <c r="K842" s="5">
        <v>38600000</v>
      </c>
      <c r="L842" s="3">
        <v>0.97916666666666663</v>
      </c>
    </row>
    <row r="843" spans="1:12" x14ac:dyDescent="0.25">
      <c r="A843" t="s">
        <v>526</v>
      </c>
      <c r="B843" s="2">
        <v>43598</v>
      </c>
      <c r="C843" t="s">
        <v>16</v>
      </c>
      <c r="D843" t="s">
        <v>1636</v>
      </c>
      <c r="E843" s="5">
        <v>35500000</v>
      </c>
      <c r="F843" s="5">
        <v>38500000</v>
      </c>
      <c r="G843" s="5">
        <v>3000000</v>
      </c>
      <c r="H843" s="5">
        <v>3550000</v>
      </c>
      <c r="I843" s="5">
        <v>3850000</v>
      </c>
      <c r="J843" s="5">
        <v>36000000</v>
      </c>
      <c r="K843" s="5">
        <v>39000000</v>
      </c>
      <c r="L843" s="3">
        <v>0.97916666666666663</v>
      </c>
    </row>
    <row r="844" spans="1:12" x14ac:dyDescent="0.25">
      <c r="A844" t="s">
        <v>527</v>
      </c>
      <c r="B844" s="2">
        <v>43599</v>
      </c>
      <c r="C844" t="s">
        <v>18</v>
      </c>
      <c r="D844" t="s">
        <v>1636</v>
      </c>
      <c r="E844" s="5">
        <v>35400000</v>
      </c>
      <c r="F844" s="5">
        <v>38400000</v>
      </c>
      <c r="G844" s="5">
        <v>3000000</v>
      </c>
      <c r="H844" s="5">
        <v>3540000</v>
      </c>
      <c r="I844" s="5">
        <v>3840000</v>
      </c>
      <c r="J844" s="5">
        <v>35900000</v>
      </c>
      <c r="K844" s="5">
        <v>38900000</v>
      </c>
      <c r="L844" s="3">
        <v>0.97916666666666663</v>
      </c>
    </row>
    <row r="845" spans="1:12" x14ac:dyDescent="0.25">
      <c r="A845" t="s">
        <v>528</v>
      </c>
      <c r="B845" s="2">
        <v>43600</v>
      </c>
      <c r="C845" t="s">
        <v>19</v>
      </c>
      <c r="D845" t="s">
        <v>1636</v>
      </c>
      <c r="E845" s="5">
        <v>35400000</v>
      </c>
      <c r="F845" s="5">
        <v>38400000</v>
      </c>
      <c r="G845" s="5">
        <v>3000000</v>
      </c>
      <c r="H845" s="5">
        <v>3540000</v>
      </c>
      <c r="I845" s="5">
        <v>3840000</v>
      </c>
      <c r="J845" s="5">
        <v>35900000</v>
      </c>
      <c r="K845" s="5">
        <v>38900000</v>
      </c>
      <c r="L845" s="3">
        <v>0.97916666666666663</v>
      </c>
    </row>
    <row r="846" spans="1:12" x14ac:dyDescent="0.25">
      <c r="A846" t="s">
        <v>529</v>
      </c>
      <c r="B846" s="2">
        <v>43601</v>
      </c>
      <c r="C846" t="s">
        <v>20</v>
      </c>
      <c r="D846" t="s">
        <v>1636</v>
      </c>
      <c r="E846" s="5">
        <v>35100000</v>
      </c>
      <c r="F846" s="5">
        <v>38100000</v>
      </c>
      <c r="G846" s="5">
        <v>3000000</v>
      </c>
      <c r="H846" s="5">
        <v>3510000</v>
      </c>
      <c r="I846" s="5">
        <v>3810000</v>
      </c>
      <c r="J846" s="5">
        <v>35600000</v>
      </c>
      <c r="K846" s="5">
        <v>38600000</v>
      </c>
      <c r="L846" s="3">
        <v>0.97916666666666663</v>
      </c>
    </row>
    <row r="847" spans="1:12" x14ac:dyDescent="0.25">
      <c r="A847" t="s">
        <v>530</v>
      </c>
      <c r="B847" s="2">
        <v>43602</v>
      </c>
      <c r="C847" t="s">
        <v>21</v>
      </c>
      <c r="D847" t="s">
        <v>1636</v>
      </c>
      <c r="E847" s="5">
        <v>34800000</v>
      </c>
      <c r="F847" s="5">
        <v>37800000</v>
      </c>
      <c r="G847" s="5">
        <v>3000000</v>
      </c>
      <c r="H847" s="5">
        <v>3480000</v>
      </c>
      <c r="I847" s="5">
        <v>3780000</v>
      </c>
      <c r="J847" s="5">
        <v>35300000</v>
      </c>
      <c r="K847" s="5">
        <v>38300000</v>
      </c>
      <c r="L847" s="3">
        <v>0.97916666666666663</v>
      </c>
    </row>
    <row r="848" spans="1:12" x14ac:dyDescent="0.25">
      <c r="A848" t="s">
        <v>531</v>
      </c>
      <c r="B848" s="2">
        <v>43605</v>
      </c>
      <c r="C848" t="s">
        <v>16</v>
      </c>
      <c r="D848" t="s">
        <v>1636</v>
      </c>
      <c r="E848" s="5">
        <v>34800000</v>
      </c>
      <c r="F848" s="5">
        <v>37800000</v>
      </c>
      <c r="G848" s="5">
        <v>3000000</v>
      </c>
      <c r="H848" s="5">
        <v>3480000</v>
      </c>
      <c r="I848" s="5">
        <v>3780000</v>
      </c>
      <c r="J848" s="5">
        <v>35300000</v>
      </c>
      <c r="K848" s="5">
        <v>38300000</v>
      </c>
      <c r="L848" s="3">
        <v>0.97916666666666663</v>
      </c>
    </row>
    <row r="849" spans="1:12" x14ac:dyDescent="0.25">
      <c r="A849" t="s">
        <v>532</v>
      </c>
      <c r="B849" s="2">
        <v>43606</v>
      </c>
      <c r="C849" t="s">
        <v>18</v>
      </c>
      <c r="D849" t="s">
        <v>1636</v>
      </c>
      <c r="E849" s="5">
        <v>34700000</v>
      </c>
      <c r="F849" s="5">
        <v>37700000</v>
      </c>
      <c r="G849" s="5">
        <v>3000000</v>
      </c>
      <c r="H849" s="5">
        <v>3470000</v>
      </c>
      <c r="I849" s="5">
        <v>3770000</v>
      </c>
      <c r="J849" s="5">
        <v>35200000</v>
      </c>
      <c r="K849" s="5">
        <v>38200000</v>
      </c>
      <c r="L849" s="3">
        <v>0.97916666666666663</v>
      </c>
    </row>
    <row r="850" spans="1:12" x14ac:dyDescent="0.25">
      <c r="A850" t="s">
        <v>533</v>
      </c>
      <c r="B850" s="2">
        <v>43607</v>
      </c>
      <c r="C850" t="s">
        <v>19</v>
      </c>
      <c r="D850" t="s">
        <v>1636</v>
      </c>
      <c r="E850" s="5">
        <v>34800000</v>
      </c>
      <c r="F850" s="5">
        <v>37800000</v>
      </c>
      <c r="G850" s="5">
        <v>3000000</v>
      </c>
      <c r="H850" s="5">
        <v>3480000</v>
      </c>
      <c r="I850" s="5">
        <v>3780000</v>
      </c>
      <c r="J850" s="5">
        <v>35300000</v>
      </c>
      <c r="K850" s="5">
        <v>38300000</v>
      </c>
      <c r="L850" s="3">
        <v>0.97916666666666663</v>
      </c>
    </row>
    <row r="851" spans="1:12" x14ac:dyDescent="0.25">
      <c r="A851" t="s">
        <v>534</v>
      </c>
      <c r="B851" s="2">
        <v>43608</v>
      </c>
      <c r="C851" t="s">
        <v>20</v>
      </c>
      <c r="D851" t="s">
        <v>1636</v>
      </c>
      <c r="E851" s="5">
        <v>35100000</v>
      </c>
      <c r="F851" s="5">
        <v>38100000</v>
      </c>
      <c r="G851" s="5">
        <v>3000000</v>
      </c>
      <c r="H851" s="5">
        <v>3510000</v>
      </c>
      <c r="I851" s="5">
        <v>3810000</v>
      </c>
      <c r="J851" s="5">
        <v>35600000</v>
      </c>
      <c r="K851" s="5">
        <v>38600000</v>
      </c>
      <c r="L851" s="3">
        <v>0.97916666666666663</v>
      </c>
    </row>
    <row r="852" spans="1:12" x14ac:dyDescent="0.25">
      <c r="A852" t="s">
        <v>535</v>
      </c>
      <c r="B852" s="2">
        <v>43609</v>
      </c>
      <c r="C852" t="s">
        <v>21</v>
      </c>
      <c r="D852" t="s">
        <v>1636</v>
      </c>
      <c r="E852" s="5">
        <v>35000000</v>
      </c>
      <c r="F852" s="5">
        <v>38000000</v>
      </c>
      <c r="G852" s="5">
        <v>3000000</v>
      </c>
      <c r="H852" s="5">
        <v>3500000</v>
      </c>
      <c r="I852" s="5">
        <v>3800000</v>
      </c>
      <c r="J852" s="5">
        <v>35500000</v>
      </c>
      <c r="K852" s="5">
        <v>38500000</v>
      </c>
      <c r="L852" s="3">
        <v>0.97916666666666663</v>
      </c>
    </row>
    <row r="853" spans="1:12" x14ac:dyDescent="0.25">
      <c r="A853" t="s">
        <v>536</v>
      </c>
      <c r="B853" s="2">
        <v>43613</v>
      </c>
      <c r="C853" t="s">
        <v>18</v>
      </c>
      <c r="D853" t="s">
        <v>1636</v>
      </c>
      <c r="E853" s="5">
        <v>34800000</v>
      </c>
      <c r="F853" s="5">
        <v>37800000</v>
      </c>
      <c r="G853" s="5">
        <v>3000000</v>
      </c>
      <c r="H853" s="5">
        <v>3480000</v>
      </c>
      <c r="I853" s="5">
        <v>3780000</v>
      </c>
      <c r="J853" s="5">
        <v>35300000</v>
      </c>
      <c r="K853" s="5">
        <v>38300000</v>
      </c>
      <c r="L853" s="3">
        <v>0.97916666666666663</v>
      </c>
    </row>
    <row r="854" spans="1:12" x14ac:dyDescent="0.25">
      <c r="A854" t="s">
        <v>537</v>
      </c>
      <c r="B854" s="2">
        <v>43614</v>
      </c>
      <c r="C854" t="s">
        <v>19</v>
      </c>
      <c r="D854" t="s">
        <v>1636</v>
      </c>
      <c r="E854" s="5">
        <v>35000000</v>
      </c>
      <c r="F854" s="5">
        <v>38000000</v>
      </c>
      <c r="G854" s="5">
        <v>3000000</v>
      </c>
      <c r="H854" s="5">
        <v>3500000</v>
      </c>
      <c r="I854" s="5">
        <v>3800000</v>
      </c>
      <c r="J854" s="5">
        <v>35500000</v>
      </c>
      <c r="K854" s="5">
        <v>38500000</v>
      </c>
      <c r="L854" s="3">
        <v>0.97916666666666663</v>
      </c>
    </row>
    <row r="855" spans="1:12" x14ac:dyDescent="0.25">
      <c r="A855" t="s">
        <v>538</v>
      </c>
      <c r="B855" s="2">
        <v>43615</v>
      </c>
      <c r="C855" t="s">
        <v>20</v>
      </c>
      <c r="D855" t="s">
        <v>1636</v>
      </c>
      <c r="E855" s="5">
        <v>35200000</v>
      </c>
      <c r="F855" s="5">
        <v>38200000</v>
      </c>
      <c r="G855" s="5">
        <v>3000000</v>
      </c>
      <c r="H855" s="5">
        <v>3520000</v>
      </c>
      <c r="I855" s="5">
        <v>3820000</v>
      </c>
      <c r="J855" s="5">
        <v>35700000</v>
      </c>
      <c r="K855" s="5">
        <v>38700000</v>
      </c>
      <c r="L855" s="3">
        <v>0.97916666666666663</v>
      </c>
    </row>
    <row r="856" spans="1:12" x14ac:dyDescent="0.25">
      <c r="A856" t="s">
        <v>539</v>
      </c>
      <c r="B856" s="2">
        <v>43616</v>
      </c>
      <c r="C856" t="s">
        <v>21</v>
      </c>
      <c r="D856" t="s">
        <v>1636</v>
      </c>
      <c r="E856" s="5">
        <v>35700000</v>
      </c>
      <c r="F856" s="5">
        <v>38700000</v>
      </c>
      <c r="G856" s="5">
        <v>3000000</v>
      </c>
      <c r="H856" s="5">
        <v>3570000</v>
      </c>
      <c r="I856" s="5">
        <v>3870000</v>
      </c>
      <c r="J856" s="5">
        <v>36200000</v>
      </c>
      <c r="K856" s="5">
        <v>39200000</v>
      </c>
      <c r="L856" s="3">
        <v>0.97916666666666663</v>
      </c>
    </row>
    <row r="857" spans="1:12" x14ac:dyDescent="0.25">
      <c r="A857" s="2">
        <v>43530</v>
      </c>
      <c r="B857" s="2">
        <v>43619</v>
      </c>
      <c r="C857" t="s">
        <v>16</v>
      </c>
      <c r="D857" t="s">
        <v>1636</v>
      </c>
      <c r="E857" s="5">
        <v>36200000</v>
      </c>
      <c r="F857" s="5">
        <v>39200000</v>
      </c>
      <c r="G857" s="5">
        <v>3000000</v>
      </c>
      <c r="H857" s="5">
        <v>3620000</v>
      </c>
      <c r="I857" s="5">
        <v>3920000</v>
      </c>
      <c r="J857" s="5">
        <v>36700000</v>
      </c>
      <c r="K857" s="5">
        <v>39700000</v>
      </c>
      <c r="L857" s="3">
        <v>0.97916666666666663</v>
      </c>
    </row>
    <row r="858" spans="1:12" x14ac:dyDescent="0.25">
      <c r="A858" s="2">
        <v>43561</v>
      </c>
      <c r="B858" s="2">
        <v>43620</v>
      </c>
      <c r="C858" t="s">
        <v>18</v>
      </c>
      <c r="D858" t="s">
        <v>1636</v>
      </c>
      <c r="E858" s="5">
        <v>36200000</v>
      </c>
      <c r="F858" s="5">
        <v>39200000</v>
      </c>
      <c r="G858" s="5">
        <v>3000000</v>
      </c>
      <c r="H858" s="5">
        <v>3620000</v>
      </c>
      <c r="I858" s="5">
        <v>3920000</v>
      </c>
      <c r="J858" s="5">
        <v>36700000</v>
      </c>
      <c r="K858" s="5">
        <v>39700000</v>
      </c>
      <c r="L858" s="3">
        <v>0.97916666666666663</v>
      </c>
    </row>
    <row r="859" spans="1:12" x14ac:dyDescent="0.25">
      <c r="A859" s="2">
        <v>43591</v>
      </c>
      <c r="B859" s="2">
        <v>43621</v>
      </c>
      <c r="C859" t="s">
        <v>19</v>
      </c>
      <c r="D859" t="s">
        <v>1636</v>
      </c>
      <c r="E859" s="5">
        <v>36400000</v>
      </c>
      <c r="F859" s="5">
        <v>39400000</v>
      </c>
      <c r="G859" s="5">
        <v>3000000</v>
      </c>
      <c r="H859" s="5">
        <v>3640000</v>
      </c>
      <c r="I859" s="5">
        <v>3940000</v>
      </c>
      <c r="J859" s="5">
        <v>36900000</v>
      </c>
      <c r="K859" s="5">
        <v>39900000</v>
      </c>
      <c r="L859" s="3">
        <v>0.97916666666666663</v>
      </c>
    </row>
    <row r="860" spans="1:12" x14ac:dyDescent="0.25">
      <c r="A860" s="2">
        <v>43622</v>
      </c>
      <c r="B860" s="2">
        <v>43622</v>
      </c>
      <c r="C860" t="s">
        <v>20</v>
      </c>
      <c r="D860" t="s">
        <v>1636</v>
      </c>
      <c r="E860" s="5">
        <v>36700000</v>
      </c>
      <c r="F860" s="5">
        <v>39700000</v>
      </c>
      <c r="G860" s="5">
        <v>3000000</v>
      </c>
      <c r="H860" s="5">
        <v>3670000</v>
      </c>
      <c r="I860" s="5">
        <v>3970000</v>
      </c>
      <c r="J860" s="5">
        <v>37200000</v>
      </c>
      <c r="K860" s="5">
        <v>40200000</v>
      </c>
      <c r="L860" s="3">
        <v>0.97916666666666663</v>
      </c>
    </row>
    <row r="861" spans="1:12" x14ac:dyDescent="0.25">
      <c r="A861" s="2">
        <v>43652</v>
      </c>
      <c r="B861" s="2">
        <v>43623</v>
      </c>
      <c r="C861" t="s">
        <v>21</v>
      </c>
      <c r="D861" t="s">
        <v>1636</v>
      </c>
      <c r="E861" s="5">
        <v>36800000</v>
      </c>
      <c r="F861" s="5">
        <v>39800000</v>
      </c>
      <c r="G861" s="5">
        <v>3000000</v>
      </c>
      <c r="H861" s="5">
        <v>3680000</v>
      </c>
      <c r="I861" s="5">
        <v>3980000</v>
      </c>
      <c r="J861" s="5">
        <v>37300000</v>
      </c>
      <c r="K861" s="5">
        <v>40300000</v>
      </c>
      <c r="L861" s="3">
        <v>0.97916666666666663</v>
      </c>
    </row>
    <row r="862" spans="1:12" x14ac:dyDescent="0.25">
      <c r="A862" s="2">
        <v>43744</v>
      </c>
      <c r="B862" s="2">
        <v>43626</v>
      </c>
      <c r="C862" t="s">
        <v>16</v>
      </c>
      <c r="D862" t="s">
        <v>1636</v>
      </c>
      <c r="E862" s="5">
        <v>36300000</v>
      </c>
      <c r="F862" s="5">
        <v>39300000</v>
      </c>
      <c r="G862" s="5">
        <v>3000000</v>
      </c>
      <c r="H862" s="5">
        <v>3630000</v>
      </c>
      <c r="I862" s="5">
        <v>3930000</v>
      </c>
      <c r="J862" s="5">
        <v>36800000</v>
      </c>
      <c r="K862" s="5">
        <v>39800000</v>
      </c>
      <c r="L862" s="3">
        <v>0.97916666666666663</v>
      </c>
    </row>
    <row r="863" spans="1:12" x14ac:dyDescent="0.25">
      <c r="A863" s="2">
        <v>43775</v>
      </c>
      <c r="B863" s="2">
        <v>43627</v>
      </c>
      <c r="C863" t="s">
        <v>18</v>
      </c>
      <c r="D863" t="s">
        <v>1636</v>
      </c>
      <c r="E863" s="5">
        <v>36300000</v>
      </c>
      <c r="F863" s="5">
        <v>39300000</v>
      </c>
      <c r="G863" s="5">
        <v>3000000</v>
      </c>
      <c r="H863" s="5">
        <v>3630000</v>
      </c>
      <c r="I863" s="5">
        <v>3930000</v>
      </c>
      <c r="J863" s="5">
        <v>36800000</v>
      </c>
      <c r="K863" s="5">
        <v>39800000</v>
      </c>
      <c r="L863" s="3">
        <v>0.97916666666666663</v>
      </c>
    </row>
    <row r="864" spans="1:12" x14ac:dyDescent="0.25">
      <c r="A864" s="2">
        <v>43805</v>
      </c>
      <c r="B864" s="2">
        <v>43628</v>
      </c>
      <c r="C864" t="s">
        <v>19</v>
      </c>
      <c r="D864" t="s">
        <v>1636</v>
      </c>
      <c r="E864" s="5">
        <v>36500000</v>
      </c>
      <c r="F864" s="5">
        <v>39500000</v>
      </c>
      <c r="G864" s="5">
        <v>3000000</v>
      </c>
      <c r="H864" s="5">
        <v>3650000</v>
      </c>
      <c r="I864" s="5">
        <v>3950000</v>
      </c>
      <c r="J864" s="5">
        <v>37000000</v>
      </c>
      <c r="K864" s="5">
        <v>40000000</v>
      </c>
      <c r="L864" s="3">
        <v>0.97916666666666663</v>
      </c>
    </row>
    <row r="865" spans="1:12" x14ac:dyDescent="0.25">
      <c r="A865" t="s">
        <v>540</v>
      </c>
      <c r="B865" s="2">
        <v>43629</v>
      </c>
      <c r="C865" t="s">
        <v>20</v>
      </c>
      <c r="D865" t="s">
        <v>1636</v>
      </c>
      <c r="E865" s="5">
        <v>36700000</v>
      </c>
      <c r="F865" s="5">
        <v>39700000</v>
      </c>
      <c r="G865" s="5">
        <v>3000000</v>
      </c>
      <c r="H865" s="5">
        <v>3670000</v>
      </c>
      <c r="I865" s="5">
        <v>3970000</v>
      </c>
      <c r="J865" s="5">
        <v>37200000</v>
      </c>
      <c r="K865" s="5">
        <v>40200000</v>
      </c>
      <c r="L865" s="3">
        <v>0.97916666666666663</v>
      </c>
    </row>
    <row r="866" spans="1:12" x14ac:dyDescent="0.25">
      <c r="A866" t="s">
        <v>541</v>
      </c>
      <c r="B866" s="2">
        <v>43630</v>
      </c>
      <c r="C866" t="s">
        <v>21</v>
      </c>
      <c r="D866" t="s">
        <v>1636</v>
      </c>
      <c r="E866" s="5">
        <v>36700000</v>
      </c>
      <c r="F866" s="5">
        <v>39700000</v>
      </c>
      <c r="G866" s="5">
        <v>3000000</v>
      </c>
      <c r="H866" s="5">
        <v>3670000</v>
      </c>
      <c r="I866" s="5">
        <v>3970000</v>
      </c>
      <c r="J866" s="5">
        <v>37200000</v>
      </c>
      <c r="K866" s="5">
        <v>40200000</v>
      </c>
      <c r="L866" s="3">
        <v>0.97916666666666663</v>
      </c>
    </row>
    <row r="867" spans="1:12" x14ac:dyDescent="0.25">
      <c r="A867" t="s">
        <v>542</v>
      </c>
      <c r="B867" s="2">
        <v>43633</v>
      </c>
      <c r="C867" t="s">
        <v>16</v>
      </c>
      <c r="D867" t="s">
        <v>1636</v>
      </c>
      <c r="E867" s="5">
        <v>36700000</v>
      </c>
      <c r="F867" s="5">
        <v>39700000</v>
      </c>
      <c r="G867" s="5">
        <v>3000000</v>
      </c>
      <c r="H867" s="5">
        <v>3670000</v>
      </c>
      <c r="I867" s="5">
        <v>3970000</v>
      </c>
      <c r="J867" s="5">
        <v>37200000</v>
      </c>
      <c r="K867" s="5">
        <v>40200000</v>
      </c>
      <c r="L867" s="3">
        <v>0.97916666666666663</v>
      </c>
    </row>
    <row r="868" spans="1:12" x14ac:dyDescent="0.25">
      <c r="A868" t="s">
        <v>543</v>
      </c>
      <c r="B868" s="2">
        <v>43634</v>
      </c>
      <c r="C868" t="s">
        <v>18</v>
      </c>
      <c r="D868" t="s">
        <v>1636</v>
      </c>
      <c r="E868" s="5">
        <v>36900000</v>
      </c>
      <c r="F868" s="5">
        <v>39900000</v>
      </c>
      <c r="G868" s="5">
        <v>3000000</v>
      </c>
      <c r="H868" s="5">
        <v>3690000</v>
      </c>
      <c r="I868" s="5">
        <v>3990000</v>
      </c>
      <c r="J868" s="5">
        <v>37400000</v>
      </c>
      <c r="K868" s="5">
        <v>40400000</v>
      </c>
      <c r="L868" s="3">
        <v>0.97916666666666663</v>
      </c>
    </row>
    <row r="869" spans="1:12" x14ac:dyDescent="0.25">
      <c r="A869" t="s">
        <v>544</v>
      </c>
      <c r="B869" s="2">
        <v>43635</v>
      </c>
      <c r="C869" t="s">
        <v>19</v>
      </c>
      <c r="D869" t="s">
        <v>1636</v>
      </c>
      <c r="E869" s="5">
        <v>36900000</v>
      </c>
      <c r="F869" s="5">
        <v>39900000</v>
      </c>
      <c r="G869" s="5">
        <v>3000000</v>
      </c>
      <c r="H869" s="5">
        <v>3690000</v>
      </c>
      <c r="I869" s="5">
        <v>3990000</v>
      </c>
      <c r="J869" s="5">
        <v>37400000</v>
      </c>
      <c r="K869" s="5">
        <v>40400000</v>
      </c>
      <c r="L869" s="3">
        <v>0.97916666666666663</v>
      </c>
    </row>
    <row r="870" spans="1:12" x14ac:dyDescent="0.25">
      <c r="A870" t="s">
        <v>545</v>
      </c>
      <c r="B870" s="2">
        <v>43636</v>
      </c>
      <c r="C870" t="s">
        <v>20</v>
      </c>
      <c r="D870" t="s">
        <v>1636</v>
      </c>
      <c r="E870" s="5">
        <v>38300000</v>
      </c>
      <c r="F870" s="5">
        <v>41300000</v>
      </c>
      <c r="G870" s="5">
        <v>3000000</v>
      </c>
      <c r="H870" s="5">
        <v>3830000</v>
      </c>
      <c r="I870" s="5">
        <v>4130000</v>
      </c>
      <c r="J870" s="5">
        <v>38800000</v>
      </c>
      <c r="K870" s="5">
        <v>41800000</v>
      </c>
      <c r="L870" s="3">
        <v>0.97916666666666663</v>
      </c>
    </row>
    <row r="871" spans="1:12" x14ac:dyDescent="0.25">
      <c r="A871" t="s">
        <v>546</v>
      </c>
      <c r="B871" s="2">
        <v>43637</v>
      </c>
      <c r="C871" t="s">
        <v>21</v>
      </c>
      <c r="D871" t="s">
        <v>1636</v>
      </c>
      <c r="E871" s="5">
        <v>38400000</v>
      </c>
      <c r="F871" s="5">
        <v>41400000</v>
      </c>
      <c r="G871" s="5">
        <v>3000000</v>
      </c>
      <c r="H871" s="5">
        <v>3840000</v>
      </c>
      <c r="I871" s="5">
        <v>4140000</v>
      </c>
      <c r="J871" s="5">
        <v>38900000</v>
      </c>
      <c r="K871" s="5">
        <v>41900000</v>
      </c>
      <c r="L871" s="3">
        <v>0.97916666666666663</v>
      </c>
    </row>
    <row r="872" spans="1:12" x14ac:dyDescent="0.25">
      <c r="A872" t="s">
        <v>547</v>
      </c>
      <c r="B872" s="2">
        <v>43640</v>
      </c>
      <c r="C872" t="s">
        <v>16</v>
      </c>
      <c r="D872" t="s">
        <v>1636</v>
      </c>
      <c r="E872" s="5">
        <v>38900000</v>
      </c>
      <c r="F872" s="5">
        <v>41900000</v>
      </c>
      <c r="G872" s="5">
        <v>3000000</v>
      </c>
      <c r="H872" s="5">
        <v>3890000</v>
      </c>
      <c r="I872" s="5">
        <v>4190000</v>
      </c>
      <c r="J872" s="5">
        <v>39400000</v>
      </c>
      <c r="K872" s="5">
        <v>42400000</v>
      </c>
      <c r="L872" s="3">
        <v>0.97916666666666663</v>
      </c>
    </row>
    <row r="873" spans="1:12" x14ac:dyDescent="0.25">
      <c r="A873" t="s">
        <v>548</v>
      </c>
      <c r="B873" s="2">
        <v>43641</v>
      </c>
      <c r="C873" t="s">
        <v>18</v>
      </c>
      <c r="D873" t="s">
        <v>1636</v>
      </c>
      <c r="E873" s="5">
        <v>39000000</v>
      </c>
      <c r="F873" s="5">
        <v>42000000</v>
      </c>
      <c r="G873" s="5">
        <v>3000000</v>
      </c>
      <c r="H873" s="5">
        <v>3900000</v>
      </c>
      <c r="I873" s="5">
        <v>4200000</v>
      </c>
      <c r="J873" s="5">
        <v>39500000</v>
      </c>
      <c r="K873" s="5">
        <v>42500000</v>
      </c>
      <c r="L873" s="3">
        <v>0.97916666666666663</v>
      </c>
    </row>
    <row r="874" spans="1:12" x14ac:dyDescent="0.25">
      <c r="A874" t="s">
        <v>549</v>
      </c>
      <c r="B874" s="2">
        <v>43642</v>
      </c>
      <c r="C874" t="s">
        <v>19</v>
      </c>
      <c r="D874" t="s">
        <v>1636</v>
      </c>
      <c r="E874" s="5">
        <v>38900000</v>
      </c>
      <c r="F874" s="5">
        <v>41900000</v>
      </c>
      <c r="G874" s="5">
        <v>3000000</v>
      </c>
      <c r="H874" s="5">
        <v>3890000</v>
      </c>
      <c r="I874" s="5">
        <v>4190000</v>
      </c>
      <c r="J874" s="5">
        <v>39400000</v>
      </c>
      <c r="K874" s="5">
        <v>42400000</v>
      </c>
      <c r="L874" s="3">
        <v>0.97916666666666663</v>
      </c>
    </row>
    <row r="875" spans="1:12" x14ac:dyDescent="0.25">
      <c r="A875" t="s">
        <v>550</v>
      </c>
      <c r="B875" s="2">
        <v>43643</v>
      </c>
      <c r="C875" t="s">
        <v>20</v>
      </c>
      <c r="D875" t="s">
        <v>1636</v>
      </c>
      <c r="E875" s="5">
        <v>38800000</v>
      </c>
      <c r="F875" s="5">
        <v>41800000</v>
      </c>
      <c r="G875" s="5">
        <v>3000000</v>
      </c>
      <c r="H875" s="5">
        <v>3880000</v>
      </c>
      <c r="I875" s="5">
        <v>4180000</v>
      </c>
      <c r="J875" s="5">
        <v>39300000</v>
      </c>
      <c r="K875" s="5">
        <v>42300000</v>
      </c>
      <c r="L875" s="3">
        <v>0.97916666666666663</v>
      </c>
    </row>
    <row r="876" spans="1:12" x14ac:dyDescent="0.25">
      <c r="A876" t="s">
        <v>551</v>
      </c>
      <c r="B876" s="2">
        <v>43644</v>
      </c>
      <c r="C876" t="s">
        <v>21</v>
      </c>
      <c r="D876" t="s">
        <v>1636</v>
      </c>
      <c r="E876" s="5">
        <v>38800000</v>
      </c>
      <c r="F876" s="5">
        <v>41800000</v>
      </c>
      <c r="G876" s="5">
        <v>3000000</v>
      </c>
      <c r="H876" s="5">
        <v>3880000</v>
      </c>
      <c r="I876" s="5">
        <v>4180000</v>
      </c>
      <c r="J876" s="5">
        <v>39300000</v>
      </c>
      <c r="K876" s="5">
        <v>42300000</v>
      </c>
      <c r="L876" s="3">
        <v>0.97916666666666663</v>
      </c>
    </row>
    <row r="877" spans="1:12" x14ac:dyDescent="0.25">
      <c r="A877" s="2">
        <v>43472</v>
      </c>
      <c r="B877" s="2">
        <v>43647</v>
      </c>
      <c r="C877" t="s">
        <v>16</v>
      </c>
      <c r="D877" t="s">
        <v>1636</v>
      </c>
      <c r="E877" s="5">
        <v>38100000</v>
      </c>
      <c r="F877" s="5">
        <v>41100000</v>
      </c>
      <c r="G877" s="5">
        <v>3000000</v>
      </c>
      <c r="H877" s="5">
        <v>3810000</v>
      </c>
      <c r="I877" s="5">
        <v>4110000</v>
      </c>
      <c r="J877" s="5">
        <v>38600000</v>
      </c>
      <c r="K877" s="5">
        <v>41600000</v>
      </c>
      <c r="L877" s="3">
        <v>0.97916666666666663</v>
      </c>
    </row>
    <row r="878" spans="1:12" x14ac:dyDescent="0.25">
      <c r="A878" s="2">
        <v>43503</v>
      </c>
      <c r="B878" s="2">
        <v>43648</v>
      </c>
      <c r="C878" t="s">
        <v>18</v>
      </c>
      <c r="D878" t="s">
        <v>1636</v>
      </c>
      <c r="E878" s="5">
        <v>38600000</v>
      </c>
      <c r="F878" s="5">
        <v>41600000</v>
      </c>
      <c r="G878" s="5">
        <v>3000000</v>
      </c>
      <c r="H878" s="5">
        <v>3860000</v>
      </c>
      <c r="I878" s="5">
        <v>4160000</v>
      </c>
      <c r="J878" s="5">
        <v>39100000</v>
      </c>
      <c r="K878" s="5">
        <v>42100000</v>
      </c>
      <c r="L878" s="3">
        <v>0.97916666666666663</v>
      </c>
    </row>
    <row r="879" spans="1:12" x14ac:dyDescent="0.25">
      <c r="A879" s="2">
        <v>43531</v>
      </c>
      <c r="B879" s="2">
        <v>43649</v>
      </c>
      <c r="C879" t="s">
        <v>19</v>
      </c>
      <c r="D879" t="s">
        <v>1636</v>
      </c>
      <c r="E879" s="5">
        <v>39000000</v>
      </c>
      <c r="F879" s="5">
        <v>42000000</v>
      </c>
      <c r="G879" s="5">
        <v>3000000</v>
      </c>
      <c r="H879" s="5">
        <v>3900000</v>
      </c>
      <c r="I879" s="5">
        <v>4200000</v>
      </c>
      <c r="J879" s="5">
        <v>39500000</v>
      </c>
      <c r="K879" s="5">
        <v>42500000</v>
      </c>
      <c r="L879" s="3">
        <v>0.97916666666666663</v>
      </c>
    </row>
    <row r="880" spans="1:12" x14ac:dyDescent="0.25">
      <c r="A880" s="2">
        <v>43592</v>
      </c>
      <c r="B880" s="2">
        <v>43651</v>
      </c>
      <c r="C880" t="s">
        <v>21</v>
      </c>
      <c r="D880" t="s">
        <v>1636</v>
      </c>
      <c r="E880" s="5">
        <v>38400000</v>
      </c>
      <c r="F880" s="5">
        <v>41400000</v>
      </c>
      <c r="G880" s="5">
        <v>3000000</v>
      </c>
      <c r="H880" s="5">
        <v>3840000</v>
      </c>
      <c r="I880" s="5">
        <v>4140000</v>
      </c>
      <c r="J880" s="5">
        <v>38900000</v>
      </c>
      <c r="K880" s="5">
        <v>41900000</v>
      </c>
      <c r="L880" s="3">
        <v>0.97916666666666663</v>
      </c>
    </row>
    <row r="881" spans="1:12" x14ac:dyDescent="0.25">
      <c r="A881" s="2">
        <v>43684</v>
      </c>
      <c r="B881" s="2">
        <v>43654</v>
      </c>
      <c r="C881" t="s">
        <v>16</v>
      </c>
      <c r="D881" t="s">
        <v>1636</v>
      </c>
      <c r="E881" s="5">
        <v>38400000</v>
      </c>
      <c r="F881" s="5">
        <v>41400000</v>
      </c>
      <c r="G881" s="5">
        <v>3000000</v>
      </c>
      <c r="H881" s="5">
        <v>3840000</v>
      </c>
      <c r="I881" s="5">
        <v>4140000</v>
      </c>
      <c r="J881" s="5">
        <v>38900000</v>
      </c>
      <c r="K881" s="5">
        <v>41900000</v>
      </c>
      <c r="L881" s="3">
        <v>0.97916666666666663</v>
      </c>
    </row>
    <row r="882" spans="1:12" x14ac:dyDescent="0.25">
      <c r="A882" s="2">
        <v>43715</v>
      </c>
      <c r="B882" s="2">
        <v>43655</v>
      </c>
      <c r="C882" t="s">
        <v>18</v>
      </c>
      <c r="D882" t="s">
        <v>1636</v>
      </c>
      <c r="E882" s="5">
        <v>38400000</v>
      </c>
      <c r="F882" s="5">
        <v>41400000</v>
      </c>
      <c r="G882" s="5">
        <v>3000000</v>
      </c>
      <c r="H882" s="5">
        <v>3840000</v>
      </c>
      <c r="I882" s="5">
        <v>4140000</v>
      </c>
      <c r="J882" s="5">
        <v>38900000</v>
      </c>
      <c r="K882" s="5">
        <v>41900000</v>
      </c>
      <c r="L882" s="3">
        <v>0.97916666666666663</v>
      </c>
    </row>
    <row r="883" spans="1:12" x14ac:dyDescent="0.25">
      <c r="A883" s="2">
        <v>43745</v>
      </c>
      <c r="B883" s="2">
        <v>43656</v>
      </c>
      <c r="C883" t="s">
        <v>19</v>
      </c>
      <c r="D883" t="s">
        <v>1636</v>
      </c>
      <c r="E883" s="5">
        <v>38800000</v>
      </c>
      <c r="F883" s="5">
        <v>41800000</v>
      </c>
      <c r="G883" s="5">
        <v>3000000</v>
      </c>
      <c r="H883" s="5">
        <v>3880000</v>
      </c>
      <c r="I883" s="5">
        <v>4180000</v>
      </c>
      <c r="J883" s="5">
        <v>39300000</v>
      </c>
      <c r="K883" s="5">
        <v>42300000</v>
      </c>
      <c r="L883" s="3">
        <v>0.97916666666666663</v>
      </c>
    </row>
    <row r="884" spans="1:12" x14ac:dyDescent="0.25">
      <c r="A884" s="2">
        <v>43776</v>
      </c>
      <c r="B884" s="2">
        <v>43657</v>
      </c>
      <c r="C884" t="s">
        <v>20</v>
      </c>
      <c r="D884" t="s">
        <v>1636</v>
      </c>
      <c r="E884" s="5">
        <v>38600000</v>
      </c>
      <c r="F884" s="5">
        <v>41600000</v>
      </c>
      <c r="G884" s="5">
        <v>3000000</v>
      </c>
      <c r="H884" s="5">
        <v>3860000</v>
      </c>
      <c r="I884" s="5">
        <v>4160000</v>
      </c>
      <c r="J884" s="5">
        <v>39100000</v>
      </c>
      <c r="K884" s="5">
        <v>42100000</v>
      </c>
      <c r="L884" s="3">
        <v>0.97916666666666663</v>
      </c>
    </row>
    <row r="885" spans="1:12" x14ac:dyDescent="0.25">
      <c r="A885" s="2">
        <v>43806</v>
      </c>
      <c r="B885" s="2">
        <v>43658</v>
      </c>
      <c r="C885" t="s">
        <v>21</v>
      </c>
      <c r="D885" t="s">
        <v>1636</v>
      </c>
      <c r="E885" s="5">
        <v>38800000</v>
      </c>
      <c r="F885" s="5">
        <v>41800000</v>
      </c>
      <c r="G885" s="5">
        <v>3000000</v>
      </c>
      <c r="H885" s="5">
        <v>3880000</v>
      </c>
      <c r="I885" s="5">
        <v>4180000</v>
      </c>
      <c r="J885" s="5">
        <v>39300000</v>
      </c>
      <c r="K885" s="5">
        <v>42300000</v>
      </c>
      <c r="L885" s="3">
        <v>0.97916666666666663</v>
      </c>
    </row>
    <row r="886" spans="1:12" x14ac:dyDescent="0.25">
      <c r="A886" t="s">
        <v>552</v>
      </c>
      <c r="B886" s="2">
        <v>43661</v>
      </c>
      <c r="C886" t="s">
        <v>16</v>
      </c>
      <c r="D886" t="s">
        <v>1636</v>
      </c>
      <c r="E886" s="5">
        <v>38800000</v>
      </c>
      <c r="F886" s="5">
        <v>41800000</v>
      </c>
      <c r="G886" s="5">
        <v>3000000</v>
      </c>
      <c r="H886" s="5">
        <v>3880000</v>
      </c>
      <c r="I886" s="5">
        <v>4180000</v>
      </c>
      <c r="J886" s="5">
        <v>39300000</v>
      </c>
      <c r="K886" s="5">
        <v>42300000</v>
      </c>
      <c r="L886" s="3">
        <v>0.97916666666666663</v>
      </c>
    </row>
    <row r="887" spans="1:12" x14ac:dyDescent="0.25">
      <c r="A887" t="s">
        <v>553</v>
      </c>
      <c r="B887" s="2">
        <v>43662</v>
      </c>
      <c r="C887" t="s">
        <v>18</v>
      </c>
      <c r="D887" t="s">
        <v>1636</v>
      </c>
      <c r="E887" s="5">
        <v>38800000</v>
      </c>
      <c r="F887" s="5">
        <v>41800000</v>
      </c>
      <c r="G887" s="5">
        <v>3000000</v>
      </c>
      <c r="H887" s="5">
        <v>3880000</v>
      </c>
      <c r="I887" s="5">
        <v>4180000</v>
      </c>
      <c r="J887" s="5">
        <v>39300000</v>
      </c>
      <c r="K887" s="5">
        <v>42300000</v>
      </c>
      <c r="L887" s="3">
        <v>0.97916666666666663</v>
      </c>
    </row>
    <row r="888" spans="1:12" x14ac:dyDescent="0.25">
      <c r="A888" t="s">
        <v>554</v>
      </c>
      <c r="B888" s="2">
        <v>43663</v>
      </c>
      <c r="C888" t="s">
        <v>19</v>
      </c>
      <c r="D888" t="s">
        <v>1636</v>
      </c>
      <c r="E888" s="5">
        <v>39100000</v>
      </c>
      <c r="F888" s="5">
        <v>42100000</v>
      </c>
      <c r="G888" s="5">
        <v>3000000</v>
      </c>
      <c r="H888" s="5">
        <v>3910000</v>
      </c>
      <c r="I888" s="5">
        <v>4210000</v>
      </c>
      <c r="J888" s="5">
        <v>39600000</v>
      </c>
      <c r="K888" s="5">
        <v>42600000</v>
      </c>
      <c r="L888" s="3">
        <v>0.97916666666666663</v>
      </c>
    </row>
    <row r="889" spans="1:12" x14ac:dyDescent="0.25">
      <c r="A889" t="s">
        <v>555</v>
      </c>
      <c r="B889" s="2">
        <v>43664</v>
      </c>
      <c r="C889" t="s">
        <v>20</v>
      </c>
      <c r="D889" t="s">
        <v>1636</v>
      </c>
      <c r="E889" s="5">
        <v>39300000</v>
      </c>
      <c r="F889" s="5">
        <v>42300000</v>
      </c>
      <c r="G889" s="5">
        <v>3000000</v>
      </c>
      <c r="H889" s="5">
        <v>3930000</v>
      </c>
      <c r="I889" s="5">
        <v>4230000</v>
      </c>
      <c r="J889" s="5">
        <v>39800000</v>
      </c>
      <c r="K889" s="5">
        <v>42800000</v>
      </c>
      <c r="L889" s="3">
        <v>0.97916666666666663</v>
      </c>
    </row>
    <row r="890" spans="1:12" x14ac:dyDescent="0.25">
      <c r="A890" t="s">
        <v>556</v>
      </c>
      <c r="B890" s="2">
        <v>43665</v>
      </c>
      <c r="C890" t="s">
        <v>21</v>
      </c>
      <c r="D890" t="s">
        <v>1636</v>
      </c>
      <c r="E890" s="5">
        <v>39300000</v>
      </c>
      <c r="F890" s="5">
        <v>42300000</v>
      </c>
      <c r="G890" s="5">
        <v>3000000</v>
      </c>
      <c r="H890" s="5">
        <v>3930000</v>
      </c>
      <c r="I890" s="5">
        <v>4230000</v>
      </c>
      <c r="J890" s="5">
        <v>39800000</v>
      </c>
      <c r="K890" s="5">
        <v>42800000</v>
      </c>
      <c r="L890" s="3">
        <v>0.97916666666666663</v>
      </c>
    </row>
    <row r="891" spans="1:12" x14ac:dyDescent="0.25">
      <c r="A891" t="s">
        <v>557</v>
      </c>
      <c r="B891" s="2">
        <v>43668</v>
      </c>
      <c r="C891" t="s">
        <v>16</v>
      </c>
      <c r="D891" t="s">
        <v>1636</v>
      </c>
      <c r="E891" s="5">
        <v>39300000</v>
      </c>
      <c r="F891" s="5">
        <v>42300000</v>
      </c>
      <c r="G891" s="5">
        <v>3000000</v>
      </c>
      <c r="H891" s="5">
        <v>3930000</v>
      </c>
      <c r="I891" s="5">
        <v>4230000</v>
      </c>
      <c r="J891" s="5">
        <v>39800000</v>
      </c>
      <c r="K891" s="5">
        <v>42800000</v>
      </c>
      <c r="L891" s="3">
        <v>0.97916666666666663</v>
      </c>
    </row>
    <row r="892" spans="1:12" x14ac:dyDescent="0.25">
      <c r="A892" t="s">
        <v>558</v>
      </c>
      <c r="B892" s="2">
        <v>43669</v>
      </c>
      <c r="C892" t="s">
        <v>18</v>
      </c>
      <c r="D892" t="s">
        <v>1636</v>
      </c>
      <c r="E892" s="5">
        <v>39100000</v>
      </c>
      <c r="F892" s="5">
        <v>42100000</v>
      </c>
      <c r="G892" s="5">
        <v>3000000</v>
      </c>
      <c r="H892" s="5">
        <v>3910000</v>
      </c>
      <c r="I892" s="5">
        <v>4210000</v>
      </c>
      <c r="J892" s="5">
        <v>39600000</v>
      </c>
      <c r="K892" s="5">
        <v>42600000</v>
      </c>
      <c r="L892" s="3">
        <v>0.97916666666666663</v>
      </c>
    </row>
    <row r="893" spans="1:12" x14ac:dyDescent="0.25">
      <c r="A893" t="s">
        <v>559</v>
      </c>
      <c r="B893" s="2">
        <v>43670</v>
      </c>
      <c r="C893" t="s">
        <v>19</v>
      </c>
      <c r="D893" t="s">
        <v>1636</v>
      </c>
      <c r="E893" s="5">
        <v>39200000</v>
      </c>
      <c r="F893" s="5">
        <v>42200000</v>
      </c>
      <c r="G893" s="5">
        <v>3000000</v>
      </c>
      <c r="H893" s="5">
        <v>3920000</v>
      </c>
      <c r="I893" s="5">
        <v>4220000</v>
      </c>
      <c r="J893" s="5">
        <v>39700000</v>
      </c>
      <c r="K893" s="5">
        <v>42700000</v>
      </c>
      <c r="L893" s="3">
        <v>0.97916666666666663</v>
      </c>
    </row>
    <row r="894" spans="1:12" x14ac:dyDescent="0.25">
      <c r="A894" t="s">
        <v>560</v>
      </c>
      <c r="B894" s="2">
        <v>43671</v>
      </c>
      <c r="C894" t="s">
        <v>20</v>
      </c>
      <c r="D894" t="s">
        <v>1636</v>
      </c>
      <c r="E894" s="5">
        <v>38900000</v>
      </c>
      <c r="F894" s="5">
        <v>41900000</v>
      </c>
      <c r="G894" s="5">
        <v>3000000</v>
      </c>
      <c r="H894" s="5">
        <v>3890000</v>
      </c>
      <c r="I894" s="5">
        <v>4190000</v>
      </c>
      <c r="J894" s="5">
        <v>39400000</v>
      </c>
      <c r="K894" s="5">
        <v>42400000</v>
      </c>
      <c r="L894" s="3">
        <v>0.97916666666666663</v>
      </c>
    </row>
    <row r="895" spans="1:12" x14ac:dyDescent="0.25">
      <c r="A895" t="s">
        <v>561</v>
      </c>
      <c r="B895" s="2">
        <v>43672</v>
      </c>
      <c r="C895" t="s">
        <v>21</v>
      </c>
      <c r="D895" t="s">
        <v>1636</v>
      </c>
      <c r="E895" s="5">
        <v>39100000</v>
      </c>
      <c r="F895" s="5">
        <v>42100000</v>
      </c>
      <c r="G895" s="5">
        <v>3000000</v>
      </c>
      <c r="H895" s="5">
        <v>3910000</v>
      </c>
      <c r="I895" s="5">
        <v>4210000</v>
      </c>
      <c r="J895" s="5">
        <v>39600000</v>
      </c>
      <c r="K895" s="5">
        <v>42600000</v>
      </c>
      <c r="L895" s="3">
        <v>0.97916666666666663</v>
      </c>
    </row>
    <row r="896" spans="1:12" x14ac:dyDescent="0.25">
      <c r="A896" t="s">
        <v>562</v>
      </c>
      <c r="B896" s="2">
        <v>43675</v>
      </c>
      <c r="C896" t="s">
        <v>16</v>
      </c>
      <c r="D896" t="s">
        <v>1636</v>
      </c>
      <c r="E896" s="5">
        <v>39100000</v>
      </c>
      <c r="F896" s="5">
        <v>42100000</v>
      </c>
      <c r="G896" s="5">
        <v>3000000</v>
      </c>
      <c r="H896" s="5">
        <v>3910000</v>
      </c>
      <c r="I896" s="5">
        <v>4210000</v>
      </c>
      <c r="J896" s="5">
        <v>39600000</v>
      </c>
      <c r="K896" s="5">
        <v>42600000</v>
      </c>
      <c r="L896" s="3">
        <v>0.97916666666666663</v>
      </c>
    </row>
    <row r="897" spans="1:12" x14ac:dyDescent="0.25">
      <c r="A897" t="s">
        <v>563</v>
      </c>
      <c r="B897" s="2">
        <v>43676</v>
      </c>
      <c r="C897" t="s">
        <v>18</v>
      </c>
      <c r="D897" t="s">
        <v>1636</v>
      </c>
      <c r="E897" s="5">
        <v>39400000</v>
      </c>
      <c r="F897" s="5">
        <v>42400000</v>
      </c>
      <c r="G897" s="5">
        <v>3000000</v>
      </c>
      <c r="H897" s="5">
        <v>3940000</v>
      </c>
      <c r="I897" s="5">
        <v>4240000</v>
      </c>
      <c r="J897" s="5">
        <v>39900000</v>
      </c>
      <c r="K897" s="5">
        <v>42900000</v>
      </c>
      <c r="L897" s="3">
        <v>0.97916666666666663</v>
      </c>
    </row>
    <row r="898" spans="1:12" x14ac:dyDescent="0.25">
      <c r="A898" t="s">
        <v>564</v>
      </c>
      <c r="B898" s="2">
        <v>43677</v>
      </c>
      <c r="C898" t="s">
        <v>19</v>
      </c>
      <c r="D898" t="s">
        <v>1636</v>
      </c>
      <c r="E898" s="5">
        <v>39300000</v>
      </c>
      <c r="F898" s="5">
        <v>42300000</v>
      </c>
      <c r="G898" s="5">
        <v>3000000</v>
      </c>
      <c r="H898" s="5">
        <v>3930000</v>
      </c>
      <c r="I898" s="5">
        <v>4230000</v>
      </c>
      <c r="J898" s="5">
        <v>39800000</v>
      </c>
      <c r="K898" s="5">
        <v>42800000</v>
      </c>
      <c r="L898" s="3">
        <v>0.97916666666666663</v>
      </c>
    </row>
    <row r="899" spans="1:12" x14ac:dyDescent="0.25">
      <c r="A899" s="2">
        <v>43473</v>
      </c>
      <c r="B899" s="2">
        <v>43678</v>
      </c>
      <c r="C899" t="s">
        <v>20</v>
      </c>
      <c r="D899" t="s">
        <v>1636</v>
      </c>
      <c r="E899" s="5">
        <v>39100000</v>
      </c>
      <c r="F899" s="5">
        <v>42100000</v>
      </c>
      <c r="G899" s="5">
        <v>3000000</v>
      </c>
      <c r="H899" s="5">
        <v>3910000</v>
      </c>
      <c r="I899" s="5">
        <v>4210000</v>
      </c>
      <c r="J899" s="5">
        <v>39600000</v>
      </c>
      <c r="K899" s="5">
        <v>42600000</v>
      </c>
      <c r="L899" s="3">
        <v>0.97916666666666663</v>
      </c>
    </row>
    <row r="900" spans="1:12" x14ac:dyDescent="0.25">
      <c r="A900" s="2">
        <v>43504</v>
      </c>
      <c r="B900" s="2">
        <v>43679</v>
      </c>
      <c r="C900" t="s">
        <v>21</v>
      </c>
      <c r="D900" t="s">
        <v>1636</v>
      </c>
      <c r="E900" s="5">
        <v>39900000</v>
      </c>
      <c r="F900" s="5">
        <v>42900000</v>
      </c>
      <c r="G900" s="5">
        <v>3000000</v>
      </c>
      <c r="H900" s="5">
        <v>3990000</v>
      </c>
      <c r="I900" s="5">
        <v>4290000</v>
      </c>
      <c r="J900" s="5">
        <v>40400000</v>
      </c>
      <c r="K900" s="5">
        <v>43400000</v>
      </c>
      <c r="L900" s="3">
        <v>0.97916666666666663</v>
      </c>
    </row>
    <row r="901" spans="1:12" x14ac:dyDescent="0.25">
      <c r="A901" s="2">
        <v>43593</v>
      </c>
      <c r="B901" s="2">
        <v>43682</v>
      </c>
      <c r="C901" t="s">
        <v>16</v>
      </c>
      <c r="D901" t="s">
        <v>1636</v>
      </c>
      <c r="E901" s="5">
        <v>40400000</v>
      </c>
      <c r="F901" s="5">
        <v>43400000</v>
      </c>
      <c r="G901" s="5">
        <v>3000000</v>
      </c>
      <c r="H901" s="5">
        <v>4040000</v>
      </c>
      <c r="I901" s="5">
        <v>4340000</v>
      </c>
      <c r="J901" s="5">
        <v>40900000</v>
      </c>
      <c r="K901" s="5">
        <v>43900000</v>
      </c>
      <c r="L901" s="3">
        <v>0.97916666666666663</v>
      </c>
    </row>
    <row r="902" spans="1:12" x14ac:dyDescent="0.25">
      <c r="A902" s="2">
        <v>43624</v>
      </c>
      <c r="B902" s="2">
        <v>43683</v>
      </c>
      <c r="C902" t="s">
        <v>18</v>
      </c>
      <c r="D902" t="s">
        <v>1636</v>
      </c>
      <c r="E902" s="5">
        <v>40700000</v>
      </c>
      <c r="F902" s="5">
        <v>43700000</v>
      </c>
      <c r="G902" s="5">
        <v>3000000</v>
      </c>
      <c r="H902" s="5">
        <v>4070000</v>
      </c>
      <c r="I902" s="5">
        <v>4370000</v>
      </c>
      <c r="J902" s="5">
        <v>41200000</v>
      </c>
      <c r="K902" s="5">
        <v>44200000</v>
      </c>
      <c r="L902" s="3">
        <v>0.97916666666666663</v>
      </c>
    </row>
    <row r="903" spans="1:12" x14ac:dyDescent="0.25">
      <c r="A903" s="2">
        <v>43654</v>
      </c>
      <c r="B903" s="2">
        <v>43684</v>
      </c>
      <c r="C903" t="s">
        <v>19</v>
      </c>
      <c r="D903" t="s">
        <v>1636</v>
      </c>
      <c r="E903" s="5">
        <v>41700000</v>
      </c>
      <c r="F903" s="5">
        <v>44700000</v>
      </c>
      <c r="G903" s="5">
        <v>3000000</v>
      </c>
      <c r="H903" s="5">
        <v>4170000</v>
      </c>
      <c r="I903" s="5">
        <v>4470000</v>
      </c>
      <c r="J903" s="5">
        <v>42200000</v>
      </c>
      <c r="K903" s="5">
        <v>45200000</v>
      </c>
      <c r="L903" s="3">
        <v>0.97916666666666663</v>
      </c>
    </row>
    <row r="904" spans="1:12" x14ac:dyDescent="0.25">
      <c r="A904" s="2">
        <v>43685</v>
      </c>
      <c r="B904" s="2">
        <v>43685</v>
      </c>
      <c r="C904" t="s">
        <v>20</v>
      </c>
      <c r="D904" t="s">
        <v>1636</v>
      </c>
      <c r="E904" s="5">
        <v>41400000</v>
      </c>
      <c r="F904" s="5">
        <v>44400000</v>
      </c>
      <c r="G904" s="5">
        <v>3000000</v>
      </c>
      <c r="H904" s="5">
        <v>4140000</v>
      </c>
      <c r="I904" s="5">
        <v>4440000</v>
      </c>
      <c r="J904" s="5">
        <v>41900000</v>
      </c>
      <c r="K904" s="5">
        <v>44900000</v>
      </c>
      <c r="L904" s="3">
        <v>0.97916666666666663</v>
      </c>
    </row>
    <row r="905" spans="1:12" x14ac:dyDescent="0.25">
      <c r="A905" s="2">
        <v>43716</v>
      </c>
      <c r="B905" s="2">
        <v>43686</v>
      </c>
      <c r="C905" t="s">
        <v>21</v>
      </c>
      <c r="D905" t="s">
        <v>1636</v>
      </c>
      <c r="E905" s="5">
        <v>41400000</v>
      </c>
      <c r="F905" s="5">
        <v>44400000</v>
      </c>
      <c r="G905" s="5">
        <v>3000000</v>
      </c>
      <c r="H905" s="5">
        <v>4140000</v>
      </c>
      <c r="I905" s="5">
        <v>4440000</v>
      </c>
      <c r="J905" s="5">
        <v>41900000</v>
      </c>
      <c r="K905" s="5">
        <v>44900000</v>
      </c>
      <c r="L905" s="3">
        <v>0.97916666666666663</v>
      </c>
    </row>
    <row r="906" spans="1:12" x14ac:dyDescent="0.25">
      <c r="A906" s="2">
        <v>43807</v>
      </c>
      <c r="B906" s="2">
        <v>43689</v>
      </c>
      <c r="C906" t="s">
        <v>16</v>
      </c>
      <c r="D906" t="s">
        <v>1636</v>
      </c>
      <c r="E906" s="5">
        <v>41600000</v>
      </c>
      <c r="F906" s="5">
        <v>44600000</v>
      </c>
      <c r="G906" s="5">
        <v>3000000</v>
      </c>
      <c r="H906" s="5">
        <v>4160000</v>
      </c>
      <c r="I906" s="5">
        <v>4460000</v>
      </c>
      <c r="J906" s="5">
        <v>42100000</v>
      </c>
      <c r="K906" s="5">
        <v>45100000</v>
      </c>
      <c r="L906" s="3">
        <v>0.97916666666666663</v>
      </c>
    </row>
    <row r="907" spans="1:12" x14ac:dyDescent="0.25">
      <c r="A907" t="s">
        <v>565</v>
      </c>
      <c r="B907" s="2">
        <v>43690</v>
      </c>
      <c r="C907" t="s">
        <v>18</v>
      </c>
      <c r="D907" t="s">
        <v>1636</v>
      </c>
      <c r="E907" s="5">
        <v>41500000</v>
      </c>
      <c r="F907" s="5">
        <v>44500000</v>
      </c>
      <c r="G907" s="5">
        <v>3000000</v>
      </c>
      <c r="H907" s="5">
        <v>4150000</v>
      </c>
      <c r="I907" s="5">
        <v>4450000</v>
      </c>
      <c r="J907" s="5">
        <v>42000000</v>
      </c>
      <c r="K907" s="5">
        <v>45000000</v>
      </c>
      <c r="L907" s="3">
        <v>0.97916666666666663</v>
      </c>
    </row>
    <row r="908" spans="1:12" x14ac:dyDescent="0.25">
      <c r="A908" t="s">
        <v>566</v>
      </c>
      <c r="B908" s="2">
        <v>43691</v>
      </c>
      <c r="C908" t="s">
        <v>19</v>
      </c>
      <c r="D908" t="s">
        <v>1636</v>
      </c>
      <c r="E908" s="5">
        <v>41900000</v>
      </c>
      <c r="F908" s="5">
        <v>44900000</v>
      </c>
      <c r="G908" s="5">
        <v>3000000</v>
      </c>
      <c r="H908" s="5">
        <v>4190000</v>
      </c>
      <c r="I908" s="5">
        <v>4490000</v>
      </c>
      <c r="J908" s="5">
        <v>42400000</v>
      </c>
      <c r="K908" s="5">
        <v>45400000</v>
      </c>
      <c r="L908" s="3">
        <v>0.97916666666666663</v>
      </c>
    </row>
    <row r="909" spans="1:12" x14ac:dyDescent="0.25">
      <c r="A909" t="s">
        <v>567</v>
      </c>
      <c r="B909" s="2">
        <v>43692</v>
      </c>
      <c r="C909" t="s">
        <v>20</v>
      </c>
      <c r="D909" t="s">
        <v>1636</v>
      </c>
      <c r="E909" s="5">
        <v>42100000</v>
      </c>
      <c r="F909" s="5">
        <v>45100000</v>
      </c>
      <c r="G909" s="5">
        <v>3000000</v>
      </c>
      <c r="H909" s="5">
        <v>4210000</v>
      </c>
      <c r="I909" s="5">
        <v>4510000</v>
      </c>
      <c r="J909" s="5">
        <v>42600000</v>
      </c>
      <c r="K909" s="5">
        <v>45600000</v>
      </c>
      <c r="L909" s="3">
        <v>0.97916666666666663</v>
      </c>
    </row>
    <row r="910" spans="1:12" x14ac:dyDescent="0.25">
      <c r="A910" t="s">
        <v>568</v>
      </c>
      <c r="B910" s="2">
        <v>43693</v>
      </c>
      <c r="C910" t="s">
        <v>21</v>
      </c>
      <c r="D910" t="s">
        <v>1636</v>
      </c>
      <c r="E910" s="5">
        <v>41800000</v>
      </c>
      <c r="F910" s="5">
        <v>44800000</v>
      </c>
      <c r="G910" s="5">
        <v>3000000</v>
      </c>
      <c r="H910" s="5">
        <v>4180000</v>
      </c>
      <c r="I910" s="5">
        <v>4480000</v>
      </c>
      <c r="J910" s="5">
        <v>42300000</v>
      </c>
      <c r="K910" s="5">
        <v>45300000</v>
      </c>
      <c r="L910" s="3">
        <v>0.97916666666666663</v>
      </c>
    </row>
    <row r="911" spans="1:12" x14ac:dyDescent="0.25">
      <c r="A911" t="s">
        <v>569</v>
      </c>
      <c r="B911" s="2">
        <v>43696</v>
      </c>
      <c r="C911" t="s">
        <v>16</v>
      </c>
      <c r="D911" t="s">
        <v>1636</v>
      </c>
      <c r="E911" s="5">
        <v>41500000</v>
      </c>
      <c r="F911" s="5">
        <v>44500000</v>
      </c>
      <c r="G911" s="5">
        <v>3000000</v>
      </c>
      <c r="H911" s="5">
        <v>4150000</v>
      </c>
      <c r="I911" s="5">
        <v>4450000</v>
      </c>
      <c r="J911" s="5">
        <v>42000000</v>
      </c>
      <c r="K911" s="5">
        <v>45000000</v>
      </c>
      <c r="L911" s="3">
        <v>0.97916666666666663</v>
      </c>
    </row>
    <row r="912" spans="1:12" x14ac:dyDescent="0.25">
      <c r="A912" t="s">
        <v>570</v>
      </c>
      <c r="B912" s="2">
        <v>43697</v>
      </c>
      <c r="C912" t="s">
        <v>18</v>
      </c>
      <c r="D912" t="s">
        <v>1636</v>
      </c>
      <c r="E912" s="5">
        <v>41600000</v>
      </c>
      <c r="F912" s="5">
        <v>44600000</v>
      </c>
      <c r="G912" s="5">
        <v>3000000</v>
      </c>
      <c r="H912" s="5">
        <v>4160000</v>
      </c>
      <c r="I912" s="5">
        <v>4460000</v>
      </c>
      <c r="J912" s="5">
        <v>42100000</v>
      </c>
      <c r="K912" s="5">
        <v>45100000</v>
      </c>
      <c r="L912" s="3">
        <v>0.97916666666666663</v>
      </c>
    </row>
    <row r="913" spans="1:12" x14ac:dyDescent="0.25">
      <c r="A913" t="s">
        <v>571</v>
      </c>
      <c r="B913" s="2">
        <v>43698</v>
      </c>
      <c r="C913" t="s">
        <v>19</v>
      </c>
      <c r="D913" t="s">
        <v>1636</v>
      </c>
      <c r="E913" s="5">
        <v>41600000</v>
      </c>
      <c r="F913" s="5">
        <v>44600000</v>
      </c>
      <c r="G913" s="5">
        <v>3000000</v>
      </c>
      <c r="H913" s="5">
        <v>4160000</v>
      </c>
      <c r="I913" s="5">
        <v>4460000</v>
      </c>
      <c r="J913" s="5">
        <v>42100000</v>
      </c>
      <c r="K913" s="5">
        <v>45100000</v>
      </c>
      <c r="L913" s="3">
        <v>0.97916666666666663</v>
      </c>
    </row>
    <row r="914" spans="1:12" x14ac:dyDescent="0.25">
      <c r="A914" t="s">
        <v>572</v>
      </c>
      <c r="B914" s="2">
        <v>43699</v>
      </c>
      <c r="C914" t="s">
        <v>20</v>
      </c>
      <c r="D914" t="s">
        <v>1636</v>
      </c>
      <c r="E914" s="5">
        <v>41400000</v>
      </c>
      <c r="F914" s="5">
        <v>44400000</v>
      </c>
      <c r="G914" s="5">
        <v>3000000</v>
      </c>
      <c r="H914" s="5">
        <v>4140000</v>
      </c>
      <c r="I914" s="5">
        <v>4440000</v>
      </c>
      <c r="J914" s="5">
        <v>41900000</v>
      </c>
      <c r="K914" s="5">
        <v>44900000</v>
      </c>
      <c r="L914" s="3">
        <v>0.97916666666666663</v>
      </c>
    </row>
    <row r="915" spans="1:12" x14ac:dyDescent="0.25">
      <c r="A915" t="s">
        <v>573</v>
      </c>
      <c r="B915" s="2">
        <v>43700</v>
      </c>
      <c r="C915" t="s">
        <v>21</v>
      </c>
      <c r="D915" t="s">
        <v>1636</v>
      </c>
      <c r="E915" s="5">
        <v>42300000</v>
      </c>
      <c r="F915" s="5">
        <v>45300000</v>
      </c>
      <c r="G915" s="5">
        <v>3000000</v>
      </c>
      <c r="H915" s="5">
        <v>4230000</v>
      </c>
      <c r="I915" s="5">
        <v>4530000</v>
      </c>
      <c r="J915" s="5">
        <v>42800000</v>
      </c>
      <c r="K915" s="5">
        <v>45800000</v>
      </c>
      <c r="L915" s="3">
        <v>0.97916666666666663</v>
      </c>
    </row>
    <row r="916" spans="1:12" x14ac:dyDescent="0.25">
      <c r="A916" t="s">
        <v>574</v>
      </c>
      <c r="B916" s="2">
        <v>43703</v>
      </c>
      <c r="C916" t="s">
        <v>16</v>
      </c>
      <c r="D916" t="s">
        <v>1636</v>
      </c>
      <c r="E916" s="5">
        <v>42300000</v>
      </c>
      <c r="F916" s="5">
        <v>45300000</v>
      </c>
      <c r="G916" s="5">
        <v>3000000</v>
      </c>
      <c r="H916" s="5">
        <v>4230000</v>
      </c>
      <c r="I916" s="5">
        <v>4530000</v>
      </c>
      <c r="J916" s="5">
        <v>42800000</v>
      </c>
      <c r="K916" s="5">
        <v>45800000</v>
      </c>
      <c r="L916" s="3">
        <v>0.97916666666666663</v>
      </c>
    </row>
    <row r="917" spans="1:12" x14ac:dyDescent="0.25">
      <c r="A917" t="s">
        <v>575</v>
      </c>
      <c r="B917" s="2">
        <v>43704</v>
      </c>
      <c r="C917" t="s">
        <v>18</v>
      </c>
      <c r="D917" t="s">
        <v>1636</v>
      </c>
      <c r="E917" s="5">
        <v>42700000</v>
      </c>
      <c r="F917" s="5">
        <v>45700000</v>
      </c>
      <c r="G917" s="5">
        <v>3000000</v>
      </c>
      <c r="H917" s="5">
        <v>4270000</v>
      </c>
      <c r="I917" s="5">
        <v>4570000</v>
      </c>
      <c r="J917" s="5">
        <v>43200000</v>
      </c>
      <c r="K917" s="5">
        <v>46200000</v>
      </c>
      <c r="L917" s="3">
        <v>0.97916666666666663</v>
      </c>
    </row>
    <row r="918" spans="1:12" x14ac:dyDescent="0.25">
      <c r="A918" t="s">
        <v>576</v>
      </c>
      <c r="B918" s="2">
        <v>43705</v>
      </c>
      <c r="C918" t="s">
        <v>19</v>
      </c>
      <c r="D918" t="s">
        <v>1636</v>
      </c>
      <c r="E918" s="5">
        <v>42600000</v>
      </c>
      <c r="F918" s="5">
        <v>45600000</v>
      </c>
      <c r="G918" s="5">
        <v>3000000</v>
      </c>
      <c r="H918" s="5">
        <v>4260000</v>
      </c>
      <c r="I918" s="5">
        <v>4560000</v>
      </c>
      <c r="J918" s="5">
        <v>43100000</v>
      </c>
      <c r="K918" s="5">
        <v>46100000</v>
      </c>
      <c r="L918" s="3">
        <v>0.97916666666666663</v>
      </c>
    </row>
    <row r="919" spans="1:12" x14ac:dyDescent="0.25">
      <c r="A919" t="s">
        <v>577</v>
      </c>
      <c r="B919" s="2">
        <v>43706</v>
      </c>
      <c r="C919" t="s">
        <v>20</v>
      </c>
      <c r="D919" t="s">
        <v>1636</v>
      </c>
      <c r="E919" s="5">
        <v>42300000</v>
      </c>
      <c r="F919" s="5">
        <v>45300000</v>
      </c>
      <c r="G919" s="5">
        <v>3000000</v>
      </c>
      <c r="H919" s="5">
        <v>4230000</v>
      </c>
      <c r="I919" s="5">
        <v>4530000</v>
      </c>
      <c r="J919" s="5">
        <v>42800000</v>
      </c>
      <c r="K919" s="5">
        <v>45800000</v>
      </c>
      <c r="L919" s="3">
        <v>0.97916666666666663</v>
      </c>
    </row>
    <row r="920" spans="1:12" x14ac:dyDescent="0.25">
      <c r="A920" t="s">
        <v>578</v>
      </c>
      <c r="B920" s="2">
        <v>43707</v>
      </c>
      <c r="C920" t="s">
        <v>21</v>
      </c>
      <c r="D920" t="s">
        <v>1636</v>
      </c>
      <c r="E920" s="5">
        <v>42000000</v>
      </c>
      <c r="F920" s="5">
        <v>45000000</v>
      </c>
      <c r="G920" s="5">
        <v>3000000</v>
      </c>
      <c r="H920" s="5">
        <v>4200000</v>
      </c>
      <c r="I920" s="5">
        <v>4500000</v>
      </c>
      <c r="J920" s="5">
        <v>42500000</v>
      </c>
      <c r="K920" s="5">
        <v>45500000</v>
      </c>
      <c r="L920" s="3">
        <v>0.97916666666666663</v>
      </c>
    </row>
    <row r="921" spans="1:12" x14ac:dyDescent="0.25">
      <c r="A921" s="2">
        <v>43533</v>
      </c>
      <c r="B921" s="2">
        <v>43711</v>
      </c>
      <c r="C921" t="s">
        <v>18</v>
      </c>
      <c r="D921" t="s">
        <v>1636</v>
      </c>
      <c r="E921" s="5">
        <v>42800000</v>
      </c>
      <c r="F921" s="5">
        <v>45800000</v>
      </c>
      <c r="G921" s="5">
        <v>3000000</v>
      </c>
      <c r="H921" s="5">
        <v>4280000</v>
      </c>
      <c r="I921" s="5">
        <v>4580000</v>
      </c>
      <c r="J921" s="5">
        <v>43300000</v>
      </c>
      <c r="K921" s="5">
        <v>46300000</v>
      </c>
      <c r="L921" s="3">
        <v>0.97916666666666663</v>
      </c>
    </row>
    <row r="922" spans="1:12" x14ac:dyDescent="0.25">
      <c r="A922" s="2">
        <v>43564</v>
      </c>
      <c r="B922" s="2">
        <v>43712</v>
      </c>
      <c r="C922" t="s">
        <v>19</v>
      </c>
      <c r="D922" t="s">
        <v>1636</v>
      </c>
      <c r="E922" s="5">
        <v>43000000</v>
      </c>
      <c r="F922" s="5">
        <v>46000000</v>
      </c>
      <c r="G922" s="5">
        <v>3000000</v>
      </c>
      <c r="H922" s="5">
        <v>4300000</v>
      </c>
      <c r="I922" s="5">
        <v>4600000</v>
      </c>
      <c r="J922" s="5">
        <v>43500000</v>
      </c>
      <c r="K922" s="5">
        <v>46500000</v>
      </c>
      <c r="L922" s="3">
        <v>0.97916666666666663</v>
      </c>
    </row>
    <row r="923" spans="1:12" x14ac:dyDescent="0.25">
      <c r="A923" s="2">
        <v>43594</v>
      </c>
      <c r="B923" s="2">
        <v>43713</v>
      </c>
      <c r="C923" t="s">
        <v>20</v>
      </c>
      <c r="D923" t="s">
        <v>1636</v>
      </c>
      <c r="E923" s="5">
        <v>41900000</v>
      </c>
      <c r="F923" s="5">
        <v>44900000</v>
      </c>
      <c r="G923" s="5">
        <v>3000000</v>
      </c>
      <c r="H923" s="5">
        <v>4190000</v>
      </c>
      <c r="I923" s="5">
        <v>4490000</v>
      </c>
      <c r="J923" s="5">
        <v>42400000</v>
      </c>
      <c r="K923" s="5">
        <v>45400000</v>
      </c>
      <c r="L923" s="3">
        <v>0.97916666666666663</v>
      </c>
    </row>
    <row r="924" spans="1:12" x14ac:dyDescent="0.25">
      <c r="A924" s="2">
        <v>43625</v>
      </c>
      <c r="B924" s="2">
        <v>43714</v>
      </c>
      <c r="C924" t="s">
        <v>21</v>
      </c>
      <c r="D924" t="s">
        <v>1636</v>
      </c>
      <c r="E924" s="5">
        <v>41700000</v>
      </c>
      <c r="F924" s="5">
        <v>44700000</v>
      </c>
      <c r="G924" s="5">
        <v>3000000</v>
      </c>
      <c r="H924" s="5">
        <v>4170000</v>
      </c>
      <c r="I924" s="5">
        <v>4470000</v>
      </c>
      <c r="J924" s="5">
        <v>42200000</v>
      </c>
      <c r="K924" s="5">
        <v>45200000</v>
      </c>
      <c r="L924" s="3">
        <v>0.97916666666666663</v>
      </c>
    </row>
    <row r="925" spans="1:12" x14ac:dyDescent="0.25">
      <c r="A925" s="2">
        <v>43717</v>
      </c>
      <c r="B925" s="2">
        <v>43717</v>
      </c>
      <c r="C925" t="s">
        <v>16</v>
      </c>
      <c r="D925" t="s">
        <v>1636</v>
      </c>
      <c r="E925" s="5">
        <v>41500000</v>
      </c>
      <c r="F925" s="5">
        <v>44500000</v>
      </c>
      <c r="G925" s="5">
        <v>3000000</v>
      </c>
      <c r="H925" s="5">
        <v>4150000</v>
      </c>
      <c r="I925" s="5">
        <v>4450000</v>
      </c>
      <c r="J925" s="5">
        <v>42000000</v>
      </c>
      <c r="K925" s="5">
        <v>45000000</v>
      </c>
      <c r="L925" s="3">
        <v>0.97916666666666663</v>
      </c>
    </row>
    <row r="926" spans="1:12" x14ac:dyDescent="0.25">
      <c r="A926" s="2">
        <v>43747</v>
      </c>
      <c r="B926" s="2">
        <v>43718</v>
      </c>
      <c r="C926" t="s">
        <v>18</v>
      </c>
      <c r="D926" t="s">
        <v>1636</v>
      </c>
      <c r="E926" s="5">
        <v>41200000</v>
      </c>
      <c r="F926" s="5">
        <v>44200000</v>
      </c>
      <c r="G926" s="5">
        <v>3000000</v>
      </c>
      <c r="H926" s="5">
        <v>4120000</v>
      </c>
      <c r="I926" s="5">
        <v>4420000</v>
      </c>
      <c r="J926" s="5">
        <v>41700000</v>
      </c>
      <c r="K926" s="5">
        <v>44700000</v>
      </c>
      <c r="L926" s="3">
        <v>0.97916666666666663</v>
      </c>
    </row>
    <row r="927" spans="1:12" x14ac:dyDescent="0.25">
      <c r="A927" s="2">
        <v>43778</v>
      </c>
      <c r="B927" s="2">
        <v>43719</v>
      </c>
      <c r="C927" t="s">
        <v>19</v>
      </c>
      <c r="D927" t="s">
        <v>1636</v>
      </c>
      <c r="E927" s="5">
        <v>41300000</v>
      </c>
      <c r="F927" s="5">
        <v>44300000</v>
      </c>
      <c r="G927" s="5">
        <v>3000000</v>
      </c>
      <c r="H927" s="5">
        <v>4130000</v>
      </c>
      <c r="I927" s="5">
        <v>4430000</v>
      </c>
      <c r="J927" s="5">
        <v>41800000</v>
      </c>
      <c r="K927" s="5">
        <v>44800000</v>
      </c>
      <c r="L927" s="3">
        <v>0.97916666666666663</v>
      </c>
    </row>
    <row r="928" spans="1:12" x14ac:dyDescent="0.25">
      <c r="A928" s="2">
        <v>43808</v>
      </c>
      <c r="B928" s="2">
        <v>43720</v>
      </c>
      <c r="C928" t="s">
        <v>20</v>
      </c>
      <c r="D928" t="s">
        <v>1636</v>
      </c>
      <c r="E928" s="5">
        <v>41400000</v>
      </c>
      <c r="F928" s="5">
        <v>44400000</v>
      </c>
      <c r="G928" s="5">
        <v>3000000</v>
      </c>
      <c r="H928" s="5">
        <v>4140000</v>
      </c>
      <c r="I928" s="5">
        <v>4440000</v>
      </c>
      <c r="J928" s="5">
        <v>41900000</v>
      </c>
      <c r="K928" s="5">
        <v>44900000</v>
      </c>
      <c r="L928" s="3">
        <v>0.97916666666666663</v>
      </c>
    </row>
    <row r="929" spans="1:12" x14ac:dyDescent="0.25">
      <c r="A929" t="s">
        <v>579</v>
      </c>
      <c r="B929" s="2">
        <v>43721</v>
      </c>
      <c r="C929" t="s">
        <v>21</v>
      </c>
      <c r="D929" t="s">
        <v>1636</v>
      </c>
      <c r="E929" s="5">
        <v>41200000</v>
      </c>
      <c r="F929" s="5">
        <v>44200000</v>
      </c>
      <c r="G929" s="5">
        <v>3000000</v>
      </c>
      <c r="H929" s="5">
        <v>4120000</v>
      </c>
      <c r="I929" s="5">
        <v>4420000</v>
      </c>
      <c r="J929" s="5">
        <v>41700000</v>
      </c>
      <c r="K929" s="5">
        <v>44700000</v>
      </c>
      <c r="L929" s="3">
        <v>0.97916666666666663</v>
      </c>
    </row>
    <row r="930" spans="1:12" x14ac:dyDescent="0.25">
      <c r="A930" t="s">
        <v>580</v>
      </c>
      <c r="B930" s="2">
        <v>43724</v>
      </c>
      <c r="C930" t="s">
        <v>16</v>
      </c>
      <c r="D930" t="s">
        <v>1636</v>
      </c>
      <c r="E930" s="5">
        <v>41600000</v>
      </c>
      <c r="F930" s="5">
        <v>44600000</v>
      </c>
      <c r="G930" s="5">
        <v>3000000</v>
      </c>
      <c r="H930" s="5">
        <v>4160000</v>
      </c>
      <c r="I930" s="5">
        <v>4460000</v>
      </c>
      <c r="J930" s="5">
        <v>42100000</v>
      </c>
      <c r="K930" s="5">
        <v>45100000</v>
      </c>
      <c r="L930" s="3">
        <v>0.97916666666666663</v>
      </c>
    </row>
    <row r="931" spans="1:12" x14ac:dyDescent="0.25">
      <c r="A931" t="s">
        <v>581</v>
      </c>
      <c r="B931" s="2">
        <v>43725</v>
      </c>
      <c r="C931" t="s">
        <v>18</v>
      </c>
      <c r="D931" t="s">
        <v>1636</v>
      </c>
      <c r="E931" s="5">
        <v>41600000</v>
      </c>
      <c r="F931" s="5">
        <v>44600000</v>
      </c>
      <c r="G931" s="5">
        <v>3000000</v>
      </c>
      <c r="H931" s="5">
        <v>4160000</v>
      </c>
      <c r="I931" s="5">
        <v>4460000</v>
      </c>
      <c r="J931" s="5">
        <v>42100000</v>
      </c>
      <c r="K931" s="5">
        <v>45100000</v>
      </c>
      <c r="L931" s="3">
        <v>0.97916666666666663</v>
      </c>
    </row>
    <row r="932" spans="1:12" x14ac:dyDescent="0.25">
      <c r="A932" t="s">
        <v>582</v>
      </c>
      <c r="B932" s="2">
        <v>43726</v>
      </c>
      <c r="C932" t="s">
        <v>19</v>
      </c>
      <c r="D932" t="s">
        <v>1636</v>
      </c>
      <c r="E932" s="5">
        <v>41700000</v>
      </c>
      <c r="F932" s="5">
        <v>44700000</v>
      </c>
      <c r="G932" s="5">
        <v>3000000</v>
      </c>
      <c r="H932" s="5">
        <v>4170000</v>
      </c>
      <c r="I932" s="5">
        <v>4470000</v>
      </c>
      <c r="J932" s="5">
        <v>42200000</v>
      </c>
      <c r="K932" s="5">
        <v>45200000</v>
      </c>
      <c r="L932" s="3">
        <v>0.97916666666666663</v>
      </c>
    </row>
    <row r="933" spans="1:12" x14ac:dyDescent="0.25">
      <c r="A933" t="s">
        <v>583</v>
      </c>
      <c r="B933" s="2">
        <v>43727</v>
      </c>
      <c r="C933" t="s">
        <v>20</v>
      </c>
      <c r="D933" t="s">
        <v>1636</v>
      </c>
      <c r="E933" s="5">
        <v>41400000</v>
      </c>
      <c r="F933" s="5">
        <v>44400000</v>
      </c>
      <c r="G933" s="5">
        <v>3000000</v>
      </c>
      <c r="H933" s="5">
        <v>4140000</v>
      </c>
      <c r="I933" s="5">
        <v>4440000</v>
      </c>
      <c r="J933" s="5">
        <v>41900000</v>
      </c>
      <c r="K933" s="5">
        <v>44900000</v>
      </c>
      <c r="L933" s="3">
        <v>0.97916666666666663</v>
      </c>
    </row>
    <row r="934" spans="1:12" x14ac:dyDescent="0.25">
      <c r="A934" t="s">
        <v>584</v>
      </c>
      <c r="B934" s="2">
        <v>43728</v>
      </c>
      <c r="C934" t="s">
        <v>21</v>
      </c>
      <c r="D934" t="s">
        <v>1636</v>
      </c>
      <c r="E934" s="5">
        <v>41700000</v>
      </c>
      <c r="F934" s="5">
        <v>44700000</v>
      </c>
      <c r="G934" s="5">
        <v>3000000</v>
      </c>
      <c r="H934" s="5">
        <v>4170000</v>
      </c>
      <c r="I934" s="5">
        <v>4470000</v>
      </c>
      <c r="J934" s="5">
        <v>42200000</v>
      </c>
      <c r="K934" s="5">
        <v>45200000</v>
      </c>
      <c r="L934" s="3">
        <v>0.97916666666666663</v>
      </c>
    </row>
    <row r="935" spans="1:12" x14ac:dyDescent="0.25">
      <c r="A935" t="s">
        <v>585</v>
      </c>
      <c r="B935" s="2">
        <v>43731</v>
      </c>
      <c r="C935" t="s">
        <v>16</v>
      </c>
      <c r="D935" t="s">
        <v>1636</v>
      </c>
      <c r="E935" s="5">
        <v>42200000</v>
      </c>
      <c r="F935" s="5">
        <v>45200000</v>
      </c>
      <c r="G935" s="5">
        <v>3000000</v>
      </c>
      <c r="H935" s="5">
        <v>4220000</v>
      </c>
      <c r="I935" s="5">
        <v>4520000</v>
      </c>
      <c r="J935" s="5">
        <v>42700000</v>
      </c>
      <c r="K935" s="5">
        <v>45700000</v>
      </c>
      <c r="L935" s="3">
        <v>0.97916666666666663</v>
      </c>
    </row>
    <row r="936" spans="1:12" x14ac:dyDescent="0.25">
      <c r="A936" t="s">
        <v>586</v>
      </c>
      <c r="B936" s="2">
        <v>43732</v>
      </c>
      <c r="C936" t="s">
        <v>18</v>
      </c>
      <c r="D936" t="s">
        <v>1636</v>
      </c>
      <c r="E936" s="5">
        <v>42400000</v>
      </c>
      <c r="F936" s="5">
        <v>45400000</v>
      </c>
      <c r="G936" s="5">
        <v>3000000</v>
      </c>
      <c r="H936" s="5">
        <v>4240000</v>
      </c>
      <c r="I936" s="5">
        <v>4540000</v>
      </c>
      <c r="J936" s="5">
        <v>42900000</v>
      </c>
      <c r="K936" s="5">
        <v>45900000</v>
      </c>
      <c r="L936" s="3">
        <v>0.97916666666666663</v>
      </c>
    </row>
    <row r="937" spans="1:12" x14ac:dyDescent="0.25">
      <c r="A937" t="s">
        <v>587</v>
      </c>
      <c r="B937" s="2">
        <v>43733</v>
      </c>
      <c r="C937" t="s">
        <v>19</v>
      </c>
      <c r="D937" t="s">
        <v>1636</v>
      </c>
      <c r="E937" s="5">
        <v>41600000</v>
      </c>
      <c r="F937" s="5">
        <v>44600000</v>
      </c>
      <c r="G937" s="5">
        <v>3000000</v>
      </c>
      <c r="H937" s="5">
        <v>4160000</v>
      </c>
      <c r="I937" s="5">
        <v>4460000</v>
      </c>
      <c r="J937" s="5">
        <v>42100000</v>
      </c>
      <c r="K937" s="5">
        <v>45100000</v>
      </c>
      <c r="L937" s="3">
        <v>0.97916666666666663</v>
      </c>
    </row>
    <row r="938" spans="1:12" x14ac:dyDescent="0.25">
      <c r="A938" t="s">
        <v>588</v>
      </c>
      <c r="B938" s="2">
        <v>43734</v>
      </c>
      <c r="C938" t="s">
        <v>20</v>
      </c>
      <c r="D938" t="s">
        <v>1636</v>
      </c>
      <c r="E938" s="5">
        <v>41700000</v>
      </c>
      <c r="F938" s="5">
        <v>44700000</v>
      </c>
      <c r="G938" s="5">
        <v>3000000</v>
      </c>
      <c r="H938" s="5">
        <v>4170000</v>
      </c>
      <c r="I938" s="5">
        <v>4470000</v>
      </c>
      <c r="J938" s="5">
        <v>42200000</v>
      </c>
      <c r="K938" s="5">
        <v>45200000</v>
      </c>
      <c r="L938" s="3">
        <v>0.97916666666666663</v>
      </c>
    </row>
    <row r="939" spans="1:12" x14ac:dyDescent="0.25">
      <c r="A939" t="s">
        <v>589</v>
      </c>
      <c r="B939" s="2">
        <v>43735</v>
      </c>
      <c r="C939" t="s">
        <v>21</v>
      </c>
      <c r="D939" t="s">
        <v>1636</v>
      </c>
      <c r="E939" s="5">
        <v>41400000</v>
      </c>
      <c r="F939" s="5">
        <v>44400000</v>
      </c>
      <c r="G939" s="5">
        <v>3000000</v>
      </c>
      <c r="H939" s="5">
        <v>4140000</v>
      </c>
      <c r="I939" s="5">
        <v>4440000</v>
      </c>
      <c r="J939" s="5">
        <v>41900000</v>
      </c>
      <c r="K939" s="5">
        <v>44900000</v>
      </c>
      <c r="L939" s="3">
        <v>0.97916666666666663</v>
      </c>
    </row>
    <row r="940" spans="1:12" x14ac:dyDescent="0.25">
      <c r="A940" t="s">
        <v>590</v>
      </c>
      <c r="B940" s="2">
        <v>43738</v>
      </c>
      <c r="C940" t="s">
        <v>16</v>
      </c>
      <c r="D940" t="s">
        <v>1636</v>
      </c>
      <c r="E940" s="5">
        <v>40500000</v>
      </c>
      <c r="F940" s="5">
        <v>43500000</v>
      </c>
      <c r="G940" s="5">
        <v>3000000</v>
      </c>
      <c r="H940" s="5">
        <v>4050000</v>
      </c>
      <c r="I940" s="5">
        <v>4350000</v>
      </c>
      <c r="J940" s="5">
        <v>41000000</v>
      </c>
      <c r="K940" s="5">
        <v>44000000</v>
      </c>
      <c r="L940" s="3">
        <v>0.97916666666666663</v>
      </c>
    </row>
    <row r="941" spans="1:12" x14ac:dyDescent="0.25">
      <c r="A941" s="2">
        <v>43475</v>
      </c>
      <c r="B941" s="2">
        <v>43739</v>
      </c>
      <c r="C941" t="s">
        <v>18</v>
      </c>
      <c r="D941" t="s">
        <v>1636</v>
      </c>
      <c r="E941" s="5">
        <v>40900000</v>
      </c>
      <c r="F941" s="5">
        <v>43900000</v>
      </c>
      <c r="G941" s="5">
        <v>3000000</v>
      </c>
      <c r="H941" s="5">
        <v>4090000</v>
      </c>
      <c r="I941" s="5">
        <v>4390000</v>
      </c>
      <c r="J941" s="5">
        <v>41400000</v>
      </c>
      <c r="K941" s="5">
        <v>44400000</v>
      </c>
      <c r="L941" s="3">
        <v>0.97916666666666663</v>
      </c>
    </row>
    <row r="942" spans="1:12" x14ac:dyDescent="0.25">
      <c r="A942" s="2">
        <v>43506</v>
      </c>
      <c r="B942" s="2">
        <v>43740</v>
      </c>
      <c r="C942" t="s">
        <v>19</v>
      </c>
      <c r="D942" t="s">
        <v>1636</v>
      </c>
      <c r="E942" s="5">
        <v>41500000</v>
      </c>
      <c r="F942" s="5">
        <v>44500000</v>
      </c>
      <c r="G942" s="5">
        <v>3000000</v>
      </c>
      <c r="H942" s="5">
        <v>4150000</v>
      </c>
      <c r="I942" s="5">
        <v>4450000</v>
      </c>
      <c r="J942" s="5">
        <v>42000000</v>
      </c>
      <c r="K942" s="5">
        <v>45000000</v>
      </c>
      <c r="L942" s="3">
        <v>0.97916666666666663</v>
      </c>
    </row>
    <row r="943" spans="1:12" x14ac:dyDescent="0.25">
      <c r="A943" s="2">
        <v>43534</v>
      </c>
      <c r="B943" s="2">
        <v>43741</v>
      </c>
      <c r="C943" t="s">
        <v>20</v>
      </c>
      <c r="D943" t="s">
        <v>1636</v>
      </c>
      <c r="E943" s="5">
        <v>41700000</v>
      </c>
      <c r="F943" s="5">
        <v>44700000</v>
      </c>
      <c r="G943" s="5">
        <v>3000000</v>
      </c>
      <c r="H943" s="5">
        <v>4170000</v>
      </c>
      <c r="I943" s="5">
        <v>4470000</v>
      </c>
      <c r="J943" s="5">
        <v>42200000</v>
      </c>
      <c r="K943" s="5">
        <v>45200000</v>
      </c>
      <c r="L943" s="3">
        <v>0.97916666666666663</v>
      </c>
    </row>
    <row r="944" spans="1:12" x14ac:dyDescent="0.25">
      <c r="A944" s="2">
        <v>43565</v>
      </c>
      <c r="B944" s="2">
        <v>43742</v>
      </c>
      <c r="C944" t="s">
        <v>21</v>
      </c>
      <c r="D944" t="s">
        <v>1636</v>
      </c>
      <c r="E944" s="5">
        <v>41700000</v>
      </c>
      <c r="F944" s="5">
        <v>44700000</v>
      </c>
      <c r="G944" s="5">
        <v>3000000</v>
      </c>
      <c r="H944" s="5">
        <v>4170000</v>
      </c>
      <c r="I944" s="5">
        <v>4470000</v>
      </c>
      <c r="J944" s="5">
        <v>42200000</v>
      </c>
      <c r="K944" s="5">
        <v>45200000</v>
      </c>
      <c r="L944" s="3">
        <v>0.97916666666666663</v>
      </c>
    </row>
    <row r="945" spans="1:12" x14ac:dyDescent="0.25">
      <c r="A945" s="2">
        <v>43656</v>
      </c>
      <c r="B945" s="2">
        <v>43745</v>
      </c>
      <c r="C945" t="s">
        <v>16</v>
      </c>
      <c r="D945" t="s">
        <v>1636</v>
      </c>
      <c r="E945" s="5">
        <v>41400000</v>
      </c>
      <c r="F945" s="5">
        <v>44400000</v>
      </c>
      <c r="G945" s="5">
        <v>3000000</v>
      </c>
      <c r="H945" s="5">
        <v>4140000</v>
      </c>
      <c r="I945" s="5">
        <v>4440000</v>
      </c>
      <c r="J945" s="5">
        <v>41900000</v>
      </c>
      <c r="K945" s="5">
        <v>44900000</v>
      </c>
      <c r="L945" s="3">
        <v>0.97916666666666663</v>
      </c>
    </row>
    <row r="946" spans="1:12" x14ac:dyDescent="0.25">
      <c r="A946" s="2">
        <v>43687</v>
      </c>
      <c r="B946" s="2">
        <v>43746</v>
      </c>
      <c r="C946" t="s">
        <v>18</v>
      </c>
      <c r="D946" t="s">
        <v>1636</v>
      </c>
      <c r="E946" s="5">
        <v>41400000</v>
      </c>
      <c r="F946" s="5">
        <v>44400000</v>
      </c>
      <c r="G946" s="5">
        <v>3000000</v>
      </c>
      <c r="H946" s="5">
        <v>4140000</v>
      </c>
      <c r="I946" s="5">
        <v>4440000</v>
      </c>
      <c r="J946" s="5">
        <v>41900000</v>
      </c>
      <c r="K946" s="5">
        <v>44900000</v>
      </c>
      <c r="L946" s="3">
        <v>0.97916666666666663</v>
      </c>
    </row>
    <row r="947" spans="1:12" x14ac:dyDescent="0.25">
      <c r="A947" s="2">
        <v>43718</v>
      </c>
      <c r="B947" s="2">
        <v>43747</v>
      </c>
      <c r="C947" t="s">
        <v>19</v>
      </c>
      <c r="D947" t="s">
        <v>1636</v>
      </c>
      <c r="E947" s="5">
        <v>41700000</v>
      </c>
      <c r="F947" s="5">
        <v>44700000</v>
      </c>
      <c r="G947" s="5">
        <v>3000000</v>
      </c>
      <c r="H947" s="5">
        <v>4170000</v>
      </c>
      <c r="I947" s="5">
        <v>4470000</v>
      </c>
      <c r="J947" s="5">
        <v>42200000</v>
      </c>
      <c r="K947" s="5">
        <v>45200000</v>
      </c>
      <c r="L947" s="3">
        <v>0.97916666666666663</v>
      </c>
    </row>
    <row r="948" spans="1:12" x14ac:dyDescent="0.25">
      <c r="A948" s="2">
        <v>43748</v>
      </c>
      <c r="B948" s="2">
        <v>43748</v>
      </c>
      <c r="C948" t="s">
        <v>20</v>
      </c>
      <c r="D948" t="s">
        <v>1636</v>
      </c>
      <c r="E948" s="5">
        <v>41300000</v>
      </c>
      <c r="F948" s="5">
        <v>44300000</v>
      </c>
      <c r="G948" s="5">
        <v>3000000</v>
      </c>
      <c r="H948" s="5">
        <v>4130000</v>
      </c>
      <c r="I948" s="5">
        <v>4430000</v>
      </c>
      <c r="J948" s="5">
        <v>41800000</v>
      </c>
      <c r="K948" s="5">
        <v>44800000</v>
      </c>
      <c r="L948" s="3">
        <v>0.97916666666666663</v>
      </c>
    </row>
    <row r="949" spans="1:12" x14ac:dyDescent="0.25">
      <c r="A949" s="2">
        <v>43779</v>
      </c>
      <c r="B949" s="2">
        <v>43749</v>
      </c>
      <c r="C949" t="s">
        <v>21</v>
      </c>
      <c r="D949" t="s">
        <v>1636</v>
      </c>
      <c r="E949" s="5">
        <v>41000000</v>
      </c>
      <c r="F949" s="5">
        <v>44000000</v>
      </c>
      <c r="G949" s="5">
        <v>3000000</v>
      </c>
      <c r="H949" s="5">
        <v>4100000</v>
      </c>
      <c r="I949" s="5">
        <v>4400000</v>
      </c>
      <c r="J949" s="5">
        <v>41500000</v>
      </c>
      <c r="K949" s="5">
        <v>44500000</v>
      </c>
      <c r="L949" s="3">
        <v>0.97916666666666663</v>
      </c>
    </row>
    <row r="950" spans="1:12" x14ac:dyDescent="0.25">
      <c r="A950" t="s">
        <v>591</v>
      </c>
      <c r="B950" s="2">
        <v>43752</v>
      </c>
      <c r="C950" t="s">
        <v>16</v>
      </c>
      <c r="D950" t="s">
        <v>1636</v>
      </c>
      <c r="E950" s="5">
        <v>41200000</v>
      </c>
      <c r="F950" s="5">
        <v>44200000</v>
      </c>
      <c r="G950" s="5">
        <v>3000000</v>
      </c>
      <c r="H950" s="5">
        <v>4120000</v>
      </c>
      <c r="I950" s="5">
        <v>4420000</v>
      </c>
      <c r="J950" s="5">
        <v>41700000</v>
      </c>
      <c r="K950" s="5">
        <v>44700000</v>
      </c>
      <c r="L950" s="3">
        <v>0.97916666666666663</v>
      </c>
    </row>
    <row r="951" spans="1:12" x14ac:dyDescent="0.25">
      <c r="A951" t="s">
        <v>592</v>
      </c>
      <c r="B951" s="2">
        <v>43753</v>
      </c>
      <c r="C951" t="s">
        <v>18</v>
      </c>
      <c r="D951" t="s">
        <v>1636</v>
      </c>
      <c r="E951" s="5">
        <v>40800000</v>
      </c>
      <c r="F951" s="5">
        <v>43800000</v>
      </c>
      <c r="G951" s="5">
        <v>3000000</v>
      </c>
      <c r="H951" s="5">
        <v>4080000</v>
      </c>
      <c r="I951" s="5">
        <v>4380000</v>
      </c>
      <c r="J951" s="5">
        <v>41300000</v>
      </c>
      <c r="K951" s="5">
        <v>44300000</v>
      </c>
      <c r="L951" s="3">
        <v>0.97916666666666663</v>
      </c>
    </row>
    <row r="952" spans="1:12" x14ac:dyDescent="0.25">
      <c r="A952" t="s">
        <v>593</v>
      </c>
      <c r="B952" s="2">
        <v>43754</v>
      </c>
      <c r="C952" t="s">
        <v>19</v>
      </c>
      <c r="D952" t="s">
        <v>1636</v>
      </c>
      <c r="E952" s="5">
        <v>41100000</v>
      </c>
      <c r="F952" s="5">
        <v>44100000</v>
      </c>
      <c r="G952" s="5">
        <v>3000000</v>
      </c>
      <c r="H952" s="5">
        <v>4110000</v>
      </c>
      <c r="I952" s="5">
        <v>4410000</v>
      </c>
      <c r="J952" s="5">
        <v>41600000</v>
      </c>
      <c r="K952" s="5">
        <v>44600000</v>
      </c>
      <c r="L952" s="3">
        <v>0.97916666666666663</v>
      </c>
    </row>
    <row r="953" spans="1:12" x14ac:dyDescent="0.25">
      <c r="A953" t="s">
        <v>594</v>
      </c>
      <c r="B953" s="2">
        <v>43755</v>
      </c>
      <c r="C953" t="s">
        <v>20</v>
      </c>
      <c r="D953" t="s">
        <v>1636</v>
      </c>
      <c r="E953" s="5">
        <v>41200000</v>
      </c>
      <c r="F953" s="5">
        <v>44200000</v>
      </c>
      <c r="G953" s="5">
        <v>3000000</v>
      </c>
      <c r="H953" s="5">
        <v>4120000</v>
      </c>
      <c r="I953" s="5">
        <v>4420000</v>
      </c>
      <c r="J953" s="5">
        <v>41700000</v>
      </c>
      <c r="K953" s="5">
        <v>44700000</v>
      </c>
      <c r="L953" s="3">
        <v>0.97916666666666663</v>
      </c>
    </row>
    <row r="954" spans="1:12" x14ac:dyDescent="0.25">
      <c r="A954" t="s">
        <v>595</v>
      </c>
      <c r="B954" s="2">
        <v>43756</v>
      </c>
      <c r="C954" t="s">
        <v>21</v>
      </c>
      <c r="D954" t="s">
        <v>1636</v>
      </c>
      <c r="E954" s="5">
        <v>41100000</v>
      </c>
      <c r="F954" s="5">
        <v>44100000</v>
      </c>
      <c r="G954" s="5">
        <v>3000000</v>
      </c>
      <c r="H954" s="5">
        <v>4110000</v>
      </c>
      <c r="I954" s="5">
        <v>4410000</v>
      </c>
      <c r="J954" s="5">
        <v>41600000</v>
      </c>
      <c r="K954" s="5">
        <v>44600000</v>
      </c>
      <c r="L954" s="3">
        <v>0.97916666666666663</v>
      </c>
    </row>
    <row r="955" spans="1:12" x14ac:dyDescent="0.25">
      <c r="A955" t="s">
        <v>596</v>
      </c>
      <c r="B955" s="2">
        <v>43759</v>
      </c>
      <c r="C955" t="s">
        <v>16</v>
      </c>
      <c r="D955" t="s">
        <v>1636</v>
      </c>
      <c r="E955" s="5">
        <v>41000000</v>
      </c>
      <c r="F955" s="5">
        <v>44000000</v>
      </c>
      <c r="G955" s="5">
        <v>3000000</v>
      </c>
      <c r="H955" s="5">
        <v>4100000</v>
      </c>
      <c r="I955" s="5">
        <v>4400000</v>
      </c>
      <c r="J955" s="5">
        <v>41500000</v>
      </c>
      <c r="K955" s="5">
        <v>44500000</v>
      </c>
      <c r="L955" s="3">
        <v>0.97916666666666663</v>
      </c>
    </row>
    <row r="956" spans="1:12" x14ac:dyDescent="0.25">
      <c r="A956" t="s">
        <v>597</v>
      </c>
      <c r="B956" s="2">
        <v>43760</v>
      </c>
      <c r="C956" t="s">
        <v>18</v>
      </c>
      <c r="D956" t="s">
        <v>1636</v>
      </c>
      <c r="E956" s="5">
        <v>40900000</v>
      </c>
      <c r="F956" s="5">
        <v>43900000</v>
      </c>
      <c r="G956" s="5">
        <v>3000000</v>
      </c>
      <c r="H956" s="5">
        <v>4090000</v>
      </c>
      <c r="I956" s="5">
        <v>4390000</v>
      </c>
      <c r="J956" s="5">
        <v>41400000</v>
      </c>
      <c r="K956" s="5">
        <v>44400000</v>
      </c>
      <c r="L956" s="3">
        <v>0.97916666666666663</v>
      </c>
    </row>
    <row r="957" spans="1:12" x14ac:dyDescent="0.25">
      <c r="A957" t="s">
        <v>598</v>
      </c>
      <c r="B957" s="2">
        <v>43761</v>
      </c>
      <c r="C957" t="s">
        <v>19</v>
      </c>
      <c r="D957" t="s">
        <v>1636</v>
      </c>
      <c r="E957" s="5">
        <v>41200000</v>
      </c>
      <c r="F957" s="5">
        <v>44200000</v>
      </c>
      <c r="G957" s="5">
        <v>3000000</v>
      </c>
      <c r="H957" s="5">
        <v>4120000</v>
      </c>
      <c r="I957" s="5">
        <v>4420000</v>
      </c>
      <c r="J957" s="5">
        <v>41700000</v>
      </c>
      <c r="K957" s="5">
        <v>44700000</v>
      </c>
      <c r="L957" s="3">
        <v>0.97916666666666663</v>
      </c>
    </row>
    <row r="958" spans="1:12" x14ac:dyDescent="0.25">
      <c r="A958" t="s">
        <v>599</v>
      </c>
      <c r="B958" s="2">
        <v>43762</v>
      </c>
      <c r="C958" t="s">
        <v>20</v>
      </c>
      <c r="D958" t="s">
        <v>1636</v>
      </c>
      <c r="E958" s="5">
        <v>41400000</v>
      </c>
      <c r="F958" s="5">
        <v>44400000</v>
      </c>
      <c r="G958" s="5">
        <v>3000000</v>
      </c>
      <c r="H958" s="5">
        <v>4140000</v>
      </c>
      <c r="I958" s="5">
        <v>4440000</v>
      </c>
      <c r="J958" s="5">
        <v>41900000</v>
      </c>
      <c r="K958" s="5">
        <v>44900000</v>
      </c>
      <c r="L958" s="3">
        <v>0.97916666666666663</v>
      </c>
    </row>
    <row r="959" spans="1:12" x14ac:dyDescent="0.25">
      <c r="A959" t="s">
        <v>600</v>
      </c>
      <c r="B959" s="2">
        <v>43763</v>
      </c>
      <c r="C959" t="s">
        <v>21</v>
      </c>
      <c r="D959" t="s">
        <v>1636</v>
      </c>
      <c r="E959" s="5">
        <v>41500000</v>
      </c>
      <c r="F959" s="5">
        <v>44500000</v>
      </c>
      <c r="G959" s="5">
        <v>3000000</v>
      </c>
      <c r="H959" s="5">
        <v>4150000</v>
      </c>
      <c r="I959" s="5">
        <v>4450000</v>
      </c>
      <c r="J959" s="5">
        <v>42000000</v>
      </c>
      <c r="K959" s="5">
        <v>45000000</v>
      </c>
      <c r="L959" s="3">
        <v>0.97916666666666663</v>
      </c>
    </row>
    <row r="960" spans="1:12" x14ac:dyDescent="0.25">
      <c r="A960" t="s">
        <v>601</v>
      </c>
      <c r="B960" s="2">
        <v>43766</v>
      </c>
      <c r="C960" t="s">
        <v>16</v>
      </c>
      <c r="D960" t="s">
        <v>1636</v>
      </c>
      <c r="E960" s="5">
        <v>41200000</v>
      </c>
      <c r="F960" s="5">
        <v>44200000</v>
      </c>
      <c r="G960" s="5">
        <v>3000000</v>
      </c>
      <c r="H960" s="5">
        <v>4120000</v>
      </c>
      <c r="I960" s="5">
        <v>4420000</v>
      </c>
      <c r="J960" s="5">
        <v>41700000</v>
      </c>
      <c r="K960" s="5">
        <v>44700000</v>
      </c>
      <c r="L960" s="3">
        <v>0.97916666666666663</v>
      </c>
    </row>
    <row r="961" spans="1:12" x14ac:dyDescent="0.25">
      <c r="A961" t="s">
        <v>602</v>
      </c>
      <c r="B961" s="2">
        <v>43767</v>
      </c>
      <c r="C961" t="s">
        <v>18</v>
      </c>
      <c r="D961" t="s">
        <v>1636</v>
      </c>
      <c r="E961" s="5">
        <v>41100000</v>
      </c>
      <c r="F961" s="5">
        <v>44100000</v>
      </c>
      <c r="G961" s="5">
        <v>3000000</v>
      </c>
      <c r="H961" s="5">
        <v>4110000</v>
      </c>
      <c r="I961" s="5">
        <v>4410000</v>
      </c>
      <c r="J961" s="5">
        <v>41600000</v>
      </c>
      <c r="K961" s="5">
        <v>44600000</v>
      </c>
      <c r="L961" s="3">
        <v>0.97916666666666663</v>
      </c>
    </row>
    <row r="962" spans="1:12" x14ac:dyDescent="0.25">
      <c r="A962" t="s">
        <v>603</v>
      </c>
      <c r="B962" s="2">
        <v>43768</v>
      </c>
      <c r="C962" t="s">
        <v>19</v>
      </c>
      <c r="D962" t="s">
        <v>1636</v>
      </c>
      <c r="E962" s="5">
        <v>41300000</v>
      </c>
      <c r="F962" s="5">
        <v>44300000</v>
      </c>
      <c r="G962" s="5">
        <v>3000000</v>
      </c>
      <c r="H962" s="5">
        <v>4130000</v>
      </c>
      <c r="I962" s="5">
        <v>4430000</v>
      </c>
      <c r="J962" s="5">
        <v>41800000</v>
      </c>
      <c r="K962" s="5">
        <v>44800000</v>
      </c>
      <c r="L962" s="3">
        <v>0.97916666666666663</v>
      </c>
    </row>
    <row r="963" spans="1:12" x14ac:dyDescent="0.25">
      <c r="A963" t="s">
        <v>604</v>
      </c>
      <c r="B963" s="2">
        <v>43769</v>
      </c>
      <c r="C963" t="s">
        <v>20</v>
      </c>
      <c r="D963" t="s">
        <v>1636</v>
      </c>
      <c r="E963" s="5">
        <v>41800000</v>
      </c>
      <c r="F963" s="5">
        <v>44800000</v>
      </c>
      <c r="G963" s="5">
        <v>3000000</v>
      </c>
      <c r="H963" s="5">
        <v>4180000</v>
      </c>
      <c r="I963" s="5">
        <v>4480000</v>
      </c>
      <c r="J963" s="5">
        <v>42300000</v>
      </c>
      <c r="K963" s="5">
        <v>45300000</v>
      </c>
      <c r="L963" s="3">
        <v>0.97916666666666663</v>
      </c>
    </row>
    <row r="964" spans="1:12" x14ac:dyDescent="0.25">
      <c r="A964" s="2">
        <v>43476</v>
      </c>
      <c r="B964" s="2">
        <v>43770</v>
      </c>
      <c r="C964" t="s">
        <v>21</v>
      </c>
      <c r="D964" t="s">
        <v>1636</v>
      </c>
      <c r="E964" s="5">
        <v>41700000</v>
      </c>
      <c r="F964" s="5">
        <v>44700000</v>
      </c>
      <c r="G964" s="5">
        <v>3000000</v>
      </c>
      <c r="H964" s="5">
        <v>4170000</v>
      </c>
      <c r="I964" s="5">
        <v>4470000</v>
      </c>
      <c r="J964" s="5">
        <v>42200000</v>
      </c>
      <c r="K964" s="5">
        <v>45200000</v>
      </c>
      <c r="L964" s="3">
        <v>0.97916666666666663</v>
      </c>
    </row>
    <row r="965" spans="1:12" x14ac:dyDescent="0.25">
      <c r="A965" s="2">
        <v>43566</v>
      </c>
      <c r="B965" s="2">
        <v>43773</v>
      </c>
      <c r="C965" t="s">
        <v>16</v>
      </c>
      <c r="D965" t="s">
        <v>1636</v>
      </c>
      <c r="E965" s="5">
        <v>41700000</v>
      </c>
      <c r="F965" s="5">
        <v>44700000</v>
      </c>
      <c r="G965" s="5">
        <v>3000000</v>
      </c>
      <c r="H965" s="5">
        <v>4170000</v>
      </c>
      <c r="I965" s="5">
        <v>4470000</v>
      </c>
      <c r="J965" s="5">
        <v>42200000</v>
      </c>
      <c r="K965" s="5">
        <v>45200000</v>
      </c>
      <c r="L965" s="3">
        <v>0.97916666666666663</v>
      </c>
    </row>
    <row r="966" spans="1:12" x14ac:dyDescent="0.25">
      <c r="A966" s="2">
        <v>43596</v>
      </c>
      <c r="B966" s="2">
        <v>43774</v>
      </c>
      <c r="C966" t="s">
        <v>18</v>
      </c>
      <c r="D966" t="s">
        <v>1636</v>
      </c>
      <c r="E966" s="5">
        <v>40900000</v>
      </c>
      <c r="F966" s="5">
        <v>43900000</v>
      </c>
      <c r="G966" s="5">
        <v>3000000</v>
      </c>
      <c r="H966" s="5">
        <v>4090000</v>
      </c>
      <c r="I966" s="5">
        <v>4390000</v>
      </c>
      <c r="J966" s="5">
        <v>41400000</v>
      </c>
      <c r="K966" s="5">
        <v>44400000</v>
      </c>
      <c r="L966" s="3">
        <v>0.97916666666666663</v>
      </c>
    </row>
    <row r="967" spans="1:12" x14ac:dyDescent="0.25">
      <c r="A967" s="2">
        <v>43627</v>
      </c>
      <c r="B967" s="2">
        <v>43775</v>
      </c>
      <c r="C967" t="s">
        <v>19</v>
      </c>
      <c r="D967" t="s">
        <v>1636</v>
      </c>
      <c r="E967" s="5">
        <v>41200000</v>
      </c>
      <c r="F967" s="5">
        <v>44200000</v>
      </c>
      <c r="G967" s="5">
        <v>3000000</v>
      </c>
      <c r="H967" s="5">
        <v>4120000</v>
      </c>
      <c r="I967" s="5">
        <v>4420000</v>
      </c>
      <c r="J967" s="5">
        <v>41700000</v>
      </c>
      <c r="K967" s="5">
        <v>44700000</v>
      </c>
      <c r="L967" s="3">
        <v>0.97916666666666663</v>
      </c>
    </row>
    <row r="968" spans="1:12" x14ac:dyDescent="0.25">
      <c r="A968" s="2">
        <v>43657</v>
      </c>
      <c r="B968" s="2">
        <v>43776</v>
      </c>
      <c r="C968" t="s">
        <v>20</v>
      </c>
      <c r="D968" t="s">
        <v>1636</v>
      </c>
      <c r="E968" s="5">
        <v>40400000</v>
      </c>
      <c r="F968" s="5">
        <v>43400000</v>
      </c>
      <c r="G968" s="5">
        <v>3000000</v>
      </c>
      <c r="H968" s="5">
        <v>4040000</v>
      </c>
      <c r="I968" s="5">
        <v>4340000</v>
      </c>
      <c r="J968" s="5">
        <v>40900000</v>
      </c>
      <c r="K968" s="5">
        <v>43900000</v>
      </c>
      <c r="L968" s="3">
        <v>0.97916666666666663</v>
      </c>
    </row>
    <row r="969" spans="1:12" x14ac:dyDescent="0.25">
      <c r="A969" s="2">
        <v>43688</v>
      </c>
      <c r="B969" s="2">
        <v>43777</v>
      </c>
      <c r="C969" t="s">
        <v>21</v>
      </c>
      <c r="D969" t="s">
        <v>1636</v>
      </c>
      <c r="E969" s="5">
        <v>40300000</v>
      </c>
      <c r="F969" s="5">
        <v>43300000</v>
      </c>
      <c r="G969" s="5">
        <v>3000000</v>
      </c>
      <c r="H969" s="5">
        <v>4030000</v>
      </c>
      <c r="I969" s="5">
        <v>4330000</v>
      </c>
      <c r="J969" s="5">
        <v>40800000</v>
      </c>
      <c r="K969" s="5">
        <v>43800000</v>
      </c>
      <c r="L969" s="3">
        <v>0.97916666666666663</v>
      </c>
    </row>
    <row r="970" spans="1:12" x14ac:dyDescent="0.25">
      <c r="A970" s="2">
        <v>43780</v>
      </c>
      <c r="B970" s="2">
        <v>43780</v>
      </c>
      <c r="C970" t="s">
        <v>16</v>
      </c>
      <c r="D970" t="s">
        <v>1636</v>
      </c>
      <c r="E970" s="5">
        <v>40200000</v>
      </c>
      <c r="F970" s="5">
        <v>43200000</v>
      </c>
      <c r="G970" s="5">
        <v>3000000</v>
      </c>
      <c r="H970" s="5">
        <v>4020000</v>
      </c>
      <c r="I970" s="5">
        <v>4320000</v>
      </c>
      <c r="J970" s="5">
        <v>40700000</v>
      </c>
      <c r="K970" s="5">
        <v>43700000</v>
      </c>
      <c r="L970" s="3">
        <v>0.97916666666666663</v>
      </c>
    </row>
    <row r="971" spans="1:12" x14ac:dyDescent="0.25">
      <c r="A971" s="2">
        <v>43810</v>
      </c>
      <c r="B971" s="2">
        <v>43781</v>
      </c>
      <c r="C971" t="s">
        <v>18</v>
      </c>
      <c r="D971" t="s">
        <v>1636</v>
      </c>
      <c r="E971" s="5">
        <v>40100000</v>
      </c>
      <c r="F971" s="5">
        <v>43100000</v>
      </c>
      <c r="G971" s="5">
        <v>3000000</v>
      </c>
      <c r="H971" s="5">
        <v>4010000</v>
      </c>
      <c r="I971" s="5">
        <v>4310000</v>
      </c>
      <c r="J971" s="5">
        <v>40600000</v>
      </c>
      <c r="K971" s="5">
        <v>43600000</v>
      </c>
      <c r="L971" s="3">
        <v>0.97916666666666663</v>
      </c>
    </row>
    <row r="972" spans="1:12" x14ac:dyDescent="0.25">
      <c r="A972" t="s">
        <v>605</v>
      </c>
      <c r="B972" s="2">
        <v>43782</v>
      </c>
      <c r="C972" t="s">
        <v>19</v>
      </c>
      <c r="D972" t="s">
        <v>1636</v>
      </c>
      <c r="E972" s="5">
        <v>40300000</v>
      </c>
      <c r="F972" s="5">
        <v>43300000</v>
      </c>
      <c r="G972" s="5">
        <v>3000000</v>
      </c>
      <c r="H972" s="5">
        <v>4030000</v>
      </c>
      <c r="I972" s="5">
        <v>4330000</v>
      </c>
      <c r="J972" s="5">
        <v>40800000</v>
      </c>
      <c r="K972" s="5">
        <v>43800000</v>
      </c>
      <c r="L972" s="3">
        <v>0.97916666666666663</v>
      </c>
    </row>
    <row r="973" spans="1:12" x14ac:dyDescent="0.25">
      <c r="A973" t="s">
        <v>606</v>
      </c>
      <c r="B973" s="2">
        <v>43783</v>
      </c>
      <c r="C973" t="s">
        <v>20</v>
      </c>
      <c r="D973" t="s">
        <v>1636</v>
      </c>
      <c r="E973" s="5">
        <v>40600000</v>
      </c>
      <c r="F973" s="5">
        <v>43600000</v>
      </c>
      <c r="G973" s="5">
        <v>3000000</v>
      </c>
      <c r="H973" s="5">
        <v>4060000</v>
      </c>
      <c r="I973" s="5">
        <v>4360000</v>
      </c>
      <c r="J973" s="5">
        <v>41100000</v>
      </c>
      <c r="K973" s="5">
        <v>44100000</v>
      </c>
      <c r="L973" s="3">
        <v>0.97916666666666663</v>
      </c>
    </row>
    <row r="974" spans="1:12" x14ac:dyDescent="0.25">
      <c r="A974" t="s">
        <v>607</v>
      </c>
      <c r="B974" s="2">
        <v>43784</v>
      </c>
      <c r="C974" t="s">
        <v>21</v>
      </c>
      <c r="D974" t="s">
        <v>1636</v>
      </c>
      <c r="E974" s="5">
        <v>40500000</v>
      </c>
      <c r="F974" s="5">
        <v>43500000</v>
      </c>
      <c r="G974" s="5">
        <v>3000000</v>
      </c>
      <c r="H974" s="5">
        <v>4050000</v>
      </c>
      <c r="I974" s="5">
        <v>4350000</v>
      </c>
      <c r="J974" s="5">
        <v>41000000</v>
      </c>
      <c r="K974" s="5">
        <v>44000000</v>
      </c>
      <c r="L974" s="3">
        <v>0.97916666666666663</v>
      </c>
    </row>
    <row r="975" spans="1:12" x14ac:dyDescent="0.25">
      <c r="A975" t="s">
        <v>608</v>
      </c>
      <c r="B975" s="2">
        <v>43787</v>
      </c>
      <c r="C975" t="s">
        <v>16</v>
      </c>
      <c r="D975" t="s">
        <v>1636</v>
      </c>
      <c r="E975" s="5">
        <v>40600000</v>
      </c>
      <c r="F975" s="5">
        <v>43600000</v>
      </c>
      <c r="G975" s="5">
        <v>3000000</v>
      </c>
      <c r="H975" s="5">
        <v>4060000</v>
      </c>
      <c r="I975" s="5">
        <v>4360000</v>
      </c>
      <c r="J975" s="5">
        <v>41100000</v>
      </c>
      <c r="K975" s="5">
        <v>44100000</v>
      </c>
      <c r="L975" s="3">
        <v>0.97916666666666663</v>
      </c>
    </row>
    <row r="976" spans="1:12" x14ac:dyDescent="0.25">
      <c r="A976" t="s">
        <v>609</v>
      </c>
      <c r="B976" s="2">
        <v>43788</v>
      </c>
      <c r="C976" t="s">
        <v>18</v>
      </c>
      <c r="D976" t="s">
        <v>1636</v>
      </c>
      <c r="E976" s="5">
        <v>40700000</v>
      </c>
      <c r="F976" s="5">
        <v>43700000</v>
      </c>
      <c r="G976" s="5">
        <v>3000000</v>
      </c>
      <c r="H976" s="5">
        <v>4070000</v>
      </c>
      <c r="I976" s="5">
        <v>4370000</v>
      </c>
      <c r="J976" s="5">
        <v>41200000</v>
      </c>
      <c r="K976" s="5">
        <v>44200000</v>
      </c>
      <c r="L976" s="3">
        <v>0.97916666666666663</v>
      </c>
    </row>
    <row r="977" spans="1:12" x14ac:dyDescent="0.25">
      <c r="A977" t="s">
        <v>610</v>
      </c>
      <c r="B977" s="2">
        <v>43789</v>
      </c>
      <c r="C977" t="s">
        <v>19</v>
      </c>
      <c r="D977" t="s">
        <v>1636</v>
      </c>
      <c r="E977" s="5">
        <v>40700000</v>
      </c>
      <c r="F977" s="5">
        <v>43700000</v>
      </c>
      <c r="G977" s="5">
        <v>3000000</v>
      </c>
      <c r="H977" s="5">
        <v>4070000</v>
      </c>
      <c r="I977" s="5">
        <v>4370000</v>
      </c>
      <c r="J977" s="5">
        <v>41200000</v>
      </c>
      <c r="K977" s="5">
        <v>44200000</v>
      </c>
      <c r="L977" s="3">
        <v>0.97916666666666663</v>
      </c>
    </row>
    <row r="978" spans="1:12" x14ac:dyDescent="0.25">
      <c r="A978" t="s">
        <v>611</v>
      </c>
      <c r="B978" s="2">
        <v>43790</v>
      </c>
      <c r="C978" t="s">
        <v>20</v>
      </c>
      <c r="D978" t="s">
        <v>1636</v>
      </c>
      <c r="E978" s="5">
        <v>40400000</v>
      </c>
      <c r="F978" s="5">
        <v>43400000</v>
      </c>
      <c r="G978" s="5">
        <v>3000000</v>
      </c>
      <c r="H978" s="5">
        <v>4040000</v>
      </c>
      <c r="I978" s="5">
        <v>4340000</v>
      </c>
      <c r="J978" s="5">
        <v>40900000</v>
      </c>
      <c r="K978" s="5">
        <v>43900000</v>
      </c>
      <c r="L978" s="3">
        <v>0.97916666666666663</v>
      </c>
    </row>
    <row r="979" spans="1:12" x14ac:dyDescent="0.25">
      <c r="A979" t="s">
        <v>612</v>
      </c>
      <c r="B979" s="2">
        <v>43791</v>
      </c>
      <c r="C979" t="s">
        <v>21</v>
      </c>
      <c r="D979" t="s">
        <v>1636</v>
      </c>
      <c r="E979" s="5">
        <v>40400000</v>
      </c>
      <c r="F979" s="5">
        <v>43400000</v>
      </c>
      <c r="G979" s="5">
        <v>3000000</v>
      </c>
      <c r="H979" s="5">
        <v>4040000</v>
      </c>
      <c r="I979" s="5">
        <v>4340000</v>
      </c>
      <c r="J979" s="5">
        <v>40900000</v>
      </c>
      <c r="K979" s="5">
        <v>43900000</v>
      </c>
      <c r="L979" s="3">
        <v>0.97916666666666663</v>
      </c>
    </row>
    <row r="980" spans="1:12" x14ac:dyDescent="0.25">
      <c r="A980" t="s">
        <v>613</v>
      </c>
      <c r="B980" s="2">
        <v>43794</v>
      </c>
      <c r="C980" t="s">
        <v>16</v>
      </c>
      <c r="D980" t="s">
        <v>1636</v>
      </c>
      <c r="E980" s="5">
        <v>40200000</v>
      </c>
      <c r="F980" s="5">
        <v>43200000</v>
      </c>
      <c r="G980" s="5">
        <v>3000000</v>
      </c>
      <c r="H980" s="5">
        <v>4020000</v>
      </c>
      <c r="I980" s="5">
        <v>4320000</v>
      </c>
      <c r="J980" s="5">
        <v>40700000</v>
      </c>
      <c r="K980" s="5">
        <v>43700000</v>
      </c>
      <c r="L980" s="3">
        <v>0.97916666666666663</v>
      </c>
    </row>
    <row r="981" spans="1:12" x14ac:dyDescent="0.25">
      <c r="A981" t="s">
        <v>614</v>
      </c>
      <c r="B981" s="2">
        <v>43795</v>
      </c>
      <c r="C981" t="s">
        <v>18</v>
      </c>
      <c r="D981" t="s">
        <v>1636</v>
      </c>
      <c r="E981" s="5">
        <v>40300000</v>
      </c>
      <c r="F981" s="5">
        <v>43300000</v>
      </c>
      <c r="G981" s="5">
        <v>3000000</v>
      </c>
      <c r="H981" s="5">
        <v>4030000</v>
      </c>
      <c r="I981" s="5">
        <v>4330000</v>
      </c>
      <c r="J981" s="5">
        <v>40800000</v>
      </c>
      <c r="K981" s="5">
        <v>43800000</v>
      </c>
      <c r="L981" s="3">
        <v>0.97916666666666663</v>
      </c>
    </row>
    <row r="982" spans="1:12" x14ac:dyDescent="0.25">
      <c r="A982" t="s">
        <v>615</v>
      </c>
      <c r="B982" s="2">
        <v>43796</v>
      </c>
      <c r="C982" t="s">
        <v>19</v>
      </c>
      <c r="D982" t="s">
        <v>1636</v>
      </c>
      <c r="E982" s="5">
        <v>40100000</v>
      </c>
      <c r="F982" s="5">
        <v>43100000</v>
      </c>
      <c r="G982" s="5">
        <v>3000000</v>
      </c>
      <c r="H982" s="5">
        <v>4010000</v>
      </c>
      <c r="I982" s="5">
        <v>4310000</v>
      </c>
      <c r="J982" s="5">
        <v>40600000</v>
      </c>
      <c r="K982" s="5">
        <v>43600000</v>
      </c>
      <c r="L982" s="3">
        <v>0.97916666666666663</v>
      </c>
    </row>
    <row r="983" spans="1:12" x14ac:dyDescent="0.25">
      <c r="A983" t="s">
        <v>616</v>
      </c>
      <c r="B983" s="2">
        <v>43798</v>
      </c>
      <c r="C983" t="s">
        <v>21</v>
      </c>
      <c r="D983" t="s">
        <v>1636</v>
      </c>
      <c r="E983" s="5">
        <v>40500000</v>
      </c>
      <c r="F983" s="5">
        <v>43500000</v>
      </c>
      <c r="G983" s="5">
        <v>3000000</v>
      </c>
      <c r="H983" s="5">
        <v>4050000</v>
      </c>
      <c r="I983" s="5">
        <v>4350000</v>
      </c>
      <c r="J983" s="5">
        <v>41000000</v>
      </c>
      <c r="K983" s="5">
        <v>44000000</v>
      </c>
      <c r="L983" s="3">
        <v>0.97916666666666663</v>
      </c>
    </row>
    <row r="984" spans="1:12" x14ac:dyDescent="0.25">
      <c r="A984" s="2">
        <v>43508</v>
      </c>
      <c r="B984" s="2">
        <v>43801</v>
      </c>
      <c r="C984" t="s">
        <v>16</v>
      </c>
      <c r="D984" t="s">
        <v>1636</v>
      </c>
      <c r="E984" s="5">
        <v>40400000</v>
      </c>
      <c r="F984" s="5">
        <v>43400000</v>
      </c>
      <c r="G984" s="5">
        <v>3000000</v>
      </c>
      <c r="H984" s="5">
        <v>4040000</v>
      </c>
      <c r="I984" s="5">
        <v>4340000</v>
      </c>
      <c r="J984" s="5">
        <v>40900000</v>
      </c>
      <c r="K984" s="5">
        <v>43900000</v>
      </c>
      <c r="L984" s="3">
        <v>0.97916666666666663</v>
      </c>
    </row>
    <row r="985" spans="1:12" x14ac:dyDescent="0.25">
      <c r="A985" s="2">
        <v>43536</v>
      </c>
      <c r="B985" s="2">
        <v>43802</v>
      </c>
      <c r="C985" t="s">
        <v>18</v>
      </c>
      <c r="D985" t="s">
        <v>1636</v>
      </c>
      <c r="E985" s="5">
        <v>40800000</v>
      </c>
      <c r="F985" s="5">
        <v>43800000</v>
      </c>
      <c r="G985" s="5">
        <v>3000000</v>
      </c>
      <c r="H985" s="5">
        <v>4080000</v>
      </c>
      <c r="I985" s="5">
        <v>4380000</v>
      </c>
      <c r="J985" s="5">
        <v>41300000</v>
      </c>
      <c r="K985" s="5">
        <v>44300000</v>
      </c>
      <c r="L985" s="3">
        <v>0.97916666666666663</v>
      </c>
    </row>
    <row r="986" spans="1:12" x14ac:dyDescent="0.25">
      <c r="A986" s="2">
        <v>43567</v>
      </c>
      <c r="B986" s="2">
        <v>43803</v>
      </c>
      <c r="C986" t="s">
        <v>19</v>
      </c>
      <c r="D986" t="s">
        <v>1636</v>
      </c>
      <c r="E986" s="5">
        <v>40700000</v>
      </c>
      <c r="F986" s="5">
        <v>43700000</v>
      </c>
      <c r="G986" s="5">
        <v>3000000</v>
      </c>
      <c r="H986" s="5">
        <v>4070000</v>
      </c>
      <c r="I986" s="5">
        <v>4370000</v>
      </c>
      <c r="J986" s="5">
        <v>41200000</v>
      </c>
      <c r="K986" s="5">
        <v>44200000</v>
      </c>
      <c r="L986" s="3">
        <v>0.97916666666666663</v>
      </c>
    </row>
    <row r="987" spans="1:12" x14ac:dyDescent="0.25">
      <c r="A987" s="2">
        <v>43597</v>
      </c>
      <c r="B987" s="2">
        <v>43804</v>
      </c>
      <c r="C987" t="s">
        <v>20</v>
      </c>
      <c r="D987" t="s">
        <v>1636</v>
      </c>
      <c r="E987" s="5">
        <v>40800000</v>
      </c>
      <c r="F987" s="5">
        <v>43800000</v>
      </c>
      <c r="G987" s="5">
        <v>3000000</v>
      </c>
      <c r="H987" s="5">
        <v>4080000</v>
      </c>
      <c r="I987" s="5">
        <v>4380000</v>
      </c>
      <c r="J987" s="5">
        <v>41300000</v>
      </c>
      <c r="K987" s="5">
        <v>44300000</v>
      </c>
      <c r="L987" s="3">
        <v>0.97916666666666663</v>
      </c>
    </row>
    <row r="988" spans="1:12" x14ac:dyDescent="0.25">
      <c r="A988" s="2">
        <v>43628</v>
      </c>
      <c r="B988" s="2">
        <v>43805</v>
      </c>
      <c r="C988" t="s">
        <v>21</v>
      </c>
      <c r="D988" t="s">
        <v>1636</v>
      </c>
      <c r="E988" s="5">
        <v>40300000</v>
      </c>
      <c r="F988" s="5">
        <v>43300000</v>
      </c>
      <c r="G988" s="5">
        <v>3000000</v>
      </c>
      <c r="H988" s="5">
        <v>4030000</v>
      </c>
      <c r="I988" s="5">
        <v>4330000</v>
      </c>
      <c r="J988" s="5">
        <v>40800000</v>
      </c>
      <c r="K988" s="5">
        <v>43800000</v>
      </c>
      <c r="L988" s="3">
        <v>0.97916666666666663</v>
      </c>
    </row>
    <row r="989" spans="1:12" x14ac:dyDescent="0.25">
      <c r="A989" s="2">
        <v>43720</v>
      </c>
      <c r="B989" s="2">
        <v>43808</v>
      </c>
      <c r="C989" t="s">
        <v>16</v>
      </c>
      <c r="D989" t="s">
        <v>1636</v>
      </c>
      <c r="E989" s="5">
        <v>40300000</v>
      </c>
      <c r="F989" s="5">
        <v>43300000</v>
      </c>
      <c r="G989" s="5">
        <v>3000000</v>
      </c>
      <c r="H989" s="5">
        <v>4030000</v>
      </c>
      <c r="I989" s="5">
        <v>4330000</v>
      </c>
      <c r="J989" s="5">
        <v>40800000</v>
      </c>
      <c r="K989" s="5">
        <v>43800000</v>
      </c>
      <c r="L989" s="3">
        <v>0.97916666666666663</v>
      </c>
    </row>
    <row r="990" spans="1:12" x14ac:dyDescent="0.25">
      <c r="A990" s="2">
        <v>43750</v>
      </c>
      <c r="B990" s="2">
        <v>43809</v>
      </c>
      <c r="C990" t="s">
        <v>18</v>
      </c>
      <c r="D990" t="s">
        <v>1636</v>
      </c>
      <c r="E990" s="5">
        <v>40400000</v>
      </c>
      <c r="F990" s="5">
        <v>43400000</v>
      </c>
      <c r="G990" s="5">
        <v>3000000</v>
      </c>
      <c r="H990" s="5">
        <v>4040000</v>
      </c>
      <c r="I990" s="5">
        <v>4340000</v>
      </c>
      <c r="J990" s="5">
        <v>40900000</v>
      </c>
      <c r="K990" s="5">
        <v>43900000</v>
      </c>
      <c r="L990" s="3">
        <v>0.97916666666666663</v>
      </c>
    </row>
    <row r="991" spans="1:12" x14ac:dyDescent="0.25">
      <c r="A991" s="2">
        <v>43781</v>
      </c>
      <c r="B991" s="2">
        <v>43810</v>
      </c>
      <c r="C991" t="s">
        <v>19</v>
      </c>
      <c r="D991" t="s">
        <v>1636</v>
      </c>
      <c r="E991" s="5">
        <v>40600000</v>
      </c>
      <c r="F991" s="5">
        <v>43600000</v>
      </c>
      <c r="G991" s="5">
        <v>3000000</v>
      </c>
      <c r="H991" s="5">
        <v>4060000</v>
      </c>
      <c r="I991" s="5">
        <v>4360000</v>
      </c>
      <c r="J991" s="5">
        <v>41100000</v>
      </c>
      <c r="K991" s="5">
        <v>44100000</v>
      </c>
      <c r="L991" s="3">
        <v>0.97916666666666663</v>
      </c>
    </row>
    <row r="992" spans="1:12" x14ac:dyDescent="0.25">
      <c r="A992" s="2">
        <v>43811</v>
      </c>
      <c r="B992" s="2">
        <v>43811</v>
      </c>
      <c r="C992" t="s">
        <v>20</v>
      </c>
      <c r="D992" t="s">
        <v>1636</v>
      </c>
      <c r="E992" s="5">
        <v>40500000</v>
      </c>
      <c r="F992" s="5">
        <v>43500000</v>
      </c>
      <c r="G992" s="5">
        <v>3000000</v>
      </c>
      <c r="H992" s="5">
        <v>4050000</v>
      </c>
      <c r="I992" s="5">
        <v>4350000</v>
      </c>
      <c r="J992" s="5">
        <v>41000000</v>
      </c>
      <c r="K992" s="5">
        <v>44000000</v>
      </c>
      <c r="L992" s="3">
        <v>0.97916666666666663</v>
      </c>
    </row>
    <row r="993" spans="1:12" x14ac:dyDescent="0.25">
      <c r="A993" t="s">
        <v>617</v>
      </c>
      <c r="B993" s="2">
        <v>43812</v>
      </c>
      <c r="C993" t="s">
        <v>21</v>
      </c>
      <c r="D993" t="s">
        <v>1636</v>
      </c>
      <c r="E993" s="5">
        <v>40800000</v>
      </c>
      <c r="F993" s="5">
        <v>43800000</v>
      </c>
      <c r="G993" s="5">
        <v>3000000</v>
      </c>
      <c r="H993" s="5">
        <v>4080000</v>
      </c>
      <c r="I993" s="5">
        <v>4380000</v>
      </c>
      <c r="J993" s="5">
        <v>41300000</v>
      </c>
      <c r="K993" s="5">
        <v>44300000</v>
      </c>
      <c r="L993" s="3">
        <v>0.97916666666666663</v>
      </c>
    </row>
    <row r="994" spans="1:12" x14ac:dyDescent="0.25">
      <c r="A994" t="s">
        <v>618</v>
      </c>
      <c r="B994" s="2">
        <v>43815</v>
      </c>
      <c r="C994" t="s">
        <v>16</v>
      </c>
      <c r="D994" t="s">
        <v>1636</v>
      </c>
      <c r="E994" s="5">
        <v>40700000</v>
      </c>
      <c r="F994" s="5">
        <v>43700000</v>
      </c>
      <c r="G994" s="5">
        <v>3000000</v>
      </c>
      <c r="H994" s="5">
        <v>4070000</v>
      </c>
      <c r="I994" s="5">
        <v>4370000</v>
      </c>
      <c r="J994" s="5">
        <v>41200000</v>
      </c>
      <c r="K994" s="5">
        <v>44200000</v>
      </c>
      <c r="L994" s="3">
        <v>0.97916666666666663</v>
      </c>
    </row>
    <row r="995" spans="1:12" x14ac:dyDescent="0.25">
      <c r="A995" t="s">
        <v>619</v>
      </c>
      <c r="B995" s="2">
        <v>43816</v>
      </c>
      <c r="C995" t="s">
        <v>18</v>
      </c>
      <c r="D995" t="s">
        <v>1636</v>
      </c>
      <c r="E995" s="5">
        <v>40700000</v>
      </c>
      <c r="F995" s="5">
        <v>43700000</v>
      </c>
      <c r="G995" s="5">
        <v>3000000</v>
      </c>
      <c r="H995" s="5">
        <v>4070000</v>
      </c>
      <c r="I995" s="5">
        <v>4370000</v>
      </c>
      <c r="J995" s="5">
        <v>41200000</v>
      </c>
      <c r="K995" s="5">
        <v>44200000</v>
      </c>
      <c r="L995" s="3">
        <v>0.97916666666666663</v>
      </c>
    </row>
    <row r="996" spans="1:12" x14ac:dyDescent="0.25">
      <c r="A996" t="s">
        <v>620</v>
      </c>
      <c r="B996" s="2">
        <v>43817</v>
      </c>
      <c r="C996" t="s">
        <v>19</v>
      </c>
      <c r="D996" t="s">
        <v>1636</v>
      </c>
      <c r="E996" s="5">
        <v>40700000</v>
      </c>
      <c r="F996" s="5">
        <v>43700000</v>
      </c>
      <c r="G996" s="5">
        <v>3000000</v>
      </c>
      <c r="H996" s="5">
        <v>4070000</v>
      </c>
      <c r="I996" s="5">
        <v>4370000</v>
      </c>
      <c r="J996" s="5">
        <v>41200000</v>
      </c>
      <c r="K996" s="5">
        <v>44200000</v>
      </c>
      <c r="L996" s="3">
        <v>0.97916666666666663</v>
      </c>
    </row>
    <row r="997" spans="1:12" x14ac:dyDescent="0.25">
      <c r="A997" t="s">
        <v>621</v>
      </c>
      <c r="B997" s="2">
        <v>43818</v>
      </c>
      <c r="C997" t="s">
        <v>20</v>
      </c>
      <c r="D997" t="s">
        <v>1636</v>
      </c>
      <c r="E997" s="5">
        <v>40800000</v>
      </c>
      <c r="F997" s="5">
        <v>43800000</v>
      </c>
      <c r="G997" s="5">
        <v>3000000</v>
      </c>
      <c r="H997" s="5">
        <v>4080000</v>
      </c>
      <c r="I997" s="5">
        <v>4380000</v>
      </c>
      <c r="J997" s="5">
        <v>41300000</v>
      </c>
      <c r="K997" s="5">
        <v>44300000</v>
      </c>
      <c r="L997" s="3">
        <v>0.97916666666666663</v>
      </c>
    </row>
    <row r="998" spans="1:12" x14ac:dyDescent="0.25">
      <c r="A998" t="s">
        <v>622</v>
      </c>
      <c r="B998" s="2">
        <v>43819</v>
      </c>
      <c r="C998" t="s">
        <v>21</v>
      </c>
      <c r="D998" t="s">
        <v>1636</v>
      </c>
      <c r="E998" s="5">
        <v>40700000</v>
      </c>
      <c r="F998" s="5">
        <v>43700000</v>
      </c>
      <c r="G998" s="5">
        <v>3000000</v>
      </c>
      <c r="H998" s="5">
        <v>4070000</v>
      </c>
      <c r="I998" s="5">
        <v>4370000</v>
      </c>
      <c r="J998" s="5">
        <v>41200000</v>
      </c>
      <c r="K998" s="5">
        <v>44200000</v>
      </c>
      <c r="L998" s="3">
        <v>0.97916666666666663</v>
      </c>
    </row>
    <row r="999" spans="1:12" x14ac:dyDescent="0.25">
      <c r="A999" t="s">
        <v>623</v>
      </c>
      <c r="B999" s="2">
        <v>43822</v>
      </c>
      <c r="C999" t="s">
        <v>16</v>
      </c>
      <c r="D999" t="s">
        <v>1636</v>
      </c>
      <c r="E999" s="5">
        <v>41000000</v>
      </c>
      <c r="F999" s="5">
        <v>44000000</v>
      </c>
      <c r="G999" s="5">
        <v>3000000</v>
      </c>
      <c r="H999" s="5">
        <v>4100000</v>
      </c>
      <c r="I999" s="5">
        <v>4400000</v>
      </c>
      <c r="J999" s="5">
        <v>41500000</v>
      </c>
      <c r="K999" s="5">
        <v>44500000</v>
      </c>
      <c r="L999" s="3">
        <v>0.97916666666666663</v>
      </c>
    </row>
    <row r="1000" spans="1:12" x14ac:dyDescent="0.25">
      <c r="A1000" t="s">
        <v>624</v>
      </c>
      <c r="B1000" s="2">
        <v>43823</v>
      </c>
      <c r="C1000" t="s">
        <v>18</v>
      </c>
      <c r="D1000" t="s">
        <v>1636</v>
      </c>
      <c r="E1000" s="5">
        <v>41400000</v>
      </c>
      <c r="F1000" s="5">
        <v>44400000</v>
      </c>
      <c r="G1000" s="5">
        <v>3000000</v>
      </c>
      <c r="H1000" s="5">
        <v>4140000</v>
      </c>
      <c r="I1000" s="5">
        <v>4440000</v>
      </c>
      <c r="J1000" s="5">
        <v>41900000</v>
      </c>
      <c r="K1000" s="5">
        <v>44900000</v>
      </c>
      <c r="L1000" s="3">
        <v>0.97916666666666663</v>
      </c>
    </row>
    <row r="1001" spans="1:12" x14ac:dyDescent="0.25">
      <c r="A1001" t="s">
        <v>625</v>
      </c>
      <c r="B1001" s="2">
        <v>43825</v>
      </c>
      <c r="C1001" t="s">
        <v>20</v>
      </c>
      <c r="D1001" t="s">
        <v>1636</v>
      </c>
      <c r="E1001" s="5">
        <v>41700000</v>
      </c>
      <c r="F1001" s="5">
        <v>44700000</v>
      </c>
      <c r="G1001" s="5">
        <v>3000000</v>
      </c>
      <c r="H1001" s="5">
        <v>4170000</v>
      </c>
      <c r="I1001" s="5">
        <v>4470000</v>
      </c>
      <c r="J1001" s="5">
        <v>42200000</v>
      </c>
      <c r="K1001" s="5">
        <v>45200000</v>
      </c>
      <c r="L1001" s="3">
        <v>0.97916666666666663</v>
      </c>
    </row>
    <row r="1002" spans="1:12" x14ac:dyDescent="0.25">
      <c r="A1002" t="s">
        <v>626</v>
      </c>
      <c r="B1002" s="2">
        <v>43826</v>
      </c>
      <c r="C1002" t="s">
        <v>21</v>
      </c>
      <c r="D1002" t="s">
        <v>1636</v>
      </c>
      <c r="E1002" s="5">
        <v>41900000</v>
      </c>
      <c r="F1002" s="5">
        <v>44900000</v>
      </c>
      <c r="G1002" s="5">
        <v>3000000</v>
      </c>
      <c r="H1002" s="5">
        <v>4190000</v>
      </c>
      <c r="I1002" s="5">
        <v>4490000</v>
      </c>
      <c r="J1002" s="5">
        <v>42400000</v>
      </c>
      <c r="K1002" s="5">
        <v>45400000</v>
      </c>
      <c r="L1002" s="3">
        <v>0.97916666666666663</v>
      </c>
    </row>
    <row r="1003" spans="1:12" x14ac:dyDescent="0.25">
      <c r="A1003" t="s">
        <v>627</v>
      </c>
      <c r="B1003" s="2">
        <v>43829</v>
      </c>
      <c r="C1003" t="s">
        <v>16</v>
      </c>
      <c r="D1003" t="s">
        <v>1636</v>
      </c>
      <c r="E1003" s="5">
        <v>41900000</v>
      </c>
      <c r="F1003" s="5">
        <v>44900000</v>
      </c>
      <c r="G1003" s="5">
        <v>3000000</v>
      </c>
      <c r="H1003" s="5">
        <v>4190000</v>
      </c>
      <c r="I1003" s="5">
        <v>4490000</v>
      </c>
      <c r="J1003" s="5">
        <v>42400000</v>
      </c>
      <c r="K1003" s="5">
        <v>45400000</v>
      </c>
      <c r="L1003" s="3">
        <v>0.97916666666666663</v>
      </c>
    </row>
    <row r="1004" spans="1:12" x14ac:dyDescent="0.25">
      <c r="A1004" t="s">
        <v>628</v>
      </c>
      <c r="B1004" s="2">
        <v>43830</v>
      </c>
      <c r="C1004" t="s">
        <v>18</v>
      </c>
      <c r="D1004" t="s">
        <v>1636</v>
      </c>
      <c r="E1004" s="5">
        <v>42100000</v>
      </c>
      <c r="F1004" s="5">
        <v>45100000</v>
      </c>
      <c r="G1004" s="5">
        <v>3000000</v>
      </c>
      <c r="H1004" s="5">
        <v>4210000</v>
      </c>
      <c r="I1004" s="5">
        <v>4510000</v>
      </c>
      <c r="J1004" s="5">
        <v>42600000</v>
      </c>
      <c r="K1004" s="5">
        <v>45600000</v>
      </c>
      <c r="L1004" s="3">
        <v>0.97916666666666663</v>
      </c>
    </row>
    <row r="1005" spans="1:12" x14ac:dyDescent="0.25">
      <c r="A1005" s="2">
        <v>43862</v>
      </c>
      <c r="B1005" s="2">
        <v>43832</v>
      </c>
      <c r="C1005" t="s">
        <v>20</v>
      </c>
      <c r="D1005" t="s">
        <v>1636</v>
      </c>
      <c r="E1005" s="5">
        <v>43200000</v>
      </c>
      <c r="F1005" s="5">
        <v>46200000</v>
      </c>
      <c r="G1005" s="5">
        <v>3000000</v>
      </c>
      <c r="H1005" s="5">
        <v>4320000</v>
      </c>
      <c r="I1005" s="5">
        <v>4620000</v>
      </c>
      <c r="J1005" s="5">
        <v>43700000</v>
      </c>
      <c r="K1005" s="5">
        <v>46700000</v>
      </c>
      <c r="L1005" s="3">
        <v>0.97916666666666663</v>
      </c>
    </row>
    <row r="1006" spans="1:12" x14ac:dyDescent="0.25">
      <c r="A1006" s="2">
        <v>43891</v>
      </c>
      <c r="B1006" s="2">
        <v>43833</v>
      </c>
      <c r="C1006" t="s">
        <v>21</v>
      </c>
      <c r="D1006" t="s">
        <v>1636</v>
      </c>
      <c r="E1006" s="5">
        <v>43900000</v>
      </c>
      <c r="F1006" s="5">
        <v>46900000</v>
      </c>
      <c r="G1006" s="5">
        <v>3000000</v>
      </c>
      <c r="H1006" s="5">
        <v>4390000</v>
      </c>
      <c r="I1006" s="5">
        <v>4690000</v>
      </c>
      <c r="J1006" s="5">
        <v>44400000</v>
      </c>
      <c r="K1006" s="5">
        <v>47400000</v>
      </c>
      <c r="L1006" s="3">
        <v>0.97916666666666663</v>
      </c>
    </row>
    <row r="1007" spans="1:12" x14ac:dyDescent="0.25">
      <c r="A1007" s="2">
        <v>43983</v>
      </c>
      <c r="B1007" s="2">
        <v>43836</v>
      </c>
      <c r="C1007" t="s">
        <v>16</v>
      </c>
      <c r="D1007" t="s">
        <v>1636</v>
      </c>
      <c r="E1007" s="5">
        <v>44400000</v>
      </c>
      <c r="F1007" s="5">
        <v>47400000</v>
      </c>
      <c r="G1007" s="5">
        <v>3000000</v>
      </c>
      <c r="H1007" s="5">
        <v>4440000</v>
      </c>
      <c r="I1007" s="5">
        <v>4740000</v>
      </c>
      <c r="J1007" s="5">
        <v>44900000</v>
      </c>
      <c r="K1007" s="5">
        <v>47900000</v>
      </c>
      <c r="L1007" s="3">
        <v>0.97916666666666663</v>
      </c>
    </row>
    <row r="1008" spans="1:12" x14ac:dyDescent="0.25">
      <c r="A1008" s="2">
        <v>44013</v>
      </c>
      <c r="B1008" s="2">
        <v>43837</v>
      </c>
      <c r="C1008" t="s">
        <v>18</v>
      </c>
      <c r="D1008" t="s">
        <v>1636</v>
      </c>
      <c r="E1008" s="5">
        <v>44600000</v>
      </c>
      <c r="F1008" s="5">
        <v>47600000</v>
      </c>
      <c r="G1008" s="5">
        <v>3000000</v>
      </c>
      <c r="H1008" s="5">
        <v>4460000</v>
      </c>
      <c r="I1008" s="5">
        <v>4760000</v>
      </c>
      <c r="J1008" s="5">
        <v>45100000</v>
      </c>
      <c r="K1008" s="5">
        <v>48100000</v>
      </c>
      <c r="L1008" s="3">
        <v>0.97916666666666663</v>
      </c>
    </row>
    <row r="1009" spans="1:12" x14ac:dyDescent="0.25">
      <c r="A1009" s="2">
        <v>44044</v>
      </c>
      <c r="B1009" s="2">
        <v>43838</v>
      </c>
      <c r="C1009" t="s">
        <v>19</v>
      </c>
      <c r="D1009" t="s">
        <v>1636</v>
      </c>
      <c r="E1009" s="5">
        <v>44100000</v>
      </c>
      <c r="F1009" s="5">
        <v>47100000</v>
      </c>
      <c r="G1009" s="5">
        <v>3000000</v>
      </c>
      <c r="H1009" s="5">
        <v>4410000</v>
      </c>
      <c r="I1009" s="5">
        <v>4710000</v>
      </c>
      <c r="J1009" s="5">
        <v>44600000</v>
      </c>
      <c r="K1009" s="5">
        <v>47600000</v>
      </c>
      <c r="L1009" s="3">
        <v>0.97916666666666663</v>
      </c>
    </row>
    <row r="1010" spans="1:12" x14ac:dyDescent="0.25">
      <c r="A1010" s="2">
        <v>44075</v>
      </c>
      <c r="B1010" s="2">
        <v>43839</v>
      </c>
      <c r="C1010" t="s">
        <v>20</v>
      </c>
      <c r="D1010" t="s">
        <v>1636</v>
      </c>
      <c r="E1010" s="5">
        <v>44000000</v>
      </c>
      <c r="F1010" s="5">
        <v>47000000</v>
      </c>
      <c r="G1010" s="5">
        <v>3000000</v>
      </c>
      <c r="H1010" s="5">
        <v>4400000</v>
      </c>
      <c r="I1010" s="5">
        <v>4700000</v>
      </c>
      <c r="J1010" s="5">
        <v>44500000</v>
      </c>
      <c r="K1010" s="5">
        <v>47500000</v>
      </c>
      <c r="L1010" s="3">
        <v>0.97916666666666663</v>
      </c>
    </row>
    <row r="1011" spans="1:12" x14ac:dyDescent="0.25">
      <c r="A1011" s="2">
        <v>44105</v>
      </c>
      <c r="B1011" s="2">
        <v>43840</v>
      </c>
      <c r="C1011" t="s">
        <v>21</v>
      </c>
      <c r="D1011" t="s">
        <v>1636</v>
      </c>
      <c r="E1011" s="5">
        <v>44200000</v>
      </c>
      <c r="F1011" s="5">
        <v>47200000</v>
      </c>
      <c r="G1011" s="5">
        <v>3000000</v>
      </c>
      <c r="H1011" s="5">
        <v>4420000</v>
      </c>
      <c r="I1011" s="5">
        <v>4720000</v>
      </c>
      <c r="J1011" s="5">
        <v>44700000</v>
      </c>
      <c r="K1011" s="5">
        <v>47700000</v>
      </c>
      <c r="L1011" s="3">
        <v>0.97916666666666663</v>
      </c>
    </row>
    <row r="1012" spans="1:12" x14ac:dyDescent="0.25">
      <c r="A1012" t="s">
        <v>629</v>
      </c>
      <c r="B1012" s="2">
        <v>43843</v>
      </c>
      <c r="C1012" t="s">
        <v>16</v>
      </c>
      <c r="D1012" t="s">
        <v>1636</v>
      </c>
      <c r="E1012" s="5">
        <v>43900000</v>
      </c>
      <c r="F1012" s="5">
        <v>46900000</v>
      </c>
      <c r="G1012" s="5">
        <v>3000000</v>
      </c>
      <c r="H1012" s="5">
        <v>4390000</v>
      </c>
      <c r="I1012" s="5">
        <v>4690000</v>
      </c>
      <c r="J1012" s="5">
        <v>44400000</v>
      </c>
      <c r="K1012" s="5">
        <v>47400000</v>
      </c>
      <c r="L1012" s="3">
        <v>0.97916666666666663</v>
      </c>
    </row>
    <row r="1013" spans="1:12" x14ac:dyDescent="0.25">
      <c r="A1013" t="s">
        <v>630</v>
      </c>
      <c r="B1013" s="2">
        <v>43844</v>
      </c>
      <c r="C1013" t="s">
        <v>18</v>
      </c>
      <c r="D1013" t="s">
        <v>1636</v>
      </c>
      <c r="E1013" s="5">
        <v>43700000</v>
      </c>
      <c r="F1013" s="5">
        <v>46700000</v>
      </c>
      <c r="G1013" s="5">
        <v>3000000</v>
      </c>
      <c r="H1013" s="5">
        <v>4370000</v>
      </c>
      <c r="I1013" s="5">
        <v>4670000</v>
      </c>
      <c r="J1013" s="5">
        <v>44200000</v>
      </c>
      <c r="K1013" s="5">
        <v>47200000</v>
      </c>
      <c r="L1013" s="3">
        <v>0.97916666666666663</v>
      </c>
    </row>
    <row r="1014" spans="1:12" x14ac:dyDescent="0.25">
      <c r="A1014" t="s">
        <v>631</v>
      </c>
      <c r="B1014" s="2">
        <v>43845</v>
      </c>
      <c r="C1014" t="s">
        <v>19</v>
      </c>
      <c r="D1014" t="s">
        <v>1636</v>
      </c>
      <c r="E1014" s="5">
        <v>44000000</v>
      </c>
      <c r="F1014" s="5">
        <v>47000000</v>
      </c>
      <c r="G1014" s="5">
        <v>3000000</v>
      </c>
      <c r="H1014" s="5">
        <v>4400000</v>
      </c>
      <c r="I1014" s="5">
        <v>4700000</v>
      </c>
      <c r="J1014" s="5">
        <v>44500000</v>
      </c>
      <c r="K1014" s="5">
        <v>47500000</v>
      </c>
      <c r="L1014" s="3">
        <v>0.97916666666666663</v>
      </c>
    </row>
    <row r="1015" spans="1:12" x14ac:dyDescent="0.25">
      <c r="A1015" t="s">
        <v>632</v>
      </c>
      <c r="B1015" s="2">
        <v>43846</v>
      </c>
      <c r="C1015" t="s">
        <v>20</v>
      </c>
      <c r="D1015" t="s">
        <v>1636</v>
      </c>
      <c r="E1015" s="5">
        <v>43900000</v>
      </c>
      <c r="F1015" s="5">
        <v>46900000</v>
      </c>
      <c r="G1015" s="5">
        <v>3000000</v>
      </c>
      <c r="H1015" s="5">
        <v>4390000</v>
      </c>
      <c r="I1015" s="5">
        <v>4690000</v>
      </c>
      <c r="J1015" s="5">
        <v>44400000</v>
      </c>
      <c r="K1015" s="5">
        <v>47400000</v>
      </c>
      <c r="L1015" s="3">
        <v>0.97916666666666663</v>
      </c>
    </row>
    <row r="1016" spans="1:12" x14ac:dyDescent="0.25">
      <c r="A1016" t="s">
        <v>633</v>
      </c>
      <c r="B1016" s="2">
        <v>43847</v>
      </c>
      <c r="C1016" t="s">
        <v>21</v>
      </c>
      <c r="D1016" t="s">
        <v>1636</v>
      </c>
      <c r="E1016" s="5">
        <v>44200000</v>
      </c>
      <c r="F1016" s="5">
        <v>47200000</v>
      </c>
      <c r="G1016" s="5">
        <v>3000000</v>
      </c>
      <c r="H1016" s="5">
        <v>4420000</v>
      </c>
      <c r="I1016" s="5">
        <v>4720000</v>
      </c>
      <c r="J1016" s="5">
        <v>44700000</v>
      </c>
      <c r="K1016" s="5">
        <v>47700000</v>
      </c>
      <c r="L1016" s="3">
        <v>0.97916666666666663</v>
      </c>
    </row>
    <row r="1017" spans="1:12" x14ac:dyDescent="0.25">
      <c r="A1017" t="s">
        <v>634</v>
      </c>
      <c r="B1017" s="2">
        <v>43851</v>
      </c>
      <c r="C1017" t="s">
        <v>18</v>
      </c>
      <c r="D1017" t="s">
        <v>1636</v>
      </c>
      <c r="E1017" s="5">
        <v>44100000</v>
      </c>
      <c r="F1017" s="5">
        <v>47100000</v>
      </c>
      <c r="G1017" s="5">
        <v>3000000</v>
      </c>
      <c r="H1017" s="5">
        <v>4410000</v>
      </c>
      <c r="I1017" s="5">
        <v>4710000</v>
      </c>
      <c r="J1017" s="5">
        <v>44600000</v>
      </c>
      <c r="K1017" s="5">
        <v>47600000</v>
      </c>
      <c r="L1017" s="3">
        <v>0.97916666666666663</v>
      </c>
    </row>
    <row r="1018" spans="1:12" x14ac:dyDescent="0.25">
      <c r="A1018" t="s">
        <v>635</v>
      </c>
      <c r="B1018" s="2">
        <v>43852</v>
      </c>
      <c r="C1018" t="s">
        <v>19</v>
      </c>
      <c r="D1018" t="s">
        <v>1636</v>
      </c>
      <c r="E1018" s="5">
        <v>44100000</v>
      </c>
      <c r="F1018" s="5">
        <v>47100000</v>
      </c>
      <c r="G1018" s="5">
        <v>3000000</v>
      </c>
      <c r="H1018" s="5">
        <v>4410000</v>
      </c>
      <c r="I1018" s="5">
        <v>4710000</v>
      </c>
      <c r="J1018" s="5">
        <v>44600000</v>
      </c>
      <c r="K1018" s="5">
        <v>47600000</v>
      </c>
      <c r="L1018" s="3">
        <v>0.97916666666666663</v>
      </c>
    </row>
    <row r="1019" spans="1:12" x14ac:dyDescent="0.25">
      <c r="A1019" t="s">
        <v>636</v>
      </c>
      <c r="B1019" s="2">
        <v>43853</v>
      </c>
      <c r="C1019" t="s">
        <v>20</v>
      </c>
      <c r="D1019" t="s">
        <v>1636</v>
      </c>
      <c r="E1019" s="5">
        <v>44400000</v>
      </c>
      <c r="F1019" s="5">
        <v>47400000</v>
      </c>
      <c r="G1019" s="5">
        <v>3000000</v>
      </c>
      <c r="H1019" s="5">
        <v>4440000</v>
      </c>
      <c r="I1019" s="5">
        <v>4740000</v>
      </c>
      <c r="J1019" s="5">
        <v>44900000</v>
      </c>
      <c r="K1019" s="5">
        <v>47900000</v>
      </c>
      <c r="L1019" s="3">
        <v>0.97916666666666663</v>
      </c>
    </row>
    <row r="1020" spans="1:12" x14ac:dyDescent="0.25">
      <c r="A1020" t="s">
        <v>637</v>
      </c>
      <c r="B1020" s="2">
        <v>43854</v>
      </c>
      <c r="C1020" t="s">
        <v>21</v>
      </c>
      <c r="D1020" t="s">
        <v>1636</v>
      </c>
      <c r="E1020" s="5">
        <v>44600000</v>
      </c>
      <c r="F1020" s="5">
        <v>47600000</v>
      </c>
      <c r="G1020" s="5">
        <v>3000000</v>
      </c>
      <c r="H1020" s="5">
        <v>4460000</v>
      </c>
      <c r="I1020" s="5">
        <v>4760000</v>
      </c>
      <c r="J1020" s="5">
        <v>45100000</v>
      </c>
      <c r="K1020" s="5">
        <v>48100000</v>
      </c>
      <c r="L1020" s="3">
        <v>0.97916666666666663</v>
      </c>
    </row>
    <row r="1021" spans="1:12" x14ac:dyDescent="0.25">
      <c r="A1021" t="s">
        <v>638</v>
      </c>
      <c r="B1021" s="2">
        <v>43857</v>
      </c>
      <c r="C1021" t="s">
        <v>16</v>
      </c>
      <c r="D1021" t="s">
        <v>1636</v>
      </c>
      <c r="E1021" s="5">
        <v>44700000</v>
      </c>
      <c r="F1021" s="5">
        <v>47700000</v>
      </c>
      <c r="G1021" s="5">
        <v>3000000</v>
      </c>
      <c r="H1021" s="5">
        <v>4470000</v>
      </c>
      <c r="I1021" s="5">
        <v>4770000</v>
      </c>
      <c r="J1021" s="5">
        <v>45200000</v>
      </c>
      <c r="K1021" s="5">
        <v>48200000</v>
      </c>
      <c r="L1021" s="3">
        <v>0.97916666666666663</v>
      </c>
    </row>
    <row r="1022" spans="1:12" x14ac:dyDescent="0.25">
      <c r="A1022" t="s">
        <v>639</v>
      </c>
      <c r="B1022" s="2">
        <v>43858</v>
      </c>
      <c r="C1022" t="s">
        <v>18</v>
      </c>
      <c r="D1022" t="s">
        <v>1636</v>
      </c>
      <c r="E1022" s="5">
        <v>44500000</v>
      </c>
      <c r="F1022" s="5">
        <v>47500000</v>
      </c>
      <c r="G1022" s="5">
        <v>3000000</v>
      </c>
      <c r="H1022" s="5">
        <v>4450000</v>
      </c>
      <c r="I1022" s="5">
        <v>4750000</v>
      </c>
      <c r="J1022" s="5">
        <v>45000000</v>
      </c>
      <c r="K1022" s="5">
        <v>48000000</v>
      </c>
      <c r="L1022" s="3">
        <v>0.97916666666666663</v>
      </c>
    </row>
    <row r="1023" spans="1:12" x14ac:dyDescent="0.25">
      <c r="A1023" t="s">
        <v>640</v>
      </c>
      <c r="B1023" s="2">
        <v>43859</v>
      </c>
      <c r="C1023" t="s">
        <v>19</v>
      </c>
      <c r="D1023" t="s">
        <v>1636</v>
      </c>
      <c r="E1023" s="5">
        <v>44500000</v>
      </c>
      <c r="F1023" s="5">
        <v>47500000</v>
      </c>
      <c r="G1023" s="5">
        <v>3000000</v>
      </c>
      <c r="H1023" s="5">
        <v>4450000</v>
      </c>
      <c r="I1023" s="5">
        <v>4750000</v>
      </c>
      <c r="J1023" s="5">
        <v>45000000</v>
      </c>
      <c r="K1023" s="5">
        <v>48000000</v>
      </c>
      <c r="L1023" s="3">
        <v>0.97916666666666663</v>
      </c>
    </row>
    <row r="1024" spans="1:12" x14ac:dyDescent="0.25">
      <c r="A1024" t="s">
        <v>641</v>
      </c>
      <c r="B1024" s="2">
        <v>43860</v>
      </c>
      <c r="C1024" t="s">
        <v>20</v>
      </c>
      <c r="D1024" t="s">
        <v>1636</v>
      </c>
      <c r="E1024" s="5">
        <v>44900000</v>
      </c>
      <c r="F1024" s="5">
        <v>47900000</v>
      </c>
      <c r="G1024" s="5">
        <v>3000000</v>
      </c>
      <c r="H1024" s="5">
        <v>4490000</v>
      </c>
      <c r="I1024" s="5">
        <v>4790000</v>
      </c>
      <c r="J1024" s="5">
        <v>45400000</v>
      </c>
      <c r="K1024" s="5">
        <v>48400000</v>
      </c>
      <c r="L1024" s="3">
        <v>0.97916666666666663</v>
      </c>
    </row>
    <row r="1025" spans="1:12" x14ac:dyDescent="0.25">
      <c r="A1025" t="s">
        <v>642</v>
      </c>
      <c r="B1025" s="2">
        <v>43861</v>
      </c>
      <c r="C1025" t="s">
        <v>21</v>
      </c>
      <c r="D1025" t="s">
        <v>1636</v>
      </c>
      <c r="E1025" s="5">
        <v>44900000</v>
      </c>
      <c r="F1025" s="5">
        <v>47900000</v>
      </c>
      <c r="G1025" s="5">
        <v>3000000</v>
      </c>
      <c r="H1025" s="5">
        <v>4490000</v>
      </c>
      <c r="I1025" s="5">
        <v>4790000</v>
      </c>
      <c r="J1025" s="5">
        <v>45400000</v>
      </c>
      <c r="K1025" s="5">
        <v>48400000</v>
      </c>
      <c r="L1025" s="3">
        <v>0.97916666666666663</v>
      </c>
    </row>
    <row r="1026" spans="1:12" x14ac:dyDescent="0.25">
      <c r="A1026" s="2">
        <v>43892</v>
      </c>
      <c r="B1026" s="2">
        <v>43864</v>
      </c>
      <c r="C1026" t="s">
        <v>16</v>
      </c>
      <c r="D1026" t="s">
        <v>1636</v>
      </c>
      <c r="E1026" s="5">
        <v>44700000</v>
      </c>
      <c r="F1026" s="5">
        <v>47700000</v>
      </c>
      <c r="G1026" s="5">
        <v>3000000</v>
      </c>
      <c r="H1026" s="5">
        <v>4470000</v>
      </c>
      <c r="I1026" s="5">
        <v>4770000</v>
      </c>
      <c r="J1026" s="5">
        <v>45200000</v>
      </c>
      <c r="K1026" s="5">
        <v>48200000</v>
      </c>
      <c r="L1026" s="3">
        <v>0.97916666666666663</v>
      </c>
    </row>
    <row r="1027" spans="1:12" x14ac:dyDescent="0.25">
      <c r="A1027" s="2">
        <v>43923</v>
      </c>
      <c r="B1027" s="2">
        <v>43865</v>
      </c>
      <c r="C1027" t="s">
        <v>18</v>
      </c>
      <c r="D1027" t="s">
        <v>1636</v>
      </c>
      <c r="E1027" s="5">
        <v>43900000</v>
      </c>
      <c r="F1027" s="5">
        <v>46900000</v>
      </c>
      <c r="G1027" s="5">
        <v>3000000</v>
      </c>
      <c r="H1027" s="5">
        <v>4390000</v>
      </c>
      <c r="I1027" s="5">
        <v>4690000</v>
      </c>
      <c r="J1027" s="5">
        <v>44400000</v>
      </c>
      <c r="K1027" s="5">
        <v>47400000</v>
      </c>
      <c r="L1027" s="3">
        <v>0.97916666666666663</v>
      </c>
    </row>
    <row r="1028" spans="1:12" x14ac:dyDescent="0.25">
      <c r="A1028" s="2">
        <v>43953</v>
      </c>
      <c r="B1028" s="2">
        <v>43866</v>
      </c>
      <c r="C1028" t="s">
        <v>19</v>
      </c>
      <c r="D1028" t="s">
        <v>1636</v>
      </c>
      <c r="E1028" s="5">
        <v>44200000</v>
      </c>
      <c r="F1028" s="5">
        <v>47200000</v>
      </c>
      <c r="G1028" s="5">
        <v>3000000</v>
      </c>
      <c r="H1028" s="5">
        <v>4420000</v>
      </c>
      <c r="I1028" s="5">
        <v>4720000</v>
      </c>
      <c r="J1028" s="5">
        <v>44700000</v>
      </c>
      <c r="K1028" s="5">
        <v>47700000</v>
      </c>
      <c r="L1028" s="3">
        <v>0.97916666666666663</v>
      </c>
    </row>
    <row r="1029" spans="1:12" x14ac:dyDescent="0.25">
      <c r="A1029" s="2">
        <v>43984</v>
      </c>
      <c r="B1029" s="2">
        <v>43867</v>
      </c>
      <c r="C1029" t="s">
        <v>20</v>
      </c>
      <c r="D1029" t="s">
        <v>1636</v>
      </c>
      <c r="E1029" s="5">
        <v>44400000</v>
      </c>
      <c r="F1029" s="5">
        <v>47400000</v>
      </c>
      <c r="G1029" s="5">
        <v>3000000</v>
      </c>
      <c r="H1029" s="5">
        <v>4440000</v>
      </c>
      <c r="I1029" s="5">
        <v>4740000</v>
      </c>
      <c r="J1029" s="5">
        <v>44900000</v>
      </c>
      <c r="K1029" s="5">
        <v>47900000</v>
      </c>
      <c r="L1029" s="3">
        <v>0.97916666666666663</v>
      </c>
    </row>
    <row r="1030" spans="1:12" x14ac:dyDescent="0.25">
      <c r="A1030" s="2">
        <v>44014</v>
      </c>
      <c r="B1030" s="2">
        <v>43868</v>
      </c>
      <c r="C1030" t="s">
        <v>21</v>
      </c>
      <c r="D1030" t="s">
        <v>1636</v>
      </c>
      <c r="E1030" s="5">
        <v>44500000</v>
      </c>
      <c r="F1030" s="5">
        <v>47500000</v>
      </c>
      <c r="G1030" s="5">
        <v>3000000</v>
      </c>
      <c r="H1030" s="5">
        <v>4450000</v>
      </c>
      <c r="I1030" s="5">
        <v>4750000</v>
      </c>
      <c r="J1030" s="5">
        <v>45000000</v>
      </c>
      <c r="K1030" s="5">
        <v>48000000</v>
      </c>
      <c r="L1030" s="3">
        <v>0.97916666666666663</v>
      </c>
    </row>
    <row r="1031" spans="1:12" x14ac:dyDescent="0.25">
      <c r="A1031" s="2">
        <v>44106</v>
      </c>
      <c r="B1031" s="2">
        <v>43871</v>
      </c>
      <c r="C1031" t="s">
        <v>16</v>
      </c>
      <c r="D1031" t="s">
        <v>1636</v>
      </c>
      <c r="E1031" s="5">
        <v>44700000</v>
      </c>
      <c r="F1031" s="5">
        <v>47700000</v>
      </c>
      <c r="G1031" s="5">
        <v>3000000</v>
      </c>
      <c r="H1031" s="5">
        <v>4470000</v>
      </c>
      <c r="I1031" s="5">
        <v>4770000</v>
      </c>
      <c r="J1031" s="5">
        <v>45200000</v>
      </c>
      <c r="K1031" s="5">
        <v>48200000</v>
      </c>
      <c r="L1031" s="3">
        <v>0.97916666666666663</v>
      </c>
    </row>
    <row r="1032" spans="1:12" x14ac:dyDescent="0.25">
      <c r="A1032" s="2">
        <v>44137</v>
      </c>
      <c r="B1032" s="2">
        <v>43872</v>
      </c>
      <c r="C1032" t="s">
        <v>18</v>
      </c>
      <c r="D1032" t="s">
        <v>1636</v>
      </c>
      <c r="E1032" s="5">
        <v>44400000</v>
      </c>
      <c r="F1032" s="5">
        <v>47400000</v>
      </c>
      <c r="G1032" s="5">
        <v>3000000</v>
      </c>
      <c r="H1032" s="5">
        <v>4440000</v>
      </c>
      <c r="I1032" s="5">
        <v>4740000</v>
      </c>
      <c r="J1032" s="5">
        <v>44900000</v>
      </c>
      <c r="K1032" s="5">
        <v>47900000</v>
      </c>
      <c r="L1032" s="3">
        <v>0.97916666666666663</v>
      </c>
    </row>
    <row r="1033" spans="1:12" x14ac:dyDescent="0.25">
      <c r="A1033" s="2">
        <v>44167</v>
      </c>
      <c r="B1033" s="2">
        <v>43873</v>
      </c>
      <c r="C1033" t="s">
        <v>19</v>
      </c>
      <c r="D1033" t="s">
        <v>1636</v>
      </c>
      <c r="E1033" s="5">
        <v>44500000</v>
      </c>
      <c r="F1033" s="5">
        <v>47500000</v>
      </c>
      <c r="G1033" s="5">
        <v>3000000</v>
      </c>
      <c r="H1033" s="5">
        <v>4450000</v>
      </c>
      <c r="I1033" s="5">
        <v>4750000</v>
      </c>
      <c r="J1033" s="5">
        <v>45000000</v>
      </c>
      <c r="K1033" s="5">
        <v>48000000</v>
      </c>
      <c r="L1033" s="3">
        <v>0.97916666666666663</v>
      </c>
    </row>
    <row r="1034" spans="1:12" x14ac:dyDescent="0.25">
      <c r="A1034" t="s">
        <v>643</v>
      </c>
      <c r="B1034" s="2">
        <v>43874</v>
      </c>
      <c r="C1034" t="s">
        <v>20</v>
      </c>
      <c r="D1034" t="s">
        <v>1636</v>
      </c>
      <c r="E1034" s="5">
        <v>44700000</v>
      </c>
      <c r="F1034" s="5">
        <v>47700000</v>
      </c>
      <c r="G1034" s="5">
        <v>3000000</v>
      </c>
      <c r="H1034" s="5">
        <v>4470000</v>
      </c>
      <c r="I1034" s="5">
        <v>4770000</v>
      </c>
      <c r="J1034" s="5">
        <v>45200000</v>
      </c>
      <c r="K1034" s="5">
        <v>48200000</v>
      </c>
      <c r="L1034" s="3">
        <v>0.97916666666666663</v>
      </c>
    </row>
    <row r="1035" spans="1:12" x14ac:dyDescent="0.25">
      <c r="A1035" t="s">
        <v>644</v>
      </c>
      <c r="B1035" s="2">
        <v>43875</v>
      </c>
      <c r="C1035" t="s">
        <v>21</v>
      </c>
      <c r="D1035" t="s">
        <v>1636</v>
      </c>
      <c r="E1035" s="5">
        <v>44900000</v>
      </c>
      <c r="F1035" s="5">
        <v>47900000</v>
      </c>
      <c r="G1035" s="5">
        <v>3000000</v>
      </c>
      <c r="H1035" s="5">
        <v>4490000</v>
      </c>
      <c r="I1035" s="5">
        <v>4790000</v>
      </c>
      <c r="J1035" s="5">
        <v>45400000</v>
      </c>
      <c r="K1035" s="5">
        <v>48400000</v>
      </c>
      <c r="L1035" s="3">
        <v>0.97916666666666663</v>
      </c>
    </row>
    <row r="1036" spans="1:12" x14ac:dyDescent="0.25">
      <c r="A1036" t="s">
        <v>645</v>
      </c>
      <c r="B1036" s="2">
        <v>43879</v>
      </c>
      <c r="C1036" t="s">
        <v>18</v>
      </c>
      <c r="D1036" t="s">
        <v>1636</v>
      </c>
      <c r="E1036" s="5">
        <v>45400000</v>
      </c>
      <c r="F1036" s="5">
        <v>48400000</v>
      </c>
      <c r="G1036" s="5">
        <v>3000000</v>
      </c>
      <c r="H1036" s="5">
        <v>4540000</v>
      </c>
      <c r="I1036" s="5">
        <v>4840000</v>
      </c>
      <c r="J1036" s="5">
        <v>45900000</v>
      </c>
      <c r="K1036" s="5">
        <v>48900000</v>
      </c>
      <c r="L1036" s="3">
        <v>0.97916666666666663</v>
      </c>
    </row>
    <row r="1037" spans="1:12" x14ac:dyDescent="0.25">
      <c r="A1037" t="s">
        <v>646</v>
      </c>
      <c r="B1037" s="2">
        <v>43880</v>
      </c>
      <c r="C1037" t="s">
        <v>19</v>
      </c>
      <c r="D1037" t="s">
        <v>1636</v>
      </c>
      <c r="E1037" s="5">
        <v>45700000</v>
      </c>
      <c r="F1037" s="5">
        <v>48700000</v>
      </c>
      <c r="G1037" s="5">
        <v>3000000</v>
      </c>
      <c r="H1037" s="5">
        <v>4570000</v>
      </c>
      <c r="I1037" s="5">
        <v>4870000</v>
      </c>
      <c r="J1037" s="5">
        <v>46200000</v>
      </c>
      <c r="K1037" s="5">
        <v>49200000</v>
      </c>
      <c r="L1037" s="3">
        <v>0.97916666666666663</v>
      </c>
    </row>
    <row r="1038" spans="1:12" x14ac:dyDescent="0.25">
      <c r="A1038" t="s">
        <v>647</v>
      </c>
      <c r="B1038" s="2">
        <v>43881</v>
      </c>
      <c r="C1038" t="s">
        <v>20</v>
      </c>
      <c r="D1038" t="s">
        <v>1636</v>
      </c>
      <c r="E1038" s="5">
        <v>45900000</v>
      </c>
      <c r="F1038" s="5">
        <v>48900000</v>
      </c>
      <c r="G1038" s="5">
        <v>3000000</v>
      </c>
      <c r="H1038" s="5">
        <v>4590000</v>
      </c>
      <c r="I1038" s="5">
        <v>4890000</v>
      </c>
      <c r="J1038" s="5">
        <v>46400000</v>
      </c>
      <c r="K1038" s="5">
        <v>49400000</v>
      </c>
      <c r="L1038" s="3">
        <v>0.97916666666666663</v>
      </c>
    </row>
    <row r="1039" spans="1:12" x14ac:dyDescent="0.25">
      <c r="A1039" t="s">
        <v>648</v>
      </c>
      <c r="B1039" s="2">
        <v>43882</v>
      </c>
      <c r="C1039" t="s">
        <v>21</v>
      </c>
      <c r="D1039" t="s">
        <v>1636</v>
      </c>
      <c r="E1039" s="5">
        <v>46800000</v>
      </c>
      <c r="F1039" s="5">
        <v>49800000</v>
      </c>
      <c r="G1039" s="5">
        <v>3000000</v>
      </c>
      <c r="H1039" s="5">
        <v>4680000</v>
      </c>
      <c r="I1039" s="5">
        <v>4980000</v>
      </c>
      <c r="J1039" s="5">
        <v>47300000</v>
      </c>
      <c r="K1039" s="5">
        <v>50300000</v>
      </c>
      <c r="L1039" s="3">
        <v>0.97916666666666663</v>
      </c>
    </row>
    <row r="1040" spans="1:12" x14ac:dyDescent="0.25">
      <c r="A1040" t="s">
        <v>649</v>
      </c>
      <c r="B1040" s="2">
        <v>43885</v>
      </c>
      <c r="C1040" t="s">
        <v>16</v>
      </c>
      <c r="D1040" t="s">
        <v>1636</v>
      </c>
      <c r="E1040" s="5">
        <v>47600000</v>
      </c>
      <c r="F1040" s="5">
        <v>50600000</v>
      </c>
      <c r="G1040" s="5">
        <v>3000000</v>
      </c>
      <c r="H1040" s="5">
        <v>4760000</v>
      </c>
      <c r="I1040" s="5">
        <v>5060000</v>
      </c>
      <c r="J1040" s="5">
        <v>48100000</v>
      </c>
      <c r="K1040" s="5">
        <v>51100000</v>
      </c>
      <c r="L1040" s="3">
        <v>0.97916666666666663</v>
      </c>
    </row>
    <row r="1041" spans="1:12" x14ac:dyDescent="0.25">
      <c r="A1041" t="s">
        <v>650</v>
      </c>
      <c r="B1041" s="2">
        <v>43886</v>
      </c>
      <c r="C1041" t="s">
        <v>18</v>
      </c>
      <c r="D1041" t="s">
        <v>1636</v>
      </c>
      <c r="E1041" s="5">
        <v>46900000</v>
      </c>
      <c r="F1041" s="5">
        <v>49900000</v>
      </c>
      <c r="G1041" s="5">
        <v>3000000</v>
      </c>
      <c r="H1041" s="5">
        <v>4690000</v>
      </c>
      <c r="I1041" s="5">
        <v>4990000</v>
      </c>
      <c r="J1041" s="5">
        <v>47400000</v>
      </c>
      <c r="K1041" s="5">
        <v>50400000</v>
      </c>
      <c r="L1041" s="3">
        <v>0.97916666666666663</v>
      </c>
    </row>
    <row r="1042" spans="1:12" x14ac:dyDescent="0.25">
      <c r="A1042" t="s">
        <v>651</v>
      </c>
      <c r="B1042" s="2">
        <v>43887</v>
      </c>
      <c r="C1042" t="s">
        <v>19</v>
      </c>
      <c r="D1042" t="s">
        <v>1636</v>
      </c>
      <c r="E1042" s="5">
        <v>46600000</v>
      </c>
      <c r="F1042" s="5">
        <v>49600000</v>
      </c>
      <c r="G1042" s="5">
        <v>3000000</v>
      </c>
      <c r="H1042" s="5">
        <v>4660000</v>
      </c>
      <c r="I1042" s="5">
        <v>4960000</v>
      </c>
      <c r="J1042" s="5">
        <v>47100000</v>
      </c>
      <c r="K1042" s="5">
        <v>50100000</v>
      </c>
      <c r="L1042" s="3">
        <v>0.97916666666666663</v>
      </c>
    </row>
    <row r="1043" spans="1:12" x14ac:dyDescent="0.25">
      <c r="A1043" t="s">
        <v>652</v>
      </c>
      <c r="B1043" s="2">
        <v>43888</v>
      </c>
      <c r="C1043" t="s">
        <v>20</v>
      </c>
      <c r="D1043" t="s">
        <v>1636</v>
      </c>
      <c r="E1043" s="5">
        <v>46600000</v>
      </c>
      <c r="F1043" s="5">
        <v>49600000</v>
      </c>
      <c r="G1043" s="5">
        <v>3000000</v>
      </c>
      <c r="H1043" s="5">
        <v>4660000</v>
      </c>
      <c r="I1043" s="5">
        <v>4960000</v>
      </c>
      <c r="J1043" s="5">
        <v>47100000</v>
      </c>
      <c r="K1043" s="5">
        <v>50100000</v>
      </c>
      <c r="L1043" s="3">
        <v>0.97916666666666663</v>
      </c>
    </row>
    <row r="1044" spans="1:12" x14ac:dyDescent="0.25">
      <c r="A1044" t="s">
        <v>653</v>
      </c>
      <c r="B1044" s="2">
        <v>43889</v>
      </c>
      <c r="C1044" t="s">
        <v>21</v>
      </c>
      <c r="D1044" t="s">
        <v>1636</v>
      </c>
      <c r="E1044" s="5">
        <v>44400000</v>
      </c>
      <c r="F1044" s="5">
        <v>47400000</v>
      </c>
      <c r="G1044" s="5">
        <v>3000000</v>
      </c>
      <c r="H1044" s="5">
        <v>4440000</v>
      </c>
      <c r="I1044" s="5">
        <v>4740000</v>
      </c>
      <c r="J1044" s="5">
        <v>44900000</v>
      </c>
      <c r="K1044" s="5">
        <v>47900000</v>
      </c>
      <c r="L1044" s="3">
        <v>0.97916666666666663</v>
      </c>
    </row>
    <row r="1045" spans="1:12" x14ac:dyDescent="0.25">
      <c r="A1045" s="2">
        <v>43864</v>
      </c>
      <c r="B1045" s="2">
        <v>43892</v>
      </c>
      <c r="C1045" t="s">
        <v>16</v>
      </c>
      <c r="D1045" t="s">
        <v>1636</v>
      </c>
      <c r="E1045" s="5">
        <v>45200000</v>
      </c>
      <c r="F1045" s="5">
        <v>48200000</v>
      </c>
      <c r="G1045" s="5">
        <v>3000000</v>
      </c>
      <c r="H1045" s="5">
        <v>4520000</v>
      </c>
      <c r="I1045" s="5">
        <v>4820000</v>
      </c>
      <c r="J1045" s="5">
        <v>45700000</v>
      </c>
      <c r="K1045" s="5">
        <v>48700000</v>
      </c>
      <c r="L1045" s="3">
        <v>0.97916666666666663</v>
      </c>
    </row>
    <row r="1046" spans="1:12" x14ac:dyDescent="0.25">
      <c r="A1046" s="2">
        <v>43893</v>
      </c>
      <c r="B1046" s="2">
        <v>43893</v>
      </c>
      <c r="C1046" t="s">
        <v>18</v>
      </c>
      <c r="D1046" t="s">
        <v>1636</v>
      </c>
      <c r="E1046" s="5">
        <v>46700000</v>
      </c>
      <c r="F1046" s="5">
        <v>49700000</v>
      </c>
      <c r="G1046" s="5">
        <v>3000000</v>
      </c>
      <c r="H1046" s="5">
        <v>4670000</v>
      </c>
      <c r="I1046" s="5">
        <v>4970000</v>
      </c>
      <c r="J1046" s="5">
        <v>47200000</v>
      </c>
      <c r="K1046" s="5">
        <v>50200000</v>
      </c>
      <c r="L1046" s="3">
        <v>0.97916666666666663</v>
      </c>
    </row>
    <row r="1047" spans="1:12" x14ac:dyDescent="0.25">
      <c r="A1047" s="2">
        <v>43924</v>
      </c>
      <c r="B1047" s="2">
        <v>43894</v>
      </c>
      <c r="C1047" t="s">
        <v>19</v>
      </c>
      <c r="D1047" t="s">
        <v>1636</v>
      </c>
      <c r="E1047" s="5">
        <v>46700000</v>
      </c>
      <c r="F1047" s="5">
        <v>49700000</v>
      </c>
      <c r="G1047" s="5">
        <v>3000000</v>
      </c>
      <c r="H1047" s="5">
        <v>4670000</v>
      </c>
      <c r="I1047" s="5">
        <v>4970000</v>
      </c>
      <c r="J1047" s="5">
        <v>47200000</v>
      </c>
      <c r="K1047" s="5">
        <v>50200000</v>
      </c>
      <c r="L1047" s="3">
        <v>0.97916666666666663</v>
      </c>
    </row>
    <row r="1048" spans="1:12" x14ac:dyDescent="0.25">
      <c r="A1048" s="2">
        <v>43954</v>
      </c>
      <c r="B1048" s="2">
        <v>43895</v>
      </c>
      <c r="C1048" t="s">
        <v>20</v>
      </c>
      <c r="D1048" t="s">
        <v>1636</v>
      </c>
      <c r="E1048" s="5">
        <v>47400000</v>
      </c>
      <c r="F1048" s="5">
        <v>50400000</v>
      </c>
      <c r="G1048" s="5">
        <v>3000000</v>
      </c>
      <c r="H1048" s="5">
        <v>4740000</v>
      </c>
      <c r="I1048" s="5">
        <v>5040000</v>
      </c>
      <c r="J1048" s="5">
        <v>47900000</v>
      </c>
      <c r="K1048" s="5">
        <v>50900000</v>
      </c>
      <c r="L1048" s="3">
        <v>0.97916666666666663</v>
      </c>
    </row>
    <row r="1049" spans="1:12" x14ac:dyDescent="0.25">
      <c r="A1049" s="2">
        <v>43985</v>
      </c>
      <c r="B1049" s="2">
        <v>43896</v>
      </c>
      <c r="C1049" t="s">
        <v>21</v>
      </c>
      <c r="D1049" t="s">
        <v>1636</v>
      </c>
      <c r="E1049" s="5">
        <v>47600000</v>
      </c>
      <c r="F1049" s="5">
        <v>50600000</v>
      </c>
      <c r="G1049" s="5">
        <v>3000000</v>
      </c>
      <c r="H1049" s="5">
        <v>4760000</v>
      </c>
      <c r="I1049" s="5">
        <v>5060000</v>
      </c>
      <c r="J1049" s="5">
        <v>48100000</v>
      </c>
      <c r="K1049" s="5">
        <v>51100000</v>
      </c>
      <c r="L1049" s="3">
        <v>0.97916666666666663</v>
      </c>
    </row>
    <row r="1050" spans="1:12" x14ac:dyDescent="0.25">
      <c r="A1050" s="2">
        <v>44077</v>
      </c>
      <c r="B1050" s="2">
        <v>43899</v>
      </c>
      <c r="C1050" t="s">
        <v>16</v>
      </c>
      <c r="D1050" t="s">
        <v>1636</v>
      </c>
      <c r="E1050" s="5">
        <v>47700000</v>
      </c>
      <c r="F1050" s="5">
        <v>50700000</v>
      </c>
      <c r="G1050" s="5">
        <v>3000000</v>
      </c>
      <c r="H1050" s="5">
        <v>4770000</v>
      </c>
      <c r="I1050" s="5">
        <v>5070000</v>
      </c>
      <c r="J1050" s="5">
        <v>48200000</v>
      </c>
      <c r="K1050" s="5">
        <v>51200000</v>
      </c>
      <c r="L1050" s="3">
        <v>0.97916666666666663</v>
      </c>
    </row>
    <row r="1051" spans="1:12" x14ac:dyDescent="0.25">
      <c r="A1051" s="2">
        <v>44107</v>
      </c>
      <c r="B1051" s="2">
        <v>43900</v>
      </c>
      <c r="C1051" t="s">
        <v>18</v>
      </c>
      <c r="D1051" t="s">
        <v>1636</v>
      </c>
      <c r="E1051" s="5">
        <v>47200000</v>
      </c>
      <c r="F1051" s="5">
        <v>50200000</v>
      </c>
      <c r="G1051" s="5">
        <v>3000000</v>
      </c>
      <c r="H1051" s="5">
        <v>4720000</v>
      </c>
      <c r="I1051" s="5">
        <v>5020000</v>
      </c>
      <c r="J1051" s="5">
        <v>47700000</v>
      </c>
      <c r="K1051" s="5">
        <v>50700000</v>
      </c>
      <c r="L1051" s="3">
        <v>0.97916666666666663</v>
      </c>
    </row>
    <row r="1052" spans="1:12" x14ac:dyDescent="0.25">
      <c r="A1052" s="2">
        <v>44138</v>
      </c>
      <c r="B1052" s="2">
        <v>43901</v>
      </c>
      <c r="C1052" t="s">
        <v>19</v>
      </c>
      <c r="D1052" t="s">
        <v>1636</v>
      </c>
      <c r="E1052" s="5">
        <v>46700000</v>
      </c>
      <c r="F1052" s="5">
        <v>49700000</v>
      </c>
      <c r="G1052" s="5">
        <v>3000000</v>
      </c>
      <c r="H1052" s="5">
        <v>4670000</v>
      </c>
      <c r="I1052" s="5">
        <v>4970000</v>
      </c>
      <c r="J1052" s="5">
        <v>47200000</v>
      </c>
      <c r="K1052" s="5">
        <v>50200000</v>
      </c>
      <c r="L1052" s="3">
        <v>0.97916666666666663</v>
      </c>
    </row>
    <row r="1053" spans="1:12" x14ac:dyDescent="0.25">
      <c r="A1053" s="2">
        <v>44168</v>
      </c>
      <c r="B1053" s="2">
        <v>43902</v>
      </c>
      <c r="C1053" t="s">
        <v>20</v>
      </c>
      <c r="D1053" t="s">
        <v>1636</v>
      </c>
      <c r="E1053" s="5">
        <v>45100000</v>
      </c>
      <c r="F1053" s="5">
        <v>48100000</v>
      </c>
      <c r="G1053" s="5">
        <v>3000000</v>
      </c>
      <c r="H1053" s="5">
        <v>4510000</v>
      </c>
      <c r="I1053" s="5">
        <v>4810000</v>
      </c>
      <c r="J1053" s="5">
        <v>45600000</v>
      </c>
      <c r="K1053" s="5">
        <v>48600000</v>
      </c>
      <c r="L1053" s="3">
        <v>0.97916666666666663</v>
      </c>
    </row>
    <row r="1054" spans="1:12" x14ac:dyDescent="0.25">
      <c r="A1054" t="s">
        <v>654</v>
      </c>
      <c r="B1054" s="2">
        <v>43903</v>
      </c>
      <c r="C1054" t="s">
        <v>21</v>
      </c>
      <c r="D1054" t="s">
        <v>1636</v>
      </c>
      <c r="E1054" s="5">
        <v>42900000</v>
      </c>
      <c r="F1054" s="5">
        <v>45900000</v>
      </c>
      <c r="G1054" s="5">
        <v>3000000</v>
      </c>
      <c r="H1054" s="5">
        <v>4290000</v>
      </c>
      <c r="I1054" s="5">
        <v>4590000</v>
      </c>
      <c r="J1054" s="5">
        <v>43400000</v>
      </c>
      <c r="K1054" s="5">
        <v>46400000</v>
      </c>
      <c r="L1054" s="3">
        <v>0.97916666666666663</v>
      </c>
    </row>
    <row r="1055" spans="1:12" x14ac:dyDescent="0.25">
      <c r="A1055" t="s">
        <v>655</v>
      </c>
      <c r="B1055" s="2">
        <v>43906</v>
      </c>
      <c r="C1055" t="s">
        <v>16</v>
      </c>
      <c r="D1055" t="s">
        <v>1636</v>
      </c>
      <c r="E1055" s="5">
        <v>42000000</v>
      </c>
      <c r="F1055" s="5">
        <v>45000000</v>
      </c>
      <c r="G1055" s="5">
        <v>3000000</v>
      </c>
      <c r="H1055" s="5">
        <v>4200000</v>
      </c>
      <c r="I1055" s="5">
        <v>4500000</v>
      </c>
      <c r="J1055" s="5">
        <v>42500000</v>
      </c>
      <c r="K1055" s="5">
        <v>45500000</v>
      </c>
      <c r="L1055" s="3">
        <v>0.97916666666666663</v>
      </c>
    </row>
    <row r="1056" spans="1:12" x14ac:dyDescent="0.25">
      <c r="A1056" t="s">
        <v>656</v>
      </c>
      <c r="B1056" s="2">
        <v>43907</v>
      </c>
      <c r="C1056" t="s">
        <v>18</v>
      </c>
      <c r="D1056" t="s">
        <v>1636</v>
      </c>
      <c r="E1056" s="5">
        <v>43200000</v>
      </c>
      <c r="F1056" s="5">
        <v>46200000</v>
      </c>
      <c r="G1056" s="5">
        <v>3000000</v>
      </c>
      <c r="H1056" s="5">
        <v>4320000</v>
      </c>
      <c r="I1056" s="5">
        <v>4620000</v>
      </c>
      <c r="J1056" s="5">
        <v>43700000</v>
      </c>
      <c r="K1056" s="5">
        <v>46700000</v>
      </c>
      <c r="L1056" s="3">
        <v>0.97916666666666663</v>
      </c>
    </row>
    <row r="1057" spans="1:12" x14ac:dyDescent="0.25">
      <c r="A1057" t="s">
        <v>657</v>
      </c>
      <c r="B1057" s="2">
        <v>43908</v>
      </c>
      <c r="C1057" t="s">
        <v>19</v>
      </c>
      <c r="D1057" t="s">
        <v>1636</v>
      </c>
      <c r="E1057" s="5">
        <v>41700000</v>
      </c>
      <c r="F1057" s="5">
        <v>44700000</v>
      </c>
      <c r="G1057" s="5">
        <v>3000000</v>
      </c>
      <c r="H1057" s="5">
        <v>4170000</v>
      </c>
      <c r="I1057" s="5">
        <v>4470000</v>
      </c>
      <c r="J1057" s="5">
        <v>42200000</v>
      </c>
      <c r="K1057" s="5">
        <v>45200000</v>
      </c>
      <c r="L1057" s="3">
        <v>0.97916666666666663</v>
      </c>
    </row>
    <row r="1058" spans="1:12" x14ac:dyDescent="0.25">
      <c r="A1058" t="s">
        <v>658</v>
      </c>
      <c r="B1058" s="2">
        <v>43909</v>
      </c>
      <c r="C1058" t="s">
        <v>20</v>
      </c>
      <c r="D1058" t="s">
        <v>1636</v>
      </c>
      <c r="E1058" s="5">
        <v>41800000</v>
      </c>
      <c r="F1058" s="5">
        <v>44800000</v>
      </c>
      <c r="G1058" s="5">
        <v>3000000</v>
      </c>
      <c r="H1058" s="5">
        <v>4180000</v>
      </c>
      <c r="I1058" s="5">
        <v>4480000</v>
      </c>
      <c r="J1058" s="5">
        <v>42300000</v>
      </c>
      <c r="K1058" s="5">
        <v>45300000</v>
      </c>
      <c r="L1058" s="3">
        <v>0.97916666666666663</v>
      </c>
    </row>
    <row r="1059" spans="1:12" x14ac:dyDescent="0.25">
      <c r="A1059" t="s">
        <v>659</v>
      </c>
      <c r="B1059" s="2">
        <v>43910</v>
      </c>
      <c r="C1059" t="s">
        <v>21</v>
      </c>
      <c r="D1059" t="s">
        <v>1636</v>
      </c>
      <c r="E1059" s="5">
        <v>41900000</v>
      </c>
      <c r="F1059" s="5">
        <v>44900000</v>
      </c>
      <c r="G1059" s="5">
        <v>3000000</v>
      </c>
      <c r="H1059" s="5">
        <v>4190000</v>
      </c>
      <c r="I1059" s="5">
        <v>4490000</v>
      </c>
      <c r="J1059" s="5">
        <v>42400000</v>
      </c>
      <c r="K1059" s="5">
        <v>45400000</v>
      </c>
      <c r="L1059" s="3">
        <v>0.97916666666666663</v>
      </c>
    </row>
    <row r="1060" spans="1:12" x14ac:dyDescent="0.25">
      <c r="A1060" t="s">
        <v>660</v>
      </c>
      <c r="B1060" s="2">
        <v>43913</v>
      </c>
      <c r="C1060" t="s">
        <v>16</v>
      </c>
      <c r="D1060" t="s">
        <v>1636</v>
      </c>
      <c r="E1060" s="5">
        <v>44400000</v>
      </c>
      <c r="F1060" s="5">
        <v>47400000</v>
      </c>
      <c r="G1060" s="5">
        <v>3000000</v>
      </c>
      <c r="H1060" s="5">
        <v>4440000</v>
      </c>
      <c r="I1060" s="5">
        <v>4740000</v>
      </c>
      <c r="J1060" s="5">
        <v>44900000</v>
      </c>
      <c r="K1060" s="5">
        <v>47900000</v>
      </c>
      <c r="L1060" s="3">
        <v>0.97916666666666663</v>
      </c>
    </row>
    <row r="1061" spans="1:12" x14ac:dyDescent="0.25">
      <c r="A1061" t="s">
        <v>661</v>
      </c>
      <c r="B1061" s="2">
        <v>43914</v>
      </c>
      <c r="C1061" t="s">
        <v>18</v>
      </c>
      <c r="D1061" t="s">
        <v>1636</v>
      </c>
      <c r="E1061" s="5">
        <v>47300000</v>
      </c>
      <c r="F1061" s="5">
        <v>50300000</v>
      </c>
      <c r="G1061" s="5">
        <v>3000000</v>
      </c>
      <c r="H1061" s="5">
        <v>4730000</v>
      </c>
      <c r="I1061" s="5">
        <v>5030000</v>
      </c>
      <c r="J1061" s="5">
        <v>47800000</v>
      </c>
      <c r="K1061" s="5">
        <v>50800000</v>
      </c>
      <c r="L1061" s="3">
        <v>0.97916666666666663</v>
      </c>
    </row>
    <row r="1062" spans="1:12" x14ac:dyDescent="0.25">
      <c r="A1062" t="s">
        <v>662</v>
      </c>
      <c r="B1062" s="2">
        <v>43915</v>
      </c>
      <c r="C1062" t="s">
        <v>19</v>
      </c>
      <c r="D1062" t="s">
        <v>1636</v>
      </c>
      <c r="E1062" s="5">
        <v>46400000</v>
      </c>
      <c r="F1062" s="5">
        <v>49400000</v>
      </c>
      <c r="G1062" s="5">
        <v>3000000</v>
      </c>
      <c r="H1062" s="5">
        <v>4640000</v>
      </c>
      <c r="I1062" s="5">
        <v>4940000</v>
      </c>
      <c r="J1062" s="5">
        <v>46900000</v>
      </c>
      <c r="K1062" s="5">
        <v>49900000</v>
      </c>
      <c r="L1062" s="3">
        <v>0.97916666666666663</v>
      </c>
    </row>
    <row r="1063" spans="1:12" x14ac:dyDescent="0.25">
      <c r="A1063" t="s">
        <v>663</v>
      </c>
      <c r="B1063" s="2">
        <v>43916</v>
      </c>
      <c r="C1063" t="s">
        <v>20</v>
      </c>
      <c r="D1063" t="s">
        <v>1636</v>
      </c>
      <c r="E1063" s="5">
        <v>47000000</v>
      </c>
      <c r="F1063" s="5">
        <v>50000000</v>
      </c>
      <c r="G1063" s="5">
        <v>3000000</v>
      </c>
      <c r="H1063" s="5">
        <v>4700000</v>
      </c>
      <c r="I1063" s="5">
        <v>5000000</v>
      </c>
      <c r="J1063" s="5">
        <v>47500000</v>
      </c>
      <c r="K1063" s="5">
        <v>50500000</v>
      </c>
      <c r="L1063" s="3">
        <v>0.97916666666666663</v>
      </c>
    </row>
    <row r="1064" spans="1:12" x14ac:dyDescent="0.25">
      <c r="A1064" t="s">
        <v>664</v>
      </c>
      <c r="B1064" s="2">
        <v>43917</v>
      </c>
      <c r="C1064" t="s">
        <v>21</v>
      </c>
      <c r="D1064" t="s">
        <v>1636</v>
      </c>
      <c r="E1064" s="5">
        <v>46200000</v>
      </c>
      <c r="F1064" s="5">
        <v>49200000</v>
      </c>
      <c r="G1064" s="5">
        <v>3000000</v>
      </c>
      <c r="H1064" s="5">
        <v>4620000</v>
      </c>
      <c r="I1064" s="5">
        <v>4920000</v>
      </c>
      <c r="J1064" s="5">
        <v>46700000</v>
      </c>
      <c r="K1064" s="5">
        <v>49700000</v>
      </c>
      <c r="L1064" s="3">
        <v>0.97916666666666663</v>
      </c>
    </row>
    <row r="1065" spans="1:12" x14ac:dyDescent="0.25">
      <c r="A1065" t="s">
        <v>665</v>
      </c>
      <c r="B1065" s="2">
        <v>43920</v>
      </c>
      <c r="C1065" t="s">
        <v>16</v>
      </c>
      <c r="D1065" t="s">
        <v>1636</v>
      </c>
      <c r="E1065" s="5">
        <v>46100000</v>
      </c>
      <c r="F1065" s="5">
        <v>49100000</v>
      </c>
      <c r="G1065" s="5">
        <v>3000000</v>
      </c>
      <c r="H1065" s="5">
        <v>4610000</v>
      </c>
      <c r="I1065" s="5">
        <v>4910000</v>
      </c>
      <c r="J1065" s="5">
        <v>46600000</v>
      </c>
      <c r="K1065" s="5">
        <v>49600000</v>
      </c>
      <c r="L1065" s="3">
        <v>0.97916666666666663</v>
      </c>
    </row>
    <row r="1066" spans="1:12" x14ac:dyDescent="0.25">
      <c r="A1066" t="s">
        <v>666</v>
      </c>
      <c r="B1066" s="2">
        <v>43921</v>
      </c>
      <c r="C1066" t="s">
        <v>18</v>
      </c>
      <c r="D1066" t="s">
        <v>1636</v>
      </c>
      <c r="E1066" s="5">
        <v>44900000</v>
      </c>
      <c r="F1066" s="5">
        <v>47900000</v>
      </c>
      <c r="G1066" s="5">
        <v>3000000</v>
      </c>
      <c r="H1066" s="5">
        <v>4490000</v>
      </c>
      <c r="I1066" s="5">
        <v>4790000</v>
      </c>
      <c r="J1066" s="5">
        <v>45400000</v>
      </c>
      <c r="K1066" s="5">
        <v>48400000</v>
      </c>
      <c r="L1066" s="3">
        <v>0.97916666666666663</v>
      </c>
    </row>
    <row r="1067" spans="1:12" x14ac:dyDescent="0.25">
      <c r="A1067" s="2">
        <v>43834</v>
      </c>
      <c r="B1067" s="2">
        <v>43922</v>
      </c>
      <c r="C1067" t="s">
        <v>19</v>
      </c>
      <c r="D1067" t="s">
        <v>1636</v>
      </c>
      <c r="E1067" s="5">
        <v>44800000</v>
      </c>
      <c r="F1067" s="5">
        <v>47800000</v>
      </c>
      <c r="G1067" s="5">
        <v>3000000</v>
      </c>
      <c r="H1067" s="5">
        <v>4480000</v>
      </c>
      <c r="I1067" s="5">
        <v>4780000</v>
      </c>
      <c r="J1067" s="5">
        <v>45300000</v>
      </c>
      <c r="K1067" s="5">
        <v>48300000</v>
      </c>
      <c r="L1067" s="3">
        <v>0.97916666666666663</v>
      </c>
    </row>
    <row r="1068" spans="1:12" x14ac:dyDescent="0.25">
      <c r="A1068" s="2">
        <v>43865</v>
      </c>
      <c r="B1068" s="2">
        <v>43923</v>
      </c>
      <c r="C1068" t="s">
        <v>20</v>
      </c>
      <c r="D1068" t="s">
        <v>1636</v>
      </c>
      <c r="E1068" s="5">
        <v>46200000</v>
      </c>
      <c r="F1068" s="5">
        <v>49200000</v>
      </c>
      <c r="G1068" s="5">
        <v>3000000</v>
      </c>
      <c r="H1068" s="5">
        <v>4620000</v>
      </c>
      <c r="I1068" s="5">
        <v>4920000</v>
      </c>
      <c r="J1068" s="5">
        <v>46700000</v>
      </c>
      <c r="K1068" s="5">
        <v>49700000</v>
      </c>
      <c r="L1068" s="3">
        <v>0.97916666666666663</v>
      </c>
    </row>
    <row r="1069" spans="1:12" x14ac:dyDescent="0.25">
      <c r="A1069" s="2">
        <v>43894</v>
      </c>
      <c r="B1069" s="2">
        <v>43924</v>
      </c>
      <c r="C1069" t="s">
        <v>21</v>
      </c>
      <c r="D1069" t="s">
        <v>1636</v>
      </c>
      <c r="E1069" s="5">
        <v>46500000</v>
      </c>
      <c r="F1069" s="5">
        <v>49500000</v>
      </c>
      <c r="G1069" s="5">
        <v>3000000</v>
      </c>
      <c r="H1069" s="5">
        <v>4650000</v>
      </c>
      <c r="I1069" s="5">
        <v>4950000</v>
      </c>
      <c r="J1069" s="5">
        <v>47000000</v>
      </c>
      <c r="K1069" s="5">
        <v>50000000</v>
      </c>
      <c r="L1069" s="3">
        <v>0.97916666666666663</v>
      </c>
    </row>
    <row r="1070" spans="1:12" x14ac:dyDescent="0.25">
      <c r="A1070" s="2">
        <v>43986</v>
      </c>
      <c r="B1070" s="2">
        <v>43927</v>
      </c>
      <c r="C1070" t="s">
        <v>16</v>
      </c>
      <c r="D1070" t="s">
        <v>1636</v>
      </c>
      <c r="E1070" s="5">
        <v>47800000</v>
      </c>
      <c r="F1070" s="5">
        <v>50800000</v>
      </c>
      <c r="G1070" s="5">
        <v>3000000</v>
      </c>
      <c r="H1070" s="5">
        <v>4780000</v>
      </c>
      <c r="I1070" s="5">
        <v>5080000</v>
      </c>
      <c r="J1070" s="5">
        <v>48300000</v>
      </c>
      <c r="K1070" s="5">
        <v>51300000</v>
      </c>
      <c r="L1070" s="3">
        <v>0.97916666666666663</v>
      </c>
    </row>
    <row r="1071" spans="1:12" x14ac:dyDescent="0.25">
      <c r="A1071" s="2">
        <v>44016</v>
      </c>
      <c r="B1071" s="2">
        <v>43928</v>
      </c>
      <c r="C1071" t="s">
        <v>18</v>
      </c>
      <c r="D1071" t="s">
        <v>1636</v>
      </c>
      <c r="E1071" s="5">
        <v>47400000</v>
      </c>
      <c r="F1071" s="5">
        <v>50400000</v>
      </c>
      <c r="G1071" s="5">
        <v>3000000</v>
      </c>
      <c r="H1071" s="5">
        <v>4740000</v>
      </c>
      <c r="I1071" s="5">
        <v>5040000</v>
      </c>
      <c r="J1071" s="5">
        <v>47900000</v>
      </c>
      <c r="K1071" s="5">
        <v>50900000</v>
      </c>
      <c r="L1071" s="3">
        <v>0.97916666666666663</v>
      </c>
    </row>
    <row r="1072" spans="1:12" x14ac:dyDescent="0.25">
      <c r="A1072" s="2">
        <v>44047</v>
      </c>
      <c r="B1072" s="2">
        <v>43929</v>
      </c>
      <c r="C1072" t="s">
        <v>19</v>
      </c>
      <c r="D1072" t="s">
        <v>1636</v>
      </c>
      <c r="E1072" s="5">
        <v>47400000</v>
      </c>
      <c r="F1072" s="5">
        <v>50400000</v>
      </c>
      <c r="G1072" s="5">
        <v>3000000</v>
      </c>
      <c r="H1072" s="5">
        <v>4740000</v>
      </c>
      <c r="I1072" s="5">
        <v>5040000</v>
      </c>
      <c r="J1072" s="5">
        <v>47900000</v>
      </c>
      <c r="K1072" s="5">
        <v>50900000</v>
      </c>
      <c r="L1072" s="3">
        <v>0.97916666666666663</v>
      </c>
    </row>
    <row r="1073" spans="1:12" x14ac:dyDescent="0.25">
      <c r="A1073" s="2">
        <v>44078</v>
      </c>
      <c r="B1073" s="2">
        <v>43930</v>
      </c>
      <c r="C1073" t="s">
        <v>20</v>
      </c>
      <c r="D1073" t="s">
        <v>1636</v>
      </c>
      <c r="E1073" s="5">
        <v>49600000</v>
      </c>
      <c r="F1073" s="5">
        <v>52600000</v>
      </c>
      <c r="G1073" s="5">
        <v>3000000</v>
      </c>
      <c r="H1073" s="5">
        <v>4960000</v>
      </c>
      <c r="I1073" s="5">
        <v>5260000</v>
      </c>
      <c r="J1073" s="5">
        <v>50100000</v>
      </c>
      <c r="K1073" s="5">
        <v>53100000</v>
      </c>
      <c r="L1073" s="3">
        <v>0.97916666666666663</v>
      </c>
    </row>
    <row r="1074" spans="1:12" x14ac:dyDescent="0.25">
      <c r="A1074" t="s">
        <v>667</v>
      </c>
      <c r="B1074" s="2">
        <v>43934</v>
      </c>
      <c r="C1074" t="s">
        <v>16</v>
      </c>
      <c r="D1074" t="s">
        <v>1636</v>
      </c>
      <c r="E1074" s="5">
        <v>49800000</v>
      </c>
      <c r="F1074" s="5">
        <v>52800000</v>
      </c>
      <c r="G1074" s="5">
        <v>3000000</v>
      </c>
      <c r="H1074" s="5">
        <v>4980000</v>
      </c>
      <c r="I1074" s="5">
        <v>5280000</v>
      </c>
      <c r="J1074" s="5">
        <v>50300000</v>
      </c>
      <c r="K1074" s="5">
        <v>53300000</v>
      </c>
      <c r="L1074" s="3">
        <v>0.97916666666666663</v>
      </c>
    </row>
    <row r="1075" spans="1:12" x14ac:dyDescent="0.25">
      <c r="A1075" t="s">
        <v>668</v>
      </c>
      <c r="B1075" s="2">
        <v>43935</v>
      </c>
      <c r="C1075" t="s">
        <v>18</v>
      </c>
      <c r="D1075" t="s">
        <v>1636</v>
      </c>
      <c r="E1075" s="5">
        <v>50200000</v>
      </c>
      <c r="F1075" s="5">
        <v>53200000</v>
      </c>
      <c r="G1075" s="5">
        <v>3000000</v>
      </c>
      <c r="H1075" s="5">
        <v>5020000</v>
      </c>
      <c r="I1075" s="5">
        <v>5320000</v>
      </c>
      <c r="J1075" s="5">
        <v>50700000</v>
      </c>
      <c r="K1075" s="5">
        <v>53700000</v>
      </c>
      <c r="L1075" s="3">
        <v>0.97916666666666663</v>
      </c>
    </row>
    <row r="1076" spans="1:12" x14ac:dyDescent="0.25">
      <c r="A1076" t="s">
        <v>669</v>
      </c>
      <c r="B1076" s="2">
        <v>43936</v>
      </c>
      <c r="C1076" t="s">
        <v>19</v>
      </c>
      <c r="D1076" t="s">
        <v>1636</v>
      </c>
      <c r="E1076" s="5">
        <v>49300000</v>
      </c>
      <c r="F1076" s="5">
        <v>52300000</v>
      </c>
      <c r="G1076" s="5">
        <v>3000000</v>
      </c>
      <c r="H1076" s="5">
        <v>4930000</v>
      </c>
      <c r="I1076" s="5">
        <v>5230000</v>
      </c>
      <c r="J1076" s="5">
        <v>49800000</v>
      </c>
      <c r="K1076" s="5">
        <v>52800000</v>
      </c>
      <c r="L1076" s="3">
        <v>0.97916666666666663</v>
      </c>
    </row>
    <row r="1077" spans="1:12" x14ac:dyDescent="0.25">
      <c r="A1077" t="s">
        <v>670</v>
      </c>
      <c r="B1077" s="2">
        <v>43937</v>
      </c>
      <c r="C1077" t="s">
        <v>20</v>
      </c>
      <c r="D1077" t="s">
        <v>1636</v>
      </c>
      <c r="E1077" s="5">
        <v>49100000</v>
      </c>
      <c r="F1077" s="5">
        <v>52100000</v>
      </c>
      <c r="G1077" s="5">
        <v>3000000</v>
      </c>
      <c r="H1077" s="5">
        <v>4910000</v>
      </c>
      <c r="I1077" s="5">
        <v>5210000</v>
      </c>
      <c r="J1077" s="5">
        <v>49600000</v>
      </c>
      <c r="K1077" s="5">
        <v>52600000</v>
      </c>
      <c r="L1077" s="3">
        <v>0.97916666666666663</v>
      </c>
    </row>
    <row r="1078" spans="1:12" x14ac:dyDescent="0.25">
      <c r="A1078" t="s">
        <v>671</v>
      </c>
      <c r="B1078" s="2">
        <v>43938</v>
      </c>
      <c r="C1078" t="s">
        <v>21</v>
      </c>
      <c r="D1078" t="s">
        <v>1636</v>
      </c>
      <c r="E1078" s="5">
        <v>48100000</v>
      </c>
      <c r="F1078" s="5">
        <v>51100000</v>
      </c>
      <c r="G1078" s="5">
        <v>3000000</v>
      </c>
      <c r="H1078" s="5">
        <v>4810000</v>
      </c>
      <c r="I1078" s="5">
        <v>5110000</v>
      </c>
      <c r="J1078" s="5">
        <v>48600000</v>
      </c>
      <c r="K1078" s="5">
        <v>51600000</v>
      </c>
      <c r="L1078" s="3">
        <v>0.97916666666666663</v>
      </c>
    </row>
    <row r="1079" spans="1:12" x14ac:dyDescent="0.25">
      <c r="A1079" t="s">
        <v>672</v>
      </c>
      <c r="B1079" s="2">
        <v>43941</v>
      </c>
      <c r="C1079" t="s">
        <v>16</v>
      </c>
      <c r="D1079" t="s">
        <v>1636</v>
      </c>
      <c r="E1079" s="5">
        <v>48500000</v>
      </c>
      <c r="F1079" s="5">
        <v>51500000</v>
      </c>
      <c r="G1079" s="5">
        <v>3000000</v>
      </c>
      <c r="H1079" s="5">
        <v>4850000</v>
      </c>
      <c r="I1079" s="5">
        <v>5150000</v>
      </c>
      <c r="J1079" s="5">
        <v>49000000</v>
      </c>
      <c r="K1079" s="5">
        <v>52000000</v>
      </c>
      <c r="L1079" s="3">
        <v>0.97916666666666663</v>
      </c>
    </row>
    <row r="1080" spans="1:12" x14ac:dyDescent="0.25">
      <c r="A1080" t="s">
        <v>673</v>
      </c>
      <c r="B1080" s="2">
        <v>43942</v>
      </c>
      <c r="C1080" t="s">
        <v>18</v>
      </c>
      <c r="D1080" t="s">
        <v>1636</v>
      </c>
      <c r="E1080" s="5">
        <v>47800000</v>
      </c>
      <c r="F1080" s="5">
        <v>50800000</v>
      </c>
      <c r="G1080" s="5">
        <v>3000000</v>
      </c>
      <c r="H1080" s="5">
        <v>4780000</v>
      </c>
      <c r="I1080" s="5">
        <v>5080000</v>
      </c>
      <c r="J1080" s="5">
        <v>48300000</v>
      </c>
      <c r="K1080" s="5">
        <v>51300000</v>
      </c>
      <c r="L1080" s="3">
        <v>0.97916666666666663</v>
      </c>
    </row>
    <row r="1081" spans="1:12" x14ac:dyDescent="0.25">
      <c r="A1081" t="s">
        <v>674</v>
      </c>
      <c r="B1081" s="2">
        <v>43943</v>
      </c>
      <c r="C1081" t="s">
        <v>19</v>
      </c>
      <c r="D1081" t="s">
        <v>1636</v>
      </c>
      <c r="E1081" s="5">
        <v>49300000</v>
      </c>
      <c r="F1081" s="5">
        <v>52300000</v>
      </c>
      <c r="G1081" s="5">
        <v>3000000</v>
      </c>
      <c r="H1081" s="5">
        <v>4930000</v>
      </c>
      <c r="I1081" s="5">
        <v>5230000</v>
      </c>
      <c r="J1081" s="5">
        <v>49800000</v>
      </c>
      <c r="K1081" s="5">
        <v>52800000</v>
      </c>
      <c r="L1081" s="3">
        <v>0.97916666666666663</v>
      </c>
    </row>
    <row r="1082" spans="1:12" x14ac:dyDescent="0.25">
      <c r="A1082" t="s">
        <v>675</v>
      </c>
      <c r="B1082" s="2">
        <v>43944</v>
      </c>
      <c r="C1082" t="s">
        <v>20</v>
      </c>
      <c r="D1082" t="s">
        <v>1636</v>
      </c>
      <c r="E1082" s="5">
        <v>49500000</v>
      </c>
      <c r="F1082" s="5">
        <v>52500000</v>
      </c>
      <c r="G1082" s="5">
        <v>3000000</v>
      </c>
      <c r="H1082" s="5">
        <v>4950000</v>
      </c>
      <c r="I1082" s="5">
        <v>5250000</v>
      </c>
      <c r="J1082" s="5">
        <v>50000000</v>
      </c>
      <c r="K1082" s="5">
        <v>53000000</v>
      </c>
      <c r="L1082" s="3">
        <v>0.97916666666666663</v>
      </c>
    </row>
    <row r="1083" spans="1:12" x14ac:dyDescent="0.25">
      <c r="A1083" t="s">
        <v>676</v>
      </c>
      <c r="B1083" s="2">
        <v>43945</v>
      </c>
      <c r="C1083" t="s">
        <v>21</v>
      </c>
      <c r="D1083" t="s">
        <v>1636</v>
      </c>
      <c r="E1083" s="5">
        <v>49200000</v>
      </c>
      <c r="F1083" s="5">
        <v>52200000</v>
      </c>
      <c r="G1083" s="5">
        <v>3000000</v>
      </c>
      <c r="H1083" s="5">
        <v>4920000</v>
      </c>
      <c r="I1083" s="5">
        <v>5220000</v>
      </c>
      <c r="J1083" s="5">
        <v>49700000</v>
      </c>
      <c r="K1083" s="5">
        <v>52700000</v>
      </c>
      <c r="L1083" s="3">
        <v>0.97916666666666663</v>
      </c>
    </row>
    <row r="1084" spans="1:12" x14ac:dyDescent="0.25">
      <c r="A1084" t="s">
        <v>677</v>
      </c>
      <c r="B1084" s="2">
        <v>43948</v>
      </c>
      <c r="C1084" t="s">
        <v>16</v>
      </c>
      <c r="D1084" t="s">
        <v>1636</v>
      </c>
      <c r="E1084" s="5">
        <v>48800000</v>
      </c>
      <c r="F1084" s="5">
        <v>51800000</v>
      </c>
      <c r="G1084" s="5">
        <v>3000000</v>
      </c>
      <c r="H1084" s="5">
        <v>4880000</v>
      </c>
      <c r="I1084" s="5">
        <v>5180000</v>
      </c>
      <c r="J1084" s="5">
        <v>49300000</v>
      </c>
      <c r="K1084" s="5">
        <v>52300000</v>
      </c>
      <c r="L1084" s="3">
        <v>0.97916666666666663</v>
      </c>
    </row>
    <row r="1085" spans="1:12" x14ac:dyDescent="0.25">
      <c r="A1085" t="s">
        <v>678</v>
      </c>
      <c r="B1085" s="2">
        <v>43949</v>
      </c>
      <c r="C1085" t="s">
        <v>18</v>
      </c>
      <c r="D1085" t="s">
        <v>1636</v>
      </c>
      <c r="E1085" s="5">
        <v>48800000</v>
      </c>
      <c r="F1085" s="5">
        <v>51800000</v>
      </c>
      <c r="G1085" s="5">
        <v>3000000</v>
      </c>
      <c r="H1085" s="5">
        <v>4880000</v>
      </c>
      <c r="I1085" s="5">
        <v>5180000</v>
      </c>
      <c r="J1085" s="5">
        <v>49300000</v>
      </c>
      <c r="K1085" s="5">
        <v>52300000</v>
      </c>
      <c r="L1085" s="3">
        <v>0.97916666666666663</v>
      </c>
    </row>
    <row r="1086" spans="1:12" x14ac:dyDescent="0.25">
      <c r="A1086" t="s">
        <v>679</v>
      </c>
      <c r="B1086" s="2">
        <v>43950</v>
      </c>
      <c r="C1086" t="s">
        <v>19</v>
      </c>
      <c r="D1086" t="s">
        <v>1636</v>
      </c>
      <c r="E1086" s="5">
        <v>48600000</v>
      </c>
      <c r="F1086" s="5">
        <v>51600000</v>
      </c>
      <c r="G1086" s="5">
        <v>3000000</v>
      </c>
      <c r="H1086" s="5">
        <v>4860000</v>
      </c>
      <c r="I1086" s="5">
        <v>5160000</v>
      </c>
      <c r="J1086" s="5">
        <v>49100000</v>
      </c>
      <c r="K1086" s="5">
        <v>52100000</v>
      </c>
      <c r="L1086" s="3">
        <v>0.97916666666666663</v>
      </c>
    </row>
    <row r="1087" spans="1:12" x14ac:dyDescent="0.25">
      <c r="A1087" t="s">
        <v>680</v>
      </c>
      <c r="B1087" s="2">
        <v>43951</v>
      </c>
      <c r="C1087" t="s">
        <v>20</v>
      </c>
      <c r="D1087" t="s">
        <v>1636</v>
      </c>
      <c r="E1087" s="5">
        <v>48000000</v>
      </c>
      <c r="F1087" s="5">
        <v>51000000</v>
      </c>
      <c r="G1087" s="5">
        <v>3000000</v>
      </c>
      <c r="H1087" s="5">
        <v>4800000</v>
      </c>
      <c r="I1087" s="5">
        <v>5100000</v>
      </c>
      <c r="J1087" s="5">
        <v>48500000</v>
      </c>
      <c r="K1087" s="5">
        <v>51500000</v>
      </c>
      <c r="L1087" s="3">
        <v>0.97916666666666663</v>
      </c>
    </row>
    <row r="1088" spans="1:12" x14ac:dyDescent="0.25">
      <c r="A1088" s="2">
        <v>43835</v>
      </c>
      <c r="B1088" s="2">
        <v>43952</v>
      </c>
      <c r="C1088" t="s">
        <v>21</v>
      </c>
      <c r="D1088" t="s">
        <v>1636</v>
      </c>
      <c r="E1088" s="5">
        <v>48300000</v>
      </c>
      <c r="F1088" s="5">
        <v>51300000</v>
      </c>
      <c r="G1088" s="5">
        <v>3000000</v>
      </c>
      <c r="H1088" s="5">
        <v>4830000</v>
      </c>
      <c r="I1088" s="5">
        <v>5130000</v>
      </c>
      <c r="J1088" s="5">
        <v>48800000</v>
      </c>
      <c r="K1088" s="5">
        <v>51800000</v>
      </c>
      <c r="L1088" s="3">
        <v>0.97916666666666663</v>
      </c>
    </row>
    <row r="1089" spans="1:12" x14ac:dyDescent="0.25">
      <c r="A1089" s="2">
        <v>43926</v>
      </c>
      <c r="B1089" s="2">
        <v>43955</v>
      </c>
      <c r="C1089" t="s">
        <v>16</v>
      </c>
      <c r="D1089" t="s">
        <v>1636</v>
      </c>
      <c r="E1089" s="5">
        <v>48700000</v>
      </c>
      <c r="F1089" s="5">
        <v>51700000</v>
      </c>
      <c r="G1089" s="5">
        <v>3000000</v>
      </c>
      <c r="H1089" s="5">
        <v>4870000</v>
      </c>
      <c r="I1089" s="5">
        <v>5170000</v>
      </c>
      <c r="J1089" s="5">
        <v>49200000</v>
      </c>
      <c r="K1089" s="5">
        <v>52200000</v>
      </c>
      <c r="L1089" s="3">
        <v>0.97916666666666663</v>
      </c>
    </row>
    <row r="1090" spans="1:12" x14ac:dyDescent="0.25">
      <c r="A1090" s="2">
        <v>43956</v>
      </c>
      <c r="B1090" s="2">
        <v>43956</v>
      </c>
      <c r="C1090" t="s">
        <v>18</v>
      </c>
      <c r="D1090" t="s">
        <v>1636</v>
      </c>
      <c r="E1090" s="5">
        <v>48600000</v>
      </c>
      <c r="F1090" s="5">
        <v>51600000</v>
      </c>
      <c r="G1090" s="5">
        <v>3000000</v>
      </c>
      <c r="H1090" s="5">
        <v>4860000</v>
      </c>
      <c r="I1090" s="5">
        <v>5160000</v>
      </c>
      <c r="J1090" s="5">
        <v>49100000</v>
      </c>
      <c r="K1090" s="5">
        <v>52100000</v>
      </c>
      <c r="L1090" s="3">
        <v>0.97916666666666663</v>
      </c>
    </row>
    <row r="1091" spans="1:12" x14ac:dyDescent="0.25">
      <c r="A1091" s="2">
        <v>43987</v>
      </c>
      <c r="B1091" s="2">
        <v>43957</v>
      </c>
      <c r="C1091" t="s">
        <v>19</v>
      </c>
      <c r="D1091" t="s">
        <v>1636</v>
      </c>
      <c r="E1091" s="5">
        <v>48000000</v>
      </c>
      <c r="F1091" s="5">
        <v>51000000</v>
      </c>
      <c r="G1091" s="5">
        <v>3000000</v>
      </c>
      <c r="H1091" s="5">
        <v>4800000</v>
      </c>
      <c r="I1091" s="5">
        <v>5100000</v>
      </c>
      <c r="J1091" s="5">
        <v>48500000</v>
      </c>
      <c r="K1091" s="5">
        <v>51500000</v>
      </c>
      <c r="L1091" s="3">
        <v>0.97916666666666663</v>
      </c>
    </row>
    <row r="1092" spans="1:12" x14ac:dyDescent="0.25">
      <c r="A1092" s="2">
        <v>44017</v>
      </c>
      <c r="B1092" s="2">
        <v>43958</v>
      </c>
      <c r="C1092" t="s">
        <v>20</v>
      </c>
      <c r="D1092" t="s">
        <v>1636</v>
      </c>
      <c r="E1092" s="5">
        <v>49100000</v>
      </c>
      <c r="F1092" s="5">
        <v>52100000</v>
      </c>
      <c r="G1092" s="5">
        <v>3000000</v>
      </c>
      <c r="H1092" s="5">
        <v>4910000</v>
      </c>
      <c r="I1092" s="5">
        <v>5210000</v>
      </c>
      <c r="J1092" s="5">
        <v>49600000</v>
      </c>
      <c r="K1092" s="5">
        <v>52600000</v>
      </c>
      <c r="L1092" s="3">
        <v>0.97916666666666663</v>
      </c>
    </row>
    <row r="1093" spans="1:12" x14ac:dyDescent="0.25">
      <c r="A1093" s="2">
        <v>44048</v>
      </c>
      <c r="B1093" s="2">
        <v>43959</v>
      </c>
      <c r="C1093" t="s">
        <v>21</v>
      </c>
      <c r="D1093" t="s">
        <v>1636</v>
      </c>
      <c r="E1093" s="5">
        <v>48800000</v>
      </c>
      <c r="F1093" s="5">
        <v>51800000</v>
      </c>
      <c r="G1093" s="5">
        <v>3000000</v>
      </c>
      <c r="H1093" s="5">
        <v>4880000</v>
      </c>
      <c r="I1093" s="5">
        <v>5180000</v>
      </c>
      <c r="J1093" s="5">
        <v>49300000</v>
      </c>
      <c r="K1093" s="5">
        <v>52300000</v>
      </c>
      <c r="L1093" s="3">
        <v>0.97916666666666663</v>
      </c>
    </row>
    <row r="1094" spans="1:12" x14ac:dyDescent="0.25">
      <c r="A1094" s="2">
        <v>44140</v>
      </c>
      <c r="B1094" s="2">
        <v>43962</v>
      </c>
      <c r="C1094" t="s">
        <v>16</v>
      </c>
      <c r="D1094" t="s">
        <v>1636</v>
      </c>
      <c r="E1094" s="5">
        <v>48300000</v>
      </c>
      <c r="F1094" s="5">
        <v>51300000</v>
      </c>
      <c r="G1094" s="5">
        <v>3000000</v>
      </c>
      <c r="H1094" s="5">
        <v>4830000</v>
      </c>
      <c r="I1094" s="5">
        <v>5130000</v>
      </c>
      <c r="J1094" s="5">
        <v>48800000</v>
      </c>
      <c r="K1094" s="5">
        <v>51800000</v>
      </c>
      <c r="L1094" s="3">
        <v>0.97916666666666663</v>
      </c>
    </row>
    <row r="1095" spans="1:12" x14ac:dyDescent="0.25">
      <c r="A1095" s="2">
        <v>44170</v>
      </c>
      <c r="B1095" s="2">
        <v>43963</v>
      </c>
      <c r="C1095" t="s">
        <v>18</v>
      </c>
      <c r="D1095" t="s">
        <v>1636</v>
      </c>
      <c r="E1095" s="5">
        <v>48600000</v>
      </c>
      <c r="F1095" s="5">
        <v>51600000</v>
      </c>
      <c r="G1095" s="5">
        <v>3000000</v>
      </c>
      <c r="H1095" s="5">
        <v>4860000</v>
      </c>
      <c r="I1095" s="5">
        <v>5160000</v>
      </c>
      <c r="J1095" s="5">
        <v>49100000</v>
      </c>
      <c r="K1095" s="5">
        <v>52100000</v>
      </c>
      <c r="L1095" s="3">
        <v>0.97916666666666663</v>
      </c>
    </row>
    <row r="1096" spans="1:12" x14ac:dyDescent="0.25">
      <c r="A1096" t="s">
        <v>681</v>
      </c>
      <c r="B1096" s="2">
        <v>43964</v>
      </c>
      <c r="C1096" t="s">
        <v>19</v>
      </c>
      <c r="D1096" t="s">
        <v>1636</v>
      </c>
      <c r="E1096" s="5">
        <v>48900000</v>
      </c>
      <c r="F1096" s="5">
        <v>51900000</v>
      </c>
      <c r="G1096" s="5">
        <v>3000000</v>
      </c>
      <c r="H1096" s="5">
        <v>4890000</v>
      </c>
      <c r="I1096" s="5">
        <v>5190000</v>
      </c>
      <c r="J1096" s="5">
        <v>49400000</v>
      </c>
      <c r="K1096" s="5">
        <v>52400000</v>
      </c>
      <c r="L1096" s="3">
        <v>0.97916666666666663</v>
      </c>
    </row>
    <row r="1097" spans="1:12" x14ac:dyDescent="0.25">
      <c r="A1097" t="s">
        <v>682</v>
      </c>
      <c r="B1097" s="2">
        <v>43965</v>
      </c>
      <c r="C1097" t="s">
        <v>20</v>
      </c>
      <c r="D1097" t="s">
        <v>1636</v>
      </c>
      <c r="E1097" s="5">
        <v>49600000</v>
      </c>
      <c r="F1097" s="5">
        <v>52600000</v>
      </c>
      <c r="G1097" s="5">
        <v>3000000</v>
      </c>
      <c r="H1097" s="5">
        <v>4960000</v>
      </c>
      <c r="I1097" s="5">
        <v>5260000</v>
      </c>
      <c r="J1097" s="5">
        <v>50100000</v>
      </c>
      <c r="K1097" s="5">
        <v>53100000</v>
      </c>
      <c r="L1097" s="3">
        <v>0.97916666666666663</v>
      </c>
    </row>
    <row r="1098" spans="1:12" x14ac:dyDescent="0.25">
      <c r="A1098" t="s">
        <v>683</v>
      </c>
      <c r="B1098" s="2">
        <v>43966</v>
      </c>
      <c r="C1098" t="s">
        <v>21</v>
      </c>
      <c r="D1098" t="s">
        <v>1636</v>
      </c>
      <c r="E1098" s="5">
        <v>50100000</v>
      </c>
      <c r="F1098" s="5">
        <v>53100000</v>
      </c>
      <c r="G1098" s="5">
        <v>3000000</v>
      </c>
      <c r="H1098" s="5">
        <v>5010000</v>
      </c>
      <c r="I1098" s="5">
        <v>5310000</v>
      </c>
      <c r="J1098" s="5">
        <v>50600000</v>
      </c>
      <c r="K1098" s="5">
        <v>53600000</v>
      </c>
      <c r="L1098" s="3">
        <v>0.97916666666666663</v>
      </c>
    </row>
    <row r="1099" spans="1:12" x14ac:dyDescent="0.25">
      <c r="A1099" t="s">
        <v>684</v>
      </c>
      <c r="B1099" s="2">
        <v>43969</v>
      </c>
      <c r="C1099" t="s">
        <v>16</v>
      </c>
      <c r="D1099" t="s">
        <v>1636</v>
      </c>
      <c r="E1099" s="5">
        <v>49400000</v>
      </c>
      <c r="F1099" s="5">
        <v>52400000</v>
      </c>
      <c r="G1099" s="5">
        <v>3000000</v>
      </c>
      <c r="H1099" s="5">
        <v>4940000</v>
      </c>
      <c r="I1099" s="5">
        <v>5240000</v>
      </c>
      <c r="J1099" s="5">
        <v>49900000</v>
      </c>
      <c r="K1099" s="5">
        <v>52900000</v>
      </c>
      <c r="L1099" s="3">
        <v>0.97916666666666663</v>
      </c>
    </row>
    <row r="1100" spans="1:12" x14ac:dyDescent="0.25">
      <c r="A1100" t="s">
        <v>685</v>
      </c>
      <c r="B1100" s="2">
        <v>43970</v>
      </c>
      <c r="C1100" t="s">
        <v>18</v>
      </c>
      <c r="D1100" t="s">
        <v>1636</v>
      </c>
      <c r="E1100" s="5">
        <v>49800000</v>
      </c>
      <c r="F1100" s="5">
        <v>52800000</v>
      </c>
      <c r="G1100" s="5">
        <v>3000000</v>
      </c>
      <c r="H1100" s="5">
        <v>4980000</v>
      </c>
      <c r="I1100" s="5">
        <v>5280000</v>
      </c>
      <c r="J1100" s="5">
        <v>50300000</v>
      </c>
      <c r="K1100" s="5">
        <v>53300000</v>
      </c>
      <c r="L1100" s="3">
        <v>0.97916666666666663</v>
      </c>
    </row>
    <row r="1101" spans="1:12" x14ac:dyDescent="0.25">
      <c r="A1101" t="s">
        <v>686</v>
      </c>
      <c r="B1101" s="2">
        <v>43971</v>
      </c>
      <c r="C1101" t="s">
        <v>19</v>
      </c>
      <c r="D1101" t="s">
        <v>1636</v>
      </c>
      <c r="E1101" s="5">
        <v>50000000</v>
      </c>
      <c r="F1101" s="5">
        <v>53000000</v>
      </c>
      <c r="G1101" s="5">
        <v>3000000</v>
      </c>
      <c r="H1101" s="5">
        <v>5000000</v>
      </c>
      <c r="I1101" s="5">
        <v>5300000</v>
      </c>
      <c r="J1101" s="5">
        <v>50500000</v>
      </c>
      <c r="K1101" s="5">
        <v>53500000</v>
      </c>
      <c r="L1101" s="3">
        <v>0.97916666666666663</v>
      </c>
    </row>
    <row r="1102" spans="1:12" x14ac:dyDescent="0.25">
      <c r="A1102" t="s">
        <v>687</v>
      </c>
      <c r="B1102" s="2">
        <v>43972</v>
      </c>
      <c r="C1102" t="s">
        <v>20</v>
      </c>
      <c r="D1102" t="s">
        <v>1636</v>
      </c>
      <c r="E1102" s="5">
        <v>49100000</v>
      </c>
      <c r="F1102" s="5">
        <v>52100000</v>
      </c>
      <c r="G1102" s="5">
        <v>3000000</v>
      </c>
      <c r="H1102" s="5">
        <v>4910000</v>
      </c>
      <c r="I1102" s="5">
        <v>5210000</v>
      </c>
      <c r="J1102" s="5">
        <v>49600000</v>
      </c>
      <c r="K1102" s="5">
        <v>52600000</v>
      </c>
      <c r="L1102" s="3">
        <v>0.97916666666666663</v>
      </c>
    </row>
    <row r="1103" spans="1:12" x14ac:dyDescent="0.25">
      <c r="A1103" t="s">
        <v>688</v>
      </c>
      <c r="B1103" s="2">
        <v>43973</v>
      </c>
      <c r="C1103" t="s">
        <v>21</v>
      </c>
      <c r="D1103" t="s">
        <v>1636</v>
      </c>
      <c r="E1103" s="5">
        <v>49500000</v>
      </c>
      <c r="F1103" s="5">
        <v>52500000</v>
      </c>
      <c r="G1103" s="5">
        <v>3000000</v>
      </c>
      <c r="H1103" s="5">
        <v>4950000</v>
      </c>
      <c r="I1103" s="5">
        <v>5250000</v>
      </c>
      <c r="J1103" s="5">
        <v>50000000</v>
      </c>
      <c r="K1103" s="5">
        <v>53000000</v>
      </c>
      <c r="L1103" s="3">
        <v>0.97916666666666663</v>
      </c>
    </row>
    <row r="1104" spans="1:12" x14ac:dyDescent="0.25">
      <c r="A1104" t="s">
        <v>689</v>
      </c>
      <c r="B1104" s="2">
        <v>43977</v>
      </c>
      <c r="C1104" t="s">
        <v>18</v>
      </c>
      <c r="D1104" t="s">
        <v>1636</v>
      </c>
      <c r="E1104" s="5">
        <v>48600000</v>
      </c>
      <c r="F1104" s="5">
        <v>51600000</v>
      </c>
      <c r="G1104" s="5">
        <v>3000000</v>
      </c>
      <c r="H1104" s="5">
        <v>4860000</v>
      </c>
      <c r="I1104" s="5">
        <v>5160000</v>
      </c>
      <c r="J1104" s="5">
        <v>49100000</v>
      </c>
      <c r="K1104" s="5">
        <v>52100000</v>
      </c>
      <c r="L1104" s="3">
        <v>0.97916666666666663</v>
      </c>
    </row>
    <row r="1105" spans="1:12" x14ac:dyDescent="0.25">
      <c r="A1105" t="s">
        <v>690</v>
      </c>
      <c r="B1105" s="2">
        <v>43978</v>
      </c>
      <c r="C1105" t="s">
        <v>19</v>
      </c>
      <c r="D1105" t="s">
        <v>1636</v>
      </c>
      <c r="E1105" s="5">
        <v>48800000</v>
      </c>
      <c r="F1105" s="5">
        <v>51800000</v>
      </c>
      <c r="G1105" s="5">
        <v>3000000</v>
      </c>
      <c r="H1105" s="5">
        <v>4880000</v>
      </c>
      <c r="I1105" s="5">
        <v>5180000</v>
      </c>
      <c r="J1105" s="5">
        <v>49300000</v>
      </c>
      <c r="K1105" s="5">
        <v>52300000</v>
      </c>
      <c r="L1105" s="3">
        <v>0.97916666666666663</v>
      </c>
    </row>
    <row r="1106" spans="1:12" x14ac:dyDescent="0.25">
      <c r="A1106" t="s">
        <v>691</v>
      </c>
      <c r="B1106" s="2">
        <v>43979</v>
      </c>
      <c r="C1106" t="s">
        <v>20</v>
      </c>
      <c r="D1106" t="s">
        <v>1636</v>
      </c>
      <c r="E1106" s="5">
        <v>48900000</v>
      </c>
      <c r="F1106" s="5">
        <v>51900000</v>
      </c>
      <c r="G1106" s="5">
        <v>3000000</v>
      </c>
      <c r="H1106" s="5">
        <v>4890000</v>
      </c>
      <c r="I1106" s="5">
        <v>5190000</v>
      </c>
      <c r="J1106" s="5">
        <v>49400000</v>
      </c>
      <c r="K1106" s="5">
        <v>52400000</v>
      </c>
      <c r="L1106" s="3">
        <v>0.97916666666666663</v>
      </c>
    </row>
    <row r="1107" spans="1:12" x14ac:dyDescent="0.25">
      <c r="A1107" t="s">
        <v>692</v>
      </c>
      <c r="B1107" s="2">
        <v>43980</v>
      </c>
      <c r="C1107" t="s">
        <v>21</v>
      </c>
      <c r="D1107" t="s">
        <v>1636</v>
      </c>
      <c r="E1107" s="5">
        <v>49600000</v>
      </c>
      <c r="F1107" s="5">
        <v>52600000</v>
      </c>
      <c r="G1107" s="5">
        <v>3000000</v>
      </c>
      <c r="H1107" s="5">
        <v>4960000</v>
      </c>
      <c r="I1107" s="5">
        <v>5260000</v>
      </c>
      <c r="J1107" s="5">
        <v>50100000</v>
      </c>
      <c r="K1107" s="5">
        <v>53100000</v>
      </c>
      <c r="L1107" s="3">
        <v>0.97916666666666663</v>
      </c>
    </row>
    <row r="1108" spans="1:12" x14ac:dyDescent="0.25">
      <c r="A1108" s="2">
        <v>43836</v>
      </c>
      <c r="B1108" s="2">
        <v>43983</v>
      </c>
      <c r="C1108" t="s">
        <v>16</v>
      </c>
      <c r="D1108" t="s">
        <v>1636</v>
      </c>
      <c r="E1108" s="5">
        <v>49600000</v>
      </c>
      <c r="F1108" s="5">
        <v>52600000</v>
      </c>
      <c r="G1108" s="5">
        <v>3000000</v>
      </c>
      <c r="H1108" s="5">
        <v>4960000</v>
      </c>
      <c r="I1108" s="5">
        <v>5260000</v>
      </c>
      <c r="J1108" s="5">
        <v>50100000</v>
      </c>
      <c r="K1108" s="5">
        <v>53100000</v>
      </c>
      <c r="L1108" s="3">
        <v>0.97916666666666663</v>
      </c>
    </row>
    <row r="1109" spans="1:12" x14ac:dyDescent="0.25">
      <c r="A1109" s="2">
        <v>43867</v>
      </c>
      <c r="B1109" s="2">
        <v>43984</v>
      </c>
      <c r="C1109" t="s">
        <v>18</v>
      </c>
      <c r="D1109" t="s">
        <v>1636</v>
      </c>
      <c r="E1109" s="5">
        <v>49200000</v>
      </c>
      <c r="F1109" s="5">
        <v>52200000</v>
      </c>
      <c r="G1109" s="5">
        <v>3000000</v>
      </c>
      <c r="H1109" s="5">
        <v>4920000</v>
      </c>
      <c r="I1109" s="5">
        <v>5220000</v>
      </c>
      <c r="J1109" s="5">
        <v>49700000</v>
      </c>
      <c r="K1109" s="5">
        <v>52700000</v>
      </c>
      <c r="L1109" s="3">
        <v>0.97916666666666663</v>
      </c>
    </row>
    <row r="1110" spans="1:12" x14ac:dyDescent="0.25">
      <c r="A1110" s="2">
        <v>43896</v>
      </c>
      <c r="B1110" s="2">
        <v>43985</v>
      </c>
      <c r="C1110" t="s">
        <v>19</v>
      </c>
      <c r="D1110" t="s">
        <v>1636</v>
      </c>
      <c r="E1110" s="5">
        <v>48400000</v>
      </c>
      <c r="F1110" s="5">
        <v>51400000</v>
      </c>
      <c r="G1110" s="5">
        <v>3000000</v>
      </c>
      <c r="H1110" s="5">
        <v>4840000</v>
      </c>
      <c r="I1110" s="5">
        <v>5140000</v>
      </c>
      <c r="J1110" s="5">
        <v>48900000</v>
      </c>
      <c r="K1110" s="5">
        <v>51900000</v>
      </c>
      <c r="L1110" s="3">
        <v>0.97916666666666663</v>
      </c>
    </row>
    <row r="1111" spans="1:12" x14ac:dyDescent="0.25">
      <c r="A1111" s="2">
        <v>43927</v>
      </c>
      <c r="B1111" s="2">
        <v>43986</v>
      </c>
      <c r="C1111" t="s">
        <v>20</v>
      </c>
      <c r="D1111" t="s">
        <v>1636</v>
      </c>
      <c r="E1111" s="5">
        <v>49000000</v>
      </c>
      <c r="F1111" s="5">
        <v>52000000</v>
      </c>
      <c r="G1111" s="5">
        <v>3000000</v>
      </c>
      <c r="H1111" s="5">
        <v>4900000</v>
      </c>
      <c r="I1111" s="5">
        <v>5200000</v>
      </c>
      <c r="J1111" s="5">
        <v>49500000</v>
      </c>
      <c r="K1111" s="5">
        <v>52500000</v>
      </c>
      <c r="L1111" s="3">
        <v>0.97916666666666663</v>
      </c>
    </row>
    <row r="1112" spans="1:12" x14ac:dyDescent="0.25">
      <c r="A1112" s="2">
        <v>43957</v>
      </c>
      <c r="B1112" s="2">
        <v>43987</v>
      </c>
      <c r="C1112" t="s">
        <v>21</v>
      </c>
      <c r="D1112" t="s">
        <v>1636</v>
      </c>
      <c r="E1112" s="5">
        <v>47700000</v>
      </c>
      <c r="F1112" s="5">
        <v>50700000</v>
      </c>
      <c r="G1112" s="5">
        <v>3000000</v>
      </c>
      <c r="H1112" s="5">
        <v>4770000</v>
      </c>
      <c r="I1112" s="5">
        <v>5070000</v>
      </c>
      <c r="J1112" s="5">
        <v>48200000</v>
      </c>
      <c r="K1112" s="5">
        <v>51200000</v>
      </c>
      <c r="L1112" s="3">
        <v>0.97916666666666663</v>
      </c>
    </row>
    <row r="1113" spans="1:12" x14ac:dyDescent="0.25">
      <c r="A1113" s="2">
        <v>44049</v>
      </c>
      <c r="B1113" s="2">
        <v>43990</v>
      </c>
      <c r="C1113" t="s">
        <v>16</v>
      </c>
      <c r="D1113" t="s">
        <v>1636</v>
      </c>
      <c r="E1113" s="5">
        <v>48400000</v>
      </c>
      <c r="F1113" s="5">
        <v>51400000</v>
      </c>
      <c r="G1113" s="5">
        <v>3000000</v>
      </c>
      <c r="H1113" s="5">
        <v>4840000</v>
      </c>
      <c r="I1113" s="5">
        <v>5140000</v>
      </c>
      <c r="J1113" s="5">
        <v>48900000</v>
      </c>
      <c r="K1113" s="5">
        <v>51900000</v>
      </c>
      <c r="L1113" s="3">
        <v>0.97916666666666663</v>
      </c>
    </row>
    <row r="1114" spans="1:12" x14ac:dyDescent="0.25">
      <c r="A1114" s="2">
        <v>44080</v>
      </c>
      <c r="B1114" s="2">
        <v>43991</v>
      </c>
      <c r="C1114" t="s">
        <v>18</v>
      </c>
      <c r="D1114" t="s">
        <v>1636</v>
      </c>
      <c r="E1114" s="5">
        <v>48900000</v>
      </c>
      <c r="F1114" s="5">
        <v>51900000</v>
      </c>
      <c r="G1114" s="5">
        <v>3000000</v>
      </c>
      <c r="H1114" s="5">
        <v>4890000</v>
      </c>
      <c r="I1114" s="5">
        <v>5190000</v>
      </c>
      <c r="J1114" s="5">
        <v>49400000</v>
      </c>
      <c r="K1114" s="5">
        <v>52400000</v>
      </c>
      <c r="L1114" s="3">
        <v>0.97916666666666663</v>
      </c>
    </row>
    <row r="1115" spans="1:12" x14ac:dyDescent="0.25">
      <c r="A1115" s="2">
        <v>44110</v>
      </c>
      <c r="B1115" s="2">
        <v>43992</v>
      </c>
      <c r="C1115" t="s">
        <v>19</v>
      </c>
      <c r="D1115" t="s">
        <v>1636</v>
      </c>
      <c r="E1115" s="5">
        <v>48900000</v>
      </c>
      <c r="F1115" s="5">
        <v>51900000</v>
      </c>
      <c r="G1115" s="5">
        <v>3000000</v>
      </c>
      <c r="H1115" s="5">
        <v>4890000</v>
      </c>
      <c r="I1115" s="5">
        <v>5190000</v>
      </c>
      <c r="J1115" s="5">
        <v>49400000</v>
      </c>
      <c r="K1115" s="5">
        <v>52400000</v>
      </c>
      <c r="L1115" s="3">
        <v>0.97916666666666663</v>
      </c>
    </row>
    <row r="1116" spans="1:12" x14ac:dyDescent="0.25">
      <c r="A1116" s="2">
        <v>44141</v>
      </c>
      <c r="B1116" s="2">
        <v>43993</v>
      </c>
      <c r="C1116" t="s">
        <v>20</v>
      </c>
      <c r="D1116" t="s">
        <v>1636</v>
      </c>
      <c r="E1116" s="5">
        <v>49400000</v>
      </c>
      <c r="F1116" s="5">
        <v>52400000</v>
      </c>
      <c r="G1116" s="5">
        <v>3000000</v>
      </c>
      <c r="H1116" s="5">
        <v>4940000</v>
      </c>
      <c r="I1116" s="5">
        <v>5240000</v>
      </c>
      <c r="J1116" s="5">
        <v>49900000</v>
      </c>
      <c r="K1116" s="5">
        <v>52900000</v>
      </c>
      <c r="L1116" s="3">
        <v>0.97916666666666663</v>
      </c>
    </row>
    <row r="1117" spans="1:12" x14ac:dyDescent="0.25">
      <c r="A1117" s="2">
        <v>44171</v>
      </c>
      <c r="B1117" s="2">
        <v>43994</v>
      </c>
      <c r="C1117" t="s">
        <v>21</v>
      </c>
      <c r="D1117" t="s">
        <v>1636</v>
      </c>
      <c r="E1117" s="5">
        <v>49400000</v>
      </c>
      <c r="F1117" s="5">
        <v>52400000</v>
      </c>
      <c r="G1117" s="5">
        <v>3000000</v>
      </c>
      <c r="H1117" s="5">
        <v>4940000</v>
      </c>
      <c r="I1117" s="5">
        <v>5240000</v>
      </c>
      <c r="J1117" s="5">
        <v>49900000</v>
      </c>
      <c r="K1117" s="5">
        <v>52900000</v>
      </c>
      <c r="L1117" s="3">
        <v>0.97916666666666663</v>
      </c>
    </row>
    <row r="1118" spans="1:12" x14ac:dyDescent="0.25">
      <c r="A1118" t="s">
        <v>693</v>
      </c>
      <c r="B1118" s="2">
        <v>43997</v>
      </c>
      <c r="C1118" t="s">
        <v>16</v>
      </c>
      <c r="D1118" t="s">
        <v>1636</v>
      </c>
      <c r="E1118" s="5">
        <v>49100000</v>
      </c>
      <c r="F1118" s="5">
        <v>52100000</v>
      </c>
      <c r="G1118" s="5">
        <v>3000000</v>
      </c>
      <c r="H1118" s="5">
        <v>4910000</v>
      </c>
      <c r="I1118" s="5">
        <v>5210000</v>
      </c>
      <c r="J1118" s="5">
        <v>49600000</v>
      </c>
      <c r="K1118" s="5">
        <v>52600000</v>
      </c>
      <c r="L1118" s="3">
        <v>0.97916666666666663</v>
      </c>
    </row>
    <row r="1119" spans="1:12" x14ac:dyDescent="0.25">
      <c r="A1119" t="s">
        <v>694</v>
      </c>
      <c r="B1119" s="2">
        <v>43998</v>
      </c>
      <c r="C1119" t="s">
        <v>18</v>
      </c>
      <c r="D1119" t="s">
        <v>1636</v>
      </c>
      <c r="E1119" s="5">
        <v>49400000</v>
      </c>
      <c r="F1119" s="5">
        <v>52400000</v>
      </c>
      <c r="G1119" s="5">
        <v>3000000</v>
      </c>
      <c r="H1119" s="5">
        <v>4940000</v>
      </c>
      <c r="I1119" s="5">
        <v>5240000</v>
      </c>
      <c r="J1119" s="5">
        <v>49900000</v>
      </c>
      <c r="K1119" s="5">
        <v>52900000</v>
      </c>
      <c r="L1119" s="3">
        <v>0.97916666666666663</v>
      </c>
    </row>
    <row r="1120" spans="1:12" x14ac:dyDescent="0.25">
      <c r="A1120" t="s">
        <v>695</v>
      </c>
      <c r="B1120" s="2">
        <v>43999</v>
      </c>
      <c r="C1120" t="s">
        <v>19</v>
      </c>
      <c r="D1120" t="s">
        <v>1636</v>
      </c>
      <c r="E1120" s="5">
        <v>49300000</v>
      </c>
      <c r="F1120" s="5">
        <v>52300000</v>
      </c>
      <c r="G1120" s="5">
        <v>3000000</v>
      </c>
      <c r="H1120" s="5">
        <v>4930000</v>
      </c>
      <c r="I1120" s="5">
        <v>5230000</v>
      </c>
      <c r="J1120" s="5">
        <v>49800000</v>
      </c>
      <c r="K1120" s="5">
        <v>52800000</v>
      </c>
      <c r="L1120" s="3">
        <v>0.97916666666666663</v>
      </c>
    </row>
    <row r="1121" spans="1:12" x14ac:dyDescent="0.25">
      <c r="A1121" t="s">
        <v>696</v>
      </c>
      <c r="B1121" s="2">
        <v>44000</v>
      </c>
      <c r="C1121" t="s">
        <v>20</v>
      </c>
      <c r="D1121" t="s">
        <v>1636</v>
      </c>
      <c r="E1121" s="5">
        <v>49200000</v>
      </c>
      <c r="F1121" s="5">
        <v>52200000</v>
      </c>
      <c r="G1121" s="5">
        <v>3000000</v>
      </c>
      <c r="H1121" s="5">
        <v>4920000</v>
      </c>
      <c r="I1121" s="5">
        <v>5220000</v>
      </c>
      <c r="J1121" s="5">
        <v>49700000</v>
      </c>
      <c r="K1121" s="5">
        <v>52700000</v>
      </c>
      <c r="L1121" s="3">
        <v>0.97916666666666663</v>
      </c>
    </row>
    <row r="1122" spans="1:12" x14ac:dyDescent="0.25">
      <c r="A1122" t="s">
        <v>697</v>
      </c>
      <c r="B1122" s="2">
        <v>44001</v>
      </c>
      <c r="C1122" t="s">
        <v>21</v>
      </c>
      <c r="D1122" t="s">
        <v>1636</v>
      </c>
      <c r="E1122" s="5">
        <v>49900000</v>
      </c>
      <c r="F1122" s="5">
        <v>52900000</v>
      </c>
      <c r="G1122" s="5">
        <v>3000000</v>
      </c>
      <c r="H1122" s="5">
        <v>4990000</v>
      </c>
      <c r="I1122" s="5">
        <v>5290000</v>
      </c>
      <c r="J1122" s="5">
        <v>50400000</v>
      </c>
      <c r="K1122" s="5">
        <v>53400000</v>
      </c>
      <c r="L1122" s="3">
        <v>0.97916666666666663</v>
      </c>
    </row>
    <row r="1123" spans="1:12" x14ac:dyDescent="0.25">
      <c r="A1123" t="s">
        <v>698</v>
      </c>
      <c r="B1123" s="2">
        <v>44004</v>
      </c>
      <c r="C1123" t="s">
        <v>16</v>
      </c>
      <c r="D1123" t="s">
        <v>1636</v>
      </c>
      <c r="E1123" s="5">
        <v>50200000</v>
      </c>
      <c r="F1123" s="5">
        <v>53200000</v>
      </c>
      <c r="G1123" s="5">
        <v>3000000</v>
      </c>
      <c r="H1123" s="5">
        <v>5020000</v>
      </c>
      <c r="I1123" s="5">
        <v>5320000</v>
      </c>
      <c r="J1123" s="5">
        <v>50700000</v>
      </c>
      <c r="K1123" s="5">
        <v>53700000</v>
      </c>
      <c r="L1123" s="3">
        <v>0.97916666666666663</v>
      </c>
    </row>
    <row r="1124" spans="1:12" x14ac:dyDescent="0.25">
      <c r="A1124" t="s">
        <v>699</v>
      </c>
      <c r="B1124" s="2">
        <v>44005</v>
      </c>
      <c r="C1124" t="s">
        <v>18</v>
      </c>
      <c r="D1124" t="s">
        <v>1636</v>
      </c>
      <c r="E1124" s="5">
        <v>50600000</v>
      </c>
      <c r="F1124" s="5">
        <v>53600000</v>
      </c>
      <c r="G1124" s="5">
        <v>3000000</v>
      </c>
      <c r="H1124" s="5">
        <v>5060000</v>
      </c>
      <c r="I1124" s="5">
        <v>5360000</v>
      </c>
      <c r="J1124" s="5">
        <v>51100000</v>
      </c>
      <c r="K1124" s="5">
        <v>54100000</v>
      </c>
      <c r="L1124" s="3">
        <v>0.97916666666666663</v>
      </c>
    </row>
    <row r="1125" spans="1:12" x14ac:dyDescent="0.25">
      <c r="A1125" t="s">
        <v>700</v>
      </c>
      <c r="B1125" s="2">
        <v>44006</v>
      </c>
      <c r="C1125" t="s">
        <v>19</v>
      </c>
      <c r="D1125" t="s">
        <v>1636</v>
      </c>
      <c r="E1125" s="5">
        <v>50500000</v>
      </c>
      <c r="F1125" s="5">
        <v>53500000</v>
      </c>
      <c r="G1125" s="5">
        <v>3000000</v>
      </c>
      <c r="H1125" s="5">
        <v>5050000</v>
      </c>
      <c r="I1125" s="5">
        <v>5350000</v>
      </c>
      <c r="J1125" s="5">
        <v>51000000</v>
      </c>
      <c r="K1125" s="5">
        <v>54000000</v>
      </c>
      <c r="L1125" s="3">
        <v>0.97916666666666663</v>
      </c>
    </row>
    <row r="1126" spans="1:12" x14ac:dyDescent="0.25">
      <c r="A1126" t="s">
        <v>701</v>
      </c>
      <c r="B1126" s="2">
        <v>44007</v>
      </c>
      <c r="C1126" t="s">
        <v>20</v>
      </c>
      <c r="D1126" t="s">
        <v>1636</v>
      </c>
      <c r="E1126" s="5">
        <v>50300000</v>
      </c>
      <c r="F1126" s="5">
        <v>53300000</v>
      </c>
      <c r="G1126" s="5">
        <v>3000000</v>
      </c>
      <c r="H1126" s="5">
        <v>5030000</v>
      </c>
      <c r="I1126" s="5">
        <v>5330000</v>
      </c>
      <c r="J1126" s="5">
        <v>50800000</v>
      </c>
      <c r="K1126" s="5">
        <v>53800000</v>
      </c>
      <c r="L1126" s="3">
        <v>0.97916666666666663</v>
      </c>
    </row>
    <row r="1127" spans="1:12" x14ac:dyDescent="0.25">
      <c r="A1127" t="s">
        <v>702</v>
      </c>
      <c r="B1127" s="2">
        <v>44008</v>
      </c>
      <c r="C1127" t="s">
        <v>21</v>
      </c>
      <c r="D1127" t="s">
        <v>1636</v>
      </c>
      <c r="E1127" s="5">
        <v>50700000</v>
      </c>
      <c r="F1127" s="5">
        <v>53700000</v>
      </c>
      <c r="G1127" s="5">
        <v>3000000</v>
      </c>
      <c r="H1127" s="5">
        <v>5070000</v>
      </c>
      <c r="I1127" s="5">
        <v>5370000</v>
      </c>
      <c r="J1127" s="5">
        <v>51200000</v>
      </c>
      <c r="K1127" s="5">
        <v>54200000</v>
      </c>
      <c r="L1127" s="3">
        <v>0.97916666666666663</v>
      </c>
    </row>
    <row r="1128" spans="1:12" x14ac:dyDescent="0.25">
      <c r="A1128" t="s">
        <v>703</v>
      </c>
      <c r="B1128" s="2">
        <v>44011</v>
      </c>
      <c r="C1128" t="s">
        <v>16</v>
      </c>
      <c r="D1128" t="s">
        <v>1636</v>
      </c>
      <c r="E1128" s="5">
        <v>50700000</v>
      </c>
      <c r="F1128" s="5">
        <v>53700000</v>
      </c>
      <c r="G1128" s="5">
        <v>3000000</v>
      </c>
      <c r="H1128" s="5">
        <v>5070000</v>
      </c>
      <c r="I1128" s="5">
        <v>5370000</v>
      </c>
      <c r="J1128" s="5">
        <v>51200000</v>
      </c>
      <c r="K1128" s="5">
        <v>54200000</v>
      </c>
      <c r="L1128" s="3">
        <v>0.97916666666666663</v>
      </c>
    </row>
    <row r="1129" spans="1:12" x14ac:dyDescent="0.25">
      <c r="A1129" t="s">
        <v>704</v>
      </c>
      <c r="B1129" s="2">
        <v>44012</v>
      </c>
      <c r="C1129" t="s">
        <v>18</v>
      </c>
      <c r="D1129" t="s">
        <v>1636</v>
      </c>
      <c r="E1129" s="5">
        <v>51300000</v>
      </c>
      <c r="F1129" s="5">
        <v>54300000</v>
      </c>
      <c r="G1129" s="5">
        <v>3000000</v>
      </c>
      <c r="H1129" s="5">
        <v>5130000</v>
      </c>
      <c r="I1129" s="5">
        <v>5430000</v>
      </c>
      <c r="J1129" s="5">
        <v>51800000</v>
      </c>
      <c r="K1129" s="5">
        <v>54800000</v>
      </c>
      <c r="L1129" s="3">
        <v>0.97916666666666663</v>
      </c>
    </row>
    <row r="1130" spans="1:12" x14ac:dyDescent="0.25">
      <c r="A1130" s="2">
        <v>43837</v>
      </c>
      <c r="B1130" s="2">
        <v>44013</v>
      </c>
      <c r="C1130" t="s">
        <v>19</v>
      </c>
      <c r="D1130" t="s">
        <v>1636</v>
      </c>
      <c r="E1130" s="5">
        <v>50700000</v>
      </c>
      <c r="F1130" s="5">
        <v>53700000</v>
      </c>
      <c r="G1130" s="5">
        <v>3000000</v>
      </c>
      <c r="H1130" s="5">
        <v>5070000</v>
      </c>
      <c r="I1130" s="5">
        <v>5370000</v>
      </c>
      <c r="J1130" s="5">
        <v>51200000</v>
      </c>
      <c r="K1130" s="5">
        <v>54200000</v>
      </c>
      <c r="L1130" s="3">
        <v>0.97916666666666663</v>
      </c>
    </row>
    <row r="1131" spans="1:12" x14ac:dyDescent="0.25">
      <c r="A1131" s="2">
        <v>43868</v>
      </c>
      <c r="B1131" s="2">
        <v>44014</v>
      </c>
      <c r="C1131" t="s">
        <v>20</v>
      </c>
      <c r="D1131" t="s">
        <v>1636</v>
      </c>
      <c r="E1131" s="5">
        <v>51000000</v>
      </c>
      <c r="F1131" s="5">
        <v>54000000</v>
      </c>
      <c r="G1131" s="5">
        <v>3000000</v>
      </c>
      <c r="H1131" s="5">
        <v>5100000</v>
      </c>
      <c r="I1131" s="5">
        <v>5400000</v>
      </c>
      <c r="J1131" s="5">
        <v>51500000</v>
      </c>
      <c r="K1131" s="5">
        <v>54500000</v>
      </c>
      <c r="L1131" s="3">
        <v>0.97916666666666663</v>
      </c>
    </row>
    <row r="1132" spans="1:12" x14ac:dyDescent="0.25">
      <c r="A1132" s="2">
        <v>43989</v>
      </c>
      <c r="B1132" s="2">
        <v>44018</v>
      </c>
      <c r="C1132" t="s">
        <v>16</v>
      </c>
      <c r="D1132" t="s">
        <v>1636</v>
      </c>
      <c r="E1132" s="5">
        <v>51100000</v>
      </c>
      <c r="F1132" s="5">
        <v>54100000</v>
      </c>
      <c r="G1132" s="5">
        <v>3000000</v>
      </c>
      <c r="H1132" s="5">
        <v>5110000</v>
      </c>
      <c r="I1132" s="5">
        <v>5410000</v>
      </c>
      <c r="J1132" s="5">
        <v>51600000</v>
      </c>
      <c r="K1132" s="5">
        <v>54600000</v>
      </c>
      <c r="L1132" s="3">
        <v>0.97916666666666663</v>
      </c>
    </row>
    <row r="1133" spans="1:12" x14ac:dyDescent="0.25">
      <c r="A1133" s="2">
        <v>44019</v>
      </c>
      <c r="B1133" s="2">
        <v>44019</v>
      </c>
      <c r="C1133" t="s">
        <v>18</v>
      </c>
      <c r="D1133" t="s">
        <v>1636</v>
      </c>
      <c r="E1133" s="5">
        <v>51600000</v>
      </c>
      <c r="F1133" s="5">
        <v>54600000</v>
      </c>
      <c r="G1133" s="5">
        <v>3000000</v>
      </c>
      <c r="H1133" s="5">
        <v>5160000</v>
      </c>
      <c r="I1133" s="5">
        <v>5460000</v>
      </c>
      <c r="J1133" s="5">
        <v>52100000</v>
      </c>
      <c r="K1133" s="5">
        <v>55100000</v>
      </c>
      <c r="L1133" s="3">
        <v>0.97916666666666663</v>
      </c>
    </row>
    <row r="1134" spans="1:12" x14ac:dyDescent="0.25">
      <c r="A1134" s="2">
        <v>44050</v>
      </c>
      <c r="B1134" s="2">
        <v>44020</v>
      </c>
      <c r="C1134" t="s">
        <v>19</v>
      </c>
      <c r="D1134" t="s">
        <v>1636</v>
      </c>
      <c r="E1134" s="5">
        <v>52000000</v>
      </c>
      <c r="F1134" s="5">
        <v>55000000</v>
      </c>
      <c r="G1134" s="5">
        <v>3000000</v>
      </c>
      <c r="H1134" s="5">
        <v>5200000</v>
      </c>
      <c r="I1134" s="5">
        <v>5500000</v>
      </c>
      <c r="J1134" s="5">
        <v>52500000</v>
      </c>
      <c r="K1134" s="5">
        <v>55500000</v>
      </c>
      <c r="L1134" s="3">
        <v>0.97916666666666663</v>
      </c>
    </row>
    <row r="1135" spans="1:12" x14ac:dyDescent="0.25">
      <c r="A1135" s="2">
        <v>44081</v>
      </c>
      <c r="B1135" s="2">
        <v>44021</v>
      </c>
      <c r="C1135" t="s">
        <v>20</v>
      </c>
      <c r="D1135" t="s">
        <v>1636</v>
      </c>
      <c r="E1135" s="5">
        <v>51500000</v>
      </c>
      <c r="F1135" s="5">
        <v>54500000</v>
      </c>
      <c r="G1135" s="5">
        <v>3000000</v>
      </c>
      <c r="H1135" s="5">
        <v>5150000</v>
      </c>
      <c r="I1135" s="5">
        <v>5450000</v>
      </c>
      <c r="J1135" s="5">
        <v>52000000</v>
      </c>
      <c r="K1135" s="5">
        <v>55000000</v>
      </c>
      <c r="L1135" s="3">
        <v>0.97916666666666663</v>
      </c>
    </row>
    <row r="1136" spans="1:12" x14ac:dyDescent="0.25">
      <c r="A1136" s="2">
        <v>44111</v>
      </c>
      <c r="B1136" s="2">
        <v>44022</v>
      </c>
      <c r="C1136" t="s">
        <v>21</v>
      </c>
      <c r="D1136" t="s">
        <v>1636</v>
      </c>
      <c r="E1136" s="5">
        <v>51400000</v>
      </c>
      <c r="F1136" s="5">
        <v>54400000</v>
      </c>
      <c r="G1136" s="5">
        <v>3000000</v>
      </c>
      <c r="H1136" s="5">
        <v>5140000</v>
      </c>
      <c r="I1136" s="5">
        <v>5440000</v>
      </c>
      <c r="J1136" s="5">
        <v>51900000</v>
      </c>
      <c r="K1136" s="5">
        <v>54900000</v>
      </c>
      <c r="L1136" s="3">
        <v>0.97916666666666663</v>
      </c>
    </row>
    <row r="1137" spans="1:12" x14ac:dyDescent="0.25">
      <c r="A1137" t="s">
        <v>705</v>
      </c>
      <c r="B1137" s="2">
        <v>44025</v>
      </c>
      <c r="C1137" t="s">
        <v>16</v>
      </c>
      <c r="D1137" t="s">
        <v>1636</v>
      </c>
      <c r="E1137" s="5">
        <v>51800000</v>
      </c>
      <c r="F1137" s="5">
        <v>54800000</v>
      </c>
      <c r="G1137" s="5">
        <v>3000000</v>
      </c>
      <c r="H1137" s="5">
        <v>5180000</v>
      </c>
      <c r="I1137" s="5">
        <v>5480000</v>
      </c>
      <c r="J1137" s="5">
        <v>52300000</v>
      </c>
      <c r="K1137" s="5">
        <v>55300000</v>
      </c>
      <c r="L1137" s="3">
        <v>0.97916666666666663</v>
      </c>
    </row>
    <row r="1138" spans="1:12" x14ac:dyDescent="0.25">
      <c r="A1138" t="s">
        <v>706</v>
      </c>
      <c r="B1138" s="2">
        <v>44026</v>
      </c>
      <c r="C1138" t="s">
        <v>18</v>
      </c>
      <c r="D1138" t="s">
        <v>1636</v>
      </c>
      <c r="E1138" s="5">
        <v>51800000</v>
      </c>
      <c r="F1138" s="5">
        <v>54800000</v>
      </c>
      <c r="G1138" s="5">
        <v>3000000</v>
      </c>
      <c r="H1138" s="5">
        <v>5180000</v>
      </c>
      <c r="I1138" s="5">
        <v>5480000</v>
      </c>
      <c r="J1138" s="5">
        <v>52300000</v>
      </c>
      <c r="K1138" s="5">
        <v>55300000</v>
      </c>
      <c r="L1138" s="3">
        <v>0.97916666666666663</v>
      </c>
    </row>
    <row r="1139" spans="1:12" x14ac:dyDescent="0.25">
      <c r="A1139" t="s">
        <v>707</v>
      </c>
      <c r="B1139" s="2">
        <v>44027</v>
      </c>
      <c r="C1139" t="s">
        <v>19</v>
      </c>
      <c r="D1139" t="s">
        <v>1636</v>
      </c>
      <c r="E1139" s="5">
        <v>51800000</v>
      </c>
      <c r="F1139" s="5">
        <v>54800000</v>
      </c>
      <c r="G1139" s="5">
        <v>3000000</v>
      </c>
      <c r="H1139" s="5">
        <v>5180000</v>
      </c>
      <c r="I1139" s="5">
        <v>5480000</v>
      </c>
      <c r="J1139" s="5">
        <v>52300000</v>
      </c>
      <c r="K1139" s="5">
        <v>55300000</v>
      </c>
      <c r="L1139" s="3">
        <v>0.97916666666666663</v>
      </c>
    </row>
    <row r="1140" spans="1:12" x14ac:dyDescent="0.25">
      <c r="A1140" t="s">
        <v>708</v>
      </c>
      <c r="B1140" s="2">
        <v>44028</v>
      </c>
      <c r="C1140" t="s">
        <v>20</v>
      </c>
      <c r="D1140" t="s">
        <v>1636</v>
      </c>
      <c r="E1140" s="5">
        <v>51500000</v>
      </c>
      <c r="F1140" s="5">
        <v>54500000</v>
      </c>
      <c r="G1140" s="5">
        <v>3000000</v>
      </c>
      <c r="H1140" s="5">
        <v>5150000</v>
      </c>
      <c r="I1140" s="5">
        <v>5450000</v>
      </c>
      <c r="J1140" s="5">
        <v>52000000</v>
      </c>
      <c r="K1140" s="5">
        <v>55000000</v>
      </c>
      <c r="L1140" s="3">
        <v>0.97916666666666663</v>
      </c>
    </row>
    <row r="1141" spans="1:12" x14ac:dyDescent="0.25">
      <c r="A1141" t="s">
        <v>709</v>
      </c>
      <c r="B1141" s="2">
        <v>44029</v>
      </c>
      <c r="C1141" t="s">
        <v>21</v>
      </c>
      <c r="D1141" t="s">
        <v>1636</v>
      </c>
      <c r="E1141" s="5">
        <v>51700000</v>
      </c>
      <c r="F1141" s="5">
        <v>54700000</v>
      </c>
      <c r="G1141" s="5">
        <v>3000000</v>
      </c>
      <c r="H1141" s="5">
        <v>5170000</v>
      </c>
      <c r="I1141" s="5">
        <v>5470000</v>
      </c>
      <c r="J1141" s="5">
        <v>52200000</v>
      </c>
      <c r="K1141" s="5">
        <v>55200000</v>
      </c>
      <c r="L1141" s="3">
        <v>0.97916666666666663</v>
      </c>
    </row>
    <row r="1142" spans="1:12" x14ac:dyDescent="0.25">
      <c r="A1142" t="s">
        <v>710</v>
      </c>
      <c r="B1142" s="2">
        <v>44032</v>
      </c>
      <c r="C1142" t="s">
        <v>16</v>
      </c>
      <c r="D1142" t="s">
        <v>1636</v>
      </c>
      <c r="E1142" s="5">
        <v>52000000</v>
      </c>
      <c r="F1142" s="5">
        <v>55000000</v>
      </c>
      <c r="G1142" s="5">
        <v>3000000</v>
      </c>
      <c r="H1142" s="5">
        <v>5200000</v>
      </c>
      <c r="I1142" s="5">
        <v>5500000</v>
      </c>
      <c r="J1142" s="5">
        <v>52500000</v>
      </c>
      <c r="K1142" s="5">
        <v>55500000</v>
      </c>
      <c r="L1142" s="3">
        <v>0.97916666666666663</v>
      </c>
    </row>
    <row r="1143" spans="1:12" x14ac:dyDescent="0.25">
      <c r="A1143" t="s">
        <v>711</v>
      </c>
      <c r="B1143" s="2">
        <v>44033</v>
      </c>
      <c r="C1143" t="s">
        <v>18</v>
      </c>
      <c r="D1143" t="s">
        <v>1636</v>
      </c>
      <c r="E1143" s="5">
        <v>52800000</v>
      </c>
      <c r="F1143" s="5">
        <v>55800000</v>
      </c>
      <c r="G1143" s="5">
        <v>3000000</v>
      </c>
      <c r="H1143" s="5">
        <v>5280000</v>
      </c>
      <c r="I1143" s="5">
        <v>5580000</v>
      </c>
      <c r="J1143" s="5">
        <v>53300000</v>
      </c>
      <c r="K1143" s="5">
        <v>56300000</v>
      </c>
      <c r="L1143" s="3">
        <v>0.97916666666666663</v>
      </c>
    </row>
    <row r="1144" spans="1:12" x14ac:dyDescent="0.25">
      <c r="A1144" t="s">
        <v>712</v>
      </c>
      <c r="B1144" s="2">
        <v>44034</v>
      </c>
      <c r="C1144" t="s">
        <v>19</v>
      </c>
      <c r="D1144" t="s">
        <v>1636</v>
      </c>
      <c r="E1144" s="5">
        <v>53400000</v>
      </c>
      <c r="F1144" s="5">
        <v>56400000</v>
      </c>
      <c r="G1144" s="5">
        <v>3000000</v>
      </c>
      <c r="H1144" s="5">
        <v>5340000</v>
      </c>
      <c r="I1144" s="5">
        <v>5640000</v>
      </c>
      <c r="J1144" s="5">
        <v>53900000</v>
      </c>
      <c r="K1144" s="5">
        <v>56900000</v>
      </c>
      <c r="L1144" s="3">
        <v>0.97916666666666663</v>
      </c>
    </row>
    <row r="1145" spans="1:12" x14ac:dyDescent="0.25">
      <c r="A1145" t="s">
        <v>713</v>
      </c>
      <c r="B1145" s="2">
        <v>44035</v>
      </c>
      <c r="C1145" t="s">
        <v>20</v>
      </c>
      <c r="D1145" t="s">
        <v>1636</v>
      </c>
      <c r="E1145" s="5">
        <v>54200000</v>
      </c>
      <c r="F1145" s="5">
        <v>57200000</v>
      </c>
      <c r="G1145" s="5">
        <v>3000000</v>
      </c>
      <c r="H1145" s="5">
        <v>5420000</v>
      </c>
      <c r="I1145" s="5">
        <v>5720000</v>
      </c>
      <c r="J1145" s="5">
        <v>54700000</v>
      </c>
      <c r="K1145" s="5">
        <v>57700000</v>
      </c>
      <c r="L1145" s="3">
        <v>0.97916666666666663</v>
      </c>
    </row>
    <row r="1146" spans="1:12" x14ac:dyDescent="0.25">
      <c r="A1146" t="s">
        <v>714</v>
      </c>
      <c r="B1146" s="2">
        <v>44036</v>
      </c>
      <c r="C1146" t="s">
        <v>21</v>
      </c>
      <c r="D1146" t="s">
        <v>1636</v>
      </c>
      <c r="E1146" s="5">
        <v>54400000</v>
      </c>
      <c r="F1146" s="5">
        <v>57400000</v>
      </c>
      <c r="G1146" s="5">
        <v>3000000</v>
      </c>
      <c r="H1146" s="5">
        <v>5440000</v>
      </c>
      <c r="I1146" s="5">
        <v>5740000</v>
      </c>
      <c r="J1146" s="5">
        <v>54900000</v>
      </c>
      <c r="K1146" s="5">
        <v>57900000</v>
      </c>
      <c r="L1146" s="3">
        <v>0.97916666666666663</v>
      </c>
    </row>
    <row r="1147" spans="1:12" x14ac:dyDescent="0.25">
      <c r="A1147" t="s">
        <v>715</v>
      </c>
      <c r="B1147" s="2">
        <v>44039</v>
      </c>
      <c r="C1147" t="s">
        <v>16</v>
      </c>
      <c r="D1147" t="s">
        <v>1636</v>
      </c>
      <c r="E1147" s="5">
        <v>55500000</v>
      </c>
      <c r="F1147" s="5">
        <v>58500000</v>
      </c>
      <c r="G1147" s="5">
        <v>3000000</v>
      </c>
      <c r="H1147" s="5">
        <v>5550000</v>
      </c>
      <c r="I1147" s="5">
        <v>5850000</v>
      </c>
      <c r="J1147" s="5">
        <v>56000000</v>
      </c>
      <c r="K1147" s="5">
        <v>59000000</v>
      </c>
      <c r="L1147" s="3">
        <v>0.97916666666666663</v>
      </c>
    </row>
    <row r="1148" spans="1:12" x14ac:dyDescent="0.25">
      <c r="A1148" t="s">
        <v>716</v>
      </c>
      <c r="B1148" s="2">
        <v>44040</v>
      </c>
      <c r="C1148" t="s">
        <v>18</v>
      </c>
      <c r="D1148" t="s">
        <v>1636</v>
      </c>
      <c r="E1148" s="5">
        <v>55900000</v>
      </c>
      <c r="F1148" s="5">
        <v>58900000</v>
      </c>
      <c r="G1148" s="5">
        <v>3000000</v>
      </c>
      <c r="H1148" s="5">
        <v>5590000</v>
      </c>
      <c r="I1148" s="5">
        <v>5890000</v>
      </c>
      <c r="J1148" s="5">
        <v>56400000</v>
      </c>
      <c r="K1148" s="5">
        <v>59400000</v>
      </c>
      <c r="L1148" s="3">
        <v>0.97916666666666663</v>
      </c>
    </row>
    <row r="1149" spans="1:12" x14ac:dyDescent="0.25">
      <c r="A1149" t="s">
        <v>717</v>
      </c>
      <c r="B1149" s="2">
        <v>44041</v>
      </c>
      <c r="C1149" t="s">
        <v>19</v>
      </c>
      <c r="D1149" t="s">
        <v>1636</v>
      </c>
      <c r="E1149" s="5">
        <v>56100000</v>
      </c>
      <c r="F1149" s="5">
        <v>59100000</v>
      </c>
      <c r="G1149" s="5">
        <v>3000000</v>
      </c>
      <c r="H1149" s="5">
        <v>5610000</v>
      </c>
      <c r="I1149" s="5">
        <v>5910000</v>
      </c>
      <c r="J1149" s="5">
        <v>56600000</v>
      </c>
      <c r="K1149" s="5">
        <v>59600000</v>
      </c>
      <c r="L1149" s="3">
        <v>0.97916666666666663</v>
      </c>
    </row>
    <row r="1150" spans="1:12" x14ac:dyDescent="0.25">
      <c r="A1150" t="s">
        <v>718</v>
      </c>
      <c r="B1150" s="2">
        <v>44042</v>
      </c>
      <c r="C1150" t="s">
        <v>20</v>
      </c>
      <c r="D1150" t="s">
        <v>1636</v>
      </c>
      <c r="E1150" s="5">
        <v>55800000</v>
      </c>
      <c r="F1150" s="5">
        <v>58800000</v>
      </c>
      <c r="G1150" s="5">
        <v>3000000</v>
      </c>
      <c r="H1150" s="5">
        <v>5580000</v>
      </c>
      <c r="I1150" s="5">
        <v>5880000</v>
      </c>
      <c r="J1150" s="5">
        <v>56300000</v>
      </c>
      <c r="K1150" s="5">
        <v>59300000</v>
      </c>
      <c r="L1150" s="3">
        <v>0.97916666666666663</v>
      </c>
    </row>
    <row r="1151" spans="1:12" x14ac:dyDescent="0.25">
      <c r="A1151" t="s">
        <v>719</v>
      </c>
      <c r="B1151" s="2">
        <v>44043</v>
      </c>
      <c r="C1151" t="s">
        <v>21</v>
      </c>
      <c r="D1151" t="s">
        <v>1636</v>
      </c>
      <c r="E1151" s="5">
        <v>56400000</v>
      </c>
      <c r="F1151" s="5">
        <v>59400000</v>
      </c>
      <c r="G1151" s="5">
        <v>3000000</v>
      </c>
      <c r="H1151" s="5">
        <v>5640000</v>
      </c>
      <c r="I1151" s="5">
        <v>5940000</v>
      </c>
      <c r="J1151" s="5">
        <v>56900000</v>
      </c>
      <c r="K1151" s="5">
        <v>59900000</v>
      </c>
      <c r="L1151" s="3">
        <v>0.97916666666666663</v>
      </c>
    </row>
    <row r="1152" spans="1:12" x14ac:dyDescent="0.25">
      <c r="A1152" s="2">
        <v>43898</v>
      </c>
      <c r="B1152" s="2">
        <v>44046</v>
      </c>
      <c r="C1152" t="s">
        <v>16</v>
      </c>
      <c r="D1152" t="s">
        <v>1636</v>
      </c>
      <c r="E1152" s="5">
        <v>56500000</v>
      </c>
      <c r="F1152" s="5">
        <v>59500000</v>
      </c>
      <c r="G1152" s="5">
        <v>3000000</v>
      </c>
      <c r="H1152" s="5">
        <v>5650000</v>
      </c>
      <c r="I1152" s="5">
        <v>5950000</v>
      </c>
      <c r="J1152" s="5">
        <v>57000000</v>
      </c>
      <c r="K1152" s="5">
        <v>60000000</v>
      </c>
      <c r="L1152" s="3">
        <v>0.97916666666666663</v>
      </c>
    </row>
    <row r="1153" spans="1:12" x14ac:dyDescent="0.25">
      <c r="A1153" s="2">
        <v>43929</v>
      </c>
      <c r="B1153" s="2">
        <v>44047</v>
      </c>
      <c r="C1153" t="s">
        <v>18</v>
      </c>
      <c r="D1153" t="s">
        <v>1636</v>
      </c>
      <c r="E1153" s="5">
        <v>57600000</v>
      </c>
      <c r="F1153" s="5">
        <v>60600000</v>
      </c>
      <c r="G1153" s="5">
        <v>3000000</v>
      </c>
      <c r="H1153" s="5">
        <v>5760000</v>
      </c>
      <c r="I1153" s="5">
        <v>6060000</v>
      </c>
      <c r="J1153" s="5">
        <v>58100000</v>
      </c>
      <c r="K1153" s="5">
        <v>61100000</v>
      </c>
      <c r="L1153" s="3">
        <v>0.97916666666666663</v>
      </c>
    </row>
    <row r="1154" spans="1:12" x14ac:dyDescent="0.25">
      <c r="A1154" s="2">
        <v>43959</v>
      </c>
      <c r="B1154" s="2">
        <v>44048</v>
      </c>
      <c r="C1154" t="s">
        <v>19</v>
      </c>
      <c r="D1154" t="s">
        <v>1636</v>
      </c>
      <c r="E1154" s="5">
        <v>58500000</v>
      </c>
      <c r="F1154" s="5">
        <v>61500000</v>
      </c>
      <c r="G1154" s="5">
        <v>3000000</v>
      </c>
      <c r="H1154" s="5">
        <v>5850000</v>
      </c>
      <c r="I1154" s="5">
        <v>6150000</v>
      </c>
      <c r="J1154" s="5">
        <v>59000000</v>
      </c>
      <c r="K1154" s="5">
        <v>62000000</v>
      </c>
      <c r="L1154" s="3">
        <v>0.97916666666666663</v>
      </c>
    </row>
    <row r="1155" spans="1:12" x14ac:dyDescent="0.25">
      <c r="A1155" s="2">
        <v>43990</v>
      </c>
      <c r="B1155" s="2">
        <v>44049</v>
      </c>
      <c r="C1155" t="s">
        <v>20</v>
      </c>
      <c r="D1155" t="s">
        <v>1636</v>
      </c>
      <c r="E1155" s="5">
        <v>59100000</v>
      </c>
      <c r="F1155" s="5">
        <v>62100000</v>
      </c>
      <c r="G1155" s="5">
        <v>3000000</v>
      </c>
      <c r="H1155" s="5">
        <v>5910000</v>
      </c>
      <c r="I1155" s="5">
        <v>6210000</v>
      </c>
      <c r="J1155" s="5">
        <v>59600000</v>
      </c>
      <c r="K1155" s="5">
        <v>62600000</v>
      </c>
      <c r="L1155" s="3">
        <v>0.97916666666666663</v>
      </c>
    </row>
    <row r="1156" spans="1:12" x14ac:dyDescent="0.25">
      <c r="A1156" s="2">
        <v>44020</v>
      </c>
      <c r="B1156" s="2">
        <v>44050</v>
      </c>
      <c r="C1156" t="s">
        <v>21</v>
      </c>
      <c r="D1156" t="s">
        <v>1636</v>
      </c>
      <c r="E1156" s="5">
        <v>57900000</v>
      </c>
      <c r="F1156" s="5">
        <v>60900000</v>
      </c>
      <c r="G1156" s="5">
        <v>3000000</v>
      </c>
      <c r="H1156" s="5">
        <v>5790000</v>
      </c>
      <c r="I1156" s="5">
        <v>6090000</v>
      </c>
      <c r="J1156" s="5">
        <v>58400000</v>
      </c>
      <c r="K1156" s="5">
        <v>61400000</v>
      </c>
      <c r="L1156" s="3">
        <v>0.97916666666666663</v>
      </c>
    </row>
    <row r="1157" spans="1:12" x14ac:dyDescent="0.25">
      <c r="A1157" s="2">
        <v>44112</v>
      </c>
      <c r="B1157" s="2">
        <v>44053</v>
      </c>
      <c r="C1157" t="s">
        <v>16</v>
      </c>
      <c r="D1157" t="s">
        <v>1636</v>
      </c>
      <c r="E1157" s="5">
        <v>58300000</v>
      </c>
      <c r="F1157" s="5">
        <v>61300000</v>
      </c>
      <c r="G1157" s="5">
        <v>3000000</v>
      </c>
      <c r="H1157" s="5">
        <v>5830000</v>
      </c>
      <c r="I1157" s="5">
        <v>6130000</v>
      </c>
      <c r="J1157" s="5">
        <v>58800000</v>
      </c>
      <c r="K1157" s="5">
        <v>61800000</v>
      </c>
      <c r="L1157" s="3">
        <v>0.97916666666666663</v>
      </c>
    </row>
    <row r="1158" spans="1:12" x14ac:dyDescent="0.25">
      <c r="A1158" s="2">
        <v>44143</v>
      </c>
      <c r="B1158" s="2">
        <v>44054</v>
      </c>
      <c r="C1158" t="s">
        <v>18</v>
      </c>
      <c r="D1158" t="s">
        <v>1636</v>
      </c>
      <c r="E1158" s="5">
        <v>55500000</v>
      </c>
      <c r="F1158" s="5">
        <v>58500000</v>
      </c>
      <c r="G1158" s="5">
        <v>3000000</v>
      </c>
      <c r="H1158" s="5">
        <v>5550000</v>
      </c>
      <c r="I1158" s="5">
        <v>5850000</v>
      </c>
      <c r="J1158" s="5">
        <v>56000000</v>
      </c>
      <c r="K1158" s="5">
        <v>59000000</v>
      </c>
      <c r="L1158" s="3">
        <v>0.97916666666666663</v>
      </c>
    </row>
    <row r="1159" spans="1:12" x14ac:dyDescent="0.25">
      <c r="A1159" s="2">
        <v>44173</v>
      </c>
      <c r="B1159" s="2">
        <v>44055</v>
      </c>
      <c r="C1159" t="s">
        <v>19</v>
      </c>
      <c r="D1159" t="s">
        <v>1636</v>
      </c>
      <c r="E1159" s="5">
        <v>55600000</v>
      </c>
      <c r="F1159" s="5">
        <v>58600000</v>
      </c>
      <c r="G1159" s="5">
        <v>3000000</v>
      </c>
      <c r="H1159" s="5">
        <v>5560000</v>
      </c>
      <c r="I1159" s="5">
        <v>5860000</v>
      </c>
      <c r="J1159" s="5">
        <v>56100000</v>
      </c>
      <c r="K1159" s="5">
        <v>59100000</v>
      </c>
      <c r="L1159" s="3">
        <v>0.97916666666666663</v>
      </c>
    </row>
    <row r="1160" spans="1:12" x14ac:dyDescent="0.25">
      <c r="A1160" t="s">
        <v>720</v>
      </c>
      <c r="B1160" s="2">
        <v>44056</v>
      </c>
      <c r="C1160" t="s">
        <v>20</v>
      </c>
      <c r="D1160" t="s">
        <v>1636</v>
      </c>
      <c r="E1160" s="5">
        <v>56200000</v>
      </c>
      <c r="F1160" s="5">
        <v>59200000</v>
      </c>
      <c r="G1160" s="5">
        <v>3000000</v>
      </c>
      <c r="H1160" s="5">
        <v>5620000</v>
      </c>
      <c r="I1160" s="5">
        <v>5920000</v>
      </c>
      <c r="J1160" s="5">
        <v>56700000</v>
      </c>
      <c r="K1160" s="5">
        <v>59700000</v>
      </c>
      <c r="L1160" s="3">
        <v>0.97916666666666663</v>
      </c>
    </row>
    <row r="1161" spans="1:12" x14ac:dyDescent="0.25">
      <c r="A1161" t="s">
        <v>721</v>
      </c>
      <c r="B1161" s="2">
        <v>44057</v>
      </c>
      <c r="C1161" t="s">
        <v>21</v>
      </c>
      <c r="D1161" t="s">
        <v>1636</v>
      </c>
      <c r="E1161" s="5">
        <v>55600000</v>
      </c>
      <c r="F1161" s="5">
        <v>58600000</v>
      </c>
      <c r="G1161" s="5">
        <v>3000000</v>
      </c>
      <c r="H1161" s="5">
        <v>5560000</v>
      </c>
      <c r="I1161" s="5">
        <v>5860000</v>
      </c>
      <c r="J1161" s="5">
        <v>56100000</v>
      </c>
      <c r="K1161" s="5">
        <v>59100000</v>
      </c>
      <c r="L1161" s="3">
        <v>0.97916666666666663</v>
      </c>
    </row>
    <row r="1162" spans="1:12" x14ac:dyDescent="0.25">
      <c r="A1162" t="s">
        <v>722</v>
      </c>
      <c r="B1162" s="2">
        <v>44060</v>
      </c>
      <c r="C1162" t="s">
        <v>16</v>
      </c>
      <c r="D1162" t="s">
        <v>1636</v>
      </c>
      <c r="E1162" s="5">
        <v>57100000</v>
      </c>
      <c r="F1162" s="5">
        <v>60100000</v>
      </c>
      <c r="G1162" s="5">
        <v>3000000</v>
      </c>
      <c r="H1162" s="5">
        <v>5710000</v>
      </c>
      <c r="I1162" s="5">
        <v>6010000</v>
      </c>
      <c r="J1162" s="5">
        <v>57600000</v>
      </c>
      <c r="K1162" s="5">
        <v>60600000</v>
      </c>
      <c r="L1162" s="3">
        <v>0.97916666666666663</v>
      </c>
    </row>
    <row r="1163" spans="1:12" x14ac:dyDescent="0.25">
      <c r="A1163" t="s">
        <v>723</v>
      </c>
      <c r="B1163" s="2">
        <v>44061</v>
      </c>
      <c r="C1163" t="s">
        <v>18</v>
      </c>
      <c r="D1163" t="s">
        <v>1636</v>
      </c>
      <c r="E1163" s="5">
        <v>57500000</v>
      </c>
      <c r="F1163" s="5">
        <v>60500000</v>
      </c>
      <c r="G1163" s="5">
        <v>3000000</v>
      </c>
      <c r="H1163" s="5">
        <v>5750000</v>
      </c>
      <c r="I1163" s="5">
        <v>6050000</v>
      </c>
      <c r="J1163" s="5">
        <v>58000000</v>
      </c>
      <c r="K1163" s="5">
        <v>61000000</v>
      </c>
      <c r="L1163" s="3">
        <v>0.97916666666666663</v>
      </c>
    </row>
    <row r="1164" spans="1:12" x14ac:dyDescent="0.25">
      <c r="A1164" t="s">
        <v>724</v>
      </c>
      <c r="B1164" s="2">
        <v>44062</v>
      </c>
      <c r="C1164" t="s">
        <v>19</v>
      </c>
      <c r="D1164" t="s">
        <v>1636</v>
      </c>
      <c r="E1164" s="5">
        <v>56300000</v>
      </c>
      <c r="F1164" s="5">
        <v>59300000</v>
      </c>
      <c r="G1164" s="5">
        <v>3000000</v>
      </c>
      <c r="H1164" s="5">
        <v>5630000</v>
      </c>
      <c r="I1164" s="5">
        <v>5930000</v>
      </c>
      <c r="J1164" s="5">
        <v>56800000</v>
      </c>
      <c r="K1164" s="5">
        <v>59800000</v>
      </c>
      <c r="L1164" s="3">
        <v>0.97916666666666663</v>
      </c>
    </row>
    <row r="1165" spans="1:12" x14ac:dyDescent="0.25">
      <c r="A1165" t="s">
        <v>725</v>
      </c>
      <c r="B1165" s="2">
        <v>44063</v>
      </c>
      <c r="C1165" t="s">
        <v>20</v>
      </c>
      <c r="D1165" t="s">
        <v>1636</v>
      </c>
      <c r="E1165" s="5">
        <v>55500000</v>
      </c>
      <c r="F1165" s="5">
        <v>58500000</v>
      </c>
      <c r="G1165" s="5">
        <v>3000000</v>
      </c>
      <c r="H1165" s="5">
        <v>5550000</v>
      </c>
      <c r="I1165" s="5">
        <v>5850000</v>
      </c>
      <c r="J1165" s="5">
        <v>56000000</v>
      </c>
      <c r="K1165" s="5">
        <v>59000000</v>
      </c>
      <c r="L1165" s="3">
        <v>0.97916666666666663</v>
      </c>
    </row>
    <row r="1166" spans="1:12" x14ac:dyDescent="0.25">
      <c r="A1166" t="s">
        <v>726</v>
      </c>
      <c r="B1166" s="2">
        <v>44064</v>
      </c>
      <c r="C1166" t="s">
        <v>21</v>
      </c>
      <c r="D1166" t="s">
        <v>1636</v>
      </c>
      <c r="E1166" s="5">
        <v>55600000</v>
      </c>
      <c r="F1166" s="5">
        <v>58600000</v>
      </c>
      <c r="G1166" s="5">
        <v>3000000</v>
      </c>
      <c r="H1166" s="5">
        <v>5560000</v>
      </c>
      <c r="I1166" s="5">
        <v>5860000</v>
      </c>
      <c r="J1166" s="5">
        <v>56100000</v>
      </c>
      <c r="K1166" s="5">
        <v>59100000</v>
      </c>
      <c r="L1166" s="3">
        <v>0.97916666666666663</v>
      </c>
    </row>
    <row r="1167" spans="1:12" x14ac:dyDescent="0.25">
      <c r="A1167" t="s">
        <v>727</v>
      </c>
      <c r="B1167" s="2">
        <v>44067</v>
      </c>
      <c r="C1167" t="s">
        <v>16</v>
      </c>
      <c r="D1167" t="s">
        <v>1636</v>
      </c>
      <c r="E1167" s="5">
        <v>55400000</v>
      </c>
      <c r="F1167" s="5">
        <v>58400000</v>
      </c>
      <c r="G1167" s="5">
        <v>3000000</v>
      </c>
      <c r="H1167" s="5">
        <v>5540000</v>
      </c>
      <c r="I1167" s="5">
        <v>5840000</v>
      </c>
      <c r="J1167" s="5">
        <v>55900000</v>
      </c>
      <c r="K1167" s="5">
        <v>58900000</v>
      </c>
      <c r="L1167" s="3">
        <v>0.97916666666666663</v>
      </c>
    </row>
    <row r="1168" spans="1:12" x14ac:dyDescent="0.25">
      <c r="A1168" t="s">
        <v>728</v>
      </c>
      <c r="B1168" s="2">
        <v>44068</v>
      </c>
      <c r="C1168" t="s">
        <v>18</v>
      </c>
      <c r="D1168" t="s">
        <v>1636</v>
      </c>
      <c r="E1168" s="5">
        <v>54900000</v>
      </c>
      <c r="F1168" s="5">
        <v>57900000</v>
      </c>
      <c r="G1168" s="5">
        <v>3000000</v>
      </c>
      <c r="H1168" s="5">
        <v>5490000</v>
      </c>
      <c r="I1168" s="5">
        <v>5790000</v>
      </c>
      <c r="J1168" s="5">
        <v>55400000</v>
      </c>
      <c r="K1168" s="5">
        <v>58400000</v>
      </c>
      <c r="L1168" s="3">
        <v>0.97916666666666663</v>
      </c>
    </row>
    <row r="1169" spans="1:12" x14ac:dyDescent="0.25">
      <c r="A1169" t="s">
        <v>729</v>
      </c>
      <c r="B1169" s="2">
        <v>44069</v>
      </c>
      <c r="C1169" t="s">
        <v>19</v>
      </c>
      <c r="D1169" t="s">
        <v>1636</v>
      </c>
      <c r="E1169" s="5">
        <v>55800000</v>
      </c>
      <c r="F1169" s="5">
        <v>58800000</v>
      </c>
      <c r="G1169" s="5">
        <v>3000000</v>
      </c>
      <c r="H1169" s="5">
        <v>5580000</v>
      </c>
      <c r="I1169" s="5">
        <v>5880000</v>
      </c>
      <c r="J1169" s="5">
        <v>56300000</v>
      </c>
      <c r="K1169" s="5">
        <v>59300000</v>
      </c>
      <c r="L1169" s="3">
        <v>0.97916666666666663</v>
      </c>
    </row>
    <row r="1170" spans="1:12" x14ac:dyDescent="0.25">
      <c r="A1170" t="s">
        <v>730</v>
      </c>
      <c r="B1170" s="2">
        <v>44070</v>
      </c>
      <c r="C1170" t="s">
        <v>20</v>
      </c>
      <c r="D1170" t="s">
        <v>1636</v>
      </c>
      <c r="E1170" s="5">
        <v>55200000</v>
      </c>
      <c r="F1170" s="5">
        <v>58200000</v>
      </c>
      <c r="G1170" s="5">
        <v>3000000</v>
      </c>
      <c r="H1170" s="5">
        <v>5520000</v>
      </c>
      <c r="I1170" s="5">
        <v>5820000</v>
      </c>
      <c r="J1170" s="5">
        <v>55700000</v>
      </c>
      <c r="K1170" s="5">
        <v>58700000</v>
      </c>
      <c r="L1170" s="3">
        <v>0.97916666666666663</v>
      </c>
    </row>
    <row r="1171" spans="1:12" x14ac:dyDescent="0.25">
      <c r="A1171" t="s">
        <v>731</v>
      </c>
      <c r="B1171" s="2">
        <v>44071</v>
      </c>
      <c r="C1171" t="s">
        <v>21</v>
      </c>
      <c r="D1171" t="s">
        <v>1636</v>
      </c>
      <c r="E1171" s="5">
        <v>56500000</v>
      </c>
      <c r="F1171" s="5">
        <v>59500000</v>
      </c>
      <c r="G1171" s="5">
        <v>3000000</v>
      </c>
      <c r="H1171" s="5">
        <v>5650000</v>
      </c>
      <c r="I1171" s="5">
        <v>5950000</v>
      </c>
      <c r="J1171" s="5">
        <v>57000000</v>
      </c>
      <c r="K1171" s="5">
        <v>60000000</v>
      </c>
      <c r="L1171" s="3">
        <v>0.97916666666666663</v>
      </c>
    </row>
    <row r="1172" spans="1:12" x14ac:dyDescent="0.25">
      <c r="A1172" t="s">
        <v>732</v>
      </c>
      <c r="B1172" s="2">
        <v>44074</v>
      </c>
      <c r="C1172" t="s">
        <v>16</v>
      </c>
      <c r="D1172" t="s">
        <v>1636</v>
      </c>
      <c r="E1172" s="5">
        <v>56600000</v>
      </c>
      <c r="F1172" s="5">
        <v>59600000</v>
      </c>
      <c r="G1172" s="5">
        <v>3000000</v>
      </c>
      <c r="H1172" s="5">
        <v>5660000</v>
      </c>
      <c r="I1172" s="5">
        <v>5960000</v>
      </c>
      <c r="J1172" s="5">
        <v>57100000</v>
      </c>
      <c r="K1172" s="5">
        <v>60100000</v>
      </c>
      <c r="L1172" s="3">
        <v>0.97916666666666663</v>
      </c>
    </row>
    <row r="1173" spans="1:12" x14ac:dyDescent="0.25">
      <c r="A1173" s="2">
        <v>43839</v>
      </c>
      <c r="B1173" s="2">
        <v>44075</v>
      </c>
      <c r="C1173" t="s">
        <v>18</v>
      </c>
      <c r="D1173" t="s">
        <v>1636</v>
      </c>
      <c r="E1173" s="5">
        <v>56600000</v>
      </c>
      <c r="F1173" s="5">
        <v>59600000</v>
      </c>
      <c r="G1173" s="5">
        <v>3000000</v>
      </c>
      <c r="H1173" s="5">
        <v>5660000</v>
      </c>
      <c r="I1173" s="5">
        <v>5960000</v>
      </c>
      <c r="J1173" s="5">
        <v>57100000</v>
      </c>
      <c r="K1173" s="5">
        <v>60100000</v>
      </c>
      <c r="L1173" s="3">
        <v>0.97916666666666663</v>
      </c>
    </row>
    <row r="1174" spans="1:12" x14ac:dyDescent="0.25">
      <c r="A1174" s="2">
        <v>43870</v>
      </c>
      <c r="B1174" s="2">
        <v>44076</v>
      </c>
      <c r="C1174" t="s">
        <v>19</v>
      </c>
      <c r="D1174" t="s">
        <v>1636</v>
      </c>
      <c r="E1174" s="5">
        <v>55600000</v>
      </c>
      <c r="F1174" s="5">
        <v>58600000</v>
      </c>
      <c r="G1174" s="5">
        <v>3000000</v>
      </c>
      <c r="H1174" s="5">
        <v>5560000</v>
      </c>
      <c r="I1174" s="5">
        <v>5860000</v>
      </c>
      <c r="J1174" s="5">
        <v>56100000</v>
      </c>
      <c r="K1174" s="5">
        <v>59100000</v>
      </c>
      <c r="L1174" s="3">
        <v>0.97916666666666663</v>
      </c>
    </row>
    <row r="1175" spans="1:12" x14ac:dyDescent="0.25">
      <c r="A1175" s="2">
        <v>43899</v>
      </c>
      <c r="B1175" s="2">
        <v>44077</v>
      </c>
      <c r="C1175" t="s">
        <v>20</v>
      </c>
      <c r="D1175" t="s">
        <v>1636</v>
      </c>
      <c r="E1175" s="5">
        <v>55400000</v>
      </c>
      <c r="F1175" s="5">
        <v>58400000</v>
      </c>
      <c r="G1175" s="5">
        <v>3000000</v>
      </c>
      <c r="H1175" s="5">
        <v>5540000</v>
      </c>
      <c r="I1175" s="5">
        <v>5840000</v>
      </c>
      <c r="J1175" s="5">
        <v>55900000</v>
      </c>
      <c r="K1175" s="5">
        <v>58900000</v>
      </c>
      <c r="L1175" s="3">
        <v>0.97916666666666663</v>
      </c>
    </row>
    <row r="1176" spans="1:12" x14ac:dyDescent="0.25">
      <c r="A1176" s="2">
        <v>43930</v>
      </c>
      <c r="B1176" s="2">
        <v>44078</v>
      </c>
      <c r="C1176" t="s">
        <v>21</v>
      </c>
      <c r="D1176" t="s">
        <v>1636</v>
      </c>
      <c r="E1176" s="5">
        <v>55200000</v>
      </c>
      <c r="F1176" s="5">
        <v>58200000</v>
      </c>
      <c r="G1176" s="5">
        <v>3000000</v>
      </c>
      <c r="H1176" s="5">
        <v>5520000</v>
      </c>
      <c r="I1176" s="5">
        <v>5820000</v>
      </c>
      <c r="J1176" s="5">
        <v>55700000</v>
      </c>
      <c r="K1176" s="5">
        <v>58700000</v>
      </c>
      <c r="L1176" s="3">
        <v>0.97916666666666663</v>
      </c>
    </row>
    <row r="1177" spans="1:12" x14ac:dyDescent="0.25">
      <c r="A1177" s="2">
        <v>44052</v>
      </c>
      <c r="B1177" s="2">
        <v>44082</v>
      </c>
      <c r="C1177" t="s">
        <v>18</v>
      </c>
      <c r="D1177" t="s">
        <v>1636</v>
      </c>
      <c r="E1177" s="5">
        <v>55500000</v>
      </c>
      <c r="F1177" s="5">
        <v>58500000</v>
      </c>
      <c r="G1177" s="5">
        <v>3000000</v>
      </c>
      <c r="H1177" s="5">
        <v>5550000</v>
      </c>
      <c r="I1177" s="5">
        <v>5850000</v>
      </c>
      <c r="J1177" s="5">
        <v>56000000</v>
      </c>
      <c r="K1177" s="5">
        <v>59000000</v>
      </c>
      <c r="L1177" s="3">
        <v>0.97916666666666663</v>
      </c>
    </row>
    <row r="1178" spans="1:12" x14ac:dyDescent="0.25">
      <c r="A1178" s="2">
        <v>44083</v>
      </c>
      <c r="B1178" s="2">
        <v>44083</v>
      </c>
      <c r="C1178" t="s">
        <v>19</v>
      </c>
      <c r="D1178" t="s">
        <v>1636</v>
      </c>
      <c r="E1178" s="5">
        <v>55900000</v>
      </c>
      <c r="F1178" s="5">
        <v>58900000</v>
      </c>
      <c r="G1178" s="5">
        <v>3000000</v>
      </c>
      <c r="H1178" s="5">
        <v>5590000</v>
      </c>
      <c r="I1178" s="5">
        <v>5890000</v>
      </c>
      <c r="J1178" s="5">
        <v>56400000</v>
      </c>
      <c r="K1178" s="5">
        <v>59400000</v>
      </c>
      <c r="L1178" s="3">
        <v>0.97916666666666663</v>
      </c>
    </row>
    <row r="1179" spans="1:12" x14ac:dyDescent="0.25">
      <c r="A1179" s="2">
        <v>44113</v>
      </c>
      <c r="B1179" s="2">
        <v>44084</v>
      </c>
      <c r="C1179" t="s">
        <v>20</v>
      </c>
      <c r="D1179" t="s">
        <v>1636</v>
      </c>
      <c r="E1179" s="5">
        <v>56200000</v>
      </c>
      <c r="F1179" s="5">
        <v>59200000</v>
      </c>
      <c r="G1179" s="5">
        <v>3000000</v>
      </c>
      <c r="H1179" s="5">
        <v>5620000</v>
      </c>
      <c r="I1179" s="5">
        <v>5920000</v>
      </c>
      <c r="J1179" s="5">
        <v>56700000</v>
      </c>
      <c r="K1179" s="5">
        <v>59700000</v>
      </c>
      <c r="L1179" s="3">
        <v>0.97916666666666663</v>
      </c>
    </row>
    <row r="1180" spans="1:12" x14ac:dyDescent="0.25">
      <c r="A1180" s="2">
        <v>44144</v>
      </c>
      <c r="B1180" s="2">
        <v>44085</v>
      </c>
      <c r="C1180" t="s">
        <v>21</v>
      </c>
      <c r="D1180" t="s">
        <v>1636</v>
      </c>
      <c r="E1180" s="5">
        <v>55700000</v>
      </c>
      <c r="F1180" s="5">
        <v>58700000</v>
      </c>
      <c r="G1180" s="5">
        <v>3000000</v>
      </c>
      <c r="H1180" s="5">
        <v>5570000</v>
      </c>
      <c r="I1180" s="5">
        <v>5870000</v>
      </c>
      <c r="J1180" s="5">
        <v>56200000</v>
      </c>
      <c r="K1180" s="5">
        <v>59200000</v>
      </c>
      <c r="L1180" s="3">
        <v>0.97916666666666663</v>
      </c>
    </row>
    <row r="1181" spans="1:12" x14ac:dyDescent="0.25">
      <c r="A1181" t="s">
        <v>733</v>
      </c>
      <c r="B1181" s="2">
        <v>44088</v>
      </c>
      <c r="C1181" t="s">
        <v>16</v>
      </c>
      <c r="D1181" t="s">
        <v>1636</v>
      </c>
      <c r="E1181" s="5">
        <v>56100000</v>
      </c>
      <c r="F1181" s="5">
        <v>59100000</v>
      </c>
      <c r="G1181" s="5">
        <v>3000000</v>
      </c>
      <c r="H1181" s="5">
        <v>5610000</v>
      </c>
      <c r="I1181" s="5">
        <v>5910000</v>
      </c>
      <c r="J1181" s="5">
        <v>56600000</v>
      </c>
      <c r="K1181" s="5">
        <v>59600000</v>
      </c>
      <c r="L1181" s="3">
        <v>0.97916666666666663</v>
      </c>
    </row>
    <row r="1182" spans="1:12" x14ac:dyDescent="0.25">
      <c r="A1182" t="s">
        <v>734</v>
      </c>
      <c r="B1182" s="2">
        <v>44089</v>
      </c>
      <c r="C1182" t="s">
        <v>18</v>
      </c>
      <c r="D1182" t="s">
        <v>1636</v>
      </c>
      <c r="E1182" s="5">
        <v>56200000</v>
      </c>
      <c r="F1182" s="5">
        <v>59200000</v>
      </c>
      <c r="G1182" s="5">
        <v>3000000</v>
      </c>
      <c r="H1182" s="5">
        <v>5620000</v>
      </c>
      <c r="I1182" s="5">
        <v>5920000</v>
      </c>
      <c r="J1182" s="5">
        <v>56700000</v>
      </c>
      <c r="K1182" s="5">
        <v>59700000</v>
      </c>
      <c r="L1182" s="3">
        <v>0.97916666666666663</v>
      </c>
    </row>
    <row r="1183" spans="1:12" x14ac:dyDescent="0.25">
      <c r="A1183" t="s">
        <v>735</v>
      </c>
      <c r="B1183" s="2">
        <v>44090</v>
      </c>
      <c r="C1183" t="s">
        <v>19</v>
      </c>
      <c r="D1183" t="s">
        <v>1636</v>
      </c>
      <c r="E1183" s="5">
        <v>56300000</v>
      </c>
      <c r="F1183" s="5">
        <v>59300000</v>
      </c>
      <c r="G1183" s="5">
        <v>3000000</v>
      </c>
      <c r="H1183" s="5">
        <v>5630000</v>
      </c>
      <c r="I1183" s="5">
        <v>5930000</v>
      </c>
      <c r="J1183" s="5">
        <v>56800000</v>
      </c>
      <c r="K1183" s="5">
        <v>59800000</v>
      </c>
      <c r="L1183" s="3">
        <v>0.97916666666666663</v>
      </c>
    </row>
    <row r="1184" spans="1:12" x14ac:dyDescent="0.25">
      <c r="A1184" t="s">
        <v>736</v>
      </c>
      <c r="B1184" s="2">
        <v>44091</v>
      </c>
      <c r="C1184" t="s">
        <v>20</v>
      </c>
      <c r="D1184" t="s">
        <v>1636</v>
      </c>
      <c r="E1184" s="5">
        <v>55700000</v>
      </c>
      <c r="F1184" s="5">
        <v>58700000</v>
      </c>
      <c r="G1184" s="5">
        <v>3000000</v>
      </c>
      <c r="H1184" s="5">
        <v>5570000</v>
      </c>
      <c r="I1184" s="5">
        <v>5870000</v>
      </c>
      <c r="J1184" s="5">
        <v>56200000</v>
      </c>
      <c r="K1184" s="5">
        <v>59200000</v>
      </c>
      <c r="L1184" s="3">
        <v>0.97916666666666663</v>
      </c>
    </row>
    <row r="1185" spans="1:12" x14ac:dyDescent="0.25">
      <c r="A1185" t="s">
        <v>737</v>
      </c>
      <c r="B1185" s="2">
        <v>44092</v>
      </c>
      <c r="C1185" t="s">
        <v>21</v>
      </c>
      <c r="D1185" t="s">
        <v>1636</v>
      </c>
      <c r="E1185" s="5">
        <v>56100000</v>
      </c>
      <c r="F1185" s="5">
        <v>59100000</v>
      </c>
      <c r="G1185" s="5">
        <v>3000000</v>
      </c>
      <c r="H1185" s="5">
        <v>5610000</v>
      </c>
      <c r="I1185" s="5">
        <v>5910000</v>
      </c>
      <c r="J1185" s="5">
        <v>56600000</v>
      </c>
      <c r="K1185" s="5">
        <v>59600000</v>
      </c>
      <c r="L1185" s="3">
        <v>0.97916666666666663</v>
      </c>
    </row>
    <row r="1186" spans="1:12" x14ac:dyDescent="0.25">
      <c r="A1186" t="s">
        <v>738</v>
      </c>
      <c r="B1186" s="2">
        <v>44095</v>
      </c>
      <c r="C1186" t="s">
        <v>16</v>
      </c>
      <c r="D1186" t="s">
        <v>1636</v>
      </c>
      <c r="E1186" s="5">
        <v>54600000</v>
      </c>
      <c r="F1186" s="5">
        <v>57600000</v>
      </c>
      <c r="G1186" s="5">
        <v>3000000</v>
      </c>
      <c r="H1186" s="5">
        <v>5460000</v>
      </c>
      <c r="I1186" s="5">
        <v>5760000</v>
      </c>
      <c r="J1186" s="5">
        <v>55100000</v>
      </c>
      <c r="K1186" s="5">
        <v>58100000</v>
      </c>
      <c r="L1186" s="3">
        <v>0.97916666666666663</v>
      </c>
    </row>
    <row r="1187" spans="1:12" x14ac:dyDescent="0.25">
      <c r="A1187" t="s">
        <v>739</v>
      </c>
      <c r="B1187" s="2">
        <v>44096</v>
      </c>
      <c r="C1187" t="s">
        <v>18</v>
      </c>
      <c r="D1187" t="s">
        <v>1636</v>
      </c>
      <c r="E1187" s="5">
        <v>54500000</v>
      </c>
      <c r="F1187" s="5">
        <v>57500000</v>
      </c>
      <c r="G1187" s="5">
        <v>3000000</v>
      </c>
      <c r="H1187" s="5">
        <v>5450000</v>
      </c>
      <c r="I1187" s="5">
        <v>5750000</v>
      </c>
      <c r="J1187" s="5">
        <v>55000000</v>
      </c>
      <c r="K1187" s="5">
        <v>58000000</v>
      </c>
      <c r="L1187" s="3">
        <v>0.97916666666666663</v>
      </c>
    </row>
    <row r="1188" spans="1:12" x14ac:dyDescent="0.25">
      <c r="A1188" t="s">
        <v>740</v>
      </c>
      <c r="B1188" s="2">
        <v>44097</v>
      </c>
      <c r="C1188" t="s">
        <v>19</v>
      </c>
      <c r="D1188" t="s">
        <v>1636</v>
      </c>
      <c r="E1188" s="5">
        <v>53300000</v>
      </c>
      <c r="F1188" s="5">
        <v>56300000</v>
      </c>
      <c r="G1188" s="5">
        <v>3000000</v>
      </c>
      <c r="H1188" s="5">
        <v>5330000</v>
      </c>
      <c r="I1188" s="5">
        <v>5630000</v>
      </c>
      <c r="J1188" s="5">
        <v>53800000</v>
      </c>
      <c r="K1188" s="5">
        <v>56800000</v>
      </c>
      <c r="L1188" s="3">
        <v>0.97916666666666663</v>
      </c>
    </row>
    <row r="1189" spans="1:12" x14ac:dyDescent="0.25">
      <c r="A1189" t="s">
        <v>741</v>
      </c>
      <c r="B1189" s="2">
        <v>44098</v>
      </c>
      <c r="C1189" t="s">
        <v>20</v>
      </c>
      <c r="D1189" t="s">
        <v>1636</v>
      </c>
      <c r="E1189" s="5">
        <v>53600000</v>
      </c>
      <c r="F1189" s="5">
        <v>56600000</v>
      </c>
      <c r="G1189" s="5">
        <v>3000000</v>
      </c>
      <c r="H1189" s="5">
        <v>5360000</v>
      </c>
      <c r="I1189" s="5">
        <v>5660000</v>
      </c>
      <c r="J1189" s="5">
        <v>54100000</v>
      </c>
      <c r="K1189" s="5">
        <v>57100000</v>
      </c>
      <c r="L1189" s="3">
        <v>0.97916666666666663</v>
      </c>
    </row>
    <row r="1190" spans="1:12" x14ac:dyDescent="0.25">
      <c r="A1190" t="s">
        <v>742</v>
      </c>
      <c r="B1190" s="2">
        <v>44099</v>
      </c>
      <c r="C1190" t="s">
        <v>21</v>
      </c>
      <c r="D1190" t="s">
        <v>1636</v>
      </c>
      <c r="E1190" s="5">
        <v>53200000</v>
      </c>
      <c r="F1190" s="5">
        <v>56200000</v>
      </c>
      <c r="G1190" s="5">
        <v>3000000</v>
      </c>
      <c r="H1190" s="5">
        <v>5320000</v>
      </c>
      <c r="I1190" s="5">
        <v>5620000</v>
      </c>
      <c r="J1190" s="5">
        <v>53700000</v>
      </c>
      <c r="K1190" s="5">
        <v>56700000</v>
      </c>
      <c r="L1190" s="3">
        <v>0.97916666666666663</v>
      </c>
    </row>
    <row r="1191" spans="1:12" x14ac:dyDescent="0.25">
      <c r="A1191" t="s">
        <v>743</v>
      </c>
      <c r="B1191" s="2">
        <v>44102</v>
      </c>
      <c r="C1191" t="s">
        <v>16</v>
      </c>
      <c r="D1191" t="s">
        <v>1636</v>
      </c>
      <c r="E1191" s="5">
        <v>53700000</v>
      </c>
      <c r="F1191" s="5">
        <v>56700000</v>
      </c>
      <c r="G1191" s="5">
        <v>3000000</v>
      </c>
      <c r="H1191" s="5">
        <v>5370000</v>
      </c>
      <c r="I1191" s="5">
        <v>5670000</v>
      </c>
      <c r="J1191" s="5">
        <v>54200000</v>
      </c>
      <c r="K1191" s="5">
        <v>57200000</v>
      </c>
      <c r="L1191" s="3">
        <v>0.97916666666666663</v>
      </c>
    </row>
    <row r="1192" spans="1:12" x14ac:dyDescent="0.25">
      <c r="A1192" t="s">
        <v>744</v>
      </c>
      <c r="B1192" s="2">
        <v>44103</v>
      </c>
      <c r="C1192" t="s">
        <v>18</v>
      </c>
      <c r="D1192" t="s">
        <v>1636</v>
      </c>
      <c r="E1192" s="5">
        <v>54300000</v>
      </c>
      <c r="F1192" s="5">
        <v>57300000</v>
      </c>
      <c r="G1192" s="5">
        <v>3000000</v>
      </c>
      <c r="H1192" s="5">
        <v>5430000</v>
      </c>
      <c r="I1192" s="5">
        <v>5730000</v>
      </c>
      <c r="J1192" s="5">
        <v>54800000</v>
      </c>
      <c r="K1192" s="5">
        <v>57800000</v>
      </c>
      <c r="L1192" s="3">
        <v>0.97916666666666663</v>
      </c>
    </row>
    <row r="1193" spans="1:12" x14ac:dyDescent="0.25">
      <c r="A1193" t="s">
        <v>745</v>
      </c>
      <c r="B1193" s="2">
        <v>44104</v>
      </c>
      <c r="C1193" t="s">
        <v>19</v>
      </c>
      <c r="D1193" t="s">
        <v>1636</v>
      </c>
      <c r="E1193" s="5">
        <v>54100000</v>
      </c>
      <c r="F1193" s="5">
        <v>57100000</v>
      </c>
      <c r="G1193" s="5">
        <v>3000000</v>
      </c>
      <c r="H1193" s="5">
        <v>5410000</v>
      </c>
      <c r="I1193" s="5">
        <v>5710000</v>
      </c>
      <c r="J1193" s="5">
        <v>54600000</v>
      </c>
      <c r="K1193" s="5">
        <v>57600000</v>
      </c>
      <c r="L1193" s="3">
        <v>0.97916666666666663</v>
      </c>
    </row>
    <row r="1194" spans="1:12" x14ac:dyDescent="0.25">
      <c r="A1194" s="2">
        <v>43840</v>
      </c>
      <c r="B1194" s="2">
        <v>44105</v>
      </c>
      <c r="C1194" t="s">
        <v>20</v>
      </c>
      <c r="D1194" t="s">
        <v>1636</v>
      </c>
      <c r="E1194" s="5">
        <v>54800000</v>
      </c>
      <c r="F1194" s="5">
        <v>57800000</v>
      </c>
      <c r="G1194" s="5">
        <v>3000000</v>
      </c>
      <c r="H1194" s="5">
        <v>5480000</v>
      </c>
      <c r="I1194" s="5">
        <v>5780000</v>
      </c>
      <c r="J1194" s="5">
        <v>55300000</v>
      </c>
      <c r="K1194" s="5">
        <v>58300000</v>
      </c>
      <c r="L1194" s="3">
        <v>0.97916666666666663</v>
      </c>
    </row>
    <row r="1195" spans="1:12" x14ac:dyDescent="0.25">
      <c r="A1195" s="2">
        <v>43871</v>
      </c>
      <c r="B1195" s="2">
        <v>44106</v>
      </c>
      <c r="C1195" t="s">
        <v>21</v>
      </c>
      <c r="D1195" t="s">
        <v>1636</v>
      </c>
      <c r="E1195" s="5">
        <v>54500000</v>
      </c>
      <c r="F1195" s="5">
        <v>57500000</v>
      </c>
      <c r="G1195" s="5">
        <v>3000000</v>
      </c>
      <c r="H1195" s="5">
        <v>5450000</v>
      </c>
      <c r="I1195" s="5">
        <v>5750000</v>
      </c>
      <c r="J1195" s="5">
        <v>55000000</v>
      </c>
      <c r="K1195" s="5">
        <v>58000000</v>
      </c>
      <c r="L1195" s="3">
        <v>0.97916666666666663</v>
      </c>
    </row>
    <row r="1196" spans="1:12" x14ac:dyDescent="0.25">
      <c r="A1196" s="2">
        <v>43961</v>
      </c>
      <c r="B1196" s="2">
        <v>44109</v>
      </c>
      <c r="C1196" t="s">
        <v>16</v>
      </c>
      <c r="D1196" t="s">
        <v>1636</v>
      </c>
      <c r="E1196" s="5">
        <v>54900000</v>
      </c>
      <c r="F1196" s="5">
        <v>57900000</v>
      </c>
      <c r="G1196" s="5">
        <v>3000000</v>
      </c>
      <c r="H1196" s="5">
        <v>5490000</v>
      </c>
      <c r="I1196" s="5">
        <v>5790000</v>
      </c>
      <c r="J1196" s="5">
        <v>55400000</v>
      </c>
      <c r="K1196" s="5">
        <v>58400000</v>
      </c>
      <c r="L1196" s="3">
        <v>0.97916666666666663</v>
      </c>
    </row>
    <row r="1197" spans="1:12" x14ac:dyDescent="0.25">
      <c r="A1197" s="2">
        <v>43992</v>
      </c>
      <c r="B1197" s="2">
        <v>44110</v>
      </c>
      <c r="C1197" t="s">
        <v>18</v>
      </c>
      <c r="D1197" t="s">
        <v>1636</v>
      </c>
      <c r="E1197" s="5">
        <v>54600000</v>
      </c>
      <c r="F1197" s="5">
        <v>57600000</v>
      </c>
      <c r="G1197" s="5">
        <v>3000000</v>
      </c>
      <c r="H1197" s="5">
        <v>5460000</v>
      </c>
      <c r="I1197" s="5">
        <v>5760000</v>
      </c>
      <c r="J1197" s="5">
        <v>55100000</v>
      </c>
      <c r="K1197" s="5">
        <v>58100000</v>
      </c>
      <c r="L1197" s="3">
        <v>0.97916666666666663</v>
      </c>
    </row>
    <row r="1198" spans="1:12" x14ac:dyDescent="0.25">
      <c r="A1198" s="2">
        <v>44022</v>
      </c>
      <c r="B1198" s="2">
        <v>44111</v>
      </c>
      <c r="C1198" t="s">
        <v>19</v>
      </c>
      <c r="D1198" t="s">
        <v>1636</v>
      </c>
      <c r="E1198" s="5">
        <v>54000000</v>
      </c>
      <c r="F1198" s="5">
        <v>57000000</v>
      </c>
      <c r="G1198" s="5">
        <v>3000000</v>
      </c>
      <c r="H1198" s="5">
        <v>5400000</v>
      </c>
      <c r="I1198" s="5">
        <v>5700000</v>
      </c>
      <c r="J1198" s="5">
        <v>54500000</v>
      </c>
      <c r="K1198" s="5">
        <v>57500000</v>
      </c>
      <c r="L1198" s="3">
        <v>0.97916666666666663</v>
      </c>
    </row>
    <row r="1199" spans="1:12" x14ac:dyDescent="0.25">
      <c r="A1199" s="2">
        <v>44053</v>
      </c>
      <c r="B1199" s="2">
        <v>44112</v>
      </c>
      <c r="C1199" t="s">
        <v>20</v>
      </c>
      <c r="D1199" t="s">
        <v>1636</v>
      </c>
      <c r="E1199" s="5">
        <v>54200000</v>
      </c>
      <c r="F1199" s="5">
        <v>57200000</v>
      </c>
      <c r="G1199" s="5">
        <v>3000000</v>
      </c>
      <c r="H1199" s="5">
        <v>5420000</v>
      </c>
      <c r="I1199" s="5">
        <v>5720000</v>
      </c>
      <c r="J1199" s="5">
        <v>54700000</v>
      </c>
      <c r="K1199" s="5">
        <v>57700000</v>
      </c>
      <c r="L1199" s="3">
        <v>0.97916666666666663</v>
      </c>
    </row>
    <row r="1200" spans="1:12" x14ac:dyDescent="0.25">
      <c r="A1200" s="2">
        <v>44084</v>
      </c>
      <c r="B1200" s="2">
        <v>44113</v>
      </c>
      <c r="C1200" t="s">
        <v>21</v>
      </c>
      <c r="D1200" t="s">
        <v>1636</v>
      </c>
      <c r="E1200" s="5">
        <v>55100000</v>
      </c>
      <c r="F1200" s="5">
        <v>58100000</v>
      </c>
      <c r="G1200" s="5">
        <v>3000000</v>
      </c>
      <c r="H1200" s="5">
        <v>5510000</v>
      </c>
      <c r="I1200" s="5">
        <v>5810000</v>
      </c>
      <c r="J1200" s="5">
        <v>55600000</v>
      </c>
      <c r="K1200" s="5">
        <v>58600000</v>
      </c>
      <c r="L1200" s="3">
        <v>0.97916666666666663</v>
      </c>
    </row>
    <row r="1201" spans="1:12" x14ac:dyDescent="0.25">
      <c r="A1201" s="2">
        <v>44175</v>
      </c>
      <c r="B1201" s="2">
        <v>44116</v>
      </c>
      <c r="C1201" t="s">
        <v>16</v>
      </c>
      <c r="D1201" t="s">
        <v>1636</v>
      </c>
      <c r="E1201" s="5">
        <v>55200000</v>
      </c>
      <c r="F1201" s="5">
        <v>58200000</v>
      </c>
      <c r="G1201" s="5">
        <v>3000000</v>
      </c>
      <c r="H1201" s="5">
        <v>5520000</v>
      </c>
      <c r="I1201" s="5">
        <v>5820000</v>
      </c>
      <c r="J1201" s="5">
        <v>55700000</v>
      </c>
      <c r="K1201" s="5">
        <v>58700000</v>
      </c>
      <c r="L1201" s="3">
        <v>0.97916666666666663</v>
      </c>
    </row>
    <row r="1202" spans="1:12" x14ac:dyDescent="0.25">
      <c r="A1202" t="s">
        <v>746</v>
      </c>
      <c r="B1202" s="2">
        <v>44117</v>
      </c>
      <c r="C1202" t="s">
        <v>18</v>
      </c>
      <c r="D1202" t="s">
        <v>1636</v>
      </c>
      <c r="E1202" s="5">
        <v>54200000</v>
      </c>
      <c r="F1202" s="5">
        <v>57200000</v>
      </c>
      <c r="G1202" s="5">
        <v>3000000</v>
      </c>
      <c r="H1202" s="5">
        <v>5420000</v>
      </c>
      <c r="I1202" s="5">
        <v>5720000</v>
      </c>
      <c r="J1202" s="5">
        <v>54700000</v>
      </c>
      <c r="K1202" s="5">
        <v>57700000</v>
      </c>
      <c r="L1202" s="3">
        <v>0.97916666666666663</v>
      </c>
    </row>
    <row r="1203" spans="1:12" x14ac:dyDescent="0.25">
      <c r="A1203" t="s">
        <v>747</v>
      </c>
      <c r="B1203" s="2">
        <v>44118</v>
      </c>
      <c r="C1203" t="s">
        <v>19</v>
      </c>
      <c r="D1203" t="s">
        <v>1636</v>
      </c>
      <c r="E1203" s="5">
        <v>54600000</v>
      </c>
      <c r="F1203" s="5">
        <v>57600000</v>
      </c>
      <c r="G1203" s="5">
        <v>3000000</v>
      </c>
      <c r="H1203" s="5">
        <v>5460000</v>
      </c>
      <c r="I1203" s="5">
        <v>5760000</v>
      </c>
      <c r="J1203" s="5">
        <v>55100000</v>
      </c>
      <c r="K1203" s="5">
        <v>58100000</v>
      </c>
      <c r="L1203" s="3">
        <v>0.97916666666666663</v>
      </c>
    </row>
    <row r="1204" spans="1:12" x14ac:dyDescent="0.25">
      <c r="A1204" t="s">
        <v>748</v>
      </c>
      <c r="B1204" s="2">
        <v>44119</v>
      </c>
      <c r="C1204" t="s">
        <v>20</v>
      </c>
      <c r="D1204" t="s">
        <v>1636</v>
      </c>
      <c r="E1204" s="5">
        <v>54600000</v>
      </c>
      <c r="F1204" s="5">
        <v>57600000</v>
      </c>
      <c r="G1204" s="5">
        <v>3000000</v>
      </c>
      <c r="H1204" s="5">
        <v>5460000</v>
      </c>
      <c r="I1204" s="5">
        <v>5760000</v>
      </c>
      <c r="J1204" s="5">
        <v>55100000</v>
      </c>
      <c r="K1204" s="5">
        <v>58100000</v>
      </c>
      <c r="L1204" s="3">
        <v>0.97916666666666663</v>
      </c>
    </row>
    <row r="1205" spans="1:12" x14ac:dyDescent="0.25">
      <c r="A1205" t="s">
        <v>749</v>
      </c>
      <c r="B1205" s="2">
        <v>44120</v>
      </c>
      <c r="C1205" t="s">
        <v>21</v>
      </c>
      <c r="D1205" t="s">
        <v>1636</v>
      </c>
      <c r="E1205" s="5">
        <v>54500000</v>
      </c>
      <c r="F1205" s="5">
        <v>57500000</v>
      </c>
      <c r="G1205" s="5">
        <v>3000000</v>
      </c>
      <c r="H1205" s="5">
        <v>5450000</v>
      </c>
      <c r="I1205" s="5">
        <v>5750000</v>
      </c>
      <c r="J1205" s="5">
        <v>55000000</v>
      </c>
      <c r="K1205" s="5">
        <v>58000000</v>
      </c>
      <c r="L1205" s="3">
        <v>0.97916666666666663</v>
      </c>
    </row>
    <row r="1206" spans="1:12" x14ac:dyDescent="0.25">
      <c r="A1206" t="s">
        <v>750</v>
      </c>
      <c r="B1206" s="2">
        <v>44123</v>
      </c>
      <c r="C1206" t="s">
        <v>16</v>
      </c>
      <c r="D1206" t="s">
        <v>1636</v>
      </c>
      <c r="E1206" s="5">
        <v>54700000</v>
      </c>
      <c r="F1206" s="5">
        <v>57700000</v>
      </c>
      <c r="G1206" s="5">
        <v>3000000</v>
      </c>
      <c r="H1206" s="5">
        <v>5470000</v>
      </c>
      <c r="I1206" s="5">
        <v>5770000</v>
      </c>
      <c r="J1206" s="5">
        <v>55200000</v>
      </c>
      <c r="K1206" s="5">
        <v>58200000</v>
      </c>
      <c r="L1206" s="3">
        <v>0.97916666666666663</v>
      </c>
    </row>
    <row r="1207" spans="1:12" x14ac:dyDescent="0.25">
      <c r="A1207" t="s">
        <v>751</v>
      </c>
      <c r="B1207" s="2">
        <v>44124</v>
      </c>
      <c r="C1207" t="s">
        <v>18</v>
      </c>
      <c r="D1207" t="s">
        <v>1636</v>
      </c>
      <c r="E1207" s="5">
        <v>54800000</v>
      </c>
      <c r="F1207" s="5">
        <v>57800000</v>
      </c>
      <c r="G1207" s="5">
        <v>3000000</v>
      </c>
      <c r="H1207" s="5">
        <v>5480000</v>
      </c>
      <c r="I1207" s="5">
        <v>5780000</v>
      </c>
      <c r="J1207" s="5">
        <v>55300000</v>
      </c>
      <c r="K1207" s="5">
        <v>58300000</v>
      </c>
      <c r="L1207" s="3">
        <v>0.97916666666666663</v>
      </c>
    </row>
    <row r="1208" spans="1:12" x14ac:dyDescent="0.25">
      <c r="A1208" t="s">
        <v>752</v>
      </c>
      <c r="B1208" s="2">
        <v>44125</v>
      </c>
      <c r="C1208" t="s">
        <v>19</v>
      </c>
      <c r="D1208" t="s">
        <v>1636</v>
      </c>
      <c r="E1208" s="5">
        <v>55300000</v>
      </c>
      <c r="F1208" s="5">
        <v>58300000</v>
      </c>
      <c r="G1208" s="5">
        <v>3000000</v>
      </c>
      <c r="H1208" s="5">
        <v>5530000</v>
      </c>
      <c r="I1208" s="5">
        <v>5830000</v>
      </c>
      <c r="J1208" s="5">
        <v>55800000</v>
      </c>
      <c r="K1208" s="5">
        <v>58800000</v>
      </c>
      <c r="L1208" s="3">
        <v>0.97916666666666663</v>
      </c>
    </row>
    <row r="1209" spans="1:12" x14ac:dyDescent="0.25">
      <c r="A1209" t="s">
        <v>753</v>
      </c>
      <c r="B1209" s="2">
        <v>44126</v>
      </c>
      <c r="C1209" t="s">
        <v>20</v>
      </c>
      <c r="D1209" t="s">
        <v>1636</v>
      </c>
      <c r="E1209" s="5">
        <v>54600000</v>
      </c>
      <c r="F1209" s="5">
        <v>57600000</v>
      </c>
      <c r="G1209" s="5">
        <v>3000000</v>
      </c>
      <c r="H1209" s="5">
        <v>5460000</v>
      </c>
      <c r="I1209" s="5">
        <v>5760000</v>
      </c>
      <c r="J1209" s="5">
        <v>55100000</v>
      </c>
      <c r="K1209" s="5">
        <v>58100000</v>
      </c>
      <c r="L1209" s="3">
        <v>0.97916666666666663</v>
      </c>
    </row>
    <row r="1210" spans="1:12" x14ac:dyDescent="0.25">
      <c r="A1210" t="s">
        <v>754</v>
      </c>
      <c r="B1210" s="2">
        <v>44127</v>
      </c>
      <c r="C1210" t="s">
        <v>21</v>
      </c>
      <c r="D1210" t="s">
        <v>1636</v>
      </c>
      <c r="E1210" s="5">
        <v>54600000</v>
      </c>
      <c r="F1210" s="5">
        <v>57600000</v>
      </c>
      <c r="G1210" s="5">
        <v>3000000</v>
      </c>
      <c r="H1210" s="5">
        <v>5460000</v>
      </c>
      <c r="I1210" s="5">
        <v>5760000</v>
      </c>
      <c r="J1210" s="5">
        <v>55100000</v>
      </c>
      <c r="K1210" s="5">
        <v>58100000</v>
      </c>
      <c r="L1210" s="3">
        <v>0.97916666666666663</v>
      </c>
    </row>
    <row r="1211" spans="1:12" x14ac:dyDescent="0.25">
      <c r="A1211" t="s">
        <v>755</v>
      </c>
      <c r="B1211" s="2">
        <v>44130</v>
      </c>
      <c r="C1211" t="s">
        <v>16</v>
      </c>
      <c r="D1211" t="s">
        <v>1636</v>
      </c>
      <c r="E1211" s="5">
        <v>54600000</v>
      </c>
      <c r="F1211" s="5">
        <v>57600000</v>
      </c>
      <c r="G1211" s="5">
        <v>3000000</v>
      </c>
      <c r="H1211" s="5">
        <v>5460000</v>
      </c>
      <c r="I1211" s="5">
        <v>5760000</v>
      </c>
      <c r="J1211" s="5">
        <v>55100000</v>
      </c>
      <c r="K1211" s="5">
        <v>58100000</v>
      </c>
      <c r="L1211" s="3">
        <v>0.97916666666666663</v>
      </c>
    </row>
    <row r="1212" spans="1:12" x14ac:dyDescent="0.25">
      <c r="A1212" t="s">
        <v>756</v>
      </c>
      <c r="B1212" s="2">
        <v>44131</v>
      </c>
      <c r="C1212" t="s">
        <v>18</v>
      </c>
      <c r="D1212" t="s">
        <v>1636</v>
      </c>
      <c r="E1212" s="5">
        <v>54800000</v>
      </c>
      <c r="F1212" s="5">
        <v>57800000</v>
      </c>
      <c r="G1212" s="5">
        <v>3000000</v>
      </c>
      <c r="H1212" s="5">
        <v>5480000</v>
      </c>
      <c r="I1212" s="5">
        <v>5780000</v>
      </c>
      <c r="J1212" s="5">
        <v>55300000</v>
      </c>
      <c r="K1212" s="5">
        <v>58300000</v>
      </c>
      <c r="L1212" s="3">
        <v>0.97916666666666663</v>
      </c>
    </row>
    <row r="1213" spans="1:12" x14ac:dyDescent="0.25">
      <c r="A1213" t="s">
        <v>757</v>
      </c>
      <c r="B1213" s="2">
        <v>44132</v>
      </c>
      <c r="C1213" t="s">
        <v>19</v>
      </c>
      <c r="D1213" t="s">
        <v>1636</v>
      </c>
      <c r="E1213" s="5">
        <v>53800000</v>
      </c>
      <c r="F1213" s="5">
        <v>56800000</v>
      </c>
      <c r="G1213" s="5">
        <v>3000000</v>
      </c>
      <c r="H1213" s="5">
        <v>5380000</v>
      </c>
      <c r="I1213" s="5">
        <v>5680000</v>
      </c>
      <c r="J1213" s="5">
        <v>54300000</v>
      </c>
      <c r="K1213" s="5">
        <v>57300000</v>
      </c>
      <c r="L1213" s="3">
        <v>0.97916666666666663</v>
      </c>
    </row>
    <row r="1214" spans="1:12" x14ac:dyDescent="0.25">
      <c r="A1214" t="s">
        <v>758</v>
      </c>
      <c r="B1214" s="2">
        <v>44133</v>
      </c>
      <c r="C1214" t="s">
        <v>20</v>
      </c>
      <c r="D1214" t="s">
        <v>1636</v>
      </c>
      <c r="E1214" s="5">
        <v>53500000</v>
      </c>
      <c r="F1214" s="5">
        <v>56500000</v>
      </c>
      <c r="G1214" s="5">
        <v>3000000</v>
      </c>
      <c r="H1214" s="5">
        <v>5350000</v>
      </c>
      <c r="I1214" s="5">
        <v>5650000</v>
      </c>
      <c r="J1214" s="5">
        <v>54000000</v>
      </c>
      <c r="K1214" s="5">
        <v>57000000</v>
      </c>
      <c r="L1214" s="3">
        <v>0.97916666666666663</v>
      </c>
    </row>
    <row r="1215" spans="1:12" x14ac:dyDescent="0.25">
      <c r="A1215" t="s">
        <v>759</v>
      </c>
      <c r="B1215" s="2">
        <v>44134</v>
      </c>
      <c r="C1215" t="s">
        <v>21</v>
      </c>
      <c r="D1215" t="s">
        <v>1636</v>
      </c>
      <c r="E1215" s="5">
        <v>53800000</v>
      </c>
      <c r="F1215" s="5">
        <v>56800000</v>
      </c>
      <c r="G1215" s="5">
        <v>3000000</v>
      </c>
      <c r="H1215" s="5">
        <v>5380000</v>
      </c>
      <c r="I1215" s="5">
        <v>5680000</v>
      </c>
      <c r="J1215" s="5">
        <v>54300000</v>
      </c>
      <c r="K1215" s="5">
        <v>57300000</v>
      </c>
      <c r="L1215" s="3">
        <v>0.97916666666666663</v>
      </c>
    </row>
    <row r="1216" spans="1:12" x14ac:dyDescent="0.25">
      <c r="A1216" s="2">
        <v>43872</v>
      </c>
      <c r="B1216" s="2">
        <v>44137</v>
      </c>
      <c r="C1216" t="s">
        <v>16</v>
      </c>
      <c r="D1216" t="s">
        <v>1636</v>
      </c>
      <c r="E1216" s="5">
        <v>54200000</v>
      </c>
      <c r="F1216" s="5">
        <v>57200000</v>
      </c>
      <c r="G1216" s="5">
        <v>3000000</v>
      </c>
      <c r="H1216" s="5">
        <v>5420000</v>
      </c>
      <c r="I1216" s="5">
        <v>5720000</v>
      </c>
      <c r="J1216" s="5">
        <v>54700000</v>
      </c>
      <c r="K1216" s="5">
        <v>57700000</v>
      </c>
      <c r="L1216" s="3">
        <v>0.97916666666666663</v>
      </c>
    </row>
    <row r="1217" spans="1:12" x14ac:dyDescent="0.25">
      <c r="A1217" s="2">
        <v>43901</v>
      </c>
      <c r="B1217" s="2">
        <v>44138</v>
      </c>
      <c r="C1217" t="s">
        <v>18</v>
      </c>
      <c r="D1217" t="s">
        <v>1636</v>
      </c>
      <c r="E1217" s="5">
        <v>54800000</v>
      </c>
      <c r="F1217" s="5">
        <v>57800000</v>
      </c>
      <c r="G1217" s="5">
        <v>3000000</v>
      </c>
      <c r="H1217" s="5">
        <v>5480000</v>
      </c>
      <c r="I1217" s="5">
        <v>5780000</v>
      </c>
      <c r="J1217" s="5">
        <v>55300000</v>
      </c>
      <c r="K1217" s="5">
        <v>58300000</v>
      </c>
      <c r="L1217" s="3">
        <v>0.97916666666666663</v>
      </c>
    </row>
    <row r="1218" spans="1:12" x14ac:dyDescent="0.25">
      <c r="A1218" s="2">
        <v>43932</v>
      </c>
      <c r="B1218" s="2">
        <v>44139</v>
      </c>
      <c r="C1218" t="s">
        <v>19</v>
      </c>
      <c r="D1218" t="s">
        <v>1636</v>
      </c>
      <c r="E1218" s="5">
        <v>54400000</v>
      </c>
      <c r="F1218" s="5">
        <v>57400000</v>
      </c>
      <c r="G1218" s="5">
        <v>3000000</v>
      </c>
      <c r="H1218" s="5">
        <v>5440000</v>
      </c>
      <c r="I1218" s="5">
        <v>5740000</v>
      </c>
      <c r="J1218" s="5">
        <v>54900000</v>
      </c>
      <c r="K1218" s="5">
        <v>57900000</v>
      </c>
      <c r="L1218" s="3">
        <v>0.97916666666666663</v>
      </c>
    </row>
    <row r="1219" spans="1:12" x14ac:dyDescent="0.25">
      <c r="A1219" s="2">
        <v>43962</v>
      </c>
      <c r="B1219" s="2">
        <v>44140</v>
      </c>
      <c r="C1219" t="s">
        <v>20</v>
      </c>
      <c r="D1219" t="s">
        <v>1636</v>
      </c>
      <c r="E1219" s="5">
        <v>55900000</v>
      </c>
      <c r="F1219" s="5">
        <v>58900000</v>
      </c>
      <c r="G1219" s="5">
        <v>3000000</v>
      </c>
      <c r="H1219" s="5">
        <v>5590000</v>
      </c>
      <c r="I1219" s="5">
        <v>5890000</v>
      </c>
      <c r="J1219" s="5">
        <v>56400000</v>
      </c>
      <c r="K1219" s="5">
        <v>59400000</v>
      </c>
      <c r="L1219" s="3">
        <v>0.97916666666666663</v>
      </c>
    </row>
    <row r="1220" spans="1:12" x14ac:dyDescent="0.25">
      <c r="A1220" s="2">
        <v>43993</v>
      </c>
      <c r="B1220" s="2">
        <v>44141</v>
      </c>
      <c r="C1220" t="s">
        <v>21</v>
      </c>
      <c r="D1220" t="s">
        <v>1636</v>
      </c>
      <c r="E1220" s="5">
        <v>56000000</v>
      </c>
      <c r="F1220" s="5">
        <v>59000000</v>
      </c>
      <c r="G1220" s="5">
        <v>3000000</v>
      </c>
      <c r="H1220" s="5">
        <v>5600000</v>
      </c>
      <c r="I1220" s="5">
        <v>5900000</v>
      </c>
      <c r="J1220" s="5">
        <v>56500000</v>
      </c>
      <c r="K1220" s="5">
        <v>59500000</v>
      </c>
      <c r="L1220" s="3">
        <v>0.97916666666666663</v>
      </c>
    </row>
    <row r="1221" spans="1:12" x14ac:dyDescent="0.25">
      <c r="A1221" s="2">
        <v>44085</v>
      </c>
      <c r="B1221" s="2">
        <v>44144</v>
      </c>
      <c r="C1221" t="s">
        <v>16</v>
      </c>
      <c r="D1221" t="s">
        <v>1636</v>
      </c>
      <c r="E1221" s="5">
        <v>53100000</v>
      </c>
      <c r="F1221" s="5">
        <v>56100000</v>
      </c>
      <c r="G1221" s="5">
        <v>3000000</v>
      </c>
      <c r="H1221" s="5">
        <v>5310000</v>
      </c>
      <c r="I1221" s="5">
        <v>5610000</v>
      </c>
      <c r="J1221" s="5">
        <v>53600000</v>
      </c>
      <c r="K1221" s="5">
        <v>56600000</v>
      </c>
      <c r="L1221" s="3">
        <v>0.97916666666666663</v>
      </c>
    </row>
    <row r="1222" spans="1:12" x14ac:dyDescent="0.25">
      <c r="A1222" s="2">
        <v>44115</v>
      </c>
      <c r="B1222" s="2">
        <v>44145</v>
      </c>
      <c r="C1222" t="s">
        <v>18</v>
      </c>
      <c r="D1222" t="s">
        <v>1636</v>
      </c>
      <c r="E1222" s="5">
        <v>53800000</v>
      </c>
      <c r="F1222" s="5">
        <v>56800000</v>
      </c>
      <c r="G1222" s="5">
        <v>3000000</v>
      </c>
      <c r="H1222" s="5">
        <v>5380000</v>
      </c>
      <c r="I1222" s="5">
        <v>5680000</v>
      </c>
      <c r="J1222" s="5">
        <v>54300000</v>
      </c>
      <c r="K1222" s="5">
        <v>57300000</v>
      </c>
      <c r="L1222" s="3">
        <v>0.97916666666666663</v>
      </c>
    </row>
    <row r="1223" spans="1:12" x14ac:dyDescent="0.25">
      <c r="A1223" s="2">
        <v>44146</v>
      </c>
      <c r="B1223" s="2">
        <v>44146</v>
      </c>
      <c r="C1223" t="s">
        <v>19</v>
      </c>
      <c r="D1223" t="s">
        <v>1636</v>
      </c>
      <c r="E1223" s="5">
        <v>53300000</v>
      </c>
      <c r="F1223" s="5">
        <v>56300000</v>
      </c>
      <c r="G1223" s="5">
        <v>3000000</v>
      </c>
      <c r="H1223" s="5">
        <v>5330000</v>
      </c>
      <c r="I1223" s="5">
        <v>5630000</v>
      </c>
      <c r="J1223" s="5">
        <v>53800000</v>
      </c>
      <c r="K1223" s="5">
        <v>56800000</v>
      </c>
      <c r="L1223" s="3">
        <v>0.97916666666666663</v>
      </c>
    </row>
    <row r="1224" spans="1:12" x14ac:dyDescent="0.25">
      <c r="A1224" s="2">
        <v>44176</v>
      </c>
      <c r="B1224" s="2">
        <v>44147</v>
      </c>
      <c r="C1224" t="s">
        <v>20</v>
      </c>
      <c r="D1224" t="s">
        <v>1636</v>
      </c>
      <c r="E1224" s="5">
        <v>53700000</v>
      </c>
      <c r="F1224" s="5">
        <v>56700000</v>
      </c>
      <c r="G1224" s="5">
        <v>3000000</v>
      </c>
      <c r="H1224" s="5">
        <v>5370000</v>
      </c>
      <c r="I1224" s="5">
        <v>5670000</v>
      </c>
      <c r="J1224" s="5">
        <v>54200000</v>
      </c>
      <c r="K1224" s="5">
        <v>57200000</v>
      </c>
      <c r="L1224" s="3">
        <v>0.97916666666666663</v>
      </c>
    </row>
    <row r="1225" spans="1:12" x14ac:dyDescent="0.25">
      <c r="A1225" t="s">
        <v>760</v>
      </c>
      <c r="B1225" s="2">
        <v>44148</v>
      </c>
      <c r="C1225" t="s">
        <v>21</v>
      </c>
      <c r="D1225" t="s">
        <v>1636</v>
      </c>
      <c r="E1225" s="5">
        <v>54100000</v>
      </c>
      <c r="F1225" s="5">
        <v>57100000</v>
      </c>
      <c r="G1225" s="5">
        <v>3000000</v>
      </c>
      <c r="H1225" s="5">
        <v>5410000</v>
      </c>
      <c r="I1225" s="5">
        <v>5710000</v>
      </c>
      <c r="J1225" s="5">
        <v>54600000</v>
      </c>
      <c r="K1225" s="5">
        <v>57600000</v>
      </c>
      <c r="L1225" s="3">
        <v>0.97916666666666663</v>
      </c>
    </row>
    <row r="1226" spans="1:12" x14ac:dyDescent="0.25">
      <c r="A1226" t="s">
        <v>761</v>
      </c>
      <c r="B1226" s="2">
        <v>44151</v>
      </c>
      <c r="C1226" t="s">
        <v>16</v>
      </c>
      <c r="D1226" t="s">
        <v>1636</v>
      </c>
      <c r="E1226" s="5">
        <v>54100000</v>
      </c>
      <c r="F1226" s="5">
        <v>57100000</v>
      </c>
      <c r="G1226" s="5">
        <v>3000000</v>
      </c>
      <c r="H1226" s="5">
        <v>5410000</v>
      </c>
      <c r="I1226" s="5">
        <v>5710000</v>
      </c>
      <c r="J1226" s="5">
        <v>54600000</v>
      </c>
      <c r="K1226" s="5">
        <v>57600000</v>
      </c>
      <c r="L1226" s="3">
        <v>0.97916666666666663</v>
      </c>
    </row>
    <row r="1227" spans="1:12" x14ac:dyDescent="0.25">
      <c r="A1227" t="s">
        <v>762</v>
      </c>
      <c r="B1227" s="2">
        <v>44152</v>
      </c>
      <c r="C1227" t="s">
        <v>18</v>
      </c>
      <c r="D1227" t="s">
        <v>1636</v>
      </c>
      <c r="E1227" s="5">
        <v>54100000</v>
      </c>
      <c r="F1227" s="5">
        <v>57100000</v>
      </c>
      <c r="G1227" s="5">
        <v>3000000</v>
      </c>
      <c r="H1227" s="5">
        <v>5410000</v>
      </c>
      <c r="I1227" s="5">
        <v>5710000</v>
      </c>
      <c r="J1227" s="5">
        <v>54600000</v>
      </c>
      <c r="K1227" s="5">
        <v>57600000</v>
      </c>
      <c r="L1227" s="3">
        <v>0.97916666666666663</v>
      </c>
    </row>
    <row r="1228" spans="1:12" x14ac:dyDescent="0.25">
      <c r="A1228" t="s">
        <v>763</v>
      </c>
      <c r="B1228" s="2">
        <v>44153</v>
      </c>
      <c r="C1228" t="s">
        <v>19</v>
      </c>
      <c r="D1228" t="s">
        <v>1636</v>
      </c>
      <c r="E1228" s="5">
        <v>53700000</v>
      </c>
      <c r="F1228" s="5">
        <v>56700000</v>
      </c>
      <c r="G1228" s="5">
        <v>3000000</v>
      </c>
      <c r="H1228" s="5">
        <v>5370000</v>
      </c>
      <c r="I1228" s="5">
        <v>5670000</v>
      </c>
      <c r="J1228" s="5">
        <v>54200000</v>
      </c>
      <c r="K1228" s="5">
        <v>57200000</v>
      </c>
      <c r="L1228" s="3">
        <v>0.97916666666666663</v>
      </c>
    </row>
    <row r="1229" spans="1:12" x14ac:dyDescent="0.25">
      <c r="A1229" t="s">
        <v>764</v>
      </c>
      <c r="B1229" s="2">
        <v>44154</v>
      </c>
      <c r="C1229" t="s">
        <v>20</v>
      </c>
      <c r="D1229" t="s">
        <v>1636</v>
      </c>
      <c r="E1229" s="5">
        <v>53300000</v>
      </c>
      <c r="F1229" s="5">
        <v>56300000</v>
      </c>
      <c r="G1229" s="5">
        <v>3000000</v>
      </c>
      <c r="H1229" s="5">
        <v>5330000</v>
      </c>
      <c r="I1229" s="5">
        <v>5630000</v>
      </c>
      <c r="J1229" s="5">
        <v>53800000</v>
      </c>
      <c r="K1229" s="5">
        <v>56800000</v>
      </c>
      <c r="L1229" s="3">
        <v>0.97916666666666663</v>
      </c>
    </row>
    <row r="1230" spans="1:12" x14ac:dyDescent="0.25">
      <c r="A1230" t="s">
        <v>765</v>
      </c>
      <c r="B1230" s="2">
        <v>44155</v>
      </c>
      <c r="C1230" t="s">
        <v>21</v>
      </c>
      <c r="D1230" t="s">
        <v>1636</v>
      </c>
      <c r="E1230" s="5">
        <v>53700000</v>
      </c>
      <c r="F1230" s="5">
        <v>56700000</v>
      </c>
      <c r="G1230" s="5">
        <v>3000000</v>
      </c>
      <c r="H1230" s="5">
        <v>5370000</v>
      </c>
      <c r="I1230" s="5">
        <v>5670000</v>
      </c>
      <c r="J1230" s="5">
        <v>54200000</v>
      </c>
      <c r="K1230" s="5">
        <v>57200000</v>
      </c>
      <c r="L1230" s="3">
        <v>0.97916666666666663</v>
      </c>
    </row>
    <row r="1231" spans="1:12" x14ac:dyDescent="0.25">
      <c r="A1231" t="s">
        <v>766</v>
      </c>
      <c r="B1231" s="2">
        <v>44158</v>
      </c>
      <c r="C1231" t="s">
        <v>16</v>
      </c>
      <c r="D1231" t="s">
        <v>1636</v>
      </c>
      <c r="E1231" s="5">
        <v>52600000</v>
      </c>
      <c r="F1231" s="5">
        <v>55600000</v>
      </c>
      <c r="G1231" s="5">
        <v>3000000</v>
      </c>
      <c r="H1231" s="5">
        <v>5260000</v>
      </c>
      <c r="I1231" s="5">
        <v>5560000</v>
      </c>
      <c r="J1231" s="5">
        <v>53100000</v>
      </c>
      <c r="K1231" s="5">
        <v>56100000</v>
      </c>
      <c r="L1231" s="3">
        <v>0.97916666666666663</v>
      </c>
    </row>
    <row r="1232" spans="1:12" x14ac:dyDescent="0.25">
      <c r="A1232" t="s">
        <v>767</v>
      </c>
      <c r="B1232" s="2">
        <v>44159</v>
      </c>
      <c r="C1232" t="s">
        <v>18</v>
      </c>
      <c r="D1232" t="s">
        <v>1636</v>
      </c>
      <c r="E1232" s="5">
        <v>51600000</v>
      </c>
      <c r="F1232" s="5">
        <v>54600000</v>
      </c>
      <c r="G1232" s="5">
        <v>3000000</v>
      </c>
      <c r="H1232" s="5">
        <v>5160000</v>
      </c>
      <c r="I1232" s="5">
        <v>5460000</v>
      </c>
      <c r="J1232" s="5">
        <v>52100000</v>
      </c>
      <c r="K1232" s="5">
        <v>55100000</v>
      </c>
      <c r="L1232" s="3">
        <v>0.97916666666666663</v>
      </c>
    </row>
    <row r="1233" spans="1:12" x14ac:dyDescent="0.25">
      <c r="A1233" t="s">
        <v>768</v>
      </c>
      <c r="B1233" s="2">
        <v>44160</v>
      </c>
      <c r="C1233" t="s">
        <v>19</v>
      </c>
      <c r="D1233" t="s">
        <v>1636</v>
      </c>
      <c r="E1233" s="5">
        <v>51700000</v>
      </c>
      <c r="F1233" s="5">
        <v>54700000</v>
      </c>
      <c r="G1233" s="5">
        <v>3000000</v>
      </c>
      <c r="H1233" s="5">
        <v>5170000</v>
      </c>
      <c r="I1233" s="5">
        <v>5470000</v>
      </c>
      <c r="J1233" s="5">
        <v>52200000</v>
      </c>
      <c r="K1233" s="5">
        <v>55200000</v>
      </c>
      <c r="L1233" s="3">
        <v>0.97916666666666663</v>
      </c>
    </row>
    <row r="1234" spans="1:12" x14ac:dyDescent="0.25">
      <c r="A1234" t="s">
        <v>769</v>
      </c>
      <c r="B1234" s="2">
        <v>44162</v>
      </c>
      <c r="C1234" t="s">
        <v>21</v>
      </c>
      <c r="D1234" t="s">
        <v>1636</v>
      </c>
      <c r="E1234" s="5">
        <v>50900000</v>
      </c>
      <c r="F1234" s="5">
        <v>53900000</v>
      </c>
      <c r="G1234" s="5">
        <v>3000000</v>
      </c>
      <c r="H1234" s="5">
        <v>5090000</v>
      </c>
      <c r="I1234" s="5">
        <v>5390000</v>
      </c>
      <c r="J1234" s="5">
        <v>51400000</v>
      </c>
      <c r="K1234" s="5">
        <v>54400000</v>
      </c>
      <c r="L1234" s="3">
        <v>0.97916666666666663</v>
      </c>
    </row>
    <row r="1235" spans="1:12" x14ac:dyDescent="0.25">
      <c r="A1235" t="s">
        <v>770</v>
      </c>
      <c r="B1235" s="2">
        <v>44165</v>
      </c>
      <c r="C1235" t="s">
        <v>16</v>
      </c>
      <c r="D1235" t="s">
        <v>1636</v>
      </c>
      <c r="E1235" s="5">
        <v>50800000</v>
      </c>
      <c r="F1235" s="5">
        <v>53800000</v>
      </c>
      <c r="G1235" s="5">
        <v>3000000</v>
      </c>
      <c r="H1235" s="5">
        <v>5080000</v>
      </c>
      <c r="I1235" s="5">
        <v>5380000</v>
      </c>
      <c r="J1235" s="5">
        <v>51300000</v>
      </c>
      <c r="K1235" s="5">
        <v>54300000</v>
      </c>
      <c r="L1235" s="3">
        <v>0.97916666666666663</v>
      </c>
    </row>
    <row r="1236" spans="1:12" x14ac:dyDescent="0.25">
      <c r="A1236" s="2">
        <v>43842</v>
      </c>
      <c r="B1236" s="2">
        <v>44166</v>
      </c>
      <c r="C1236" t="s">
        <v>18</v>
      </c>
      <c r="D1236" t="s">
        <v>1636</v>
      </c>
      <c r="E1236" s="5">
        <v>51900000</v>
      </c>
      <c r="F1236" s="5">
        <v>54900000</v>
      </c>
      <c r="G1236" s="5">
        <v>3000000</v>
      </c>
      <c r="H1236" s="5">
        <v>5190000</v>
      </c>
      <c r="I1236" s="5">
        <v>5490000</v>
      </c>
      <c r="J1236" s="5">
        <v>52400000</v>
      </c>
      <c r="K1236" s="5">
        <v>55400000</v>
      </c>
      <c r="L1236" s="3">
        <v>0.97916666666666663</v>
      </c>
    </row>
    <row r="1237" spans="1:12" x14ac:dyDescent="0.25">
      <c r="A1237" s="2">
        <v>43873</v>
      </c>
      <c r="B1237" s="2">
        <v>44167</v>
      </c>
      <c r="C1237" t="s">
        <v>19</v>
      </c>
      <c r="D1237" t="s">
        <v>1636</v>
      </c>
      <c r="E1237" s="5">
        <v>52300000</v>
      </c>
      <c r="F1237" s="5">
        <v>55300000</v>
      </c>
      <c r="G1237" s="5">
        <v>3000000</v>
      </c>
      <c r="H1237" s="5">
        <v>5230000</v>
      </c>
      <c r="I1237" s="5">
        <v>5530000</v>
      </c>
      <c r="J1237" s="5">
        <v>52800000</v>
      </c>
      <c r="K1237" s="5">
        <v>55800000</v>
      </c>
      <c r="L1237" s="3">
        <v>0.97916666666666663</v>
      </c>
    </row>
    <row r="1238" spans="1:12" x14ac:dyDescent="0.25">
      <c r="A1238" s="2">
        <v>43902</v>
      </c>
      <c r="B1238" s="2">
        <v>44168</v>
      </c>
      <c r="C1238" t="s">
        <v>20</v>
      </c>
      <c r="D1238" t="s">
        <v>1636</v>
      </c>
      <c r="E1238" s="5">
        <v>52600000</v>
      </c>
      <c r="F1238" s="5">
        <v>55600000</v>
      </c>
      <c r="G1238" s="5">
        <v>3000000</v>
      </c>
      <c r="H1238" s="5">
        <v>5260000</v>
      </c>
      <c r="I1238" s="5">
        <v>5560000</v>
      </c>
      <c r="J1238" s="5">
        <v>53100000</v>
      </c>
      <c r="K1238" s="5">
        <v>56100000</v>
      </c>
      <c r="L1238" s="3">
        <v>0.97916666666666663</v>
      </c>
    </row>
    <row r="1239" spans="1:12" x14ac:dyDescent="0.25">
      <c r="A1239" s="2">
        <v>43933</v>
      </c>
      <c r="B1239" s="2">
        <v>44169</v>
      </c>
      <c r="C1239" t="s">
        <v>21</v>
      </c>
      <c r="D1239" t="s">
        <v>1636</v>
      </c>
      <c r="E1239" s="5">
        <v>52600000</v>
      </c>
      <c r="F1239" s="5">
        <v>55600000</v>
      </c>
      <c r="G1239" s="5">
        <v>3000000</v>
      </c>
      <c r="H1239" s="5">
        <v>5260000</v>
      </c>
      <c r="I1239" s="5">
        <v>5560000</v>
      </c>
      <c r="J1239" s="5">
        <v>53100000</v>
      </c>
      <c r="K1239" s="5">
        <v>56100000</v>
      </c>
      <c r="L1239" s="3">
        <v>0.97916666666666663</v>
      </c>
    </row>
    <row r="1240" spans="1:12" x14ac:dyDescent="0.25">
      <c r="A1240" s="2">
        <v>44024</v>
      </c>
      <c r="B1240" s="2">
        <v>44172</v>
      </c>
      <c r="C1240" t="s">
        <v>16</v>
      </c>
      <c r="D1240" t="s">
        <v>1636</v>
      </c>
      <c r="E1240" s="5">
        <v>53400000</v>
      </c>
      <c r="F1240" s="5">
        <v>56400000</v>
      </c>
      <c r="G1240" s="5">
        <v>3000000</v>
      </c>
      <c r="H1240" s="5">
        <v>5340000</v>
      </c>
      <c r="I1240" s="5">
        <v>5640000</v>
      </c>
      <c r="J1240" s="5">
        <v>53900000</v>
      </c>
      <c r="K1240" s="5">
        <v>56900000</v>
      </c>
      <c r="L1240" s="3">
        <v>0.97916666666666663</v>
      </c>
    </row>
    <row r="1241" spans="1:12" x14ac:dyDescent="0.25">
      <c r="A1241" s="2">
        <v>44055</v>
      </c>
      <c r="B1241" s="2">
        <v>44173</v>
      </c>
      <c r="C1241" t="s">
        <v>18</v>
      </c>
      <c r="D1241" t="s">
        <v>1636</v>
      </c>
      <c r="E1241" s="5">
        <v>53600000</v>
      </c>
      <c r="F1241" s="5">
        <v>56600000</v>
      </c>
      <c r="G1241" s="5">
        <v>3000000</v>
      </c>
      <c r="H1241" s="5">
        <v>5360000</v>
      </c>
      <c r="I1241" s="5">
        <v>5660000</v>
      </c>
      <c r="J1241" s="5">
        <v>54100000</v>
      </c>
      <c r="K1241" s="5">
        <v>57100000</v>
      </c>
      <c r="L1241" s="3">
        <v>0.97916666666666663</v>
      </c>
    </row>
    <row r="1242" spans="1:12" x14ac:dyDescent="0.25">
      <c r="A1242" s="2">
        <v>44086</v>
      </c>
      <c r="B1242" s="2">
        <v>44174</v>
      </c>
      <c r="C1242" t="s">
        <v>19</v>
      </c>
      <c r="D1242" t="s">
        <v>1636</v>
      </c>
      <c r="E1242" s="5">
        <v>52500000</v>
      </c>
      <c r="F1242" s="5">
        <v>55500000</v>
      </c>
      <c r="G1242" s="5">
        <v>3000000</v>
      </c>
      <c r="H1242" s="5">
        <v>5250000</v>
      </c>
      <c r="I1242" s="5">
        <v>5550000</v>
      </c>
      <c r="J1242" s="5">
        <v>53000000</v>
      </c>
      <c r="K1242" s="5">
        <v>56000000</v>
      </c>
      <c r="L1242" s="3">
        <v>0.97916666666666663</v>
      </c>
    </row>
    <row r="1243" spans="1:12" x14ac:dyDescent="0.25">
      <c r="A1243" s="2">
        <v>44116</v>
      </c>
      <c r="B1243" s="2">
        <v>44175</v>
      </c>
      <c r="C1243" t="s">
        <v>20</v>
      </c>
      <c r="D1243" t="s">
        <v>1636</v>
      </c>
      <c r="E1243" s="5">
        <v>52500000</v>
      </c>
      <c r="F1243" s="5">
        <v>55500000</v>
      </c>
      <c r="G1243" s="5">
        <v>3000000</v>
      </c>
      <c r="H1243" s="5">
        <v>5250000</v>
      </c>
      <c r="I1243" s="5">
        <v>5550000</v>
      </c>
      <c r="J1243" s="5">
        <v>53000000</v>
      </c>
      <c r="K1243" s="5">
        <v>56000000</v>
      </c>
      <c r="L1243" s="3">
        <v>0.97916666666666663</v>
      </c>
    </row>
    <row r="1244" spans="1:12" x14ac:dyDescent="0.25">
      <c r="A1244" s="2">
        <v>44147</v>
      </c>
      <c r="B1244" s="2">
        <v>44176</v>
      </c>
      <c r="C1244" t="s">
        <v>21</v>
      </c>
      <c r="D1244" t="s">
        <v>1636</v>
      </c>
      <c r="E1244" s="5">
        <v>52700000</v>
      </c>
      <c r="F1244" s="5">
        <v>55700000</v>
      </c>
      <c r="G1244" s="5">
        <v>3000000</v>
      </c>
      <c r="H1244" s="5">
        <v>5270000</v>
      </c>
      <c r="I1244" s="5">
        <v>5570000</v>
      </c>
      <c r="J1244" s="5">
        <v>53200000</v>
      </c>
      <c r="K1244" s="5">
        <v>56200000</v>
      </c>
      <c r="L1244" s="3">
        <v>0.97916666666666663</v>
      </c>
    </row>
    <row r="1245" spans="1:12" x14ac:dyDescent="0.25">
      <c r="A1245" t="s">
        <v>771</v>
      </c>
      <c r="B1245" s="2">
        <v>44179</v>
      </c>
      <c r="C1245" t="s">
        <v>16</v>
      </c>
      <c r="D1245" t="s">
        <v>1636</v>
      </c>
      <c r="E1245" s="5">
        <v>52400000</v>
      </c>
      <c r="F1245" s="5">
        <v>55400000</v>
      </c>
      <c r="G1245" s="5">
        <v>3000000</v>
      </c>
      <c r="H1245" s="5">
        <v>5240000</v>
      </c>
      <c r="I1245" s="5">
        <v>5540000</v>
      </c>
      <c r="J1245" s="5">
        <v>52900000</v>
      </c>
      <c r="K1245" s="5">
        <v>55900000</v>
      </c>
      <c r="L1245" s="3">
        <v>0.97916666666666663</v>
      </c>
    </row>
    <row r="1246" spans="1:12" x14ac:dyDescent="0.25">
      <c r="A1246" t="s">
        <v>772</v>
      </c>
      <c r="B1246" s="2">
        <v>44180</v>
      </c>
      <c r="C1246" t="s">
        <v>18</v>
      </c>
      <c r="D1246" t="s">
        <v>1636</v>
      </c>
      <c r="E1246" s="5">
        <v>53100000</v>
      </c>
      <c r="F1246" s="5">
        <v>56100000</v>
      </c>
      <c r="G1246" s="5">
        <v>3000000</v>
      </c>
      <c r="H1246" s="5">
        <v>5310000</v>
      </c>
      <c r="I1246" s="5">
        <v>5610000</v>
      </c>
      <c r="J1246" s="5">
        <v>53600000</v>
      </c>
      <c r="K1246" s="5">
        <v>56600000</v>
      </c>
      <c r="L1246" s="3">
        <v>0.97916666666666663</v>
      </c>
    </row>
    <row r="1247" spans="1:12" x14ac:dyDescent="0.25">
      <c r="A1247" t="s">
        <v>773</v>
      </c>
      <c r="B1247" s="2">
        <v>44181</v>
      </c>
      <c r="C1247" t="s">
        <v>19</v>
      </c>
      <c r="D1247" t="s">
        <v>1636</v>
      </c>
      <c r="E1247" s="5">
        <v>53200000</v>
      </c>
      <c r="F1247" s="5">
        <v>56200000</v>
      </c>
      <c r="G1247" s="5">
        <v>3000000</v>
      </c>
      <c r="H1247" s="5">
        <v>5320000</v>
      </c>
      <c r="I1247" s="5">
        <v>5620000</v>
      </c>
      <c r="J1247" s="5">
        <v>53700000</v>
      </c>
      <c r="K1247" s="5">
        <v>56700000</v>
      </c>
      <c r="L1247" s="3">
        <v>0.97916666666666663</v>
      </c>
    </row>
    <row r="1248" spans="1:12" x14ac:dyDescent="0.25">
      <c r="A1248" t="s">
        <v>774</v>
      </c>
      <c r="B1248" s="2">
        <v>44182</v>
      </c>
      <c r="C1248" t="s">
        <v>20</v>
      </c>
      <c r="D1248" t="s">
        <v>1636</v>
      </c>
      <c r="E1248" s="5">
        <v>54100000</v>
      </c>
      <c r="F1248" s="5">
        <v>57100000</v>
      </c>
      <c r="G1248" s="5">
        <v>3000000</v>
      </c>
      <c r="H1248" s="5">
        <v>5410000</v>
      </c>
      <c r="I1248" s="5">
        <v>5710000</v>
      </c>
      <c r="J1248" s="5">
        <v>54600000</v>
      </c>
      <c r="K1248" s="5">
        <v>57600000</v>
      </c>
      <c r="L1248" s="3">
        <v>0.97916666666666663</v>
      </c>
    </row>
    <row r="1249" spans="1:12" x14ac:dyDescent="0.25">
      <c r="A1249" t="s">
        <v>775</v>
      </c>
      <c r="B1249" s="2">
        <v>44183</v>
      </c>
      <c r="C1249" t="s">
        <v>21</v>
      </c>
      <c r="D1249" t="s">
        <v>1636</v>
      </c>
      <c r="E1249" s="5">
        <v>54100000</v>
      </c>
      <c r="F1249" s="5">
        <v>57100000</v>
      </c>
      <c r="G1249" s="5">
        <v>3000000</v>
      </c>
      <c r="H1249" s="5">
        <v>5410000</v>
      </c>
      <c r="I1249" s="5">
        <v>5710000</v>
      </c>
      <c r="J1249" s="5">
        <v>54600000</v>
      </c>
      <c r="K1249" s="5">
        <v>57600000</v>
      </c>
      <c r="L1249" s="3">
        <v>0.97916666666666663</v>
      </c>
    </row>
    <row r="1250" spans="1:12" x14ac:dyDescent="0.25">
      <c r="A1250" t="s">
        <v>776</v>
      </c>
      <c r="B1250" s="2">
        <v>44186</v>
      </c>
      <c r="C1250" t="s">
        <v>16</v>
      </c>
      <c r="D1250" t="s">
        <v>1636</v>
      </c>
      <c r="E1250" s="5">
        <v>53900000</v>
      </c>
      <c r="F1250" s="5">
        <v>56900000</v>
      </c>
      <c r="G1250" s="5">
        <v>3000000</v>
      </c>
      <c r="H1250" s="5">
        <v>5390000</v>
      </c>
      <c r="I1250" s="5">
        <v>5690000</v>
      </c>
      <c r="J1250" s="5">
        <v>54400000</v>
      </c>
      <c r="K1250" s="5">
        <v>57400000</v>
      </c>
      <c r="L1250" s="3">
        <v>0.97916666666666663</v>
      </c>
    </row>
    <row r="1251" spans="1:12" x14ac:dyDescent="0.25">
      <c r="A1251" t="s">
        <v>777</v>
      </c>
      <c r="B1251" s="2">
        <v>44187</v>
      </c>
      <c r="C1251" t="s">
        <v>18</v>
      </c>
      <c r="D1251" t="s">
        <v>1636</v>
      </c>
      <c r="E1251" s="5">
        <v>53500000</v>
      </c>
      <c r="F1251" s="5">
        <v>56500000</v>
      </c>
      <c r="G1251" s="5">
        <v>3000000</v>
      </c>
      <c r="H1251" s="5">
        <v>5350000</v>
      </c>
      <c r="I1251" s="5">
        <v>5650000</v>
      </c>
      <c r="J1251" s="5">
        <v>54000000</v>
      </c>
      <c r="K1251" s="5">
        <v>57000000</v>
      </c>
      <c r="L1251" s="3">
        <v>0.97916666666666663</v>
      </c>
    </row>
    <row r="1252" spans="1:12" x14ac:dyDescent="0.25">
      <c r="A1252" t="s">
        <v>778</v>
      </c>
      <c r="B1252" s="2">
        <v>44188</v>
      </c>
      <c r="C1252" t="s">
        <v>19</v>
      </c>
      <c r="D1252" t="s">
        <v>1636</v>
      </c>
      <c r="E1252" s="5">
        <v>53800000</v>
      </c>
      <c r="F1252" s="5">
        <v>56800000</v>
      </c>
      <c r="G1252" s="5">
        <v>3000000</v>
      </c>
      <c r="H1252" s="5">
        <v>5380000</v>
      </c>
      <c r="I1252" s="5">
        <v>5680000</v>
      </c>
      <c r="J1252" s="5">
        <v>54300000</v>
      </c>
      <c r="K1252" s="5">
        <v>57300000</v>
      </c>
      <c r="L1252" s="3">
        <v>0.97916666666666663</v>
      </c>
    </row>
    <row r="1253" spans="1:12" x14ac:dyDescent="0.25">
      <c r="A1253" t="s">
        <v>779</v>
      </c>
      <c r="B1253" s="2">
        <v>44189</v>
      </c>
      <c r="C1253" t="s">
        <v>20</v>
      </c>
      <c r="D1253" t="s">
        <v>1636</v>
      </c>
      <c r="E1253" s="5">
        <v>53900000</v>
      </c>
      <c r="F1253" s="5">
        <v>56900000</v>
      </c>
      <c r="G1253" s="5">
        <v>3000000</v>
      </c>
      <c r="H1253" s="5">
        <v>5390000</v>
      </c>
      <c r="I1253" s="5">
        <v>5690000</v>
      </c>
      <c r="J1253" s="5">
        <v>54400000</v>
      </c>
      <c r="K1253" s="5">
        <v>57400000</v>
      </c>
      <c r="L1253" s="3">
        <v>0.97916666666666663</v>
      </c>
    </row>
    <row r="1254" spans="1:12" x14ac:dyDescent="0.25">
      <c r="A1254" t="s">
        <v>780</v>
      </c>
      <c r="B1254" s="2">
        <v>44193</v>
      </c>
      <c r="C1254" t="s">
        <v>16</v>
      </c>
      <c r="D1254" t="s">
        <v>1636</v>
      </c>
      <c r="E1254" s="5">
        <v>53800000</v>
      </c>
      <c r="F1254" s="5">
        <v>56800000</v>
      </c>
      <c r="G1254" s="5">
        <v>3000000</v>
      </c>
      <c r="H1254" s="5">
        <v>5380000</v>
      </c>
      <c r="I1254" s="5">
        <v>5680000</v>
      </c>
      <c r="J1254" s="5">
        <v>54300000</v>
      </c>
      <c r="K1254" s="5">
        <v>57300000</v>
      </c>
      <c r="L1254" s="3">
        <v>0.97916666666666663</v>
      </c>
    </row>
    <row r="1255" spans="1:12" x14ac:dyDescent="0.25">
      <c r="A1255" t="s">
        <v>781</v>
      </c>
      <c r="B1255" s="2">
        <v>44194</v>
      </c>
      <c r="C1255" t="s">
        <v>18</v>
      </c>
      <c r="D1255" t="s">
        <v>1636</v>
      </c>
      <c r="E1255" s="5">
        <v>53900000</v>
      </c>
      <c r="F1255" s="5">
        <v>56900000</v>
      </c>
      <c r="G1255" s="5">
        <v>3000000</v>
      </c>
      <c r="H1255" s="5">
        <v>5390000</v>
      </c>
      <c r="I1255" s="5">
        <v>5690000</v>
      </c>
      <c r="J1255" s="5">
        <v>54400000</v>
      </c>
      <c r="K1255" s="5">
        <v>57400000</v>
      </c>
      <c r="L1255" s="3">
        <v>0.97916666666666663</v>
      </c>
    </row>
    <row r="1256" spans="1:12" x14ac:dyDescent="0.25">
      <c r="A1256" t="s">
        <v>782</v>
      </c>
      <c r="B1256" s="2">
        <v>44195</v>
      </c>
      <c r="C1256" t="s">
        <v>19</v>
      </c>
      <c r="D1256" t="s">
        <v>1636</v>
      </c>
      <c r="E1256" s="5">
        <v>54200000</v>
      </c>
      <c r="F1256" s="5">
        <v>57200000</v>
      </c>
      <c r="G1256" s="5">
        <v>3000000</v>
      </c>
      <c r="H1256" s="5">
        <v>5420000</v>
      </c>
      <c r="I1256" s="5">
        <v>5720000</v>
      </c>
      <c r="J1256" s="5">
        <v>54700000</v>
      </c>
      <c r="K1256" s="5">
        <v>57700000</v>
      </c>
      <c r="L1256" s="3">
        <v>0.97916666666666663</v>
      </c>
    </row>
    <row r="1257" spans="1:12" x14ac:dyDescent="0.25">
      <c r="A1257" t="s">
        <v>783</v>
      </c>
      <c r="B1257" s="2">
        <v>44196</v>
      </c>
      <c r="C1257" t="s">
        <v>20</v>
      </c>
      <c r="D1257" t="s">
        <v>1636</v>
      </c>
      <c r="E1257" s="5">
        <v>54300000</v>
      </c>
      <c r="F1257" s="5">
        <v>57300000</v>
      </c>
      <c r="G1257" s="5">
        <v>3000000</v>
      </c>
      <c r="H1257" s="5">
        <v>5430000</v>
      </c>
      <c r="I1257" s="5">
        <v>5730000</v>
      </c>
      <c r="J1257" s="5">
        <v>54800000</v>
      </c>
      <c r="K1257" s="5">
        <v>57800000</v>
      </c>
      <c r="L1257" s="3">
        <v>0.97916666666666663</v>
      </c>
    </row>
    <row r="1258" spans="1:12" x14ac:dyDescent="0.25">
      <c r="A1258" s="2">
        <v>44287</v>
      </c>
      <c r="B1258" s="2">
        <v>44200</v>
      </c>
      <c r="C1258" t="s">
        <v>16</v>
      </c>
      <c r="D1258" t="s">
        <v>1636</v>
      </c>
      <c r="E1258" s="5">
        <v>56300000</v>
      </c>
      <c r="F1258" s="5">
        <v>59300000</v>
      </c>
      <c r="G1258" s="5">
        <v>3000000</v>
      </c>
      <c r="H1258" s="5">
        <v>5630000</v>
      </c>
      <c r="I1258" s="5">
        <v>5930000</v>
      </c>
      <c r="J1258" s="5">
        <v>56800000</v>
      </c>
      <c r="K1258" s="5">
        <v>59800000</v>
      </c>
      <c r="L1258" s="3">
        <v>0.97916666666666663</v>
      </c>
    </row>
    <row r="1259" spans="1:12" x14ac:dyDescent="0.25">
      <c r="A1259" s="2">
        <v>44317</v>
      </c>
      <c r="B1259" s="2">
        <v>44201</v>
      </c>
      <c r="C1259" t="s">
        <v>18</v>
      </c>
      <c r="D1259" t="s">
        <v>1636</v>
      </c>
      <c r="E1259" s="5">
        <v>56600000</v>
      </c>
      <c r="F1259" s="5">
        <v>59600000</v>
      </c>
      <c r="G1259" s="5">
        <v>3000000</v>
      </c>
      <c r="H1259" s="5">
        <v>5660000</v>
      </c>
      <c r="I1259" s="5">
        <v>5960000</v>
      </c>
      <c r="J1259" s="5">
        <v>57100000</v>
      </c>
      <c r="K1259" s="5">
        <v>60100000</v>
      </c>
      <c r="L1259" s="3">
        <v>0.97916666666666663</v>
      </c>
    </row>
    <row r="1260" spans="1:12" x14ac:dyDescent="0.25">
      <c r="A1260" s="2">
        <v>44348</v>
      </c>
      <c r="B1260" s="2">
        <v>44202</v>
      </c>
      <c r="C1260" t="s">
        <v>19</v>
      </c>
      <c r="D1260" t="s">
        <v>1636</v>
      </c>
      <c r="E1260" s="5">
        <v>55200000</v>
      </c>
      <c r="F1260" s="5">
        <v>58200000</v>
      </c>
      <c r="G1260" s="5">
        <v>3000000</v>
      </c>
      <c r="H1260" s="5">
        <v>5520000</v>
      </c>
      <c r="I1260" s="5">
        <v>5820000</v>
      </c>
      <c r="J1260" s="5">
        <v>55700000</v>
      </c>
      <c r="K1260" s="5">
        <v>58700000</v>
      </c>
      <c r="L1260" s="3">
        <v>0.97916666666666663</v>
      </c>
    </row>
    <row r="1261" spans="1:12" x14ac:dyDescent="0.25">
      <c r="A1261" s="2">
        <v>44378</v>
      </c>
      <c r="B1261" s="2">
        <v>44203</v>
      </c>
      <c r="C1261" t="s">
        <v>20</v>
      </c>
      <c r="D1261" t="s">
        <v>1636</v>
      </c>
      <c r="E1261" s="5">
        <v>55300000</v>
      </c>
      <c r="F1261" s="5">
        <v>58300000</v>
      </c>
      <c r="G1261" s="5">
        <v>3000000</v>
      </c>
      <c r="H1261" s="5">
        <v>5530000</v>
      </c>
      <c r="I1261" s="5">
        <v>5830000</v>
      </c>
      <c r="J1261" s="5">
        <v>55800000</v>
      </c>
      <c r="K1261" s="5">
        <v>58800000</v>
      </c>
      <c r="L1261" s="3">
        <v>0.97916666666666663</v>
      </c>
    </row>
    <row r="1262" spans="1:12" x14ac:dyDescent="0.25">
      <c r="A1262" s="2">
        <v>44409</v>
      </c>
      <c r="B1262" s="2">
        <v>44204</v>
      </c>
      <c r="C1262" t="s">
        <v>21</v>
      </c>
      <c r="D1262" t="s">
        <v>1636</v>
      </c>
      <c r="E1262" s="5">
        <v>52900000</v>
      </c>
      <c r="F1262" s="5">
        <v>55900000</v>
      </c>
      <c r="G1262" s="5">
        <v>3000000</v>
      </c>
      <c r="H1262" s="5">
        <v>5290000</v>
      </c>
      <c r="I1262" s="5">
        <v>5590000</v>
      </c>
      <c r="J1262" s="5">
        <v>53400000</v>
      </c>
      <c r="K1262" s="5">
        <v>56400000</v>
      </c>
      <c r="L1262" s="3">
        <v>0.97916666666666663</v>
      </c>
    </row>
    <row r="1263" spans="1:12" x14ac:dyDescent="0.25">
      <c r="A1263" s="2">
        <v>44501</v>
      </c>
      <c r="B1263" s="2">
        <v>44207</v>
      </c>
      <c r="C1263" t="s">
        <v>16</v>
      </c>
      <c r="D1263" t="s">
        <v>1636</v>
      </c>
      <c r="E1263" s="5">
        <v>53400000</v>
      </c>
      <c r="F1263" s="5">
        <v>56400000</v>
      </c>
      <c r="G1263" s="5">
        <v>3000000</v>
      </c>
      <c r="H1263" s="5">
        <v>5340000</v>
      </c>
      <c r="I1263" s="5">
        <v>5640000</v>
      </c>
      <c r="J1263" s="5">
        <v>53900000</v>
      </c>
      <c r="K1263" s="5">
        <v>56900000</v>
      </c>
      <c r="L1263" s="3">
        <v>0.97916666666666663</v>
      </c>
    </row>
    <row r="1264" spans="1:12" x14ac:dyDescent="0.25">
      <c r="A1264" s="2">
        <v>44531</v>
      </c>
      <c r="B1264" s="2">
        <v>44208</v>
      </c>
      <c r="C1264" t="s">
        <v>18</v>
      </c>
      <c r="D1264" t="s">
        <v>1636</v>
      </c>
      <c r="E1264" s="5">
        <v>53200000</v>
      </c>
      <c r="F1264" s="5">
        <v>56200000</v>
      </c>
      <c r="G1264" s="5">
        <v>3000000</v>
      </c>
      <c r="H1264" s="5">
        <v>5320000</v>
      </c>
      <c r="I1264" s="5">
        <v>5620000</v>
      </c>
      <c r="J1264" s="5">
        <v>53700000</v>
      </c>
      <c r="K1264" s="5">
        <v>56700000</v>
      </c>
      <c r="L1264" s="3">
        <v>0.97916666666666663</v>
      </c>
    </row>
    <row r="1265" spans="1:12" x14ac:dyDescent="0.25">
      <c r="A1265" t="s">
        <v>784</v>
      </c>
      <c r="B1265" s="2">
        <v>44209</v>
      </c>
      <c r="C1265" t="s">
        <v>19</v>
      </c>
      <c r="D1265" t="s">
        <v>1636</v>
      </c>
      <c r="E1265" s="5">
        <v>53500000</v>
      </c>
      <c r="F1265" s="5">
        <v>56500000</v>
      </c>
      <c r="G1265" s="5">
        <v>3000000</v>
      </c>
      <c r="H1265" s="5">
        <v>5350000</v>
      </c>
      <c r="I1265" s="5">
        <v>5650000</v>
      </c>
      <c r="J1265" s="5">
        <v>54000000</v>
      </c>
      <c r="K1265" s="5">
        <v>57000000</v>
      </c>
      <c r="L1265" s="3">
        <v>0.97916666666666663</v>
      </c>
    </row>
    <row r="1266" spans="1:12" x14ac:dyDescent="0.25">
      <c r="A1266" t="s">
        <v>785</v>
      </c>
      <c r="B1266" s="2">
        <v>44210</v>
      </c>
      <c r="C1266" t="s">
        <v>20</v>
      </c>
      <c r="D1266" t="s">
        <v>1636</v>
      </c>
      <c r="E1266" s="5">
        <v>53400000</v>
      </c>
      <c r="F1266" s="5">
        <v>56400000</v>
      </c>
      <c r="G1266" s="5">
        <v>3000000</v>
      </c>
      <c r="H1266" s="5">
        <v>5340000</v>
      </c>
      <c r="I1266" s="5">
        <v>5640000</v>
      </c>
      <c r="J1266" s="5">
        <v>53900000</v>
      </c>
      <c r="K1266" s="5">
        <v>56900000</v>
      </c>
      <c r="L1266" s="3">
        <v>0.97916666666666663</v>
      </c>
    </row>
    <row r="1267" spans="1:12" x14ac:dyDescent="0.25">
      <c r="A1267" t="s">
        <v>786</v>
      </c>
      <c r="B1267" s="2">
        <v>44211</v>
      </c>
      <c r="C1267" t="s">
        <v>21</v>
      </c>
      <c r="D1267" t="s">
        <v>1636</v>
      </c>
      <c r="E1267" s="5">
        <v>52800000</v>
      </c>
      <c r="F1267" s="5">
        <v>55800000</v>
      </c>
      <c r="G1267" s="5">
        <v>3000000</v>
      </c>
      <c r="H1267" s="5">
        <v>5280000</v>
      </c>
      <c r="I1267" s="5">
        <v>5580000</v>
      </c>
      <c r="J1267" s="5">
        <v>53300000</v>
      </c>
      <c r="K1267" s="5">
        <v>56300000</v>
      </c>
      <c r="L1267" s="3">
        <v>0.97916666666666663</v>
      </c>
    </row>
    <row r="1268" spans="1:12" x14ac:dyDescent="0.25">
      <c r="A1268" t="s">
        <v>787</v>
      </c>
      <c r="B1268" s="2">
        <v>44215</v>
      </c>
      <c r="C1268" t="s">
        <v>18</v>
      </c>
      <c r="D1268" t="s">
        <v>1636</v>
      </c>
      <c r="E1268" s="5">
        <v>53100000</v>
      </c>
      <c r="F1268" s="5">
        <v>56100000</v>
      </c>
      <c r="G1268" s="5">
        <v>3000000</v>
      </c>
      <c r="H1268" s="5">
        <v>5310000</v>
      </c>
      <c r="I1268" s="5">
        <v>5610000</v>
      </c>
      <c r="J1268" s="5">
        <v>53600000</v>
      </c>
      <c r="K1268" s="5">
        <v>56600000</v>
      </c>
      <c r="L1268" s="3">
        <v>0.97916666666666663</v>
      </c>
    </row>
    <row r="1269" spans="1:12" x14ac:dyDescent="0.25">
      <c r="A1269" t="s">
        <v>788</v>
      </c>
      <c r="B1269" s="2">
        <v>44216</v>
      </c>
      <c r="C1269" t="s">
        <v>19</v>
      </c>
      <c r="D1269" t="s">
        <v>1636</v>
      </c>
      <c r="E1269" s="5">
        <v>53900000</v>
      </c>
      <c r="F1269" s="5">
        <v>56900000</v>
      </c>
      <c r="G1269" s="5">
        <v>3000000</v>
      </c>
      <c r="H1269" s="5">
        <v>5390000</v>
      </c>
      <c r="I1269" s="5">
        <v>5690000</v>
      </c>
      <c r="J1269" s="5">
        <v>54400000</v>
      </c>
      <c r="K1269" s="5">
        <v>57400000</v>
      </c>
      <c r="L1269" s="3">
        <v>0.97916666666666663</v>
      </c>
    </row>
    <row r="1270" spans="1:12" x14ac:dyDescent="0.25">
      <c r="A1270" t="s">
        <v>789</v>
      </c>
      <c r="B1270" s="2">
        <v>44217</v>
      </c>
      <c r="C1270" t="s">
        <v>20</v>
      </c>
      <c r="D1270" t="s">
        <v>1636</v>
      </c>
      <c r="E1270" s="5">
        <v>53900000</v>
      </c>
      <c r="F1270" s="5">
        <v>56900000</v>
      </c>
      <c r="G1270" s="5">
        <v>3000000</v>
      </c>
      <c r="H1270" s="5">
        <v>5390000</v>
      </c>
      <c r="I1270" s="5">
        <v>5690000</v>
      </c>
      <c r="J1270" s="5">
        <v>54400000</v>
      </c>
      <c r="K1270" s="5">
        <v>57400000</v>
      </c>
      <c r="L1270" s="3">
        <v>0.97916666666666663</v>
      </c>
    </row>
    <row r="1271" spans="1:12" x14ac:dyDescent="0.25">
      <c r="A1271" t="s">
        <v>790</v>
      </c>
      <c r="B1271" s="2">
        <v>44218</v>
      </c>
      <c r="C1271" t="s">
        <v>21</v>
      </c>
      <c r="D1271" t="s">
        <v>1636</v>
      </c>
      <c r="E1271" s="5">
        <v>53600000</v>
      </c>
      <c r="F1271" s="5">
        <v>56600000</v>
      </c>
      <c r="G1271" s="5">
        <v>3000000</v>
      </c>
      <c r="H1271" s="5">
        <v>5360000</v>
      </c>
      <c r="I1271" s="5">
        <v>5660000</v>
      </c>
      <c r="J1271" s="5">
        <v>54100000</v>
      </c>
      <c r="K1271" s="5">
        <v>57100000</v>
      </c>
      <c r="L1271" s="3">
        <v>0.97916666666666663</v>
      </c>
    </row>
    <row r="1272" spans="1:12" x14ac:dyDescent="0.25">
      <c r="A1272" t="s">
        <v>791</v>
      </c>
      <c r="B1272" s="2">
        <v>44221</v>
      </c>
      <c r="C1272" t="s">
        <v>16</v>
      </c>
      <c r="D1272" t="s">
        <v>1636</v>
      </c>
      <c r="E1272" s="5">
        <v>53600000</v>
      </c>
      <c r="F1272" s="5">
        <v>56600000</v>
      </c>
      <c r="G1272" s="5">
        <v>3000000</v>
      </c>
      <c r="H1272" s="5">
        <v>5360000</v>
      </c>
      <c r="I1272" s="5">
        <v>5660000</v>
      </c>
      <c r="J1272" s="5">
        <v>54100000</v>
      </c>
      <c r="K1272" s="5">
        <v>57100000</v>
      </c>
      <c r="L1272" s="3">
        <v>0.97916666666666663</v>
      </c>
    </row>
    <row r="1273" spans="1:12" x14ac:dyDescent="0.25">
      <c r="A1273" t="s">
        <v>792</v>
      </c>
      <c r="B1273" s="2">
        <v>44222</v>
      </c>
      <c r="C1273" t="s">
        <v>18</v>
      </c>
      <c r="D1273" t="s">
        <v>1636</v>
      </c>
      <c r="E1273" s="5">
        <v>53500000</v>
      </c>
      <c r="F1273" s="5">
        <v>56500000</v>
      </c>
      <c r="G1273" s="5">
        <v>3000000</v>
      </c>
      <c r="H1273" s="5">
        <v>5350000</v>
      </c>
      <c r="I1273" s="5">
        <v>5650000</v>
      </c>
      <c r="J1273" s="5">
        <v>54000000</v>
      </c>
      <c r="K1273" s="5">
        <v>57000000</v>
      </c>
      <c r="L1273" s="3">
        <v>0.97916666666666663</v>
      </c>
    </row>
    <row r="1274" spans="1:12" x14ac:dyDescent="0.25">
      <c r="A1274" t="s">
        <v>793</v>
      </c>
      <c r="B1274" s="2">
        <v>44223</v>
      </c>
      <c r="C1274" t="s">
        <v>19</v>
      </c>
      <c r="D1274" t="s">
        <v>1636</v>
      </c>
      <c r="E1274" s="5">
        <v>53300000</v>
      </c>
      <c r="F1274" s="5">
        <v>56300000</v>
      </c>
      <c r="G1274" s="5">
        <v>3000000</v>
      </c>
      <c r="H1274" s="5">
        <v>5330000</v>
      </c>
      <c r="I1274" s="5">
        <v>5630000</v>
      </c>
      <c r="J1274" s="5">
        <v>53800000</v>
      </c>
      <c r="K1274" s="5">
        <v>56800000</v>
      </c>
      <c r="L1274" s="3">
        <v>0.97916666666666663</v>
      </c>
    </row>
    <row r="1275" spans="1:12" x14ac:dyDescent="0.25">
      <c r="A1275" t="s">
        <v>794</v>
      </c>
      <c r="B1275" s="2">
        <v>44224</v>
      </c>
      <c r="C1275" t="s">
        <v>20</v>
      </c>
      <c r="D1275" t="s">
        <v>1636</v>
      </c>
      <c r="E1275" s="5">
        <v>53100000</v>
      </c>
      <c r="F1275" s="5">
        <v>56100000</v>
      </c>
      <c r="G1275" s="5">
        <v>3000000</v>
      </c>
      <c r="H1275" s="5">
        <v>5310000</v>
      </c>
      <c r="I1275" s="5">
        <v>5610000</v>
      </c>
      <c r="J1275" s="5">
        <v>53600000</v>
      </c>
      <c r="K1275" s="5">
        <v>56600000</v>
      </c>
      <c r="L1275" s="3">
        <v>0.97916666666666663</v>
      </c>
    </row>
    <row r="1276" spans="1:12" x14ac:dyDescent="0.25">
      <c r="A1276" t="s">
        <v>795</v>
      </c>
      <c r="B1276" s="2">
        <v>44225</v>
      </c>
      <c r="C1276" t="s">
        <v>21</v>
      </c>
      <c r="D1276" t="s">
        <v>1636</v>
      </c>
      <c r="E1276" s="5">
        <v>53300000</v>
      </c>
      <c r="F1276" s="5">
        <v>56300000</v>
      </c>
      <c r="G1276" s="5">
        <v>3000000</v>
      </c>
      <c r="H1276" s="5">
        <v>5330000</v>
      </c>
      <c r="I1276" s="5">
        <v>5630000</v>
      </c>
      <c r="J1276" s="5">
        <v>53800000</v>
      </c>
      <c r="K1276" s="5">
        <v>56800000</v>
      </c>
      <c r="L1276" s="3">
        <v>0.97916666666666663</v>
      </c>
    </row>
    <row r="1277" spans="1:12" x14ac:dyDescent="0.25">
      <c r="A1277" s="2">
        <v>44198</v>
      </c>
      <c r="B1277" s="2">
        <v>44228</v>
      </c>
      <c r="C1277" t="s">
        <v>16</v>
      </c>
      <c r="D1277" t="s">
        <v>1636</v>
      </c>
      <c r="E1277" s="5">
        <v>53800000</v>
      </c>
      <c r="F1277" s="5">
        <v>56800000</v>
      </c>
      <c r="G1277" s="5">
        <v>3000000</v>
      </c>
      <c r="H1277" s="5">
        <v>5380000</v>
      </c>
      <c r="I1277" s="5">
        <v>5680000</v>
      </c>
      <c r="J1277" s="5">
        <v>54300000</v>
      </c>
      <c r="K1277" s="5">
        <v>57300000</v>
      </c>
      <c r="L1277" s="3">
        <v>0.97916666666666663</v>
      </c>
    </row>
    <row r="1278" spans="1:12" x14ac:dyDescent="0.25">
      <c r="A1278" s="2">
        <v>44229</v>
      </c>
      <c r="B1278" s="2">
        <v>44229</v>
      </c>
      <c r="C1278" t="s">
        <v>18</v>
      </c>
      <c r="D1278" t="s">
        <v>1636</v>
      </c>
      <c r="E1278" s="5">
        <v>52800000</v>
      </c>
      <c r="F1278" s="5">
        <v>55800000</v>
      </c>
      <c r="G1278" s="5">
        <v>3000000</v>
      </c>
      <c r="H1278" s="5">
        <v>5280000</v>
      </c>
      <c r="I1278" s="5">
        <v>5580000</v>
      </c>
      <c r="J1278" s="5">
        <v>53300000</v>
      </c>
      <c r="K1278" s="5">
        <v>56300000</v>
      </c>
      <c r="L1278" s="3">
        <v>0.97916666666666663</v>
      </c>
    </row>
    <row r="1279" spans="1:12" x14ac:dyDescent="0.25">
      <c r="A1279" s="2">
        <v>44257</v>
      </c>
      <c r="B1279" s="2">
        <v>44230</v>
      </c>
      <c r="C1279" t="s">
        <v>19</v>
      </c>
      <c r="D1279" t="s">
        <v>1636</v>
      </c>
      <c r="E1279" s="5">
        <v>52900000</v>
      </c>
      <c r="F1279" s="5">
        <v>55900000</v>
      </c>
      <c r="G1279" s="5">
        <v>3000000</v>
      </c>
      <c r="H1279" s="5">
        <v>5290000</v>
      </c>
      <c r="I1279" s="5">
        <v>5590000</v>
      </c>
      <c r="J1279" s="5">
        <v>53400000</v>
      </c>
      <c r="K1279" s="5">
        <v>56400000</v>
      </c>
      <c r="L1279" s="3">
        <v>0.97916666666666663</v>
      </c>
    </row>
    <row r="1280" spans="1:12" x14ac:dyDescent="0.25">
      <c r="A1280" s="2">
        <v>44288</v>
      </c>
      <c r="B1280" s="2">
        <v>44231</v>
      </c>
      <c r="C1280" t="s">
        <v>20</v>
      </c>
      <c r="D1280" t="s">
        <v>1636</v>
      </c>
      <c r="E1280" s="5">
        <v>51600000</v>
      </c>
      <c r="F1280" s="5">
        <v>54600000</v>
      </c>
      <c r="G1280" s="5">
        <v>3000000</v>
      </c>
      <c r="H1280" s="5">
        <v>5160000</v>
      </c>
      <c r="I1280" s="5">
        <v>5460000</v>
      </c>
      <c r="J1280" s="5">
        <v>52100000</v>
      </c>
      <c r="K1280" s="5">
        <v>55100000</v>
      </c>
      <c r="L1280" s="3">
        <v>0.97916666666666663</v>
      </c>
    </row>
    <row r="1281" spans="1:12" x14ac:dyDescent="0.25">
      <c r="A1281" s="2">
        <v>44318</v>
      </c>
      <c r="B1281" s="2">
        <v>44232</v>
      </c>
      <c r="C1281" t="s">
        <v>21</v>
      </c>
      <c r="D1281" t="s">
        <v>1636</v>
      </c>
      <c r="E1281" s="5">
        <v>52200000</v>
      </c>
      <c r="F1281" s="5">
        <v>55200000</v>
      </c>
      <c r="G1281" s="5">
        <v>3000000</v>
      </c>
      <c r="H1281" s="5">
        <v>5220000</v>
      </c>
      <c r="I1281" s="5">
        <v>5520000</v>
      </c>
      <c r="J1281" s="5">
        <v>52700000</v>
      </c>
      <c r="K1281" s="5">
        <v>55700000</v>
      </c>
      <c r="L1281" s="3">
        <v>0.97916666666666663</v>
      </c>
    </row>
    <row r="1282" spans="1:12" x14ac:dyDescent="0.25">
      <c r="A1282" s="2">
        <v>44410</v>
      </c>
      <c r="B1282" s="2">
        <v>44235</v>
      </c>
      <c r="C1282" t="s">
        <v>16</v>
      </c>
      <c r="D1282" t="s">
        <v>1636</v>
      </c>
      <c r="E1282" s="5">
        <v>52900000</v>
      </c>
      <c r="F1282" s="5">
        <v>55900000</v>
      </c>
      <c r="G1282" s="5">
        <v>3000000</v>
      </c>
      <c r="H1282" s="5">
        <v>5290000</v>
      </c>
      <c r="I1282" s="5">
        <v>5590000</v>
      </c>
      <c r="J1282" s="5">
        <v>53400000</v>
      </c>
      <c r="K1282" s="5">
        <v>56400000</v>
      </c>
      <c r="L1282" s="3">
        <v>0.97916666666666663</v>
      </c>
    </row>
    <row r="1283" spans="1:12" x14ac:dyDescent="0.25">
      <c r="A1283" s="2">
        <v>44441</v>
      </c>
      <c r="B1283" s="2">
        <v>44236</v>
      </c>
      <c r="C1283" t="s">
        <v>18</v>
      </c>
      <c r="D1283" t="s">
        <v>1636</v>
      </c>
      <c r="E1283" s="5">
        <v>53000000</v>
      </c>
      <c r="F1283" s="5">
        <v>56000000</v>
      </c>
      <c r="G1283" s="5">
        <v>3000000</v>
      </c>
      <c r="H1283" s="5">
        <v>5300000</v>
      </c>
      <c r="I1283" s="5">
        <v>5600000</v>
      </c>
      <c r="J1283" s="5">
        <v>53500000</v>
      </c>
      <c r="K1283" s="5">
        <v>56500000</v>
      </c>
      <c r="L1283" s="3">
        <v>0.97916666666666663</v>
      </c>
    </row>
    <row r="1284" spans="1:12" x14ac:dyDescent="0.25">
      <c r="A1284" s="2">
        <v>44471</v>
      </c>
      <c r="B1284" s="2">
        <v>44237</v>
      </c>
      <c r="C1284" t="s">
        <v>19</v>
      </c>
      <c r="D1284" t="s">
        <v>1636</v>
      </c>
      <c r="E1284" s="5">
        <v>53100000</v>
      </c>
      <c r="F1284" s="5">
        <v>56100000</v>
      </c>
      <c r="G1284" s="5">
        <v>3000000</v>
      </c>
      <c r="H1284" s="5">
        <v>5310000</v>
      </c>
      <c r="I1284" s="5">
        <v>5610000</v>
      </c>
      <c r="J1284" s="5">
        <v>53600000</v>
      </c>
      <c r="K1284" s="5">
        <v>56600000</v>
      </c>
      <c r="L1284" s="3">
        <v>0.97916666666666663</v>
      </c>
    </row>
    <row r="1285" spans="1:12" x14ac:dyDescent="0.25">
      <c r="A1285" s="2">
        <v>44502</v>
      </c>
      <c r="B1285" s="2">
        <v>44238</v>
      </c>
      <c r="C1285" t="s">
        <v>20</v>
      </c>
      <c r="D1285" t="s">
        <v>1636</v>
      </c>
      <c r="E1285" s="5">
        <v>52700000</v>
      </c>
      <c r="F1285" s="5">
        <v>55700000</v>
      </c>
      <c r="G1285" s="5">
        <v>3000000</v>
      </c>
      <c r="H1285" s="5">
        <v>5270000</v>
      </c>
      <c r="I1285" s="5">
        <v>5570000</v>
      </c>
      <c r="J1285" s="5">
        <v>53200000</v>
      </c>
      <c r="K1285" s="5">
        <v>56200000</v>
      </c>
      <c r="L1285" s="3">
        <v>0.97916666666666663</v>
      </c>
    </row>
    <row r="1286" spans="1:12" x14ac:dyDescent="0.25">
      <c r="A1286" s="2">
        <v>44532</v>
      </c>
      <c r="B1286" s="2">
        <v>44239</v>
      </c>
      <c r="C1286" t="s">
        <v>21</v>
      </c>
      <c r="D1286" t="s">
        <v>1636</v>
      </c>
      <c r="E1286" s="5">
        <v>52600000</v>
      </c>
      <c r="F1286" s="5">
        <v>55600000</v>
      </c>
      <c r="G1286" s="5">
        <v>3000000</v>
      </c>
      <c r="H1286" s="5">
        <v>5260000</v>
      </c>
      <c r="I1286" s="5">
        <v>5560000</v>
      </c>
      <c r="J1286" s="5">
        <v>53100000</v>
      </c>
      <c r="K1286" s="5">
        <v>56100000</v>
      </c>
      <c r="L1286" s="3">
        <v>0.97916666666666663</v>
      </c>
    </row>
    <row r="1287" spans="1:12" x14ac:dyDescent="0.25">
      <c r="A1287" t="s">
        <v>796</v>
      </c>
      <c r="B1287" s="2">
        <v>44243</v>
      </c>
      <c r="C1287" t="s">
        <v>18</v>
      </c>
      <c r="D1287" t="s">
        <v>1636</v>
      </c>
      <c r="E1287" s="5">
        <v>51800000</v>
      </c>
      <c r="F1287" s="5">
        <v>54800000</v>
      </c>
      <c r="G1287" s="5">
        <v>3000000</v>
      </c>
      <c r="H1287" s="5">
        <v>5180000</v>
      </c>
      <c r="I1287" s="5">
        <v>5480000</v>
      </c>
      <c r="J1287" s="5">
        <v>52300000</v>
      </c>
      <c r="K1287" s="5">
        <v>55300000</v>
      </c>
      <c r="L1287" s="3">
        <v>0.97916666666666663</v>
      </c>
    </row>
    <row r="1288" spans="1:12" x14ac:dyDescent="0.25">
      <c r="A1288" t="s">
        <v>797</v>
      </c>
      <c r="B1288" s="2">
        <v>44244</v>
      </c>
      <c r="C1288" t="s">
        <v>19</v>
      </c>
      <c r="D1288" t="s">
        <v>1636</v>
      </c>
      <c r="E1288" s="5">
        <v>51000000</v>
      </c>
      <c r="F1288" s="5">
        <v>54000000</v>
      </c>
      <c r="G1288" s="5">
        <v>3000000</v>
      </c>
      <c r="H1288" s="5">
        <v>5100000</v>
      </c>
      <c r="I1288" s="5">
        <v>5400000</v>
      </c>
      <c r="J1288" s="5">
        <v>51500000</v>
      </c>
      <c r="K1288" s="5">
        <v>54500000</v>
      </c>
      <c r="L1288" s="3">
        <v>0.97916666666666663</v>
      </c>
    </row>
    <row r="1289" spans="1:12" x14ac:dyDescent="0.25">
      <c r="A1289" t="s">
        <v>798</v>
      </c>
      <c r="B1289" s="2">
        <v>44245</v>
      </c>
      <c r="C1289" t="s">
        <v>20</v>
      </c>
      <c r="D1289" t="s">
        <v>1636</v>
      </c>
      <c r="E1289" s="5">
        <v>51100000</v>
      </c>
      <c r="F1289" s="5">
        <v>54100000</v>
      </c>
      <c r="G1289" s="5">
        <v>3000000</v>
      </c>
      <c r="H1289" s="5">
        <v>5110000</v>
      </c>
      <c r="I1289" s="5">
        <v>5410000</v>
      </c>
      <c r="J1289" s="5">
        <v>51600000</v>
      </c>
      <c r="K1289" s="5">
        <v>54600000</v>
      </c>
      <c r="L1289" s="3">
        <v>0.97916666666666663</v>
      </c>
    </row>
    <row r="1290" spans="1:12" x14ac:dyDescent="0.25">
      <c r="A1290" t="s">
        <v>799</v>
      </c>
      <c r="B1290" s="2">
        <v>44246</v>
      </c>
      <c r="C1290" t="s">
        <v>21</v>
      </c>
      <c r="D1290" t="s">
        <v>1636</v>
      </c>
      <c r="E1290" s="5">
        <v>51200000</v>
      </c>
      <c r="F1290" s="5">
        <v>54200000</v>
      </c>
      <c r="G1290" s="5">
        <v>3000000</v>
      </c>
      <c r="H1290" s="5">
        <v>5120000</v>
      </c>
      <c r="I1290" s="5">
        <v>5420000</v>
      </c>
      <c r="J1290" s="5">
        <v>51700000</v>
      </c>
      <c r="K1290" s="5">
        <v>54700000</v>
      </c>
      <c r="L1290" s="3">
        <v>0.97916666666666663</v>
      </c>
    </row>
    <row r="1291" spans="1:12" x14ac:dyDescent="0.25">
      <c r="A1291" t="s">
        <v>800</v>
      </c>
      <c r="B1291" s="2">
        <v>44249</v>
      </c>
      <c r="C1291" t="s">
        <v>16</v>
      </c>
      <c r="D1291" t="s">
        <v>1636</v>
      </c>
      <c r="E1291" s="5">
        <v>52100000</v>
      </c>
      <c r="F1291" s="5">
        <v>55100000</v>
      </c>
      <c r="G1291" s="5">
        <v>3000000</v>
      </c>
      <c r="H1291" s="5">
        <v>5210000</v>
      </c>
      <c r="I1291" s="5">
        <v>5510000</v>
      </c>
      <c r="J1291" s="5">
        <v>52600000</v>
      </c>
      <c r="K1291" s="5">
        <v>55600000</v>
      </c>
      <c r="L1291" s="3">
        <v>0.97916666666666663</v>
      </c>
    </row>
    <row r="1292" spans="1:12" x14ac:dyDescent="0.25">
      <c r="A1292" t="s">
        <v>801</v>
      </c>
      <c r="B1292" s="2">
        <v>44250</v>
      </c>
      <c r="C1292" t="s">
        <v>18</v>
      </c>
      <c r="D1292" t="s">
        <v>1636</v>
      </c>
      <c r="E1292" s="5">
        <v>52000000</v>
      </c>
      <c r="F1292" s="5">
        <v>55000000</v>
      </c>
      <c r="G1292" s="5">
        <v>3000000</v>
      </c>
      <c r="H1292" s="5">
        <v>5200000</v>
      </c>
      <c r="I1292" s="5">
        <v>5500000</v>
      </c>
      <c r="J1292" s="5">
        <v>52500000</v>
      </c>
      <c r="K1292" s="5">
        <v>55500000</v>
      </c>
      <c r="L1292" s="3">
        <v>0.97916666666666663</v>
      </c>
    </row>
    <row r="1293" spans="1:12" x14ac:dyDescent="0.25">
      <c r="A1293" t="s">
        <v>802</v>
      </c>
      <c r="B1293" s="2">
        <v>44251</v>
      </c>
      <c r="C1293" t="s">
        <v>19</v>
      </c>
      <c r="D1293" t="s">
        <v>1636</v>
      </c>
      <c r="E1293" s="5">
        <v>51800000</v>
      </c>
      <c r="F1293" s="5">
        <v>54800000</v>
      </c>
      <c r="G1293" s="5">
        <v>3000000</v>
      </c>
      <c r="H1293" s="5">
        <v>5180000</v>
      </c>
      <c r="I1293" s="5">
        <v>5480000</v>
      </c>
      <c r="J1293" s="5">
        <v>52300000</v>
      </c>
      <c r="K1293" s="5">
        <v>55300000</v>
      </c>
      <c r="L1293" s="3">
        <v>0.97916666666666663</v>
      </c>
    </row>
    <row r="1294" spans="1:12" x14ac:dyDescent="0.25">
      <c r="A1294" t="s">
        <v>803</v>
      </c>
      <c r="B1294" s="2">
        <v>44252</v>
      </c>
      <c r="C1294" t="s">
        <v>20</v>
      </c>
      <c r="D1294" t="s">
        <v>1636</v>
      </c>
      <c r="E1294" s="5">
        <v>51100000</v>
      </c>
      <c r="F1294" s="5">
        <v>54100000</v>
      </c>
      <c r="G1294" s="5">
        <v>3000000</v>
      </c>
      <c r="H1294" s="5">
        <v>5110000</v>
      </c>
      <c r="I1294" s="5">
        <v>5410000</v>
      </c>
      <c r="J1294" s="5">
        <v>51600000</v>
      </c>
      <c r="K1294" s="5">
        <v>54600000</v>
      </c>
      <c r="L1294" s="3">
        <v>0.97916666666666663</v>
      </c>
    </row>
    <row r="1295" spans="1:12" x14ac:dyDescent="0.25">
      <c r="A1295" t="s">
        <v>804</v>
      </c>
      <c r="B1295" s="2">
        <v>44253</v>
      </c>
      <c r="C1295" t="s">
        <v>21</v>
      </c>
      <c r="D1295" t="s">
        <v>1636</v>
      </c>
      <c r="E1295" s="5">
        <v>49700000</v>
      </c>
      <c r="F1295" s="5">
        <v>52700000</v>
      </c>
      <c r="G1295" s="5">
        <v>3000000</v>
      </c>
      <c r="H1295" s="5">
        <v>4970000</v>
      </c>
      <c r="I1295" s="5">
        <v>5270000</v>
      </c>
      <c r="J1295" s="5">
        <v>50200000</v>
      </c>
      <c r="K1295" s="5">
        <v>53200000</v>
      </c>
      <c r="L1295" s="3">
        <v>0.97916666666666663</v>
      </c>
    </row>
    <row r="1296" spans="1:12" x14ac:dyDescent="0.25">
      <c r="A1296" s="2">
        <v>44199</v>
      </c>
      <c r="B1296" s="2">
        <v>44256</v>
      </c>
      <c r="C1296" t="s">
        <v>16</v>
      </c>
      <c r="D1296" t="s">
        <v>1636</v>
      </c>
      <c r="E1296" s="5">
        <v>49500000</v>
      </c>
      <c r="F1296" s="5">
        <v>52500000</v>
      </c>
      <c r="G1296" s="5">
        <v>3000000</v>
      </c>
      <c r="H1296" s="5">
        <v>4950000</v>
      </c>
      <c r="I1296" s="5">
        <v>5250000</v>
      </c>
      <c r="J1296" s="5">
        <v>50000000</v>
      </c>
      <c r="K1296" s="5">
        <v>53000000</v>
      </c>
      <c r="L1296" s="3">
        <v>0.97916666666666663</v>
      </c>
    </row>
    <row r="1297" spans="1:12" x14ac:dyDescent="0.25">
      <c r="A1297" s="2">
        <v>44230</v>
      </c>
      <c r="B1297" s="2">
        <v>44257</v>
      </c>
      <c r="C1297" t="s">
        <v>18</v>
      </c>
      <c r="D1297" t="s">
        <v>1636</v>
      </c>
      <c r="E1297" s="5">
        <v>49900000</v>
      </c>
      <c r="F1297" s="5">
        <v>52900000</v>
      </c>
      <c r="G1297" s="5">
        <v>3000000</v>
      </c>
      <c r="H1297" s="5">
        <v>4990000</v>
      </c>
      <c r="I1297" s="5">
        <v>5290000</v>
      </c>
      <c r="J1297" s="5">
        <v>50400000</v>
      </c>
      <c r="K1297" s="5">
        <v>53400000</v>
      </c>
      <c r="L1297" s="3">
        <v>0.97916666666666663</v>
      </c>
    </row>
    <row r="1298" spans="1:12" x14ac:dyDescent="0.25">
      <c r="A1298" s="2">
        <v>44258</v>
      </c>
      <c r="B1298" s="2">
        <v>44258</v>
      </c>
      <c r="C1298" t="s">
        <v>19</v>
      </c>
      <c r="D1298" t="s">
        <v>1636</v>
      </c>
      <c r="E1298" s="5">
        <v>49300000</v>
      </c>
      <c r="F1298" s="5">
        <v>52300000</v>
      </c>
      <c r="G1298" s="5">
        <v>3000000</v>
      </c>
      <c r="H1298" s="5">
        <v>4930000</v>
      </c>
      <c r="I1298" s="5">
        <v>5230000</v>
      </c>
      <c r="J1298" s="5">
        <v>49800000</v>
      </c>
      <c r="K1298" s="5">
        <v>52800000</v>
      </c>
      <c r="L1298" s="3">
        <v>0.97916666666666663</v>
      </c>
    </row>
    <row r="1299" spans="1:12" x14ac:dyDescent="0.25">
      <c r="A1299" s="2">
        <v>44289</v>
      </c>
      <c r="B1299" s="2">
        <v>44259</v>
      </c>
      <c r="C1299" t="s">
        <v>20</v>
      </c>
      <c r="D1299" t="s">
        <v>1636</v>
      </c>
      <c r="E1299" s="5">
        <v>48900000</v>
      </c>
      <c r="F1299" s="5">
        <v>51900000</v>
      </c>
      <c r="G1299" s="5">
        <v>3000000</v>
      </c>
      <c r="H1299" s="5">
        <v>4890000</v>
      </c>
      <c r="I1299" s="5">
        <v>5190000</v>
      </c>
      <c r="J1299" s="5">
        <v>49400000</v>
      </c>
      <c r="K1299" s="5">
        <v>52400000</v>
      </c>
      <c r="L1299" s="3">
        <v>0.97916666666666663</v>
      </c>
    </row>
    <row r="1300" spans="1:12" x14ac:dyDescent="0.25">
      <c r="A1300" s="2">
        <v>44319</v>
      </c>
      <c r="B1300" s="2">
        <v>44260</v>
      </c>
      <c r="C1300" t="s">
        <v>21</v>
      </c>
      <c r="D1300" t="s">
        <v>1636</v>
      </c>
      <c r="E1300" s="5">
        <v>48800000</v>
      </c>
      <c r="F1300" s="5">
        <v>51800000</v>
      </c>
      <c r="G1300" s="5">
        <v>3000000</v>
      </c>
      <c r="H1300" s="5">
        <v>4880000</v>
      </c>
      <c r="I1300" s="5">
        <v>5180000</v>
      </c>
      <c r="J1300" s="5">
        <v>49300000</v>
      </c>
      <c r="K1300" s="5">
        <v>52300000</v>
      </c>
      <c r="L1300" s="3">
        <v>0.97916666666666663</v>
      </c>
    </row>
    <row r="1301" spans="1:12" x14ac:dyDescent="0.25">
      <c r="A1301" s="2">
        <v>44411</v>
      </c>
      <c r="B1301" s="2">
        <v>44263</v>
      </c>
      <c r="C1301" t="s">
        <v>16</v>
      </c>
      <c r="D1301" t="s">
        <v>1636</v>
      </c>
      <c r="E1301" s="5">
        <v>48200000</v>
      </c>
      <c r="F1301" s="5">
        <v>51200000</v>
      </c>
      <c r="G1301" s="5">
        <v>3000000</v>
      </c>
      <c r="H1301" s="5">
        <v>4820000</v>
      </c>
      <c r="I1301" s="5">
        <v>5120000</v>
      </c>
      <c r="J1301" s="5">
        <v>48700000</v>
      </c>
      <c r="K1301" s="5">
        <v>51700000</v>
      </c>
      <c r="L1301" s="3">
        <v>0.97916666666666663</v>
      </c>
    </row>
    <row r="1302" spans="1:12" x14ac:dyDescent="0.25">
      <c r="A1302" s="2">
        <v>44442</v>
      </c>
      <c r="B1302" s="2">
        <v>44264</v>
      </c>
      <c r="C1302" t="s">
        <v>18</v>
      </c>
      <c r="D1302" t="s">
        <v>1636</v>
      </c>
      <c r="E1302" s="5">
        <v>49400000</v>
      </c>
      <c r="F1302" s="5">
        <v>52400000</v>
      </c>
      <c r="G1302" s="5">
        <v>3000000</v>
      </c>
      <c r="H1302" s="5">
        <v>4940000</v>
      </c>
      <c r="I1302" s="5">
        <v>5240000</v>
      </c>
      <c r="J1302" s="5">
        <v>49900000</v>
      </c>
      <c r="K1302" s="5">
        <v>52900000</v>
      </c>
      <c r="L1302" s="3">
        <v>0.97916666666666663</v>
      </c>
    </row>
    <row r="1303" spans="1:12" x14ac:dyDescent="0.25">
      <c r="A1303" s="2">
        <v>44472</v>
      </c>
      <c r="B1303" s="2">
        <v>44265</v>
      </c>
      <c r="C1303" t="s">
        <v>19</v>
      </c>
      <c r="D1303" t="s">
        <v>1636</v>
      </c>
      <c r="E1303" s="5">
        <v>49500000</v>
      </c>
      <c r="F1303" s="5">
        <v>52500000</v>
      </c>
      <c r="G1303" s="5">
        <v>3000000</v>
      </c>
      <c r="H1303" s="5">
        <v>4950000</v>
      </c>
      <c r="I1303" s="5">
        <v>5250000</v>
      </c>
      <c r="J1303" s="5">
        <v>50000000</v>
      </c>
      <c r="K1303" s="5">
        <v>53000000</v>
      </c>
      <c r="L1303" s="3">
        <v>0.97916666666666663</v>
      </c>
    </row>
    <row r="1304" spans="1:12" x14ac:dyDescent="0.25">
      <c r="A1304" s="2">
        <v>44503</v>
      </c>
      <c r="B1304" s="2">
        <v>44266</v>
      </c>
      <c r="C1304" t="s">
        <v>20</v>
      </c>
      <c r="D1304" t="s">
        <v>1636</v>
      </c>
      <c r="E1304" s="5">
        <v>49500000</v>
      </c>
      <c r="F1304" s="5">
        <v>52500000</v>
      </c>
      <c r="G1304" s="5">
        <v>3000000</v>
      </c>
      <c r="H1304" s="5">
        <v>4950000</v>
      </c>
      <c r="I1304" s="5">
        <v>5250000</v>
      </c>
      <c r="J1304" s="5">
        <v>50000000</v>
      </c>
      <c r="K1304" s="5">
        <v>53000000</v>
      </c>
      <c r="L1304" s="3">
        <v>0.97916666666666663</v>
      </c>
    </row>
    <row r="1305" spans="1:12" x14ac:dyDescent="0.25">
      <c r="A1305" s="2">
        <v>44533</v>
      </c>
      <c r="B1305" s="2">
        <v>44267</v>
      </c>
      <c r="C1305" t="s">
        <v>21</v>
      </c>
      <c r="D1305" t="s">
        <v>1636</v>
      </c>
      <c r="E1305" s="5">
        <v>49400000</v>
      </c>
      <c r="F1305" s="5">
        <v>52400000</v>
      </c>
      <c r="G1305" s="5">
        <v>3000000</v>
      </c>
      <c r="H1305" s="5">
        <v>4940000</v>
      </c>
      <c r="I1305" s="5">
        <v>5240000</v>
      </c>
      <c r="J1305" s="5">
        <v>49900000</v>
      </c>
      <c r="K1305" s="5">
        <v>52900000</v>
      </c>
      <c r="L1305" s="3">
        <v>0.97916666666666663</v>
      </c>
    </row>
    <row r="1306" spans="1:12" x14ac:dyDescent="0.25">
      <c r="A1306" t="s">
        <v>805</v>
      </c>
      <c r="B1306" s="2">
        <v>44270</v>
      </c>
      <c r="C1306" t="s">
        <v>16</v>
      </c>
      <c r="D1306" t="s">
        <v>1636</v>
      </c>
      <c r="E1306" s="5">
        <v>49700000</v>
      </c>
      <c r="F1306" s="5">
        <v>52700000</v>
      </c>
      <c r="G1306" s="5">
        <v>3000000</v>
      </c>
      <c r="H1306" s="5">
        <v>4970000</v>
      </c>
      <c r="I1306" s="5">
        <v>5270000</v>
      </c>
      <c r="J1306" s="5">
        <v>50200000</v>
      </c>
      <c r="K1306" s="5">
        <v>53200000</v>
      </c>
      <c r="L1306" s="3">
        <v>0.97916666666666663</v>
      </c>
    </row>
    <row r="1307" spans="1:12" x14ac:dyDescent="0.25">
      <c r="A1307" t="s">
        <v>806</v>
      </c>
      <c r="B1307" s="2">
        <v>44271</v>
      </c>
      <c r="C1307" t="s">
        <v>18</v>
      </c>
      <c r="D1307" t="s">
        <v>1636</v>
      </c>
      <c r="E1307" s="5">
        <v>49800000</v>
      </c>
      <c r="F1307" s="5">
        <v>52800000</v>
      </c>
      <c r="G1307" s="5">
        <v>3000000</v>
      </c>
      <c r="H1307" s="5">
        <v>4980000</v>
      </c>
      <c r="I1307" s="5">
        <v>5280000</v>
      </c>
      <c r="J1307" s="5">
        <v>50300000</v>
      </c>
      <c r="K1307" s="5">
        <v>53300000</v>
      </c>
      <c r="L1307" s="3">
        <v>0.97916666666666663</v>
      </c>
    </row>
    <row r="1308" spans="1:12" x14ac:dyDescent="0.25">
      <c r="A1308" t="s">
        <v>807</v>
      </c>
      <c r="B1308" s="2">
        <v>44272</v>
      </c>
      <c r="C1308" t="s">
        <v>19</v>
      </c>
      <c r="D1308" t="s">
        <v>1636</v>
      </c>
      <c r="E1308" s="5">
        <v>49700000</v>
      </c>
      <c r="F1308" s="5">
        <v>52700000</v>
      </c>
      <c r="G1308" s="5">
        <v>3000000</v>
      </c>
      <c r="H1308" s="5">
        <v>4970000</v>
      </c>
      <c r="I1308" s="5">
        <v>5270000</v>
      </c>
      <c r="J1308" s="5">
        <v>50200000</v>
      </c>
      <c r="K1308" s="5">
        <v>53200000</v>
      </c>
      <c r="L1308" s="3">
        <v>0.97916666666666663</v>
      </c>
    </row>
    <row r="1309" spans="1:12" x14ac:dyDescent="0.25">
      <c r="A1309" t="s">
        <v>808</v>
      </c>
      <c r="B1309" s="2">
        <v>44273</v>
      </c>
      <c r="C1309" t="s">
        <v>20</v>
      </c>
      <c r="D1309" t="s">
        <v>1636</v>
      </c>
      <c r="E1309" s="5">
        <v>49800000</v>
      </c>
      <c r="F1309" s="5">
        <v>52800000</v>
      </c>
      <c r="G1309" s="5">
        <v>3000000</v>
      </c>
      <c r="H1309" s="5">
        <v>4980000</v>
      </c>
      <c r="I1309" s="5">
        <v>5280000</v>
      </c>
      <c r="J1309" s="5">
        <v>50300000</v>
      </c>
      <c r="K1309" s="5">
        <v>53300000</v>
      </c>
      <c r="L1309" s="3">
        <v>0.97916666666666663</v>
      </c>
    </row>
    <row r="1310" spans="1:12" x14ac:dyDescent="0.25">
      <c r="A1310" t="s">
        <v>809</v>
      </c>
      <c r="B1310" s="2">
        <v>44274</v>
      </c>
      <c r="C1310" t="s">
        <v>21</v>
      </c>
      <c r="D1310" t="s">
        <v>1636</v>
      </c>
      <c r="E1310" s="5">
        <v>50100000</v>
      </c>
      <c r="F1310" s="5">
        <v>53100000</v>
      </c>
      <c r="G1310" s="5">
        <v>3000000</v>
      </c>
      <c r="H1310" s="5">
        <v>5010000</v>
      </c>
      <c r="I1310" s="5">
        <v>5310000</v>
      </c>
      <c r="J1310" s="5">
        <v>50600000</v>
      </c>
      <c r="K1310" s="5">
        <v>53600000</v>
      </c>
      <c r="L1310" s="3">
        <v>0.97916666666666663</v>
      </c>
    </row>
    <row r="1311" spans="1:12" x14ac:dyDescent="0.25">
      <c r="A1311" t="s">
        <v>810</v>
      </c>
      <c r="B1311" s="2">
        <v>44277</v>
      </c>
      <c r="C1311" t="s">
        <v>16</v>
      </c>
      <c r="D1311" t="s">
        <v>1636</v>
      </c>
      <c r="E1311" s="5">
        <v>50000000</v>
      </c>
      <c r="F1311" s="5">
        <v>53000000</v>
      </c>
      <c r="G1311" s="5">
        <v>3000000</v>
      </c>
      <c r="H1311" s="5">
        <v>5000000</v>
      </c>
      <c r="I1311" s="5">
        <v>5300000</v>
      </c>
      <c r="J1311" s="5">
        <v>50500000</v>
      </c>
      <c r="K1311" s="5">
        <v>53500000</v>
      </c>
      <c r="L1311" s="3">
        <v>0.97916666666666663</v>
      </c>
    </row>
    <row r="1312" spans="1:12" x14ac:dyDescent="0.25">
      <c r="A1312" t="s">
        <v>811</v>
      </c>
      <c r="B1312" s="2">
        <v>44278</v>
      </c>
      <c r="C1312" t="s">
        <v>18</v>
      </c>
      <c r="D1312" t="s">
        <v>1636</v>
      </c>
      <c r="E1312" s="5">
        <v>49600000</v>
      </c>
      <c r="F1312" s="5">
        <v>52600000</v>
      </c>
      <c r="G1312" s="5">
        <v>3000000</v>
      </c>
      <c r="H1312" s="5">
        <v>4960000</v>
      </c>
      <c r="I1312" s="5">
        <v>5260000</v>
      </c>
      <c r="J1312" s="5">
        <v>50100000</v>
      </c>
      <c r="K1312" s="5">
        <v>53100000</v>
      </c>
      <c r="L1312" s="3">
        <v>0.97916666666666663</v>
      </c>
    </row>
    <row r="1313" spans="1:12" x14ac:dyDescent="0.25">
      <c r="A1313" t="s">
        <v>812</v>
      </c>
      <c r="B1313" s="2">
        <v>44279</v>
      </c>
      <c r="C1313" t="s">
        <v>19</v>
      </c>
      <c r="D1313" t="s">
        <v>1636</v>
      </c>
      <c r="E1313" s="5">
        <v>49900000</v>
      </c>
      <c r="F1313" s="5">
        <v>52900000</v>
      </c>
      <c r="G1313" s="5">
        <v>3000000</v>
      </c>
      <c r="H1313" s="5">
        <v>4990000</v>
      </c>
      <c r="I1313" s="5">
        <v>5290000</v>
      </c>
      <c r="J1313" s="5">
        <v>50400000</v>
      </c>
      <c r="K1313" s="5">
        <v>53400000</v>
      </c>
      <c r="L1313" s="3">
        <v>0.97916666666666663</v>
      </c>
    </row>
    <row r="1314" spans="1:12" x14ac:dyDescent="0.25">
      <c r="A1314" t="s">
        <v>813</v>
      </c>
      <c r="B1314" s="2">
        <v>44280</v>
      </c>
      <c r="C1314" t="s">
        <v>20</v>
      </c>
      <c r="D1314" t="s">
        <v>1636</v>
      </c>
      <c r="E1314" s="5">
        <v>49600000</v>
      </c>
      <c r="F1314" s="5">
        <v>52600000</v>
      </c>
      <c r="G1314" s="5">
        <v>3000000</v>
      </c>
      <c r="H1314" s="5">
        <v>4960000</v>
      </c>
      <c r="I1314" s="5">
        <v>5260000</v>
      </c>
      <c r="J1314" s="5">
        <v>50100000</v>
      </c>
      <c r="K1314" s="5">
        <v>53100000</v>
      </c>
      <c r="L1314" s="3">
        <v>0.97916666666666663</v>
      </c>
    </row>
    <row r="1315" spans="1:12" x14ac:dyDescent="0.25">
      <c r="A1315" t="s">
        <v>814</v>
      </c>
      <c r="B1315" s="2">
        <v>44281</v>
      </c>
      <c r="C1315" t="s">
        <v>21</v>
      </c>
      <c r="D1315" t="s">
        <v>1636</v>
      </c>
      <c r="E1315" s="5">
        <v>49800000</v>
      </c>
      <c r="F1315" s="5">
        <v>52800000</v>
      </c>
      <c r="G1315" s="5">
        <v>3000000</v>
      </c>
      <c r="H1315" s="5">
        <v>4980000</v>
      </c>
      <c r="I1315" s="5">
        <v>5280000</v>
      </c>
      <c r="J1315" s="5">
        <v>50300000</v>
      </c>
      <c r="K1315" s="5">
        <v>53300000</v>
      </c>
      <c r="L1315" s="3">
        <v>0.97916666666666663</v>
      </c>
    </row>
    <row r="1316" spans="1:12" x14ac:dyDescent="0.25">
      <c r="A1316" t="s">
        <v>815</v>
      </c>
      <c r="B1316" s="2">
        <v>44284</v>
      </c>
      <c r="C1316" t="s">
        <v>16</v>
      </c>
      <c r="D1316" t="s">
        <v>1636</v>
      </c>
      <c r="E1316" s="5">
        <v>49200000</v>
      </c>
      <c r="F1316" s="5">
        <v>52200000</v>
      </c>
      <c r="G1316" s="5">
        <v>3000000</v>
      </c>
      <c r="H1316" s="5">
        <v>4920000</v>
      </c>
      <c r="I1316" s="5">
        <v>5220000</v>
      </c>
      <c r="J1316" s="5">
        <v>49700000</v>
      </c>
      <c r="K1316" s="5">
        <v>52700000</v>
      </c>
      <c r="L1316" s="3">
        <v>0.97916666666666663</v>
      </c>
    </row>
    <row r="1317" spans="1:12" x14ac:dyDescent="0.25">
      <c r="A1317" t="s">
        <v>816</v>
      </c>
      <c r="B1317" s="2">
        <v>44285</v>
      </c>
      <c r="C1317" t="s">
        <v>18</v>
      </c>
      <c r="D1317" t="s">
        <v>1636</v>
      </c>
      <c r="E1317" s="5">
        <v>48400000</v>
      </c>
      <c r="F1317" s="5">
        <v>51400000</v>
      </c>
      <c r="G1317" s="5">
        <v>3000000</v>
      </c>
      <c r="H1317" s="5">
        <v>4840000</v>
      </c>
      <c r="I1317" s="5">
        <v>5140000</v>
      </c>
      <c r="J1317" s="5">
        <v>48900000</v>
      </c>
      <c r="K1317" s="5">
        <v>51900000</v>
      </c>
      <c r="L1317" s="3">
        <v>0.97916666666666663</v>
      </c>
    </row>
    <row r="1318" spans="1:12" x14ac:dyDescent="0.25">
      <c r="A1318" t="s">
        <v>817</v>
      </c>
      <c r="B1318" s="2">
        <v>44286</v>
      </c>
      <c r="C1318" t="s">
        <v>19</v>
      </c>
      <c r="D1318" t="s">
        <v>1636</v>
      </c>
      <c r="E1318" s="5">
        <v>49300000</v>
      </c>
      <c r="F1318" s="5">
        <v>52300000</v>
      </c>
      <c r="G1318" s="5">
        <v>3000000</v>
      </c>
      <c r="H1318" s="5">
        <v>4930000</v>
      </c>
      <c r="I1318" s="5">
        <v>5230000</v>
      </c>
      <c r="J1318" s="5">
        <v>49800000</v>
      </c>
      <c r="K1318" s="5">
        <v>52800000</v>
      </c>
      <c r="L1318" s="3">
        <v>0.97916666666666663</v>
      </c>
    </row>
    <row r="1319" spans="1:12" x14ac:dyDescent="0.25">
      <c r="A1319" s="2">
        <v>44200</v>
      </c>
      <c r="B1319" s="2">
        <v>44287</v>
      </c>
      <c r="C1319" t="s">
        <v>20</v>
      </c>
      <c r="D1319" t="s">
        <v>1636</v>
      </c>
      <c r="E1319" s="5">
        <v>49700000</v>
      </c>
      <c r="F1319" s="5">
        <v>52700000</v>
      </c>
      <c r="G1319" s="5">
        <v>3000000</v>
      </c>
      <c r="H1319" s="5">
        <v>4970000</v>
      </c>
      <c r="I1319" s="5">
        <v>5270000</v>
      </c>
      <c r="J1319" s="5">
        <v>50200000</v>
      </c>
      <c r="K1319" s="5">
        <v>53200000</v>
      </c>
      <c r="L1319" s="3">
        <v>0.97916666666666663</v>
      </c>
    </row>
    <row r="1320" spans="1:12" x14ac:dyDescent="0.25">
      <c r="A1320" s="2">
        <v>44320</v>
      </c>
      <c r="B1320" s="2">
        <v>44291</v>
      </c>
      <c r="C1320" t="s">
        <v>16</v>
      </c>
      <c r="D1320" t="s">
        <v>1636</v>
      </c>
      <c r="E1320" s="5">
        <v>49700000</v>
      </c>
      <c r="F1320" s="5">
        <v>52700000</v>
      </c>
      <c r="G1320" s="5">
        <v>3000000</v>
      </c>
      <c r="H1320" s="5">
        <v>4970000</v>
      </c>
      <c r="I1320" s="5">
        <v>5270000</v>
      </c>
      <c r="J1320" s="5">
        <v>50200000</v>
      </c>
      <c r="K1320" s="5">
        <v>53200000</v>
      </c>
      <c r="L1320" s="3">
        <v>0.97916666666666663</v>
      </c>
    </row>
    <row r="1321" spans="1:12" x14ac:dyDescent="0.25">
      <c r="A1321" s="2">
        <v>44351</v>
      </c>
      <c r="B1321" s="2">
        <v>44292</v>
      </c>
      <c r="C1321" t="s">
        <v>18</v>
      </c>
      <c r="D1321" t="s">
        <v>1636</v>
      </c>
      <c r="E1321" s="5">
        <v>50100000</v>
      </c>
      <c r="F1321" s="5">
        <v>53100000</v>
      </c>
      <c r="G1321" s="5">
        <v>3000000</v>
      </c>
      <c r="H1321" s="5">
        <v>5010000</v>
      </c>
      <c r="I1321" s="5">
        <v>5310000</v>
      </c>
      <c r="J1321" s="5">
        <v>50600000</v>
      </c>
      <c r="K1321" s="5">
        <v>53600000</v>
      </c>
      <c r="L1321" s="3">
        <v>0.97916666666666663</v>
      </c>
    </row>
    <row r="1322" spans="1:12" x14ac:dyDescent="0.25">
      <c r="A1322" s="2">
        <v>44381</v>
      </c>
      <c r="B1322" s="2">
        <v>44293</v>
      </c>
      <c r="C1322" t="s">
        <v>19</v>
      </c>
      <c r="D1322" t="s">
        <v>1636</v>
      </c>
      <c r="E1322" s="5">
        <v>50100000</v>
      </c>
      <c r="F1322" s="5">
        <v>53100000</v>
      </c>
      <c r="G1322" s="5">
        <v>3000000</v>
      </c>
      <c r="H1322" s="5">
        <v>5010000</v>
      </c>
      <c r="I1322" s="5">
        <v>5310000</v>
      </c>
      <c r="J1322" s="5">
        <v>50600000</v>
      </c>
      <c r="K1322" s="5">
        <v>53600000</v>
      </c>
      <c r="L1322" s="3">
        <v>0.97916666666666663</v>
      </c>
    </row>
    <row r="1323" spans="1:12" x14ac:dyDescent="0.25">
      <c r="A1323" s="2">
        <v>44412</v>
      </c>
      <c r="B1323" s="2">
        <v>44294</v>
      </c>
      <c r="C1323" t="s">
        <v>20</v>
      </c>
      <c r="D1323" t="s">
        <v>1636</v>
      </c>
      <c r="E1323" s="5">
        <v>50600000</v>
      </c>
      <c r="F1323" s="5">
        <v>53600000</v>
      </c>
      <c r="G1323" s="5">
        <v>3000000</v>
      </c>
      <c r="H1323" s="5">
        <v>5060000</v>
      </c>
      <c r="I1323" s="5">
        <v>5360000</v>
      </c>
      <c r="J1323" s="5">
        <v>51100000</v>
      </c>
      <c r="K1323" s="5">
        <v>54100000</v>
      </c>
      <c r="L1323" s="3">
        <v>0.97916666666666663</v>
      </c>
    </row>
    <row r="1324" spans="1:12" x14ac:dyDescent="0.25">
      <c r="A1324" s="2">
        <v>44443</v>
      </c>
      <c r="B1324" s="2">
        <v>44295</v>
      </c>
      <c r="C1324" t="s">
        <v>21</v>
      </c>
      <c r="D1324" t="s">
        <v>1636</v>
      </c>
      <c r="E1324" s="5">
        <v>50200000</v>
      </c>
      <c r="F1324" s="5">
        <v>53200000</v>
      </c>
      <c r="G1324" s="5">
        <v>3000000</v>
      </c>
      <c r="H1324" s="5">
        <v>5020000</v>
      </c>
      <c r="I1324" s="5">
        <v>5320000</v>
      </c>
      <c r="J1324" s="5">
        <v>50700000</v>
      </c>
      <c r="K1324" s="5">
        <v>53700000</v>
      </c>
      <c r="L1324" s="3">
        <v>0.97916666666666663</v>
      </c>
    </row>
    <row r="1325" spans="1:12" x14ac:dyDescent="0.25">
      <c r="A1325" s="2">
        <v>44534</v>
      </c>
      <c r="B1325" s="2">
        <v>44298</v>
      </c>
      <c r="C1325" t="s">
        <v>16</v>
      </c>
      <c r="D1325" t="s">
        <v>1636</v>
      </c>
      <c r="E1325" s="5">
        <v>49800000</v>
      </c>
      <c r="F1325" s="5">
        <v>52800000</v>
      </c>
      <c r="G1325" s="5">
        <v>3000000</v>
      </c>
      <c r="H1325" s="5">
        <v>4980000</v>
      </c>
      <c r="I1325" s="5">
        <v>5280000</v>
      </c>
      <c r="J1325" s="5">
        <v>50300000</v>
      </c>
      <c r="K1325" s="5">
        <v>53300000</v>
      </c>
      <c r="L1325" s="3">
        <v>0.97916666666666663</v>
      </c>
    </row>
    <row r="1326" spans="1:12" x14ac:dyDescent="0.25">
      <c r="A1326" t="s">
        <v>818</v>
      </c>
      <c r="B1326" s="2">
        <v>44299</v>
      </c>
      <c r="C1326" t="s">
        <v>18</v>
      </c>
      <c r="D1326" t="s">
        <v>1636</v>
      </c>
      <c r="E1326" s="5">
        <v>50300000</v>
      </c>
      <c r="F1326" s="5">
        <v>53300000</v>
      </c>
      <c r="G1326" s="5">
        <v>3000000</v>
      </c>
      <c r="H1326" s="5">
        <v>5030000</v>
      </c>
      <c r="I1326" s="5">
        <v>5330000</v>
      </c>
      <c r="J1326" s="5">
        <v>50800000</v>
      </c>
      <c r="K1326" s="5">
        <v>53800000</v>
      </c>
      <c r="L1326" s="3">
        <v>0.97916666666666663</v>
      </c>
    </row>
    <row r="1327" spans="1:12" x14ac:dyDescent="0.25">
      <c r="A1327" t="s">
        <v>819</v>
      </c>
      <c r="B1327" s="2">
        <v>44300</v>
      </c>
      <c r="C1327" t="s">
        <v>19</v>
      </c>
      <c r="D1327" t="s">
        <v>1636</v>
      </c>
      <c r="E1327" s="5">
        <v>49900000</v>
      </c>
      <c r="F1327" s="5">
        <v>52900000</v>
      </c>
      <c r="G1327" s="5">
        <v>3000000</v>
      </c>
      <c r="H1327" s="5">
        <v>4990000</v>
      </c>
      <c r="I1327" s="5">
        <v>5290000</v>
      </c>
      <c r="J1327" s="5">
        <v>50400000</v>
      </c>
      <c r="K1327" s="5">
        <v>53400000</v>
      </c>
      <c r="L1327" s="3">
        <v>0.97916666666666663</v>
      </c>
    </row>
    <row r="1328" spans="1:12" x14ac:dyDescent="0.25">
      <c r="A1328" t="s">
        <v>820</v>
      </c>
      <c r="B1328" s="2">
        <v>44301</v>
      </c>
      <c r="C1328" t="s">
        <v>20</v>
      </c>
      <c r="D1328" t="s">
        <v>1636</v>
      </c>
      <c r="E1328" s="5">
        <v>50900000</v>
      </c>
      <c r="F1328" s="5">
        <v>53900000</v>
      </c>
      <c r="G1328" s="5">
        <v>3000000</v>
      </c>
      <c r="H1328" s="5">
        <v>5090000</v>
      </c>
      <c r="I1328" s="5">
        <v>5390000</v>
      </c>
      <c r="J1328" s="5">
        <v>51400000</v>
      </c>
      <c r="K1328" s="5">
        <v>54400000</v>
      </c>
      <c r="L1328" s="3">
        <v>0.97916666666666663</v>
      </c>
    </row>
    <row r="1329" spans="1:12" x14ac:dyDescent="0.25">
      <c r="A1329" t="s">
        <v>821</v>
      </c>
      <c r="B1329" s="2">
        <v>44302</v>
      </c>
      <c r="C1329" t="s">
        <v>21</v>
      </c>
      <c r="D1329" t="s">
        <v>1636</v>
      </c>
      <c r="E1329" s="5">
        <v>51300000</v>
      </c>
      <c r="F1329" s="5">
        <v>54300000</v>
      </c>
      <c r="G1329" s="5">
        <v>3000000</v>
      </c>
      <c r="H1329" s="5">
        <v>5130000</v>
      </c>
      <c r="I1329" s="5">
        <v>5430000</v>
      </c>
      <c r="J1329" s="5">
        <v>51800000</v>
      </c>
      <c r="K1329" s="5">
        <v>54800000</v>
      </c>
      <c r="L1329" s="3">
        <v>0.97916666666666663</v>
      </c>
    </row>
    <row r="1330" spans="1:12" x14ac:dyDescent="0.25">
      <c r="A1330" t="s">
        <v>822</v>
      </c>
      <c r="B1330" s="2">
        <v>44305</v>
      </c>
      <c r="C1330" t="s">
        <v>16</v>
      </c>
      <c r="D1330" t="s">
        <v>1636</v>
      </c>
      <c r="E1330" s="5">
        <v>51000000</v>
      </c>
      <c r="F1330" s="5">
        <v>54000000</v>
      </c>
      <c r="G1330" s="5">
        <v>3000000</v>
      </c>
      <c r="H1330" s="5">
        <v>5100000</v>
      </c>
      <c r="I1330" s="5">
        <v>5400000</v>
      </c>
      <c r="J1330" s="5">
        <v>51500000</v>
      </c>
      <c r="K1330" s="5">
        <v>54500000</v>
      </c>
      <c r="L1330" s="3">
        <v>0.97916666666666663</v>
      </c>
    </row>
    <row r="1331" spans="1:12" x14ac:dyDescent="0.25">
      <c r="A1331" t="s">
        <v>823</v>
      </c>
      <c r="B1331" s="2">
        <v>44306</v>
      </c>
      <c r="C1331" t="s">
        <v>18</v>
      </c>
      <c r="D1331" t="s">
        <v>1636</v>
      </c>
      <c r="E1331" s="5">
        <v>51200000</v>
      </c>
      <c r="F1331" s="5">
        <v>54200000</v>
      </c>
      <c r="G1331" s="5">
        <v>3000000</v>
      </c>
      <c r="H1331" s="5">
        <v>5120000</v>
      </c>
      <c r="I1331" s="5">
        <v>5420000</v>
      </c>
      <c r="J1331" s="5">
        <v>51700000</v>
      </c>
      <c r="K1331" s="5">
        <v>54700000</v>
      </c>
      <c r="L1331" s="3">
        <v>0.97916666666666663</v>
      </c>
    </row>
    <row r="1332" spans="1:12" x14ac:dyDescent="0.25">
      <c r="A1332" t="s">
        <v>824</v>
      </c>
      <c r="B1332" s="2">
        <v>44307</v>
      </c>
      <c r="C1332" t="s">
        <v>19</v>
      </c>
      <c r="D1332" t="s">
        <v>1636</v>
      </c>
      <c r="E1332" s="5">
        <v>51700000</v>
      </c>
      <c r="F1332" s="5">
        <v>54700000</v>
      </c>
      <c r="G1332" s="5">
        <v>3000000</v>
      </c>
      <c r="H1332" s="5">
        <v>5170000</v>
      </c>
      <c r="I1332" s="5">
        <v>5470000</v>
      </c>
      <c r="J1332" s="5">
        <v>52200000</v>
      </c>
      <c r="K1332" s="5">
        <v>55200000</v>
      </c>
      <c r="L1332" s="3">
        <v>0.97916666666666663</v>
      </c>
    </row>
    <row r="1333" spans="1:12" x14ac:dyDescent="0.25">
      <c r="A1333" t="s">
        <v>825</v>
      </c>
      <c r="B1333" s="2">
        <v>44308</v>
      </c>
      <c r="C1333" t="s">
        <v>20</v>
      </c>
      <c r="D1333" t="s">
        <v>1636</v>
      </c>
      <c r="E1333" s="5">
        <v>51300000</v>
      </c>
      <c r="F1333" s="5">
        <v>54300000</v>
      </c>
      <c r="G1333" s="5">
        <v>3000000</v>
      </c>
      <c r="H1333" s="5">
        <v>5130000</v>
      </c>
      <c r="I1333" s="5">
        <v>5430000</v>
      </c>
      <c r="J1333" s="5">
        <v>51800000</v>
      </c>
      <c r="K1333" s="5">
        <v>54800000</v>
      </c>
      <c r="L1333" s="3">
        <v>0.97916666666666663</v>
      </c>
    </row>
    <row r="1334" spans="1:12" x14ac:dyDescent="0.25">
      <c r="A1334" t="s">
        <v>826</v>
      </c>
      <c r="B1334" s="2">
        <v>44309</v>
      </c>
      <c r="C1334" t="s">
        <v>21</v>
      </c>
      <c r="D1334" t="s">
        <v>1636</v>
      </c>
      <c r="E1334" s="5">
        <v>51200000</v>
      </c>
      <c r="F1334" s="5">
        <v>54200000</v>
      </c>
      <c r="G1334" s="5">
        <v>3000000</v>
      </c>
      <c r="H1334" s="5">
        <v>5120000</v>
      </c>
      <c r="I1334" s="5">
        <v>5420000</v>
      </c>
      <c r="J1334" s="5">
        <v>51700000</v>
      </c>
      <c r="K1334" s="5">
        <v>54700000</v>
      </c>
      <c r="L1334" s="3">
        <v>0.97916666666666663</v>
      </c>
    </row>
    <row r="1335" spans="1:12" x14ac:dyDescent="0.25">
      <c r="A1335" t="s">
        <v>827</v>
      </c>
      <c r="B1335" s="2">
        <v>44312</v>
      </c>
      <c r="C1335" t="s">
        <v>16</v>
      </c>
      <c r="D1335" t="s">
        <v>1636</v>
      </c>
      <c r="E1335" s="5">
        <v>51300000</v>
      </c>
      <c r="F1335" s="5">
        <v>54300000</v>
      </c>
      <c r="G1335" s="5">
        <v>3000000</v>
      </c>
      <c r="H1335" s="5">
        <v>5130000</v>
      </c>
      <c r="I1335" s="5">
        <v>5430000</v>
      </c>
      <c r="J1335" s="5">
        <v>51800000</v>
      </c>
      <c r="K1335" s="5">
        <v>54800000</v>
      </c>
      <c r="L1335" s="3">
        <v>0.97916666666666663</v>
      </c>
    </row>
    <row r="1336" spans="1:12" x14ac:dyDescent="0.25">
      <c r="A1336" t="s">
        <v>828</v>
      </c>
      <c r="B1336" s="2">
        <v>44313</v>
      </c>
      <c r="C1336" t="s">
        <v>18</v>
      </c>
      <c r="D1336" t="s">
        <v>1636</v>
      </c>
      <c r="E1336" s="5">
        <v>51200000</v>
      </c>
      <c r="F1336" s="5">
        <v>54200000</v>
      </c>
      <c r="G1336" s="5">
        <v>3000000</v>
      </c>
      <c r="H1336" s="5">
        <v>5120000</v>
      </c>
      <c r="I1336" s="5">
        <v>5420000</v>
      </c>
      <c r="J1336" s="5">
        <v>51700000</v>
      </c>
      <c r="K1336" s="5">
        <v>54700000</v>
      </c>
      <c r="L1336" s="3">
        <v>0.97916666666666663</v>
      </c>
    </row>
    <row r="1337" spans="1:12" x14ac:dyDescent="0.25">
      <c r="A1337" t="s">
        <v>829</v>
      </c>
      <c r="B1337" s="2">
        <v>44314</v>
      </c>
      <c r="C1337" t="s">
        <v>19</v>
      </c>
      <c r="D1337" t="s">
        <v>1636</v>
      </c>
      <c r="E1337" s="5">
        <v>51100000</v>
      </c>
      <c r="F1337" s="5">
        <v>54100000</v>
      </c>
      <c r="G1337" s="5">
        <v>3000000</v>
      </c>
      <c r="H1337" s="5">
        <v>5110000</v>
      </c>
      <c r="I1337" s="5">
        <v>5410000</v>
      </c>
      <c r="J1337" s="5">
        <v>51600000</v>
      </c>
      <c r="K1337" s="5">
        <v>54600000</v>
      </c>
      <c r="L1337" s="3">
        <v>0.97916666666666663</v>
      </c>
    </row>
    <row r="1338" spans="1:12" x14ac:dyDescent="0.25">
      <c r="A1338" t="s">
        <v>830</v>
      </c>
      <c r="B1338" s="2">
        <v>44315</v>
      </c>
      <c r="C1338" t="s">
        <v>20</v>
      </c>
      <c r="D1338" t="s">
        <v>1636</v>
      </c>
      <c r="E1338" s="5">
        <v>50900000</v>
      </c>
      <c r="F1338" s="5">
        <v>53900000</v>
      </c>
      <c r="G1338" s="5">
        <v>3000000</v>
      </c>
      <c r="H1338" s="5">
        <v>5090000</v>
      </c>
      <c r="I1338" s="5">
        <v>5390000</v>
      </c>
      <c r="J1338" s="5">
        <v>51400000</v>
      </c>
      <c r="K1338" s="5">
        <v>54400000</v>
      </c>
      <c r="L1338" s="3">
        <v>0.97916666666666663</v>
      </c>
    </row>
    <row r="1339" spans="1:12" x14ac:dyDescent="0.25">
      <c r="A1339" t="s">
        <v>831</v>
      </c>
      <c r="B1339" s="2">
        <v>44316</v>
      </c>
      <c r="C1339" t="s">
        <v>21</v>
      </c>
      <c r="D1339" t="s">
        <v>1636</v>
      </c>
      <c r="E1339" s="5">
        <v>50900000</v>
      </c>
      <c r="F1339" s="5">
        <v>53900000</v>
      </c>
      <c r="G1339" s="5">
        <v>3000000</v>
      </c>
      <c r="H1339" s="5">
        <v>5090000</v>
      </c>
      <c r="I1339" s="5">
        <v>5390000</v>
      </c>
      <c r="J1339" s="5">
        <v>51400000</v>
      </c>
      <c r="K1339" s="5">
        <v>54400000</v>
      </c>
      <c r="L1339" s="3">
        <v>0.97916666666666663</v>
      </c>
    </row>
    <row r="1340" spans="1:12" x14ac:dyDescent="0.25">
      <c r="A1340" s="2">
        <v>44260</v>
      </c>
      <c r="B1340" s="2">
        <v>44319</v>
      </c>
      <c r="C1340" t="s">
        <v>16</v>
      </c>
      <c r="D1340" t="s">
        <v>1636</v>
      </c>
      <c r="E1340" s="5">
        <v>51600000</v>
      </c>
      <c r="F1340" s="5">
        <v>54600000</v>
      </c>
      <c r="G1340" s="5">
        <v>3000000</v>
      </c>
      <c r="H1340" s="5">
        <v>5160000</v>
      </c>
      <c r="I1340" s="5">
        <v>5460000</v>
      </c>
      <c r="J1340" s="5">
        <v>52100000</v>
      </c>
      <c r="K1340" s="5">
        <v>55100000</v>
      </c>
      <c r="L1340" s="3">
        <v>0.97916666666666663</v>
      </c>
    </row>
    <row r="1341" spans="1:12" x14ac:dyDescent="0.25">
      <c r="A1341" s="2">
        <v>44291</v>
      </c>
      <c r="B1341" s="2">
        <v>44320</v>
      </c>
      <c r="C1341" t="s">
        <v>18</v>
      </c>
      <c r="D1341" t="s">
        <v>1636</v>
      </c>
      <c r="E1341" s="5">
        <v>51200000</v>
      </c>
      <c r="F1341" s="5">
        <v>54200000</v>
      </c>
      <c r="G1341" s="5">
        <v>3000000</v>
      </c>
      <c r="H1341" s="5">
        <v>5120000</v>
      </c>
      <c r="I1341" s="5">
        <v>5420000</v>
      </c>
      <c r="J1341" s="5">
        <v>51700000</v>
      </c>
      <c r="K1341" s="5">
        <v>54700000</v>
      </c>
      <c r="L1341" s="3">
        <v>0.97916666666666663</v>
      </c>
    </row>
    <row r="1342" spans="1:12" x14ac:dyDescent="0.25">
      <c r="A1342" s="2">
        <v>44321</v>
      </c>
      <c r="B1342" s="2">
        <v>44321</v>
      </c>
      <c r="C1342" t="s">
        <v>19</v>
      </c>
      <c r="D1342" t="s">
        <v>1636</v>
      </c>
      <c r="E1342" s="5">
        <v>51400000</v>
      </c>
      <c r="F1342" s="5">
        <v>54400000</v>
      </c>
      <c r="G1342" s="5">
        <v>3000000</v>
      </c>
      <c r="H1342" s="5">
        <v>5140000</v>
      </c>
      <c r="I1342" s="5">
        <v>5440000</v>
      </c>
      <c r="J1342" s="5">
        <v>51900000</v>
      </c>
      <c r="K1342" s="5">
        <v>54900000</v>
      </c>
      <c r="L1342" s="3">
        <v>0.97916666666666663</v>
      </c>
    </row>
    <row r="1343" spans="1:12" x14ac:dyDescent="0.25">
      <c r="A1343" s="2">
        <v>44352</v>
      </c>
      <c r="B1343" s="2">
        <v>44322</v>
      </c>
      <c r="C1343" t="s">
        <v>20</v>
      </c>
      <c r="D1343" t="s">
        <v>1636</v>
      </c>
      <c r="E1343" s="5">
        <v>52400000</v>
      </c>
      <c r="F1343" s="5">
        <v>55400000</v>
      </c>
      <c r="G1343" s="5">
        <v>3000000</v>
      </c>
      <c r="H1343" s="5">
        <v>5240000</v>
      </c>
      <c r="I1343" s="5">
        <v>5540000</v>
      </c>
      <c r="J1343" s="5">
        <v>52900000</v>
      </c>
      <c r="K1343" s="5">
        <v>55900000</v>
      </c>
      <c r="L1343" s="3">
        <v>0.97916666666666663</v>
      </c>
    </row>
    <row r="1344" spans="1:12" x14ac:dyDescent="0.25">
      <c r="A1344" s="2">
        <v>44382</v>
      </c>
      <c r="B1344" s="2">
        <v>44323</v>
      </c>
      <c r="C1344" t="s">
        <v>21</v>
      </c>
      <c r="D1344" t="s">
        <v>1636</v>
      </c>
      <c r="E1344" s="5">
        <v>52900000</v>
      </c>
      <c r="F1344" s="5">
        <v>55900000</v>
      </c>
      <c r="G1344" s="5">
        <v>3000000</v>
      </c>
      <c r="H1344" s="5">
        <v>5290000</v>
      </c>
      <c r="I1344" s="5">
        <v>5590000</v>
      </c>
      <c r="J1344" s="5">
        <v>53400000</v>
      </c>
      <c r="K1344" s="5">
        <v>56400000</v>
      </c>
      <c r="L1344" s="3">
        <v>0.97916666666666663</v>
      </c>
    </row>
    <row r="1345" spans="1:12" x14ac:dyDescent="0.25">
      <c r="A1345" s="2">
        <v>44474</v>
      </c>
      <c r="B1345" s="2">
        <v>44326</v>
      </c>
      <c r="C1345" t="s">
        <v>16</v>
      </c>
      <c r="D1345" t="s">
        <v>1636</v>
      </c>
      <c r="E1345" s="5">
        <v>53000000</v>
      </c>
      <c r="F1345" s="5">
        <v>56000000</v>
      </c>
      <c r="G1345" s="5">
        <v>3000000</v>
      </c>
      <c r="H1345" s="5">
        <v>5300000</v>
      </c>
      <c r="I1345" s="5">
        <v>5600000</v>
      </c>
      <c r="J1345" s="5">
        <v>53500000</v>
      </c>
      <c r="K1345" s="5">
        <v>56500000</v>
      </c>
      <c r="L1345" s="3">
        <v>0.97916666666666663</v>
      </c>
    </row>
    <row r="1346" spans="1:12" x14ac:dyDescent="0.25">
      <c r="A1346" s="2">
        <v>44505</v>
      </c>
      <c r="B1346" s="2">
        <v>44327</v>
      </c>
      <c r="C1346" t="s">
        <v>18</v>
      </c>
      <c r="D1346" t="s">
        <v>1636</v>
      </c>
      <c r="E1346" s="5">
        <v>53000000</v>
      </c>
      <c r="F1346" s="5">
        <v>56000000</v>
      </c>
      <c r="G1346" s="5">
        <v>3000000</v>
      </c>
      <c r="H1346" s="5">
        <v>5300000</v>
      </c>
      <c r="I1346" s="5">
        <v>5600000</v>
      </c>
      <c r="J1346" s="5">
        <v>53500000</v>
      </c>
      <c r="K1346" s="5">
        <v>56500000</v>
      </c>
      <c r="L1346" s="3">
        <v>0.97916666666666663</v>
      </c>
    </row>
    <row r="1347" spans="1:12" x14ac:dyDescent="0.25">
      <c r="A1347" s="2">
        <v>44535</v>
      </c>
      <c r="B1347" s="2">
        <v>44328</v>
      </c>
      <c r="C1347" t="s">
        <v>19</v>
      </c>
      <c r="D1347" t="s">
        <v>1636</v>
      </c>
      <c r="E1347" s="5">
        <v>52600000</v>
      </c>
      <c r="F1347" s="5">
        <v>55600000</v>
      </c>
      <c r="G1347" s="5">
        <v>3000000</v>
      </c>
      <c r="H1347" s="5">
        <v>5260000</v>
      </c>
      <c r="I1347" s="5">
        <v>5560000</v>
      </c>
      <c r="J1347" s="5">
        <v>53100000</v>
      </c>
      <c r="K1347" s="5">
        <v>56100000</v>
      </c>
      <c r="L1347" s="3">
        <v>0.97916666666666663</v>
      </c>
    </row>
    <row r="1348" spans="1:12" x14ac:dyDescent="0.25">
      <c r="A1348" t="s">
        <v>832</v>
      </c>
      <c r="B1348" s="2">
        <v>44329</v>
      </c>
      <c r="C1348" t="s">
        <v>20</v>
      </c>
      <c r="D1348" t="s">
        <v>1636</v>
      </c>
      <c r="E1348" s="5">
        <v>52600000</v>
      </c>
      <c r="F1348" s="5">
        <v>55600000</v>
      </c>
      <c r="G1348" s="5">
        <v>3000000</v>
      </c>
      <c r="H1348" s="5">
        <v>5260000</v>
      </c>
      <c r="I1348" s="5">
        <v>5560000</v>
      </c>
      <c r="J1348" s="5">
        <v>53100000</v>
      </c>
      <c r="K1348" s="5">
        <v>56100000</v>
      </c>
      <c r="L1348" s="3">
        <v>0.97916666666666663</v>
      </c>
    </row>
    <row r="1349" spans="1:12" x14ac:dyDescent="0.25">
      <c r="A1349" t="s">
        <v>833</v>
      </c>
      <c r="B1349" s="2">
        <v>44330</v>
      </c>
      <c r="C1349" t="s">
        <v>21</v>
      </c>
      <c r="D1349" t="s">
        <v>1636</v>
      </c>
      <c r="E1349" s="5">
        <v>53100000</v>
      </c>
      <c r="F1349" s="5">
        <v>56100000</v>
      </c>
      <c r="G1349" s="5">
        <v>3000000</v>
      </c>
      <c r="H1349" s="5">
        <v>5310000</v>
      </c>
      <c r="I1349" s="5">
        <v>5610000</v>
      </c>
      <c r="J1349" s="5">
        <v>53600000</v>
      </c>
      <c r="K1349" s="5">
        <v>56600000</v>
      </c>
      <c r="L1349" s="3">
        <v>0.97916666666666663</v>
      </c>
    </row>
    <row r="1350" spans="1:12" x14ac:dyDescent="0.25">
      <c r="A1350" t="s">
        <v>834</v>
      </c>
      <c r="B1350" s="2">
        <v>44333</v>
      </c>
      <c r="C1350" t="s">
        <v>16</v>
      </c>
      <c r="D1350" t="s">
        <v>1636</v>
      </c>
      <c r="E1350" s="5">
        <v>54000000</v>
      </c>
      <c r="F1350" s="5">
        <v>57000000</v>
      </c>
      <c r="G1350" s="5">
        <v>3000000</v>
      </c>
      <c r="H1350" s="5">
        <v>5400000</v>
      </c>
      <c r="I1350" s="5">
        <v>5700000</v>
      </c>
      <c r="J1350" s="5">
        <v>54500000</v>
      </c>
      <c r="K1350" s="5">
        <v>57500000</v>
      </c>
      <c r="L1350" s="3">
        <v>0.97916666666666663</v>
      </c>
    </row>
    <row r="1351" spans="1:12" x14ac:dyDescent="0.25">
      <c r="A1351" t="s">
        <v>835</v>
      </c>
      <c r="B1351" s="2">
        <v>44334</v>
      </c>
      <c r="C1351" t="s">
        <v>18</v>
      </c>
      <c r="D1351" t="s">
        <v>1636</v>
      </c>
      <c r="E1351" s="5">
        <v>54000000</v>
      </c>
      <c r="F1351" s="5">
        <v>57000000</v>
      </c>
      <c r="G1351" s="5">
        <v>3000000</v>
      </c>
      <c r="H1351" s="5">
        <v>5400000</v>
      </c>
      <c r="I1351" s="5">
        <v>5700000</v>
      </c>
      <c r="J1351" s="5">
        <v>54500000</v>
      </c>
      <c r="K1351" s="5">
        <v>57500000</v>
      </c>
      <c r="L1351" s="3">
        <v>0.97916666666666663</v>
      </c>
    </row>
    <row r="1352" spans="1:12" x14ac:dyDescent="0.25">
      <c r="A1352" t="s">
        <v>836</v>
      </c>
      <c r="B1352" s="2">
        <v>44335</v>
      </c>
      <c r="C1352" t="s">
        <v>19</v>
      </c>
      <c r="D1352" t="s">
        <v>1636</v>
      </c>
      <c r="E1352" s="5">
        <v>54400000</v>
      </c>
      <c r="F1352" s="5">
        <v>57400000</v>
      </c>
      <c r="G1352" s="5">
        <v>3000000</v>
      </c>
      <c r="H1352" s="5">
        <v>5440000</v>
      </c>
      <c r="I1352" s="5">
        <v>5740000</v>
      </c>
      <c r="J1352" s="5">
        <v>54900000</v>
      </c>
      <c r="K1352" s="5">
        <v>57900000</v>
      </c>
      <c r="L1352" s="3">
        <v>0.97916666666666663</v>
      </c>
    </row>
    <row r="1353" spans="1:12" x14ac:dyDescent="0.25">
      <c r="A1353" t="s">
        <v>837</v>
      </c>
      <c r="B1353" s="2">
        <v>44336</v>
      </c>
      <c r="C1353" t="s">
        <v>20</v>
      </c>
      <c r="D1353" t="s">
        <v>1636</v>
      </c>
      <c r="E1353" s="5">
        <v>54400000</v>
      </c>
      <c r="F1353" s="5">
        <v>57400000</v>
      </c>
      <c r="G1353" s="5">
        <v>3000000</v>
      </c>
      <c r="H1353" s="5">
        <v>5440000</v>
      </c>
      <c r="I1353" s="5">
        <v>5740000</v>
      </c>
      <c r="J1353" s="5">
        <v>54900000</v>
      </c>
      <c r="K1353" s="5">
        <v>57900000</v>
      </c>
      <c r="L1353" s="3">
        <v>0.97916666666666663</v>
      </c>
    </row>
    <row r="1354" spans="1:12" x14ac:dyDescent="0.25">
      <c r="A1354" t="s">
        <v>838</v>
      </c>
      <c r="B1354" s="2">
        <v>44337</v>
      </c>
      <c r="C1354" t="s">
        <v>21</v>
      </c>
      <c r="D1354" t="s">
        <v>1636</v>
      </c>
      <c r="E1354" s="5">
        <v>54200000</v>
      </c>
      <c r="F1354" s="5">
        <v>57200000</v>
      </c>
      <c r="G1354" s="5">
        <v>3000000</v>
      </c>
      <c r="H1354" s="5">
        <v>5420000</v>
      </c>
      <c r="I1354" s="5">
        <v>5720000</v>
      </c>
      <c r="J1354" s="5">
        <v>54700000</v>
      </c>
      <c r="K1354" s="5">
        <v>57700000</v>
      </c>
      <c r="L1354" s="3">
        <v>0.97916666666666663</v>
      </c>
    </row>
    <row r="1355" spans="1:12" x14ac:dyDescent="0.25">
      <c r="A1355" t="s">
        <v>839</v>
      </c>
      <c r="B1355" s="2">
        <v>44340</v>
      </c>
      <c r="C1355" t="s">
        <v>16</v>
      </c>
      <c r="D1355" t="s">
        <v>1636</v>
      </c>
      <c r="E1355" s="5">
        <v>54500000</v>
      </c>
      <c r="F1355" s="5">
        <v>57500000</v>
      </c>
      <c r="G1355" s="5">
        <v>3000000</v>
      </c>
      <c r="H1355" s="5">
        <v>5450000</v>
      </c>
      <c r="I1355" s="5">
        <v>5750000</v>
      </c>
      <c r="J1355" s="5">
        <v>55000000</v>
      </c>
      <c r="K1355" s="5">
        <v>58000000</v>
      </c>
      <c r="L1355" s="3">
        <v>0.97916666666666663</v>
      </c>
    </row>
    <row r="1356" spans="1:12" x14ac:dyDescent="0.25">
      <c r="A1356" t="s">
        <v>840</v>
      </c>
      <c r="B1356" s="2">
        <v>44341</v>
      </c>
      <c r="C1356" t="s">
        <v>18</v>
      </c>
      <c r="D1356" t="s">
        <v>1636</v>
      </c>
      <c r="E1356" s="5">
        <v>54900000</v>
      </c>
      <c r="F1356" s="5">
        <v>57900000</v>
      </c>
      <c r="G1356" s="5">
        <v>3000000</v>
      </c>
      <c r="H1356" s="5">
        <v>5490000</v>
      </c>
      <c r="I1356" s="5">
        <v>5790000</v>
      </c>
      <c r="J1356" s="5">
        <v>55400000</v>
      </c>
      <c r="K1356" s="5">
        <v>58400000</v>
      </c>
      <c r="L1356" s="3">
        <v>0.97916666666666663</v>
      </c>
    </row>
    <row r="1357" spans="1:12" x14ac:dyDescent="0.25">
      <c r="A1357" t="s">
        <v>841</v>
      </c>
      <c r="B1357" s="2">
        <v>44342</v>
      </c>
      <c r="C1357" t="s">
        <v>19</v>
      </c>
      <c r="D1357" t="s">
        <v>1636</v>
      </c>
      <c r="E1357" s="5">
        <v>55000000</v>
      </c>
      <c r="F1357" s="5">
        <v>58000000</v>
      </c>
      <c r="G1357" s="5">
        <v>3000000</v>
      </c>
      <c r="H1357" s="5">
        <v>5500000</v>
      </c>
      <c r="I1357" s="5">
        <v>5800000</v>
      </c>
      <c r="J1357" s="5">
        <v>55500000</v>
      </c>
      <c r="K1357" s="5">
        <v>58500000</v>
      </c>
      <c r="L1357" s="3">
        <v>0.97916666666666663</v>
      </c>
    </row>
    <row r="1358" spans="1:12" x14ac:dyDescent="0.25">
      <c r="A1358" t="s">
        <v>842</v>
      </c>
      <c r="B1358" s="2">
        <v>44343</v>
      </c>
      <c r="C1358" t="s">
        <v>20</v>
      </c>
      <c r="D1358" t="s">
        <v>1636</v>
      </c>
      <c r="E1358" s="5">
        <v>54800000</v>
      </c>
      <c r="F1358" s="5">
        <v>57800000</v>
      </c>
      <c r="G1358" s="5">
        <v>3000000</v>
      </c>
      <c r="H1358" s="5">
        <v>5480000</v>
      </c>
      <c r="I1358" s="5">
        <v>5780000</v>
      </c>
      <c r="J1358" s="5">
        <v>55300000</v>
      </c>
      <c r="K1358" s="5">
        <v>58300000</v>
      </c>
      <c r="L1358" s="3">
        <v>0.97916666666666663</v>
      </c>
    </row>
    <row r="1359" spans="1:12" x14ac:dyDescent="0.25">
      <c r="A1359" t="s">
        <v>843</v>
      </c>
      <c r="B1359" s="2">
        <v>44344</v>
      </c>
      <c r="C1359" t="s">
        <v>21</v>
      </c>
      <c r="D1359" t="s">
        <v>1636</v>
      </c>
      <c r="E1359" s="5">
        <v>55000000</v>
      </c>
      <c r="F1359" s="5">
        <v>58000000</v>
      </c>
      <c r="G1359" s="5">
        <v>3000000</v>
      </c>
      <c r="H1359" s="5">
        <v>5500000</v>
      </c>
      <c r="I1359" s="5">
        <v>5800000</v>
      </c>
      <c r="J1359" s="5">
        <v>55500000</v>
      </c>
      <c r="K1359" s="5">
        <v>58500000</v>
      </c>
      <c r="L1359" s="3">
        <v>0.97916666666666663</v>
      </c>
    </row>
    <row r="1360" spans="1:12" x14ac:dyDescent="0.25">
      <c r="A1360" s="2">
        <v>44202</v>
      </c>
      <c r="B1360" s="2">
        <v>44348</v>
      </c>
      <c r="C1360" t="s">
        <v>18</v>
      </c>
      <c r="D1360" t="s">
        <v>1636</v>
      </c>
      <c r="E1360" s="5">
        <v>55000000</v>
      </c>
      <c r="F1360" s="5">
        <v>58000000</v>
      </c>
      <c r="G1360" s="5">
        <v>3000000</v>
      </c>
      <c r="H1360" s="5">
        <v>5500000</v>
      </c>
      <c r="I1360" s="5">
        <v>5800000</v>
      </c>
      <c r="J1360" s="5">
        <v>55500000</v>
      </c>
      <c r="K1360" s="5">
        <v>58500000</v>
      </c>
      <c r="L1360" s="3">
        <v>0.97916666666666663</v>
      </c>
    </row>
    <row r="1361" spans="1:12" x14ac:dyDescent="0.25">
      <c r="A1361" s="2">
        <v>44233</v>
      </c>
      <c r="B1361" s="2">
        <v>44349</v>
      </c>
      <c r="C1361" t="s">
        <v>19</v>
      </c>
      <c r="D1361" t="s">
        <v>1636</v>
      </c>
      <c r="E1361" s="5">
        <v>55200000</v>
      </c>
      <c r="F1361" s="5">
        <v>58200000</v>
      </c>
      <c r="G1361" s="5">
        <v>3000000</v>
      </c>
      <c r="H1361" s="5">
        <v>5520000</v>
      </c>
      <c r="I1361" s="5">
        <v>5820000</v>
      </c>
      <c r="J1361" s="5">
        <v>55700000</v>
      </c>
      <c r="K1361" s="5">
        <v>58700000</v>
      </c>
      <c r="L1361" s="3">
        <v>0.97916666666666663</v>
      </c>
    </row>
    <row r="1362" spans="1:12" x14ac:dyDescent="0.25">
      <c r="A1362" s="2">
        <v>44261</v>
      </c>
      <c r="B1362" s="2">
        <v>44350</v>
      </c>
      <c r="C1362" t="s">
        <v>20</v>
      </c>
      <c r="D1362" t="s">
        <v>1636</v>
      </c>
      <c r="E1362" s="5">
        <v>54100000</v>
      </c>
      <c r="F1362" s="5">
        <v>57100000</v>
      </c>
      <c r="G1362" s="5">
        <v>3000000</v>
      </c>
      <c r="H1362" s="5">
        <v>5410000</v>
      </c>
      <c r="I1362" s="5">
        <v>5710000</v>
      </c>
      <c r="J1362" s="5">
        <v>54600000</v>
      </c>
      <c r="K1362" s="5">
        <v>57600000</v>
      </c>
      <c r="L1362" s="3">
        <v>0.97916666666666663</v>
      </c>
    </row>
    <row r="1363" spans="1:12" x14ac:dyDescent="0.25">
      <c r="A1363" s="2">
        <v>44292</v>
      </c>
      <c r="B1363" s="2">
        <v>44351</v>
      </c>
      <c r="C1363" t="s">
        <v>21</v>
      </c>
      <c r="D1363" t="s">
        <v>1636</v>
      </c>
      <c r="E1363" s="5">
        <v>54600000</v>
      </c>
      <c r="F1363" s="5">
        <v>57600000</v>
      </c>
      <c r="G1363" s="5">
        <v>3000000</v>
      </c>
      <c r="H1363" s="5">
        <v>5460000</v>
      </c>
      <c r="I1363" s="5">
        <v>5760000</v>
      </c>
      <c r="J1363" s="5">
        <v>55100000</v>
      </c>
      <c r="K1363" s="5">
        <v>58100000</v>
      </c>
      <c r="L1363" s="3">
        <v>0.97916666666666663</v>
      </c>
    </row>
    <row r="1364" spans="1:12" x14ac:dyDescent="0.25">
      <c r="A1364" s="2">
        <v>44383</v>
      </c>
      <c r="B1364" s="2">
        <v>44354</v>
      </c>
      <c r="C1364" t="s">
        <v>16</v>
      </c>
      <c r="D1364" t="s">
        <v>1636</v>
      </c>
      <c r="E1364" s="5">
        <v>54900000</v>
      </c>
      <c r="F1364" s="5">
        <v>57900000</v>
      </c>
      <c r="G1364" s="5">
        <v>3000000</v>
      </c>
      <c r="H1364" s="5">
        <v>5490000</v>
      </c>
      <c r="I1364" s="5">
        <v>5790000</v>
      </c>
      <c r="J1364" s="5">
        <v>55400000</v>
      </c>
      <c r="K1364" s="5">
        <v>58400000</v>
      </c>
      <c r="L1364" s="3">
        <v>0.97916666666666663</v>
      </c>
    </row>
    <row r="1365" spans="1:12" x14ac:dyDescent="0.25">
      <c r="A1365" s="2">
        <v>44414</v>
      </c>
      <c r="B1365" s="2">
        <v>44355</v>
      </c>
      <c r="C1365" t="s">
        <v>18</v>
      </c>
      <c r="D1365" t="s">
        <v>1636</v>
      </c>
      <c r="E1365" s="5">
        <v>54700000</v>
      </c>
      <c r="F1365" s="5">
        <v>57700000</v>
      </c>
      <c r="G1365" s="5">
        <v>3000000</v>
      </c>
      <c r="H1365" s="5">
        <v>5470000</v>
      </c>
      <c r="I1365" s="5">
        <v>5770000</v>
      </c>
      <c r="J1365" s="5">
        <v>55200000</v>
      </c>
      <c r="K1365" s="5">
        <v>58200000</v>
      </c>
      <c r="L1365" s="3">
        <v>0.97916666666666663</v>
      </c>
    </row>
    <row r="1366" spans="1:12" x14ac:dyDescent="0.25">
      <c r="A1366" s="2">
        <v>44445</v>
      </c>
      <c r="B1366" s="2">
        <v>44356</v>
      </c>
      <c r="C1366" t="s">
        <v>19</v>
      </c>
      <c r="D1366" t="s">
        <v>1636</v>
      </c>
      <c r="E1366" s="5">
        <v>54700000</v>
      </c>
      <c r="F1366" s="5">
        <v>57700000</v>
      </c>
      <c r="G1366" s="5">
        <v>3000000</v>
      </c>
      <c r="H1366" s="5">
        <v>5470000</v>
      </c>
      <c r="I1366" s="5">
        <v>5770000</v>
      </c>
      <c r="J1366" s="5">
        <v>55200000</v>
      </c>
      <c r="K1366" s="5">
        <v>58200000</v>
      </c>
      <c r="L1366" s="3">
        <v>0.97916666666666663</v>
      </c>
    </row>
    <row r="1367" spans="1:12" x14ac:dyDescent="0.25">
      <c r="A1367" s="2">
        <v>44475</v>
      </c>
      <c r="B1367" s="2">
        <v>44357</v>
      </c>
      <c r="C1367" t="s">
        <v>20</v>
      </c>
      <c r="D1367" t="s">
        <v>1636</v>
      </c>
      <c r="E1367" s="5">
        <v>54800000</v>
      </c>
      <c r="F1367" s="5">
        <v>57800000</v>
      </c>
      <c r="G1367" s="5">
        <v>3000000</v>
      </c>
      <c r="H1367" s="5">
        <v>5480000</v>
      </c>
      <c r="I1367" s="5">
        <v>5780000</v>
      </c>
      <c r="J1367" s="5">
        <v>55300000</v>
      </c>
      <c r="K1367" s="5">
        <v>58300000</v>
      </c>
      <c r="L1367" s="3">
        <v>0.97916666666666663</v>
      </c>
    </row>
    <row r="1368" spans="1:12" x14ac:dyDescent="0.25">
      <c r="A1368" s="2">
        <v>44506</v>
      </c>
      <c r="B1368" s="2">
        <v>44358</v>
      </c>
      <c r="C1368" t="s">
        <v>21</v>
      </c>
      <c r="D1368" t="s">
        <v>1636</v>
      </c>
      <c r="E1368" s="5">
        <v>54300000</v>
      </c>
      <c r="F1368" s="5">
        <v>57300000</v>
      </c>
      <c r="G1368" s="5">
        <v>3000000</v>
      </c>
      <c r="H1368" s="5">
        <v>5430000</v>
      </c>
      <c r="I1368" s="5">
        <v>5730000</v>
      </c>
      <c r="J1368" s="5">
        <v>54800000</v>
      </c>
      <c r="K1368" s="5">
        <v>57800000</v>
      </c>
      <c r="L1368" s="3">
        <v>0.97916666666666663</v>
      </c>
    </row>
    <row r="1369" spans="1:12" x14ac:dyDescent="0.25">
      <c r="A1369" t="s">
        <v>844</v>
      </c>
      <c r="B1369" s="2">
        <v>44361</v>
      </c>
      <c r="C1369" t="s">
        <v>16</v>
      </c>
      <c r="D1369" t="s">
        <v>1636</v>
      </c>
      <c r="E1369" s="5">
        <v>53900000</v>
      </c>
      <c r="F1369" s="5">
        <v>56900000</v>
      </c>
      <c r="G1369" s="5">
        <v>3000000</v>
      </c>
      <c r="H1369" s="5">
        <v>5390000</v>
      </c>
      <c r="I1369" s="5">
        <v>5690000</v>
      </c>
      <c r="J1369" s="5">
        <v>54400000</v>
      </c>
      <c r="K1369" s="5">
        <v>57400000</v>
      </c>
      <c r="L1369" s="3">
        <v>0.97916666666666663</v>
      </c>
    </row>
    <row r="1370" spans="1:12" x14ac:dyDescent="0.25">
      <c r="A1370" t="s">
        <v>845</v>
      </c>
      <c r="B1370" s="2">
        <v>44362</v>
      </c>
      <c r="C1370" t="s">
        <v>18</v>
      </c>
      <c r="D1370" t="s">
        <v>1636</v>
      </c>
      <c r="E1370" s="5">
        <v>53600000</v>
      </c>
      <c r="F1370" s="5">
        <v>56600000</v>
      </c>
      <c r="G1370" s="5">
        <v>3000000</v>
      </c>
      <c r="H1370" s="5">
        <v>5360000</v>
      </c>
      <c r="I1370" s="5">
        <v>5660000</v>
      </c>
      <c r="J1370" s="5">
        <v>54100000</v>
      </c>
      <c r="K1370" s="5">
        <v>57100000</v>
      </c>
      <c r="L1370" s="3">
        <v>0.97916666666666663</v>
      </c>
    </row>
    <row r="1371" spans="1:12" x14ac:dyDescent="0.25">
      <c r="A1371" t="s">
        <v>846</v>
      </c>
      <c r="B1371" s="2">
        <v>44363</v>
      </c>
      <c r="C1371" t="s">
        <v>19</v>
      </c>
      <c r="D1371" t="s">
        <v>1636</v>
      </c>
      <c r="E1371" s="5">
        <v>53700000</v>
      </c>
      <c r="F1371" s="5">
        <v>56700000</v>
      </c>
      <c r="G1371" s="5">
        <v>3000000</v>
      </c>
      <c r="H1371" s="5">
        <v>5370000</v>
      </c>
      <c r="I1371" s="5">
        <v>5670000</v>
      </c>
      <c r="J1371" s="5">
        <v>54200000</v>
      </c>
      <c r="K1371" s="5">
        <v>57200000</v>
      </c>
      <c r="L1371" s="3">
        <v>0.97916666666666663</v>
      </c>
    </row>
    <row r="1372" spans="1:12" x14ac:dyDescent="0.25">
      <c r="A1372" t="s">
        <v>847</v>
      </c>
      <c r="B1372" s="2">
        <v>44364</v>
      </c>
      <c r="C1372" t="s">
        <v>20</v>
      </c>
      <c r="D1372" t="s">
        <v>1636</v>
      </c>
      <c r="E1372" s="5">
        <v>51100000</v>
      </c>
      <c r="F1372" s="5">
        <v>54100000</v>
      </c>
      <c r="G1372" s="5">
        <v>3000000</v>
      </c>
      <c r="H1372" s="5">
        <v>5110000</v>
      </c>
      <c r="I1372" s="5">
        <v>5410000</v>
      </c>
      <c r="J1372" s="5">
        <v>51600000</v>
      </c>
      <c r="K1372" s="5">
        <v>54600000</v>
      </c>
      <c r="L1372" s="3">
        <v>0.97916666666666663</v>
      </c>
    </row>
    <row r="1373" spans="1:12" x14ac:dyDescent="0.25">
      <c r="A1373" t="s">
        <v>848</v>
      </c>
      <c r="B1373" s="2">
        <v>44365</v>
      </c>
      <c r="C1373" t="s">
        <v>21</v>
      </c>
      <c r="D1373" t="s">
        <v>1636</v>
      </c>
      <c r="E1373" s="5">
        <v>50900000</v>
      </c>
      <c r="F1373" s="5">
        <v>53900000</v>
      </c>
      <c r="G1373" s="5">
        <v>3000000</v>
      </c>
      <c r="H1373" s="5">
        <v>5090000</v>
      </c>
      <c r="I1373" s="5">
        <v>5390000</v>
      </c>
      <c r="J1373" s="5">
        <v>51400000</v>
      </c>
      <c r="K1373" s="5">
        <v>54400000</v>
      </c>
      <c r="L1373" s="3">
        <v>0.97916666666666663</v>
      </c>
    </row>
    <row r="1374" spans="1:12" x14ac:dyDescent="0.25">
      <c r="A1374" t="s">
        <v>849</v>
      </c>
      <c r="B1374" s="2">
        <v>44368</v>
      </c>
      <c r="C1374" t="s">
        <v>16</v>
      </c>
      <c r="D1374" t="s">
        <v>1636</v>
      </c>
      <c r="E1374" s="5">
        <v>51400000</v>
      </c>
      <c r="F1374" s="5">
        <v>54400000</v>
      </c>
      <c r="G1374" s="5">
        <v>3000000</v>
      </c>
      <c r="H1374" s="5">
        <v>5140000</v>
      </c>
      <c r="I1374" s="5">
        <v>5440000</v>
      </c>
      <c r="J1374" s="5">
        <v>51900000</v>
      </c>
      <c r="K1374" s="5">
        <v>54900000</v>
      </c>
      <c r="L1374" s="3">
        <v>0.97916666666666663</v>
      </c>
    </row>
    <row r="1375" spans="1:12" x14ac:dyDescent="0.25">
      <c r="A1375" t="s">
        <v>850</v>
      </c>
      <c r="B1375" s="2">
        <v>44369</v>
      </c>
      <c r="C1375" t="s">
        <v>18</v>
      </c>
      <c r="D1375" t="s">
        <v>1636</v>
      </c>
      <c r="E1375" s="5">
        <v>51200000</v>
      </c>
      <c r="F1375" s="5">
        <v>54200000</v>
      </c>
      <c r="G1375" s="5">
        <v>3000000</v>
      </c>
      <c r="H1375" s="5">
        <v>5120000</v>
      </c>
      <c r="I1375" s="5">
        <v>5420000</v>
      </c>
      <c r="J1375" s="5">
        <v>51700000</v>
      </c>
      <c r="K1375" s="5">
        <v>54700000</v>
      </c>
      <c r="L1375" s="3">
        <v>0.97916666666666663</v>
      </c>
    </row>
    <row r="1376" spans="1:12" x14ac:dyDescent="0.25">
      <c r="A1376" t="s">
        <v>851</v>
      </c>
      <c r="B1376" s="2">
        <v>44370</v>
      </c>
      <c r="C1376" t="s">
        <v>19</v>
      </c>
      <c r="D1376" t="s">
        <v>1636</v>
      </c>
      <c r="E1376" s="5">
        <v>51400000</v>
      </c>
      <c r="F1376" s="5">
        <v>54400000</v>
      </c>
      <c r="G1376" s="5">
        <v>3000000</v>
      </c>
      <c r="H1376" s="5">
        <v>5140000</v>
      </c>
      <c r="I1376" s="5">
        <v>5440000</v>
      </c>
      <c r="J1376" s="5">
        <v>51900000</v>
      </c>
      <c r="K1376" s="5">
        <v>54900000</v>
      </c>
      <c r="L1376" s="3">
        <v>0.97916666666666663</v>
      </c>
    </row>
    <row r="1377" spans="1:12" x14ac:dyDescent="0.25">
      <c r="A1377" t="s">
        <v>852</v>
      </c>
      <c r="B1377" s="2">
        <v>44371</v>
      </c>
      <c r="C1377" t="s">
        <v>20</v>
      </c>
      <c r="D1377" t="s">
        <v>1636</v>
      </c>
      <c r="E1377" s="5">
        <v>51200000</v>
      </c>
      <c r="F1377" s="5">
        <v>54200000</v>
      </c>
      <c r="G1377" s="5">
        <v>3000000</v>
      </c>
      <c r="H1377" s="5">
        <v>5120000</v>
      </c>
      <c r="I1377" s="5">
        <v>5420000</v>
      </c>
      <c r="J1377" s="5">
        <v>51700000</v>
      </c>
      <c r="K1377" s="5">
        <v>54700000</v>
      </c>
      <c r="L1377" s="3">
        <v>0.97916666666666663</v>
      </c>
    </row>
    <row r="1378" spans="1:12" x14ac:dyDescent="0.25">
      <c r="A1378" t="s">
        <v>853</v>
      </c>
      <c r="B1378" s="2">
        <v>44372</v>
      </c>
      <c r="C1378" t="s">
        <v>21</v>
      </c>
      <c r="D1378" t="s">
        <v>1636</v>
      </c>
      <c r="E1378" s="5">
        <v>51200000</v>
      </c>
      <c r="F1378" s="5">
        <v>54200000</v>
      </c>
      <c r="G1378" s="5">
        <v>3000000</v>
      </c>
      <c r="H1378" s="5">
        <v>5120000</v>
      </c>
      <c r="I1378" s="5">
        <v>5420000</v>
      </c>
      <c r="J1378" s="5">
        <v>51700000</v>
      </c>
      <c r="K1378" s="5">
        <v>54700000</v>
      </c>
      <c r="L1378" s="3">
        <v>0.97916666666666663</v>
      </c>
    </row>
    <row r="1379" spans="1:12" x14ac:dyDescent="0.25">
      <c r="A1379" t="s">
        <v>854</v>
      </c>
      <c r="B1379" s="2">
        <v>44375</v>
      </c>
      <c r="C1379" t="s">
        <v>16</v>
      </c>
      <c r="D1379" t="s">
        <v>1636</v>
      </c>
      <c r="E1379" s="5">
        <v>51300000</v>
      </c>
      <c r="F1379" s="5">
        <v>54300000</v>
      </c>
      <c r="G1379" s="5">
        <v>3000000</v>
      </c>
      <c r="H1379" s="5">
        <v>5130000</v>
      </c>
      <c r="I1379" s="5">
        <v>5430000</v>
      </c>
      <c r="J1379" s="5">
        <v>51800000</v>
      </c>
      <c r="K1379" s="5">
        <v>54800000</v>
      </c>
      <c r="L1379" s="3">
        <v>0.97916666666666663</v>
      </c>
    </row>
    <row r="1380" spans="1:12" x14ac:dyDescent="0.25">
      <c r="A1380" t="s">
        <v>855</v>
      </c>
      <c r="B1380" s="2">
        <v>44376</v>
      </c>
      <c r="C1380" t="s">
        <v>18</v>
      </c>
      <c r="D1380" t="s">
        <v>1636</v>
      </c>
      <c r="E1380" s="5">
        <v>50800000</v>
      </c>
      <c r="F1380" s="5">
        <v>53800000</v>
      </c>
      <c r="G1380" s="5">
        <v>3000000</v>
      </c>
      <c r="H1380" s="5">
        <v>5080000</v>
      </c>
      <c r="I1380" s="5">
        <v>5380000</v>
      </c>
      <c r="J1380" s="5">
        <v>51300000</v>
      </c>
      <c r="K1380" s="5">
        <v>54300000</v>
      </c>
      <c r="L1380" s="3">
        <v>0.97916666666666663</v>
      </c>
    </row>
    <row r="1381" spans="1:12" x14ac:dyDescent="0.25">
      <c r="A1381" t="s">
        <v>856</v>
      </c>
      <c r="B1381" s="2">
        <v>44377</v>
      </c>
      <c r="C1381" t="s">
        <v>19</v>
      </c>
      <c r="D1381" t="s">
        <v>1636</v>
      </c>
      <c r="E1381" s="5">
        <v>51000000</v>
      </c>
      <c r="F1381" s="5">
        <v>54000000</v>
      </c>
      <c r="G1381" s="5">
        <v>3000000</v>
      </c>
      <c r="H1381" s="5">
        <v>5100000</v>
      </c>
      <c r="I1381" s="5">
        <v>5400000</v>
      </c>
      <c r="J1381" s="5">
        <v>51500000</v>
      </c>
      <c r="K1381" s="5">
        <v>54500000</v>
      </c>
      <c r="L1381" s="3">
        <v>0.97916666666666663</v>
      </c>
    </row>
    <row r="1382" spans="1:12" x14ac:dyDescent="0.25">
      <c r="A1382" s="2">
        <v>44203</v>
      </c>
      <c r="B1382" s="2">
        <v>44378</v>
      </c>
      <c r="C1382" t="s">
        <v>20</v>
      </c>
      <c r="D1382" t="s">
        <v>1636</v>
      </c>
      <c r="E1382" s="5">
        <v>51200000</v>
      </c>
      <c r="F1382" s="5">
        <v>54200000</v>
      </c>
      <c r="G1382" s="5">
        <v>3000000</v>
      </c>
      <c r="H1382" s="5">
        <v>5120000</v>
      </c>
      <c r="I1382" s="5">
        <v>5420000</v>
      </c>
      <c r="J1382" s="5">
        <v>51700000</v>
      </c>
      <c r="K1382" s="5">
        <v>54700000</v>
      </c>
      <c r="L1382" s="3">
        <v>0.97916666666666663</v>
      </c>
    </row>
    <row r="1383" spans="1:12" x14ac:dyDescent="0.25">
      <c r="A1383" s="2">
        <v>44234</v>
      </c>
      <c r="B1383" s="2">
        <v>44379</v>
      </c>
      <c r="C1383" t="s">
        <v>21</v>
      </c>
      <c r="D1383" t="s">
        <v>1636</v>
      </c>
      <c r="E1383" s="5">
        <v>51400000</v>
      </c>
      <c r="F1383" s="5">
        <v>54400000</v>
      </c>
      <c r="G1383" s="5">
        <v>3000000</v>
      </c>
      <c r="H1383" s="5">
        <v>5140000</v>
      </c>
      <c r="I1383" s="5">
        <v>5440000</v>
      </c>
      <c r="J1383" s="5">
        <v>51900000</v>
      </c>
      <c r="K1383" s="5">
        <v>54900000</v>
      </c>
      <c r="L1383" s="3">
        <v>0.97916666666666663</v>
      </c>
    </row>
    <row r="1384" spans="1:12" x14ac:dyDescent="0.25">
      <c r="A1384" s="2">
        <v>44354</v>
      </c>
      <c r="B1384" s="2">
        <v>44383</v>
      </c>
      <c r="C1384" t="s">
        <v>18</v>
      </c>
      <c r="D1384" t="s">
        <v>1636</v>
      </c>
      <c r="E1384" s="5">
        <v>51700000</v>
      </c>
      <c r="F1384" s="5">
        <v>54700000</v>
      </c>
      <c r="G1384" s="5">
        <v>3000000</v>
      </c>
      <c r="H1384" s="5">
        <v>5170000</v>
      </c>
      <c r="I1384" s="5">
        <v>5470000</v>
      </c>
      <c r="J1384" s="5">
        <v>52200000</v>
      </c>
      <c r="K1384" s="5">
        <v>55200000</v>
      </c>
      <c r="L1384" s="3">
        <v>0.97916666666666663</v>
      </c>
    </row>
    <row r="1385" spans="1:12" x14ac:dyDescent="0.25">
      <c r="A1385" s="2">
        <v>44384</v>
      </c>
      <c r="B1385" s="2">
        <v>44384</v>
      </c>
      <c r="C1385" t="s">
        <v>19</v>
      </c>
      <c r="D1385" t="s">
        <v>1636</v>
      </c>
      <c r="E1385" s="5">
        <v>52000000</v>
      </c>
      <c r="F1385" s="5">
        <v>55000000</v>
      </c>
      <c r="G1385" s="5">
        <v>3000000</v>
      </c>
      <c r="H1385" s="5">
        <v>5200000</v>
      </c>
      <c r="I1385" s="5">
        <v>5500000</v>
      </c>
      <c r="J1385" s="5">
        <v>52500000</v>
      </c>
      <c r="K1385" s="5">
        <v>55500000</v>
      </c>
      <c r="L1385" s="3">
        <v>0.97916666666666663</v>
      </c>
    </row>
    <row r="1386" spans="1:12" x14ac:dyDescent="0.25">
      <c r="A1386" s="2">
        <v>44415</v>
      </c>
      <c r="B1386" s="2">
        <v>44385</v>
      </c>
      <c r="C1386" t="s">
        <v>20</v>
      </c>
      <c r="D1386" t="s">
        <v>1636</v>
      </c>
      <c r="E1386" s="5">
        <v>51900000</v>
      </c>
      <c r="F1386" s="5">
        <v>54900000</v>
      </c>
      <c r="G1386" s="5">
        <v>3000000</v>
      </c>
      <c r="H1386" s="5">
        <v>5190000</v>
      </c>
      <c r="I1386" s="5">
        <v>5490000</v>
      </c>
      <c r="J1386" s="5">
        <v>52400000</v>
      </c>
      <c r="K1386" s="5">
        <v>55400000</v>
      </c>
      <c r="L1386" s="3">
        <v>0.97916666666666663</v>
      </c>
    </row>
    <row r="1387" spans="1:12" x14ac:dyDescent="0.25">
      <c r="A1387" s="2">
        <v>44446</v>
      </c>
      <c r="B1387" s="2">
        <v>44386</v>
      </c>
      <c r="C1387" t="s">
        <v>21</v>
      </c>
      <c r="D1387" t="s">
        <v>1636</v>
      </c>
      <c r="E1387" s="5">
        <v>52200000</v>
      </c>
      <c r="F1387" s="5">
        <v>55200000</v>
      </c>
      <c r="G1387" s="5">
        <v>3000000</v>
      </c>
      <c r="H1387" s="5">
        <v>5220000</v>
      </c>
      <c r="I1387" s="5">
        <v>5520000</v>
      </c>
      <c r="J1387" s="5">
        <v>52700000</v>
      </c>
      <c r="K1387" s="5">
        <v>55700000</v>
      </c>
      <c r="L1387" s="3">
        <v>0.97916666666666663</v>
      </c>
    </row>
    <row r="1388" spans="1:12" x14ac:dyDescent="0.25">
      <c r="A1388" s="2">
        <v>44537</v>
      </c>
      <c r="B1388" s="2">
        <v>44389</v>
      </c>
      <c r="C1388" t="s">
        <v>16</v>
      </c>
      <c r="D1388" t="s">
        <v>1636</v>
      </c>
      <c r="E1388" s="5">
        <v>52100000</v>
      </c>
      <c r="F1388" s="5">
        <v>55100000</v>
      </c>
      <c r="G1388" s="5">
        <v>3000000</v>
      </c>
      <c r="H1388" s="5">
        <v>5210000</v>
      </c>
      <c r="I1388" s="5">
        <v>5510000</v>
      </c>
      <c r="J1388" s="5">
        <v>52600000</v>
      </c>
      <c r="K1388" s="5">
        <v>55600000</v>
      </c>
      <c r="L1388" s="3">
        <v>0.97916666666666663</v>
      </c>
    </row>
    <row r="1389" spans="1:12" x14ac:dyDescent="0.25">
      <c r="A1389" t="s">
        <v>857</v>
      </c>
      <c r="B1389" s="2">
        <v>44390</v>
      </c>
      <c r="C1389" t="s">
        <v>18</v>
      </c>
      <c r="D1389" t="s">
        <v>1636</v>
      </c>
      <c r="E1389" s="5">
        <v>52200000</v>
      </c>
      <c r="F1389" s="5">
        <v>55200000</v>
      </c>
      <c r="G1389" s="5">
        <v>3000000</v>
      </c>
      <c r="H1389" s="5">
        <v>5220000</v>
      </c>
      <c r="I1389" s="5">
        <v>5520000</v>
      </c>
      <c r="J1389" s="5">
        <v>52700000</v>
      </c>
      <c r="K1389" s="5">
        <v>55700000</v>
      </c>
      <c r="L1389" s="3">
        <v>0.97916666666666663</v>
      </c>
    </row>
    <row r="1390" spans="1:12" x14ac:dyDescent="0.25">
      <c r="A1390" t="s">
        <v>858</v>
      </c>
      <c r="B1390" s="2">
        <v>44391</v>
      </c>
      <c r="C1390" t="s">
        <v>19</v>
      </c>
      <c r="D1390" t="s">
        <v>1636</v>
      </c>
      <c r="E1390" s="5">
        <v>52600000</v>
      </c>
      <c r="F1390" s="5">
        <v>55600000</v>
      </c>
      <c r="G1390" s="5">
        <v>3000000</v>
      </c>
      <c r="H1390" s="5">
        <v>5260000</v>
      </c>
      <c r="I1390" s="5">
        <v>5560000</v>
      </c>
      <c r="J1390" s="5">
        <v>53100000</v>
      </c>
      <c r="K1390" s="5">
        <v>56100000</v>
      </c>
      <c r="L1390" s="3">
        <v>0.97916666666666663</v>
      </c>
    </row>
    <row r="1391" spans="1:12" x14ac:dyDescent="0.25">
      <c r="A1391" t="s">
        <v>859</v>
      </c>
      <c r="B1391" s="2">
        <v>44392</v>
      </c>
      <c r="C1391" t="s">
        <v>20</v>
      </c>
      <c r="D1391" t="s">
        <v>1636</v>
      </c>
      <c r="E1391" s="5">
        <v>52800000</v>
      </c>
      <c r="F1391" s="5">
        <v>55800000</v>
      </c>
      <c r="G1391" s="5">
        <v>3000000</v>
      </c>
      <c r="H1391" s="5">
        <v>5280000</v>
      </c>
      <c r="I1391" s="5">
        <v>5580000</v>
      </c>
      <c r="J1391" s="5">
        <v>53300000</v>
      </c>
      <c r="K1391" s="5">
        <v>56300000</v>
      </c>
      <c r="L1391" s="3">
        <v>0.97916666666666663</v>
      </c>
    </row>
    <row r="1392" spans="1:12" x14ac:dyDescent="0.25">
      <c r="A1392" t="s">
        <v>860</v>
      </c>
      <c r="B1392" s="2">
        <v>44393</v>
      </c>
      <c r="C1392" t="s">
        <v>21</v>
      </c>
      <c r="D1392" t="s">
        <v>1636</v>
      </c>
      <c r="E1392" s="5">
        <v>52300000</v>
      </c>
      <c r="F1392" s="5">
        <v>55300000</v>
      </c>
      <c r="G1392" s="5">
        <v>3000000</v>
      </c>
      <c r="H1392" s="5">
        <v>5230000</v>
      </c>
      <c r="I1392" s="5">
        <v>5530000</v>
      </c>
      <c r="J1392" s="5">
        <v>52800000</v>
      </c>
      <c r="K1392" s="5">
        <v>55800000</v>
      </c>
      <c r="L1392" s="3">
        <v>0.97916666666666663</v>
      </c>
    </row>
    <row r="1393" spans="1:12" x14ac:dyDescent="0.25">
      <c r="A1393" t="s">
        <v>861</v>
      </c>
      <c r="B1393" s="2">
        <v>44396</v>
      </c>
      <c r="C1393" t="s">
        <v>16</v>
      </c>
      <c r="D1393" t="s">
        <v>1636</v>
      </c>
      <c r="E1393" s="5">
        <v>52200000</v>
      </c>
      <c r="F1393" s="5">
        <v>55200000</v>
      </c>
      <c r="G1393" s="5">
        <v>3000000</v>
      </c>
      <c r="H1393" s="5">
        <v>5220000</v>
      </c>
      <c r="I1393" s="5">
        <v>5520000</v>
      </c>
      <c r="J1393" s="5">
        <v>52700000</v>
      </c>
      <c r="K1393" s="5">
        <v>55700000</v>
      </c>
      <c r="L1393" s="3">
        <v>0.97916666666666663</v>
      </c>
    </row>
    <row r="1394" spans="1:12" x14ac:dyDescent="0.25">
      <c r="A1394" t="s">
        <v>862</v>
      </c>
      <c r="B1394" s="2">
        <v>44397</v>
      </c>
      <c r="C1394" t="s">
        <v>18</v>
      </c>
      <c r="D1394" t="s">
        <v>1636</v>
      </c>
      <c r="E1394" s="5">
        <v>52200000</v>
      </c>
      <c r="F1394" s="5">
        <v>55200000</v>
      </c>
      <c r="G1394" s="5">
        <v>3000000</v>
      </c>
      <c r="H1394" s="5">
        <v>5220000</v>
      </c>
      <c r="I1394" s="5">
        <v>5520000</v>
      </c>
      <c r="J1394" s="5">
        <v>52700000</v>
      </c>
      <c r="K1394" s="5">
        <v>55700000</v>
      </c>
      <c r="L1394" s="3">
        <v>0.97916666666666663</v>
      </c>
    </row>
    <row r="1395" spans="1:12" x14ac:dyDescent="0.25">
      <c r="A1395" t="s">
        <v>863</v>
      </c>
      <c r="B1395" s="2">
        <v>44398</v>
      </c>
      <c r="C1395" t="s">
        <v>19</v>
      </c>
      <c r="D1395" t="s">
        <v>1636</v>
      </c>
      <c r="E1395" s="5">
        <v>52000000</v>
      </c>
      <c r="F1395" s="5">
        <v>55000000</v>
      </c>
      <c r="G1395" s="5">
        <v>3000000</v>
      </c>
      <c r="H1395" s="5">
        <v>5200000</v>
      </c>
      <c r="I1395" s="5">
        <v>5500000</v>
      </c>
      <c r="J1395" s="5">
        <v>52500000</v>
      </c>
      <c r="K1395" s="5">
        <v>55500000</v>
      </c>
      <c r="L1395" s="3">
        <v>0.97916666666666663</v>
      </c>
    </row>
    <row r="1396" spans="1:12" x14ac:dyDescent="0.25">
      <c r="A1396" t="s">
        <v>864</v>
      </c>
      <c r="B1396" s="2">
        <v>44399</v>
      </c>
      <c r="C1396" t="s">
        <v>20</v>
      </c>
      <c r="D1396" t="s">
        <v>1636</v>
      </c>
      <c r="E1396" s="5">
        <v>52100000</v>
      </c>
      <c r="F1396" s="5">
        <v>55100000</v>
      </c>
      <c r="G1396" s="5">
        <v>3000000</v>
      </c>
      <c r="H1396" s="5">
        <v>5210000</v>
      </c>
      <c r="I1396" s="5">
        <v>5510000</v>
      </c>
      <c r="J1396" s="5">
        <v>52600000</v>
      </c>
      <c r="K1396" s="5">
        <v>55600000</v>
      </c>
      <c r="L1396" s="3">
        <v>0.97916666666666663</v>
      </c>
    </row>
    <row r="1397" spans="1:12" x14ac:dyDescent="0.25">
      <c r="A1397" t="s">
        <v>865</v>
      </c>
      <c r="B1397" s="2">
        <v>44400</v>
      </c>
      <c r="C1397" t="s">
        <v>21</v>
      </c>
      <c r="D1397" t="s">
        <v>1636</v>
      </c>
      <c r="E1397" s="5">
        <v>51900000</v>
      </c>
      <c r="F1397" s="5">
        <v>54900000</v>
      </c>
      <c r="G1397" s="5">
        <v>3000000</v>
      </c>
      <c r="H1397" s="5">
        <v>5190000</v>
      </c>
      <c r="I1397" s="5">
        <v>5490000</v>
      </c>
      <c r="J1397" s="5">
        <v>52400000</v>
      </c>
      <c r="K1397" s="5">
        <v>55400000</v>
      </c>
      <c r="L1397" s="3">
        <v>0.97916666666666663</v>
      </c>
    </row>
    <row r="1398" spans="1:12" x14ac:dyDescent="0.25">
      <c r="A1398" t="s">
        <v>866</v>
      </c>
      <c r="B1398" s="2">
        <v>44403</v>
      </c>
      <c r="C1398" t="s">
        <v>16</v>
      </c>
      <c r="D1398" t="s">
        <v>1636</v>
      </c>
      <c r="E1398" s="5">
        <v>51900000</v>
      </c>
      <c r="F1398" s="5">
        <v>54900000</v>
      </c>
      <c r="G1398" s="5">
        <v>3000000</v>
      </c>
      <c r="H1398" s="5">
        <v>5190000</v>
      </c>
      <c r="I1398" s="5">
        <v>5490000</v>
      </c>
      <c r="J1398" s="5">
        <v>52400000</v>
      </c>
      <c r="K1398" s="5">
        <v>55400000</v>
      </c>
      <c r="L1398" s="3">
        <v>0.97916666666666663</v>
      </c>
    </row>
    <row r="1399" spans="1:12" x14ac:dyDescent="0.25">
      <c r="A1399" t="s">
        <v>867</v>
      </c>
      <c r="B1399" s="2">
        <v>44404</v>
      </c>
      <c r="C1399" t="s">
        <v>18</v>
      </c>
      <c r="D1399" t="s">
        <v>1636</v>
      </c>
      <c r="E1399" s="5">
        <v>51900000</v>
      </c>
      <c r="F1399" s="5">
        <v>54900000</v>
      </c>
      <c r="G1399" s="5">
        <v>3000000</v>
      </c>
      <c r="H1399" s="5">
        <v>5190000</v>
      </c>
      <c r="I1399" s="5">
        <v>5490000</v>
      </c>
      <c r="J1399" s="5">
        <v>52400000</v>
      </c>
      <c r="K1399" s="5">
        <v>55400000</v>
      </c>
      <c r="L1399" s="3">
        <v>0.97916666666666663</v>
      </c>
    </row>
    <row r="1400" spans="1:12" x14ac:dyDescent="0.25">
      <c r="A1400" t="s">
        <v>868</v>
      </c>
      <c r="B1400" s="2">
        <v>44405</v>
      </c>
      <c r="C1400" t="s">
        <v>19</v>
      </c>
      <c r="D1400" t="s">
        <v>1636</v>
      </c>
      <c r="E1400" s="5">
        <v>51900000</v>
      </c>
      <c r="F1400" s="5">
        <v>54900000</v>
      </c>
      <c r="G1400" s="5">
        <v>3000000</v>
      </c>
      <c r="H1400" s="5">
        <v>5190000</v>
      </c>
      <c r="I1400" s="5">
        <v>5490000</v>
      </c>
      <c r="J1400" s="5">
        <v>52400000</v>
      </c>
      <c r="K1400" s="5">
        <v>55400000</v>
      </c>
      <c r="L1400" s="3">
        <v>0.97916666666666663</v>
      </c>
    </row>
    <row r="1401" spans="1:12" x14ac:dyDescent="0.25">
      <c r="A1401" t="s">
        <v>869</v>
      </c>
      <c r="B1401" s="2">
        <v>44406</v>
      </c>
      <c r="C1401" t="s">
        <v>20</v>
      </c>
      <c r="D1401" t="s">
        <v>1636</v>
      </c>
      <c r="E1401" s="5">
        <v>52900000</v>
      </c>
      <c r="F1401" s="5">
        <v>55900000</v>
      </c>
      <c r="G1401" s="5">
        <v>3000000</v>
      </c>
      <c r="H1401" s="5">
        <v>5290000</v>
      </c>
      <c r="I1401" s="5">
        <v>5590000</v>
      </c>
      <c r="J1401" s="5">
        <v>53400000</v>
      </c>
      <c r="K1401" s="5">
        <v>56400000</v>
      </c>
      <c r="L1401" s="3">
        <v>0.97916666666666663</v>
      </c>
    </row>
    <row r="1402" spans="1:12" x14ac:dyDescent="0.25">
      <c r="A1402" t="s">
        <v>870</v>
      </c>
      <c r="B1402" s="2">
        <v>44407</v>
      </c>
      <c r="C1402" t="s">
        <v>21</v>
      </c>
      <c r="D1402" t="s">
        <v>1636</v>
      </c>
      <c r="E1402" s="5">
        <v>52300000</v>
      </c>
      <c r="F1402" s="5">
        <v>55300000</v>
      </c>
      <c r="G1402" s="5">
        <v>3000000</v>
      </c>
      <c r="H1402" s="5">
        <v>5230000</v>
      </c>
      <c r="I1402" s="5">
        <v>5530000</v>
      </c>
      <c r="J1402" s="5">
        <v>52800000</v>
      </c>
      <c r="K1402" s="5">
        <v>55800000</v>
      </c>
      <c r="L1402" s="3">
        <v>0.97916666666666663</v>
      </c>
    </row>
    <row r="1403" spans="1:12" x14ac:dyDescent="0.25">
      <c r="A1403" s="2">
        <v>44235</v>
      </c>
      <c r="B1403" s="2">
        <v>44410</v>
      </c>
      <c r="C1403" t="s">
        <v>16</v>
      </c>
      <c r="D1403" t="s">
        <v>1636</v>
      </c>
      <c r="E1403" s="5">
        <v>52500000</v>
      </c>
      <c r="F1403" s="5">
        <v>55500000</v>
      </c>
      <c r="G1403" s="5">
        <v>3000000</v>
      </c>
      <c r="H1403" s="5">
        <v>5250000</v>
      </c>
      <c r="I1403" s="5">
        <v>5550000</v>
      </c>
      <c r="J1403" s="5">
        <v>53000000</v>
      </c>
      <c r="K1403" s="5">
        <v>56000000</v>
      </c>
      <c r="L1403" s="3">
        <v>0.97916666666666663</v>
      </c>
    </row>
    <row r="1404" spans="1:12" x14ac:dyDescent="0.25">
      <c r="A1404" s="2">
        <v>44263</v>
      </c>
      <c r="B1404" s="2">
        <v>44411</v>
      </c>
      <c r="C1404" t="s">
        <v>18</v>
      </c>
      <c r="D1404" t="s">
        <v>1636</v>
      </c>
      <c r="E1404" s="5">
        <v>52200000</v>
      </c>
      <c r="F1404" s="5">
        <v>55200000</v>
      </c>
      <c r="G1404" s="5">
        <v>3000000</v>
      </c>
      <c r="H1404" s="5">
        <v>5220000</v>
      </c>
      <c r="I1404" s="5">
        <v>5520000</v>
      </c>
      <c r="J1404" s="5">
        <v>52700000</v>
      </c>
      <c r="K1404" s="5">
        <v>55700000</v>
      </c>
      <c r="L1404" s="3">
        <v>0.97916666666666663</v>
      </c>
    </row>
    <row r="1405" spans="1:12" x14ac:dyDescent="0.25">
      <c r="A1405" s="2">
        <v>44294</v>
      </c>
      <c r="B1405" s="2">
        <v>44412</v>
      </c>
      <c r="C1405" t="s">
        <v>19</v>
      </c>
      <c r="D1405" t="s">
        <v>1636</v>
      </c>
      <c r="E1405" s="5">
        <v>52200000</v>
      </c>
      <c r="F1405" s="5">
        <v>55200000</v>
      </c>
      <c r="G1405" s="5">
        <v>3000000</v>
      </c>
      <c r="H1405" s="5">
        <v>5220000</v>
      </c>
      <c r="I1405" s="5">
        <v>5520000</v>
      </c>
      <c r="J1405" s="5">
        <v>52700000</v>
      </c>
      <c r="K1405" s="5">
        <v>55700000</v>
      </c>
      <c r="L1405" s="3">
        <v>0.97916666666666663</v>
      </c>
    </row>
    <row r="1406" spans="1:12" x14ac:dyDescent="0.25">
      <c r="A1406" s="2">
        <v>44324</v>
      </c>
      <c r="B1406" s="2">
        <v>44413</v>
      </c>
      <c r="C1406" t="s">
        <v>20</v>
      </c>
      <c r="D1406" t="s">
        <v>1636</v>
      </c>
      <c r="E1406" s="5">
        <v>52100000</v>
      </c>
      <c r="F1406" s="5">
        <v>55100000</v>
      </c>
      <c r="G1406" s="5">
        <v>3000000</v>
      </c>
      <c r="H1406" s="5">
        <v>5210000</v>
      </c>
      <c r="I1406" s="5">
        <v>5510000</v>
      </c>
      <c r="J1406" s="5">
        <v>52600000</v>
      </c>
      <c r="K1406" s="5">
        <v>55600000</v>
      </c>
      <c r="L1406" s="3">
        <v>0.97916666666666663</v>
      </c>
    </row>
    <row r="1407" spans="1:12" x14ac:dyDescent="0.25">
      <c r="A1407" s="2">
        <v>44355</v>
      </c>
      <c r="B1407" s="2">
        <v>44414</v>
      </c>
      <c r="C1407" t="s">
        <v>21</v>
      </c>
      <c r="D1407" t="s">
        <v>1636</v>
      </c>
      <c r="E1407" s="5">
        <v>50700000</v>
      </c>
      <c r="F1407" s="5">
        <v>53700000</v>
      </c>
      <c r="G1407" s="5">
        <v>3000000</v>
      </c>
      <c r="H1407" s="5">
        <v>5070000</v>
      </c>
      <c r="I1407" s="5">
        <v>5370000</v>
      </c>
      <c r="J1407" s="5">
        <v>51200000</v>
      </c>
      <c r="K1407" s="5">
        <v>54200000</v>
      </c>
      <c r="L1407" s="3">
        <v>0.97916666666666663</v>
      </c>
    </row>
    <row r="1408" spans="1:12" x14ac:dyDescent="0.25">
      <c r="A1408" s="2">
        <v>44447</v>
      </c>
      <c r="B1408" s="2">
        <v>44417</v>
      </c>
      <c r="C1408" t="s">
        <v>16</v>
      </c>
      <c r="D1408" t="s">
        <v>1636</v>
      </c>
      <c r="E1408" s="5">
        <v>49600000</v>
      </c>
      <c r="F1408" s="5">
        <v>52600000</v>
      </c>
      <c r="G1408" s="5">
        <v>3000000</v>
      </c>
      <c r="H1408" s="5">
        <v>4960000</v>
      </c>
      <c r="I1408" s="5">
        <v>5260000</v>
      </c>
      <c r="J1408" s="5">
        <v>50100000</v>
      </c>
      <c r="K1408" s="5">
        <v>53100000</v>
      </c>
      <c r="L1408" s="3">
        <v>0.97916666666666663</v>
      </c>
    </row>
    <row r="1409" spans="1:12" x14ac:dyDescent="0.25">
      <c r="A1409" s="2">
        <v>44477</v>
      </c>
      <c r="B1409" s="2">
        <v>44418</v>
      </c>
      <c r="C1409" t="s">
        <v>18</v>
      </c>
      <c r="D1409" t="s">
        <v>1636</v>
      </c>
      <c r="E1409" s="5">
        <v>49700000</v>
      </c>
      <c r="F1409" s="5">
        <v>52700000</v>
      </c>
      <c r="G1409" s="5">
        <v>3000000</v>
      </c>
      <c r="H1409" s="5">
        <v>4970000</v>
      </c>
      <c r="I1409" s="5">
        <v>5270000</v>
      </c>
      <c r="J1409" s="5">
        <v>50200000</v>
      </c>
      <c r="K1409" s="5">
        <v>53200000</v>
      </c>
      <c r="L1409" s="3">
        <v>0.97916666666666663</v>
      </c>
    </row>
    <row r="1410" spans="1:12" x14ac:dyDescent="0.25">
      <c r="A1410" s="2">
        <v>44508</v>
      </c>
      <c r="B1410" s="2">
        <v>44419</v>
      </c>
      <c r="C1410" t="s">
        <v>19</v>
      </c>
      <c r="D1410" t="s">
        <v>1636</v>
      </c>
      <c r="E1410" s="5">
        <v>50400000</v>
      </c>
      <c r="F1410" s="5">
        <v>53400000</v>
      </c>
      <c r="G1410" s="5">
        <v>3000000</v>
      </c>
      <c r="H1410" s="5">
        <v>5040000</v>
      </c>
      <c r="I1410" s="5">
        <v>5340000</v>
      </c>
      <c r="J1410" s="5">
        <v>50900000</v>
      </c>
      <c r="K1410" s="5">
        <v>53900000</v>
      </c>
      <c r="L1410" s="3">
        <v>0.97916666666666663</v>
      </c>
    </row>
    <row r="1411" spans="1:12" x14ac:dyDescent="0.25">
      <c r="A1411" s="2">
        <v>44538</v>
      </c>
      <c r="B1411" s="2">
        <v>44420</v>
      </c>
      <c r="C1411" t="s">
        <v>20</v>
      </c>
      <c r="D1411" t="s">
        <v>1636</v>
      </c>
      <c r="E1411" s="5">
        <v>50300000</v>
      </c>
      <c r="F1411" s="5">
        <v>53300000</v>
      </c>
      <c r="G1411" s="5">
        <v>3000000</v>
      </c>
      <c r="H1411" s="5">
        <v>5030000</v>
      </c>
      <c r="I1411" s="5">
        <v>5330000</v>
      </c>
      <c r="J1411" s="5">
        <v>50800000</v>
      </c>
      <c r="K1411" s="5">
        <v>53800000</v>
      </c>
      <c r="L1411" s="3">
        <v>0.97916666666666663</v>
      </c>
    </row>
    <row r="1412" spans="1:12" x14ac:dyDescent="0.25">
      <c r="A1412" t="s">
        <v>871</v>
      </c>
      <c r="B1412" s="2">
        <v>44421</v>
      </c>
      <c r="C1412" t="s">
        <v>21</v>
      </c>
      <c r="D1412" t="s">
        <v>1636</v>
      </c>
      <c r="E1412" s="5">
        <v>51100000</v>
      </c>
      <c r="F1412" s="5">
        <v>54100000</v>
      </c>
      <c r="G1412" s="5">
        <v>3000000</v>
      </c>
      <c r="H1412" s="5">
        <v>5110000</v>
      </c>
      <c r="I1412" s="5">
        <v>5410000</v>
      </c>
      <c r="J1412" s="5">
        <v>51600000</v>
      </c>
      <c r="K1412" s="5">
        <v>54600000</v>
      </c>
      <c r="L1412" s="3">
        <v>0.97916666666666663</v>
      </c>
    </row>
    <row r="1413" spans="1:12" x14ac:dyDescent="0.25">
      <c r="A1413" t="s">
        <v>872</v>
      </c>
      <c r="B1413" s="2">
        <v>44424</v>
      </c>
      <c r="C1413" t="s">
        <v>16</v>
      </c>
      <c r="D1413" t="s">
        <v>1636</v>
      </c>
      <c r="E1413" s="5">
        <v>51500000</v>
      </c>
      <c r="F1413" s="5">
        <v>54500000</v>
      </c>
      <c r="G1413" s="5">
        <v>3000000</v>
      </c>
      <c r="H1413" s="5">
        <v>5150000</v>
      </c>
      <c r="I1413" s="5">
        <v>5450000</v>
      </c>
      <c r="J1413" s="5">
        <v>52000000</v>
      </c>
      <c r="K1413" s="5">
        <v>55000000</v>
      </c>
      <c r="L1413" s="3">
        <v>0.97916666666666663</v>
      </c>
    </row>
    <row r="1414" spans="1:12" x14ac:dyDescent="0.25">
      <c r="A1414" t="s">
        <v>873</v>
      </c>
      <c r="B1414" s="2">
        <v>44425</v>
      </c>
      <c r="C1414" t="s">
        <v>18</v>
      </c>
      <c r="D1414" t="s">
        <v>1636</v>
      </c>
      <c r="E1414" s="5">
        <v>51400000</v>
      </c>
      <c r="F1414" s="5">
        <v>54400000</v>
      </c>
      <c r="G1414" s="5">
        <v>3000000</v>
      </c>
      <c r="H1414" s="5">
        <v>5140000</v>
      </c>
      <c r="I1414" s="5">
        <v>5440000</v>
      </c>
      <c r="J1414" s="5">
        <v>51900000</v>
      </c>
      <c r="K1414" s="5">
        <v>54900000</v>
      </c>
      <c r="L1414" s="3">
        <v>0.97916666666666663</v>
      </c>
    </row>
    <row r="1415" spans="1:12" x14ac:dyDescent="0.25">
      <c r="A1415" t="s">
        <v>874</v>
      </c>
      <c r="B1415" s="2">
        <v>44426</v>
      </c>
      <c r="C1415" t="s">
        <v>19</v>
      </c>
      <c r="D1415" t="s">
        <v>1636</v>
      </c>
      <c r="E1415" s="5">
        <v>51300000</v>
      </c>
      <c r="F1415" s="5">
        <v>54300000</v>
      </c>
      <c r="G1415" s="5">
        <v>3000000</v>
      </c>
      <c r="H1415" s="5">
        <v>5130000</v>
      </c>
      <c r="I1415" s="5">
        <v>5430000</v>
      </c>
      <c r="J1415" s="5">
        <v>51800000</v>
      </c>
      <c r="K1415" s="5">
        <v>54800000</v>
      </c>
      <c r="L1415" s="3">
        <v>0.97916666666666663</v>
      </c>
    </row>
    <row r="1416" spans="1:12" x14ac:dyDescent="0.25">
      <c r="A1416" t="s">
        <v>875</v>
      </c>
      <c r="B1416" s="2">
        <v>44427</v>
      </c>
      <c r="C1416" t="s">
        <v>20</v>
      </c>
      <c r="D1416" t="s">
        <v>1636</v>
      </c>
      <c r="E1416" s="5">
        <v>51300000</v>
      </c>
      <c r="F1416" s="5">
        <v>54300000</v>
      </c>
      <c r="G1416" s="5">
        <v>3000000</v>
      </c>
      <c r="H1416" s="5">
        <v>5130000</v>
      </c>
      <c r="I1416" s="5">
        <v>5430000</v>
      </c>
      <c r="J1416" s="5">
        <v>51800000</v>
      </c>
      <c r="K1416" s="5">
        <v>54800000</v>
      </c>
      <c r="L1416" s="3">
        <v>0.97916666666666663</v>
      </c>
    </row>
    <row r="1417" spans="1:12" x14ac:dyDescent="0.25">
      <c r="A1417" t="s">
        <v>876</v>
      </c>
      <c r="B1417" s="2">
        <v>44428</v>
      </c>
      <c r="C1417" t="s">
        <v>21</v>
      </c>
      <c r="D1417" t="s">
        <v>1636</v>
      </c>
      <c r="E1417" s="5">
        <v>51300000</v>
      </c>
      <c r="F1417" s="5">
        <v>54300000</v>
      </c>
      <c r="G1417" s="5">
        <v>3000000</v>
      </c>
      <c r="H1417" s="5">
        <v>5130000</v>
      </c>
      <c r="I1417" s="5">
        <v>5430000</v>
      </c>
      <c r="J1417" s="5">
        <v>51800000</v>
      </c>
      <c r="K1417" s="5">
        <v>54800000</v>
      </c>
      <c r="L1417" s="3">
        <v>0.97916666666666663</v>
      </c>
    </row>
    <row r="1418" spans="1:12" x14ac:dyDescent="0.25">
      <c r="A1418" t="s">
        <v>877</v>
      </c>
      <c r="B1418" s="2">
        <v>44431</v>
      </c>
      <c r="C1418" t="s">
        <v>16</v>
      </c>
      <c r="D1418" t="s">
        <v>1636</v>
      </c>
      <c r="E1418" s="5">
        <v>52000000</v>
      </c>
      <c r="F1418" s="5">
        <v>55000000</v>
      </c>
      <c r="G1418" s="5">
        <v>3000000</v>
      </c>
      <c r="H1418" s="5">
        <v>5200000</v>
      </c>
      <c r="I1418" s="5">
        <v>5500000</v>
      </c>
      <c r="J1418" s="5">
        <v>52500000</v>
      </c>
      <c r="K1418" s="5">
        <v>55500000</v>
      </c>
      <c r="L1418" s="3">
        <v>0.97916666666666663</v>
      </c>
    </row>
    <row r="1419" spans="1:12" x14ac:dyDescent="0.25">
      <c r="A1419" t="s">
        <v>878</v>
      </c>
      <c r="B1419" s="2">
        <v>44432</v>
      </c>
      <c r="C1419" t="s">
        <v>18</v>
      </c>
      <c r="D1419" t="s">
        <v>1636</v>
      </c>
      <c r="E1419" s="5">
        <v>52100000</v>
      </c>
      <c r="F1419" s="5">
        <v>55100000</v>
      </c>
      <c r="G1419" s="5">
        <v>3000000</v>
      </c>
      <c r="H1419" s="5">
        <v>5210000</v>
      </c>
      <c r="I1419" s="5">
        <v>5510000</v>
      </c>
      <c r="J1419" s="5">
        <v>52600000</v>
      </c>
      <c r="K1419" s="5">
        <v>55600000</v>
      </c>
      <c r="L1419" s="3">
        <v>0.97916666666666663</v>
      </c>
    </row>
    <row r="1420" spans="1:12" x14ac:dyDescent="0.25">
      <c r="A1420" t="s">
        <v>879</v>
      </c>
      <c r="B1420" s="2">
        <v>44433</v>
      </c>
      <c r="C1420" t="s">
        <v>19</v>
      </c>
      <c r="D1420" t="s">
        <v>1636</v>
      </c>
      <c r="E1420" s="5">
        <v>51500000</v>
      </c>
      <c r="F1420" s="5">
        <v>54500000</v>
      </c>
      <c r="G1420" s="5">
        <v>3000000</v>
      </c>
      <c r="H1420" s="5">
        <v>5150000</v>
      </c>
      <c r="I1420" s="5">
        <v>5450000</v>
      </c>
      <c r="J1420" s="5">
        <v>52000000</v>
      </c>
      <c r="K1420" s="5">
        <v>55000000</v>
      </c>
      <c r="L1420" s="3">
        <v>0.97916666666666663</v>
      </c>
    </row>
    <row r="1421" spans="1:12" x14ac:dyDescent="0.25">
      <c r="A1421" t="s">
        <v>880</v>
      </c>
      <c r="B1421" s="2">
        <v>44434</v>
      </c>
      <c r="C1421" t="s">
        <v>20</v>
      </c>
      <c r="D1421" t="s">
        <v>1636</v>
      </c>
      <c r="E1421" s="5">
        <v>51700000</v>
      </c>
      <c r="F1421" s="5">
        <v>54700000</v>
      </c>
      <c r="G1421" s="5">
        <v>3000000</v>
      </c>
      <c r="H1421" s="5">
        <v>5170000</v>
      </c>
      <c r="I1421" s="5">
        <v>5470000</v>
      </c>
      <c r="J1421" s="5">
        <v>52200000</v>
      </c>
      <c r="K1421" s="5">
        <v>55200000</v>
      </c>
      <c r="L1421" s="3">
        <v>0.97916666666666663</v>
      </c>
    </row>
    <row r="1422" spans="1:12" x14ac:dyDescent="0.25">
      <c r="A1422" t="s">
        <v>881</v>
      </c>
      <c r="B1422" s="2">
        <v>44435</v>
      </c>
      <c r="C1422" t="s">
        <v>21</v>
      </c>
      <c r="D1422" t="s">
        <v>1636</v>
      </c>
      <c r="E1422" s="5">
        <v>52400000</v>
      </c>
      <c r="F1422" s="5">
        <v>55400000</v>
      </c>
      <c r="G1422" s="5">
        <v>3000000</v>
      </c>
      <c r="H1422" s="5">
        <v>5240000</v>
      </c>
      <c r="I1422" s="5">
        <v>5540000</v>
      </c>
      <c r="J1422" s="5">
        <v>52900000</v>
      </c>
      <c r="K1422" s="5">
        <v>55900000</v>
      </c>
      <c r="L1422" s="3">
        <v>0.97916666666666663</v>
      </c>
    </row>
    <row r="1423" spans="1:12" x14ac:dyDescent="0.25">
      <c r="A1423" t="s">
        <v>882</v>
      </c>
      <c r="B1423" s="2">
        <v>44438</v>
      </c>
      <c r="C1423" t="s">
        <v>16</v>
      </c>
      <c r="D1423" t="s">
        <v>1636</v>
      </c>
      <c r="E1423" s="5">
        <v>52200000</v>
      </c>
      <c r="F1423" s="5">
        <v>55200000</v>
      </c>
      <c r="G1423" s="5">
        <v>3000000</v>
      </c>
      <c r="H1423" s="5">
        <v>5220000</v>
      </c>
      <c r="I1423" s="5">
        <v>5520000</v>
      </c>
      <c r="J1423" s="5">
        <v>52700000</v>
      </c>
      <c r="K1423" s="5">
        <v>55700000</v>
      </c>
      <c r="L1423" s="3">
        <v>0.97916666666666663</v>
      </c>
    </row>
    <row r="1424" spans="1:12" x14ac:dyDescent="0.25">
      <c r="A1424" t="s">
        <v>883</v>
      </c>
      <c r="B1424" s="2">
        <v>44439</v>
      </c>
      <c r="C1424" t="s">
        <v>18</v>
      </c>
      <c r="D1424" t="s">
        <v>1636</v>
      </c>
      <c r="E1424" s="5">
        <v>52400000</v>
      </c>
      <c r="F1424" s="5">
        <v>55400000</v>
      </c>
      <c r="G1424" s="5">
        <v>3000000</v>
      </c>
      <c r="H1424" s="5">
        <v>5240000</v>
      </c>
      <c r="I1424" s="5">
        <v>5540000</v>
      </c>
      <c r="J1424" s="5">
        <v>52900000</v>
      </c>
      <c r="K1424" s="5">
        <v>55900000</v>
      </c>
      <c r="L1424" s="3">
        <v>0.97916666666666663</v>
      </c>
    </row>
    <row r="1425" spans="1:12" x14ac:dyDescent="0.25">
      <c r="A1425" s="2">
        <v>44205</v>
      </c>
      <c r="B1425" s="2">
        <v>44440</v>
      </c>
      <c r="C1425" t="s">
        <v>19</v>
      </c>
      <c r="D1425" t="s">
        <v>1636</v>
      </c>
      <c r="E1425" s="5">
        <v>52300000</v>
      </c>
      <c r="F1425" s="5">
        <v>55300000</v>
      </c>
      <c r="G1425" s="5">
        <v>3000000</v>
      </c>
      <c r="H1425" s="5">
        <v>5230000</v>
      </c>
      <c r="I1425" s="5">
        <v>5530000</v>
      </c>
      <c r="J1425" s="5">
        <v>52800000</v>
      </c>
      <c r="K1425" s="5">
        <v>55800000</v>
      </c>
      <c r="L1425" s="3">
        <v>0.97916666666666663</v>
      </c>
    </row>
    <row r="1426" spans="1:12" x14ac:dyDescent="0.25">
      <c r="A1426" s="2">
        <v>44236</v>
      </c>
      <c r="B1426" s="2">
        <v>44441</v>
      </c>
      <c r="C1426" t="s">
        <v>20</v>
      </c>
      <c r="D1426" t="s">
        <v>1636</v>
      </c>
      <c r="E1426" s="5">
        <v>52200000</v>
      </c>
      <c r="F1426" s="5">
        <v>55200000</v>
      </c>
      <c r="G1426" s="5">
        <v>3000000</v>
      </c>
      <c r="H1426" s="5">
        <v>5220000</v>
      </c>
      <c r="I1426" s="5">
        <v>5520000</v>
      </c>
      <c r="J1426" s="5">
        <v>52700000</v>
      </c>
      <c r="K1426" s="5">
        <v>55700000</v>
      </c>
      <c r="L1426" s="3">
        <v>0.97916666666666663</v>
      </c>
    </row>
    <row r="1427" spans="1:12" x14ac:dyDescent="0.25">
      <c r="A1427" s="2">
        <v>44264</v>
      </c>
      <c r="B1427" s="2">
        <v>44442</v>
      </c>
      <c r="C1427" t="s">
        <v>21</v>
      </c>
      <c r="D1427" t="s">
        <v>1636</v>
      </c>
      <c r="E1427" s="5">
        <v>52800000</v>
      </c>
      <c r="F1427" s="5">
        <v>55800000</v>
      </c>
      <c r="G1427" s="5">
        <v>3000000</v>
      </c>
      <c r="H1427" s="5">
        <v>5280000</v>
      </c>
      <c r="I1427" s="5">
        <v>5580000</v>
      </c>
      <c r="J1427" s="5">
        <v>53300000</v>
      </c>
      <c r="K1427" s="5">
        <v>56300000</v>
      </c>
      <c r="L1427" s="3">
        <v>0.97916666666666663</v>
      </c>
    </row>
    <row r="1428" spans="1:12" x14ac:dyDescent="0.25">
      <c r="A1428" s="2">
        <v>44386</v>
      </c>
      <c r="B1428" s="2">
        <v>44446</v>
      </c>
      <c r="C1428" t="s">
        <v>18</v>
      </c>
      <c r="D1428" t="s">
        <v>1636</v>
      </c>
      <c r="E1428" s="5">
        <v>51800000</v>
      </c>
      <c r="F1428" s="5">
        <v>54800000</v>
      </c>
      <c r="G1428" s="5">
        <v>3000000</v>
      </c>
      <c r="H1428" s="5">
        <v>5180000</v>
      </c>
      <c r="I1428" s="5">
        <v>5480000</v>
      </c>
      <c r="J1428" s="5">
        <v>52300000</v>
      </c>
      <c r="K1428" s="5">
        <v>55300000</v>
      </c>
      <c r="L1428" s="3">
        <v>0.97916666666666663</v>
      </c>
    </row>
    <row r="1429" spans="1:12" x14ac:dyDescent="0.25">
      <c r="A1429" s="2">
        <v>44417</v>
      </c>
      <c r="B1429" s="2">
        <v>44447</v>
      </c>
      <c r="C1429" t="s">
        <v>19</v>
      </c>
      <c r="D1429" t="s">
        <v>1636</v>
      </c>
      <c r="E1429" s="5">
        <v>51600000</v>
      </c>
      <c r="F1429" s="5">
        <v>54600000</v>
      </c>
      <c r="G1429" s="5">
        <v>3000000</v>
      </c>
      <c r="H1429" s="5">
        <v>5160000</v>
      </c>
      <c r="I1429" s="5">
        <v>5460000</v>
      </c>
      <c r="J1429" s="5">
        <v>52100000</v>
      </c>
      <c r="K1429" s="5">
        <v>55100000</v>
      </c>
      <c r="L1429" s="3">
        <v>0.97916666666666663</v>
      </c>
    </row>
    <row r="1430" spans="1:12" x14ac:dyDescent="0.25">
      <c r="A1430" s="2">
        <v>44448</v>
      </c>
      <c r="B1430" s="2">
        <v>44448</v>
      </c>
      <c r="C1430" t="s">
        <v>20</v>
      </c>
      <c r="D1430" t="s">
        <v>1636</v>
      </c>
      <c r="E1430" s="5">
        <v>51800000</v>
      </c>
      <c r="F1430" s="5">
        <v>54800000</v>
      </c>
      <c r="G1430" s="5">
        <v>3000000</v>
      </c>
      <c r="H1430" s="5">
        <v>5180000</v>
      </c>
      <c r="I1430" s="5">
        <v>5480000</v>
      </c>
      <c r="J1430" s="5">
        <v>52300000</v>
      </c>
      <c r="K1430" s="5">
        <v>55300000</v>
      </c>
      <c r="L1430" s="3">
        <v>0.97916666666666663</v>
      </c>
    </row>
    <row r="1431" spans="1:12" x14ac:dyDescent="0.25">
      <c r="A1431" s="2">
        <v>44478</v>
      </c>
      <c r="B1431" s="2">
        <v>44449</v>
      </c>
      <c r="C1431" t="s">
        <v>21</v>
      </c>
      <c r="D1431" t="s">
        <v>1636</v>
      </c>
      <c r="E1431" s="5">
        <v>51600000</v>
      </c>
      <c r="F1431" s="5">
        <v>54600000</v>
      </c>
      <c r="G1431" s="5">
        <v>3000000</v>
      </c>
      <c r="H1431" s="5">
        <v>5160000</v>
      </c>
      <c r="I1431" s="5">
        <v>5460000</v>
      </c>
      <c r="J1431" s="5">
        <v>52100000</v>
      </c>
      <c r="K1431" s="5">
        <v>55100000</v>
      </c>
      <c r="L1431" s="3">
        <v>0.97916666666666663</v>
      </c>
    </row>
    <row r="1432" spans="1:12" x14ac:dyDescent="0.25">
      <c r="A1432" t="s">
        <v>884</v>
      </c>
      <c r="B1432" s="2">
        <v>44452</v>
      </c>
      <c r="C1432" t="s">
        <v>16</v>
      </c>
      <c r="D1432" t="s">
        <v>1636</v>
      </c>
      <c r="E1432" s="5">
        <v>51700000</v>
      </c>
      <c r="F1432" s="5">
        <v>54700000</v>
      </c>
      <c r="G1432" s="5">
        <v>3000000</v>
      </c>
      <c r="H1432" s="5">
        <v>5170000</v>
      </c>
      <c r="I1432" s="5">
        <v>5470000</v>
      </c>
      <c r="J1432" s="5">
        <v>52200000</v>
      </c>
      <c r="K1432" s="5">
        <v>55200000</v>
      </c>
      <c r="L1432" s="3">
        <v>0.97916666666666663</v>
      </c>
    </row>
    <row r="1433" spans="1:12" x14ac:dyDescent="0.25">
      <c r="A1433" t="s">
        <v>885</v>
      </c>
      <c r="B1433" s="2">
        <v>44453</v>
      </c>
      <c r="C1433" t="s">
        <v>18</v>
      </c>
      <c r="D1433" t="s">
        <v>1636</v>
      </c>
      <c r="E1433" s="5">
        <v>52000000</v>
      </c>
      <c r="F1433" s="5">
        <v>55000000</v>
      </c>
      <c r="G1433" s="5">
        <v>3000000</v>
      </c>
      <c r="H1433" s="5">
        <v>5200000</v>
      </c>
      <c r="I1433" s="5">
        <v>5500000</v>
      </c>
      <c r="J1433" s="5">
        <v>52500000</v>
      </c>
      <c r="K1433" s="5">
        <v>55500000</v>
      </c>
      <c r="L1433" s="3">
        <v>0.97916666666666663</v>
      </c>
    </row>
    <row r="1434" spans="1:12" x14ac:dyDescent="0.25">
      <c r="A1434" t="s">
        <v>886</v>
      </c>
      <c r="B1434" s="2">
        <v>44454</v>
      </c>
      <c r="C1434" t="s">
        <v>19</v>
      </c>
      <c r="D1434" t="s">
        <v>1636</v>
      </c>
      <c r="E1434" s="5">
        <v>51700000</v>
      </c>
      <c r="F1434" s="5">
        <v>54700000</v>
      </c>
      <c r="G1434" s="5">
        <v>3000000</v>
      </c>
      <c r="H1434" s="5">
        <v>5170000</v>
      </c>
      <c r="I1434" s="5">
        <v>5470000</v>
      </c>
      <c r="J1434" s="5">
        <v>52200000</v>
      </c>
      <c r="K1434" s="5">
        <v>55200000</v>
      </c>
      <c r="L1434" s="3">
        <v>0.97916666666666663</v>
      </c>
    </row>
    <row r="1435" spans="1:12" x14ac:dyDescent="0.25">
      <c r="A1435" t="s">
        <v>887</v>
      </c>
      <c r="B1435" s="2">
        <v>44455</v>
      </c>
      <c r="C1435" t="s">
        <v>20</v>
      </c>
      <c r="D1435" t="s">
        <v>1636</v>
      </c>
      <c r="E1435" s="5">
        <v>50500000</v>
      </c>
      <c r="F1435" s="5">
        <v>53500000</v>
      </c>
      <c r="G1435" s="5">
        <v>3000000</v>
      </c>
      <c r="H1435" s="5">
        <v>5050000</v>
      </c>
      <c r="I1435" s="5">
        <v>5350000</v>
      </c>
      <c r="J1435" s="5">
        <v>51000000</v>
      </c>
      <c r="K1435" s="5">
        <v>54000000</v>
      </c>
      <c r="L1435" s="3">
        <v>0.97916666666666663</v>
      </c>
    </row>
    <row r="1436" spans="1:12" x14ac:dyDescent="0.25">
      <c r="A1436" t="s">
        <v>888</v>
      </c>
      <c r="B1436" s="2">
        <v>44456</v>
      </c>
      <c r="C1436" t="s">
        <v>21</v>
      </c>
      <c r="D1436" t="s">
        <v>1636</v>
      </c>
      <c r="E1436" s="5">
        <v>50400000</v>
      </c>
      <c r="F1436" s="5">
        <v>53400000</v>
      </c>
      <c r="G1436" s="5">
        <v>3000000</v>
      </c>
      <c r="H1436" s="5">
        <v>5040000</v>
      </c>
      <c r="I1436" s="5">
        <v>5340000</v>
      </c>
      <c r="J1436" s="5">
        <v>50900000</v>
      </c>
      <c r="K1436" s="5">
        <v>53900000</v>
      </c>
      <c r="L1436" s="3">
        <v>0.97916666666666663</v>
      </c>
    </row>
    <row r="1437" spans="1:12" x14ac:dyDescent="0.25">
      <c r="A1437" t="s">
        <v>889</v>
      </c>
      <c r="B1437" s="2">
        <v>44459</v>
      </c>
      <c r="C1437" t="s">
        <v>16</v>
      </c>
      <c r="D1437" t="s">
        <v>1636</v>
      </c>
      <c r="E1437" s="5">
        <v>50700000</v>
      </c>
      <c r="F1437" s="5">
        <v>53700000</v>
      </c>
      <c r="G1437" s="5">
        <v>3000000</v>
      </c>
      <c r="H1437" s="5">
        <v>5070000</v>
      </c>
      <c r="I1437" s="5">
        <v>5370000</v>
      </c>
      <c r="J1437" s="5">
        <v>51200000</v>
      </c>
      <c r="K1437" s="5">
        <v>54200000</v>
      </c>
      <c r="L1437" s="3">
        <v>0.97916666666666663</v>
      </c>
    </row>
    <row r="1438" spans="1:12" x14ac:dyDescent="0.25">
      <c r="A1438" t="s">
        <v>890</v>
      </c>
      <c r="B1438" s="2">
        <v>44460</v>
      </c>
      <c r="C1438" t="s">
        <v>18</v>
      </c>
      <c r="D1438" t="s">
        <v>1636</v>
      </c>
      <c r="E1438" s="5">
        <v>51200000</v>
      </c>
      <c r="F1438" s="5">
        <v>54200000</v>
      </c>
      <c r="G1438" s="5">
        <v>3000000</v>
      </c>
      <c r="H1438" s="5">
        <v>5120000</v>
      </c>
      <c r="I1438" s="5">
        <v>5420000</v>
      </c>
      <c r="J1438" s="5">
        <v>51700000</v>
      </c>
      <c r="K1438" s="5">
        <v>54700000</v>
      </c>
      <c r="L1438" s="3">
        <v>0.97916666666666663</v>
      </c>
    </row>
    <row r="1439" spans="1:12" x14ac:dyDescent="0.25">
      <c r="A1439" t="s">
        <v>891</v>
      </c>
      <c r="B1439" s="2">
        <v>44461</v>
      </c>
      <c r="C1439" t="s">
        <v>19</v>
      </c>
      <c r="D1439" t="s">
        <v>1636</v>
      </c>
      <c r="E1439" s="5">
        <v>51200000</v>
      </c>
      <c r="F1439" s="5">
        <v>54200000</v>
      </c>
      <c r="G1439" s="5">
        <v>3000000</v>
      </c>
      <c r="H1439" s="5">
        <v>5120000</v>
      </c>
      <c r="I1439" s="5">
        <v>5420000</v>
      </c>
      <c r="J1439" s="5">
        <v>51700000</v>
      </c>
      <c r="K1439" s="5">
        <v>54700000</v>
      </c>
      <c r="L1439" s="3">
        <v>0.97916666666666663</v>
      </c>
    </row>
    <row r="1440" spans="1:12" x14ac:dyDescent="0.25">
      <c r="A1440" t="s">
        <v>892</v>
      </c>
      <c r="B1440" s="2">
        <v>44462</v>
      </c>
      <c r="C1440" t="s">
        <v>20</v>
      </c>
      <c r="D1440" t="s">
        <v>1636</v>
      </c>
      <c r="E1440" s="5">
        <v>50300000</v>
      </c>
      <c r="F1440" s="5">
        <v>53300000</v>
      </c>
      <c r="G1440" s="5">
        <v>3000000</v>
      </c>
      <c r="H1440" s="5">
        <v>5030000</v>
      </c>
      <c r="I1440" s="5">
        <v>5330000</v>
      </c>
      <c r="J1440" s="5">
        <v>50800000</v>
      </c>
      <c r="K1440" s="5">
        <v>53800000</v>
      </c>
      <c r="L1440" s="3">
        <v>0.97916666666666663</v>
      </c>
    </row>
    <row r="1441" spans="1:12" x14ac:dyDescent="0.25">
      <c r="A1441" t="s">
        <v>893</v>
      </c>
      <c r="B1441" s="2">
        <v>44463</v>
      </c>
      <c r="C1441" t="s">
        <v>21</v>
      </c>
      <c r="D1441" t="s">
        <v>1636</v>
      </c>
      <c r="E1441" s="5">
        <v>50400000</v>
      </c>
      <c r="F1441" s="5">
        <v>53400000</v>
      </c>
      <c r="G1441" s="5">
        <v>3000000</v>
      </c>
      <c r="H1441" s="5">
        <v>5040000</v>
      </c>
      <c r="I1441" s="5">
        <v>5340000</v>
      </c>
      <c r="J1441" s="5">
        <v>50900000</v>
      </c>
      <c r="K1441" s="5">
        <v>53900000</v>
      </c>
      <c r="L1441" s="3">
        <v>0.97916666666666663</v>
      </c>
    </row>
    <row r="1442" spans="1:12" x14ac:dyDescent="0.25">
      <c r="A1442" t="s">
        <v>894</v>
      </c>
      <c r="B1442" s="2">
        <v>44466</v>
      </c>
      <c r="C1442" t="s">
        <v>16</v>
      </c>
      <c r="D1442" t="s">
        <v>1636</v>
      </c>
      <c r="E1442" s="5">
        <v>50400000</v>
      </c>
      <c r="F1442" s="5">
        <v>53400000</v>
      </c>
      <c r="G1442" s="5">
        <v>3000000</v>
      </c>
      <c r="H1442" s="5">
        <v>5040000</v>
      </c>
      <c r="I1442" s="5">
        <v>5340000</v>
      </c>
      <c r="J1442" s="5">
        <v>50900000</v>
      </c>
      <c r="K1442" s="5">
        <v>53900000</v>
      </c>
      <c r="L1442" s="3">
        <v>0.97916666666666663</v>
      </c>
    </row>
    <row r="1443" spans="1:12" x14ac:dyDescent="0.25">
      <c r="A1443" t="s">
        <v>895</v>
      </c>
      <c r="B1443" s="2">
        <v>44467</v>
      </c>
      <c r="C1443" t="s">
        <v>18</v>
      </c>
      <c r="D1443" t="s">
        <v>1636</v>
      </c>
      <c r="E1443" s="5">
        <v>49900000</v>
      </c>
      <c r="F1443" s="5">
        <v>52900000</v>
      </c>
      <c r="G1443" s="5">
        <v>3000000</v>
      </c>
      <c r="H1443" s="5">
        <v>4990000</v>
      </c>
      <c r="I1443" s="5">
        <v>5290000</v>
      </c>
      <c r="J1443" s="5">
        <v>50400000</v>
      </c>
      <c r="K1443" s="5">
        <v>53400000</v>
      </c>
      <c r="L1443" s="3">
        <v>0.97916666666666663</v>
      </c>
    </row>
    <row r="1444" spans="1:12" x14ac:dyDescent="0.25">
      <c r="A1444" t="s">
        <v>896</v>
      </c>
      <c r="B1444" s="2">
        <v>44468</v>
      </c>
      <c r="C1444" t="s">
        <v>19</v>
      </c>
      <c r="D1444" t="s">
        <v>1636</v>
      </c>
      <c r="E1444" s="5">
        <v>49500000</v>
      </c>
      <c r="F1444" s="5">
        <v>52500000</v>
      </c>
      <c r="G1444" s="5">
        <v>3000000</v>
      </c>
      <c r="H1444" s="5">
        <v>4950000</v>
      </c>
      <c r="I1444" s="5">
        <v>5250000</v>
      </c>
      <c r="J1444" s="5">
        <v>50000000</v>
      </c>
      <c r="K1444" s="5">
        <v>53000000</v>
      </c>
      <c r="L1444" s="3">
        <v>0.97916666666666663</v>
      </c>
    </row>
    <row r="1445" spans="1:12" x14ac:dyDescent="0.25">
      <c r="A1445" t="s">
        <v>897</v>
      </c>
      <c r="B1445" s="2">
        <v>44469</v>
      </c>
      <c r="C1445" t="s">
        <v>20</v>
      </c>
      <c r="D1445" t="s">
        <v>1636</v>
      </c>
      <c r="E1445" s="5">
        <v>50500000</v>
      </c>
      <c r="F1445" s="5">
        <v>53500000</v>
      </c>
      <c r="G1445" s="5">
        <v>3000000</v>
      </c>
      <c r="H1445" s="5">
        <v>5050000</v>
      </c>
      <c r="I1445" s="5">
        <v>5350000</v>
      </c>
      <c r="J1445" s="5">
        <v>51000000</v>
      </c>
      <c r="K1445" s="5">
        <v>54000000</v>
      </c>
      <c r="L1445" s="3">
        <v>0.97916666666666663</v>
      </c>
    </row>
    <row r="1446" spans="1:12" x14ac:dyDescent="0.25">
      <c r="A1446" s="2">
        <v>44206</v>
      </c>
      <c r="B1446" s="2">
        <v>44470</v>
      </c>
      <c r="C1446" t="s">
        <v>21</v>
      </c>
      <c r="D1446" t="s">
        <v>1636</v>
      </c>
      <c r="E1446" s="5">
        <v>50600000</v>
      </c>
      <c r="F1446" s="5">
        <v>53600000</v>
      </c>
      <c r="G1446" s="5">
        <v>3000000</v>
      </c>
      <c r="H1446" s="5">
        <v>5060000</v>
      </c>
      <c r="I1446" s="5">
        <v>5360000</v>
      </c>
      <c r="J1446" s="5">
        <v>51100000</v>
      </c>
      <c r="K1446" s="5">
        <v>54100000</v>
      </c>
      <c r="L1446" s="3">
        <v>0.97916666666666663</v>
      </c>
    </row>
    <row r="1447" spans="1:12" x14ac:dyDescent="0.25">
      <c r="A1447" s="2">
        <v>44296</v>
      </c>
      <c r="B1447" s="2">
        <v>44473</v>
      </c>
      <c r="C1447" t="s">
        <v>16</v>
      </c>
      <c r="D1447" t="s">
        <v>1636</v>
      </c>
      <c r="E1447" s="5">
        <v>50900000</v>
      </c>
      <c r="F1447" s="5">
        <v>53900000</v>
      </c>
      <c r="G1447" s="5">
        <v>3000000</v>
      </c>
      <c r="H1447" s="5">
        <v>5090000</v>
      </c>
      <c r="I1447" s="5">
        <v>5390000</v>
      </c>
      <c r="J1447" s="5">
        <v>51400000</v>
      </c>
      <c r="K1447" s="5">
        <v>54400000</v>
      </c>
      <c r="L1447" s="3">
        <v>0.97916666666666663</v>
      </c>
    </row>
    <row r="1448" spans="1:12" x14ac:dyDescent="0.25">
      <c r="A1448" s="2">
        <v>44326</v>
      </c>
      <c r="B1448" s="2">
        <v>44474</v>
      </c>
      <c r="C1448" t="s">
        <v>18</v>
      </c>
      <c r="D1448" t="s">
        <v>1636</v>
      </c>
      <c r="E1448" s="5">
        <v>50700000</v>
      </c>
      <c r="F1448" s="5">
        <v>53700000</v>
      </c>
      <c r="G1448" s="5">
        <v>3000000</v>
      </c>
      <c r="H1448" s="5">
        <v>5070000</v>
      </c>
      <c r="I1448" s="5">
        <v>5370000</v>
      </c>
      <c r="J1448" s="5">
        <v>51200000</v>
      </c>
      <c r="K1448" s="5">
        <v>54200000</v>
      </c>
      <c r="L1448" s="3">
        <v>0.97916666666666663</v>
      </c>
    </row>
    <row r="1449" spans="1:12" x14ac:dyDescent="0.25">
      <c r="A1449" s="2">
        <v>44357</v>
      </c>
      <c r="B1449" s="2">
        <v>44475</v>
      </c>
      <c r="C1449" t="s">
        <v>19</v>
      </c>
      <c r="D1449" t="s">
        <v>1636</v>
      </c>
      <c r="E1449" s="5">
        <v>50700000</v>
      </c>
      <c r="F1449" s="5">
        <v>53700000</v>
      </c>
      <c r="G1449" s="5">
        <v>3000000</v>
      </c>
      <c r="H1449" s="5">
        <v>5070000</v>
      </c>
      <c r="I1449" s="5">
        <v>5370000</v>
      </c>
      <c r="J1449" s="5">
        <v>51200000</v>
      </c>
      <c r="K1449" s="5">
        <v>54200000</v>
      </c>
      <c r="L1449" s="3">
        <v>0.97916666666666663</v>
      </c>
    </row>
    <row r="1450" spans="1:12" x14ac:dyDescent="0.25">
      <c r="A1450" s="2">
        <v>44387</v>
      </c>
      <c r="B1450" s="2">
        <v>44476</v>
      </c>
      <c r="C1450" t="s">
        <v>20</v>
      </c>
      <c r="D1450" t="s">
        <v>1636</v>
      </c>
      <c r="E1450" s="5">
        <v>50600000</v>
      </c>
      <c r="F1450" s="5">
        <v>53600000</v>
      </c>
      <c r="G1450" s="5">
        <v>3000000</v>
      </c>
      <c r="H1450" s="5">
        <v>5060000</v>
      </c>
      <c r="I1450" s="5">
        <v>5360000</v>
      </c>
      <c r="J1450" s="5">
        <v>51100000</v>
      </c>
      <c r="K1450" s="5">
        <v>54100000</v>
      </c>
      <c r="L1450" s="3">
        <v>0.97916666666666663</v>
      </c>
    </row>
    <row r="1451" spans="1:12" x14ac:dyDescent="0.25">
      <c r="A1451" s="2">
        <v>44418</v>
      </c>
      <c r="B1451" s="2">
        <v>44477</v>
      </c>
      <c r="C1451" t="s">
        <v>21</v>
      </c>
      <c r="D1451" t="s">
        <v>1636</v>
      </c>
      <c r="E1451" s="5">
        <v>50600000</v>
      </c>
      <c r="F1451" s="5">
        <v>53600000</v>
      </c>
      <c r="G1451" s="5">
        <v>3000000</v>
      </c>
      <c r="H1451" s="5">
        <v>5060000</v>
      </c>
      <c r="I1451" s="5">
        <v>5360000</v>
      </c>
      <c r="J1451" s="5">
        <v>51100000</v>
      </c>
      <c r="K1451" s="5">
        <v>54100000</v>
      </c>
      <c r="L1451" s="3">
        <v>0.97916666666666663</v>
      </c>
    </row>
    <row r="1452" spans="1:12" x14ac:dyDescent="0.25">
      <c r="A1452" s="2">
        <v>44510</v>
      </c>
      <c r="B1452" s="2">
        <v>44480</v>
      </c>
      <c r="C1452" t="s">
        <v>16</v>
      </c>
      <c r="D1452" t="s">
        <v>1636</v>
      </c>
      <c r="E1452" s="5">
        <v>50500000</v>
      </c>
      <c r="F1452" s="5">
        <v>53500000</v>
      </c>
      <c r="G1452" s="5">
        <v>3000000</v>
      </c>
      <c r="H1452" s="5">
        <v>5050000</v>
      </c>
      <c r="I1452" s="5">
        <v>5350000</v>
      </c>
      <c r="J1452" s="5">
        <v>51000000</v>
      </c>
      <c r="K1452" s="5">
        <v>54000000</v>
      </c>
      <c r="L1452" s="3">
        <v>0.97916666666666663</v>
      </c>
    </row>
    <row r="1453" spans="1:12" x14ac:dyDescent="0.25">
      <c r="A1453" s="2">
        <v>44540</v>
      </c>
      <c r="B1453" s="2">
        <v>44481</v>
      </c>
      <c r="C1453" t="s">
        <v>18</v>
      </c>
      <c r="D1453" t="s">
        <v>1636</v>
      </c>
      <c r="E1453" s="5">
        <v>50600000</v>
      </c>
      <c r="F1453" s="5">
        <v>53600000</v>
      </c>
      <c r="G1453" s="5">
        <v>3000000</v>
      </c>
      <c r="H1453" s="5">
        <v>5060000</v>
      </c>
      <c r="I1453" s="5">
        <v>5360000</v>
      </c>
      <c r="J1453" s="5">
        <v>51100000</v>
      </c>
      <c r="K1453" s="5">
        <v>54100000</v>
      </c>
      <c r="L1453" s="3">
        <v>0.97916666666666663</v>
      </c>
    </row>
    <row r="1454" spans="1:12" x14ac:dyDescent="0.25">
      <c r="A1454" t="s">
        <v>898</v>
      </c>
      <c r="B1454" s="2">
        <v>44482</v>
      </c>
      <c r="C1454" t="s">
        <v>19</v>
      </c>
      <c r="D1454" t="s">
        <v>1636</v>
      </c>
      <c r="E1454" s="5">
        <v>51700000</v>
      </c>
      <c r="F1454" s="5">
        <v>54700000</v>
      </c>
      <c r="G1454" s="5">
        <v>3000000</v>
      </c>
      <c r="H1454" s="5">
        <v>5170000</v>
      </c>
      <c r="I1454" s="5">
        <v>5470000</v>
      </c>
      <c r="J1454" s="5">
        <v>52200000</v>
      </c>
      <c r="K1454" s="5">
        <v>55200000</v>
      </c>
      <c r="L1454" s="3">
        <v>0.97916666666666663</v>
      </c>
    </row>
    <row r="1455" spans="1:12" x14ac:dyDescent="0.25">
      <c r="A1455" t="s">
        <v>899</v>
      </c>
      <c r="B1455" s="2">
        <v>44483</v>
      </c>
      <c r="C1455" t="s">
        <v>20</v>
      </c>
      <c r="D1455" t="s">
        <v>1636</v>
      </c>
      <c r="E1455" s="5">
        <v>51800000</v>
      </c>
      <c r="F1455" s="5">
        <v>54800000</v>
      </c>
      <c r="G1455" s="5">
        <v>3000000</v>
      </c>
      <c r="H1455" s="5">
        <v>5180000</v>
      </c>
      <c r="I1455" s="5">
        <v>5480000</v>
      </c>
      <c r="J1455" s="5">
        <v>52300000</v>
      </c>
      <c r="K1455" s="5">
        <v>55300000</v>
      </c>
      <c r="L1455" s="3">
        <v>0.97916666666666663</v>
      </c>
    </row>
    <row r="1456" spans="1:12" x14ac:dyDescent="0.25">
      <c r="A1456" t="s">
        <v>900</v>
      </c>
      <c r="B1456" s="2">
        <v>44484</v>
      </c>
      <c r="C1456" t="s">
        <v>21</v>
      </c>
      <c r="D1456" t="s">
        <v>1636</v>
      </c>
      <c r="E1456" s="5">
        <v>50900000</v>
      </c>
      <c r="F1456" s="5">
        <v>53900000</v>
      </c>
      <c r="G1456" s="5">
        <v>3000000</v>
      </c>
      <c r="H1456" s="5">
        <v>5090000</v>
      </c>
      <c r="I1456" s="5">
        <v>5390000</v>
      </c>
      <c r="J1456" s="5">
        <v>51400000</v>
      </c>
      <c r="K1456" s="5">
        <v>54400000</v>
      </c>
      <c r="L1456" s="3">
        <v>0.97916666666666663</v>
      </c>
    </row>
    <row r="1457" spans="1:12" x14ac:dyDescent="0.25">
      <c r="A1457" t="s">
        <v>901</v>
      </c>
      <c r="B1457" s="2">
        <v>44487</v>
      </c>
      <c r="C1457" t="s">
        <v>16</v>
      </c>
      <c r="D1457" t="s">
        <v>1636</v>
      </c>
      <c r="E1457" s="5">
        <v>50800000</v>
      </c>
      <c r="F1457" s="5">
        <v>53800000</v>
      </c>
      <c r="G1457" s="5">
        <v>3000000</v>
      </c>
      <c r="H1457" s="5">
        <v>5080000</v>
      </c>
      <c r="I1457" s="5">
        <v>5380000</v>
      </c>
      <c r="J1457" s="5">
        <v>51300000</v>
      </c>
      <c r="K1457" s="5">
        <v>54300000</v>
      </c>
      <c r="L1457" s="3">
        <v>0.97916666666666663</v>
      </c>
    </row>
    <row r="1458" spans="1:12" x14ac:dyDescent="0.25">
      <c r="A1458" t="s">
        <v>902</v>
      </c>
      <c r="B1458" s="2">
        <v>44488</v>
      </c>
      <c r="C1458" t="s">
        <v>18</v>
      </c>
      <c r="D1458" t="s">
        <v>1636</v>
      </c>
      <c r="E1458" s="5">
        <v>51000000</v>
      </c>
      <c r="F1458" s="5">
        <v>54000000</v>
      </c>
      <c r="G1458" s="5">
        <v>3000000</v>
      </c>
      <c r="H1458" s="5">
        <v>5100000</v>
      </c>
      <c r="I1458" s="5">
        <v>5400000</v>
      </c>
      <c r="J1458" s="5">
        <v>51500000</v>
      </c>
      <c r="K1458" s="5">
        <v>54500000</v>
      </c>
      <c r="L1458" s="3">
        <v>0.97916666666666663</v>
      </c>
    </row>
    <row r="1459" spans="1:12" x14ac:dyDescent="0.25">
      <c r="A1459" t="s">
        <v>903</v>
      </c>
      <c r="B1459" s="2">
        <v>44489</v>
      </c>
      <c r="C1459" t="s">
        <v>19</v>
      </c>
      <c r="D1459" t="s">
        <v>1636</v>
      </c>
      <c r="E1459" s="5">
        <v>51400000</v>
      </c>
      <c r="F1459" s="5">
        <v>54400000</v>
      </c>
      <c r="G1459" s="5">
        <v>3000000</v>
      </c>
      <c r="H1459" s="5">
        <v>5140000</v>
      </c>
      <c r="I1459" s="5">
        <v>5440000</v>
      </c>
      <c r="J1459" s="5">
        <v>51900000</v>
      </c>
      <c r="K1459" s="5">
        <v>54900000</v>
      </c>
      <c r="L1459" s="3">
        <v>0.97916666666666663</v>
      </c>
    </row>
    <row r="1460" spans="1:12" x14ac:dyDescent="0.25">
      <c r="A1460" t="s">
        <v>904</v>
      </c>
      <c r="B1460" s="2">
        <v>44490</v>
      </c>
      <c r="C1460" t="s">
        <v>20</v>
      </c>
      <c r="D1460" t="s">
        <v>1636</v>
      </c>
      <c r="E1460" s="5">
        <v>51300000</v>
      </c>
      <c r="F1460" s="5">
        <v>54300000</v>
      </c>
      <c r="G1460" s="5">
        <v>3000000</v>
      </c>
      <c r="H1460" s="5">
        <v>5130000</v>
      </c>
      <c r="I1460" s="5">
        <v>5430000</v>
      </c>
      <c r="J1460" s="5">
        <v>51800000</v>
      </c>
      <c r="K1460" s="5">
        <v>54800000</v>
      </c>
      <c r="L1460" s="3">
        <v>0.97916666666666663</v>
      </c>
    </row>
    <row r="1461" spans="1:12" x14ac:dyDescent="0.25">
      <c r="A1461" t="s">
        <v>905</v>
      </c>
      <c r="B1461" s="2">
        <v>44491</v>
      </c>
      <c r="C1461" t="s">
        <v>21</v>
      </c>
      <c r="D1461" t="s">
        <v>1636</v>
      </c>
      <c r="E1461" s="5">
        <v>51800000</v>
      </c>
      <c r="F1461" s="5">
        <v>54800000</v>
      </c>
      <c r="G1461" s="5">
        <v>3000000</v>
      </c>
      <c r="H1461" s="5">
        <v>5180000</v>
      </c>
      <c r="I1461" s="5">
        <v>5480000</v>
      </c>
      <c r="J1461" s="5">
        <v>52300000</v>
      </c>
      <c r="K1461" s="5">
        <v>55300000</v>
      </c>
      <c r="L1461" s="3">
        <v>0.97916666666666663</v>
      </c>
    </row>
    <row r="1462" spans="1:12" x14ac:dyDescent="0.25">
      <c r="A1462" t="s">
        <v>906</v>
      </c>
      <c r="B1462" s="2">
        <v>44494</v>
      </c>
      <c r="C1462" t="s">
        <v>16</v>
      </c>
      <c r="D1462" t="s">
        <v>1636</v>
      </c>
      <c r="E1462" s="5">
        <v>52100000</v>
      </c>
      <c r="F1462" s="5">
        <v>55100000</v>
      </c>
      <c r="G1462" s="5">
        <v>3000000</v>
      </c>
      <c r="H1462" s="5">
        <v>5210000</v>
      </c>
      <c r="I1462" s="5">
        <v>5510000</v>
      </c>
      <c r="J1462" s="5">
        <v>52600000</v>
      </c>
      <c r="K1462" s="5">
        <v>55600000</v>
      </c>
      <c r="L1462" s="3">
        <v>0.97916666666666663</v>
      </c>
    </row>
    <row r="1463" spans="1:12" x14ac:dyDescent="0.25">
      <c r="A1463" t="s">
        <v>907</v>
      </c>
      <c r="B1463" s="2">
        <v>44495</v>
      </c>
      <c r="C1463" t="s">
        <v>18</v>
      </c>
      <c r="D1463" t="s">
        <v>1636</v>
      </c>
      <c r="E1463" s="5">
        <v>51700000</v>
      </c>
      <c r="F1463" s="5">
        <v>54700000</v>
      </c>
      <c r="G1463" s="5">
        <v>3000000</v>
      </c>
      <c r="H1463" s="5">
        <v>5170000</v>
      </c>
      <c r="I1463" s="5">
        <v>5470000</v>
      </c>
      <c r="J1463" s="5">
        <v>52200000</v>
      </c>
      <c r="K1463" s="5">
        <v>55200000</v>
      </c>
      <c r="L1463" s="3">
        <v>0.97916666666666663</v>
      </c>
    </row>
    <row r="1464" spans="1:12" x14ac:dyDescent="0.25">
      <c r="A1464" t="s">
        <v>908</v>
      </c>
      <c r="B1464" s="2">
        <v>44496</v>
      </c>
      <c r="C1464" t="s">
        <v>19</v>
      </c>
      <c r="D1464" t="s">
        <v>1636</v>
      </c>
      <c r="E1464" s="5">
        <v>51800000</v>
      </c>
      <c r="F1464" s="5">
        <v>54800000</v>
      </c>
      <c r="G1464" s="5">
        <v>3000000</v>
      </c>
      <c r="H1464" s="5">
        <v>5180000</v>
      </c>
      <c r="I1464" s="5">
        <v>5480000</v>
      </c>
      <c r="J1464" s="5">
        <v>52300000</v>
      </c>
      <c r="K1464" s="5">
        <v>55300000</v>
      </c>
      <c r="L1464" s="3">
        <v>0.97916666666666663</v>
      </c>
    </row>
    <row r="1465" spans="1:12" x14ac:dyDescent="0.25">
      <c r="A1465" t="s">
        <v>909</v>
      </c>
      <c r="B1465" s="2">
        <v>44497</v>
      </c>
      <c r="C1465" t="s">
        <v>20</v>
      </c>
      <c r="D1465" t="s">
        <v>1636</v>
      </c>
      <c r="E1465" s="5">
        <v>52000000</v>
      </c>
      <c r="F1465" s="5">
        <v>55000000</v>
      </c>
      <c r="G1465" s="5">
        <v>3000000</v>
      </c>
      <c r="H1465" s="5">
        <v>5200000</v>
      </c>
      <c r="I1465" s="5">
        <v>5500000</v>
      </c>
      <c r="J1465" s="5">
        <v>52500000</v>
      </c>
      <c r="K1465" s="5">
        <v>55500000</v>
      </c>
      <c r="L1465" s="3">
        <v>0.97916666666666663</v>
      </c>
    </row>
    <row r="1466" spans="1:12" x14ac:dyDescent="0.25">
      <c r="A1466" t="s">
        <v>910</v>
      </c>
      <c r="B1466" s="2">
        <v>44498</v>
      </c>
      <c r="C1466" t="s">
        <v>21</v>
      </c>
      <c r="D1466" t="s">
        <v>1636</v>
      </c>
      <c r="E1466" s="5">
        <v>51400000</v>
      </c>
      <c r="F1466" s="5">
        <v>54400000</v>
      </c>
      <c r="G1466" s="5">
        <v>3000000</v>
      </c>
      <c r="H1466" s="5">
        <v>5140000</v>
      </c>
      <c r="I1466" s="5">
        <v>5440000</v>
      </c>
      <c r="J1466" s="5">
        <v>51900000</v>
      </c>
      <c r="K1466" s="5">
        <v>54900000</v>
      </c>
      <c r="L1466" s="3">
        <v>0.97916666666666663</v>
      </c>
    </row>
    <row r="1467" spans="1:12" x14ac:dyDescent="0.25">
      <c r="A1467" s="2">
        <v>44207</v>
      </c>
      <c r="B1467" s="2">
        <v>44501</v>
      </c>
      <c r="C1467" t="s">
        <v>16</v>
      </c>
      <c r="D1467" t="s">
        <v>1636</v>
      </c>
      <c r="E1467" s="5">
        <v>51800000</v>
      </c>
      <c r="F1467" s="5">
        <v>54800000</v>
      </c>
      <c r="G1467" s="5">
        <v>3000000</v>
      </c>
      <c r="H1467" s="5">
        <v>5180000</v>
      </c>
      <c r="I1467" s="5">
        <v>5480000</v>
      </c>
      <c r="J1467" s="5">
        <v>52300000</v>
      </c>
      <c r="K1467" s="5">
        <v>55300000</v>
      </c>
      <c r="L1467" s="3">
        <v>0.97916666666666663</v>
      </c>
    </row>
    <row r="1468" spans="1:12" x14ac:dyDescent="0.25">
      <c r="A1468" s="2">
        <v>44238</v>
      </c>
      <c r="B1468" s="2">
        <v>44502</v>
      </c>
      <c r="C1468" t="s">
        <v>18</v>
      </c>
      <c r="D1468" t="s">
        <v>1636</v>
      </c>
      <c r="E1468" s="5">
        <v>51600000</v>
      </c>
      <c r="F1468" s="5">
        <v>54600000</v>
      </c>
      <c r="G1468" s="5">
        <v>3000000</v>
      </c>
      <c r="H1468" s="5">
        <v>5160000</v>
      </c>
      <c r="I1468" s="5">
        <v>5460000</v>
      </c>
      <c r="J1468" s="5">
        <v>52100000</v>
      </c>
      <c r="K1468" s="5">
        <v>55100000</v>
      </c>
      <c r="L1468" s="3">
        <v>0.97916666666666663</v>
      </c>
    </row>
    <row r="1469" spans="1:12" x14ac:dyDescent="0.25">
      <c r="A1469" s="2">
        <v>44266</v>
      </c>
      <c r="B1469" s="2">
        <v>44503</v>
      </c>
      <c r="C1469" t="s">
        <v>19</v>
      </c>
      <c r="D1469" t="s">
        <v>1636</v>
      </c>
      <c r="E1469" s="5">
        <v>50800000</v>
      </c>
      <c r="F1469" s="5">
        <v>53800000</v>
      </c>
      <c r="G1469" s="5">
        <v>3000000</v>
      </c>
      <c r="H1469" s="5">
        <v>5080000</v>
      </c>
      <c r="I1469" s="5">
        <v>5380000</v>
      </c>
      <c r="J1469" s="5">
        <v>51300000</v>
      </c>
      <c r="K1469" s="5">
        <v>54300000</v>
      </c>
      <c r="L1469" s="3">
        <v>0.97916666666666663</v>
      </c>
    </row>
    <row r="1470" spans="1:12" x14ac:dyDescent="0.25">
      <c r="A1470" s="2">
        <v>44297</v>
      </c>
      <c r="B1470" s="2">
        <v>44504</v>
      </c>
      <c r="C1470" t="s">
        <v>20</v>
      </c>
      <c r="D1470" t="s">
        <v>1636</v>
      </c>
      <c r="E1470" s="5">
        <v>51700000</v>
      </c>
      <c r="F1470" s="5">
        <v>54700000</v>
      </c>
      <c r="G1470" s="5">
        <v>3000000</v>
      </c>
      <c r="H1470" s="5">
        <v>5170000</v>
      </c>
      <c r="I1470" s="5">
        <v>5470000</v>
      </c>
      <c r="J1470" s="5">
        <v>52200000</v>
      </c>
      <c r="K1470" s="5">
        <v>55200000</v>
      </c>
      <c r="L1470" s="3">
        <v>0.97916666666666663</v>
      </c>
    </row>
    <row r="1471" spans="1:12" x14ac:dyDescent="0.25">
      <c r="A1471" s="2">
        <v>44327</v>
      </c>
      <c r="B1471" s="2">
        <v>44505</v>
      </c>
      <c r="C1471" t="s">
        <v>21</v>
      </c>
      <c r="D1471" t="s">
        <v>1636</v>
      </c>
      <c r="E1471" s="5">
        <v>52400000</v>
      </c>
      <c r="F1471" s="5">
        <v>55400000</v>
      </c>
      <c r="G1471" s="5">
        <v>3000000</v>
      </c>
      <c r="H1471" s="5">
        <v>5240000</v>
      </c>
      <c r="I1471" s="5">
        <v>5540000</v>
      </c>
      <c r="J1471" s="5">
        <v>52900000</v>
      </c>
      <c r="K1471" s="5">
        <v>55900000</v>
      </c>
      <c r="L1471" s="3">
        <v>0.97916666666666663</v>
      </c>
    </row>
    <row r="1472" spans="1:12" x14ac:dyDescent="0.25">
      <c r="A1472" s="2">
        <v>44419</v>
      </c>
      <c r="B1472" s="2">
        <v>44508</v>
      </c>
      <c r="C1472" t="s">
        <v>16</v>
      </c>
      <c r="D1472" t="s">
        <v>1636</v>
      </c>
      <c r="E1472" s="5">
        <v>52700000</v>
      </c>
      <c r="F1472" s="5">
        <v>55700000</v>
      </c>
      <c r="G1472" s="5">
        <v>3000000</v>
      </c>
      <c r="H1472" s="5">
        <v>5270000</v>
      </c>
      <c r="I1472" s="5">
        <v>5570000</v>
      </c>
      <c r="J1472" s="5">
        <v>53200000</v>
      </c>
      <c r="K1472" s="5">
        <v>56200000</v>
      </c>
      <c r="L1472" s="3">
        <v>0.97916666666666663</v>
      </c>
    </row>
    <row r="1473" spans="1:12" x14ac:dyDescent="0.25">
      <c r="A1473" s="2">
        <v>44450</v>
      </c>
      <c r="B1473" s="2">
        <v>44509</v>
      </c>
      <c r="C1473" t="s">
        <v>18</v>
      </c>
      <c r="D1473" t="s">
        <v>1636</v>
      </c>
      <c r="E1473" s="5">
        <v>52800000</v>
      </c>
      <c r="F1473" s="5">
        <v>55800000</v>
      </c>
      <c r="G1473" s="5">
        <v>3000000</v>
      </c>
      <c r="H1473" s="5">
        <v>5280000</v>
      </c>
      <c r="I1473" s="5">
        <v>5580000</v>
      </c>
      <c r="J1473" s="5">
        <v>53300000</v>
      </c>
      <c r="K1473" s="5">
        <v>56300000</v>
      </c>
      <c r="L1473" s="3">
        <v>0.97916666666666663</v>
      </c>
    </row>
    <row r="1474" spans="1:12" x14ac:dyDescent="0.25">
      <c r="A1474" s="2">
        <v>44480</v>
      </c>
      <c r="B1474" s="2">
        <v>44510</v>
      </c>
      <c r="C1474" t="s">
        <v>19</v>
      </c>
      <c r="D1474" t="s">
        <v>1636</v>
      </c>
      <c r="E1474" s="5">
        <v>53400000</v>
      </c>
      <c r="F1474" s="5">
        <v>56400000</v>
      </c>
      <c r="G1474" s="5">
        <v>3000000</v>
      </c>
      <c r="H1474" s="5">
        <v>5340000</v>
      </c>
      <c r="I1474" s="5">
        <v>5640000</v>
      </c>
      <c r="J1474" s="5">
        <v>53900000</v>
      </c>
      <c r="K1474" s="5">
        <v>56900000</v>
      </c>
      <c r="L1474" s="3">
        <v>0.97916666666666663</v>
      </c>
    </row>
    <row r="1475" spans="1:12" x14ac:dyDescent="0.25">
      <c r="A1475" s="2">
        <v>44511</v>
      </c>
      <c r="B1475" s="2">
        <v>44511</v>
      </c>
      <c r="C1475" t="s">
        <v>20</v>
      </c>
      <c r="D1475" t="s">
        <v>1636</v>
      </c>
      <c r="E1475" s="5">
        <v>53800000</v>
      </c>
      <c r="F1475" s="5">
        <v>56800000</v>
      </c>
      <c r="G1475" s="5">
        <v>3000000</v>
      </c>
      <c r="H1475" s="5">
        <v>5380000</v>
      </c>
      <c r="I1475" s="5">
        <v>5680000</v>
      </c>
      <c r="J1475" s="5">
        <v>54300000</v>
      </c>
      <c r="K1475" s="5">
        <v>57300000</v>
      </c>
      <c r="L1475" s="3">
        <v>0.97916666666666663</v>
      </c>
    </row>
    <row r="1476" spans="1:12" x14ac:dyDescent="0.25">
      <c r="A1476" s="2">
        <v>44541</v>
      </c>
      <c r="B1476" s="2">
        <v>44512</v>
      </c>
      <c r="C1476" t="s">
        <v>21</v>
      </c>
      <c r="D1476" t="s">
        <v>1636</v>
      </c>
      <c r="E1476" s="5">
        <v>54000000</v>
      </c>
      <c r="F1476" s="5">
        <v>57000000</v>
      </c>
      <c r="G1476" s="5">
        <v>3000000</v>
      </c>
      <c r="H1476" s="5">
        <v>5400000</v>
      </c>
      <c r="I1476" s="5">
        <v>5700000</v>
      </c>
      <c r="J1476" s="5">
        <v>54500000</v>
      </c>
      <c r="K1476" s="5">
        <v>57500000</v>
      </c>
      <c r="L1476" s="3">
        <v>0.97916666666666663</v>
      </c>
    </row>
    <row r="1477" spans="1:12" x14ac:dyDescent="0.25">
      <c r="A1477" t="s">
        <v>911</v>
      </c>
      <c r="B1477" s="2">
        <v>44515</v>
      </c>
      <c r="C1477" t="s">
        <v>16</v>
      </c>
      <c r="D1477" t="s">
        <v>1636</v>
      </c>
      <c r="E1477" s="5">
        <v>53900000</v>
      </c>
      <c r="F1477" s="5">
        <v>56900000</v>
      </c>
      <c r="G1477" s="5">
        <v>3000000</v>
      </c>
      <c r="H1477" s="5">
        <v>5390000</v>
      </c>
      <c r="I1477" s="5">
        <v>5690000</v>
      </c>
      <c r="J1477" s="5">
        <v>54400000</v>
      </c>
      <c r="K1477" s="5">
        <v>57400000</v>
      </c>
      <c r="L1477" s="3">
        <v>0.97916666666666663</v>
      </c>
    </row>
    <row r="1478" spans="1:12" x14ac:dyDescent="0.25">
      <c r="A1478" t="s">
        <v>912</v>
      </c>
      <c r="B1478" s="2">
        <v>44516</v>
      </c>
      <c r="C1478" t="s">
        <v>18</v>
      </c>
      <c r="D1478" t="s">
        <v>1636</v>
      </c>
      <c r="E1478" s="5">
        <v>53500000</v>
      </c>
      <c r="F1478" s="5">
        <v>56500000</v>
      </c>
      <c r="G1478" s="5">
        <v>3000000</v>
      </c>
      <c r="H1478" s="5">
        <v>5350000</v>
      </c>
      <c r="I1478" s="5">
        <v>5650000</v>
      </c>
      <c r="J1478" s="5">
        <v>54000000</v>
      </c>
      <c r="K1478" s="5">
        <v>57000000</v>
      </c>
      <c r="L1478" s="3">
        <v>0.97916666666666663</v>
      </c>
    </row>
    <row r="1479" spans="1:12" x14ac:dyDescent="0.25">
      <c r="A1479" t="s">
        <v>913</v>
      </c>
      <c r="B1479" s="2">
        <v>44517</v>
      </c>
      <c r="C1479" t="s">
        <v>19</v>
      </c>
      <c r="D1479" t="s">
        <v>1636</v>
      </c>
      <c r="E1479" s="5">
        <v>54000000</v>
      </c>
      <c r="F1479" s="5">
        <v>57000000</v>
      </c>
      <c r="G1479" s="5">
        <v>3000000</v>
      </c>
      <c r="H1479" s="5">
        <v>5400000</v>
      </c>
      <c r="I1479" s="5">
        <v>5700000</v>
      </c>
      <c r="J1479" s="5">
        <v>54500000</v>
      </c>
      <c r="K1479" s="5">
        <v>57500000</v>
      </c>
      <c r="L1479" s="3">
        <v>0.97916666666666663</v>
      </c>
    </row>
    <row r="1480" spans="1:12" x14ac:dyDescent="0.25">
      <c r="A1480" t="s">
        <v>914</v>
      </c>
      <c r="B1480" s="2">
        <v>44518</v>
      </c>
      <c r="C1480" t="s">
        <v>20</v>
      </c>
      <c r="D1480" t="s">
        <v>1636</v>
      </c>
      <c r="E1480" s="5">
        <v>53800000</v>
      </c>
      <c r="F1480" s="5">
        <v>56800000</v>
      </c>
      <c r="G1480" s="5">
        <v>3000000</v>
      </c>
      <c r="H1480" s="5">
        <v>5380000</v>
      </c>
      <c r="I1480" s="5">
        <v>5680000</v>
      </c>
      <c r="J1480" s="5">
        <v>54300000</v>
      </c>
      <c r="K1480" s="5">
        <v>57300000</v>
      </c>
      <c r="L1480" s="3">
        <v>0.97916666666666663</v>
      </c>
    </row>
    <row r="1481" spans="1:12" x14ac:dyDescent="0.25">
      <c r="A1481" t="s">
        <v>915</v>
      </c>
      <c r="B1481" s="2">
        <v>44519</v>
      </c>
      <c r="C1481" t="s">
        <v>21</v>
      </c>
      <c r="D1481" t="s">
        <v>1636</v>
      </c>
      <c r="E1481" s="5">
        <v>53500000</v>
      </c>
      <c r="F1481" s="5">
        <v>56500000</v>
      </c>
      <c r="G1481" s="5">
        <v>3000000</v>
      </c>
      <c r="H1481" s="5">
        <v>5350000</v>
      </c>
      <c r="I1481" s="5">
        <v>5650000</v>
      </c>
      <c r="J1481" s="5">
        <v>54000000</v>
      </c>
      <c r="K1481" s="5">
        <v>57000000</v>
      </c>
      <c r="L1481" s="3">
        <v>0.97916666666666663</v>
      </c>
    </row>
    <row r="1482" spans="1:12" x14ac:dyDescent="0.25">
      <c r="A1482" t="s">
        <v>916</v>
      </c>
      <c r="B1482" s="2">
        <v>44522</v>
      </c>
      <c r="C1482" t="s">
        <v>16</v>
      </c>
      <c r="D1482" t="s">
        <v>1636</v>
      </c>
      <c r="E1482" s="5">
        <v>52100000</v>
      </c>
      <c r="F1482" s="5">
        <v>55100000</v>
      </c>
      <c r="G1482" s="5">
        <v>3000000</v>
      </c>
      <c r="H1482" s="5">
        <v>5210000</v>
      </c>
      <c r="I1482" s="5">
        <v>5510000</v>
      </c>
      <c r="J1482" s="5">
        <v>52600000</v>
      </c>
      <c r="K1482" s="5">
        <v>55600000</v>
      </c>
      <c r="L1482" s="3">
        <v>0.97916666666666663</v>
      </c>
    </row>
    <row r="1483" spans="1:12" x14ac:dyDescent="0.25">
      <c r="A1483" t="s">
        <v>917</v>
      </c>
      <c r="B1483" s="2">
        <v>44523</v>
      </c>
      <c r="C1483" t="s">
        <v>18</v>
      </c>
      <c r="D1483" t="s">
        <v>1636</v>
      </c>
      <c r="E1483" s="5">
        <v>51400000</v>
      </c>
      <c r="F1483" s="5">
        <v>54400000</v>
      </c>
      <c r="G1483" s="5">
        <v>3000000</v>
      </c>
      <c r="H1483" s="5">
        <v>5140000</v>
      </c>
      <c r="I1483" s="5">
        <v>5440000</v>
      </c>
      <c r="J1483" s="5">
        <v>51900000</v>
      </c>
      <c r="K1483" s="5">
        <v>54900000</v>
      </c>
      <c r="L1483" s="3">
        <v>0.97916666666666663</v>
      </c>
    </row>
    <row r="1484" spans="1:12" x14ac:dyDescent="0.25">
      <c r="A1484" t="s">
        <v>918</v>
      </c>
      <c r="B1484" s="2">
        <v>44524</v>
      </c>
      <c r="C1484" t="s">
        <v>19</v>
      </c>
      <c r="D1484" t="s">
        <v>1636</v>
      </c>
      <c r="E1484" s="5">
        <v>51400000</v>
      </c>
      <c r="F1484" s="5">
        <v>54400000</v>
      </c>
      <c r="G1484" s="5">
        <v>3000000</v>
      </c>
      <c r="H1484" s="5">
        <v>5140000</v>
      </c>
      <c r="I1484" s="5">
        <v>5440000</v>
      </c>
      <c r="J1484" s="5">
        <v>51900000</v>
      </c>
      <c r="K1484" s="5">
        <v>54900000</v>
      </c>
      <c r="L1484" s="3">
        <v>0.97916666666666663</v>
      </c>
    </row>
    <row r="1485" spans="1:12" x14ac:dyDescent="0.25">
      <c r="A1485" t="s">
        <v>919</v>
      </c>
      <c r="B1485" s="2">
        <v>44526</v>
      </c>
      <c r="C1485" t="s">
        <v>21</v>
      </c>
      <c r="D1485" t="s">
        <v>1636</v>
      </c>
      <c r="E1485" s="5">
        <v>51500000</v>
      </c>
      <c r="F1485" s="5">
        <v>54500000</v>
      </c>
      <c r="G1485" s="5">
        <v>3000000</v>
      </c>
      <c r="H1485" s="5">
        <v>5150000</v>
      </c>
      <c r="I1485" s="5">
        <v>5450000</v>
      </c>
      <c r="J1485" s="5">
        <v>52000000</v>
      </c>
      <c r="K1485" s="5">
        <v>55000000</v>
      </c>
      <c r="L1485" s="3">
        <v>0.97916666666666663</v>
      </c>
    </row>
    <row r="1486" spans="1:12" x14ac:dyDescent="0.25">
      <c r="A1486" t="s">
        <v>920</v>
      </c>
      <c r="B1486" s="2">
        <v>44529</v>
      </c>
      <c r="C1486" t="s">
        <v>16</v>
      </c>
      <c r="D1486" t="s">
        <v>1636</v>
      </c>
      <c r="E1486" s="5">
        <v>51400000</v>
      </c>
      <c r="F1486" s="5">
        <v>54400000</v>
      </c>
      <c r="G1486" s="5">
        <v>3000000</v>
      </c>
      <c r="H1486" s="5">
        <v>5140000</v>
      </c>
      <c r="I1486" s="5">
        <v>5440000</v>
      </c>
      <c r="J1486" s="5">
        <v>51900000</v>
      </c>
      <c r="K1486" s="5">
        <v>54900000</v>
      </c>
      <c r="L1486" s="3">
        <v>0.97916666666666663</v>
      </c>
    </row>
    <row r="1487" spans="1:12" x14ac:dyDescent="0.25">
      <c r="A1487" t="s">
        <v>921</v>
      </c>
      <c r="B1487" s="2">
        <v>44530</v>
      </c>
      <c r="C1487" t="s">
        <v>18</v>
      </c>
      <c r="D1487" t="s">
        <v>1636</v>
      </c>
      <c r="E1487" s="5">
        <v>51100000</v>
      </c>
      <c r="F1487" s="5">
        <v>54100000</v>
      </c>
      <c r="G1487" s="5">
        <v>3000000</v>
      </c>
      <c r="H1487" s="5">
        <v>5110000</v>
      </c>
      <c r="I1487" s="5">
        <v>5410000</v>
      </c>
      <c r="J1487" s="5">
        <v>51600000</v>
      </c>
      <c r="K1487" s="5">
        <v>54600000</v>
      </c>
      <c r="L1487" s="3">
        <v>0.97916666666666663</v>
      </c>
    </row>
    <row r="1488" spans="1:12" x14ac:dyDescent="0.25">
      <c r="A1488" s="2">
        <v>44208</v>
      </c>
      <c r="B1488" s="2">
        <v>44531</v>
      </c>
      <c r="C1488" t="s">
        <v>19</v>
      </c>
      <c r="D1488" t="s">
        <v>1636</v>
      </c>
      <c r="E1488" s="5">
        <v>51300000</v>
      </c>
      <c r="F1488" s="5">
        <v>54300000</v>
      </c>
      <c r="G1488" s="5">
        <v>3000000</v>
      </c>
      <c r="H1488" s="5">
        <v>5130000</v>
      </c>
      <c r="I1488" s="5">
        <v>5430000</v>
      </c>
      <c r="J1488" s="5">
        <v>51800000</v>
      </c>
      <c r="K1488" s="5">
        <v>54800000</v>
      </c>
      <c r="L1488" s="3">
        <v>0.97916666666666663</v>
      </c>
    </row>
    <row r="1489" spans="1:12" x14ac:dyDescent="0.25">
      <c r="A1489" s="2">
        <v>44239</v>
      </c>
      <c r="B1489" s="2">
        <v>44532</v>
      </c>
      <c r="C1489" t="s">
        <v>20</v>
      </c>
      <c r="D1489" t="s">
        <v>1636</v>
      </c>
      <c r="E1489" s="5">
        <v>50700000</v>
      </c>
      <c r="F1489" s="5">
        <v>53700000</v>
      </c>
      <c r="G1489" s="5">
        <v>3000000</v>
      </c>
      <c r="H1489" s="5">
        <v>5070000</v>
      </c>
      <c r="I1489" s="5">
        <v>5370000</v>
      </c>
      <c r="J1489" s="5">
        <v>51200000</v>
      </c>
      <c r="K1489" s="5">
        <v>54200000</v>
      </c>
      <c r="L1489" s="3">
        <v>0.97916666666666663</v>
      </c>
    </row>
    <row r="1490" spans="1:12" x14ac:dyDescent="0.25">
      <c r="A1490" s="2">
        <v>44267</v>
      </c>
      <c r="B1490" s="2">
        <v>44533</v>
      </c>
      <c r="C1490" t="s">
        <v>21</v>
      </c>
      <c r="D1490" t="s">
        <v>1636</v>
      </c>
      <c r="E1490" s="5">
        <v>51400000</v>
      </c>
      <c r="F1490" s="5">
        <v>54400000</v>
      </c>
      <c r="G1490" s="5">
        <v>3000000</v>
      </c>
      <c r="H1490" s="5">
        <v>5140000</v>
      </c>
      <c r="I1490" s="5">
        <v>5440000</v>
      </c>
      <c r="J1490" s="5">
        <v>51900000</v>
      </c>
      <c r="K1490" s="5">
        <v>54900000</v>
      </c>
      <c r="L1490" s="3">
        <v>0.97916666666666663</v>
      </c>
    </row>
    <row r="1491" spans="1:12" x14ac:dyDescent="0.25">
      <c r="A1491" s="2">
        <v>44359</v>
      </c>
      <c r="B1491" s="2">
        <v>44536</v>
      </c>
      <c r="C1491" t="s">
        <v>16</v>
      </c>
      <c r="D1491" t="s">
        <v>1636</v>
      </c>
      <c r="E1491" s="5">
        <v>51200000</v>
      </c>
      <c r="F1491" s="5">
        <v>54200000</v>
      </c>
      <c r="G1491" s="5">
        <v>3000000</v>
      </c>
      <c r="H1491" s="5">
        <v>5120000</v>
      </c>
      <c r="I1491" s="5">
        <v>5420000</v>
      </c>
      <c r="J1491" s="5">
        <v>51700000</v>
      </c>
      <c r="K1491" s="5">
        <v>54700000</v>
      </c>
      <c r="L1491" s="3">
        <v>0.97916666666666663</v>
      </c>
    </row>
    <row r="1492" spans="1:12" x14ac:dyDescent="0.25">
      <c r="A1492" s="2">
        <v>44389</v>
      </c>
      <c r="B1492" s="2">
        <v>44537</v>
      </c>
      <c r="C1492" t="s">
        <v>18</v>
      </c>
      <c r="D1492" t="s">
        <v>1636</v>
      </c>
      <c r="E1492" s="5">
        <v>51400000</v>
      </c>
      <c r="F1492" s="5">
        <v>54400000</v>
      </c>
      <c r="G1492" s="5">
        <v>3000000</v>
      </c>
      <c r="H1492" s="5">
        <v>5140000</v>
      </c>
      <c r="I1492" s="5">
        <v>5440000</v>
      </c>
      <c r="J1492" s="5">
        <v>51900000</v>
      </c>
      <c r="K1492" s="5">
        <v>54900000</v>
      </c>
      <c r="L1492" s="3">
        <v>0.97916666666666663</v>
      </c>
    </row>
    <row r="1493" spans="1:12" x14ac:dyDescent="0.25">
      <c r="A1493" s="2">
        <v>44420</v>
      </c>
      <c r="B1493" s="2">
        <v>44538</v>
      </c>
      <c r="C1493" t="s">
        <v>19</v>
      </c>
      <c r="D1493" t="s">
        <v>1636</v>
      </c>
      <c r="E1493" s="5">
        <v>51400000</v>
      </c>
      <c r="F1493" s="5">
        <v>54400000</v>
      </c>
      <c r="G1493" s="5">
        <v>3000000</v>
      </c>
      <c r="H1493" s="5">
        <v>5140000</v>
      </c>
      <c r="I1493" s="5">
        <v>5440000</v>
      </c>
      <c r="J1493" s="5">
        <v>51900000</v>
      </c>
      <c r="K1493" s="5">
        <v>54900000</v>
      </c>
      <c r="L1493" s="3">
        <v>0.97916666666666663</v>
      </c>
    </row>
    <row r="1494" spans="1:12" x14ac:dyDescent="0.25">
      <c r="A1494" s="2">
        <v>44451</v>
      </c>
      <c r="B1494" s="2">
        <v>44539</v>
      </c>
      <c r="C1494" t="s">
        <v>20</v>
      </c>
      <c r="D1494" t="s">
        <v>1636</v>
      </c>
      <c r="E1494" s="5">
        <v>51100000</v>
      </c>
      <c r="F1494" s="5">
        <v>54100000</v>
      </c>
      <c r="G1494" s="5">
        <v>3000000</v>
      </c>
      <c r="H1494" s="5">
        <v>5110000</v>
      </c>
      <c r="I1494" s="5">
        <v>5410000</v>
      </c>
      <c r="J1494" s="5">
        <v>51600000</v>
      </c>
      <c r="K1494" s="5">
        <v>54600000</v>
      </c>
      <c r="L1494" s="3">
        <v>0.97916666666666663</v>
      </c>
    </row>
    <row r="1495" spans="1:12" x14ac:dyDescent="0.25">
      <c r="A1495" s="2">
        <v>44481</v>
      </c>
      <c r="B1495" s="2">
        <v>44540</v>
      </c>
      <c r="C1495" t="s">
        <v>21</v>
      </c>
      <c r="D1495" t="s">
        <v>1636</v>
      </c>
      <c r="E1495" s="5">
        <v>51400000</v>
      </c>
      <c r="F1495" s="5">
        <v>54400000</v>
      </c>
      <c r="G1495" s="5">
        <v>3000000</v>
      </c>
      <c r="H1495" s="5">
        <v>5140000</v>
      </c>
      <c r="I1495" s="5">
        <v>5440000</v>
      </c>
      <c r="J1495" s="5">
        <v>51900000</v>
      </c>
      <c r="K1495" s="5">
        <v>54900000</v>
      </c>
      <c r="L1495" s="3">
        <v>0.97916666666666663</v>
      </c>
    </row>
    <row r="1496" spans="1:12" x14ac:dyDescent="0.25">
      <c r="A1496" t="s">
        <v>922</v>
      </c>
      <c r="B1496" s="2">
        <v>44543</v>
      </c>
      <c r="C1496" t="s">
        <v>16</v>
      </c>
      <c r="D1496" t="s">
        <v>1636</v>
      </c>
      <c r="E1496" s="5">
        <v>51500000</v>
      </c>
      <c r="F1496" s="5">
        <v>54500000</v>
      </c>
      <c r="G1496" s="5">
        <v>3000000</v>
      </c>
      <c r="H1496" s="5">
        <v>5150000</v>
      </c>
      <c r="I1496" s="5">
        <v>5450000</v>
      </c>
      <c r="J1496" s="5">
        <v>52000000</v>
      </c>
      <c r="K1496" s="5">
        <v>55000000</v>
      </c>
      <c r="L1496" s="3">
        <v>0.97916666666666663</v>
      </c>
    </row>
    <row r="1497" spans="1:12" x14ac:dyDescent="0.25">
      <c r="A1497" t="s">
        <v>923</v>
      </c>
      <c r="B1497" s="2">
        <v>44544</v>
      </c>
      <c r="C1497" t="s">
        <v>18</v>
      </c>
      <c r="D1497" t="s">
        <v>1636</v>
      </c>
      <c r="E1497" s="5">
        <v>51000000</v>
      </c>
      <c r="F1497" s="5">
        <v>54000000</v>
      </c>
      <c r="G1497" s="5">
        <v>3000000</v>
      </c>
      <c r="H1497" s="5">
        <v>5100000</v>
      </c>
      <c r="I1497" s="5">
        <v>5400000</v>
      </c>
      <c r="J1497" s="5">
        <v>51500000</v>
      </c>
      <c r="K1497" s="5">
        <v>54500000</v>
      </c>
      <c r="L1497" s="3">
        <v>0.97916666666666663</v>
      </c>
    </row>
    <row r="1498" spans="1:12" x14ac:dyDescent="0.25">
      <c r="A1498" t="s">
        <v>924</v>
      </c>
      <c r="B1498" s="2">
        <v>44545</v>
      </c>
      <c r="C1498" t="s">
        <v>19</v>
      </c>
      <c r="D1498" t="s">
        <v>1636</v>
      </c>
      <c r="E1498" s="5">
        <v>50800000</v>
      </c>
      <c r="F1498" s="5">
        <v>53800000</v>
      </c>
      <c r="G1498" s="5">
        <v>3000000</v>
      </c>
      <c r="H1498" s="5">
        <v>5080000</v>
      </c>
      <c r="I1498" s="5">
        <v>5380000</v>
      </c>
      <c r="J1498" s="5">
        <v>51300000</v>
      </c>
      <c r="K1498" s="5">
        <v>54300000</v>
      </c>
      <c r="L1498" s="3">
        <v>0.97916666666666663</v>
      </c>
    </row>
    <row r="1499" spans="1:12" x14ac:dyDescent="0.25">
      <c r="A1499" t="s">
        <v>925</v>
      </c>
      <c r="B1499" s="2">
        <v>44546</v>
      </c>
      <c r="C1499" t="s">
        <v>20</v>
      </c>
      <c r="D1499" t="s">
        <v>1636</v>
      </c>
      <c r="E1499" s="5">
        <v>51800000</v>
      </c>
      <c r="F1499" s="5">
        <v>54800000</v>
      </c>
      <c r="G1499" s="5">
        <v>3000000</v>
      </c>
      <c r="H1499" s="5">
        <v>5180000</v>
      </c>
      <c r="I1499" s="5">
        <v>5480000</v>
      </c>
      <c r="J1499" s="5">
        <v>52300000</v>
      </c>
      <c r="K1499" s="5">
        <v>55300000</v>
      </c>
      <c r="L1499" s="3">
        <v>0.97916666666666663</v>
      </c>
    </row>
    <row r="1500" spans="1:12" x14ac:dyDescent="0.25">
      <c r="A1500" t="s">
        <v>926</v>
      </c>
      <c r="B1500" s="2">
        <v>44547</v>
      </c>
      <c r="C1500" t="s">
        <v>21</v>
      </c>
      <c r="D1500" t="s">
        <v>1636</v>
      </c>
      <c r="E1500" s="5">
        <v>52000000</v>
      </c>
      <c r="F1500" s="5">
        <v>55000000</v>
      </c>
      <c r="G1500" s="5">
        <v>3000000</v>
      </c>
      <c r="H1500" s="5">
        <v>5200000</v>
      </c>
      <c r="I1500" s="5">
        <v>5500000</v>
      </c>
      <c r="J1500" s="5">
        <v>52500000</v>
      </c>
      <c r="K1500" s="5">
        <v>55500000</v>
      </c>
      <c r="L1500" s="3">
        <v>0.97916666666666663</v>
      </c>
    </row>
    <row r="1501" spans="1:12" x14ac:dyDescent="0.25">
      <c r="A1501" t="s">
        <v>927</v>
      </c>
      <c r="B1501" s="2">
        <v>44550</v>
      </c>
      <c r="C1501" t="s">
        <v>16</v>
      </c>
      <c r="D1501" t="s">
        <v>1636</v>
      </c>
      <c r="E1501" s="5">
        <v>51700000</v>
      </c>
      <c r="F1501" s="5">
        <v>54700000</v>
      </c>
      <c r="G1501" s="5">
        <v>3000000</v>
      </c>
      <c r="H1501" s="5">
        <v>5170000</v>
      </c>
      <c r="I1501" s="5">
        <v>5470000</v>
      </c>
      <c r="J1501" s="5">
        <v>52200000</v>
      </c>
      <c r="K1501" s="5">
        <v>55200000</v>
      </c>
      <c r="L1501" s="3">
        <v>0.97916666666666663</v>
      </c>
    </row>
    <row r="1502" spans="1:12" x14ac:dyDescent="0.25">
      <c r="A1502" t="s">
        <v>928</v>
      </c>
      <c r="B1502" s="2">
        <v>44551</v>
      </c>
      <c r="C1502" t="s">
        <v>18</v>
      </c>
      <c r="D1502" t="s">
        <v>1636</v>
      </c>
      <c r="E1502" s="5">
        <v>51500000</v>
      </c>
      <c r="F1502" s="5">
        <v>54500000</v>
      </c>
      <c r="G1502" s="5">
        <v>3000000</v>
      </c>
      <c r="H1502" s="5">
        <v>5150000</v>
      </c>
      <c r="I1502" s="5">
        <v>5450000</v>
      </c>
      <c r="J1502" s="5">
        <v>52000000</v>
      </c>
      <c r="K1502" s="5">
        <v>55000000</v>
      </c>
      <c r="L1502" s="3">
        <v>0.97916666666666663</v>
      </c>
    </row>
    <row r="1503" spans="1:12" x14ac:dyDescent="0.25">
      <c r="A1503" t="s">
        <v>929</v>
      </c>
      <c r="B1503" s="2">
        <v>44552</v>
      </c>
      <c r="C1503" t="s">
        <v>19</v>
      </c>
      <c r="D1503" t="s">
        <v>1636</v>
      </c>
      <c r="E1503" s="5">
        <v>52000000</v>
      </c>
      <c r="F1503" s="5">
        <v>55000000</v>
      </c>
      <c r="G1503" s="5">
        <v>3000000</v>
      </c>
      <c r="H1503" s="5">
        <v>5200000</v>
      </c>
      <c r="I1503" s="5">
        <v>5500000</v>
      </c>
      <c r="J1503" s="5">
        <v>52500000</v>
      </c>
      <c r="K1503" s="5">
        <v>55500000</v>
      </c>
      <c r="L1503" s="3">
        <v>0.97916666666666663</v>
      </c>
    </row>
    <row r="1504" spans="1:12" x14ac:dyDescent="0.25">
      <c r="A1504" t="s">
        <v>930</v>
      </c>
      <c r="B1504" s="2">
        <v>44553</v>
      </c>
      <c r="C1504" t="s">
        <v>20</v>
      </c>
      <c r="D1504" t="s">
        <v>1636</v>
      </c>
      <c r="E1504" s="5">
        <v>52200000</v>
      </c>
      <c r="F1504" s="5">
        <v>55200000</v>
      </c>
      <c r="G1504" s="5">
        <v>3000000</v>
      </c>
      <c r="H1504" s="5">
        <v>5220000</v>
      </c>
      <c r="I1504" s="5">
        <v>5520000</v>
      </c>
      <c r="J1504" s="5">
        <v>52700000</v>
      </c>
      <c r="K1504" s="5">
        <v>55700000</v>
      </c>
      <c r="L1504" s="3">
        <v>0.97916666666666663</v>
      </c>
    </row>
    <row r="1505" spans="1:12" x14ac:dyDescent="0.25">
      <c r="A1505" t="s">
        <v>931</v>
      </c>
      <c r="B1505" s="2">
        <v>44557</v>
      </c>
      <c r="C1505" t="s">
        <v>16</v>
      </c>
      <c r="D1505" t="s">
        <v>1636</v>
      </c>
      <c r="E1505" s="5">
        <v>52200000</v>
      </c>
      <c r="F1505" s="5">
        <v>55200000</v>
      </c>
      <c r="G1505" s="5">
        <v>3000000</v>
      </c>
      <c r="H1505" s="5">
        <v>5220000</v>
      </c>
      <c r="I1505" s="5">
        <v>5520000</v>
      </c>
      <c r="J1505" s="5">
        <v>52700000</v>
      </c>
      <c r="K1505" s="5">
        <v>55700000</v>
      </c>
      <c r="L1505" s="3">
        <v>0.97916666666666663</v>
      </c>
    </row>
    <row r="1506" spans="1:12" x14ac:dyDescent="0.25">
      <c r="A1506" t="s">
        <v>932</v>
      </c>
      <c r="B1506" s="2">
        <v>44558</v>
      </c>
      <c r="C1506" t="s">
        <v>18</v>
      </c>
      <c r="D1506" t="s">
        <v>1636</v>
      </c>
      <c r="E1506" s="5">
        <v>52200000</v>
      </c>
      <c r="F1506" s="5">
        <v>55200000</v>
      </c>
      <c r="G1506" s="5">
        <v>3000000</v>
      </c>
      <c r="H1506" s="5">
        <v>5220000</v>
      </c>
      <c r="I1506" s="5">
        <v>5520000</v>
      </c>
      <c r="J1506" s="5">
        <v>52700000</v>
      </c>
      <c r="K1506" s="5">
        <v>55700000</v>
      </c>
      <c r="L1506" s="3">
        <v>0.97916666666666663</v>
      </c>
    </row>
    <row r="1507" spans="1:12" x14ac:dyDescent="0.25">
      <c r="A1507" t="s">
        <v>933</v>
      </c>
      <c r="B1507" s="2">
        <v>44559</v>
      </c>
      <c r="C1507" t="s">
        <v>19</v>
      </c>
      <c r="D1507" t="s">
        <v>1636</v>
      </c>
      <c r="E1507" s="5">
        <v>52100000</v>
      </c>
      <c r="F1507" s="5">
        <v>55100000</v>
      </c>
      <c r="G1507" s="5">
        <v>3000000</v>
      </c>
      <c r="H1507" s="5">
        <v>5210000</v>
      </c>
      <c r="I1507" s="5">
        <v>5510000</v>
      </c>
      <c r="J1507" s="5">
        <v>52600000</v>
      </c>
      <c r="K1507" s="5">
        <v>55600000</v>
      </c>
      <c r="L1507" s="3">
        <v>0.97916666666666663</v>
      </c>
    </row>
    <row r="1508" spans="1:12" x14ac:dyDescent="0.25">
      <c r="A1508" t="s">
        <v>934</v>
      </c>
      <c r="B1508" s="2">
        <v>44560</v>
      </c>
      <c r="C1508" t="s">
        <v>20</v>
      </c>
      <c r="D1508" t="s">
        <v>1636</v>
      </c>
      <c r="E1508" s="5">
        <v>52300000</v>
      </c>
      <c r="F1508" s="5">
        <v>55300000</v>
      </c>
      <c r="G1508" s="5">
        <v>3000000</v>
      </c>
      <c r="H1508" s="5">
        <v>5230000</v>
      </c>
      <c r="I1508" s="5">
        <v>5530000</v>
      </c>
      <c r="J1508" s="5">
        <v>52800000</v>
      </c>
      <c r="K1508" s="5">
        <v>55800000</v>
      </c>
      <c r="L1508" s="3">
        <v>0.97916666666666663</v>
      </c>
    </row>
    <row r="1509" spans="1:12" x14ac:dyDescent="0.25">
      <c r="A1509" t="s">
        <v>935</v>
      </c>
      <c r="B1509" s="2">
        <v>44561</v>
      </c>
      <c r="C1509" t="s">
        <v>21</v>
      </c>
      <c r="D1509" t="s">
        <v>1636</v>
      </c>
      <c r="E1509" s="5">
        <v>52700000</v>
      </c>
      <c r="F1509" s="5">
        <v>55700000</v>
      </c>
      <c r="G1509" s="5">
        <v>3000000</v>
      </c>
      <c r="H1509" s="5">
        <v>5270000</v>
      </c>
      <c r="I1509" s="5">
        <v>5570000</v>
      </c>
      <c r="J1509" s="5">
        <v>53200000</v>
      </c>
      <c r="K1509" s="5">
        <v>56200000</v>
      </c>
      <c r="L1509" s="3">
        <v>0.97916666666666663</v>
      </c>
    </row>
    <row r="1510" spans="1:12" x14ac:dyDescent="0.25">
      <c r="A1510" s="2">
        <v>44621</v>
      </c>
      <c r="B1510" s="2">
        <v>44564</v>
      </c>
      <c r="C1510" t="s">
        <v>16</v>
      </c>
      <c r="D1510" t="s">
        <v>1636</v>
      </c>
      <c r="E1510" s="5">
        <v>54800000</v>
      </c>
      <c r="F1510" s="5">
        <v>57800000</v>
      </c>
      <c r="G1510" s="5">
        <v>3000000</v>
      </c>
      <c r="H1510" s="5">
        <v>5480000</v>
      </c>
      <c r="I1510" s="5">
        <v>5780000</v>
      </c>
      <c r="J1510" s="5">
        <v>55300000</v>
      </c>
      <c r="K1510" s="5">
        <v>58300000</v>
      </c>
      <c r="L1510" s="3">
        <v>0.97916666666666663</v>
      </c>
    </row>
    <row r="1511" spans="1:12" x14ac:dyDescent="0.25">
      <c r="A1511" s="2">
        <v>44652</v>
      </c>
      <c r="B1511" s="2">
        <v>44565</v>
      </c>
      <c r="C1511" t="s">
        <v>18</v>
      </c>
      <c r="D1511" t="s">
        <v>1636</v>
      </c>
      <c r="E1511" s="5">
        <v>55300000</v>
      </c>
      <c r="F1511" s="5">
        <v>58300000</v>
      </c>
      <c r="G1511" s="5">
        <v>3000000</v>
      </c>
      <c r="H1511" s="5">
        <v>5530000</v>
      </c>
      <c r="I1511" s="5">
        <v>5830000</v>
      </c>
      <c r="J1511" s="5">
        <v>55800000</v>
      </c>
      <c r="K1511" s="5">
        <v>58800000</v>
      </c>
      <c r="L1511" s="3">
        <v>0.97916666666666663</v>
      </c>
    </row>
    <row r="1512" spans="1:12" x14ac:dyDescent="0.25">
      <c r="A1512" s="2">
        <v>44682</v>
      </c>
      <c r="B1512" s="2">
        <v>44566</v>
      </c>
      <c r="C1512" t="s">
        <v>19</v>
      </c>
      <c r="D1512" t="s">
        <v>1636</v>
      </c>
      <c r="E1512" s="5">
        <v>55600000</v>
      </c>
      <c r="F1512" s="5">
        <v>58600000</v>
      </c>
      <c r="G1512" s="5">
        <v>3000000</v>
      </c>
      <c r="H1512" s="5">
        <v>5560000</v>
      </c>
      <c r="I1512" s="5">
        <v>5860000</v>
      </c>
      <c r="J1512" s="5">
        <v>56100000</v>
      </c>
      <c r="K1512" s="5">
        <v>59100000</v>
      </c>
      <c r="L1512" s="3">
        <v>0.97916666666666663</v>
      </c>
    </row>
    <row r="1513" spans="1:12" x14ac:dyDescent="0.25">
      <c r="A1513" s="2">
        <v>44713</v>
      </c>
      <c r="B1513" s="2">
        <v>44567</v>
      </c>
      <c r="C1513" t="s">
        <v>20</v>
      </c>
      <c r="D1513" t="s">
        <v>1636</v>
      </c>
      <c r="E1513" s="5">
        <v>54500000</v>
      </c>
      <c r="F1513" s="5">
        <v>57500000</v>
      </c>
      <c r="G1513" s="5">
        <v>3000000</v>
      </c>
      <c r="H1513" s="5">
        <v>5450000</v>
      </c>
      <c r="I1513" s="5">
        <v>5750000</v>
      </c>
      <c r="J1513" s="5">
        <v>55000000</v>
      </c>
      <c r="K1513" s="5">
        <v>58000000</v>
      </c>
      <c r="L1513" s="3">
        <v>0.97916666666666663</v>
      </c>
    </row>
    <row r="1514" spans="1:12" x14ac:dyDescent="0.25">
      <c r="A1514" s="2">
        <v>44743</v>
      </c>
      <c r="B1514" s="2">
        <v>44568</v>
      </c>
      <c r="C1514" t="s">
        <v>21</v>
      </c>
      <c r="D1514" t="s">
        <v>1636</v>
      </c>
      <c r="E1514" s="5">
        <v>54800000</v>
      </c>
      <c r="F1514" s="5">
        <v>57800000</v>
      </c>
      <c r="G1514" s="5">
        <v>3000000</v>
      </c>
      <c r="H1514" s="5">
        <v>5480000</v>
      </c>
      <c r="I1514" s="5">
        <v>5780000</v>
      </c>
      <c r="J1514" s="5">
        <v>55300000</v>
      </c>
      <c r="K1514" s="5">
        <v>58300000</v>
      </c>
      <c r="L1514" s="3">
        <v>0.97916666666666663</v>
      </c>
    </row>
    <row r="1515" spans="1:12" x14ac:dyDescent="0.25">
      <c r="A1515" s="2">
        <v>44835</v>
      </c>
      <c r="B1515" s="2">
        <v>44571</v>
      </c>
      <c r="C1515" t="s">
        <v>16</v>
      </c>
      <c r="D1515" t="s">
        <v>1636</v>
      </c>
      <c r="E1515" s="5">
        <v>54800000</v>
      </c>
      <c r="F1515" s="5">
        <v>57800000</v>
      </c>
      <c r="G1515" s="5">
        <v>3000000</v>
      </c>
      <c r="H1515" s="5">
        <v>5480000</v>
      </c>
      <c r="I1515" s="5">
        <v>5780000</v>
      </c>
      <c r="J1515" s="5">
        <v>55300000</v>
      </c>
      <c r="K1515" s="5">
        <v>58300000</v>
      </c>
      <c r="L1515" s="3">
        <v>0.97916666666666663</v>
      </c>
    </row>
    <row r="1516" spans="1:12" x14ac:dyDescent="0.25">
      <c r="A1516" s="2">
        <v>44866</v>
      </c>
      <c r="B1516" s="2">
        <v>44572</v>
      </c>
      <c r="C1516" t="s">
        <v>18</v>
      </c>
      <c r="D1516" t="s">
        <v>1636</v>
      </c>
      <c r="E1516" s="5">
        <v>55400000</v>
      </c>
      <c r="F1516" s="5">
        <v>58400000</v>
      </c>
      <c r="G1516" s="5">
        <v>3000000</v>
      </c>
      <c r="H1516" s="5">
        <v>5540000</v>
      </c>
      <c r="I1516" s="5">
        <v>5840000</v>
      </c>
      <c r="J1516" s="5">
        <v>55900000</v>
      </c>
      <c r="K1516" s="5">
        <v>58900000</v>
      </c>
      <c r="L1516" s="3">
        <v>0.97916666666666663</v>
      </c>
    </row>
    <row r="1517" spans="1:12" x14ac:dyDescent="0.25">
      <c r="A1517" s="2">
        <v>44896</v>
      </c>
      <c r="B1517" s="2">
        <v>44573</v>
      </c>
      <c r="C1517" t="s">
        <v>19</v>
      </c>
      <c r="D1517" t="s">
        <v>1636</v>
      </c>
      <c r="E1517" s="5">
        <v>55700000</v>
      </c>
      <c r="F1517" s="5">
        <v>58700000</v>
      </c>
      <c r="G1517" s="5">
        <v>3000000</v>
      </c>
      <c r="H1517" s="5">
        <v>5570000</v>
      </c>
      <c r="I1517" s="5">
        <v>5870000</v>
      </c>
      <c r="J1517" s="5">
        <v>56200000</v>
      </c>
      <c r="K1517" s="5">
        <v>59200000</v>
      </c>
      <c r="L1517" s="3">
        <v>0.97916666666666663</v>
      </c>
    </row>
    <row r="1518" spans="1:12" x14ac:dyDescent="0.25">
      <c r="A1518" t="s">
        <v>936</v>
      </c>
      <c r="B1518" s="2">
        <v>44574</v>
      </c>
      <c r="C1518" t="s">
        <v>20</v>
      </c>
      <c r="D1518" t="s">
        <v>1636</v>
      </c>
      <c r="E1518" s="5">
        <v>55500000</v>
      </c>
      <c r="F1518" s="5">
        <v>58500000</v>
      </c>
      <c r="G1518" s="5">
        <v>3000000</v>
      </c>
      <c r="H1518" s="5">
        <v>5550000</v>
      </c>
      <c r="I1518" s="5">
        <v>5850000</v>
      </c>
      <c r="J1518" s="5">
        <v>56000000</v>
      </c>
      <c r="K1518" s="5">
        <v>59000000</v>
      </c>
      <c r="L1518" s="3">
        <v>0.97916666666666663</v>
      </c>
    </row>
    <row r="1519" spans="1:12" x14ac:dyDescent="0.25">
      <c r="A1519" t="s">
        <v>937</v>
      </c>
      <c r="B1519" s="2">
        <v>44575</v>
      </c>
      <c r="C1519" t="s">
        <v>21</v>
      </c>
      <c r="D1519" t="s">
        <v>1636</v>
      </c>
      <c r="E1519" s="5">
        <v>55400000</v>
      </c>
      <c r="F1519" s="5">
        <v>58400000</v>
      </c>
      <c r="G1519" s="5">
        <v>3000000</v>
      </c>
      <c r="H1519" s="5">
        <v>5540000</v>
      </c>
      <c r="I1519" s="5">
        <v>5840000</v>
      </c>
      <c r="J1519" s="5">
        <v>55900000</v>
      </c>
      <c r="K1519" s="5">
        <v>58900000</v>
      </c>
      <c r="L1519" s="3">
        <v>0.97916666666666663</v>
      </c>
    </row>
    <row r="1520" spans="1:12" x14ac:dyDescent="0.25">
      <c r="A1520" t="s">
        <v>938</v>
      </c>
      <c r="B1520" s="2">
        <v>44579</v>
      </c>
      <c r="C1520" t="s">
        <v>18</v>
      </c>
      <c r="D1520" t="s">
        <v>1636</v>
      </c>
      <c r="E1520" s="5">
        <v>55200000</v>
      </c>
      <c r="F1520" s="5">
        <v>58200000</v>
      </c>
      <c r="G1520" s="5">
        <v>3000000</v>
      </c>
      <c r="H1520" s="5">
        <v>5520000</v>
      </c>
      <c r="I1520" s="5">
        <v>5820000</v>
      </c>
      <c r="J1520" s="5">
        <v>55700000</v>
      </c>
      <c r="K1520" s="5">
        <v>58700000</v>
      </c>
      <c r="L1520" s="3">
        <v>0.97916666666666663</v>
      </c>
    </row>
    <row r="1521" spans="1:12" x14ac:dyDescent="0.25">
      <c r="A1521" t="s">
        <v>939</v>
      </c>
      <c r="B1521" s="2">
        <v>44580</v>
      </c>
      <c r="C1521" t="s">
        <v>19</v>
      </c>
      <c r="D1521" t="s">
        <v>1636</v>
      </c>
      <c r="E1521" s="5">
        <v>56200000</v>
      </c>
      <c r="F1521" s="5">
        <v>59200000</v>
      </c>
      <c r="G1521" s="5">
        <v>3000000</v>
      </c>
      <c r="H1521" s="5">
        <v>5620000</v>
      </c>
      <c r="I1521" s="5">
        <v>5920000</v>
      </c>
      <c r="J1521" s="5">
        <v>56700000</v>
      </c>
      <c r="K1521" s="5">
        <v>59700000</v>
      </c>
      <c r="L1521" s="3">
        <v>0.97916666666666663</v>
      </c>
    </row>
    <row r="1522" spans="1:12" x14ac:dyDescent="0.25">
      <c r="A1522" t="s">
        <v>940</v>
      </c>
      <c r="B1522" s="2">
        <v>44581</v>
      </c>
      <c r="C1522" t="s">
        <v>20</v>
      </c>
      <c r="D1522" t="s">
        <v>1636</v>
      </c>
      <c r="E1522" s="5">
        <v>56200000</v>
      </c>
      <c r="F1522" s="5">
        <v>59200000</v>
      </c>
      <c r="G1522" s="5">
        <v>3000000</v>
      </c>
      <c r="H1522" s="5">
        <v>5620000</v>
      </c>
      <c r="I1522" s="5">
        <v>5920000</v>
      </c>
      <c r="J1522" s="5">
        <v>56700000</v>
      </c>
      <c r="K1522" s="5">
        <v>59700000</v>
      </c>
      <c r="L1522" s="3">
        <v>0.97916666666666663</v>
      </c>
    </row>
    <row r="1523" spans="1:12" x14ac:dyDescent="0.25">
      <c r="A1523" t="s">
        <v>941</v>
      </c>
      <c r="B1523" s="2">
        <v>44582</v>
      </c>
      <c r="C1523" t="s">
        <v>21</v>
      </c>
      <c r="D1523" t="s">
        <v>1636</v>
      </c>
      <c r="E1523" s="5">
        <v>55900000</v>
      </c>
      <c r="F1523" s="5">
        <v>58900000</v>
      </c>
      <c r="G1523" s="5">
        <v>3000000</v>
      </c>
      <c r="H1523" s="5">
        <v>5590000</v>
      </c>
      <c r="I1523" s="5">
        <v>5890000</v>
      </c>
      <c r="J1523" s="5">
        <v>56400000</v>
      </c>
      <c r="K1523" s="5">
        <v>59400000</v>
      </c>
      <c r="L1523" s="3">
        <v>0.97916666666666663</v>
      </c>
    </row>
    <row r="1524" spans="1:12" x14ac:dyDescent="0.25">
      <c r="A1524" t="s">
        <v>942</v>
      </c>
      <c r="B1524" s="2">
        <v>44585</v>
      </c>
      <c r="C1524" t="s">
        <v>16</v>
      </c>
      <c r="D1524" t="s">
        <v>1636</v>
      </c>
      <c r="E1524" s="5">
        <v>56200000</v>
      </c>
      <c r="F1524" s="5">
        <v>59200000</v>
      </c>
      <c r="G1524" s="5">
        <v>3000000</v>
      </c>
      <c r="H1524" s="5">
        <v>5620000</v>
      </c>
      <c r="I1524" s="5">
        <v>5920000</v>
      </c>
      <c r="J1524" s="5">
        <v>56700000</v>
      </c>
      <c r="K1524" s="5">
        <v>59700000</v>
      </c>
      <c r="L1524" s="3">
        <v>0.97916666666666663</v>
      </c>
    </row>
    <row r="1525" spans="1:12" x14ac:dyDescent="0.25">
      <c r="A1525" t="s">
        <v>943</v>
      </c>
      <c r="B1525" s="2">
        <v>44586</v>
      </c>
      <c r="C1525" t="s">
        <v>18</v>
      </c>
      <c r="D1525" t="s">
        <v>1636</v>
      </c>
      <c r="E1525" s="5">
        <v>56500000</v>
      </c>
      <c r="F1525" s="5">
        <v>59500000</v>
      </c>
      <c r="G1525" s="5">
        <v>3000000</v>
      </c>
      <c r="H1525" s="5">
        <v>5650000</v>
      </c>
      <c r="I1525" s="5">
        <v>5950000</v>
      </c>
      <c r="J1525" s="5">
        <v>57000000</v>
      </c>
      <c r="K1525" s="5">
        <v>60000000</v>
      </c>
      <c r="L1525" s="3">
        <v>0.97916666666666663</v>
      </c>
    </row>
    <row r="1526" spans="1:12" x14ac:dyDescent="0.25">
      <c r="A1526" t="s">
        <v>944</v>
      </c>
      <c r="B1526" s="2">
        <v>44587</v>
      </c>
      <c r="C1526" t="s">
        <v>19</v>
      </c>
      <c r="D1526" t="s">
        <v>1636</v>
      </c>
      <c r="E1526" s="5">
        <v>55800000</v>
      </c>
      <c r="F1526" s="5">
        <v>58800000</v>
      </c>
      <c r="G1526" s="5">
        <v>3000000</v>
      </c>
      <c r="H1526" s="5">
        <v>5580000</v>
      </c>
      <c r="I1526" s="5">
        <v>5880000</v>
      </c>
      <c r="J1526" s="5">
        <v>56300000</v>
      </c>
      <c r="K1526" s="5">
        <v>59300000</v>
      </c>
      <c r="L1526" s="3">
        <v>0.97916666666666663</v>
      </c>
    </row>
    <row r="1527" spans="1:12" x14ac:dyDescent="0.25">
      <c r="A1527" t="s">
        <v>945</v>
      </c>
      <c r="B1527" s="2">
        <v>44588</v>
      </c>
      <c r="C1527" t="s">
        <v>20</v>
      </c>
      <c r="D1527" t="s">
        <v>1636</v>
      </c>
      <c r="E1527" s="5">
        <v>54600000</v>
      </c>
      <c r="F1527" s="5">
        <v>57600000</v>
      </c>
      <c r="G1527" s="5">
        <v>3000000</v>
      </c>
      <c r="H1527" s="5">
        <v>5460000</v>
      </c>
      <c r="I1527" s="5">
        <v>5760000</v>
      </c>
      <c r="J1527" s="5">
        <v>55100000</v>
      </c>
      <c r="K1527" s="5">
        <v>58100000</v>
      </c>
      <c r="L1527" s="3">
        <v>0.97916666666666663</v>
      </c>
    </row>
    <row r="1528" spans="1:12" x14ac:dyDescent="0.25">
      <c r="A1528" t="s">
        <v>946</v>
      </c>
      <c r="B1528" s="2">
        <v>44589</v>
      </c>
      <c r="C1528" t="s">
        <v>21</v>
      </c>
      <c r="D1528" t="s">
        <v>1636</v>
      </c>
      <c r="E1528" s="5">
        <v>54400000</v>
      </c>
      <c r="F1528" s="5">
        <v>57400000</v>
      </c>
      <c r="G1528" s="5">
        <v>3000000</v>
      </c>
      <c r="H1528" s="5">
        <v>5440000</v>
      </c>
      <c r="I1528" s="5">
        <v>5740000</v>
      </c>
      <c r="J1528" s="5">
        <v>54900000</v>
      </c>
      <c r="K1528" s="5">
        <v>57900000</v>
      </c>
      <c r="L1528" s="3">
        <v>0.97916666666666663</v>
      </c>
    </row>
    <row r="1529" spans="1:12" x14ac:dyDescent="0.25">
      <c r="A1529" t="s">
        <v>947</v>
      </c>
      <c r="B1529" s="2">
        <v>44592</v>
      </c>
      <c r="C1529" t="s">
        <v>16</v>
      </c>
      <c r="D1529" t="s">
        <v>1636</v>
      </c>
      <c r="E1529" s="5">
        <v>54700000</v>
      </c>
      <c r="F1529" s="5">
        <v>57700000</v>
      </c>
      <c r="G1529" s="5">
        <v>3000000</v>
      </c>
      <c r="H1529" s="5">
        <v>5470000</v>
      </c>
      <c r="I1529" s="5">
        <v>5770000</v>
      </c>
      <c r="J1529" s="5">
        <v>55200000</v>
      </c>
      <c r="K1529" s="5">
        <v>58200000</v>
      </c>
      <c r="L1529" s="3">
        <v>0.97916666666666663</v>
      </c>
    </row>
    <row r="1530" spans="1:12" x14ac:dyDescent="0.25">
      <c r="A1530" s="2">
        <v>44563</v>
      </c>
      <c r="B1530" s="2">
        <v>44593</v>
      </c>
      <c r="C1530" t="s">
        <v>18</v>
      </c>
      <c r="D1530" t="s">
        <v>1636</v>
      </c>
      <c r="E1530" s="5">
        <v>54900000</v>
      </c>
      <c r="F1530" s="5">
        <v>57900000</v>
      </c>
      <c r="G1530" s="5">
        <v>3000000</v>
      </c>
      <c r="H1530" s="5">
        <v>5490000</v>
      </c>
      <c r="I1530" s="5">
        <v>5790000</v>
      </c>
      <c r="J1530" s="5">
        <v>55400000</v>
      </c>
      <c r="K1530" s="5">
        <v>58400000</v>
      </c>
      <c r="L1530" s="3">
        <v>0.97916666666666663</v>
      </c>
    </row>
    <row r="1531" spans="1:12" x14ac:dyDescent="0.25">
      <c r="A1531" s="2">
        <v>44594</v>
      </c>
      <c r="B1531" s="2">
        <v>44594</v>
      </c>
      <c r="C1531" t="s">
        <v>19</v>
      </c>
      <c r="D1531" t="s">
        <v>1636</v>
      </c>
      <c r="E1531" s="5">
        <v>55100000</v>
      </c>
      <c r="F1531" s="5">
        <v>58100000</v>
      </c>
      <c r="G1531" s="5">
        <v>3000000</v>
      </c>
      <c r="H1531" s="5">
        <v>5510000</v>
      </c>
      <c r="I1531" s="5">
        <v>5810000</v>
      </c>
      <c r="J1531" s="5">
        <v>55600000</v>
      </c>
      <c r="K1531" s="5">
        <v>58600000</v>
      </c>
      <c r="L1531" s="3">
        <v>0.97916666666666663</v>
      </c>
    </row>
    <row r="1532" spans="1:12" x14ac:dyDescent="0.25">
      <c r="A1532" s="2">
        <v>44622</v>
      </c>
      <c r="B1532" s="2">
        <v>44595</v>
      </c>
      <c r="C1532" t="s">
        <v>20</v>
      </c>
      <c r="D1532" t="s">
        <v>1636</v>
      </c>
      <c r="E1532" s="5">
        <v>54900000</v>
      </c>
      <c r="F1532" s="5">
        <v>57900000</v>
      </c>
      <c r="G1532" s="5">
        <v>3000000</v>
      </c>
      <c r="H1532" s="5">
        <v>5490000</v>
      </c>
      <c r="I1532" s="5">
        <v>5790000</v>
      </c>
      <c r="J1532" s="5">
        <v>55400000</v>
      </c>
      <c r="K1532" s="5">
        <v>58400000</v>
      </c>
      <c r="L1532" s="3">
        <v>0.97916666666666663</v>
      </c>
    </row>
    <row r="1533" spans="1:12" x14ac:dyDescent="0.25">
      <c r="A1533" s="2">
        <v>44653</v>
      </c>
      <c r="B1533" s="2">
        <v>44596</v>
      </c>
      <c r="C1533" t="s">
        <v>21</v>
      </c>
      <c r="D1533" t="s">
        <v>1636</v>
      </c>
      <c r="E1533" s="5">
        <v>55100000</v>
      </c>
      <c r="F1533" s="5">
        <v>58100000</v>
      </c>
      <c r="G1533" s="5">
        <v>3000000</v>
      </c>
      <c r="H1533" s="5">
        <v>5510000</v>
      </c>
      <c r="I1533" s="5">
        <v>5810000</v>
      </c>
      <c r="J1533" s="5">
        <v>55600000</v>
      </c>
      <c r="K1533" s="5">
        <v>58600000</v>
      </c>
      <c r="L1533" s="3">
        <v>0.97916666666666663</v>
      </c>
    </row>
    <row r="1534" spans="1:12" x14ac:dyDescent="0.25">
      <c r="A1534" s="2">
        <v>44744</v>
      </c>
      <c r="B1534" s="2">
        <v>44599</v>
      </c>
      <c r="C1534" t="s">
        <v>16</v>
      </c>
      <c r="D1534" t="s">
        <v>1636</v>
      </c>
      <c r="E1534" s="5">
        <v>55500000</v>
      </c>
      <c r="F1534" s="5">
        <v>58500000</v>
      </c>
      <c r="G1534" s="5">
        <v>3000000</v>
      </c>
      <c r="H1534" s="5">
        <v>5550000</v>
      </c>
      <c r="I1534" s="5">
        <v>5850000</v>
      </c>
      <c r="J1534" s="5">
        <v>56000000</v>
      </c>
      <c r="K1534" s="5">
        <v>59000000</v>
      </c>
      <c r="L1534" s="3">
        <v>0.97916666666666663</v>
      </c>
    </row>
    <row r="1535" spans="1:12" x14ac:dyDescent="0.25">
      <c r="A1535" s="2">
        <v>44775</v>
      </c>
      <c r="B1535" s="2">
        <v>44600</v>
      </c>
      <c r="C1535" t="s">
        <v>18</v>
      </c>
      <c r="D1535" t="s">
        <v>1636</v>
      </c>
      <c r="E1535" s="5">
        <v>55700000</v>
      </c>
      <c r="F1535" s="5">
        <v>58700000</v>
      </c>
      <c r="G1535" s="5">
        <v>3000000</v>
      </c>
      <c r="H1535" s="5">
        <v>5570000</v>
      </c>
      <c r="I1535" s="5">
        <v>5870000</v>
      </c>
      <c r="J1535" s="5">
        <v>56200000</v>
      </c>
      <c r="K1535" s="5">
        <v>59200000</v>
      </c>
      <c r="L1535" s="3">
        <v>0.97916666666666663</v>
      </c>
    </row>
    <row r="1536" spans="1:12" x14ac:dyDescent="0.25">
      <c r="A1536" s="2">
        <v>44806</v>
      </c>
      <c r="B1536" s="2">
        <v>44601</v>
      </c>
      <c r="C1536" t="s">
        <v>19</v>
      </c>
      <c r="D1536" t="s">
        <v>1636</v>
      </c>
      <c r="E1536" s="5">
        <v>56000000</v>
      </c>
      <c r="F1536" s="5">
        <v>59000000</v>
      </c>
      <c r="G1536" s="5">
        <v>3000000</v>
      </c>
      <c r="H1536" s="5">
        <v>5600000</v>
      </c>
      <c r="I1536" s="5">
        <v>5900000</v>
      </c>
      <c r="J1536" s="5">
        <v>56500000</v>
      </c>
      <c r="K1536" s="5">
        <v>59500000</v>
      </c>
      <c r="L1536" s="3">
        <v>0.97916666666666663</v>
      </c>
    </row>
    <row r="1537" spans="1:12" x14ac:dyDescent="0.25">
      <c r="A1537" s="2">
        <v>44836</v>
      </c>
      <c r="B1537" s="2">
        <v>44602</v>
      </c>
      <c r="C1537" t="s">
        <v>20</v>
      </c>
      <c r="D1537" t="s">
        <v>1636</v>
      </c>
      <c r="E1537" s="5">
        <v>56000000</v>
      </c>
      <c r="F1537" s="5">
        <v>59000000</v>
      </c>
      <c r="G1537" s="5">
        <v>3000000</v>
      </c>
      <c r="H1537" s="5">
        <v>5600000</v>
      </c>
      <c r="I1537" s="5">
        <v>5900000</v>
      </c>
      <c r="J1537" s="5">
        <v>56500000</v>
      </c>
      <c r="K1537" s="5">
        <v>59500000</v>
      </c>
      <c r="L1537" s="3">
        <v>0.97916666666666663</v>
      </c>
    </row>
    <row r="1538" spans="1:12" x14ac:dyDescent="0.25">
      <c r="A1538" s="2">
        <v>44867</v>
      </c>
      <c r="B1538" s="2">
        <v>44603</v>
      </c>
      <c r="C1538" t="s">
        <v>21</v>
      </c>
      <c r="D1538" t="s">
        <v>1636</v>
      </c>
      <c r="E1538" s="5">
        <v>56200000</v>
      </c>
      <c r="F1538" s="5">
        <v>59200000</v>
      </c>
      <c r="G1538" s="5">
        <v>3000000</v>
      </c>
      <c r="H1538" s="5">
        <v>5620000</v>
      </c>
      <c r="I1538" s="5">
        <v>5920000</v>
      </c>
      <c r="J1538" s="5">
        <v>56700000</v>
      </c>
      <c r="K1538" s="5">
        <v>59700000</v>
      </c>
      <c r="L1538" s="3">
        <v>0.97916666666666663</v>
      </c>
    </row>
    <row r="1539" spans="1:12" x14ac:dyDescent="0.25">
      <c r="A1539" t="s">
        <v>948</v>
      </c>
      <c r="B1539" s="2">
        <v>44606</v>
      </c>
      <c r="C1539" t="s">
        <v>16</v>
      </c>
      <c r="D1539" t="s">
        <v>1636</v>
      </c>
      <c r="E1539" s="5">
        <v>57000000</v>
      </c>
      <c r="F1539" s="5">
        <v>60000000</v>
      </c>
      <c r="G1539" s="5">
        <v>3000000</v>
      </c>
      <c r="H1539" s="5">
        <v>5700000</v>
      </c>
      <c r="I1539" s="5">
        <v>6000000</v>
      </c>
      <c r="J1539" s="5">
        <v>57500000</v>
      </c>
      <c r="K1539" s="5">
        <v>60500000</v>
      </c>
      <c r="L1539" s="3">
        <v>0.97916666666666663</v>
      </c>
    </row>
    <row r="1540" spans="1:12" x14ac:dyDescent="0.25">
      <c r="A1540" t="s">
        <v>949</v>
      </c>
      <c r="B1540" s="2">
        <v>44607</v>
      </c>
      <c r="C1540" t="s">
        <v>18</v>
      </c>
      <c r="D1540" t="s">
        <v>1636</v>
      </c>
      <c r="E1540" s="5">
        <v>56600000</v>
      </c>
      <c r="F1540" s="5">
        <v>59600000</v>
      </c>
      <c r="G1540" s="5">
        <v>3000000</v>
      </c>
      <c r="H1540" s="5">
        <v>5660000</v>
      </c>
      <c r="I1540" s="5">
        <v>5960000</v>
      </c>
      <c r="J1540" s="5">
        <v>57100000</v>
      </c>
      <c r="K1540" s="5">
        <v>60100000</v>
      </c>
      <c r="L1540" s="3">
        <v>0.97916666666666663</v>
      </c>
    </row>
    <row r="1541" spans="1:12" x14ac:dyDescent="0.25">
      <c r="A1541" t="s">
        <v>950</v>
      </c>
      <c r="B1541" s="2">
        <v>44608</v>
      </c>
      <c r="C1541" t="s">
        <v>19</v>
      </c>
      <c r="D1541" t="s">
        <v>1636</v>
      </c>
      <c r="E1541" s="5">
        <v>57100000</v>
      </c>
      <c r="F1541" s="5">
        <v>60100000</v>
      </c>
      <c r="G1541" s="5">
        <v>3000000</v>
      </c>
      <c r="H1541" s="5">
        <v>5710000</v>
      </c>
      <c r="I1541" s="5">
        <v>6010000</v>
      </c>
      <c r="J1541" s="5">
        <v>57600000</v>
      </c>
      <c r="K1541" s="5">
        <v>60600000</v>
      </c>
      <c r="L1541" s="3">
        <v>0.97916666666666663</v>
      </c>
    </row>
    <row r="1542" spans="1:12" x14ac:dyDescent="0.25">
      <c r="A1542" t="s">
        <v>951</v>
      </c>
      <c r="B1542" s="2">
        <v>44609</v>
      </c>
      <c r="C1542" t="s">
        <v>20</v>
      </c>
      <c r="D1542" t="s">
        <v>1636</v>
      </c>
      <c r="E1542" s="5">
        <v>58100000</v>
      </c>
      <c r="F1542" s="5">
        <v>61100000</v>
      </c>
      <c r="G1542" s="5">
        <v>3000000</v>
      </c>
      <c r="H1542" s="5">
        <v>5810000</v>
      </c>
      <c r="I1542" s="5">
        <v>6110000</v>
      </c>
      <c r="J1542" s="5">
        <v>58600000</v>
      </c>
      <c r="K1542" s="5">
        <v>61600000</v>
      </c>
      <c r="L1542" s="3">
        <v>0.97916666666666663</v>
      </c>
    </row>
    <row r="1543" spans="1:12" x14ac:dyDescent="0.25">
      <c r="A1543" t="s">
        <v>952</v>
      </c>
      <c r="B1543" s="2">
        <v>44610</v>
      </c>
      <c r="C1543" t="s">
        <v>21</v>
      </c>
      <c r="D1543" t="s">
        <v>1636</v>
      </c>
      <c r="E1543" s="5">
        <v>58000000</v>
      </c>
      <c r="F1543" s="5">
        <v>61000000</v>
      </c>
      <c r="G1543" s="5">
        <v>3000000</v>
      </c>
      <c r="H1543" s="5">
        <v>5800000</v>
      </c>
      <c r="I1543" s="5">
        <v>6100000</v>
      </c>
      <c r="J1543" s="5">
        <v>58500000</v>
      </c>
      <c r="K1543" s="5">
        <v>61500000</v>
      </c>
      <c r="L1543" s="3">
        <v>0.97916666666666663</v>
      </c>
    </row>
    <row r="1544" spans="1:12" x14ac:dyDescent="0.25">
      <c r="A1544" t="s">
        <v>953</v>
      </c>
      <c r="B1544" s="2">
        <v>44614</v>
      </c>
      <c r="C1544" t="s">
        <v>18</v>
      </c>
      <c r="D1544" t="s">
        <v>1636</v>
      </c>
      <c r="E1544" s="5">
        <v>58300000</v>
      </c>
      <c r="F1544" s="5">
        <v>61300000</v>
      </c>
      <c r="G1544" s="5">
        <v>3000000</v>
      </c>
      <c r="H1544" s="5">
        <v>5830000</v>
      </c>
      <c r="I1544" s="5">
        <v>6130000</v>
      </c>
      <c r="J1544" s="5">
        <v>58800000</v>
      </c>
      <c r="K1544" s="5">
        <v>61800000</v>
      </c>
      <c r="L1544" s="3">
        <v>0.97916666666666663</v>
      </c>
    </row>
    <row r="1545" spans="1:12" x14ac:dyDescent="0.25">
      <c r="A1545" t="s">
        <v>954</v>
      </c>
      <c r="B1545" s="2">
        <v>44615</v>
      </c>
      <c r="C1545" t="s">
        <v>19</v>
      </c>
      <c r="D1545" t="s">
        <v>1636</v>
      </c>
      <c r="E1545" s="5">
        <v>58400000</v>
      </c>
      <c r="F1545" s="5">
        <v>61400000</v>
      </c>
      <c r="G1545" s="5">
        <v>3000000</v>
      </c>
      <c r="H1545" s="5">
        <v>5840000</v>
      </c>
      <c r="I1545" s="5">
        <v>6140000</v>
      </c>
      <c r="J1545" s="5">
        <v>58900000</v>
      </c>
      <c r="K1545" s="5">
        <v>61900000</v>
      </c>
      <c r="L1545" s="3">
        <v>0.97916666666666663</v>
      </c>
    </row>
    <row r="1546" spans="1:12" x14ac:dyDescent="0.25">
      <c r="A1546" t="s">
        <v>955</v>
      </c>
      <c r="B1546" s="2">
        <v>44616</v>
      </c>
      <c r="C1546" t="s">
        <v>20</v>
      </c>
      <c r="D1546" t="s">
        <v>1636</v>
      </c>
      <c r="E1546" s="5">
        <v>58900000</v>
      </c>
      <c r="F1546" s="5">
        <v>61900000</v>
      </c>
      <c r="G1546" s="5">
        <v>3000000</v>
      </c>
      <c r="H1546" s="5">
        <v>5890000</v>
      </c>
      <c r="I1546" s="5">
        <v>6190000</v>
      </c>
      <c r="J1546" s="5">
        <v>59400000</v>
      </c>
      <c r="K1546" s="5">
        <v>62400000</v>
      </c>
      <c r="L1546" s="3">
        <v>0.97916666666666663</v>
      </c>
    </row>
    <row r="1547" spans="1:12" x14ac:dyDescent="0.25">
      <c r="A1547" t="s">
        <v>956</v>
      </c>
      <c r="B1547" s="2">
        <v>44617</v>
      </c>
      <c r="C1547" t="s">
        <v>21</v>
      </c>
      <c r="D1547" t="s">
        <v>1636</v>
      </c>
      <c r="E1547" s="5">
        <v>57600000</v>
      </c>
      <c r="F1547" s="5">
        <v>60600000</v>
      </c>
      <c r="G1547" s="5">
        <v>3000000</v>
      </c>
      <c r="H1547" s="5">
        <v>5760000</v>
      </c>
      <c r="I1547" s="5">
        <v>6060000</v>
      </c>
      <c r="J1547" s="5">
        <v>58100000</v>
      </c>
      <c r="K1547" s="5">
        <v>61100000</v>
      </c>
      <c r="L1547" s="3">
        <v>0.97916666666666663</v>
      </c>
    </row>
    <row r="1548" spans="1:12" x14ac:dyDescent="0.25">
      <c r="A1548" t="s">
        <v>957</v>
      </c>
      <c r="B1548" s="2">
        <v>44620</v>
      </c>
      <c r="C1548" t="s">
        <v>16</v>
      </c>
      <c r="D1548" t="s">
        <v>1636</v>
      </c>
      <c r="E1548" s="5">
        <v>58000000</v>
      </c>
      <c r="F1548" s="5">
        <v>61000000</v>
      </c>
      <c r="G1548" s="5">
        <v>3000000</v>
      </c>
      <c r="H1548" s="5">
        <v>5800000</v>
      </c>
      <c r="I1548" s="5">
        <v>6100000</v>
      </c>
      <c r="J1548" s="5">
        <v>58500000</v>
      </c>
      <c r="K1548" s="5">
        <v>61500000</v>
      </c>
      <c r="L1548" s="3">
        <v>0.97916666666666663</v>
      </c>
    </row>
    <row r="1549" spans="1:12" x14ac:dyDescent="0.25">
      <c r="A1549" s="2">
        <v>44564</v>
      </c>
      <c r="B1549" s="2">
        <v>44621</v>
      </c>
      <c r="C1549" t="s">
        <v>18</v>
      </c>
      <c r="D1549" t="s">
        <v>1636</v>
      </c>
      <c r="E1549" s="5">
        <v>59400000</v>
      </c>
      <c r="F1549" s="5">
        <v>62400000</v>
      </c>
      <c r="G1549" s="5">
        <v>3000000</v>
      </c>
      <c r="H1549" s="5">
        <v>5940000</v>
      </c>
      <c r="I1549" s="5">
        <v>6240000</v>
      </c>
      <c r="J1549" s="5">
        <v>59900000</v>
      </c>
      <c r="K1549" s="5">
        <v>62900000</v>
      </c>
      <c r="L1549" s="3">
        <v>0.97916666666666663</v>
      </c>
    </row>
    <row r="1550" spans="1:12" x14ac:dyDescent="0.25">
      <c r="A1550" s="2">
        <v>44595</v>
      </c>
      <c r="B1550" s="2">
        <v>44622</v>
      </c>
      <c r="C1550" t="s">
        <v>19</v>
      </c>
      <c r="D1550" t="s">
        <v>1636</v>
      </c>
      <c r="E1550" s="5">
        <v>58700000</v>
      </c>
      <c r="F1550" s="5">
        <v>61700000</v>
      </c>
      <c r="G1550" s="5">
        <v>3000000</v>
      </c>
      <c r="H1550" s="5">
        <v>5870000</v>
      </c>
      <c r="I1550" s="5">
        <v>6170000</v>
      </c>
      <c r="J1550" s="5">
        <v>59200000</v>
      </c>
      <c r="K1550" s="5">
        <v>62200000</v>
      </c>
      <c r="L1550" s="3">
        <v>0.97916666666666663</v>
      </c>
    </row>
    <row r="1551" spans="1:12" x14ac:dyDescent="0.25">
      <c r="A1551" s="2">
        <v>44623</v>
      </c>
      <c r="B1551" s="2">
        <v>44623</v>
      </c>
      <c r="C1551" t="s">
        <v>20</v>
      </c>
      <c r="D1551" t="s">
        <v>1636</v>
      </c>
      <c r="E1551" s="5">
        <v>59200000</v>
      </c>
      <c r="F1551" s="5">
        <v>62200000</v>
      </c>
      <c r="G1551" s="5">
        <v>3000000</v>
      </c>
      <c r="H1551" s="5">
        <v>5920000</v>
      </c>
      <c r="I1551" s="5">
        <v>6220000</v>
      </c>
      <c r="J1551" s="5">
        <v>59700000</v>
      </c>
      <c r="K1551" s="5">
        <v>62700000</v>
      </c>
      <c r="L1551" s="3">
        <v>0.97916666666666663</v>
      </c>
    </row>
    <row r="1552" spans="1:12" x14ac:dyDescent="0.25">
      <c r="A1552" s="2">
        <v>44654</v>
      </c>
      <c r="B1552" s="2">
        <v>44624</v>
      </c>
      <c r="C1552" t="s">
        <v>21</v>
      </c>
      <c r="D1552" t="s">
        <v>1636</v>
      </c>
      <c r="E1552" s="5">
        <v>60200000</v>
      </c>
      <c r="F1552" s="5">
        <v>63200000</v>
      </c>
      <c r="G1552" s="5">
        <v>3000000</v>
      </c>
      <c r="H1552" s="5">
        <v>6020000</v>
      </c>
      <c r="I1552" s="5">
        <v>6320000</v>
      </c>
      <c r="J1552" s="5">
        <v>60700000</v>
      </c>
      <c r="K1552" s="5">
        <v>63700000</v>
      </c>
      <c r="L1552" s="3">
        <v>0.97916666666666663</v>
      </c>
    </row>
    <row r="1553" spans="1:12" x14ac:dyDescent="0.25">
      <c r="A1553" s="2">
        <v>44745</v>
      </c>
      <c r="B1553" s="2">
        <v>44627</v>
      </c>
      <c r="C1553" t="s">
        <v>16</v>
      </c>
      <c r="D1553" t="s">
        <v>1636</v>
      </c>
      <c r="E1553" s="5">
        <v>61100000</v>
      </c>
      <c r="F1553" s="5">
        <v>64100000</v>
      </c>
      <c r="G1553" s="5">
        <v>3000000</v>
      </c>
      <c r="H1553" s="5">
        <v>6110000</v>
      </c>
      <c r="I1553" s="5">
        <v>6410000</v>
      </c>
      <c r="J1553" s="5">
        <v>61600000</v>
      </c>
      <c r="K1553" s="5">
        <v>64600000</v>
      </c>
      <c r="L1553" s="3">
        <v>0.97916666666666663</v>
      </c>
    </row>
    <row r="1554" spans="1:12" x14ac:dyDescent="0.25">
      <c r="A1554" s="2">
        <v>44776</v>
      </c>
      <c r="B1554" s="2">
        <v>44628</v>
      </c>
      <c r="C1554" t="s">
        <v>18</v>
      </c>
      <c r="D1554" t="s">
        <v>1636</v>
      </c>
      <c r="E1554" s="5">
        <v>62600000</v>
      </c>
      <c r="F1554" s="5">
        <v>65600000</v>
      </c>
      <c r="G1554" s="5">
        <v>3000000</v>
      </c>
      <c r="H1554" s="5">
        <v>6260000</v>
      </c>
      <c r="I1554" s="5">
        <v>6560000</v>
      </c>
      <c r="J1554" s="5">
        <v>63100000</v>
      </c>
      <c r="K1554" s="5">
        <v>66100000</v>
      </c>
      <c r="L1554" s="3">
        <v>0.97916666666666663</v>
      </c>
    </row>
    <row r="1555" spans="1:12" x14ac:dyDescent="0.25">
      <c r="A1555" s="2">
        <v>44807</v>
      </c>
      <c r="B1555" s="2">
        <v>44629</v>
      </c>
      <c r="C1555" t="s">
        <v>19</v>
      </c>
      <c r="D1555" t="s">
        <v>1636</v>
      </c>
      <c r="E1555" s="5">
        <v>60800000</v>
      </c>
      <c r="F1555" s="5">
        <v>63800000</v>
      </c>
      <c r="G1555" s="5">
        <v>3000000</v>
      </c>
      <c r="H1555" s="5">
        <v>6080000</v>
      </c>
      <c r="I1555" s="5">
        <v>6380000</v>
      </c>
      <c r="J1555" s="5">
        <v>61300000</v>
      </c>
      <c r="K1555" s="5">
        <v>64300000</v>
      </c>
      <c r="L1555" s="3">
        <v>0.97916666666666663</v>
      </c>
    </row>
    <row r="1556" spans="1:12" x14ac:dyDescent="0.25">
      <c r="A1556" s="2">
        <v>44837</v>
      </c>
      <c r="B1556" s="2">
        <v>44630</v>
      </c>
      <c r="C1556" t="s">
        <v>20</v>
      </c>
      <c r="D1556" t="s">
        <v>1636</v>
      </c>
      <c r="E1556" s="5">
        <v>61200000</v>
      </c>
      <c r="F1556" s="5">
        <v>64200000</v>
      </c>
      <c r="G1556" s="5">
        <v>3000000</v>
      </c>
      <c r="H1556" s="5">
        <v>6120000</v>
      </c>
      <c r="I1556" s="5">
        <v>6420000</v>
      </c>
      <c r="J1556" s="5">
        <v>61700000</v>
      </c>
      <c r="K1556" s="5">
        <v>64700000</v>
      </c>
      <c r="L1556" s="3">
        <v>0.97916666666666663</v>
      </c>
    </row>
    <row r="1557" spans="1:12" x14ac:dyDescent="0.25">
      <c r="A1557" s="2">
        <v>44868</v>
      </c>
      <c r="B1557" s="2">
        <v>44631</v>
      </c>
      <c r="C1557" t="s">
        <v>21</v>
      </c>
      <c r="D1557" t="s">
        <v>1636</v>
      </c>
      <c r="E1557" s="5">
        <v>60700000</v>
      </c>
      <c r="F1557" s="5">
        <v>63700000</v>
      </c>
      <c r="G1557" s="5">
        <v>3000000</v>
      </c>
      <c r="H1557" s="5">
        <v>6070000</v>
      </c>
      <c r="I1557" s="5">
        <v>6370000</v>
      </c>
      <c r="J1557" s="5">
        <v>61200000</v>
      </c>
      <c r="K1557" s="5">
        <v>64200000</v>
      </c>
      <c r="L1557" s="3">
        <v>0.97916666666666663</v>
      </c>
    </row>
    <row r="1558" spans="1:12" x14ac:dyDescent="0.25">
      <c r="A1558" t="s">
        <v>958</v>
      </c>
      <c r="B1558" s="2">
        <v>44634</v>
      </c>
      <c r="C1558" t="s">
        <v>16</v>
      </c>
      <c r="D1558" t="s">
        <v>1636</v>
      </c>
      <c r="E1558" s="5">
        <v>60000000</v>
      </c>
      <c r="F1558" s="5">
        <v>63000000</v>
      </c>
      <c r="G1558" s="5">
        <v>3000000</v>
      </c>
      <c r="H1558" s="5">
        <v>6000000</v>
      </c>
      <c r="I1558" s="5">
        <v>6300000</v>
      </c>
      <c r="J1558" s="5">
        <v>60500000</v>
      </c>
      <c r="K1558" s="5">
        <v>63500000</v>
      </c>
      <c r="L1558" s="3">
        <v>0.97916666666666663</v>
      </c>
    </row>
    <row r="1559" spans="1:12" x14ac:dyDescent="0.25">
      <c r="A1559" t="s">
        <v>959</v>
      </c>
      <c r="B1559" s="2">
        <v>44635</v>
      </c>
      <c r="C1559" t="s">
        <v>18</v>
      </c>
      <c r="D1559" t="s">
        <v>1636</v>
      </c>
      <c r="E1559" s="5">
        <v>59000000</v>
      </c>
      <c r="F1559" s="5">
        <v>62000000</v>
      </c>
      <c r="G1559" s="5">
        <v>3000000</v>
      </c>
      <c r="H1559" s="5">
        <v>5900000</v>
      </c>
      <c r="I1559" s="5">
        <v>6200000</v>
      </c>
      <c r="J1559" s="5">
        <v>59500000</v>
      </c>
      <c r="K1559" s="5">
        <v>62500000</v>
      </c>
      <c r="L1559" s="3">
        <v>0.97916666666666663</v>
      </c>
    </row>
    <row r="1560" spans="1:12" x14ac:dyDescent="0.25">
      <c r="A1560" t="s">
        <v>960</v>
      </c>
      <c r="B1560" s="2">
        <v>44636</v>
      </c>
      <c r="C1560" t="s">
        <v>19</v>
      </c>
      <c r="D1560" t="s">
        <v>1636</v>
      </c>
      <c r="E1560" s="5">
        <v>58300000</v>
      </c>
      <c r="F1560" s="5">
        <v>61300000</v>
      </c>
      <c r="G1560" s="5">
        <v>3000000</v>
      </c>
      <c r="H1560" s="5">
        <v>5830000</v>
      </c>
      <c r="I1560" s="5">
        <v>6130000</v>
      </c>
      <c r="J1560" s="5">
        <v>58800000</v>
      </c>
      <c r="K1560" s="5">
        <v>61800000</v>
      </c>
      <c r="L1560" s="3">
        <v>0.97916666666666663</v>
      </c>
    </row>
    <row r="1561" spans="1:12" x14ac:dyDescent="0.25">
      <c r="A1561" t="s">
        <v>961</v>
      </c>
      <c r="B1561" s="2">
        <v>44637</v>
      </c>
      <c r="C1561" t="s">
        <v>20</v>
      </c>
      <c r="D1561" t="s">
        <v>1636</v>
      </c>
      <c r="E1561" s="5">
        <v>59400000</v>
      </c>
      <c r="F1561" s="5">
        <v>62400000</v>
      </c>
      <c r="G1561" s="5">
        <v>3000000</v>
      </c>
      <c r="H1561" s="5">
        <v>5940000</v>
      </c>
      <c r="I1561" s="5">
        <v>6240000</v>
      </c>
      <c r="J1561" s="5">
        <v>59900000</v>
      </c>
      <c r="K1561" s="5">
        <v>62900000</v>
      </c>
      <c r="L1561" s="3">
        <v>0.97916666666666663</v>
      </c>
    </row>
    <row r="1562" spans="1:12" x14ac:dyDescent="0.25">
      <c r="A1562" t="s">
        <v>962</v>
      </c>
      <c r="B1562" s="2">
        <v>44638</v>
      </c>
      <c r="C1562" t="s">
        <v>21</v>
      </c>
      <c r="D1562" t="s">
        <v>1636</v>
      </c>
      <c r="E1562" s="5">
        <v>59000000</v>
      </c>
      <c r="F1562" s="5">
        <v>62000000</v>
      </c>
      <c r="G1562" s="5">
        <v>3000000</v>
      </c>
      <c r="H1562" s="5">
        <v>5900000</v>
      </c>
      <c r="I1562" s="5">
        <v>6200000</v>
      </c>
      <c r="J1562" s="5">
        <v>59500000</v>
      </c>
      <c r="K1562" s="5">
        <v>62500000</v>
      </c>
      <c r="L1562" s="3">
        <v>0.97916666666666663</v>
      </c>
    </row>
    <row r="1563" spans="1:12" x14ac:dyDescent="0.25">
      <c r="A1563" t="s">
        <v>963</v>
      </c>
      <c r="B1563" s="2">
        <v>44641</v>
      </c>
      <c r="C1563" t="s">
        <v>16</v>
      </c>
      <c r="D1563" t="s">
        <v>1636</v>
      </c>
      <c r="E1563" s="5">
        <v>59000000</v>
      </c>
      <c r="F1563" s="5">
        <v>62000000</v>
      </c>
      <c r="G1563" s="5">
        <v>3000000</v>
      </c>
      <c r="H1563" s="5">
        <v>5900000</v>
      </c>
      <c r="I1563" s="5">
        <v>6200000</v>
      </c>
      <c r="J1563" s="5">
        <v>59500000</v>
      </c>
      <c r="K1563" s="5">
        <v>62500000</v>
      </c>
      <c r="L1563" s="3">
        <v>0.97916666666666663</v>
      </c>
    </row>
    <row r="1564" spans="1:12" x14ac:dyDescent="0.25">
      <c r="A1564" t="s">
        <v>964</v>
      </c>
      <c r="B1564" s="2">
        <v>44642</v>
      </c>
      <c r="C1564" t="s">
        <v>18</v>
      </c>
      <c r="D1564" t="s">
        <v>1636</v>
      </c>
      <c r="E1564" s="5">
        <v>58700000</v>
      </c>
      <c r="F1564" s="5">
        <v>61700000</v>
      </c>
      <c r="G1564" s="5">
        <v>3000000</v>
      </c>
      <c r="H1564" s="5">
        <v>5870000</v>
      </c>
      <c r="I1564" s="5">
        <v>6170000</v>
      </c>
      <c r="J1564" s="5">
        <v>59200000</v>
      </c>
      <c r="K1564" s="5">
        <v>62200000</v>
      </c>
      <c r="L1564" s="3">
        <v>0.97916666666666663</v>
      </c>
    </row>
    <row r="1565" spans="1:12" x14ac:dyDescent="0.25">
      <c r="A1565" t="s">
        <v>965</v>
      </c>
      <c r="B1565" s="2">
        <v>44643</v>
      </c>
      <c r="C1565" t="s">
        <v>19</v>
      </c>
      <c r="D1565" t="s">
        <v>1636</v>
      </c>
      <c r="E1565" s="5">
        <v>59200000</v>
      </c>
      <c r="F1565" s="5">
        <v>62200000</v>
      </c>
      <c r="G1565" s="5">
        <v>3000000</v>
      </c>
      <c r="H1565" s="5">
        <v>5920000</v>
      </c>
      <c r="I1565" s="5">
        <v>6220000</v>
      </c>
      <c r="J1565" s="5">
        <v>59700000</v>
      </c>
      <c r="K1565" s="5">
        <v>62700000</v>
      </c>
      <c r="L1565" s="3">
        <v>0.97916666666666663</v>
      </c>
    </row>
    <row r="1566" spans="1:12" x14ac:dyDescent="0.25">
      <c r="A1566" t="s">
        <v>966</v>
      </c>
      <c r="B1566" s="2">
        <v>44644</v>
      </c>
      <c r="C1566" t="s">
        <v>20</v>
      </c>
      <c r="D1566" t="s">
        <v>1636</v>
      </c>
      <c r="E1566" s="5">
        <v>60000000</v>
      </c>
      <c r="F1566" s="5">
        <v>63000000</v>
      </c>
      <c r="G1566" s="5">
        <v>3000000</v>
      </c>
      <c r="H1566" s="5">
        <v>6000000</v>
      </c>
      <c r="I1566" s="5">
        <v>6300000</v>
      </c>
      <c r="J1566" s="5">
        <v>60500000</v>
      </c>
      <c r="K1566" s="5">
        <v>63500000</v>
      </c>
      <c r="L1566" s="3">
        <v>0.97916666666666663</v>
      </c>
    </row>
    <row r="1567" spans="1:12" x14ac:dyDescent="0.25">
      <c r="A1567" t="s">
        <v>967</v>
      </c>
      <c r="B1567" s="2">
        <v>44645</v>
      </c>
      <c r="C1567" t="s">
        <v>21</v>
      </c>
      <c r="D1567" t="s">
        <v>1636</v>
      </c>
      <c r="E1567" s="5">
        <v>59800000</v>
      </c>
      <c r="F1567" s="5">
        <v>62800000</v>
      </c>
      <c r="G1567" s="5">
        <v>3000000</v>
      </c>
      <c r="H1567" s="5">
        <v>5980000</v>
      </c>
      <c r="I1567" s="5">
        <v>6280000</v>
      </c>
      <c r="J1567" s="5">
        <v>60300000</v>
      </c>
      <c r="K1567" s="5">
        <v>63300000</v>
      </c>
      <c r="L1567" s="3">
        <v>0.97916666666666663</v>
      </c>
    </row>
    <row r="1568" spans="1:12" x14ac:dyDescent="0.25">
      <c r="A1568" t="s">
        <v>968</v>
      </c>
      <c r="B1568" s="2">
        <v>44648</v>
      </c>
      <c r="C1568" t="s">
        <v>16</v>
      </c>
      <c r="D1568" t="s">
        <v>1636</v>
      </c>
      <c r="E1568" s="5">
        <v>59300000</v>
      </c>
      <c r="F1568" s="5">
        <v>62300000</v>
      </c>
      <c r="G1568" s="5">
        <v>3000000</v>
      </c>
      <c r="H1568" s="5">
        <v>5930000</v>
      </c>
      <c r="I1568" s="5">
        <v>6230000</v>
      </c>
      <c r="J1568" s="5">
        <v>59800000</v>
      </c>
      <c r="K1568" s="5">
        <v>62800000</v>
      </c>
      <c r="L1568" s="3">
        <v>0.97916666666666663</v>
      </c>
    </row>
    <row r="1569" spans="1:12" x14ac:dyDescent="0.25">
      <c r="A1569" t="s">
        <v>969</v>
      </c>
      <c r="B1569" s="2">
        <v>44649</v>
      </c>
      <c r="C1569" t="s">
        <v>18</v>
      </c>
      <c r="D1569" t="s">
        <v>1636</v>
      </c>
      <c r="E1569" s="5">
        <v>58400000</v>
      </c>
      <c r="F1569" s="5">
        <v>61400000</v>
      </c>
      <c r="G1569" s="5">
        <v>3000000</v>
      </c>
      <c r="H1569" s="5">
        <v>5840000</v>
      </c>
      <c r="I1569" s="5">
        <v>6140000</v>
      </c>
      <c r="J1569" s="5">
        <v>58900000</v>
      </c>
      <c r="K1569" s="5">
        <v>61900000</v>
      </c>
      <c r="L1569" s="3">
        <v>0.97916666666666663</v>
      </c>
    </row>
    <row r="1570" spans="1:12" x14ac:dyDescent="0.25">
      <c r="A1570" t="s">
        <v>970</v>
      </c>
      <c r="B1570" s="2">
        <v>44650</v>
      </c>
      <c r="C1570" t="s">
        <v>19</v>
      </c>
      <c r="D1570" t="s">
        <v>1636</v>
      </c>
      <c r="E1570" s="5">
        <v>59100000</v>
      </c>
      <c r="F1570" s="5">
        <v>62100000</v>
      </c>
      <c r="G1570" s="5">
        <v>3000000</v>
      </c>
      <c r="H1570" s="5">
        <v>5910000</v>
      </c>
      <c r="I1570" s="5">
        <v>6210000</v>
      </c>
      <c r="J1570" s="5">
        <v>59600000</v>
      </c>
      <c r="K1570" s="5">
        <v>62600000</v>
      </c>
      <c r="L1570" s="3">
        <v>0.97916666666666663</v>
      </c>
    </row>
    <row r="1571" spans="1:12" x14ac:dyDescent="0.25">
      <c r="A1571" t="s">
        <v>971</v>
      </c>
      <c r="B1571" s="2">
        <v>44651</v>
      </c>
      <c r="C1571" t="s">
        <v>20</v>
      </c>
      <c r="D1571" t="s">
        <v>1636</v>
      </c>
      <c r="E1571" s="5">
        <v>59600000</v>
      </c>
      <c r="F1571" s="5">
        <v>62600000</v>
      </c>
      <c r="G1571" s="5">
        <v>3000000</v>
      </c>
      <c r="H1571" s="5">
        <v>5960000</v>
      </c>
      <c r="I1571" s="5">
        <v>6260000</v>
      </c>
      <c r="J1571" s="5">
        <v>60100000</v>
      </c>
      <c r="K1571" s="5">
        <v>63100000</v>
      </c>
      <c r="L1571" s="3">
        <v>0.97916666666666663</v>
      </c>
    </row>
    <row r="1572" spans="1:12" x14ac:dyDescent="0.25">
      <c r="A1572" s="2">
        <v>44565</v>
      </c>
      <c r="B1572" s="2">
        <v>44652</v>
      </c>
      <c r="C1572" t="s">
        <v>21</v>
      </c>
      <c r="D1572" t="s">
        <v>1636</v>
      </c>
      <c r="E1572" s="5">
        <v>58700000</v>
      </c>
      <c r="F1572" s="5">
        <v>61700000</v>
      </c>
      <c r="G1572" s="5">
        <v>3000000</v>
      </c>
      <c r="H1572" s="5">
        <v>5870000</v>
      </c>
      <c r="I1572" s="5">
        <v>6170000</v>
      </c>
      <c r="J1572" s="5">
        <v>59200000</v>
      </c>
      <c r="K1572" s="5">
        <v>62200000</v>
      </c>
      <c r="L1572" s="3">
        <v>0.97916666666666663</v>
      </c>
    </row>
    <row r="1573" spans="1:12" x14ac:dyDescent="0.25">
      <c r="A1573" s="2">
        <v>44655</v>
      </c>
      <c r="B1573" s="2">
        <v>44655</v>
      </c>
      <c r="C1573" t="s">
        <v>16</v>
      </c>
      <c r="D1573" t="s">
        <v>1636</v>
      </c>
      <c r="E1573" s="5">
        <v>59000000</v>
      </c>
      <c r="F1573" s="5">
        <v>62000000</v>
      </c>
      <c r="G1573" s="5">
        <v>3000000</v>
      </c>
      <c r="H1573" s="5">
        <v>5900000</v>
      </c>
      <c r="I1573" s="5">
        <v>6200000</v>
      </c>
      <c r="J1573" s="5">
        <v>59500000</v>
      </c>
      <c r="K1573" s="5">
        <v>62500000</v>
      </c>
      <c r="L1573" s="3">
        <v>0.97916666666666663</v>
      </c>
    </row>
    <row r="1574" spans="1:12" x14ac:dyDescent="0.25">
      <c r="A1574" s="2">
        <v>44685</v>
      </c>
      <c r="B1574" s="2">
        <v>44656</v>
      </c>
      <c r="C1574" t="s">
        <v>18</v>
      </c>
      <c r="D1574" t="s">
        <v>1636</v>
      </c>
      <c r="E1574" s="5">
        <v>58800000</v>
      </c>
      <c r="F1574" s="5">
        <v>61800000</v>
      </c>
      <c r="G1574" s="5">
        <v>3000000</v>
      </c>
      <c r="H1574" s="5">
        <v>5880000</v>
      </c>
      <c r="I1574" s="5">
        <v>6180000</v>
      </c>
      <c r="J1574" s="5">
        <v>59300000</v>
      </c>
      <c r="K1574" s="5">
        <v>62300000</v>
      </c>
      <c r="L1574" s="3">
        <v>0.97916666666666663</v>
      </c>
    </row>
    <row r="1575" spans="1:12" x14ac:dyDescent="0.25">
      <c r="A1575" s="2">
        <v>44716</v>
      </c>
      <c r="B1575" s="2">
        <v>44657</v>
      </c>
      <c r="C1575" t="s">
        <v>19</v>
      </c>
      <c r="D1575" t="s">
        <v>1636</v>
      </c>
      <c r="E1575" s="5">
        <v>58700000</v>
      </c>
      <c r="F1575" s="5">
        <v>61700000</v>
      </c>
      <c r="G1575" s="5">
        <v>3000000</v>
      </c>
      <c r="H1575" s="5">
        <v>5870000</v>
      </c>
      <c r="I1575" s="5">
        <v>6170000</v>
      </c>
      <c r="J1575" s="5">
        <v>59200000</v>
      </c>
      <c r="K1575" s="5">
        <v>62200000</v>
      </c>
      <c r="L1575" s="3">
        <v>0.97916666666666663</v>
      </c>
    </row>
    <row r="1576" spans="1:12" x14ac:dyDescent="0.25">
      <c r="A1576" s="2">
        <v>44746</v>
      </c>
      <c r="B1576" s="2">
        <v>44658</v>
      </c>
      <c r="C1576" t="s">
        <v>20</v>
      </c>
      <c r="D1576" t="s">
        <v>1636</v>
      </c>
      <c r="E1576" s="5">
        <v>59100000</v>
      </c>
      <c r="F1576" s="5">
        <v>62100000</v>
      </c>
      <c r="G1576" s="5">
        <v>3000000</v>
      </c>
      <c r="H1576" s="5">
        <v>5910000</v>
      </c>
      <c r="I1576" s="5">
        <v>6210000</v>
      </c>
      <c r="J1576" s="5">
        <v>59600000</v>
      </c>
      <c r="K1576" s="5">
        <v>62600000</v>
      </c>
      <c r="L1576" s="3">
        <v>0.97916666666666663</v>
      </c>
    </row>
    <row r="1577" spans="1:12" x14ac:dyDescent="0.25">
      <c r="A1577" s="2">
        <v>44777</v>
      </c>
      <c r="B1577" s="2">
        <v>44659</v>
      </c>
      <c r="C1577" t="s">
        <v>21</v>
      </c>
      <c r="D1577" t="s">
        <v>1636</v>
      </c>
      <c r="E1577" s="5">
        <v>59400000</v>
      </c>
      <c r="F1577" s="5">
        <v>62400000</v>
      </c>
      <c r="G1577" s="5">
        <v>3000000</v>
      </c>
      <c r="H1577" s="5">
        <v>5940000</v>
      </c>
      <c r="I1577" s="5">
        <v>6240000</v>
      </c>
      <c r="J1577" s="5">
        <v>59900000</v>
      </c>
      <c r="K1577" s="5">
        <v>62900000</v>
      </c>
      <c r="L1577" s="3">
        <v>0.97916666666666663</v>
      </c>
    </row>
    <row r="1578" spans="1:12" x14ac:dyDescent="0.25">
      <c r="A1578" s="2">
        <v>44869</v>
      </c>
      <c r="B1578" s="2">
        <v>44662</v>
      </c>
      <c r="C1578" t="s">
        <v>16</v>
      </c>
      <c r="D1578" t="s">
        <v>1636</v>
      </c>
      <c r="E1578" s="5">
        <v>59500000</v>
      </c>
      <c r="F1578" s="5">
        <v>62500000</v>
      </c>
      <c r="G1578" s="5">
        <v>3000000</v>
      </c>
      <c r="H1578" s="5">
        <v>5950000</v>
      </c>
      <c r="I1578" s="5">
        <v>6250000</v>
      </c>
      <c r="J1578" s="5">
        <v>60000000</v>
      </c>
      <c r="K1578" s="5">
        <v>63000000</v>
      </c>
      <c r="L1578" s="3">
        <v>0.97916666666666663</v>
      </c>
    </row>
    <row r="1579" spans="1:12" x14ac:dyDescent="0.25">
      <c r="A1579" s="2">
        <v>44899</v>
      </c>
      <c r="B1579" s="2">
        <v>44663</v>
      </c>
      <c r="C1579" t="s">
        <v>18</v>
      </c>
      <c r="D1579" t="s">
        <v>1636</v>
      </c>
      <c r="E1579" s="5">
        <v>60400000</v>
      </c>
      <c r="F1579" s="5">
        <v>63400000</v>
      </c>
      <c r="G1579" s="5">
        <v>3000000</v>
      </c>
      <c r="H1579" s="5">
        <v>6040000</v>
      </c>
      <c r="I1579" s="5">
        <v>6340000</v>
      </c>
      <c r="J1579" s="5">
        <v>60900000</v>
      </c>
      <c r="K1579" s="5">
        <v>63900000</v>
      </c>
      <c r="L1579" s="3">
        <v>0.97916666666666663</v>
      </c>
    </row>
    <row r="1580" spans="1:12" x14ac:dyDescent="0.25">
      <c r="A1580" t="s">
        <v>972</v>
      </c>
      <c r="B1580" s="2">
        <v>44664</v>
      </c>
      <c r="C1580" t="s">
        <v>19</v>
      </c>
      <c r="D1580" t="s">
        <v>1636</v>
      </c>
      <c r="E1580" s="5">
        <v>60700000</v>
      </c>
      <c r="F1580" s="5">
        <v>63700000</v>
      </c>
      <c r="G1580" s="5">
        <v>3000000</v>
      </c>
      <c r="H1580" s="5">
        <v>6070000</v>
      </c>
      <c r="I1580" s="5">
        <v>6370000</v>
      </c>
      <c r="J1580" s="5">
        <v>61200000</v>
      </c>
      <c r="K1580" s="5">
        <v>64200000</v>
      </c>
      <c r="L1580" s="3">
        <v>0.97916666666666663</v>
      </c>
    </row>
    <row r="1581" spans="1:12" x14ac:dyDescent="0.25">
      <c r="A1581" t="s">
        <v>973</v>
      </c>
      <c r="B1581" s="2">
        <v>44665</v>
      </c>
      <c r="C1581" t="s">
        <v>20</v>
      </c>
      <c r="D1581" t="s">
        <v>1636</v>
      </c>
      <c r="E1581" s="5">
        <v>60300000</v>
      </c>
      <c r="F1581" s="5">
        <v>63300000</v>
      </c>
      <c r="G1581" s="5">
        <v>3000000</v>
      </c>
      <c r="H1581" s="5">
        <v>6030000</v>
      </c>
      <c r="I1581" s="5">
        <v>6330000</v>
      </c>
      <c r="J1581" s="5">
        <v>60800000</v>
      </c>
      <c r="K1581" s="5">
        <v>63800000</v>
      </c>
      <c r="L1581" s="3">
        <v>0.97916666666666663</v>
      </c>
    </row>
    <row r="1582" spans="1:12" x14ac:dyDescent="0.25">
      <c r="A1582" t="s">
        <v>974</v>
      </c>
      <c r="B1582" s="2">
        <v>44669</v>
      </c>
      <c r="C1582" t="s">
        <v>16</v>
      </c>
      <c r="D1582" t="s">
        <v>1636</v>
      </c>
      <c r="E1582" s="5">
        <v>60700000</v>
      </c>
      <c r="F1582" s="5">
        <v>63700000</v>
      </c>
      <c r="G1582" s="5">
        <v>3000000</v>
      </c>
      <c r="H1582" s="5">
        <v>6070000</v>
      </c>
      <c r="I1582" s="5">
        <v>6370000</v>
      </c>
      <c r="J1582" s="5">
        <v>61200000</v>
      </c>
      <c r="K1582" s="5">
        <v>64200000</v>
      </c>
      <c r="L1582" s="3">
        <v>0.97916666666666663</v>
      </c>
    </row>
    <row r="1583" spans="1:12" x14ac:dyDescent="0.25">
      <c r="A1583" t="s">
        <v>975</v>
      </c>
      <c r="B1583" s="2">
        <v>44670</v>
      </c>
      <c r="C1583" t="s">
        <v>18</v>
      </c>
      <c r="D1583" t="s">
        <v>1636</v>
      </c>
      <c r="E1583" s="5">
        <v>59900000</v>
      </c>
      <c r="F1583" s="5">
        <v>62900000</v>
      </c>
      <c r="G1583" s="5">
        <v>3000000</v>
      </c>
      <c r="H1583" s="5">
        <v>5990000</v>
      </c>
      <c r="I1583" s="5">
        <v>6290000</v>
      </c>
      <c r="J1583" s="5">
        <v>60400000</v>
      </c>
      <c r="K1583" s="5">
        <v>63400000</v>
      </c>
      <c r="L1583" s="3">
        <v>0.97916666666666663</v>
      </c>
    </row>
    <row r="1584" spans="1:12" x14ac:dyDescent="0.25">
      <c r="A1584" t="s">
        <v>976</v>
      </c>
      <c r="B1584" s="2">
        <v>44671</v>
      </c>
      <c r="C1584" t="s">
        <v>19</v>
      </c>
      <c r="D1584" t="s">
        <v>1636</v>
      </c>
      <c r="E1584" s="5">
        <v>59700000</v>
      </c>
      <c r="F1584" s="5">
        <v>62700000</v>
      </c>
      <c r="G1584" s="5">
        <v>3000000</v>
      </c>
      <c r="H1584" s="5">
        <v>5970000</v>
      </c>
      <c r="I1584" s="5">
        <v>6270000</v>
      </c>
      <c r="J1584" s="5">
        <v>60200000</v>
      </c>
      <c r="K1584" s="5">
        <v>63200000</v>
      </c>
      <c r="L1584" s="3">
        <v>0.97916666666666663</v>
      </c>
    </row>
    <row r="1585" spans="1:12" x14ac:dyDescent="0.25">
      <c r="A1585" t="s">
        <v>977</v>
      </c>
      <c r="B1585" s="2">
        <v>44672</v>
      </c>
      <c r="C1585" t="s">
        <v>20</v>
      </c>
      <c r="D1585" t="s">
        <v>1636</v>
      </c>
      <c r="E1585" s="5">
        <v>59500000</v>
      </c>
      <c r="F1585" s="5">
        <v>62500000</v>
      </c>
      <c r="G1585" s="5">
        <v>3000000</v>
      </c>
      <c r="H1585" s="5">
        <v>5950000</v>
      </c>
      <c r="I1585" s="5">
        <v>6250000</v>
      </c>
      <c r="J1585" s="5">
        <v>60000000</v>
      </c>
      <c r="K1585" s="5">
        <v>63000000</v>
      </c>
      <c r="L1585" s="3">
        <v>0.97916666666666663</v>
      </c>
    </row>
    <row r="1586" spans="1:12" x14ac:dyDescent="0.25">
      <c r="A1586" t="s">
        <v>978</v>
      </c>
      <c r="B1586" s="2">
        <v>44673</v>
      </c>
      <c r="C1586" t="s">
        <v>21</v>
      </c>
      <c r="D1586" t="s">
        <v>1636</v>
      </c>
      <c r="E1586" s="5">
        <v>59100000</v>
      </c>
      <c r="F1586" s="5">
        <v>62100000</v>
      </c>
      <c r="G1586" s="5">
        <v>3000000</v>
      </c>
      <c r="H1586" s="5">
        <v>5910000</v>
      </c>
      <c r="I1586" s="5">
        <v>6210000</v>
      </c>
      <c r="J1586" s="5">
        <v>59600000</v>
      </c>
      <c r="K1586" s="5">
        <v>62600000</v>
      </c>
      <c r="L1586" s="3">
        <v>0.97916666666666663</v>
      </c>
    </row>
    <row r="1587" spans="1:12" x14ac:dyDescent="0.25">
      <c r="A1587" t="s">
        <v>979</v>
      </c>
      <c r="B1587" s="2">
        <v>44676</v>
      </c>
      <c r="C1587" t="s">
        <v>16</v>
      </c>
      <c r="D1587" t="s">
        <v>1636</v>
      </c>
      <c r="E1587" s="5">
        <v>57800000</v>
      </c>
      <c r="F1587" s="5">
        <v>60800000</v>
      </c>
      <c r="G1587" s="5">
        <v>3000000</v>
      </c>
      <c r="H1587" s="5">
        <v>5780000</v>
      </c>
      <c r="I1587" s="5">
        <v>6080000</v>
      </c>
      <c r="J1587" s="5">
        <v>58300000</v>
      </c>
      <c r="K1587" s="5">
        <v>61300000</v>
      </c>
      <c r="L1587" s="3">
        <v>0.97916666666666663</v>
      </c>
    </row>
    <row r="1588" spans="1:12" x14ac:dyDescent="0.25">
      <c r="A1588" t="s">
        <v>980</v>
      </c>
      <c r="B1588" s="2">
        <v>44677</v>
      </c>
      <c r="C1588" t="s">
        <v>18</v>
      </c>
      <c r="D1588" t="s">
        <v>1636</v>
      </c>
      <c r="E1588" s="5">
        <v>58100000</v>
      </c>
      <c r="F1588" s="5">
        <v>61100000</v>
      </c>
      <c r="G1588" s="5">
        <v>3000000</v>
      </c>
      <c r="H1588" s="5">
        <v>5810000</v>
      </c>
      <c r="I1588" s="5">
        <v>6110000</v>
      </c>
      <c r="J1588" s="5">
        <v>58600000</v>
      </c>
      <c r="K1588" s="5">
        <v>61600000</v>
      </c>
      <c r="L1588" s="3">
        <v>0.97916666666666663</v>
      </c>
    </row>
    <row r="1589" spans="1:12" x14ac:dyDescent="0.25">
      <c r="A1589" t="s">
        <v>981</v>
      </c>
      <c r="B1589" s="2">
        <v>44678</v>
      </c>
      <c r="C1589" t="s">
        <v>19</v>
      </c>
      <c r="D1589" t="s">
        <v>1636</v>
      </c>
      <c r="E1589" s="5">
        <v>57600000</v>
      </c>
      <c r="F1589" s="5">
        <v>60600000</v>
      </c>
      <c r="G1589" s="5">
        <v>3000000</v>
      </c>
      <c r="H1589" s="5">
        <v>5760000</v>
      </c>
      <c r="I1589" s="5">
        <v>6060000</v>
      </c>
      <c r="J1589" s="5">
        <v>58100000</v>
      </c>
      <c r="K1589" s="5">
        <v>61100000</v>
      </c>
      <c r="L1589" s="3">
        <v>0.97916666666666663</v>
      </c>
    </row>
    <row r="1590" spans="1:12" x14ac:dyDescent="0.25">
      <c r="A1590" t="s">
        <v>982</v>
      </c>
      <c r="B1590" s="2">
        <v>44679</v>
      </c>
      <c r="C1590" t="s">
        <v>20</v>
      </c>
      <c r="D1590" t="s">
        <v>1636</v>
      </c>
      <c r="E1590" s="5">
        <v>57700000</v>
      </c>
      <c r="F1590" s="5">
        <v>60700000</v>
      </c>
      <c r="G1590" s="5">
        <v>3000000</v>
      </c>
      <c r="H1590" s="5">
        <v>5770000</v>
      </c>
      <c r="I1590" s="5">
        <v>6070000</v>
      </c>
      <c r="J1590" s="5">
        <v>58200000</v>
      </c>
      <c r="K1590" s="5">
        <v>61200000</v>
      </c>
      <c r="L1590" s="3">
        <v>0.97916666666666663</v>
      </c>
    </row>
    <row r="1591" spans="1:12" x14ac:dyDescent="0.25">
      <c r="A1591" t="s">
        <v>983</v>
      </c>
      <c r="B1591" s="2">
        <v>44680</v>
      </c>
      <c r="C1591" t="s">
        <v>21</v>
      </c>
      <c r="D1591" t="s">
        <v>1636</v>
      </c>
      <c r="E1591" s="5">
        <v>58400000</v>
      </c>
      <c r="F1591" s="5">
        <v>61400000</v>
      </c>
      <c r="G1591" s="5">
        <v>3000000</v>
      </c>
      <c r="H1591" s="5">
        <v>5840000</v>
      </c>
      <c r="I1591" s="5">
        <v>6140000</v>
      </c>
      <c r="J1591" s="5">
        <v>58900000</v>
      </c>
      <c r="K1591" s="5">
        <v>61900000</v>
      </c>
      <c r="L1591" s="3">
        <v>0.97916666666666663</v>
      </c>
    </row>
    <row r="1592" spans="1:12" x14ac:dyDescent="0.25">
      <c r="A1592" s="2">
        <v>44597</v>
      </c>
      <c r="B1592" s="2">
        <v>44683</v>
      </c>
      <c r="C1592" t="s">
        <v>16</v>
      </c>
      <c r="D1592" t="s">
        <v>1636</v>
      </c>
      <c r="E1592" s="5">
        <v>56800000</v>
      </c>
      <c r="F1592" s="5">
        <v>59800000</v>
      </c>
      <c r="G1592" s="5">
        <v>3000000</v>
      </c>
      <c r="H1592" s="5">
        <v>5680000</v>
      </c>
      <c r="I1592" s="5">
        <v>5980000</v>
      </c>
      <c r="J1592" s="5">
        <v>57300000</v>
      </c>
      <c r="K1592" s="5">
        <v>60300000</v>
      </c>
      <c r="L1592" s="3">
        <v>0.97916666666666663</v>
      </c>
    </row>
    <row r="1593" spans="1:12" x14ac:dyDescent="0.25">
      <c r="A1593" s="2">
        <v>44625</v>
      </c>
      <c r="B1593" s="2">
        <v>44684</v>
      </c>
      <c r="C1593" t="s">
        <v>18</v>
      </c>
      <c r="D1593" t="s">
        <v>1636</v>
      </c>
      <c r="E1593" s="5">
        <v>57100000</v>
      </c>
      <c r="F1593" s="5">
        <v>60100000</v>
      </c>
      <c r="G1593" s="5">
        <v>3000000</v>
      </c>
      <c r="H1593" s="5">
        <v>5710000</v>
      </c>
      <c r="I1593" s="5">
        <v>6010000</v>
      </c>
      <c r="J1593" s="5">
        <v>57600000</v>
      </c>
      <c r="K1593" s="5">
        <v>60600000</v>
      </c>
      <c r="L1593" s="3">
        <v>0.97916666666666663</v>
      </c>
    </row>
    <row r="1594" spans="1:12" x14ac:dyDescent="0.25">
      <c r="A1594" s="2">
        <v>44656</v>
      </c>
      <c r="B1594" s="2">
        <v>44685</v>
      </c>
      <c r="C1594" t="s">
        <v>19</v>
      </c>
      <c r="D1594" t="s">
        <v>1636</v>
      </c>
      <c r="E1594" s="5">
        <v>57000000</v>
      </c>
      <c r="F1594" s="5">
        <v>60000000</v>
      </c>
      <c r="G1594" s="5">
        <v>3000000</v>
      </c>
      <c r="H1594" s="5">
        <v>5700000</v>
      </c>
      <c r="I1594" s="5">
        <v>6000000</v>
      </c>
      <c r="J1594" s="5">
        <v>57500000</v>
      </c>
      <c r="K1594" s="5">
        <v>60500000</v>
      </c>
      <c r="L1594" s="3">
        <v>0.97916666666666663</v>
      </c>
    </row>
    <row r="1595" spans="1:12" x14ac:dyDescent="0.25">
      <c r="A1595" s="2">
        <v>44686</v>
      </c>
      <c r="B1595" s="2">
        <v>44686</v>
      </c>
      <c r="C1595" t="s">
        <v>20</v>
      </c>
      <c r="D1595" t="s">
        <v>1636</v>
      </c>
      <c r="E1595" s="5">
        <v>57200000</v>
      </c>
      <c r="F1595" s="5">
        <v>60200000</v>
      </c>
      <c r="G1595" s="5">
        <v>3000000</v>
      </c>
      <c r="H1595" s="5">
        <v>5720000</v>
      </c>
      <c r="I1595" s="5">
        <v>6020000</v>
      </c>
      <c r="J1595" s="5">
        <v>57700000</v>
      </c>
      <c r="K1595" s="5">
        <v>60700000</v>
      </c>
      <c r="L1595" s="3">
        <v>0.97916666666666663</v>
      </c>
    </row>
    <row r="1596" spans="1:12" x14ac:dyDescent="0.25">
      <c r="A1596" s="2">
        <v>44717</v>
      </c>
      <c r="B1596" s="2">
        <v>44687</v>
      </c>
      <c r="C1596" t="s">
        <v>21</v>
      </c>
      <c r="D1596" t="s">
        <v>1636</v>
      </c>
      <c r="E1596" s="5">
        <v>57500000</v>
      </c>
      <c r="F1596" s="5">
        <v>60500000</v>
      </c>
      <c r="G1596" s="5">
        <v>3000000</v>
      </c>
      <c r="H1596" s="5">
        <v>5750000</v>
      </c>
      <c r="I1596" s="5">
        <v>6050000</v>
      </c>
      <c r="J1596" s="5">
        <v>58000000</v>
      </c>
      <c r="K1596" s="5">
        <v>61000000</v>
      </c>
      <c r="L1596" s="3">
        <v>0.97916666666666663</v>
      </c>
    </row>
    <row r="1597" spans="1:12" x14ac:dyDescent="0.25">
      <c r="A1597" s="2">
        <v>44809</v>
      </c>
      <c r="B1597" s="2">
        <v>44690</v>
      </c>
      <c r="C1597" t="s">
        <v>16</v>
      </c>
      <c r="D1597" t="s">
        <v>1636</v>
      </c>
      <c r="E1597" s="5">
        <v>56700000</v>
      </c>
      <c r="F1597" s="5">
        <v>59700000</v>
      </c>
      <c r="G1597" s="5">
        <v>3000000</v>
      </c>
      <c r="H1597" s="5">
        <v>5670000</v>
      </c>
      <c r="I1597" s="5">
        <v>5970000</v>
      </c>
      <c r="J1597" s="5">
        <v>57200000</v>
      </c>
      <c r="K1597" s="5">
        <v>60200000</v>
      </c>
      <c r="L1597" s="3">
        <v>0.97916666666666663</v>
      </c>
    </row>
    <row r="1598" spans="1:12" x14ac:dyDescent="0.25">
      <c r="A1598" s="2">
        <v>44839</v>
      </c>
      <c r="B1598" s="2">
        <v>44691</v>
      </c>
      <c r="C1598" t="s">
        <v>18</v>
      </c>
      <c r="D1598" t="s">
        <v>1636</v>
      </c>
      <c r="E1598" s="5">
        <v>56100000</v>
      </c>
      <c r="F1598" s="5">
        <v>59100000</v>
      </c>
      <c r="G1598" s="5">
        <v>3000000</v>
      </c>
      <c r="H1598" s="5">
        <v>5610000</v>
      </c>
      <c r="I1598" s="5">
        <v>5910000</v>
      </c>
      <c r="J1598" s="5">
        <v>56600000</v>
      </c>
      <c r="K1598" s="5">
        <v>59600000</v>
      </c>
      <c r="L1598" s="3">
        <v>0.97916666666666663</v>
      </c>
    </row>
    <row r="1599" spans="1:12" x14ac:dyDescent="0.25">
      <c r="A1599" s="2">
        <v>44870</v>
      </c>
      <c r="B1599" s="2">
        <v>44692</v>
      </c>
      <c r="C1599" t="s">
        <v>19</v>
      </c>
      <c r="D1599" t="s">
        <v>1636</v>
      </c>
      <c r="E1599" s="5">
        <v>56500000</v>
      </c>
      <c r="F1599" s="5">
        <v>59500000</v>
      </c>
      <c r="G1599" s="5">
        <v>3000000</v>
      </c>
      <c r="H1599" s="5">
        <v>5650000</v>
      </c>
      <c r="I1599" s="5">
        <v>5950000</v>
      </c>
      <c r="J1599" s="5">
        <v>57000000</v>
      </c>
      <c r="K1599" s="5">
        <v>60000000</v>
      </c>
      <c r="L1599" s="3">
        <v>0.97916666666666663</v>
      </c>
    </row>
    <row r="1600" spans="1:12" x14ac:dyDescent="0.25">
      <c r="A1600" s="2">
        <v>44900</v>
      </c>
      <c r="B1600" s="2">
        <v>44693</v>
      </c>
      <c r="C1600" t="s">
        <v>20</v>
      </c>
      <c r="D1600" t="s">
        <v>1636</v>
      </c>
      <c r="E1600" s="5">
        <v>55600000</v>
      </c>
      <c r="F1600" s="5">
        <v>58600000</v>
      </c>
      <c r="G1600" s="5">
        <v>3000000</v>
      </c>
      <c r="H1600" s="5">
        <v>5560000</v>
      </c>
      <c r="I1600" s="5">
        <v>5860000</v>
      </c>
      <c r="J1600" s="5">
        <v>56100000</v>
      </c>
      <c r="K1600" s="5">
        <v>59100000</v>
      </c>
      <c r="L1600" s="3">
        <v>0.97916666666666663</v>
      </c>
    </row>
    <row r="1601" spans="1:12" x14ac:dyDescent="0.25">
      <c r="A1601" t="s">
        <v>984</v>
      </c>
      <c r="B1601" s="2">
        <v>44694</v>
      </c>
      <c r="C1601" t="s">
        <v>21</v>
      </c>
      <c r="D1601" t="s">
        <v>1636</v>
      </c>
      <c r="E1601" s="5">
        <v>55100000</v>
      </c>
      <c r="F1601" s="5">
        <v>58100000</v>
      </c>
      <c r="G1601" s="5">
        <v>3000000</v>
      </c>
      <c r="H1601" s="5">
        <v>5510000</v>
      </c>
      <c r="I1601" s="5">
        <v>5810000</v>
      </c>
      <c r="J1601" s="5">
        <v>55600000</v>
      </c>
      <c r="K1601" s="5">
        <v>58600000</v>
      </c>
      <c r="L1601" s="3">
        <v>0.97916666666666663</v>
      </c>
    </row>
    <row r="1602" spans="1:12" x14ac:dyDescent="0.25">
      <c r="A1602" t="s">
        <v>985</v>
      </c>
      <c r="B1602" s="2">
        <v>44697</v>
      </c>
      <c r="C1602" t="s">
        <v>16</v>
      </c>
      <c r="D1602" t="s">
        <v>1636</v>
      </c>
      <c r="E1602" s="5">
        <v>55300000</v>
      </c>
      <c r="F1602" s="5">
        <v>58300000</v>
      </c>
      <c r="G1602" s="5">
        <v>3000000</v>
      </c>
      <c r="H1602" s="5">
        <v>5530000</v>
      </c>
      <c r="I1602" s="5">
        <v>5830000</v>
      </c>
      <c r="J1602" s="5">
        <v>55800000</v>
      </c>
      <c r="K1602" s="5">
        <v>58800000</v>
      </c>
      <c r="L1602" s="3">
        <v>0.97916666666666663</v>
      </c>
    </row>
    <row r="1603" spans="1:12" x14ac:dyDescent="0.25">
      <c r="A1603" t="s">
        <v>986</v>
      </c>
      <c r="B1603" s="2">
        <v>44698</v>
      </c>
      <c r="C1603" t="s">
        <v>18</v>
      </c>
      <c r="D1603" t="s">
        <v>1636</v>
      </c>
      <c r="E1603" s="5">
        <v>55400000</v>
      </c>
      <c r="F1603" s="5">
        <v>58400000</v>
      </c>
      <c r="G1603" s="5">
        <v>3000000</v>
      </c>
      <c r="H1603" s="5">
        <v>5540000</v>
      </c>
      <c r="I1603" s="5">
        <v>5840000</v>
      </c>
      <c r="J1603" s="5">
        <v>55900000</v>
      </c>
      <c r="K1603" s="5">
        <v>58900000</v>
      </c>
      <c r="L1603" s="3">
        <v>0.97916666666666663</v>
      </c>
    </row>
    <row r="1604" spans="1:12" x14ac:dyDescent="0.25">
      <c r="A1604" t="s">
        <v>987</v>
      </c>
      <c r="B1604" s="2">
        <v>44699</v>
      </c>
      <c r="C1604" t="s">
        <v>19</v>
      </c>
      <c r="D1604" t="s">
        <v>1636</v>
      </c>
      <c r="E1604" s="5">
        <v>55400000</v>
      </c>
      <c r="F1604" s="5">
        <v>58400000</v>
      </c>
      <c r="G1604" s="5">
        <v>3000000</v>
      </c>
      <c r="H1604" s="5">
        <v>5540000</v>
      </c>
      <c r="I1604" s="5">
        <v>5840000</v>
      </c>
      <c r="J1604" s="5">
        <v>55900000</v>
      </c>
      <c r="K1604" s="5">
        <v>58900000</v>
      </c>
      <c r="L1604" s="3">
        <v>0.97916666666666663</v>
      </c>
    </row>
    <row r="1605" spans="1:12" x14ac:dyDescent="0.25">
      <c r="A1605" t="s">
        <v>988</v>
      </c>
      <c r="B1605" s="2">
        <v>44700</v>
      </c>
      <c r="C1605" t="s">
        <v>20</v>
      </c>
      <c r="D1605" t="s">
        <v>1636</v>
      </c>
      <c r="E1605" s="5">
        <v>56200000</v>
      </c>
      <c r="F1605" s="5">
        <v>59200000</v>
      </c>
      <c r="G1605" s="5">
        <v>3000000</v>
      </c>
      <c r="H1605" s="5">
        <v>5620000</v>
      </c>
      <c r="I1605" s="5">
        <v>5920000</v>
      </c>
      <c r="J1605" s="5">
        <v>56700000</v>
      </c>
      <c r="K1605" s="5">
        <v>59700000</v>
      </c>
      <c r="L1605" s="3">
        <v>0.97916666666666663</v>
      </c>
    </row>
    <row r="1606" spans="1:12" x14ac:dyDescent="0.25">
      <c r="A1606" t="s">
        <v>989</v>
      </c>
      <c r="B1606" s="2">
        <v>44701</v>
      </c>
      <c r="C1606" t="s">
        <v>21</v>
      </c>
      <c r="D1606" t="s">
        <v>1636</v>
      </c>
      <c r="E1606" s="5">
        <v>56200000</v>
      </c>
      <c r="F1606" s="5">
        <v>59200000</v>
      </c>
      <c r="G1606" s="5">
        <v>3000000</v>
      </c>
      <c r="H1606" s="5">
        <v>5620000</v>
      </c>
      <c r="I1606" s="5">
        <v>5920000</v>
      </c>
      <c r="J1606" s="5">
        <v>56700000</v>
      </c>
      <c r="K1606" s="5">
        <v>59700000</v>
      </c>
      <c r="L1606" s="3">
        <v>0.97916666666666663</v>
      </c>
    </row>
    <row r="1607" spans="1:12" x14ac:dyDescent="0.25">
      <c r="A1607" t="s">
        <v>990</v>
      </c>
      <c r="B1607" s="2">
        <v>44704</v>
      </c>
      <c r="C1607" t="s">
        <v>16</v>
      </c>
      <c r="D1607" t="s">
        <v>1636</v>
      </c>
      <c r="E1607" s="5">
        <v>56400000</v>
      </c>
      <c r="F1607" s="5">
        <v>59400000</v>
      </c>
      <c r="G1607" s="5">
        <v>3000000</v>
      </c>
      <c r="H1607" s="5">
        <v>5640000</v>
      </c>
      <c r="I1607" s="5">
        <v>5940000</v>
      </c>
      <c r="J1607" s="5">
        <v>56900000</v>
      </c>
      <c r="K1607" s="5">
        <v>59900000</v>
      </c>
      <c r="L1607" s="3">
        <v>0.97916666666666663</v>
      </c>
    </row>
    <row r="1608" spans="1:12" x14ac:dyDescent="0.25">
      <c r="A1608" t="s">
        <v>991</v>
      </c>
      <c r="B1608" s="2">
        <v>44705</v>
      </c>
      <c r="C1608" t="s">
        <v>18</v>
      </c>
      <c r="D1608" t="s">
        <v>1636</v>
      </c>
      <c r="E1608" s="5">
        <v>56900000</v>
      </c>
      <c r="F1608" s="5">
        <v>59900000</v>
      </c>
      <c r="G1608" s="5">
        <v>3000000</v>
      </c>
      <c r="H1608" s="5">
        <v>5690000</v>
      </c>
      <c r="I1608" s="5">
        <v>5990000</v>
      </c>
      <c r="J1608" s="5">
        <v>57400000</v>
      </c>
      <c r="K1608" s="5">
        <v>60400000</v>
      </c>
      <c r="L1608" s="3">
        <v>0.97916666666666663</v>
      </c>
    </row>
    <row r="1609" spans="1:12" x14ac:dyDescent="0.25">
      <c r="A1609" t="s">
        <v>992</v>
      </c>
      <c r="B1609" s="2">
        <v>44706</v>
      </c>
      <c r="C1609" t="s">
        <v>19</v>
      </c>
      <c r="D1609" t="s">
        <v>1636</v>
      </c>
      <c r="E1609" s="5">
        <v>56300000</v>
      </c>
      <c r="F1609" s="5">
        <v>59300000</v>
      </c>
      <c r="G1609" s="5">
        <v>3000000</v>
      </c>
      <c r="H1609" s="5">
        <v>5630000</v>
      </c>
      <c r="I1609" s="5">
        <v>5930000</v>
      </c>
      <c r="J1609" s="5">
        <v>56800000</v>
      </c>
      <c r="K1609" s="5">
        <v>59800000</v>
      </c>
      <c r="L1609" s="3">
        <v>0.97916666666666663</v>
      </c>
    </row>
    <row r="1610" spans="1:12" x14ac:dyDescent="0.25">
      <c r="A1610" t="s">
        <v>993</v>
      </c>
      <c r="B1610" s="2">
        <v>44707</v>
      </c>
      <c r="C1610" t="s">
        <v>20</v>
      </c>
      <c r="D1610" t="s">
        <v>1636</v>
      </c>
      <c r="E1610" s="5">
        <v>56400000</v>
      </c>
      <c r="F1610" s="5">
        <v>59400000</v>
      </c>
      <c r="G1610" s="5">
        <v>3000000</v>
      </c>
      <c r="H1610" s="5">
        <v>5640000</v>
      </c>
      <c r="I1610" s="5">
        <v>5940000</v>
      </c>
      <c r="J1610" s="5">
        <v>56900000</v>
      </c>
      <c r="K1610" s="5">
        <v>59900000</v>
      </c>
      <c r="L1610" s="3">
        <v>0.97916666666666663</v>
      </c>
    </row>
    <row r="1611" spans="1:12" x14ac:dyDescent="0.25">
      <c r="A1611" t="s">
        <v>994</v>
      </c>
      <c r="B1611" s="2">
        <v>44708</v>
      </c>
      <c r="C1611" t="s">
        <v>21</v>
      </c>
      <c r="D1611" t="s">
        <v>1636</v>
      </c>
      <c r="E1611" s="5">
        <v>56500000</v>
      </c>
      <c r="F1611" s="5">
        <v>59500000</v>
      </c>
      <c r="G1611" s="5">
        <v>3000000</v>
      </c>
      <c r="H1611" s="5">
        <v>5650000</v>
      </c>
      <c r="I1611" s="5">
        <v>5950000</v>
      </c>
      <c r="J1611" s="5">
        <v>57000000</v>
      </c>
      <c r="K1611" s="5">
        <v>60000000</v>
      </c>
      <c r="L1611" s="3">
        <v>0.97916666666666663</v>
      </c>
    </row>
    <row r="1612" spans="1:12" x14ac:dyDescent="0.25">
      <c r="A1612" t="s">
        <v>995</v>
      </c>
      <c r="B1612" s="2">
        <v>44712</v>
      </c>
      <c r="C1612" t="s">
        <v>18</v>
      </c>
      <c r="D1612" t="s">
        <v>1636</v>
      </c>
      <c r="E1612" s="5">
        <v>56200000</v>
      </c>
      <c r="F1612" s="5">
        <v>59200000</v>
      </c>
      <c r="G1612" s="5">
        <v>3000000</v>
      </c>
      <c r="H1612" s="5">
        <v>5620000</v>
      </c>
      <c r="I1612" s="5">
        <v>5920000</v>
      </c>
      <c r="J1612" s="5">
        <v>56700000</v>
      </c>
      <c r="K1612" s="5">
        <v>59700000</v>
      </c>
      <c r="L1612" s="3">
        <v>0.97916666666666663</v>
      </c>
    </row>
    <row r="1613" spans="1:12" x14ac:dyDescent="0.25">
      <c r="A1613" s="2">
        <v>44567</v>
      </c>
      <c r="B1613" s="2">
        <v>44713</v>
      </c>
      <c r="C1613" t="s">
        <v>19</v>
      </c>
      <c r="D1613" t="s">
        <v>1636</v>
      </c>
      <c r="E1613" s="5">
        <v>56200000</v>
      </c>
      <c r="F1613" s="5">
        <v>59200000</v>
      </c>
      <c r="G1613" s="5">
        <v>3000000</v>
      </c>
      <c r="H1613" s="5">
        <v>5620000</v>
      </c>
      <c r="I1613" s="5">
        <v>5920000</v>
      </c>
      <c r="J1613" s="5">
        <v>56700000</v>
      </c>
      <c r="K1613" s="5">
        <v>59700000</v>
      </c>
      <c r="L1613" s="3">
        <v>0.97916666666666663</v>
      </c>
    </row>
    <row r="1614" spans="1:12" x14ac:dyDescent="0.25">
      <c r="A1614" s="2">
        <v>44598</v>
      </c>
      <c r="B1614" s="2">
        <v>44714</v>
      </c>
      <c r="C1614" t="s">
        <v>20</v>
      </c>
      <c r="D1614" t="s">
        <v>1636</v>
      </c>
      <c r="E1614" s="5">
        <v>57000000</v>
      </c>
      <c r="F1614" s="5">
        <v>60000000</v>
      </c>
      <c r="G1614" s="5">
        <v>3000000</v>
      </c>
      <c r="H1614" s="5">
        <v>5700000</v>
      </c>
      <c r="I1614" s="5">
        <v>6000000</v>
      </c>
      <c r="J1614" s="5">
        <v>57500000</v>
      </c>
      <c r="K1614" s="5">
        <v>60500000</v>
      </c>
      <c r="L1614" s="3">
        <v>0.97916666666666663</v>
      </c>
    </row>
    <row r="1615" spans="1:12" x14ac:dyDescent="0.25">
      <c r="A1615" s="2">
        <v>44626</v>
      </c>
      <c r="B1615" s="2">
        <v>44715</v>
      </c>
      <c r="C1615" t="s">
        <v>21</v>
      </c>
      <c r="D1615" t="s">
        <v>1636</v>
      </c>
      <c r="E1615" s="5">
        <v>56300000</v>
      </c>
      <c r="F1615" s="5">
        <v>59300000</v>
      </c>
      <c r="G1615" s="5">
        <v>3000000</v>
      </c>
      <c r="H1615" s="5">
        <v>5630000</v>
      </c>
      <c r="I1615" s="5">
        <v>5930000</v>
      </c>
      <c r="J1615" s="5">
        <v>56800000</v>
      </c>
      <c r="K1615" s="5">
        <v>59800000</v>
      </c>
      <c r="L1615" s="3">
        <v>0.97916666666666663</v>
      </c>
    </row>
    <row r="1616" spans="1:12" x14ac:dyDescent="0.25">
      <c r="A1616" s="2">
        <v>44718</v>
      </c>
      <c r="B1616" s="2">
        <v>44718</v>
      </c>
      <c r="C1616" t="s">
        <v>16</v>
      </c>
      <c r="D1616" t="s">
        <v>1636</v>
      </c>
      <c r="E1616" s="5">
        <v>56100000</v>
      </c>
      <c r="F1616" s="5">
        <v>59100000</v>
      </c>
      <c r="G1616" s="5">
        <v>3000000</v>
      </c>
      <c r="H1616" s="5">
        <v>5610000</v>
      </c>
      <c r="I1616" s="5">
        <v>5910000</v>
      </c>
      <c r="J1616" s="5">
        <v>56600000</v>
      </c>
      <c r="K1616" s="5">
        <v>59600000</v>
      </c>
      <c r="L1616" s="3">
        <v>0.97916666666666663</v>
      </c>
    </row>
    <row r="1617" spans="1:12" x14ac:dyDescent="0.25">
      <c r="A1617" s="2">
        <v>44748</v>
      </c>
      <c r="B1617" s="2">
        <v>44719</v>
      </c>
      <c r="C1617" t="s">
        <v>18</v>
      </c>
      <c r="D1617" t="s">
        <v>1636</v>
      </c>
      <c r="E1617" s="5">
        <v>56400000</v>
      </c>
      <c r="F1617" s="5">
        <v>59400000</v>
      </c>
      <c r="G1617" s="5">
        <v>3000000</v>
      </c>
      <c r="H1617" s="5">
        <v>5640000</v>
      </c>
      <c r="I1617" s="5">
        <v>5940000</v>
      </c>
      <c r="J1617" s="5">
        <v>56900000</v>
      </c>
      <c r="K1617" s="5">
        <v>59900000</v>
      </c>
      <c r="L1617" s="3">
        <v>0.97916666666666663</v>
      </c>
    </row>
    <row r="1618" spans="1:12" x14ac:dyDescent="0.25">
      <c r="A1618" s="2">
        <v>44779</v>
      </c>
      <c r="B1618" s="2">
        <v>44720</v>
      </c>
      <c r="C1618" t="s">
        <v>19</v>
      </c>
      <c r="D1618" t="s">
        <v>1636</v>
      </c>
      <c r="E1618" s="5">
        <v>56500000</v>
      </c>
      <c r="F1618" s="5">
        <v>59500000</v>
      </c>
      <c r="G1618" s="5">
        <v>3000000</v>
      </c>
      <c r="H1618" s="5">
        <v>5650000</v>
      </c>
      <c r="I1618" s="5">
        <v>5950000</v>
      </c>
      <c r="J1618" s="5">
        <v>57000000</v>
      </c>
      <c r="K1618" s="5">
        <v>60000000</v>
      </c>
      <c r="L1618" s="3">
        <v>0.97916666666666663</v>
      </c>
    </row>
    <row r="1619" spans="1:12" x14ac:dyDescent="0.25">
      <c r="A1619" s="2">
        <v>44810</v>
      </c>
      <c r="B1619" s="2">
        <v>44721</v>
      </c>
      <c r="C1619" t="s">
        <v>20</v>
      </c>
      <c r="D1619" t="s">
        <v>1636</v>
      </c>
      <c r="E1619" s="5">
        <v>56400000</v>
      </c>
      <c r="F1619" s="5">
        <v>59400000</v>
      </c>
      <c r="G1619" s="5">
        <v>3000000</v>
      </c>
      <c r="H1619" s="5">
        <v>5640000</v>
      </c>
      <c r="I1619" s="5">
        <v>5940000</v>
      </c>
      <c r="J1619" s="5">
        <v>56900000</v>
      </c>
      <c r="K1619" s="5">
        <v>59900000</v>
      </c>
      <c r="L1619" s="3">
        <v>0.97916666666666663</v>
      </c>
    </row>
    <row r="1620" spans="1:12" x14ac:dyDescent="0.25">
      <c r="A1620" s="2">
        <v>44840</v>
      </c>
      <c r="B1620" s="2">
        <v>44722</v>
      </c>
      <c r="C1620" t="s">
        <v>21</v>
      </c>
      <c r="D1620" t="s">
        <v>1636</v>
      </c>
      <c r="E1620" s="5">
        <v>57100000</v>
      </c>
      <c r="F1620" s="5">
        <v>60100000</v>
      </c>
      <c r="G1620" s="5">
        <v>3000000</v>
      </c>
      <c r="H1620" s="5">
        <v>5710000</v>
      </c>
      <c r="I1620" s="5">
        <v>6010000</v>
      </c>
      <c r="J1620" s="5">
        <v>57600000</v>
      </c>
      <c r="K1620" s="5">
        <v>60600000</v>
      </c>
      <c r="L1620" s="3">
        <v>0.97916666666666663</v>
      </c>
    </row>
    <row r="1621" spans="1:12" x14ac:dyDescent="0.25">
      <c r="A1621" t="s">
        <v>996</v>
      </c>
      <c r="B1621" s="2">
        <v>44725</v>
      </c>
      <c r="C1621" t="s">
        <v>16</v>
      </c>
      <c r="D1621" t="s">
        <v>1636</v>
      </c>
      <c r="E1621" s="5">
        <v>55700000</v>
      </c>
      <c r="F1621" s="5">
        <v>58700000</v>
      </c>
      <c r="G1621" s="5">
        <v>3000000</v>
      </c>
      <c r="H1621" s="5">
        <v>5570000</v>
      </c>
      <c r="I1621" s="5">
        <v>5870000</v>
      </c>
      <c r="J1621" s="5">
        <v>56200000</v>
      </c>
      <c r="K1621" s="5">
        <v>59200000</v>
      </c>
      <c r="L1621" s="3">
        <v>0.97916666666666663</v>
      </c>
    </row>
    <row r="1622" spans="1:12" x14ac:dyDescent="0.25">
      <c r="A1622" t="s">
        <v>997</v>
      </c>
      <c r="B1622" s="2">
        <v>44726</v>
      </c>
      <c r="C1622" t="s">
        <v>18</v>
      </c>
      <c r="D1622" t="s">
        <v>1636</v>
      </c>
      <c r="E1622" s="5">
        <v>55200000</v>
      </c>
      <c r="F1622" s="5">
        <v>58200000</v>
      </c>
      <c r="G1622" s="5">
        <v>3000000</v>
      </c>
      <c r="H1622" s="5">
        <v>5520000</v>
      </c>
      <c r="I1622" s="5">
        <v>5820000</v>
      </c>
      <c r="J1622" s="5">
        <v>55700000</v>
      </c>
      <c r="K1622" s="5">
        <v>58700000</v>
      </c>
      <c r="L1622" s="3">
        <v>0.97916666666666663</v>
      </c>
    </row>
    <row r="1623" spans="1:12" x14ac:dyDescent="0.25">
      <c r="A1623" t="s">
        <v>998</v>
      </c>
      <c r="B1623" s="2">
        <v>44727</v>
      </c>
      <c r="C1623" t="s">
        <v>19</v>
      </c>
      <c r="D1623" t="s">
        <v>1636</v>
      </c>
      <c r="E1623" s="5">
        <v>55300000</v>
      </c>
      <c r="F1623" s="5">
        <v>58300000</v>
      </c>
      <c r="G1623" s="5">
        <v>3000000</v>
      </c>
      <c r="H1623" s="5">
        <v>5530000</v>
      </c>
      <c r="I1623" s="5">
        <v>5830000</v>
      </c>
      <c r="J1623" s="5">
        <v>55800000</v>
      </c>
      <c r="K1623" s="5">
        <v>58800000</v>
      </c>
      <c r="L1623" s="3">
        <v>0.97916666666666663</v>
      </c>
    </row>
    <row r="1624" spans="1:12" x14ac:dyDescent="0.25">
      <c r="A1624" t="s">
        <v>999</v>
      </c>
      <c r="B1624" s="2">
        <v>44728</v>
      </c>
      <c r="C1624" t="s">
        <v>20</v>
      </c>
      <c r="D1624" t="s">
        <v>1636</v>
      </c>
      <c r="E1624" s="5">
        <v>56300000</v>
      </c>
      <c r="F1624" s="5">
        <v>59300000</v>
      </c>
      <c r="G1624" s="5">
        <v>3000000</v>
      </c>
      <c r="H1624" s="5">
        <v>5630000</v>
      </c>
      <c r="I1624" s="5">
        <v>5930000</v>
      </c>
      <c r="J1624" s="5">
        <v>56800000</v>
      </c>
      <c r="K1624" s="5">
        <v>59800000</v>
      </c>
      <c r="L1624" s="3">
        <v>0.97916666666666663</v>
      </c>
    </row>
    <row r="1625" spans="1:12" x14ac:dyDescent="0.25">
      <c r="A1625" t="s">
        <v>1000</v>
      </c>
      <c r="B1625" s="2">
        <v>44729</v>
      </c>
      <c r="C1625" t="s">
        <v>21</v>
      </c>
      <c r="D1625" t="s">
        <v>1636</v>
      </c>
      <c r="E1625" s="5">
        <v>56000000</v>
      </c>
      <c r="F1625" s="5">
        <v>59000000</v>
      </c>
      <c r="G1625" s="5">
        <v>3000000</v>
      </c>
      <c r="H1625" s="5">
        <v>5600000</v>
      </c>
      <c r="I1625" s="5">
        <v>5900000</v>
      </c>
      <c r="J1625" s="5">
        <v>56500000</v>
      </c>
      <c r="K1625" s="5">
        <v>59500000</v>
      </c>
      <c r="L1625" s="3">
        <v>0.97916666666666663</v>
      </c>
    </row>
    <row r="1626" spans="1:12" x14ac:dyDescent="0.25">
      <c r="A1626" t="s">
        <v>1001</v>
      </c>
      <c r="B1626" s="2">
        <v>44733</v>
      </c>
      <c r="C1626" t="s">
        <v>18</v>
      </c>
      <c r="D1626" t="s">
        <v>1636</v>
      </c>
      <c r="E1626" s="5">
        <v>56000000</v>
      </c>
      <c r="F1626" s="5">
        <v>59000000</v>
      </c>
      <c r="G1626" s="5">
        <v>3000000</v>
      </c>
      <c r="H1626" s="5">
        <v>5600000</v>
      </c>
      <c r="I1626" s="5">
        <v>5900000</v>
      </c>
      <c r="J1626" s="5">
        <v>56500000</v>
      </c>
      <c r="K1626" s="5">
        <v>59500000</v>
      </c>
      <c r="L1626" s="3">
        <v>0.97916666666666663</v>
      </c>
    </row>
    <row r="1627" spans="1:12" x14ac:dyDescent="0.25">
      <c r="A1627" t="s">
        <v>1002</v>
      </c>
      <c r="B1627" s="2">
        <v>44734</v>
      </c>
      <c r="C1627" t="s">
        <v>19</v>
      </c>
      <c r="D1627" t="s">
        <v>1636</v>
      </c>
      <c r="E1627" s="5">
        <v>56000000</v>
      </c>
      <c r="F1627" s="5">
        <v>59000000</v>
      </c>
      <c r="G1627" s="5">
        <v>3000000</v>
      </c>
      <c r="H1627" s="5">
        <v>5600000</v>
      </c>
      <c r="I1627" s="5">
        <v>5900000</v>
      </c>
      <c r="J1627" s="5">
        <v>56500000</v>
      </c>
      <c r="K1627" s="5">
        <v>59500000</v>
      </c>
      <c r="L1627" s="3">
        <v>0.97916666666666663</v>
      </c>
    </row>
    <row r="1628" spans="1:12" x14ac:dyDescent="0.25">
      <c r="A1628" t="s">
        <v>1003</v>
      </c>
      <c r="B1628" s="2">
        <v>44735</v>
      </c>
      <c r="C1628" t="s">
        <v>20</v>
      </c>
      <c r="D1628" t="s">
        <v>1636</v>
      </c>
      <c r="E1628" s="5">
        <v>55700000</v>
      </c>
      <c r="F1628" s="5">
        <v>58700000</v>
      </c>
      <c r="G1628" s="5">
        <v>3000000</v>
      </c>
      <c r="H1628" s="5">
        <v>5570000</v>
      </c>
      <c r="I1628" s="5">
        <v>5870000</v>
      </c>
      <c r="J1628" s="5">
        <v>56200000</v>
      </c>
      <c r="K1628" s="5">
        <v>59200000</v>
      </c>
      <c r="L1628" s="3">
        <v>0.97916666666666663</v>
      </c>
    </row>
    <row r="1629" spans="1:12" x14ac:dyDescent="0.25">
      <c r="A1629" t="s">
        <v>1004</v>
      </c>
      <c r="B1629" s="2">
        <v>44736</v>
      </c>
      <c r="C1629" t="s">
        <v>21</v>
      </c>
      <c r="D1629" t="s">
        <v>1636</v>
      </c>
      <c r="E1629" s="5">
        <v>55700000</v>
      </c>
      <c r="F1629" s="5">
        <v>58700000</v>
      </c>
      <c r="G1629" s="5">
        <v>3000000</v>
      </c>
      <c r="H1629" s="5">
        <v>5570000</v>
      </c>
      <c r="I1629" s="5">
        <v>5870000</v>
      </c>
      <c r="J1629" s="5">
        <v>56200000</v>
      </c>
      <c r="K1629" s="5">
        <v>59200000</v>
      </c>
      <c r="L1629" s="3">
        <v>0.97916666666666663</v>
      </c>
    </row>
    <row r="1630" spans="1:12" x14ac:dyDescent="0.25">
      <c r="A1630" t="s">
        <v>1005</v>
      </c>
      <c r="B1630" s="2">
        <v>44739</v>
      </c>
      <c r="C1630" t="s">
        <v>16</v>
      </c>
      <c r="D1630" t="s">
        <v>1636</v>
      </c>
      <c r="E1630" s="5">
        <v>55500000</v>
      </c>
      <c r="F1630" s="5">
        <v>58500000</v>
      </c>
      <c r="G1630" s="5">
        <v>3000000</v>
      </c>
      <c r="H1630" s="5">
        <v>5550000</v>
      </c>
      <c r="I1630" s="5">
        <v>5850000</v>
      </c>
      <c r="J1630" s="5">
        <v>56000000</v>
      </c>
      <c r="K1630" s="5">
        <v>59000000</v>
      </c>
      <c r="L1630" s="3">
        <v>0.97916666666666663</v>
      </c>
    </row>
    <row r="1631" spans="1:12" x14ac:dyDescent="0.25">
      <c r="A1631" t="s">
        <v>1006</v>
      </c>
      <c r="B1631" s="2">
        <v>44740</v>
      </c>
      <c r="C1631" t="s">
        <v>18</v>
      </c>
      <c r="D1631" t="s">
        <v>1636</v>
      </c>
      <c r="E1631" s="5">
        <v>55400000</v>
      </c>
      <c r="F1631" s="5">
        <v>58400000</v>
      </c>
      <c r="G1631" s="5">
        <v>3000000</v>
      </c>
      <c r="H1631" s="5">
        <v>5540000</v>
      </c>
      <c r="I1631" s="5">
        <v>5840000</v>
      </c>
      <c r="J1631" s="5">
        <v>55900000</v>
      </c>
      <c r="K1631" s="5">
        <v>58900000</v>
      </c>
      <c r="L1631" s="3">
        <v>0.97916666666666663</v>
      </c>
    </row>
    <row r="1632" spans="1:12" x14ac:dyDescent="0.25">
      <c r="A1632" t="s">
        <v>1007</v>
      </c>
      <c r="B1632" s="2">
        <v>44741</v>
      </c>
      <c r="C1632" t="s">
        <v>19</v>
      </c>
      <c r="D1632" t="s">
        <v>1636</v>
      </c>
      <c r="E1632" s="5">
        <v>55300000</v>
      </c>
      <c r="F1632" s="5">
        <v>58300000</v>
      </c>
      <c r="G1632" s="5">
        <v>3000000</v>
      </c>
      <c r="H1632" s="5">
        <v>5530000</v>
      </c>
      <c r="I1632" s="5">
        <v>5830000</v>
      </c>
      <c r="J1632" s="5">
        <v>55800000</v>
      </c>
      <c r="K1632" s="5">
        <v>58800000</v>
      </c>
      <c r="L1632" s="3">
        <v>0.97916666666666663</v>
      </c>
    </row>
    <row r="1633" spans="1:12" x14ac:dyDescent="0.25">
      <c r="A1633" t="s">
        <v>1008</v>
      </c>
      <c r="B1633" s="2">
        <v>44742</v>
      </c>
      <c r="C1633" t="s">
        <v>20</v>
      </c>
      <c r="D1633" t="s">
        <v>1636</v>
      </c>
      <c r="E1633" s="5">
        <v>55000000</v>
      </c>
      <c r="F1633" s="5">
        <v>58000000</v>
      </c>
      <c r="G1633" s="5">
        <v>3000000</v>
      </c>
      <c r="H1633" s="5">
        <v>5500000</v>
      </c>
      <c r="I1633" s="5">
        <v>5800000</v>
      </c>
      <c r="J1633" s="5">
        <v>55500000</v>
      </c>
      <c r="K1633" s="5">
        <v>58500000</v>
      </c>
      <c r="L1633" s="3">
        <v>0.97916666666666663</v>
      </c>
    </row>
    <row r="1634" spans="1:12" x14ac:dyDescent="0.25">
      <c r="A1634" s="2">
        <v>44568</v>
      </c>
      <c r="B1634" s="2">
        <v>44743</v>
      </c>
      <c r="C1634" t="s">
        <v>21</v>
      </c>
      <c r="D1634" t="s">
        <v>1636</v>
      </c>
      <c r="E1634" s="5">
        <v>54800000</v>
      </c>
      <c r="F1634" s="5">
        <v>57800000</v>
      </c>
      <c r="G1634" s="5">
        <v>3000000</v>
      </c>
      <c r="H1634" s="5">
        <v>5480000</v>
      </c>
      <c r="I1634" s="5">
        <v>5780000</v>
      </c>
      <c r="J1634" s="5">
        <v>55300000</v>
      </c>
      <c r="K1634" s="5">
        <v>58300000</v>
      </c>
      <c r="L1634" s="3">
        <v>0.97916666666666663</v>
      </c>
    </row>
    <row r="1635" spans="1:12" x14ac:dyDescent="0.25">
      <c r="A1635" s="2">
        <v>44688</v>
      </c>
      <c r="B1635" s="2">
        <v>44747</v>
      </c>
      <c r="C1635" t="s">
        <v>18</v>
      </c>
      <c r="D1635" t="s">
        <v>1636</v>
      </c>
      <c r="E1635" s="5">
        <v>53600000</v>
      </c>
      <c r="F1635" s="5">
        <v>56600000</v>
      </c>
      <c r="G1635" s="5">
        <v>3000000</v>
      </c>
      <c r="H1635" s="5">
        <v>5360000</v>
      </c>
      <c r="I1635" s="5">
        <v>5660000</v>
      </c>
      <c r="J1635" s="5">
        <v>54100000</v>
      </c>
      <c r="K1635" s="5">
        <v>57100000</v>
      </c>
      <c r="L1635" s="3">
        <v>0.97916666666666663</v>
      </c>
    </row>
    <row r="1636" spans="1:12" x14ac:dyDescent="0.25">
      <c r="A1636" s="2">
        <v>44719</v>
      </c>
      <c r="B1636" s="2">
        <v>44748</v>
      </c>
      <c r="C1636" t="s">
        <v>19</v>
      </c>
      <c r="D1636" t="s">
        <v>1636</v>
      </c>
      <c r="E1636" s="5">
        <v>52800000</v>
      </c>
      <c r="F1636" s="5">
        <v>55800000</v>
      </c>
      <c r="G1636" s="5">
        <v>3000000</v>
      </c>
      <c r="H1636" s="5">
        <v>5280000</v>
      </c>
      <c r="I1636" s="5">
        <v>5580000</v>
      </c>
      <c r="J1636" s="5">
        <v>53300000</v>
      </c>
      <c r="K1636" s="5">
        <v>56300000</v>
      </c>
      <c r="L1636" s="3">
        <v>0.97916666666666663</v>
      </c>
    </row>
    <row r="1637" spans="1:12" x14ac:dyDescent="0.25">
      <c r="A1637" s="2">
        <v>44749</v>
      </c>
      <c r="B1637" s="2">
        <v>44749</v>
      </c>
      <c r="C1637" t="s">
        <v>20</v>
      </c>
      <c r="D1637" t="s">
        <v>1636</v>
      </c>
      <c r="E1637" s="5">
        <v>52900000</v>
      </c>
      <c r="F1637" s="5">
        <v>55900000</v>
      </c>
      <c r="G1637" s="5">
        <v>3000000</v>
      </c>
      <c r="H1637" s="5">
        <v>5290000</v>
      </c>
      <c r="I1637" s="5">
        <v>5590000</v>
      </c>
      <c r="J1637" s="5">
        <v>53400000</v>
      </c>
      <c r="K1637" s="5">
        <v>56400000</v>
      </c>
      <c r="L1637" s="3">
        <v>0.97916666666666663</v>
      </c>
    </row>
    <row r="1638" spans="1:12" x14ac:dyDescent="0.25">
      <c r="A1638" s="2">
        <v>44780</v>
      </c>
      <c r="B1638" s="2">
        <v>44750</v>
      </c>
      <c r="C1638" t="s">
        <v>21</v>
      </c>
      <c r="D1638" t="s">
        <v>1636</v>
      </c>
      <c r="E1638" s="5">
        <v>52900000</v>
      </c>
      <c r="F1638" s="5">
        <v>55900000</v>
      </c>
      <c r="G1638" s="5">
        <v>3000000</v>
      </c>
      <c r="H1638" s="5">
        <v>5290000</v>
      </c>
      <c r="I1638" s="5">
        <v>5590000</v>
      </c>
      <c r="J1638" s="5">
        <v>53400000</v>
      </c>
      <c r="K1638" s="5">
        <v>56400000</v>
      </c>
      <c r="L1638" s="3">
        <v>0.97916666666666663</v>
      </c>
    </row>
    <row r="1639" spans="1:12" x14ac:dyDescent="0.25">
      <c r="A1639" s="2">
        <v>44872</v>
      </c>
      <c r="B1639" s="2">
        <v>44753</v>
      </c>
      <c r="C1639" t="s">
        <v>16</v>
      </c>
      <c r="D1639" t="s">
        <v>1636</v>
      </c>
      <c r="E1639" s="5">
        <v>52600000</v>
      </c>
      <c r="F1639" s="5">
        <v>55600000</v>
      </c>
      <c r="G1639" s="5">
        <v>3000000</v>
      </c>
      <c r="H1639" s="5">
        <v>5260000</v>
      </c>
      <c r="I1639" s="5">
        <v>5560000</v>
      </c>
      <c r="J1639" s="5">
        <v>53100000</v>
      </c>
      <c r="K1639" s="5">
        <v>56100000</v>
      </c>
      <c r="L1639" s="3">
        <v>0.97916666666666663</v>
      </c>
    </row>
    <row r="1640" spans="1:12" x14ac:dyDescent="0.25">
      <c r="A1640" s="2">
        <v>44902</v>
      </c>
      <c r="B1640" s="2">
        <v>44754</v>
      </c>
      <c r="C1640" t="s">
        <v>18</v>
      </c>
      <c r="D1640" t="s">
        <v>1636</v>
      </c>
      <c r="E1640" s="5">
        <v>52400000</v>
      </c>
      <c r="F1640" s="5">
        <v>55400000</v>
      </c>
      <c r="G1640" s="5">
        <v>3000000</v>
      </c>
      <c r="H1640" s="5">
        <v>5240000</v>
      </c>
      <c r="I1640" s="5">
        <v>5540000</v>
      </c>
      <c r="J1640" s="5">
        <v>52900000</v>
      </c>
      <c r="K1640" s="5">
        <v>55900000</v>
      </c>
      <c r="L1640" s="3">
        <v>0.97916666666666663</v>
      </c>
    </row>
    <row r="1641" spans="1:12" x14ac:dyDescent="0.25">
      <c r="A1641" t="s">
        <v>1009</v>
      </c>
      <c r="B1641" s="2">
        <v>44755</v>
      </c>
      <c r="C1641" t="s">
        <v>19</v>
      </c>
      <c r="D1641" t="s">
        <v>1636</v>
      </c>
      <c r="E1641" s="5">
        <v>52700000</v>
      </c>
      <c r="F1641" s="5">
        <v>55700000</v>
      </c>
      <c r="G1641" s="5">
        <v>3000000</v>
      </c>
      <c r="H1641" s="5">
        <v>5270000</v>
      </c>
      <c r="I1641" s="5">
        <v>5570000</v>
      </c>
      <c r="J1641" s="5">
        <v>53200000</v>
      </c>
      <c r="K1641" s="5">
        <v>56200000</v>
      </c>
      <c r="L1641" s="3">
        <v>0.97916666666666663</v>
      </c>
    </row>
    <row r="1642" spans="1:12" x14ac:dyDescent="0.25">
      <c r="A1642" t="s">
        <v>1010</v>
      </c>
      <c r="B1642" s="2">
        <v>44756</v>
      </c>
      <c r="C1642" t="s">
        <v>20</v>
      </c>
      <c r="D1642" t="s">
        <v>1636</v>
      </c>
      <c r="E1642" s="5">
        <v>51800000</v>
      </c>
      <c r="F1642" s="5">
        <v>54800000</v>
      </c>
      <c r="G1642" s="5">
        <v>3000000</v>
      </c>
      <c r="H1642" s="5">
        <v>5180000</v>
      </c>
      <c r="I1642" s="5">
        <v>5480000</v>
      </c>
      <c r="J1642" s="5">
        <v>52300000</v>
      </c>
      <c r="K1642" s="5">
        <v>55300000</v>
      </c>
      <c r="L1642" s="3">
        <v>0.97916666666666663</v>
      </c>
    </row>
    <row r="1643" spans="1:12" x14ac:dyDescent="0.25">
      <c r="A1643" t="s">
        <v>1011</v>
      </c>
      <c r="B1643" s="2">
        <v>44757</v>
      </c>
      <c r="C1643" t="s">
        <v>21</v>
      </c>
      <c r="D1643" t="s">
        <v>1636</v>
      </c>
      <c r="E1643" s="5">
        <v>51700000</v>
      </c>
      <c r="F1643" s="5">
        <v>54700000</v>
      </c>
      <c r="G1643" s="5">
        <v>3000000</v>
      </c>
      <c r="H1643" s="5">
        <v>5170000</v>
      </c>
      <c r="I1643" s="5">
        <v>5470000</v>
      </c>
      <c r="J1643" s="5">
        <v>52200000</v>
      </c>
      <c r="K1643" s="5">
        <v>55200000</v>
      </c>
      <c r="L1643" s="3">
        <v>0.97916666666666663</v>
      </c>
    </row>
    <row r="1644" spans="1:12" x14ac:dyDescent="0.25">
      <c r="A1644" t="s">
        <v>1012</v>
      </c>
      <c r="B1644" s="2">
        <v>44760</v>
      </c>
      <c r="C1644" t="s">
        <v>16</v>
      </c>
      <c r="D1644" t="s">
        <v>1636</v>
      </c>
      <c r="E1644" s="5">
        <v>51900000</v>
      </c>
      <c r="F1644" s="5">
        <v>54900000</v>
      </c>
      <c r="G1644" s="5">
        <v>3000000</v>
      </c>
      <c r="H1644" s="5">
        <v>5190000</v>
      </c>
      <c r="I1644" s="5">
        <v>5490000</v>
      </c>
      <c r="J1644" s="5">
        <v>52400000</v>
      </c>
      <c r="K1644" s="5">
        <v>55400000</v>
      </c>
      <c r="L1644" s="3">
        <v>0.97916666666666663</v>
      </c>
    </row>
    <row r="1645" spans="1:12" x14ac:dyDescent="0.25">
      <c r="A1645" t="s">
        <v>1013</v>
      </c>
      <c r="B1645" s="2">
        <v>44761</v>
      </c>
      <c r="C1645" t="s">
        <v>18</v>
      </c>
      <c r="D1645" t="s">
        <v>1636</v>
      </c>
      <c r="E1645" s="5">
        <v>52000000</v>
      </c>
      <c r="F1645" s="5">
        <v>55000000</v>
      </c>
      <c r="G1645" s="5">
        <v>3000000</v>
      </c>
      <c r="H1645" s="5">
        <v>5200000</v>
      </c>
      <c r="I1645" s="5">
        <v>5500000</v>
      </c>
      <c r="J1645" s="5">
        <v>52500000</v>
      </c>
      <c r="K1645" s="5">
        <v>55500000</v>
      </c>
      <c r="L1645" s="3">
        <v>0.97916666666666663</v>
      </c>
    </row>
    <row r="1646" spans="1:12" x14ac:dyDescent="0.25">
      <c r="A1646" t="s">
        <v>1014</v>
      </c>
      <c r="B1646" s="2">
        <v>44762</v>
      </c>
      <c r="C1646" t="s">
        <v>19</v>
      </c>
      <c r="D1646" t="s">
        <v>1636</v>
      </c>
      <c r="E1646" s="5">
        <v>51600000</v>
      </c>
      <c r="F1646" s="5">
        <v>54600000</v>
      </c>
      <c r="G1646" s="5">
        <v>3000000</v>
      </c>
      <c r="H1646" s="5">
        <v>5160000</v>
      </c>
      <c r="I1646" s="5">
        <v>5460000</v>
      </c>
      <c r="J1646" s="5">
        <v>52100000</v>
      </c>
      <c r="K1646" s="5">
        <v>55100000</v>
      </c>
      <c r="L1646" s="3">
        <v>0.97916666666666663</v>
      </c>
    </row>
    <row r="1647" spans="1:12" x14ac:dyDescent="0.25">
      <c r="A1647" t="s">
        <v>1015</v>
      </c>
      <c r="B1647" s="2">
        <v>44763</v>
      </c>
      <c r="C1647" t="s">
        <v>20</v>
      </c>
      <c r="D1647" t="s">
        <v>1636</v>
      </c>
      <c r="E1647" s="5">
        <v>52000000</v>
      </c>
      <c r="F1647" s="5">
        <v>55000000</v>
      </c>
      <c r="G1647" s="5">
        <v>3000000</v>
      </c>
      <c r="H1647" s="5">
        <v>5200000</v>
      </c>
      <c r="I1647" s="5">
        <v>5500000</v>
      </c>
      <c r="J1647" s="5">
        <v>52500000</v>
      </c>
      <c r="K1647" s="5">
        <v>55500000</v>
      </c>
      <c r="L1647" s="3">
        <v>0.97916666666666663</v>
      </c>
    </row>
    <row r="1648" spans="1:12" x14ac:dyDescent="0.25">
      <c r="A1648" t="s">
        <v>1016</v>
      </c>
      <c r="B1648" s="2">
        <v>44764</v>
      </c>
      <c r="C1648" t="s">
        <v>21</v>
      </c>
      <c r="D1648" t="s">
        <v>1636</v>
      </c>
      <c r="E1648" s="5">
        <v>52500000</v>
      </c>
      <c r="F1648" s="5">
        <v>55500000</v>
      </c>
      <c r="G1648" s="5">
        <v>3000000</v>
      </c>
      <c r="H1648" s="5">
        <v>5250000</v>
      </c>
      <c r="I1648" s="5">
        <v>5550000</v>
      </c>
      <c r="J1648" s="5">
        <v>53000000</v>
      </c>
      <c r="K1648" s="5">
        <v>56000000</v>
      </c>
      <c r="L1648" s="3">
        <v>0.97916666666666663</v>
      </c>
    </row>
    <row r="1649" spans="1:12" x14ac:dyDescent="0.25">
      <c r="A1649" t="s">
        <v>1017</v>
      </c>
      <c r="B1649" s="2">
        <v>44767</v>
      </c>
      <c r="C1649" t="s">
        <v>16</v>
      </c>
      <c r="D1649" t="s">
        <v>1636</v>
      </c>
      <c r="E1649" s="5">
        <v>52200000</v>
      </c>
      <c r="F1649" s="5">
        <v>55200000</v>
      </c>
      <c r="G1649" s="5">
        <v>3000000</v>
      </c>
      <c r="H1649" s="5">
        <v>5220000</v>
      </c>
      <c r="I1649" s="5">
        <v>5520000</v>
      </c>
      <c r="J1649" s="5">
        <v>52700000</v>
      </c>
      <c r="K1649" s="5">
        <v>55700000</v>
      </c>
      <c r="L1649" s="3">
        <v>0.97916666666666663</v>
      </c>
    </row>
    <row r="1650" spans="1:12" x14ac:dyDescent="0.25">
      <c r="A1650" t="s">
        <v>1018</v>
      </c>
      <c r="B1650" s="2">
        <v>44768</v>
      </c>
      <c r="C1650" t="s">
        <v>18</v>
      </c>
      <c r="D1650" t="s">
        <v>1636</v>
      </c>
      <c r="E1650" s="5">
        <v>52200000</v>
      </c>
      <c r="F1650" s="5">
        <v>55200000</v>
      </c>
      <c r="G1650" s="5">
        <v>3000000</v>
      </c>
      <c r="H1650" s="5">
        <v>5220000</v>
      </c>
      <c r="I1650" s="5">
        <v>5520000</v>
      </c>
      <c r="J1650" s="5">
        <v>52700000</v>
      </c>
      <c r="K1650" s="5">
        <v>55700000</v>
      </c>
      <c r="L1650" s="3">
        <v>0.97916666666666663</v>
      </c>
    </row>
    <row r="1651" spans="1:12" x14ac:dyDescent="0.25">
      <c r="A1651" t="s">
        <v>1019</v>
      </c>
      <c r="B1651" s="2">
        <v>44769</v>
      </c>
      <c r="C1651" t="s">
        <v>19</v>
      </c>
      <c r="D1651" t="s">
        <v>1636</v>
      </c>
      <c r="E1651" s="5">
        <v>52200000</v>
      </c>
      <c r="F1651" s="5">
        <v>55200000</v>
      </c>
      <c r="G1651" s="5">
        <v>3000000</v>
      </c>
      <c r="H1651" s="5">
        <v>5220000</v>
      </c>
      <c r="I1651" s="5">
        <v>5520000</v>
      </c>
      <c r="J1651" s="5">
        <v>52700000</v>
      </c>
      <c r="K1651" s="5">
        <v>55700000</v>
      </c>
      <c r="L1651" s="3">
        <v>0.97916666666666663</v>
      </c>
    </row>
    <row r="1652" spans="1:12" x14ac:dyDescent="0.25">
      <c r="A1652" t="s">
        <v>1020</v>
      </c>
      <c r="B1652" s="2">
        <v>44770</v>
      </c>
      <c r="C1652" t="s">
        <v>20</v>
      </c>
      <c r="D1652" t="s">
        <v>1636</v>
      </c>
      <c r="E1652" s="5">
        <v>53300000</v>
      </c>
      <c r="F1652" s="5">
        <v>56300000</v>
      </c>
      <c r="G1652" s="5">
        <v>3000000</v>
      </c>
      <c r="H1652" s="5">
        <v>5330000</v>
      </c>
      <c r="I1652" s="5">
        <v>5630000</v>
      </c>
      <c r="J1652" s="5">
        <v>53800000</v>
      </c>
      <c r="K1652" s="5">
        <v>56800000</v>
      </c>
      <c r="L1652" s="3">
        <v>0.97916666666666663</v>
      </c>
    </row>
    <row r="1653" spans="1:12" x14ac:dyDescent="0.25">
      <c r="A1653" t="s">
        <v>1021</v>
      </c>
      <c r="B1653" s="2">
        <v>44771</v>
      </c>
      <c r="C1653" t="s">
        <v>21</v>
      </c>
      <c r="D1653" t="s">
        <v>1636</v>
      </c>
      <c r="E1653" s="5">
        <v>53700000</v>
      </c>
      <c r="F1653" s="5">
        <v>56700000</v>
      </c>
      <c r="G1653" s="5">
        <v>3000000</v>
      </c>
      <c r="H1653" s="5">
        <v>5370000</v>
      </c>
      <c r="I1653" s="5">
        <v>5670000</v>
      </c>
      <c r="J1653" s="5">
        <v>54200000</v>
      </c>
      <c r="K1653" s="5">
        <v>57200000</v>
      </c>
      <c r="L1653" s="3">
        <v>0.97916666666666663</v>
      </c>
    </row>
    <row r="1654" spans="1:12" x14ac:dyDescent="0.25">
      <c r="A1654" s="2">
        <v>44569</v>
      </c>
      <c r="B1654" s="2">
        <v>44774</v>
      </c>
      <c r="C1654" t="s">
        <v>16</v>
      </c>
      <c r="D1654" t="s">
        <v>1636</v>
      </c>
      <c r="E1654" s="5">
        <v>53900000</v>
      </c>
      <c r="F1654" s="5">
        <v>56900000</v>
      </c>
      <c r="G1654" s="5">
        <v>3000000</v>
      </c>
      <c r="H1654" s="5">
        <v>5390000</v>
      </c>
      <c r="I1654" s="5">
        <v>5690000</v>
      </c>
      <c r="J1654" s="5">
        <v>54400000</v>
      </c>
      <c r="K1654" s="5">
        <v>57400000</v>
      </c>
      <c r="L1654" s="3">
        <v>0.97916666666666663</v>
      </c>
    </row>
    <row r="1655" spans="1:12" x14ac:dyDescent="0.25">
      <c r="A1655" s="2">
        <v>44600</v>
      </c>
      <c r="B1655" s="2">
        <v>44775</v>
      </c>
      <c r="C1655" t="s">
        <v>18</v>
      </c>
      <c r="D1655" t="s">
        <v>1636</v>
      </c>
      <c r="E1655" s="5">
        <v>53900000</v>
      </c>
      <c r="F1655" s="5">
        <v>56900000</v>
      </c>
      <c r="G1655" s="5">
        <v>3000000</v>
      </c>
      <c r="H1655" s="5">
        <v>5390000</v>
      </c>
      <c r="I1655" s="5">
        <v>5690000</v>
      </c>
      <c r="J1655" s="5">
        <v>54400000</v>
      </c>
      <c r="K1655" s="5">
        <v>57400000</v>
      </c>
      <c r="L1655" s="3">
        <v>0.97916666666666663</v>
      </c>
    </row>
    <row r="1656" spans="1:12" x14ac:dyDescent="0.25">
      <c r="A1656" s="2">
        <v>44628</v>
      </c>
      <c r="B1656" s="2">
        <v>44776</v>
      </c>
      <c r="C1656" t="s">
        <v>19</v>
      </c>
      <c r="D1656" t="s">
        <v>1636</v>
      </c>
      <c r="E1656" s="5">
        <v>53500000</v>
      </c>
      <c r="F1656" s="5">
        <v>56500000</v>
      </c>
      <c r="G1656" s="5">
        <v>3000000</v>
      </c>
      <c r="H1656" s="5">
        <v>5350000</v>
      </c>
      <c r="I1656" s="5">
        <v>5650000</v>
      </c>
      <c r="J1656" s="5">
        <v>54000000</v>
      </c>
      <c r="K1656" s="5">
        <v>57000000</v>
      </c>
      <c r="L1656" s="3">
        <v>0.97916666666666663</v>
      </c>
    </row>
    <row r="1657" spans="1:12" x14ac:dyDescent="0.25">
      <c r="A1657" s="2">
        <v>44659</v>
      </c>
      <c r="B1657" s="2">
        <v>44777</v>
      </c>
      <c r="C1657" t="s">
        <v>20</v>
      </c>
      <c r="D1657" t="s">
        <v>1636</v>
      </c>
      <c r="E1657" s="5">
        <v>54500000</v>
      </c>
      <c r="F1657" s="5">
        <v>57500000</v>
      </c>
      <c r="G1657" s="5">
        <v>3000000</v>
      </c>
      <c r="H1657" s="5">
        <v>5450000</v>
      </c>
      <c r="I1657" s="5">
        <v>5750000</v>
      </c>
      <c r="J1657" s="5">
        <v>55000000</v>
      </c>
      <c r="K1657" s="5">
        <v>58000000</v>
      </c>
      <c r="L1657" s="3">
        <v>0.97916666666666663</v>
      </c>
    </row>
    <row r="1658" spans="1:12" x14ac:dyDescent="0.25">
      <c r="A1658" s="2">
        <v>44689</v>
      </c>
      <c r="B1658" s="2">
        <v>44778</v>
      </c>
      <c r="C1658" t="s">
        <v>21</v>
      </c>
      <c r="D1658" t="s">
        <v>1636</v>
      </c>
      <c r="E1658" s="5">
        <v>54000000</v>
      </c>
      <c r="F1658" s="5">
        <v>57000000</v>
      </c>
      <c r="G1658" s="5">
        <v>3000000</v>
      </c>
      <c r="H1658" s="5">
        <v>5400000</v>
      </c>
      <c r="I1658" s="5">
        <v>5700000</v>
      </c>
      <c r="J1658" s="5">
        <v>54500000</v>
      </c>
      <c r="K1658" s="5">
        <v>57500000</v>
      </c>
      <c r="L1658" s="3">
        <v>0.97916666666666663</v>
      </c>
    </row>
    <row r="1659" spans="1:12" x14ac:dyDescent="0.25">
      <c r="A1659" s="2">
        <v>44781</v>
      </c>
      <c r="B1659" s="2">
        <v>44781</v>
      </c>
      <c r="C1659" t="s">
        <v>16</v>
      </c>
      <c r="D1659" t="s">
        <v>1636</v>
      </c>
      <c r="E1659" s="5">
        <v>54400000</v>
      </c>
      <c r="F1659" s="5">
        <v>57400000</v>
      </c>
      <c r="G1659" s="5">
        <v>3000000</v>
      </c>
      <c r="H1659" s="5">
        <v>5440000</v>
      </c>
      <c r="I1659" s="5">
        <v>5740000</v>
      </c>
      <c r="J1659" s="5">
        <v>54900000</v>
      </c>
      <c r="K1659" s="5">
        <v>57900000</v>
      </c>
      <c r="L1659" s="3">
        <v>0.97916666666666663</v>
      </c>
    </row>
    <row r="1660" spans="1:12" x14ac:dyDescent="0.25">
      <c r="A1660" s="2">
        <v>44812</v>
      </c>
      <c r="B1660" s="2">
        <v>44782</v>
      </c>
      <c r="C1660" t="s">
        <v>18</v>
      </c>
      <c r="D1660" t="s">
        <v>1636</v>
      </c>
      <c r="E1660" s="5">
        <v>54700000</v>
      </c>
      <c r="F1660" s="5">
        <v>57700000</v>
      </c>
      <c r="G1660" s="5">
        <v>3000000</v>
      </c>
      <c r="H1660" s="5">
        <v>5470000</v>
      </c>
      <c r="I1660" s="5">
        <v>5770000</v>
      </c>
      <c r="J1660" s="5">
        <v>55200000</v>
      </c>
      <c r="K1660" s="5">
        <v>58200000</v>
      </c>
      <c r="L1660" s="3">
        <v>0.97916666666666663</v>
      </c>
    </row>
    <row r="1661" spans="1:12" x14ac:dyDescent="0.25">
      <c r="A1661" s="2">
        <v>44842</v>
      </c>
      <c r="B1661" s="2">
        <v>44783</v>
      </c>
      <c r="C1661" t="s">
        <v>19</v>
      </c>
      <c r="D1661" t="s">
        <v>1636</v>
      </c>
      <c r="E1661" s="5">
        <v>54700000</v>
      </c>
      <c r="F1661" s="5">
        <v>57700000</v>
      </c>
      <c r="G1661" s="5">
        <v>3000000</v>
      </c>
      <c r="H1661" s="5">
        <v>5470000</v>
      </c>
      <c r="I1661" s="5">
        <v>5770000</v>
      </c>
      <c r="J1661" s="5">
        <v>55200000</v>
      </c>
      <c r="K1661" s="5">
        <v>58200000</v>
      </c>
      <c r="L1661" s="3">
        <v>0.97916666666666663</v>
      </c>
    </row>
    <row r="1662" spans="1:12" x14ac:dyDescent="0.25">
      <c r="A1662" s="2">
        <v>44873</v>
      </c>
      <c r="B1662" s="2">
        <v>44784</v>
      </c>
      <c r="C1662" t="s">
        <v>20</v>
      </c>
      <c r="D1662" t="s">
        <v>1636</v>
      </c>
      <c r="E1662" s="5">
        <v>54500000</v>
      </c>
      <c r="F1662" s="5">
        <v>57500000</v>
      </c>
      <c r="G1662" s="5">
        <v>3000000</v>
      </c>
      <c r="H1662" s="5">
        <v>5450000</v>
      </c>
      <c r="I1662" s="5">
        <v>5750000</v>
      </c>
      <c r="J1662" s="5">
        <v>55000000</v>
      </c>
      <c r="K1662" s="5">
        <v>58000000</v>
      </c>
      <c r="L1662" s="3">
        <v>0.97916666666666663</v>
      </c>
    </row>
    <row r="1663" spans="1:12" x14ac:dyDescent="0.25">
      <c r="A1663" s="2">
        <v>44903</v>
      </c>
      <c r="B1663" s="2">
        <v>44785</v>
      </c>
      <c r="C1663" t="s">
        <v>21</v>
      </c>
      <c r="D1663" t="s">
        <v>1636</v>
      </c>
      <c r="E1663" s="5">
        <v>54800000</v>
      </c>
      <c r="F1663" s="5">
        <v>57800000</v>
      </c>
      <c r="G1663" s="5">
        <v>3000000</v>
      </c>
      <c r="H1663" s="5">
        <v>5480000</v>
      </c>
      <c r="I1663" s="5">
        <v>5780000</v>
      </c>
      <c r="J1663" s="5">
        <v>55300000</v>
      </c>
      <c r="K1663" s="5">
        <v>58300000</v>
      </c>
      <c r="L1663" s="3">
        <v>0.97916666666666663</v>
      </c>
    </row>
    <row r="1664" spans="1:12" x14ac:dyDescent="0.25">
      <c r="A1664" t="s">
        <v>1022</v>
      </c>
      <c r="B1664" s="2">
        <v>44788</v>
      </c>
      <c r="C1664" t="s">
        <v>16</v>
      </c>
      <c r="D1664" t="s">
        <v>1636</v>
      </c>
      <c r="E1664" s="5">
        <v>54300000</v>
      </c>
      <c r="F1664" s="5">
        <v>57300000</v>
      </c>
      <c r="G1664" s="5">
        <v>3000000</v>
      </c>
      <c r="H1664" s="5">
        <v>5430000</v>
      </c>
      <c r="I1664" s="5">
        <v>5730000</v>
      </c>
      <c r="J1664" s="5">
        <v>54800000</v>
      </c>
      <c r="K1664" s="5">
        <v>57800000</v>
      </c>
      <c r="L1664" s="3">
        <v>0.97916666666666663</v>
      </c>
    </row>
    <row r="1665" spans="1:12" x14ac:dyDescent="0.25">
      <c r="A1665" t="s">
        <v>1023</v>
      </c>
      <c r="B1665" s="2">
        <v>44789</v>
      </c>
      <c r="C1665" t="s">
        <v>18</v>
      </c>
      <c r="D1665" t="s">
        <v>1636</v>
      </c>
      <c r="E1665" s="5">
        <v>54000000</v>
      </c>
      <c r="F1665" s="5">
        <v>57000000</v>
      </c>
      <c r="G1665" s="5">
        <v>3000000</v>
      </c>
      <c r="H1665" s="5">
        <v>5400000</v>
      </c>
      <c r="I1665" s="5">
        <v>5700000</v>
      </c>
      <c r="J1665" s="5">
        <v>54500000</v>
      </c>
      <c r="K1665" s="5">
        <v>57500000</v>
      </c>
      <c r="L1665" s="3">
        <v>0.97916666666666663</v>
      </c>
    </row>
    <row r="1666" spans="1:12" x14ac:dyDescent="0.25">
      <c r="A1666" t="s">
        <v>1024</v>
      </c>
      <c r="B1666" s="2">
        <v>44790</v>
      </c>
      <c r="C1666" t="s">
        <v>19</v>
      </c>
      <c r="D1666" t="s">
        <v>1636</v>
      </c>
      <c r="E1666" s="5">
        <v>53600000</v>
      </c>
      <c r="F1666" s="5">
        <v>56600000</v>
      </c>
      <c r="G1666" s="5">
        <v>3000000</v>
      </c>
      <c r="H1666" s="5">
        <v>5360000</v>
      </c>
      <c r="I1666" s="5">
        <v>5660000</v>
      </c>
      <c r="J1666" s="5">
        <v>54100000</v>
      </c>
      <c r="K1666" s="5">
        <v>57100000</v>
      </c>
      <c r="L1666" s="3">
        <v>0.97916666666666663</v>
      </c>
    </row>
    <row r="1667" spans="1:12" x14ac:dyDescent="0.25">
      <c r="A1667" t="s">
        <v>1025</v>
      </c>
      <c r="B1667" s="2">
        <v>44791</v>
      </c>
      <c r="C1667" t="s">
        <v>20</v>
      </c>
      <c r="D1667" t="s">
        <v>1636</v>
      </c>
      <c r="E1667" s="5">
        <v>53400000</v>
      </c>
      <c r="F1667" s="5">
        <v>56400000</v>
      </c>
      <c r="G1667" s="5">
        <v>3000000</v>
      </c>
      <c r="H1667" s="5">
        <v>5340000</v>
      </c>
      <c r="I1667" s="5">
        <v>5640000</v>
      </c>
      <c r="J1667" s="5">
        <v>53900000</v>
      </c>
      <c r="K1667" s="5">
        <v>56900000</v>
      </c>
      <c r="L1667" s="3">
        <v>0.97916666666666663</v>
      </c>
    </row>
    <row r="1668" spans="1:12" x14ac:dyDescent="0.25">
      <c r="A1668" t="s">
        <v>1026</v>
      </c>
      <c r="B1668" s="2">
        <v>44792</v>
      </c>
      <c r="C1668" t="s">
        <v>21</v>
      </c>
      <c r="D1668" t="s">
        <v>1636</v>
      </c>
      <c r="E1668" s="5">
        <v>53200000</v>
      </c>
      <c r="F1668" s="5">
        <v>56200000</v>
      </c>
      <c r="G1668" s="5">
        <v>3000000</v>
      </c>
      <c r="H1668" s="5">
        <v>5320000</v>
      </c>
      <c r="I1668" s="5">
        <v>5620000</v>
      </c>
      <c r="J1668" s="5">
        <v>53700000</v>
      </c>
      <c r="K1668" s="5">
        <v>56700000</v>
      </c>
      <c r="L1668" s="3">
        <v>0.97916666666666663</v>
      </c>
    </row>
    <row r="1669" spans="1:12" x14ac:dyDescent="0.25">
      <c r="A1669" t="s">
        <v>1027</v>
      </c>
      <c r="B1669" s="2">
        <v>44795</v>
      </c>
      <c r="C1669" t="s">
        <v>16</v>
      </c>
      <c r="D1669" t="s">
        <v>1636</v>
      </c>
      <c r="E1669" s="5">
        <v>52700000</v>
      </c>
      <c r="F1669" s="5">
        <v>55700000</v>
      </c>
      <c r="G1669" s="5">
        <v>3000000</v>
      </c>
      <c r="H1669" s="5">
        <v>5270000</v>
      </c>
      <c r="I1669" s="5">
        <v>5570000</v>
      </c>
      <c r="J1669" s="5">
        <v>53200000</v>
      </c>
      <c r="K1669" s="5">
        <v>56200000</v>
      </c>
      <c r="L1669" s="3">
        <v>0.97916666666666663</v>
      </c>
    </row>
    <row r="1670" spans="1:12" x14ac:dyDescent="0.25">
      <c r="A1670" t="s">
        <v>1028</v>
      </c>
      <c r="B1670" s="2">
        <v>44796</v>
      </c>
      <c r="C1670" t="s">
        <v>18</v>
      </c>
      <c r="D1670" t="s">
        <v>1636</v>
      </c>
      <c r="E1670" s="5">
        <v>53100000</v>
      </c>
      <c r="F1670" s="5">
        <v>56100000</v>
      </c>
      <c r="G1670" s="5">
        <v>3000000</v>
      </c>
      <c r="H1670" s="5">
        <v>5310000</v>
      </c>
      <c r="I1670" s="5">
        <v>5610000</v>
      </c>
      <c r="J1670" s="5">
        <v>53600000</v>
      </c>
      <c r="K1670" s="5">
        <v>56600000</v>
      </c>
      <c r="L1670" s="3">
        <v>0.97916666666666663</v>
      </c>
    </row>
    <row r="1671" spans="1:12" x14ac:dyDescent="0.25">
      <c r="A1671" t="s">
        <v>1029</v>
      </c>
      <c r="B1671" s="2">
        <v>44797</v>
      </c>
      <c r="C1671" t="s">
        <v>19</v>
      </c>
      <c r="D1671" t="s">
        <v>1636</v>
      </c>
      <c r="E1671" s="5">
        <v>53200000</v>
      </c>
      <c r="F1671" s="5">
        <v>56200000</v>
      </c>
      <c r="G1671" s="5">
        <v>3000000</v>
      </c>
      <c r="H1671" s="5">
        <v>5320000</v>
      </c>
      <c r="I1671" s="5">
        <v>5620000</v>
      </c>
      <c r="J1671" s="5">
        <v>53700000</v>
      </c>
      <c r="K1671" s="5">
        <v>56700000</v>
      </c>
      <c r="L1671" s="3">
        <v>0.97916666666666663</v>
      </c>
    </row>
    <row r="1672" spans="1:12" x14ac:dyDescent="0.25">
      <c r="A1672" t="s">
        <v>1030</v>
      </c>
      <c r="B1672" s="2">
        <v>44798</v>
      </c>
      <c r="C1672" t="s">
        <v>20</v>
      </c>
      <c r="D1672" t="s">
        <v>1636</v>
      </c>
      <c r="E1672" s="5">
        <v>53500000</v>
      </c>
      <c r="F1672" s="5">
        <v>56500000</v>
      </c>
      <c r="G1672" s="5">
        <v>3000000</v>
      </c>
      <c r="H1672" s="5">
        <v>5350000</v>
      </c>
      <c r="I1672" s="5">
        <v>5650000</v>
      </c>
      <c r="J1672" s="5">
        <v>54000000</v>
      </c>
      <c r="K1672" s="5">
        <v>57000000</v>
      </c>
      <c r="L1672" s="3">
        <v>0.97916666666666663</v>
      </c>
    </row>
    <row r="1673" spans="1:12" x14ac:dyDescent="0.25">
      <c r="A1673" t="s">
        <v>1031</v>
      </c>
      <c r="B1673" s="2">
        <v>44799</v>
      </c>
      <c r="C1673" t="s">
        <v>21</v>
      </c>
      <c r="D1673" t="s">
        <v>1636</v>
      </c>
      <c r="E1673" s="5">
        <v>52800000</v>
      </c>
      <c r="F1673" s="5">
        <v>55800000</v>
      </c>
      <c r="G1673" s="5">
        <v>3000000</v>
      </c>
      <c r="H1673" s="5">
        <v>5280000</v>
      </c>
      <c r="I1673" s="5">
        <v>5580000</v>
      </c>
      <c r="J1673" s="5">
        <v>53300000</v>
      </c>
      <c r="K1673" s="5">
        <v>56300000</v>
      </c>
      <c r="L1673" s="3">
        <v>0.97916666666666663</v>
      </c>
    </row>
    <row r="1674" spans="1:12" x14ac:dyDescent="0.25">
      <c r="A1674" t="s">
        <v>1032</v>
      </c>
      <c r="B1674" s="2">
        <v>44802</v>
      </c>
      <c r="C1674" t="s">
        <v>16</v>
      </c>
      <c r="D1674" t="s">
        <v>1636</v>
      </c>
      <c r="E1674" s="5">
        <v>52800000</v>
      </c>
      <c r="F1674" s="5">
        <v>55800000</v>
      </c>
      <c r="G1674" s="5">
        <v>3000000</v>
      </c>
      <c r="H1674" s="5">
        <v>5280000</v>
      </c>
      <c r="I1674" s="5">
        <v>5580000</v>
      </c>
      <c r="J1674" s="5">
        <v>53300000</v>
      </c>
      <c r="K1674" s="5">
        <v>56300000</v>
      </c>
      <c r="L1674" s="3">
        <v>0.97916666666666663</v>
      </c>
    </row>
    <row r="1675" spans="1:12" x14ac:dyDescent="0.25">
      <c r="A1675" t="s">
        <v>1033</v>
      </c>
      <c r="B1675" s="2">
        <v>44803</v>
      </c>
      <c r="C1675" t="s">
        <v>18</v>
      </c>
      <c r="D1675" t="s">
        <v>1636</v>
      </c>
      <c r="E1675" s="5">
        <v>52400000</v>
      </c>
      <c r="F1675" s="5">
        <v>55400000</v>
      </c>
      <c r="G1675" s="5">
        <v>3000000</v>
      </c>
      <c r="H1675" s="5">
        <v>5240000</v>
      </c>
      <c r="I1675" s="5">
        <v>5540000</v>
      </c>
      <c r="J1675" s="5">
        <v>52900000</v>
      </c>
      <c r="K1675" s="5">
        <v>55900000</v>
      </c>
      <c r="L1675" s="3">
        <v>0.97916666666666663</v>
      </c>
    </row>
    <row r="1676" spans="1:12" x14ac:dyDescent="0.25">
      <c r="A1676" t="s">
        <v>1034</v>
      </c>
      <c r="B1676" s="2">
        <v>44804</v>
      </c>
      <c r="C1676" t="s">
        <v>19</v>
      </c>
      <c r="D1676" t="s">
        <v>1636</v>
      </c>
      <c r="E1676" s="5">
        <v>52000000</v>
      </c>
      <c r="F1676" s="5">
        <v>55000000</v>
      </c>
      <c r="G1676" s="5">
        <v>3000000</v>
      </c>
      <c r="H1676" s="5">
        <v>5200000</v>
      </c>
      <c r="I1676" s="5">
        <v>5500000</v>
      </c>
      <c r="J1676" s="5">
        <v>52500000</v>
      </c>
      <c r="K1676" s="5">
        <v>55500000</v>
      </c>
      <c r="L1676" s="3">
        <v>0.97916666666666663</v>
      </c>
    </row>
    <row r="1677" spans="1:12" x14ac:dyDescent="0.25">
      <c r="A1677" s="2">
        <v>44570</v>
      </c>
      <c r="B1677" s="2">
        <v>44805</v>
      </c>
      <c r="C1677" t="s">
        <v>20</v>
      </c>
      <c r="D1677" t="s">
        <v>1636</v>
      </c>
      <c r="E1677" s="5">
        <v>51500000</v>
      </c>
      <c r="F1677" s="5">
        <v>54500000</v>
      </c>
      <c r="G1677" s="5">
        <v>3000000</v>
      </c>
      <c r="H1677" s="5">
        <v>5150000</v>
      </c>
      <c r="I1677" s="5">
        <v>5450000</v>
      </c>
      <c r="J1677" s="5">
        <v>52000000</v>
      </c>
      <c r="K1677" s="5">
        <v>55000000</v>
      </c>
      <c r="L1677" s="3">
        <v>0.97916666666666663</v>
      </c>
    </row>
    <row r="1678" spans="1:12" x14ac:dyDescent="0.25">
      <c r="A1678" s="2">
        <v>44601</v>
      </c>
      <c r="B1678" s="2">
        <v>44806</v>
      </c>
      <c r="C1678" t="s">
        <v>21</v>
      </c>
      <c r="D1678" t="s">
        <v>1636</v>
      </c>
      <c r="E1678" s="5">
        <v>51900000</v>
      </c>
      <c r="F1678" s="5">
        <v>54900000</v>
      </c>
      <c r="G1678" s="5">
        <v>3000000</v>
      </c>
      <c r="H1678" s="5">
        <v>5190000</v>
      </c>
      <c r="I1678" s="5">
        <v>5490000</v>
      </c>
      <c r="J1678" s="5">
        <v>52400000</v>
      </c>
      <c r="K1678" s="5">
        <v>55400000</v>
      </c>
      <c r="L1678" s="3">
        <v>0.97916666666666663</v>
      </c>
    </row>
    <row r="1679" spans="1:12" x14ac:dyDescent="0.25">
      <c r="A1679" s="2">
        <v>44721</v>
      </c>
      <c r="B1679" s="2">
        <v>44810</v>
      </c>
      <c r="C1679" t="s">
        <v>18</v>
      </c>
      <c r="D1679" t="s">
        <v>1636</v>
      </c>
      <c r="E1679" s="5">
        <v>51600000</v>
      </c>
      <c r="F1679" s="5">
        <v>54600000</v>
      </c>
      <c r="G1679" s="5">
        <v>3000000</v>
      </c>
      <c r="H1679" s="5">
        <v>5160000</v>
      </c>
      <c r="I1679" s="5">
        <v>5460000</v>
      </c>
      <c r="J1679" s="5">
        <v>52100000</v>
      </c>
      <c r="K1679" s="5">
        <v>55100000</v>
      </c>
      <c r="L1679" s="3">
        <v>0.97916666666666663</v>
      </c>
    </row>
    <row r="1680" spans="1:12" x14ac:dyDescent="0.25">
      <c r="A1680" s="2">
        <v>44751</v>
      </c>
      <c r="B1680" s="2">
        <v>44811</v>
      </c>
      <c r="C1680" t="s">
        <v>19</v>
      </c>
      <c r="D1680" t="s">
        <v>1636</v>
      </c>
      <c r="E1680" s="5">
        <v>52100000</v>
      </c>
      <c r="F1680" s="5">
        <v>55100000</v>
      </c>
      <c r="G1680" s="5">
        <v>3000000</v>
      </c>
      <c r="H1680" s="5">
        <v>5210000</v>
      </c>
      <c r="I1680" s="5">
        <v>5510000</v>
      </c>
      <c r="J1680" s="5">
        <v>52600000</v>
      </c>
      <c r="K1680" s="5">
        <v>55600000</v>
      </c>
      <c r="L1680" s="3">
        <v>0.97916666666666663</v>
      </c>
    </row>
    <row r="1681" spans="1:12" x14ac:dyDescent="0.25">
      <c r="A1681" s="2">
        <v>44782</v>
      </c>
      <c r="B1681" s="2">
        <v>44812</v>
      </c>
      <c r="C1681" t="s">
        <v>20</v>
      </c>
      <c r="D1681" t="s">
        <v>1636</v>
      </c>
      <c r="E1681" s="5">
        <v>51900000</v>
      </c>
      <c r="F1681" s="5">
        <v>54900000</v>
      </c>
      <c r="G1681" s="5">
        <v>3000000</v>
      </c>
      <c r="H1681" s="5">
        <v>5190000</v>
      </c>
      <c r="I1681" s="5">
        <v>5490000</v>
      </c>
      <c r="J1681" s="5">
        <v>52400000</v>
      </c>
      <c r="K1681" s="5">
        <v>55400000</v>
      </c>
      <c r="L1681" s="3">
        <v>0.97916666666666663</v>
      </c>
    </row>
    <row r="1682" spans="1:12" x14ac:dyDescent="0.25">
      <c r="A1682" s="2">
        <v>44813</v>
      </c>
      <c r="B1682" s="2">
        <v>44813</v>
      </c>
      <c r="C1682" t="s">
        <v>21</v>
      </c>
      <c r="D1682" t="s">
        <v>1636</v>
      </c>
      <c r="E1682" s="5">
        <v>52200000</v>
      </c>
      <c r="F1682" s="5">
        <v>55200000</v>
      </c>
      <c r="G1682" s="5">
        <v>3000000</v>
      </c>
      <c r="H1682" s="5">
        <v>5220000</v>
      </c>
      <c r="I1682" s="5">
        <v>5520000</v>
      </c>
      <c r="J1682" s="5">
        <v>52700000</v>
      </c>
      <c r="K1682" s="5">
        <v>55700000</v>
      </c>
      <c r="L1682" s="3">
        <v>0.97916666666666663</v>
      </c>
    </row>
    <row r="1683" spans="1:12" x14ac:dyDescent="0.25">
      <c r="A1683" s="2">
        <v>44904</v>
      </c>
      <c r="B1683" s="2">
        <v>44816</v>
      </c>
      <c r="C1683" t="s">
        <v>16</v>
      </c>
      <c r="D1683" t="s">
        <v>1636</v>
      </c>
      <c r="E1683" s="5">
        <v>52500000</v>
      </c>
      <c r="F1683" s="5">
        <v>55500000</v>
      </c>
      <c r="G1683" s="5">
        <v>3000000</v>
      </c>
      <c r="H1683" s="5">
        <v>5250000</v>
      </c>
      <c r="I1683" s="5">
        <v>5550000</v>
      </c>
      <c r="J1683" s="5">
        <v>53000000</v>
      </c>
      <c r="K1683" s="5">
        <v>56000000</v>
      </c>
      <c r="L1683" s="3">
        <v>0.97916666666666663</v>
      </c>
    </row>
    <row r="1684" spans="1:12" x14ac:dyDescent="0.25">
      <c r="A1684" t="s">
        <v>1035</v>
      </c>
      <c r="B1684" s="2">
        <v>44817</v>
      </c>
      <c r="C1684" t="s">
        <v>18</v>
      </c>
      <c r="D1684" t="s">
        <v>1636</v>
      </c>
      <c r="E1684" s="5">
        <v>51800000</v>
      </c>
      <c r="F1684" s="5">
        <v>54800000</v>
      </c>
      <c r="G1684" s="5">
        <v>3000000</v>
      </c>
      <c r="H1684" s="5">
        <v>5180000</v>
      </c>
      <c r="I1684" s="5">
        <v>5480000</v>
      </c>
      <c r="J1684" s="5">
        <v>52300000</v>
      </c>
      <c r="K1684" s="5">
        <v>55300000</v>
      </c>
      <c r="L1684" s="3">
        <v>0.97916666666666663</v>
      </c>
    </row>
    <row r="1685" spans="1:12" x14ac:dyDescent="0.25">
      <c r="A1685" t="s">
        <v>1036</v>
      </c>
      <c r="B1685" s="2">
        <v>44818</v>
      </c>
      <c r="C1685" t="s">
        <v>19</v>
      </c>
      <c r="D1685" t="s">
        <v>1636</v>
      </c>
      <c r="E1685" s="5">
        <v>51500000</v>
      </c>
      <c r="F1685" s="5">
        <v>54500000</v>
      </c>
      <c r="G1685" s="5">
        <v>3000000</v>
      </c>
      <c r="H1685" s="5">
        <v>5150000</v>
      </c>
      <c r="I1685" s="5">
        <v>5450000</v>
      </c>
      <c r="J1685" s="5">
        <v>52000000</v>
      </c>
      <c r="K1685" s="5">
        <v>55000000</v>
      </c>
      <c r="L1685" s="3">
        <v>0.97916666666666663</v>
      </c>
    </row>
    <row r="1686" spans="1:12" x14ac:dyDescent="0.25">
      <c r="A1686" t="s">
        <v>1037</v>
      </c>
      <c r="B1686" s="2">
        <v>44819</v>
      </c>
      <c r="C1686" t="s">
        <v>20</v>
      </c>
      <c r="D1686" t="s">
        <v>1636</v>
      </c>
      <c r="E1686" s="5">
        <v>50500000</v>
      </c>
      <c r="F1686" s="5">
        <v>53500000</v>
      </c>
      <c r="G1686" s="5">
        <v>3000000</v>
      </c>
      <c r="H1686" s="5">
        <v>5050000</v>
      </c>
      <c r="I1686" s="5">
        <v>5350000</v>
      </c>
      <c r="J1686" s="5">
        <v>51000000</v>
      </c>
      <c r="K1686" s="5">
        <v>54000000</v>
      </c>
      <c r="L1686" s="3">
        <v>0.97916666666666663</v>
      </c>
    </row>
    <row r="1687" spans="1:12" x14ac:dyDescent="0.25">
      <c r="A1687" t="s">
        <v>1038</v>
      </c>
      <c r="B1687" s="2">
        <v>44820</v>
      </c>
      <c r="C1687" t="s">
        <v>21</v>
      </c>
      <c r="D1687" t="s">
        <v>1636</v>
      </c>
      <c r="E1687" s="5">
        <v>50700000</v>
      </c>
      <c r="F1687" s="5">
        <v>53700000</v>
      </c>
      <c r="G1687" s="5">
        <v>3000000</v>
      </c>
      <c r="H1687" s="5">
        <v>5070000</v>
      </c>
      <c r="I1687" s="5">
        <v>5370000</v>
      </c>
      <c r="J1687" s="5">
        <v>51200000</v>
      </c>
      <c r="K1687" s="5">
        <v>54200000</v>
      </c>
      <c r="L1687" s="3">
        <v>0.97916666666666663</v>
      </c>
    </row>
    <row r="1688" spans="1:12" x14ac:dyDescent="0.25">
      <c r="A1688" t="s">
        <v>1039</v>
      </c>
      <c r="B1688" s="2">
        <v>44823</v>
      </c>
      <c r="C1688" t="s">
        <v>16</v>
      </c>
      <c r="D1688" t="s">
        <v>1636</v>
      </c>
      <c r="E1688" s="5">
        <v>50500000</v>
      </c>
      <c r="F1688" s="5">
        <v>53500000</v>
      </c>
      <c r="G1688" s="5">
        <v>3000000</v>
      </c>
      <c r="H1688" s="5">
        <v>5050000</v>
      </c>
      <c r="I1688" s="5">
        <v>5350000</v>
      </c>
      <c r="J1688" s="5">
        <v>51000000</v>
      </c>
      <c r="K1688" s="5">
        <v>54000000</v>
      </c>
      <c r="L1688" s="3">
        <v>0.97916666666666663</v>
      </c>
    </row>
    <row r="1689" spans="1:12" x14ac:dyDescent="0.25">
      <c r="A1689" t="s">
        <v>1040</v>
      </c>
      <c r="B1689" s="2">
        <v>44824</v>
      </c>
      <c r="C1689" t="s">
        <v>18</v>
      </c>
      <c r="D1689" t="s">
        <v>1636</v>
      </c>
      <c r="E1689" s="5">
        <v>50300000</v>
      </c>
      <c r="F1689" s="5">
        <v>53300000</v>
      </c>
      <c r="G1689" s="5">
        <v>3000000</v>
      </c>
      <c r="H1689" s="5">
        <v>5030000</v>
      </c>
      <c r="I1689" s="5">
        <v>5330000</v>
      </c>
      <c r="J1689" s="5">
        <v>50800000</v>
      </c>
      <c r="K1689" s="5">
        <v>53800000</v>
      </c>
      <c r="L1689" s="3">
        <v>0.97916666666666663</v>
      </c>
    </row>
    <row r="1690" spans="1:12" x14ac:dyDescent="0.25">
      <c r="A1690" t="s">
        <v>1041</v>
      </c>
      <c r="B1690" s="2">
        <v>44825</v>
      </c>
      <c r="C1690" t="s">
        <v>19</v>
      </c>
      <c r="D1690" t="s">
        <v>1636</v>
      </c>
      <c r="E1690" s="5">
        <v>50500000</v>
      </c>
      <c r="F1690" s="5">
        <v>53500000</v>
      </c>
      <c r="G1690" s="5">
        <v>3000000</v>
      </c>
      <c r="H1690" s="5">
        <v>5050000</v>
      </c>
      <c r="I1690" s="5">
        <v>5350000</v>
      </c>
      <c r="J1690" s="5">
        <v>51000000</v>
      </c>
      <c r="K1690" s="5">
        <v>54000000</v>
      </c>
      <c r="L1690" s="3">
        <v>0.97916666666666663</v>
      </c>
    </row>
    <row r="1691" spans="1:12" x14ac:dyDescent="0.25">
      <c r="A1691" t="s">
        <v>1042</v>
      </c>
      <c r="B1691" s="2">
        <v>44826</v>
      </c>
      <c r="C1691" t="s">
        <v>20</v>
      </c>
      <c r="D1691" t="s">
        <v>1636</v>
      </c>
      <c r="E1691" s="5">
        <v>50700000</v>
      </c>
      <c r="F1691" s="5">
        <v>53700000</v>
      </c>
      <c r="G1691" s="5">
        <v>3000000</v>
      </c>
      <c r="H1691" s="5">
        <v>5070000</v>
      </c>
      <c r="I1691" s="5">
        <v>5370000</v>
      </c>
      <c r="J1691" s="5">
        <v>51200000</v>
      </c>
      <c r="K1691" s="5">
        <v>54200000</v>
      </c>
      <c r="L1691" s="3">
        <v>0.97916666666666663</v>
      </c>
    </row>
    <row r="1692" spans="1:12" x14ac:dyDescent="0.25">
      <c r="A1692" t="s">
        <v>1043</v>
      </c>
      <c r="B1692" s="2">
        <v>44827</v>
      </c>
      <c r="C1692" t="s">
        <v>21</v>
      </c>
      <c r="D1692" t="s">
        <v>1636</v>
      </c>
      <c r="E1692" s="5">
        <v>49900000</v>
      </c>
      <c r="F1692" s="5">
        <v>52900000</v>
      </c>
      <c r="G1692" s="5">
        <v>3000000</v>
      </c>
      <c r="H1692" s="5">
        <v>4990000</v>
      </c>
      <c r="I1692" s="5">
        <v>5290000</v>
      </c>
      <c r="J1692" s="5">
        <v>50400000</v>
      </c>
      <c r="K1692" s="5">
        <v>53400000</v>
      </c>
      <c r="L1692" s="3">
        <v>0.97916666666666663</v>
      </c>
    </row>
    <row r="1693" spans="1:12" x14ac:dyDescent="0.25">
      <c r="A1693" t="s">
        <v>1044</v>
      </c>
      <c r="B1693" s="2">
        <v>44830</v>
      </c>
      <c r="C1693" t="s">
        <v>16</v>
      </c>
      <c r="D1693" t="s">
        <v>1636</v>
      </c>
      <c r="E1693" s="5">
        <v>49200000</v>
      </c>
      <c r="F1693" s="5">
        <v>52200000</v>
      </c>
      <c r="G1693" s="5">
        <v>3000000</v>
      </c>
      <c r="H1693" s="5">
        <v>4920000</v>
      </c>
      <c r="I1693" s="5">
        <v>5220000</v>
      </c>
      <c r="J1693" s="5">
        <v>49700000</v>
      </c>
      <c r="K1693" s="5">
        <v>52700000</v>
      </c>
      <c r="L1693" s="3">
        <v>0.97916666666666663</v>
      </c>
    </row>
    <row r="1694" spans="1:12" x14ac:dyDescent="0.25">
      <c r="A1694" t="s">
        <v>1045</v>
      </c>
      <c r="B1694" s="2">
        <v>44831</v>
      </c>
      <c r="C1694" t="s">
        <v>18</v>
      </c>
      <c r="D1694" t="s">
        <v>1636</v>
      </c>
      <c r="E1694" s="5">
        <v>49300000</v>
      </c>
      <c r="F1694" s="5">
        <v>52300000</v>
      </c>
      <c r="G1694" s="5">
        <v>3000000</v>
      </c>
      <c r="H1694" s="5">
        <v>4930000</v>
      </c>
      <c r="I1694" s="5">
        <v>5230000</v>
      </c>
      <c r="J1694" s="5">
        <v>49800000</v>
      </c>
      <c r="K1694" s="5">
        <v>52800000</v>
      </c>
      <c r="L1694" s="3">
        <v>0.97916666666666663</v>
      </c>
    </row>
    <row r="1695" spans="1:12" x14ac:dyDescent="0.25">
      <c r="A1695" t="s">
        <v>1046</v>
      </c>
      <c r="B1695" s="2">
        <v>44832</v>
      </c>
      <c r="C1695" t="s">
        <v>19</v>
      </c>
      <c r="D1695" t="s">
        <v>1636</v>
      </c>
      <c r="E1695" s="5">
        <v>50400000</v>
      </c>
      <c r="F1695" s="5">
        <v>53400000</v>
      </c>
      <c r="G1695" s="5">
        <v>3000000</v>
      </c>
      <c r="H1695" s="5">
        <v>5040000</v>
      </c>
      <c r="I1695" s="5">
        <v>5340000</v>
      </c>
      <c r="J1695" s="5">
        <v>50900000</v>
      </c>
      <c r="K1695" s="5">
        <v>53900000</v>
      </c>
      <c r="L1695" s="3">
        <v>0.97916666666666663</v>
      </c>
    </row>
    <row r="1696" spans="1:12" x14ac:dyDescent="0.25">
      <c r="A1696" t="s">
        <v>1047</v>
      </c>
      <c r="B1696" s="2">
        <v>44833</v>
      </c>
      <c r="C1696" t="s">
        <v>20</v>
      </c>
      <c r="D1696" t="s">
        <v>1636</v>
      </c>
      <c r="E1696" s="5">
        <v>50300000</v>
      </c>
      <c r="F1696" s="5">
        <v>53300000</v>
      </c>
      <c r="G1696" s="5">
        <v>3000000</v>
      </c>
      <c r="H1696" s="5">
        <v>5030000</v>
      </c>
      <c r="I1696" s="5">
        <v>5330000</v>
      </c>
      <c r="J1696" s="5">
        <v>50800000</v>
      </c>
      <c r="K1696" s="5">
        <v>53800000</v>
      </c>
      <c r="L1696" s="3">
        <v>0.97916666666666663</v>
      </c>
    </row>
    <row r="1697" spans="1:12" x14ac:dyDescent="0.25">
      <c r="A1697" t="s">
        <v>1048</v>
      </c>
      <c r="B1697" s="2">
        <v>44834</v>
      </c>
      <c r="C1697" t="s">
        <v>21</v>
      </c>
      <c r="D1697" t="s">
        <v>1636</v>
      </c>
      <c r="E1697" s="5">
        <v>50400000</v>
      </c>
      <c r="F1697" s="5">
        <v>53400000</v>
      </c>
      <c r="G1697" s="5">
        <v>3000000</v>
      </c>
      <c r="H1697" s="5">
        <v>5040000</v>
      </c>
      <c r="I1697" s="5">
        <v>5340000</v>
      </c>
      <c r="J1697" s="5">
        <v>50900000</v>
      </c>
      <c r="K1697" s="5">
        <v>53900000</v>
      </c>
      <c r="L1697" s="3">
        <v>0.97916666666666663</v>
      </c>
    </row>
    <row r="1698" spans="1:12" x14ac:dyDescent="0.25">
      <c r="A1698" s="2">
        <v>44630</v>
      </c>
      <c r="B1698" s="2">
        <v>44837</v>
      </c>
      <c r="C1698" t="s">
        <v>16</v>
      </c>
      <c r="D1698" t="s">
        <v>1636</v>
      </c>
      <c r="E1698" s="5">
        <v>51400000</v>
      </c>
      <c r="F1698" s="5">
        <v>54400000</v>
      </c>
      <c r="G1698" s="5">
        <v>3000000</v>
      </c>
      <c r="H1698" s="5">
        <v>5140000</v>
      </c>
      <c r="I1698" s="5">
        <v>5440000</v>
      </c>
      <c r="J1698" s="5">
        <v>51900000</v>
      </c>
      <c r="K1698" s="5">
        <v>54900000</v>
      </c>
      <c r="L1698" s="3">
        <v>0.97916666666666663</v>
      </c>
    </row>
    <row r="1699" spans="1:12" x14ac:dyDescent="0.25">
      <c r="A1699" s="2">
        <v>44661</v>
      </c>
      <c r="B1699" s="2">
        <v>44838</v>
      </c>
      <c r="C1699" t="s">
        <v>18</v>
      </c>
      <c r="D1699" t="s">
        <v>1636</v>
      </c>
      <c r="E1699" s="5">
        <v>52300000</v>
      </c>
      <c r="F1699" s="5">
        <v>55300000</v>
      </c>
      <c r="G1699" s="5">
        <v>3000000</v>
      </c>
      <c r="H1699" s="5">
        <v>5230000</v>
      </c>
      <c r="I1699" s="5">
        <v>5530000</v>
      </c>
      <c r="J1699" s="5">
        <v>52800000</v>
      </c>
      <c r="K1699" s="5">
        <v>55800000</v>
      </c>
      <c r="L1699" s="3">
        <v>0.97916666666666663</v>
      </c>
    </row>
    <row r="1700" spans="1:12" x14ac:dyDescent="0.25">
      <c r="A1700" s="2">
        <v>44691</v>
      </c>
      <c r="B1700" s="2">
        <v>44839</v>
      </c>
      <c r="C1700" t="s">
        <v>19</v>
      </c>
      <c r="D1700" t="s">
        <v>1636</v>
      </c>
      <c r="E1700" s="5">
        <v>52000000</v>
      </c>
      <c r="F1700" s="5">
        <v>55000000</v>
      </c>
      <c r="G1700" s="5">
        <v>3000000</v>
      </c>
      <c r="H1700" s="5">
        <v>5200000</v>
      </c>
      <c r="I1700" s="5">
        <v>5500000</v>
      </c>
      <c r="J1700" s="5">
        <v>52500000</v>
      </c>
      <c r="K1700" s="5">
        <v>55500000</v>
      </c>
      <c r="L1700" s="3">
        <v>0.97916666666666663</v>
      </c>
    </row>
    <row r="1701" spans="1:12" x14ac:dyDescent="0.25">
      <c r="A1701" s="2">
        <v>44722</v>
      </c>
      <c r="B1701" s="2">
        <v>44840</v>
      </c>
      <c r="C1701" t="s">
        <v>20</v>
      </c>
      <c r="D1701" t="s">
        <v>1636</v>
      </c>
      <c r="E1701" s="5">
        <v>52000000</v>
      </c>
      <c r="F1701" s="5">
        <v>55000000</v>
      </c>
      <c r="G1701" s="5">
        <v>3000000</v>
      </c>
      <c r="H1701" s="5">
        <v>5200000</v>
      </c>
      <c r="I1701" s="5">
        <v>5500000</v>
      </c>
      <c r="J1701" s="5">
        <v>52500000</v>
      </c>
      <c r="K1701" s="5">
        <v>55500000</v>
      </c>
      <c r="L1701" s="3">
        <v>0.97916666666666663</v>
      </c>
    </row>
    <row r="1702" spans="1:12" x14ac:dyDescent="0.25">
      <c r="A1702" s="2">
        <v>44752</v>
      </c>
      <c r="B1702" s="2">
        <v>44841</v>
      </c>
      <c r="C1702" t="s">
        <v>21</v>
      </c>
      <c r="D1702" t="s">
        <v>1636</v>
      </c>
      <c r="E1702" s="5">
        <v>51700000</v>
      </c>
      <c r="F1702" s="5">
        <v>54700000</v>
      </c>
      <c r="G1702" s="5">
        <v>3000000</v>
      </c>
      <c r="H1702" s="5">
        <v>5170000</v>
      </c>
      <c r="I1702" s="5">
        <v>5470000</v>
      </c>
      <c r="J1702" s="5">
        <v>52200000</v>
      </c>
      <c r="K1702" s="5">
        <v>55200000</v>
      </c>
      <c r="L1702" s="3">
        <v>0.97916666666666663</v>
      </c>
    </row>
    <row r="1703" spans="1:12" x14ac:dyDescent="0.25">
      <c r="A1703" s="2">
        <v>44844</v>
      </c>
      <c r="B1703" s="2">
        <v>44844</v>
      </c>
      <c r="C1703" t="s">
        <v>16</v>
      </c>
      <c r="D1703" t="s">
        <v>1636</v>
      </c>
      <c r="E1703" s="5">
        <v>50600000</v>
      </c>
      <c r="F1703" s="5">
        <v>53600000</v>
      </c>
      <c r="G1703" s="5">
        <v>3000000</v>
      </c>
      <c r="H1703" s="5">
        <v>5060000</v>
      </c>
      <c r="I1703" s="5">
        <v>5360000</v>
      </c>
      <c r="J1703" s="5">
        <v>51100000</v>
      </c>
      <c r="K1703" s="5">
        <v>54100000</v>
      </c>
      <c r="L1703" s="3">
        <v>0.97916666666666663</v>
      </c>
    </row>
    <row r="1704" spans="1:12" x14ac:dyDescent="0.25">
      <c r="A1704" s="2">
        <v>44875</v>
      </c>
      <c r="B1704" s="2">
        <v>44845</v>
      </c>
      <c r="C1704" t="s">
        <v>18</v>
      </c>
      <c r="D1704" t="s">
        <v>1636</v>
      </c>
      <c r="E1704" s="5">
        <v>50900000</v>
      </c>
      <c r="F1704" s="5">
        <v>53900000</v>
      </c>
      <c r="G1704" s="5">
        <v>3000000</v>
      </c>
      <c r="H1704" s="5">
        <v>5090000</v>
      </c>
      <c r="I1704" s="5">
        <v>5390000</v>
      </c>
      <c r="J1704" s="5">
        <v>51400000</v>
      </c>
      <c r="K1704" s="5">
        <v>54400000</v>
      </c>
      <c r="L1704" s="3">
        <v>0.97916666666666663</v>
      </c>
    </row>
    <row r="1705" spans="1:12" x14ac:dyDescent="0.25">
      <c r="A1705" s="2">
        <v>44905</v>
      </c>
      <c r="B1705" s="2">
        <v>44846</v>
      </c>
      <c r="C1705" t="s">
        <v>19</v>
      </c>
      <c r="D1705" t="s">
        <v>1636</v>
      </c>
      <c r="E1705" s="5">
        <v>50700000</v>
      </c>
      <c r="F1705" s="5">
        <v>53700000</v>
      </c>
      <c r="G1705" s="5">
        <v>3000000</v>
      </c>
      <c r="H1705" s="5">
        <v>5070000</v>
      </c>
      <c r="I1705" s="5">
        <v>5370000</v>
      </c>
      <c r="J1705" s="5">
        <v>51200000</v>
      </c>
      <c r="K1705" s="5">
        <v>54200000</v>
      </c>
      <c r="L1705" s="3">
        <v>0.97916666666666663</v>
      </c>
    </row>
    <row r="1706" spans="1:12" x14ac:dyDescent="0.25">
      <c r="A1706" t="s">
        <v>1049</v>
      </c>
      <c r="B1706" s="2">
        <v>44847</v>
      </c>
      <c r="C1706" t="s">
        <v>20</v>
      </c>
      <c r="D1706" t="s">
        <v>1636</v>
      </c>
      <c r="E1706" s="5">
        <v>50700000</v>
      </c>
      <c r="F1706" s="5">
        <v>53700000</v>
      </c>
      <c r="G1706" s="5">
        <v>3000000</v>
      </c>
      <c r="H1706" s="5">
        <v>5070000</v>
      </c>
      <c r="I1706" s="5">
        <v>5370000</v>
      </c>
      <c r="J1706" s="5">
        <v>51200000</v>
      </c>
      <c r="K1706" s="5">
        <v>54200000</v>
      </c>
      <c r="L1706" s="3">
        <v>0.97916666666666663</v>
      </c>
    </row>
    <row r="1707" spans="1:12" x14ac:dyDescent="0.25">
      <c r="A1707" t="s">
        <v>1050</v>
      </c>
      <c r="B1707" s="2">
        <v>44848</v>
      </c>
      <c r="C1707" t="s">
        <v>21</v>
      </c>
      <c r="D1707" t="s">
        <v>1636</v>
      </c>
      <c r="E1707" s="5">
        <v>49800000</v>
      </c>
      <c r="F1707" s="5">
        <v>52800000</v>
      </c>
      <c r="G1707" s="5">
        <v>3000000</v>
      </c>
      <c r="H1707" s="5">
        <v>4980000</v>
      </c>
      <c r="I1707" s="5">
        <v>5280000</v>
      </c>
      <c r="J1707" s="5">
        <v>50300000</v>
      </c>
      <c r="K1707" s="5">
        <v>53300000</v>
      </c>
      <c r="L1707" s="3">
        <v>0.97916666666666663</v>
      </c>
    </row>
    <row r="1708" spans="1:12" x14ac:dyDescent="0.25">
      <c r="A1708" t="s">
        <v>1051</v>
      </c>
      <c r="B1708" s="2">
        <v>44851</v>
      </c>
      <c r="C1708" t="s">
        <v>16</v>
      </c>
      <c r="D1708" t="s">
        <v>1636</v>
      </c>
      <c r="E1708" s="5">
        <v>50300000</v>
      </c>
      <c r="F1708" s="5">
        <v>53300000</v>
      </c>
      <c r="G1708" s="5">
        <v>3000000</v>
      </c>
      <c r="H1708" s="5">
        <v>5030000</v>
      </c>
      <c r="I1708" s="5">
        <v>5330000</v>
      </c>
      <c r="J1708" s="5">
        <v>50800000</v>
      </c>
      <c r="K1708" s="5">
        <v>53800000</v>
      </c>
      <c r="L1708" s="3">
        <v>0.97916666666666663</v>
      </c>
    </row>
    <row r="1709" spans="1:12" x14ac:dyDescent="0.25">
      <c r="A1709" t="s">
        <v>1052</v>
      </c>
      <c r="B1709" s="2">
        <v>44852</v>
      </c>
      <c r="C1709" t="s">
        <v>18</v>
      </c>
      <c r="D1709" t="s">
        <v>1636</v>
      </c>
      <c r="E1709" s="5">
        <v>50000000</v>
      </c>
      <c r="F1709" s="5">
        <v>53000000</v>
      </c>
      <c r="G1709" s="5">
        <v>3000000</v>
      </c>
      <c r="H1709" s="5">
        <v>5000000</v>
      </c>
      <c r="I1709" s="5">
        <v>5300000</v>
      </c>
      <c r="J1709" s="5">
        <v>50500000</v>
      </c>
      <c r="K1709" s="5">
        <v>53500000</v>
      </c>
      <c r="L1709" s="3">
        <v>0.97916666666666663</v>
      </c>
    </row>
    <row r="1710" spans="1:12" x14ac:dyDescent="0.25">
      <c r="A1710" t="s">
        <v>1053</v>
      </c>
      <c r="B1710" s="2">
        <v>44853</v>
      </c>
      <c r="C1710" t="s">
        <v>19</v>
      </c>
      <c r="D1710" t="s">
        <v>1636</v>
      </c>
      <c r="E1710" s="5">
        <v>49300000</v>
      </c>
      <c r="F1710" s="5">
        <v>52300000</v>
      </c>
      <c r="G1710" s="5">
        <v>3000000</v>
      </c>
      <c r="H1710" s="5">
        <v>4930000</v>
      </c>
      <c r="I1710" s="5">
        <v>5230000</v>
      </c>
      <c r="J1710" s="5">
        <v>49800000</v>
      </c>
      <c r="K1710" s="5">
        <v>52800000</v>
      </c>
      <c r="L1710" s="3">
        <v>0.97916666666666663</v>
      </c>
    </row>
    <row r="1711" spans="1:12" x14ac:dyDescent="0.25">
      <c r="A1711" t="s">
        <v>1054</v>
      </c>
      <c r="B1711" s="2">
        <v>44854</v>
      </c>
      <c r="C1711" t="s">
        <v>20</v>
      </c>
      <c r="D1711" t="s">
        <v>1636</v>
      </c>
      <c r="E1711" s="5">
        <v>49400000</v>
      </c>
      <c r="F1711" s="5">
        <v>52400000</v>
      </c>
      <c r="G1711" s="5">
        <v>3000000</v>
      </c>
      <c r="H1711" s="5">
        <v>4940000</v>
      </c>
      <c r="I1711" s="5">
        <v>5240000</v>
      </c>
      <c r="J1711" s="5">
        <v>49900000</v>
      </c>
      <c r="K1711" s="5">
        <v>52900000</v>
      </c>
      <c r="L1711" s="3">
        <v>0.97916666666666663</v>
      </c>
    </row>
    <row r="1712" spans="1:12" x14ac:dyDescent="0.25">
      <c r="A1712" t="s">
        <v>1055</v>
      </c>
      <c r="B1712" s="2">
        <v>44855</v>
      </c>
      <c r="C1712" t="s">
        <v>21</v>
      </c>
      <c r="D1712" t="s">
        <v>1636</v>
      </c>
      <c r="E1712" s="5">
        <v>50100000</v>
      </c>
      <c r="F1712" s="5">
        <v>53100000</v>
      </c>
      <c r="G1712" s="5">
        <v>3000000</v>
      </c>
      <c r="H1712" s="5">
        <v>5010000</v>
      </c>
      <c r="I1712" s="5">
        <v>5310000</v>
      </c>
      <c r="J1712" s="5">
        <v>50600000</v>
      </c>
      <c r="K1712" s="5">
        <v>53600000</v>
      </c>
      <c r="L1712" s="3">
        <v>0.97916666666666663</v>
      </c>
    </row>
    <row r="1713" spans="1:12" x14ac:dyDescent="0.25">
      <c r="A1713" t="s">
        <v>1056</v>
      </c>
      <c r="B1713" s="2">
        <v>44858</v>
      </c>
      <c r="C1713" t="s">
        <v>16</v>
      </c>
      <c r="D1713" t="s">
        <v>1636</v>
      </c>
      <c r="E1713" s="5">
        <v>50000000</v>
      </c>
      <c r="F1713" s="5">
        <v>53000000</v>
      </c>
      <c r="G1713" s="5">
        <v>3000000</v>
      </c>
      <c r="H1713" s="5">
        <v>5000000</v>
      </c>
      <c r="I1713" s="5">
        <v>5300000</v>
      </c>
      <c r="J1713" s="5">
        <v>50500000</v>
      </c>
      <c r="K1713" s="5">
        <v>53500000</v>
      </c>
      <c r="L1713" s="3">
        <v>0.97916666666666663</v>
      </c>
    </row>
    <row r="1714" spans="1:12" x14ac:dyDescent="0.25">
      <c r="A1714" t="s">
        <v>1057</v>
      </c>
      <c r="B1714" s="2">
        <v>44859</v>
      </c>
      <c r="C1714" t="s">
        <v>18</v>
      </c>
      <c r="D1714" t="s">
        <v>1636</v>
      </c>
      <c r="E1714" s="5">
        <v>50100000</v>
      </c>
      <c r="F1714" s="5">
        <v>53100000</v>
      </c>
      <c r="G1714" s="5">
        <v>3000000</v>
      </c>
      <c r="H1714" s="5">
        <v>5010000</v>
      </c>
      <c r="I1714" s="5">
        <v>5310000</v>
      </c>
      <c r="J1714" s="5">
        <v>50600000</v>
      </c>
      <c r="K1714" s="5">
        <v>53600000</v>
      </c>
      <c r="L1714" s="3">
        <v>0.97916666666666663</v>
      </c>
    </row>
    <row r="1715" spans="1:12" x14ac:dyDescent="0.25">
      <c r="A1715" t="s">
        <v>1058</v>
      </c>
      <c r="B1715" s="2">
        <v>44860</v>
      </c>
      <c r="C1715" t="s">
        <v>19</v>
      </c>
      <c r="D1715" t="s">
        <v>1636</v>
      </c>
      <c r="E1715" s="5">
        <v>50500000</v>
      </c>
      <c r="F1715" s="5">
        <v>53500000</v>
      </c>
      <c r="G1715" s="5">
        <v>3000000</v>
      </c>
      <c r="H1715" s="5">
        <v>5050000</v>
      </c>
      <c r="I1715" s="5">
        <v>5350000</v>
      </c>
      <c r="J1715" s="5">
        <v>51000000</v>
      </c>
      <c r="K1715" s="5">
        <v>54000000</v>
      </c>
      <c r="L1715" s="3">
        <v>0.97916666666666663</v>
      </c>
    </row>
    <row r="1716" spans="1:12" x14ac:dyDescent="0.25">
      <c r="A1716" t="s">
        <v>1059</v>
      </c>
      <c r="B1716" s="2">
        <v>44861</v>
      </c>
      <c r="C1716" t="s">
        <v>20</v>
      </c>
      <c r="D1716" t="s">
        <v>1636</v>
      </c>
      <c r="E1716" s="5">
        <v>50400000</v>
      </c>
      <c r="F1716" s="5">
        <v>53400000</v>
      </c>
      <c r="G1716" s="5">
        <v>3000000</v>
      </c>
      <c r="H1716" s="5">
        <v>5040000</v>
      </c>
      <c r="I1716" s="5">
        <v>5340000</v>
      </c>
      <c r="J1716" s="5">
        <v>50900000</v>
      </c>
      <c r="K1716" s="5">
        <v>53900000</v>
      </c>
      <c r="L1716" s="3">
        <v>0.97916666666666663</v>
      </c>
    </row>
    <row r="1717" spans="1:12" x14ac:dyDescent="0.25">
      <c r="A1717" t="s">
        <v>1060</v>
      </c>
      <c r="B1717" s="2">
        <v>44862</v>
      </c>
      <c r="C1717" t="s">
        <v>21</v>
      </c>
      <c r="D1717" t="s">
        <v>1636</v>
      </c>
      <c r="E1717" s="5">
        <v>49700000</v>
      </c>
      <c r="F1717" s="5">
        <v>52700000</v>
      </c>
      <c r="G1717" s="5">
        <v>3000000</v>
      </c>
      <c r="H1717" s="5">
        <v>4970000</v>
      </c>
      <c r="I1717" s="5">
        <v>5270000</v>
      </c>
      <c r="J1717" s="5">
        <v>50200000</v>
      </c>
      <c r="K1717" s="5">
        <v>53200000</v>
      </c>
      <c r="L1717" s="3">
        <v>0.97916666666666663</v>
      </c>
    </row>
    <row r="1718" spans="1:12" x14ac:dyDescent="0.25">
      <c r="A1718" t="s">
        <v>1061</v>
      </c>
      <c r="B1718" s="2">
        <v>44865</v>
      </c>
      <c r="C1718" t="s">
        <v>16</v>
      </c>
      <c r="D1718" t="s">
        <v>1636</v>
      </c>
      <c r="E1718" s="5">
        <v>49600000</v>
      </c>
      <c r="F1718" s="5">
        <v>52600000</v>
      </c>
      <c r="G1718" s="5">
        <v>3000000</v>
      </c>
      <c r="H1718" s="5">
        <v>4960000</v>
      </c>
      <c r="I1718" s="5">
        <v>5260000</v>
      </c>
      <c r="J1718" s="5">
        <v>50100000</v>
      </c>
      <c r="K1718" s="5">
        <v>53100000</v>
      </c>
      <c r="L1718" s="3">
        <v>0.97916666666666663</v>
      </c>
    </row>
    <row r="1719" spans="1:12" x14ac:dyDescent="0.25">
      <c r="A1719" s="2">
        <v>44572</v>
      </c>
      <c r="B1719" s="2">
        <v>44866</v>
      </c>
      <c r="C1719" t="s">
        <v>18</v>
      </c>
      <c r="D1719" t="s">
        <v>1636</v>
      </c>
      <c r="E1719" s="5">
        <v>49900000</v>
      </c>
      <c r="F1719" s="5">
        <v>52900000</v>
      </c>
      <c r="G1719" s="5">
        <v>3000000</v>
      </c>
      <c r="H1719" s="5">
        <v>4990000</v>
      </c>
      <c r="I1719" s="5">
        <v>5290000</v>
      </c>
      <c r="J1719" s="5">
        <v>50400000</v>
      </c>
      <c r="K1719" s="5">
        <v>53400000</v>
      </c>
      <c r="L1719" s="3">
        <v>0.97916666666666663</v>
      </c>
    </row>
    <row r="1720" spans="1:12" x14ac:dyDescent="0.25">
      <c r="A1720" s="2">
        <v>44603</v>
      </c>
      <c r="B1720" s="2">
        <v>44867</v>
      </c>
      <c r="C1720" t="s">
        <v>19</v>
      </c>
      <c r="D1720" t="s">
        <v>1636</v>
      </c>
      <c r="E1720" s="5">
        <v>49900000</v>
      </c>
      <c r="F1720" s="5">
        <v>52900000</v>
      </c>
      <c r="G1720" s="5">
        <v>3000000</v>
      </c>
      <c r="H1720" s="5">
        <v>4990000</v>
      </c>
      <c r="I1720" s="5">
        <v>5290000</v>
      </c>
      <c r="J1720" s="5">
        <v>50400000</v>
      </c>
      <c r="K1720" s="5">
        <v>53400000</v>
      </c>
      <c r="L1720" s="3">
        <v>0.97916666666666663</v>
      </c>
    </row>
    <row r="1721" spans="1:12" x14ac:dyDescent="0.25">
      <c r="A1721" s="2">
        <v>44631</v>
      </c>
      <c r="B1721" s="2">
        <v>44868</v>
      </c>
      <c r="C1721" t="s">
        <v>20</v>
      </c>
      <c r="D1721" t="s">
        <v>1636</v>
      </c>
      <c r="E1721" s="5">
        <v>49300000</v>
      </c>
      <c r="F1721" s="5">
        <v>52300000</v>
      </c>
      <c r="G1721" s="5">
        <v>3000000</v>
      </c>
      <c r="H1721" s="5">
        <v>4930000</v>
      </c>
      <c r="I1721" s="5">
        <v>5230000</v>
      </c>
      <c r="J1721" s="5">
        <v>49800000</v>
      </c>
      <c r="K1721" s="5">
        <v>52800000</v>
      </c>
      <c r="L1721" s="3">
        <v>0.97916666666666663</v>
      </c>
    </row>
    <row r="1722" spans="1:12" x14ac:dyDescent="0.25">
      <c r="A1722" s="2">
        <v>44662</v>
      </c>
      <c r="B1722" s="2">
        <v>44869</v>
      </c>
      <c r="C1722" t="s">
        <v>21</v>
      </c>
      <c r="D1722" t="s">
        <v>1636</v>
      </c>
      <c r="E1722" s="5">
        <v>50800000</v>
      </c>
      <c r="F1722" s="5">
        <v>53800000</v>
      </c>
      <c r="G1722" s="5">
        <v>3000000</v>
      </c>
      <c r="H1722" s="5">
        <v>5080000</v>
      </c>
      <c r="I1722" s="5">
        <v>5380000</v>
      </c>
      <c r="J1722" s="5">
        <v>51300000</v>
      </c>
      <c r="K1722" s="5">
        <v>54300000</v>
      </c>
      <c r="L1722" s="3">
        <v>0.97916666666666663</v>
      </c>
    </row>
    <row r="1723" spans="1:12" x14ac:dyDescent="0.25">
      <c r="A1723" s="2">
        <v>44753</v>
      </c>
      <c r="B1723" s="2">
        <v>44872</v>
      </c>
      <c r="C1723" t="s">
        <v>16</v>
      </c>
      <c r="D1723" t="s">
        <v>1636</v>
      </c>
      <c r="E1723" s="5">
        <v>50900000</v>
      </c>
      <c r="F1723" s="5">
        <v>53900000</v>
      </c>
      <c r="G1723" s="5">
        <v>3000000</v>
      </c>
      <c r="H1723" s="5">
        <v>5090000</v>
      </c>
      <c r="I1723" s="5">
        <v>5390000</v>
      </c>
      <c r="J1723" s="5">
        <v>51400000</v>
      </c>
      <c r="K1723" s="5">
        <v>54400000</v>
      </c>
      <c r="L1723" s="3">
        <v>0.97916666666666663</v>
      </c>
    </row>
    <row r="1724" spans="1:12" x14ac:dyDescent="0.25">
      <c r="A1724" s="2">
        <v>44784</v>
      </c>
      <c r="B1724" s="2">
        <v>44873</v>
      </c>
      <c r="C1724" t="s">
        <v>18</v>
      </c>
      <c r="D1724" t="s">
        <v>1636</v>
      </c>
      <c r="E1724" s="5">
        <v>52000000</v>
      </c>
      <c r="F1724" s="5">
        <v>55000000</v>
      </c>
      <c r="G1724" s="5">
        <v>3000000</v>
      </c>
      <c r="H1724" s="5">
        <v>5200000</v>
      </c>
      <c r="I1724" s="5">
        <v>5500000</v>
      </c>
      <c r="J1724" s="5">
        <v>52500000</v>
      </c>
      <c r="K1724" s="5">
        <v>55500000</v>
      </c>
      <c r="L1724" s="3">
        <v>0.97916666666666663</v>
      </c>
    </row>
    <row r="1725" spans="1:12" x14ac:dyDescent="0.25">
      <c r="A1725" s="2">
        <v>44815</v>
      </c>
      <c r="B1725" s="2">
        <v>44874</v>
      </c>
      <c r="C1725" t="s">
        <v>19</v>
      </c>
      <c r="D1725" t="s">
        <v>1636</v>
      </c>
      <c r="E1725" s="5">
        <v>52000000</v>
      </c>
      <c r="F1725" s="5">
        <v>55000000</v>
      </c>
      <c r="G1725" s="5">
        <v>3000000</v>
      </c>
      <c r="H1725" s="5">
        <v>5200000</v>
      </c>
      <c r="I1725" s="5">
        <v>5500000</v>
      </c>
      <c r="J1725" s="5">
        <v>52500000</v>
      </c>
      <c r="K1725" s="5">
        <v>55500000</v>
      </c>
      <c r="L1725" s="3">
        <v>0.97916666666666663</v>
      </c>
    </row>
    <row r="1726" spans="1:12" x14ac:dyDescent="0.25">
      <c r="A1726" s="2">
        <v>44845</v>
      </c>
      <c r="B1726" s="2">
        <v>44875</v>
      </c>
      <c r="C1726" t="s">
        <v>20</v>
      </c>
      <c r="D1726" t="s">
        <v>1636</v>
      </c>
      <c r="E1726" s="5">
        <v>53300000</v>
      </c>
      <c r="F1726" s="5">
        <v>56300000</v>
      </c>
      <c r="G1726" s="5">
        <v>3000000</v>
      </c>
      <c r="H1726" s="5">
        <v>5330000</v>
      </c>
      <c r="I1726" s="5">
        <v>5630000</v>
      </c>
      <c r="J1726" s="5">
        <v>53800000</v>
      </c>
      <c r="K1726" s="5">
        <v>56800000</v>
      </c>
      <c r="L1726" s="3">
        <v>0.97916666666666663</v>
      </c>
    </row>
    <row r="1727" spans="1:12" x14ac:dyDescent="0.25">
      <c r="A1727" s="2">
        <v>44876</v>
      </c>
      <c r="B1727" s="2">
        <v>44876</v>
      </c>
      <c r="C1727" t="s">
        <v>21</v>
      </c>
      <c r="D1727" t="s">
        <v>1636</v>
      </c>
      <c r="E1727" s="5">
        <v>53800000</v>
      </c>
      <c r="F1727" s="5">
        <v>56800000</v>
      </c>
      <c r="G1727" s="5">
        <v>3000000</v>
      </c>
      <c r="H1727" s="5">
        <v>5380000</v>
      </c>
      <c r="I1727" s="5">
        <v>5680000</v>
      </c>
      <c r="J1727" s="5">
        <v>54300000</v>
      </c>
      <c r="K1727" s="5">
        <v>57300000</v>
      </c>
      <c r="L1727" s="3">
        <v>0.97916666666666663</v>
      </c>
    </row>
    <row r="1728" spans="1:12" x14ac:dyDescent="0.25">
      <c r="A1728" t="s">
        <v>1062</v>
      </c>
      <c r="B1728" s="2">
        <v>44879</v>
      </c>
      <c r="C1728" t="s">
        <v>16</v>
      </c>
      <c r="D1728" t="s">
        <v>1636</v>
      </c>
      <c r="E1728" s="5">
        <v>54000000</v>
      </c>
      <c r="F1728" s="5">
        <v>57000000</v>
      </c>
      <c r="G1728" s="5">
        <v>3000000</v>
      </c>
      <c r="H1728" s="5">
        <v>5400000</v>
      </c>
      <c r="I1728" s="5">
        <v>5700000</v>
      </c>
      <c r="J1728" s="5">
        <v>54500000</v>
      </c>
      <c r="K1728" s="5">
        <v>57500000</v>
      </c>
      <c r="L1728" s="3">
        <v>0.97916666666666663</v>
      </c>
    </row>
    <row r="1729" spans="1:12" x14ac:dyDescent="0.25">
      <c r="A1729" t="s">
        <v>1063</v>
      </c>
      <c r="B1729" s="2">
        <v>44880</v>
      </c>
      <c r="C1729" t="s">
        <v>18</v>
      </c>
      <c r="D1729" t="s">
        <v>1636</v>
      </c>
      <c r="E1729" s="5">
        <v>54000000</v>
      </c>
      <c r="F1729" s="5">
        <v>57000000</v>
      </c>
      <c r="G1729" s="5">
        <v>3000000</v>
      </c>
      <c r="H1729" s="5">
        <v>5400000</v>
      </c>
      <c r="I1729" s="5">
        <v>5700000</v>
      </c>
      <c r="J1729" s="5">
        <v>54500000</v>
      </c>
      <c r="K1729" s="5">
        <v>57500000</v>
      </c>
      <c r="L1729" s="3">
        <v>0.97916666666666663</v>
      </c>
    </row>
    <row r="1730" spans="1:12" x14ac:dyDescent="0.25">
      <c r="A1730" t="s">
        <v>1064</v>
      </c>
      <c r="B1730" s="2">
        <v>44881</v>
      </c>
      <c r="C1730" t="s">
        <v>19</v>
      </c>
      <c r="D1730" t="s">
        <v>1636</v>
      </c>
      <c r="E1730" s="5">
        <v>54000000</v>
      </c>
      <c r="F1730" s="5">
        <v>57000000</v>
      </c>
      <c r="G1730" s="5">
        <v>3000000</v>
      </c>
      <c r="H1730" s="5">
        <v>5400000</v>
      </c>
      <c r="I1730" s="5">
        <v>5700000</v>
      </c>
      <c r="J1730" s="5">
        <v>54500000</v>
      </c>
      <c r="K1730" s="5">
        <v>57500000</v>
      </c>
      <c r="L1730" s="3">
        <v>0.97916666666666663</v>
      </c>
    </row>
    <row r="1731" spans="1:12" x14ac:dyDescent="0.25">
      <c r="A1731" t="s">
        <v>1065</v>
      </c>
      <c r="B1731" s="2">
        <v>44882</v>
      </c>
      <c r="C1731" t="s">
        <v>20</v>
      </c>
      <c r="D1731" t="s">
        <v>1636</v>
      </c>
      <c r="E1731" s="5">
        <v>53600000</v>
      </c>
      <c r="F1731" s="5">
        <v>56600000</v>
      </c>
      <c r="G1731" s="5">
        <v>3000000</v>
      </c>
      <c r="H1731" s="5">
        <v>5360000</v>
      </c>
      <c r="I1731" s="5">
        <v>5660000</v>
      </c>
      <c r="J1731" s="5">
        <v>54100000</v>
      </c>
      <c r="K1731" s="5">
        <v>57100000</v>
      </c>
      <c r="L1731" s="3">
        <v>0.97916666666666663</v>
      </c>
    </row>
    <row r="1732" spans="1:12" x14ac:dyDescent="0.25">
      <c r="A1732" t="s">
        <v>1066</v>
      </c>
      <c r="B1732" s="2">
        <v>44883</v>
      </c>
      <c r="C1732" t="s">
        <v>21</v>
      </c>
      <c r="D1732" t="s">
        <v>1636</v>
      </c>
      <c r="E1732" s="5">
        <v>53300000</v>
      </c>
      <c r="F1732" s="5">
        <v>56300000</v>
      </c>
      <c r="G1732" s="5">
        <v>3000000</v>
      </c>
      <c r="H1732" s="5">
        <v>5330000</v>
      </c>
      <c r="I1732" s="5">
        <v>5630000</v>
      </c>
      <c r="J1732" s="5">
        <v>53800000</v>
      </c>
      <c r="K1732" s="5">
        <v>56800000</v>
      </c>
      <c r="L1732" s="3">
        <v>0.97916666666666663</v>
      </c>
    </row>
    <row r="1733" spans="1:12" x14ac:dyDescent="0.25">
      <c r="A1733" t="s">
        <v>1067</v>
      </c>
      <c r="B1733" s="2">
        <v>44886</v>
      </c>
      <c r="C1733" t="s">
        <v>16</v>
      </c>
      <c r="D1733" t="s">
        <v>1636</v>
      </c>
      <c r="E1733" s="5">
        <v>52800000</v>
      </c>
      <c r="F1733" s="5">
        <v>55800000</v>
      </c>
      <c r="G1733" s="5">
        <v>3000000</v>
      </c>
      <c r="H1733" s="5">
        <v>5280000</v>
      </c>
      <c r="I1733" s="5">
        <v>5580000</v>
      </c>
      <c r="J1733" s="5">
        <v>53300000</v>
      </c>
      <c r="K1733" s="5">
        <v>56300000</v>
      </c>
      <c r="L1733" s="3">
        <v>0.97916666666666663</v>
      </c>
    </row>
    <row r="1734" spans="1:12" x14ac:dyDescent="0.25">
      <c r="A1734" t="s">
        <v>1068</v>
      </c>
      <c r="B1734" s="2">
        <v>44887</v>
      </c>
      <c r="C1734" t="s">
        <v>18</v>
      </c>
      <c r="D1734" t="s">
        <v>1636</v>
      </c>
      <c r="E1734" s="5">
        <v>52900000</v>
      </c>
      <c r="F1734" s="5">
        <v>55900000</v>
      </c>
      <c r="G1734" s="5">
        <v>3000000</v>
      </c>
      <c r="H1734" s="5">
        <v>5290000</v>
      </c>
      <c r="I1734" s="5">
        <v>5590000</v>
      </c>
      <c r="J1734" s="5">
        <v>53400000</v>
      </c>
      <c r="K1734" s="5">
        <v>56400000</v>
      </c>
      <c r="L1734" s="3">
        <v>0.97916666666666663</v>
      </c>
    </row>
    <row r="1735" spans="1:12" x14ac:dyDescent="0.25">
      <c r="A1735" t="s">
        <v>1069</v>
      </c>
      <c r="B1735" s="2">
        <v>44888</v>
      </c>
      <c r="C1735" t="s">
        <v>19</v>
      </c>
      <c r="D1735" t="s">
        <v>1636</v>
      </c>
      <c r="E1735" s="5">
        <v>53100000</v>
      </c>
      <c r="F1735" s="5">
        <v>56100000</v>
      </c>
      <c r="G1735" s="5">
        <v>3000000</v>
      </c>
      <c r="H1735" s="5">
        <v>5310000</v>
      </c>
      <c r="I1735" s="5">
        <v>5610000</v>
      </c>
      <c r="J1735" s="5">
        <v>53600000</v>
      </c>
      <c r="K1735" s="5">
        <v>56600000</v>
      </c>
      <c r="L1735" s="3">
        <v>0.97916666666666663</v>
      </c>
    </row>
    <row r="1736" spans="1:12" x14ac:dyDescent="0.25">
      <c r="A1736" t="s">
        <v>1070</v>
      </c>
      <c r="B1736" s="2">
        <v>44890</v>
      </c>
      <c r="C1736" t="s">
        <v>21</v>
      </c>
      <c r="D1736" t="s">
        <v>1636</v>
      </c>
      <c r="E1736" s="5">
        <v>53300000</v>
      </c>
      <c r="F1736" s="5">
        <v>56300000</v>
      </c>
      <c r="G1736" s="5">
        <v>3000000</v>
      </c>
      <c r="H1736" s="5">
        <v>5330000</v>
      </c>
      <c r="I1736" s="5">
        <v>5630000</v>
      </c>
      <c r="J1736" s="5">
        <v>53800000</v>
      </c>
      <c r="K1736" s="5">
        <v>56800000</v>
      </c>
      <c r="L1736" s="3">
        <v>0.97916666666666663</v>
      </c>
    </row>
    <row r="1737" spans="1:12" x14ac:dyDescent="0.25">
      <c r="A1737" t="s">
        <v>1071</v>
      </c>
      <c r="B1737" s="2">
        <v>44893</v>
      </c>
      <c r="C1737" t="s">
        <v>16</v>
      </c>
      <c r="D1737" t="s">
        <v>1636</v>
      </c>
      <c r="E1737" s="5">
        <v>52900000</v>
      </c>
      <c r="F1737" s="5">
        <v>55900000</v>
      </c>
      <c r="G1737" s="5">
        <v>3000000</v>
      </c>
      <c r="H1737" s="5">
        <v>5290000</v>
      </c>
      <c r="I1737" s="5">
        <v>5590000</v>
      </c>
      <c r="J1737" s="5">
        <v>53400000</v>
      </c>
      <c r="K1737" s="5">
        <v>56400000</v>
      </c>
      <c r="L1737" s="3">
        <v>0.97916666666666663</v>
      </c>
    </row>
    <row r="1738" spans="1:12" x14ac:dyDescent="0.25">
      <c r="A1738" t="s">
        <v>1072</v>
      </c>
      <c r="B1738" s="2">
        <v>44894</v>
      </c>
      <c r="C1738" t="s">
        <v>18</v>
      </c>
      <c r="D1738" t="s">
        <v>1636</v>
      </c>
      <c r="E1738" s="5">
        <v>53200000</v>
      </c>
      <c r="F1738" s="5">
        <v>56200000</v>
      </c>
      <c r="G1738" s="5">
        <v>3000000</v>
      </c>
      <c r="H1738" s="5">
        <v>5320000</v>
      </c>
      <c r="I1738" s="5">
        <v>5620000</v>
      </c>
      <c r="J1738" s="5">
        <v>53700000</v>
      </c>
      <c r="K1738" s="5">
        <v>56700000</v>
      </c>
      <c r="L1738" s="3">
        <v>0.97916666666666663</v>
      </c>
    </row>
    <row r="1739" spans="1:12" x14ac:dyDescent="0.25">
      <c r="A1739" t="s">
        <v>1073</v>
      </c>
      <c r="B1739" s="2">
        <v>44895</v>
      </c>
      <c r="C1739" t="s">
        <v>19</v>
      </c>
      <c r="D1739" t="s">
        <v>1636</v>
      </c>
      <c r="E1739" s="5">
        <v>53100000</v>
      </c>
      <c r="F1739" s="5">
        <v>56100000</v>
      </c>
      <c r="G1739" s="5">
        <v>3000000</v>
      </c>
      <c r="H1739" s="5">
        <v>5310000</v>
      </c>
      <c r="I1739" s="5">
        <v>5610000</v>
      </c>
      <c r="J1739" s="5">
        <v>53600000</v>
      </c>
      <c r="K1739" s="5">
        <v>56600000</v>
      </c>
      <c r="L1739" s="3">
        <v>0.97916666666666663</v>
      </c>
    </row>
    <row r="1740" spans="1:12" x14ac:dyDescent="0.25">
      <c r="A1740" s="2">
        <v>44573</v>
      </c>
      <c r="B1740" s="2">
        <v>44896</v>
      </c>
      <c r="C1740" t="s">
        <v>20</v>
      </c>
      <c r="D1740" t="s">
        <v>1636</v>
      </c>
      <c r="E1740" s="5">
        <v>54900000</v>
      </c>
      <c r="F1740" s="5">
        <v>57900000</v>
      </c>
      <c r="G1740" s="5">
        <v>3000000</v>
      </c>
      <c r="H1740" s="5">
        <v>5490000</v>
      </c>
      <c r="I1740" s="5">
        <v>5790000</v>
      </c>
      <c r="J1740" s="5">
        <v>55400000</v>
      </c>
      <c r="K1740" s="5">
        <v>58400000</v>
      </c>
      <c r="L1740" s="3">
        <v>0.97916666666666663</v>
      </c>
    </row>
    <row r="1741" spans="1:12" x14ac:dyDescent="0.25">
      <c r="A1741" s="2">
        <v>44604</v>
      </c>
      <c r="B1741" s="2">
        <v>44897</v>
      </c>
      <c r="C1741" t="s">
        <v>21</v>
      </c>
      <c r="D1741" t="s">
        <v>1636</v>
      </c>
      <c r="E1741" s="5">
        <v>54700000</v>
      </c>
      <c r="F1741" s="5">
        <v>57700000</v>
      </c>
      <c r="G1741" s="5">
        <v>3000000</v>
      </c>
      <c r="H1741" s="5">
        <v>5470000</v>
      </c>
      <c r="I1741" s="5">
        <v>5770000</v>
      </c>
      <c r="J1741" s="5">
        <v>55200000</v>
      </c>
      <c r="K1741" s="5">
        <v>58200000</v>
      </c>
      <c r="L1741" s="3">
        <v>0.97916666666666663</v>
      </c>
    </row>
    <row r="1742" spans="1:12" x14ac:dyDescent="0.25">
      <c r="A1742" s="2">
        <v>44693</v>
      </c>
      <c r="B1742" s="2">
        <v>44900</v>
      </c>
      <c r="C1742" t="s">
        <v>16</v>
      </c>
      <c r="D1742" t="s">
        <v>1636</v>
      </c>
      <c r="E1742" s="5">
        <v>53800000</v>
      </c>
      <c r="F1742" s="5">
        <v>56800000</v>
      </c>
      <c r="G1742" s="5">
        <v>3000000</v>
      </c>
      <c r="H1742" s="5">
        <v>5380000</v>
      </c>
      <c r="I1742" s="5">
        <v>5680000</v>
      </c>
      <c r="J1742" s="5">
        <v>54300000</v>
      </c>
      <c r="K1742" s="5">
        <v>57300000</v>
      </c>
      <c r="L1742" s="3">
        <v>0.97916666666666663</v>
      </c>
    </row>
    <row r="1743" spans="1:12" x14ac:dyDescent="0.25">
      <c r="A1743" s="2">
        <v>44724</v>
      </c>
      <c r="B1743" s="2">
        <v>44901</v>
      </c>
      <c r="C1743" t="s">
        <v>18</v>
      </c>
      <c r="D1743" t="s">
        <v>1636</v>
      </c>
      <c r="E1743" s="5">
        <v>53900000</v>
      </c>
      <c r="F1743" s="5">
        <v>56900000</v>
      </c>
      <c r="G1743" s="5">
        <v>3000000</v>
      </c>
      <c r="H1743" s="5">
        <v>5390000</v>
      </c>
      <c r="I1743" s="5">
        <v>5690000</v>
      </c>
      <c r="J1743" s="5">
        <v>54400000</v>
      </c>
      <c r="K1743" s="5">
        <v>57400000</v>
      </c>
      <c r="L1743" s="3">
        <v>0.97916666666666663</v>
      </c>
    </row>
    <row r="1744" spans="1:12" x14ac:dyDescent="0.25">
      <c r="A1744" s="2">
        <v>44754</v>
      </c>
      <c r="B1744" s="2">
        <v>44902</v>
      </c>
      <c r="C1744" t="s">
        <v>19</v>
      </c>
      <c r="D1744" t="s">
        <v>1636</v>
      </c>
      <c r="E1744" s="5">
        <v>54400000</v>
      </c>
      <c r="F1744" s="5">
        <v>57400000</v>
      </c>
      <c r="G1744" s="5">
        <v>3000000</v>
      </c>
      <c r="H1744" s="5">
        <v>5440000</v>
      </c>
      <c r="I1744" s="5">
        <v>5740000</v>
      </c>
      <c r="J1744" s="5">
        <v>54900000</v>
      </c>
      <c r="K1744" s="5">
        <v>57900000</v>
      </c>
      <c r="L1744" s="3">
        <v>0.97916666666666663</v>
      </c>
    </row>
    <row r="1745" spans="1:12" x14ac:dyDescent="0.25">
      <c r="A1745" s="2">
        <v>44785</v>
      </c>
      <c r="B1745" s="2">
        <v>44903</v>
      </c>
      <c r="C1745" t="s">
        <v>20</v>
      </c>
      <c r="D1745" t="s">
        <v>1636</v>
      </c>
      <c r="E1745" s="5">
        <v>54500000</v>
      </c>
      <c r="F1745" s="5">
        <v>57500000</v>
      </c>
      <c r="G1745" s="5">
        <v>3000000</v>
      </c>
      <c r="H1745" s="5">
        <v>5450000</v>
      </c>
      <c r="I1745" s="5">
        <v>5750000</v>
      </c>
      <c r="J1745" s="5">
        <v>55000000</v>
      </c>
      <c r="K1745" s="5">
        <v>58000000</v>
      </c>
      <c r="L1745" s="3">
        <v>0.97916666666666663</v>
      </c>
    </row>
    <row r="1746" spans="1:12" x14ac:dyDescent="0.25">
      <c r="A1746" s="2">
        <v>44816</v>
      </c>
      <c r="B1746" s="2">
        <v>44904</v>
      </c>
      <c r="C1746" t="s">
        <v>21</v>
      </c>
      <c r="D1746" t="s">
        <v>1636</v>
      </c>
      <c r="E1746" s="5">
        <v>54800000</v>
      </c>
      <c r="F1746" s="5">
        <v>57800000</v>
      </c>
      <c r="G1746" s="5">
        <v>3000000</v>
      </c>
      <c r="H1746" s="5">
        <v>5480000</v>
      </c>
      <c r="I1746" s="5">
        <v>5780000</v>
      </c>
      <c r="J1746" s="5">
        <v>55300000</v>
      </c>
      <c r="K1746" s="5">
        <v>58300000</v>
      </c>
      <c r="L1746" s="3">
        <v>0.97916666666666663</v>
      </c>
    </row>
    <row r="1747" spans="1:12" x14ac:dyDescent="0.25">
      <c r="A1747" s="2">
        <v>44907</v>
      </c>
      <c r="B1747" s="2">
        <v>44907</v>
      </c>
      <c r="C1747" t="s">
        <v>16</v>
      </c>
      <c r="D1747" t="s">
        <v>1636</v>
      </c>
      <c r="E1747" s="5">
        <v>54200000</v>
      </c>
      <c r="F1747" s="5">
        <v>57200000</v>
      </c>
      <c r="G1747" s="5">
        <v>3000000</v>
      </c>
      <c r="H1747" s="5">
        <v>5420000</v>
      </c>
      <c r="I1747" s="5">
        <v>5720000</v>
      </c>
      <c r="J1747" s="5">
        <v>54700000</v>
      </c>
      <c r="K1747" s="5">
        <v>57700000</v>
      </c>
      <c r="L1747" s="3">
        <v>0.97916666666666663</v>
      </c>
    </row>
    <row r="1748" spans="1:12" x14ac:dyDescent="0.25">
      <c r="A1748" t="s">
        <v>1074</v>
      </c>
      <c r="B1748" s="2">
        <v>44908</v>
      </c>
      <c r="C1748" t="s">
        <v>18</v>
      </c>
      <c r="D1748" t="s">
        <v>1636</v>
      </c>
      <c r="E1748" s="5">
        <v>55300000</v>
      </c>
      <c r="F1748" s="5">
        <v>58300000</v>
      </c>
      <c r="G1748" s="5">
        <v>3000000</v>
      </c>
      <c r="H1748" s="5">
        <v>5530000</v>
      </c>
      <c r="I1748" s="5">
        <v>5830000</v>
      </c>
      <c r="J1748" s="5">
        <v>55800000</v>
      </c>
      <c r="K1748" s="5">
        <v>58800000</v>
      </c>
      <c r="L1748" s="3">
        <v>0.97916666666666663</v>
      </c>
    </row>
    <row r="1749" spans="1:12" x14ac:dyDescent="0.25">
      <c r="A1749" t="s">
        <v>1075</v>
      </c>
      <c r="B1749" s="2">
        <v>44909</v>
      </c>
      <c r="C1749" t="s">
        <v>19</v>
      </c>
      <c r="D1749" t="s">
        <v>1636</v>
      </c>
      <c r="E1749" s="5">
        <v>55100000</v>
      </c>
      <c r="F1749" s="5">
        <v>58100000</v>
      </c>
      <c r="G1749" s="5">
        <v>3000000</v>
      </c>
      <c r="H1749" s="5">
        <v>5510000</v>
      </c>
      <c r="I1749" s="5">
        <v>5810000</v>
      </c>
      <c r="J1749" s="5">
        <v>55600000</v>
      </c>
      <c r="K1749" s="5">
        <v>58600000</v>
      </c>
      <c r="L1749" s="3">
        <v>0.97916666666666663</v>
      </c>
    </row>
    <row r="1750" spans="1:12" x14ac:dyDescent="0.25">
      <c r="A1750" t="s">
        <v>1076</v>
      </c>
      <c r="B1750" s="2">
        <v>44910</v>
      </c>
      <c r="C1750" t="s">
        <v>20</v>
      </c>
      <c r="D1750" t="s">
        <v>1636</v>
      </c>
      <c r="E1750" s="5">
        <v>54100000</v>
      </c>
      <c r="F1750" s="5">
        <v>57100000</v>
      </c>
      <c r="G1750" s="5">
        <v>3000000</v>
      </c>
      <c r="H1750" s="5">
        <v>5410000</v>
      </c>
      <c r="I1750" s="5">
        <v>5710000</v>
      </c>
      <c r="J1750" s="5">
        <v>54600000</v>
      </c>
      <c r="K1750" s="5">
        <v>57600000</v>
      </c>
      <c r="L1750" s="3">
        <v>0.97916666666666663</v>
      </c>
    </row>
    <row r="1751" spans="1:12" x14ac:dyDescent="0.25">
      <c r="A1751" t="s">
        <v>1077</v>
      </c>
      <c r="B1751" s="2">
        <v>44911</v>
      </c>
      <c r="C1751" t="s">
        <v>21</v>
      </c>
      <c r="D1751" t="s">
        <v>1636</v>
      </c>
      <c r="E1751" s="5">
        <v>54500000</v>
      </c>
      <c r="F1751" s="5">
        <v>57500000</v>
      </c>
      <c r="G1751" s="5">
        <v>3000000</v>
      </c>
      <c r="H1751" s="5">
        <v>5450000</v>
      </c>
      <c r="I1751" s="5">
        <v>5750000</v>
      </c>
      <c r="J1751" s="5">
        <v>55000000</v>
      </c>
      <c r="K1751" s="5">
        <v>58000000</v>
      </c>
      <c r="L1751" s="3">
        <v>0.97916666666666663</v>
      </c>
    </row>
    <row r="1752" spans="1:12" x14ac:dyDescent="0.25">
      <c r="A1752" t="s">
        <v>1078</v>
      </c>
      <c r="B1752" s="2">
        <v>44914</v>
      </c>
      <c r="C1752" t="s">
        <v>16</v>
      </c>
      <c r="D1752" t="s">
        <v>1636</v>
      </c>
      <c r="E1752" s="5">
        <v>54500000</v>
      </c>
      <c r="F1752" s="5">
        <v>57500000</v>
      </c>
      <c r="G1752" s="5">
        <v>3000000</v>
      </c>
      <c r="H1752" s="5">
        <v>5450000</v>
      </c>
      <c r="I1752" s="5">
        <v>5750000</v>
      </c>
      <c r="J1752" s="5">
        <v>55000000</v>
      </c>
      <c r="K1752" s="5">
        <v>58000000</v>
      </c>
      <c r="L1752" s="3">
        <v>0.97916666666666663</v>
      </c>
    </row>
    <row r="1753" spans="1:12" x14ac:dyDescent="0.25">
      <c r="A1753" t="s">
        <v>1079</v>
      </c>
      <c r="B1753" s="2">
        <v>44915</v>
      </c>
      <c r="C1753" t="s">
        <v>18</v>
      </c>
      <c r="D1753" t="s">
        <v>1636</v>
      </c>
      <c r="E1753" s="5">
        <v>55400000</v>
      </c>
      <c r="F1753" s="5">
        <v>58400000</v>
      </c>
      <c r="G1753" s="5">
        <v>3000000</v>
      </c>
      <c r="H1753" s="5">
        <v>5540000</v>
      </c>
      <c r="I1753" s="5">
        <v>5840000</v>
      </c>
      <c r="J1753" s="5">
        <v>55900000</v>
      </c>
      <c r="K1753" s="5">
        <v>58900000</v>
      </c>
      <c r="L1753" s="3">
        <v>0.97916666666666663</v>
      </c>
    </row>
    <row r="1754" spans="1:12" x14ac:dyDescent="0.25">
      <c r="A1754" t="s">
        <v>1080</v>
      </c>
      <c r="B1754" s="2">
        <v>44916</v>
      </c>
      <c r="C1754" t="s">
        <v>19</v>
      </c>
      <c r="D1754" t="s">
        <v>1636</v>
      </c>
      <c r="E1754" s="5">
        <v>55400000</v>
      </c>
      <c r="F1754" s="5">
        <v>58400000</v>
      </c>
      <c r="G1754" s="5">
        <v>3000000</v>
      </c>
      <c r="H1754" s="5">
        <v>5540000</v>
      </c>
      <c r="I1754" s="5">
        <v>5840000</v>
      </c>
      <c r="J1754" s="5">
        <v>55900000</v>
      </c>
      <c r="K1754" s="5">
        <v>58900000</v>
      </c>
      <c r="L1754" s="3">
        <v>0.97916666666666663</v>
      </c>
    </row>
    <row r="1755" spans="1:12" x14ac:dyDescent="0.25">
      <c r="A1755" t="s">
        <v>1081</v>
      </c>
      <c r="B1755" s="2">
        <v>44917</v>
      </c>
      <c r="C1755" t="s">
        <v>20</v>
      </c>
      <c r="D1755" t="s">
        <v>1636</v>
      </c>
      <c r="E1755" s="5">
        <v>54400000</v>
      </c>
      <c r="F1755" s="5">
        <v>57400000</v>
      </c>
      <c r="G1755" s="5">
        <v>3000000</v>
      </c>
      <c r="H1755" s="5">
        <v>5440000</v>
      </c>
      <c r="I1755" s="5">
        <v>5740000</v>
      </c>
      <c r="J1755" s="5">
        <v>54900000</v>
      </c>
      <c r="K1755" s="5">
        <v>57900000</v>
      </c>
      <c r="L1755" s="3">
        <v>0.97916666666666663</v>
      </c>
    </row>
    <row r="1756" spans="1:12" x14ac:dyDescent="0.25">
      <c r="A1756" t="s">
        <v>1082</v>
      </c>
      <c r="B1756" s="2">
        <v>44918</v>
      </c>
      <c r="C1756" t="s">
        <v>21</v>
      </c>
      <c r="D1756" t="s">
        <v>1636</v>
      </c>
      <c r="E1756" s="5">
        <v>54700000</v>
      </c>
      <c r="F1756" s="5">
        <v>57700000</v>
      </c>
      <c r="G1756" s="5">
        <v>3000000</v>
      </c>
      <c r="H1756" s="5">
        <v>5470000</v>
      </c>
      <c r="I1756" s="5">
        <v>5770000</v>
      </c>
      <c r="J1756" s="5">
        <v>55200000</v>
      </c>
      <c r="K1756" s="5">
        <v>58200000</v>
      </c>
      <c r="L1756" s="3">
        <v>0.97916666666666663</v>
      </c>
    </row>
    <row r="1757" spans="1:12" x14ac:dyDescent="0.25">
      <c r="A1757" t="s">
        <v>1083</v>
      </c>
      <c r="B1757" s="2">
        <v>44922</v>
      </c>
      <c r="C1757" t="s">
        <v>18</v>
      </c>
      <c r="D1757" t="s">
        <v>1636</v>
      </c>
      <c r="E1757" s="5">
        <v>55300000</v>
      </c>
      <c r="F1757" s="5">
        <v>58300000</v>
      </c>
      <c r="G1757" s="5">
        <v>3000000</v>
      </c>
      <c r="H1757" s="5">
        <v>5530000</v>
      </c>
      <c r="I1757" s="5">
        <v>5830000</v>
      </c>
      <c r="J1757" s="5">
        <v>55800000</v>
      </c>
      <c r="K1757" s="5">
        <v>58800000</v>
      </c>
      <c r="L1757" s="3">
        <v>0.97916666666666663</v>
      </c>
    </row>
    <row r="1758" spans="1:12" x14ac:dyDescent="0.25">
      <c r="A1758" t="s">
        <v>1084</v>
      </c>
      <c r="B1758" s="2">
        <v>44923</v>
      </c>
      <c r="C1758" t="s">
        <v>19</v>
      </c>
      <c r="D1758" t="s">
        <v>1636</v>
      </c>
      <c r="E1758" s="5">
        <v>55100000</v>
      </c>
      <c r="F1758" s="5">
        <v>58100000</v>
      </c>
      <c r="G1758" s="5">
        <v>3000000</v>
      </c>
      <c r="H1758" s="5">
        <v>5510000</v>
      </c>
      <c r="I1758" s="5">
        <v>5810000</v>
      </c>
      <c r="J1758" s="5">
        <v>55600000</v>
      </c>
      <c r="K1758" s="5">
        <v>58600000</v>
      </c>
      <c r="L1758" s="3">
        <v>0.97916666666666663</v>
      </c>
    </row>
    <row r="1759" spans="1:12" x14ac:dyDescent="0.25">
      <c r="A1759" t="s">
        <v>1085</v>
      </c>
      <c r="B1759" s="2">
        <v>44924</v>
      </c>
      <c r="C1759" t="s">
        <v>20</v>
      </c>
      <c r="D1759" t="s">
        <v>1636</v>
      </c>
      <c r="E1759" s="5">
        <v>55500000</v>
      </c>
      <c r="F1759" s="5">
        <v>58500000</v>
      </c>
      <c r="G1759" s="5">
        <v>3000000</v>
      </c>
      <c r="H1759" s="5">
        <v>5550000</v>
      </c>
      <c r="I1759" s="5">
        <v>5850000</v>
      </c>
      <c r="J1759" s="5">
        <v>56000000</v>
      </c>
      <c r="K1759" s="5">
        <v>59000000</v>
      </c>
      <c r="L1759" s="3">
        <v>0.97916666666666663</v>
      </c>
    </row>
    <row r="1760" spans="1:12" x14ac:dyDescent="0.25">
      <c r="A1760" t="s">
        <v>1086</v>
      </c>
      <c r="B1760" s="2">
        <v>44925</v>
      </c>
      <c r="C1760" t="s">
        <v>21</v>
      </c>
      <c r="D1760" t="s">
        <v>1636</v>
      </c>
      <c r="E1760" s="5">
        <v>55500000</v>
      </c>
      <c r="F1760" s="5">
        <v>58500000</v>
      </c>
      <c r="G1760" s="5">
        <v>3000000</v>
      </c>
      <c r="H1760" s="5">
        <v>5550000</v>
      </c>
      <c r="I1760" s="5">
        <v>5850000</v>
      </c>
      <c r="J1760" s="5">
        <v>56000000</v>
      </c>
      <c r="K1760" s="5">
        <v>59000000</v>
      </c>
      <c r="L1760" s="3">
        <v>0.97916666666666663</v>
      </c>
    </row>
    <row r="1761" spans="1:12" x14ac:dyDescent="0.25">
      <c r="A1761" s="2">
        <v>44986</v>
      </c>
      <c r="B1761" s="2">
        <v>44929</v>
      </c>
      <c r="C1761" t="s">
        <v>18</v>
      </c>
      <c r="D1761" t="s">
        <v>1636</v>
      </c>
      <c r="E1761" s="5">
        <v>58200000</v>
      </c>
      <c r="F1761" s="5">
        <v>61200000</v>
      </c>
      <c r="G1761" s="5">
        <v>3000000</v>
      </c>
      <c r="H1761" s="5">
        <v>5820000</v>
      </c>
      <c r="I1761" s="5">
        <v>6120000</v>
      </c>
      <c r="J1761" s="5">
        <v>58700000</v>
      </c>
      <c r="K1761" s="5">
        <v>61700000</v>
      </c>
      <c r="L1761" s="3">
        <v>0.97916666666666663</v>
      </c>
    </row>
    <row r="1762" spans="1:12" x14ac:dyDescent="0.25">
      <c r="A1762" s="2">
        <v>45017</v>
      </c>
      <c r="B1762" s="2">
        <v>44930</v>
      </c>
      <c r="C1762" t="s">
        <v>19</v>
      </c>
      <c r="D1762" t="s">
        <v>1636</v>
      </c>
      <c r="E1762" s="5">
        <v>58600000</v>
      </c>
      <c r="F1762" s="5">
        <v>61600000</v>
      </c>
      <c r="G1762" s="5">
        <v>3000000</v>
      </c>
      <c r="H1762" s="5">
        <v>5860000</v>
      </c>
      <c r="I1762" s="5">
        <v>6160000</v>
      </c>
      <c r="J1762" s="5">
        <v>59100000</v>
      </c>
      <c r="K1762" s="5">
        <v>62100000</v>
      </c>
      <c r="L1762" s="3">
        <v>0.97916666666666663</v>
      </c>
    </row>
    <row r="1763" spans="1:12" x14ac:dyDescent="0.25">
      <c r="A1763" s="2">
        <v>45047</v>
      </c>
      <c r="B1763" s="2">
        <v>44931</v>
      </c>
      <c r="C1763" t="s">
        <v>20</v>
      </c>
      <c r="D1763" t="s">
        <v>1636</v>
      </c>
      <c r="E1763" s="5">
        <v>58000000</v>
      </c>
      <c r="F1763" s="5">
        <v>61000000</v>
      </c>
      <c r="G1763" s="5">
        <v>3000000</v>
      </c>
      <c r="H1763" s="5">
        <v>5800000</v>
      </c>
      <c r="I1763" s="5">
        <v>6100000</v>
      </c>
      <c r="J1763" s="5">
        <v>58500000</v>
      </c>
      <c r="K1763" s="5">
        <v>61500000</v>
      </c>
      <c r="L1763" s="3">
        <v>0.97916666666666663</v>
      </c>
    </row>
    <row r="1764" spans="1:12" x14ac:dyDescent="0.25">
      <c r="A1764" s="2">
        <v>45078</v>
      </c>
      <c r="B1764" s="2">
        <v>44932</v>
      </c>
      <c r="C1764" t="s">
        <v>21</v>
      </c>
      <c r="D1764" t="s">
        <v>1636</v>
      </c>
      <c r="E1764" s="5">
        <v>59000000</v>
      </c>
      <c r="F1764" s="5">
        <v>62000000</v>
      </c>
      <c r="G1764" s="5">
        <v>3000000</v>
      </c>
      <c r="H1764" s="5">
        <v>5900000</v>
      </c>
      <c r="I1764" s="5">
        <v>6200000</v>
      </c>
      <c r="J1764" s="5">
        <v>59500000</v>
      </c>
      <c r="K1764" s="5">
        <v>62500000</v>
      </c>
      <c r="L1764" s="3">
        <v>0.97916666666666663</v>
      </c>
    </row>
    <row r="1765" spans="1:12" x14ac:dyDescent="0.25">
      <c r="A1765" s="2">
        <v>45170</v>
      </c>
      <c r="B1765" s="2">
        <v>44935</v>
      </c>
      <c r="C1765" t="s">
        <v>16</v>
      </c>
      <c r="D1765" t="s">
        <v>1636</v>
      </c>
      <c r="E1765" s="5">
        <v>59300000</v>
      </c>
      <c r="F1765" s="5">
        <v>62300000</v>
      </c>
      <c r="G1765" s="5">
        <v>3000000</v>
      </c>
      <c r="H1765" s="5">
        <v>5930000</v>
      </c>
      <c r="I1765" s="5">
        <v>6230000</v>
      </c>
      <c r="J1765" s="5">
        <v>59800000</v>
      </c>
      <c r="K1765" s="5">
        <v>62800000</v>
      </c>
      <c r="L1765" s="3">
        <v>0.97916666666666663</v>
      </c>
    </row>
    <row r="1766" spans="1:12" x14ac:dyDescent="0.25">
      <c r="A1766" s="2">
        <v>45200</v>
      </c>
      <c r="B1766" s="2">
        <v>44936</v>
      </c>
      <c r="C1766" t="s">
        <v>18</v>
      </c>
      <c r="D1766" t="s">
        <v>1636</v>
      </c>
      <c r="E1766" s="5">
        <v>59300000</v>
      </c>
      <c r="F1766" s="5">
        <v>62300000</v>
      </c>
      <c r="G1766" s="5">
        <v>3000000</v>
      </c>
      <c r="H1766" s="5">
        <v>5930000</v>
      </c>
      <c r="I1766" s="5">
        <v>6230000</v>
      </c>
      <c r="J1766" s="5">
        <v>59800000</v>
      </c>
      <c r="K1766" s="5">
        <v>62800000</v>
      </c>
      <c r="L1766" s="3">
        <v>0.97916666666666663</v>
      </c>
    </row>
    <row r="1767" spans="1:12" x14ac:dyDescent="0.25">
      <c r="A1767" s="2">
        <v>45231</v>
      </c>
      <c r="B1767" s="2">
        <v>44937</v>
      </c>
      <c r="C1767" t="s">
        <v>19</v>
      </c>
      <c r="D1767" t="s">
        <v>1636</v>
      </c>
      <c r="E1767" s="5">
        <v>59400000</v>
      </c>
      <c r="F1767" s="5">
        <v>62400000</v>
      </c>
      <c r="G1767" s="5">
        <v>3000000</v>
      </c>
      <c r="H1767" s="5">
        <v>5940000</v>
      </c>
      <c r="I1767" s="5">
        <v>6240000</v>
      </c>
      <c r="J1767" s="5">
        <v>59900000</v>
      </c>
      <c r="K1767" s="5">
        <v>62900000</v>
      </c>
      <c r="L1767" s="3">
        <v>0.97916666666666663</v>
      </c>
    </row>
    <row r="1768" spans="1:12" x14ac:dyDescent="0.25">
      <c r="A1768" s="2">
        <v>45261</v>
      </c>
      <c r="B1768" s="2">
        <v>44938</v>
      </c>
      <c r="C1768" t="s">
        <v>20</v>
      </c>
      <c r="D1768" t="s">
        <v>1636</v>
      </c>
      <c r="E1768" s="5">
        <v>60000000</v>
      </c>
      <c r="F1768" s="5">
        <v>63000000</v>
      </c>
      <c r="G1768" s="5">
        <v>3000000</v>
      </c>
      <c r="H1768" s="5">
        <v>6000000</v>
      </c>
      <c r="I1768" s="5">
        <v>6300000</v>
      </c>
      <c r="J1768" s="5">
        <v>60500000</v>
      </c>
      <c r="K1768" s="5">
        <v>63500000</v>
      </c>
      <c r="L1768" s="3">
        <v>0.97916666666666663</v>
      </c>
    </row>
    <row r="1769" spans="1:12" x14ac:dyDescent="0.25">
      <c r="A1769" t="s">
        <v>1087</v>
      </c>
      <c r="B1769" s="2">
        <v>44939</v>
      </c>
      <c r="C1769" t="s">
        <v>21</v>
      </c>
      <c r="D1769" t="s">
        <v>1636</v>
      </c>
      <c r="E1769" s="5">
        <v>60800000</v>
      </c>
      <c r="F1769" s="5">
        <v>63800000</v>
      </c>
      <c r="G1769" s="5">
        <v>3000000</v>
      </c>
      <c r="H1769" s="5">
        <v>6080000</v>
      </c>
      <c r="I1769" s="5">
        <v>6380000</v>
      </c>
      <c r="J1769" s="5">
        <v>61300000</v>
      </c>
      <c r="K1769" s="5">
        <v>64300000</v>
      </c>
      <c r="L1769" s="3">
        <v>0.97916666666666663</v>
      </c>
    </row>
    <row r="1770" spans="1:12" x14ac:dyDescent="0.25">
      <c r="A1770" t="s">
        <v>1088</v>
      </c>
      <c r="B1770" s="2">
        <v>44943</v>
      </c>
      <c r="C1770" t="s">
        <v>18</v>
      </c>
      <c r="D1770" t="s">
        <v>1636</v>
      </c>
      <c r="E1770" s="5">
        <v>60400000</v>
      </c>
      <c r="F1770" s="5">
        <v>63400000</v>
      </c>
      <c r="G1770" s="5">
        <v>3000000</v>
      </c>
      <c r="H1770" s="5">
        <v>6040000</v>
      </c>
      <c r="I1770" s="5">
        <v>6340000</v>
      </c>
      <c r="J1770" s="5">
        <v>60900000</v>
      </c>
      <c r="K1770" s="5">
        <v>63900000</v>
      </c>
      <c r="L1770" s="3">
        <v>0.97916666666666663</v>
      </c>
    </row>
    <row r="1771" spans="1:12" x14ac:dyDescent="0.25">
      <c r="A1771" t="s">
        <v>1089</v>
      </c>
      <c r="B1771" s="2">
        <v>44944</v>
      </c>
      <c r="C1771" t="s">
        <v>19</v>
      </c>
      <c r="D1771" t="s">
        <v>1636</v>
      </c>
      <c r="E1771" s="5">
        <v>60300000</v>
      </c>
      <c r="F1771" s="5">
        <v>63300000</v>
      </c>
      <c r="G1771" s="5">
        <v>3000000</v>
      </c>
      <c r="H1771" s="5">
        <v>6030000</v>
      </c>
      <c r="I1771" s="5">
        <v>6330000</v>
      </c>
      <c r="J1771" s="5">
        <v>60800000</v>
      </c>
      <c r="K1771" s="5">
        <v>63800000</v>
      </c>
      <c r="L1771" s="3">
        <v>0.97916666666666663</v>
      </c>
    </row>
    <row r="1772" spans="1:12" x14ac:dyDescent="0.25">
      <c r="A1772" t="s">
        <v>1090</v>
      </c>
      <c r="B1772" s="2">
        <v>44945</v>
      </c>
      <c r="C1772" t="s">
        <v>20</v>
      </c>
      <c r="D1772" t="s">
        <v>1636</v>
      </c>
      <c r="E1772" s="5">
        <v>60900000</v>
      </c>
      <c r="F1772" s="5">
        <v>63900000</v>
      </c>
      <c r="G1772" s="5">
        <v>3000000</v>
      </c>
      <c r="H1772" s="5">
        <v>6090000</v>
      </c>
      <c r="I1772" s="5">
        <v>6390000</v>
      </c>
      <c r="J1772" s="5">
        <v>61400000</v>
      </c>
      <c r="K1772" s="5">
        <v>64400000</v>
      </c>
      <c r="L1772" s="3">
        <v>0.97916666666666663</v>
      </c>
    </row>
    <row r="1773" spans="1:12" x14ac:dyDescent="0.25">
      <c r="A1773" t="s">
        <v>1091</v>
      </c>
      <c r="B1773" s="2">
        <v>44946</v>
      </c>
      <c r="C1773" t="s">
        <v>21</v>
      </c>
      <c r="D1773" t="s">
        <v>1636</v>
      </c>
      <c r="E1773" s="5">
        <v>61100000</v>
      </c>
      <c r="F1773" s="5">
        <v>64100000</v>
      </c>
      <c r="G1773" s="5">
        <v>3000000</v>
      </c>
      <c r="H1773" s="5">
        <v>6110000</v>
      </c>
      <c r="I1773" s="5">
        <v>6410000</v>
      </c>
      <c r="J1773" s="5">
        <v>61600000</v>
      </c>
      <c r="K1773" s="5">
        <v>64600000</v>
      </c>
      <c r="L1773" s="3">
        <v>0.97916666666666663</v>
      </c>
    </row>
    <row r="1774" spans="1:12" x14ac:dyDescent="0.25">
      <c r="A1774" t="s">
        <v>1092</v>
      </c>
      <c r="B1774" s="2">
        <v>44949</v>
      </c>
      <c r="C1774" t="s">
        <v>16</v>
      </c>
      <c r="D1774" t="s">
        <v>1636</v>
      </c>
      <c r="E1774" s="5">
        <v>61100000</v>
      </c>
      <c r="F1774" s="5">
        <v>64100000</v>
      </c>
      <c r="G1774" s="5">
        <v>3000000</v>
      </c>
      <c r="H1774" s="5">
        <v>6110000</v>
      </c>
      <c r="I1774" s="5">
        <v>6410000</v>
      </c>
      <c r="J1774" s="5">
        <v>61600000</v>
      </c>
      <c r="K1774" s="5">
        <v>64600000</v>
      </c>
      <c r="L1774" s="3">
        <v>0.97916666666666663</v>
      </c>
    </row>
    <row r="1775" spans="1:12" x14ac:dyDescent="0.25">
      <c r="A1775" t="s">
        <v>1093</v>
      </c>
      <c r="B1775" s="2">
        <v>44950</v>
      </c>
      <c r="C1775" t="s">
        <v>18</v>
      </c>
      <c r="D1775" t="s">
        <v>1636</v>
      </c>
      <c r="E1775" s="5">
        <v>61300000</v>
      </c>
      <c r="F1775" s="5">
        <v>64300000</v>
      </c>
      <c r="G1775" s="5">
        <v>3000000</v>
      </c>
      <c r="H1775" s="5">
        <v>6130000</v>
      </c>
      <c r="I1775" s="5">
        <v>6430000</v>
      </c>
      <c r="J1775" s="5">
        <v>61800000</v>
      </c>
      <c r="K1775" s="5">
        <v>64800000</v>
      </c>
      <c r="L1775" s="3">
        <v>0.97916666666666663</v>
      </c>
    </row>
    <row r="1776" spans="1:12" x14ac:dyDescent="0.25">
      <c r="A1776" t="s">
        <v>1094</v>
      </c>
      <c r="B1776" s="2">
        <v>44951</v>
      </c>
      <c r="C1776" t="s">
        <v>19</v>
      </c>
      <c r="D1776" t="s">
        <v>1636</v>
      </c>
      <c r="E1776" s="5">
        <v>61600000</v>
      </c>
      <c r="F1776" s="5">
        <v>64600000</v>
      </c>
      <c r="G1776" s="5">
        <v>3000000</v>
      </c>
      <c r="H1776" s="5">
        <v>6160000</v>
      </c>
      <c r="I1776" s="5">
        <v>6460000</v>
      </c>
      <c r="J1776" s="5">
        <v>62100000</v>
      </c>
      <c r="K1776" s="5">
        <v>65100000</v>
      </c>
      <c r="L1776" s="3">
        <v>0.97916666666666663</v>
      </c>
    </row>
    <row r="1777" spans="1:12" x14ac:dyDescent="0.25">
      <c r="A1777" t="s">
        <v>1095</v>
      </c>
      <c r="B1777" s="2">
        <v>44952</v>
      </c>
      <c r="C1777" t="s">
        <v>20</v>
      </c>
      <c r="D1777" t="s">
        <v>1636</v>
      </c>
      <c r="E1777" s="5">
        <v>61200000</v>
      </c>
      <c r="F1777" s="5">
        <v>64200000</v>
      </c>
      <c r="G1777" s="5">
        <v>3000000</v>
      </c>
      <c r="H1777" s="5">
        <v>6120000</v>
      </c>
      <c r="I1777" s="5">
        <v>6420000</v>
      </c>
      <c r="J1777" s="5">
        <v>61700000</v>
      </c>
      <c r="K1777" s="5">
        <v>64700000</v>
      </c>
      <c r="L1777" s="3">
        <v>0.97916666666666663</v>
      </c>
    </row>
    <row r="1778" spans="1:12" x14ac:dyDescent="0.25">
      <c r="A1778" t="s">
        <v>1096</v>
      </c>
      <c r="B1778" s="2">
        <v>44953</v>
      </c>
      <c r="C1778" t="s">
        <v>21</v>
      </c>
      <c r="D1778" t="s">
        <v>1636</v>
      </c>
      <c r="E1778" s="5">
        <v>61100000</v>
      </c>
      <c r="F1778" s="5">
        <v>64100000</v>
      </c>
      <c r="G1778" s="5">
        <v>3000000</v>
      </c>
      <c r="H1778" s="5">
        <v>6110000</v>
      </c>
      <c r="I1778" s="5">
        <v>6410000</v>
      </c>
      <c r="J1778" s="5">
        <v>61600000</v>
      </c>
      <c r="K1778" s="5">
        <v>64600000</v>
      </c>
      <c r="L1778" s="3">
        <v>0.97916666666666663</v>
      </c>
    </row>
    <row r="1779" spans="1:12" x14ac:dyDescent="0.25">
      <c r="A1779" t="s">
        <v>1097</v>
      </c>
      <c r="B1779" s="2">
        <v>44956</v>
      </c>
      <c r="C1779" t="s">
        <v>16</v>
      </c>
      <c r="D1779" t="s">
        <v>1636</v>
      </c>
      <c r="E1779" s="5">
        <v>61000000</v>
      </c>
      <c r="F1779" s="5">
        <v>64000000</v>
      </c>
      <c r="G1779" s="5">
        <v>3000000</v>
      </c>
      <c r="H1779" s="5">
        <v>6100000</v>
      </c>
      <c r="I1779" s="5">
        <v>6400000</v>
      </c>
      <c r="J1779" s="5">
        <v>61500000</v>
      </c>
      <c r="K1779" s="5">
        <v>64500000</v>
      </c>
      <c r="L1779" s="3">
        <v>0.97916666666666663</v>
      </c>
    </row>
    <row r="1780" spans="1:12" x14ac:dyDescent="0.25">
      <c r="A1780" t="s">
        <v>1098</v>
      </c>
      <c r="B1780" s="2">
        <v>44957</v>
      </c>
      <c r="C1780" t="s">
        <v>18</v>
      </c>
      <c r="D1780" t="s">
        <v>1636</v>
      </c>
      <c r="E1780" s="5">
        <v>61200000</v>
      </c>
      <c r="F1780" s="5">
        <v>64200000</v>
      </c>
      <c r="G1780" s="5">
        <v>3000000</v>
      </c>
      <c r="H1780" s="5">
        <v>6120000</v>
      </c>
      <c r="I1780" s="5">
        <v>6420000</v>
      </c>
      <c r="J1780" s="5">
        <v>61700000</v>
      </c>
      <c r="K1780" s="5">
        <v>64700000</v>
      </c>
      <c r="L1780" s="3">
        <v>0.97916666666666663</v>
      </c>
    </row>
    <row r="1781" spans="1:12" x14ac:dyDescent="0.25">
      <c r="A1781" s="2">
        <v>44928</v>
      </c>
      <c r="B1781" s="2">
        <v>44958</v>
      </c>
      <c r="C1781" t="s">
        <v>19</v>
      </c>
      <c r="D1781" t="s">
        <v>1636</v>
      </c>
      <c r="E1781" s="5">
        <v>61100000</v>
      </c>
      <c r="F1781" s="5">
        <v>64100000</v>
      </c>
      <c r="G1781" s="5">
        <v>3000000</v>
      </c>
      <c r="H1781" s="5">
        <v>6110000</v>
      </c>
      <c r="I1781" s="5">
        <v>6410000</v>
      </c>
      <c r="J1781" s="5">
        <v>61600000</v>
      </c>
      <c r="K1781" s="5">
        <v>64600000</v>
      </c>
      <c r="L1781" s="3">
        <v>0.97916666666666663</v>
      </c>
    </row>
    <row r="1782" spans="1:12" x14ac:dyDescent="0.25">
      <c r="A1782" s="2">
        <v>44959</v>
      </c>
      <c r="B1782" s="2">
        <v>44959</v>
      </c>
      <c r="C1782" t="s">
        <v>20</v>
      </c>
      <c r="D1782" t="s">
        <v>1636</v>
      </c>
      <c r="E1782" s="5">
        <v>60700000</v>
      </c>
      <c r="F1782" s="5">
        <v>63700000</v>
      </c>
      <c r="G1782" s="5">
        <v>3000000</v>
      </c>
      <c r="H1782" s="5">
        <v>6070000</v>
      </c>
      <c r="I1782" s="5">
        <v>6370000</v>
      </c>
      <c r="J1782" s="5">
        <v>61200000</v>
      </c>
      <c r="K1782" s="5">
        <v>64200000</v>
      </c>
      <c r="L1782" s="3">
        <v>0.97916666666666663</v>
      </c>
    </row>
    <row r="1783" spans="1:12" x14ac:dyDescent="0.25">
      <c r="A1783" s="2">
        <v>44987</v>
      </c>
      <c r="B1783" s="2">
        <v>44960</v>
      </c>
      <c r="C1783" t="s">
        <v>21</v>
      </c>
      <c r="D1783" t="s">
        <v>1636</v>
      </c>
      <c r="E1783" s="5">
        <v>59000000</v>
      </c>
      <c r="F1783" s="5">
        <v>62000000</v>
      </c>
      <c r="G1783" s="5">
        <v>3000000</v>
      </c>
      <c r="H1783" s="5">
        <v>5900000</v>
      </c>
      <c r="I1783" s="5">
        <v>6200000</v>
      </c>
      <c r="J1783" s="5">
        <v>59500000</v>
      </c>
      <c r="K1783" s="5">
        <v>62500000</v>
      </c>
      <c r="L1783" s="3">
        <v>0.97916666666666663</v>
      </c>
    </row>
    <row r="1784" spans="1:12" x14ac:dyDescent="0.25">
      <c r="A1784" s="2">
        <v>45079</v>
      </c>
      <c r="B1784" s="2">
        <v>44963</v>
      </c>
      <c r="C1784" t="s">
        <v>16</v>
      </c>
      <c r="D1784" t="s">
        <v>1636</v>
      </c>
      <c r="E1784" s="5">
        <v>59100000</v>
      </c>
      <c r="F1784" s="5">
        <v>62100000</v>
      </c>
      <c r="G1784" s="5">
        <v>3000000</v>
      </c>
      <c r="H1784" s="5">
        <v>5910000</v>
      </c>
      <c r="I1784" s="5">
        <v>6210000</v>
      </c>
      <c r="J1784" s="5">
        <v>59600000</v>
      </c>
      <c r="K1784" s="5">
        <v>62600000</v>
      </c>
      <c r="L1784" s="3">
        <v>0.97916666666666663</v>
      </c>
    </row>
    <row r="1785" spans="1:12" x14ac:dyDescent="0.25">
      <c r="A1785" s="2">
        <v>45109</v>
      </c>
      <c r="B1785" s="2">
        <v>44964</v>
      </c>
      <c r="C1785" t="s">
        <v>18</v>
      </c>
      <c r="D1785" t="s">
        <v>1636</v>
      </c>
      <c r="E1785" s="5">
        <v>59300000</v>
      </c>
      <c r="F1785" s="5">
        <v>62300000</v>
      </c>
      <c r="G1785" s="5">
        <v>3000000</v>
      </c>
      <c r="H1785" s="5">
        <v>5930000</v>
      </c>
      <c r="I1785" s="5">
        <v>6230000</v>
      </c>
      <c r="J1785" s="5">
        <v>59800000</v>
      </c>
      <c r="K1785" s="5">
        <v>62800000</v>
      </c>
      <c r="L1785" s="3">
        <v>0.97916666666666663</v>
      </c>
    </row>
    <row r="1786" spans="1:12" x14ac:dyDescent="0.25">
      <c r="A1786" s="2">
        <v>45140</v>
      </c>
      <c r="B1786" s="2">
        <v>44965</v>
      </c>
      <c r="C1786" t="s">
        <v>19</v>
      </c>
      <c r="D1786" t="s">
        <v>1636</v>
      </c>
      <c r="E1786" s="5">
        <v>59400000</v>
      </c>
      <c r="F1786" s="5">
        <v>62400000</v>
      </c>
      <c r="G1786" s="5">
        <v>3000000</v>
      </c>
      <c r="H1786" s="5">
        <v>5940000</v>
      </c>
      <c r="I1786" s="5">
        <v>6240000</v>
      </c>
      <c r="J1786" s="5">
        <v>59900000</v>
      </c>
      <c r="K1786" s="5">
        <v>62900000</v>
      </c>
      <c r="L1786" s="3">
        <v>0.97916666666666663</v>
      </c>
    </row>
    <row r="1787" spans="1:12" x14ac:dyDescent="0.25">
      <c r="A1787" s="2">
        <v>45171</v>
      </c>
      <c r="B1787" s="2">
        <v>44966</v>
      </c>
      <c r="C1787" t="s">
        <v>20</v>
      </c>
      <c r="D1787" t="s">
        <v>1636</v>
      </c>
      <c r="E1787" s="5">
        <v>59100000</v>
      </c>
      <c r="F1787" s="5">
        <v>62100000</v>
      </c>
      <c r="G1787" s="5">
        <v>3000000</v>
      </c>
      <c r="H1787" s="5">
        <v>5910000</v>
      </c>
      <c r="I1787" s="5">
        <v>6210000</v>
      </c>
      <c r="J1787" s="5">
        <v>59600000</v>
      </c>
      <c r="K1787" s="5">
        <v>62600000</v>
      </c>
      <c r="L1787" s="3">
        <v>0.97916666666666663</v>
      </c>
    </row>
    <row r="1788" spans="1:12" x14ac:dyDescent="0.25">
      <c r="A1788" s="2">
        <v>45201</v>
      </c>
      <c r="B1788" s="2">
        <v>44967</v>
      </c>
      <c r="C1788" t="s">
        <v>21</v>
      </c>
      <c r="D1788" t="s">
        <v>1636</v>
      </c>
      <c r="E1788" s="5">
        <v>59000000</v>
      </c>
      <c r="F1788" s="5">
        <v>62000000</v>
      </c>
      <c r="G1788" s="5">
        <v>3000000</v>
      </c>
      <c r="H1788" s="5">
        <v>5900000</v>
      </c>
      <c r="I1788" s="5">
        <v>6200000</v>
      </c>
      <c r="J1788" s="5">
        <v>59500000</v>
      </c>
      <c r="K1788" s="5">
        <v>62500000</v>
      </c>
      <c r="L1788" s="3">
        <v>0.97916666666666663</v>
      </c>
    </row>
    <row r="1789" spans="1:12" x14ac:dyDescent="0.25">
      <c r="A1789" t="s">
        <v>1099</v>
      </c>
      <c r="B1789" s="2">
        <v>44970</v>
      </c>
      <c r="C1789" t="s">
        <v>16</v>
      </c>
      <c r="D1789" t="s">
        <v>1636</v>
      </c>
      <c r="E1789" s="5">
        <v>58600000</v>
      </c>
      <c r="F1789" s="5">
        <v>61600000</v>
      </c>
      <c r="G1789" s="5">
        <v>3000000</v>
      </c>
      <c r="H1789" s="5">
        <v>5860000</v>
      </c>
      <c r="I1789" s="5">
        <v>6160000</v>
      </c>
      <c r="J1789" s="5">
        <v>59100000</v>
      </c>
      <c r="K1789" s="5">
        <v>62100000</v>
      </c>
      <c r="L1789" s="3">
        <v>0.97916666666666663</v>
      </c>
    </row>
    <row r="1790" spans="1:12" x14ac:dyDescent="0.25">
      <c r="A1790" t="s">
        <v>1100</v>
      </c>
      <c r="B1790" s="2">
        <v>44971</v>
      </c>
      <c r="C1790" t="s">
        <v>18</v>
      </c>
      <c r="D1790" t="s">
        <v>1636</v>
      </c>
      <c r="E1790" s="5">
        <v>58700000</v>
      </c>
      <c r="F1790" s="5">
        <v>61700000</v>
      </c>
      <c r="G1790" s="5">
        <v>3000000</v>
      </c>
      <c r="H1790" s="5">
        <v>5870000</v>
      </c>
      <c r="I1790" s="5">
        <v>6170000</v>
      </c>
      <c r="J1790" s="5">
        <v>59200000</v>
      </c>
      <c r="K1790" s="5">
        <v>62200000</v>
      </c>
      <c r="L1790" s="3">
        <v>0.97916666666666663</v>
      </c>
    </row>
    <row r="1791" spans="1:12" x14ac:dyDescent="0.25">
      <c r="A1791" t="s">
        <v>1101</v>
      </c>
      <c r="B1791" s="2">
        <v>44972</v>
      </c>
      <c r="C1791" t="s">
        <v>19</v>
      </c>
      <c r="D1791" t="s">
        <v>1636</v>
      </c>
      <c r="E1791" s="5">
        <v>58000000</v>
      </c>
      <c r="F1791" s="5">
        <v>61000000</v>
      </c>
      <c r="G1791" s="5">
        <v>3000000</v>
      </c>
      <c r="H1791" s="5">
        <v>5800000</v>
      </c>
      <c r="I1791" s="5">
        <v>6100000</v>
      </c>
      <c r="J1791" s="5">
        <v>58500000</v>
      </c>
      <c r="K1791" s="5">
        <v>61500000</v>
      </c>
      <c r="L1791" s="3">
        <v>0.97916666666666663</v>
      </c>
    </row>
    <row r="1792" spans="1:12" x14ac:dyDescent="0.25">
      <c r="A1792" t="s">
        <v>1102</v>
      </c>
      <c r="B1792" s="2">
        <v>44973</v>
      </c>
      <c r="C1792" t="s">
        <v>20</v>
      </c>
      <c r="D1792" t="s">
        <v>1636</v>
      </c>
      <c r="E1792" s="5">
        <v>58300000</v>
      </c>
      <c r="F1792" s="5">
        <v>61300000</v>
      </c>
      <c r="G1792" s="5">
        <v>3000000</v>
      </c>
      <c r="H1792" s="5">
        <v>5830000</v>
      </c>
      <c r="I1792" s="5">
        <v>6130000</v>
      </c>
      <c r="J1792" s="5">
        <v>58800000</v>
      </c>
      <c r="K1792" s="5">
        <v>61800000</v>
      </c>
      <c r="L1792" s="3">
        <v>0.97916666666666663</v>
      </c>
    </row>
    <row r="1793" spans="1:12" x14ac:dyDescent="0.25">
      <c r="A1793" t="s">
        <v>1103</v>
      </c>
      <c r="B1793" s="2">
        <v>44974</v>
      </c>
      <c r="C1793" t="s">
        <v>21</v>
      </c>
      <c r="D1793" t="s">
        <v>1636</v>
      </c>
      <c r="E1793" s="5">
        <v>58200000</v>
      </c>
      <c r="F1793" s="5">
        <v>61200000</v>
      </c>
      <c r="G1793" s="5">
        <v>3000000</v>
      </c>
      <c r="H1793" s="5">
        <v>5820000</v>
      </c>
      <c r="I1793" s="5">
        <v>6120000</v>
      </c>
      <c r="J1793" s="5">
        <v>58700000</v>
      </c>
      <c r="K1793" s="5">
        <v>61700000</v>
      </c>
      <c r="L1793" s="3">
        <v>0.97916666666666663</v>
      </c>
    </row>
    <row r="1794" spans="1:12" x14ac:dyDescent="0.25">
      <c r="A1794" t="s">
        <v>1104</v>
      </c>
      <c r="B1794" s="2">
        <v>44978</v>
      </c>
      <c r="C1794" t="s">
        <v>18</v>
      </c>
      <c r="D1794" t="s">
        <v>1636</v>
      </c>
      <c r="E1794" s="5">
        <v>58000000</v>
      </c>
      <c r="F1794" s="5">
        <v>61000000</v>
      </c>
      <c r="G1794" s="5">
        <v>3000000</v>
      </c>
      <c r="H1794" s="5">
        <v>5800000</v>
      </c>
      <c r="I1794" s="5">
        <v>6100000</v>
      </c>
      <c r="J1794" s="5">
        <v>58500000</v>
      </c>
      <c r="K1794" s="5">
        <v>61500000</v>
      </c>
      <c r="L1794" s="3">
        <v>0.97916666666666663</v>
      </c>
    </row>
    <row r="1795" spans="1:12" x14ac:dyDescent="0.25">
      <c r="A1795" t="s">
        <v>1105</v>
      </c>
      <c r="B1795" s="2">
        <v>44979</v>
      </c>
      <c r="C1795" t="s">
        <v>19</v>
      </c>
      <c r="D1795" t="s">
        <v>1636</v>
      </c>
      <c r="E1795" s="5">
        <v>57900000</v>
      </c>
      <c r="F1795" s="5">
        <v>60900000</v>
      </c>
      <c r="G1795" s="5">
        <v>3000000</v>
      </c>
      <c r="H1795" s="5">
        <v>5790000</v>
      </c>
      <c r="I1795" s="5">
        <v>6090000</v>
      </c>
      <c r="J1795" s="5">
        <v>58400000</v>
      </c>
      <c r="K1795" s="5">
        <v>61400000</v>
      </c>
      <c r="L1795" s="3">
        <v>0.97916666666666663</v>
      </c>
    </row>
    <row r="1796" spans="1:12" x14ac:dyDescent="0.25">
      <c r="A1796" t="s">
        <v>1106</v>
      </c>
      <c r="B1796" s="2">
        <v>44980</v>
      </c>
      <c r="C1796" t="s">
        <v>20</v>
      </c>
      <c r="D1796" t="s">
        <v>1636</v>
      </c>
      <c r="E1796" s="5">
        <v>57500000</v>
      </c>
      <c r="F1796" s="5">
        <v>60500000</v>
      </c>
      <c r="G1796" s="5">
        <v>3000000</v>
      </c>
      <c r="H1796" s="5">
        <v>5750000</v>
      </c>
      <c r="I1796" s="5">
        <v>6050000</v>
      </c>
      <c r="J1796" s="5">
        <v>58000000</v>
      </c>
      <c r="K1796" s="5">
        <v>61000000</v>
      </c>
      <c r="L1796" s="3">
        <v>0.97916666666666663</v>
      </c>
    </row>
    <row r="1797" spans="1:12" x14ac:dyDescent="0.25">
      <c r="A1797" t="s">
        <v>1107</v>
      </c>
      <c r="B1797" s="2">
        <v>44981</v>
      </c>
      <c r="C1797" t="s">
        <v>21</v>
      </c>
      <c r="D1797" t="s">
        <v>1636</v>
      </c>
      <c r="E1797" s="5">
        <v>57200000</v>
      </c>
      <c r="F1797" s="5">
        <v>60200000</v>
      </c>
      <c r="G1797" s="5">
        <v>3000000</v>
      </c>
      <c r="H1797" s="5">
        <v>5720000</v>
      </c>
      <c r="I1797" s="5">
        <v>6020000</v>
      </c>
      <c r="J1797" s="5">
        <v>57700000</v>
      </c>
      <c r="K1797" s="5">
        <v>60700000</v>
      </c>
      <c r="L1797" s="3">
        <v>0.97916666666666663</v>
      </c>
    </row>
    <row r="1798" spans="1:12" x14ac:dyDescent="0.25">
      <c r="A1798" t="s">
        <v>1108</v>
      </c>
      <c r="B1798" s="2">
        <v>44984</v>
      </c>
      <c r="C1798" t="s">
        <v>16</v>
      </c>
      <c r="D1798" t="s">
        <v>1636</v>
      </c>
      <c r="E1798" s="5">
        <v>57400000</v>
      </c>
      <c r="F1798" s="5">
        <v>60400000</v>
      </c>
      <c r="G1798" s="5">
        <v>3000000</v>
      </c>
      <c r="H1798" s="5">
        <v>5740000</v>
      </c>
      <c r="I1798" s="5">
        <v>6040000</v>
      </c>
      <c r="J1798" s="5">
        <v>57900000</v>
      </c>
      <c r="K1798" s="5">
        <v>60900000</v>
      </c>
      <c r="L1798" s="3">
        <v>0.97916666666666663</v>
      </c>
    </row>
    <row r="1799" spans="1:12" x14ac:dyDescent="0.25">
      <c r="A1799" t="s">
        <v>1109</v>
      </c>
      <c r="B1799" s="2">
        <v>44985</v>
      </c>
      <c r="C1799" t="s">
        <v>18</v>
      </c>
      <c r="D1799" t="s">
        <v>1636</v>
      </c>
      <c r="E1799" s="5">
        <v>57800000</v>
      </c>
      <c r="F1799" s="5">
        <v>60800000</v>
      </c>
      <c r="G1799" s="5">
        <v>3000000</v>
      </c>
      <c r="H1799" s="5">
        <v>5780000</v>
      </c>
      <c r="I1799" s="5">
        <v>6080000</v>
      </c>
      <c r="J1799" s="5">
        <v>58300000</v>
      </c>
      <c r="K1799" s="5">
        <v>61300000</v>
      </c>
      <c r="L1799" s="3">
        <v>0.97916666666666663</v>
      </c>
    </row>
    <row r="1800" spans="1:12" x14ac:dyDescent="0.25">
      <c r="A1800" s="2">
        <v>44929</v>
      </c>
      <c r="B1800" s="2">
        <v>44986</v>
      </c>
      <c r="C1800" t="s">
        <v>19</v>
      </c>
      <c r="D1800" t="s">
        <v>1636</v>
      </c>
      <c r="E1800" s="5">
        <v>58100000</v>
      </c>
      <c r="F1800" s="5">
        <v>61100000</v>
      </c>
      <c r="G1800" s="5">
        <v>3000000</v>
      </c>
      <c r="H1800" s="5">
        <v>5810000</v>
      </c>
      <c r="I1800" s="5">
        <v>6110000</v>
      </c>
      <c r="J1800" s="5">
        <v>58600000</v>
      </c>
      <c r="K1800" s="5">
        <v>61600000</v>
      </c>
      <c r="L1800" s="3">
        <v>0.97916666666666663</v>
      </c>
    </row>
    <row r="1801" spans="1:12" x14ac:dyDescent="0.25">
      <c r="A1801" s="2">
        <v>44960</v>
      </c>
      <c r="B1801" s="2">
        <v>44987</v>
      </c>
      <c r="C1801" t="s">
        <v>20</v>
      </c>
      <c r="D1801" t="s">
        <v>1636</v>
      </c>
      <c r="E1801" s="5">
        <v>58000000</v>
      </c>
      <c r="F1801" s="5">
        <v>61000000</v>
      </c>
      <c r="G1801" s="5">
        <v>3000000</v>
      </c>
      <c r="H1801" s="5">
        <v>5800000</v>
      </c>
      <c r="I1801" s="5">
        <v>6100000</v>
      </c>
      <c r="J1801" s="5">
        <v>58500000</v>
      </c>
      <c r="K1801" s="5">
        <v>61500000</v>
      </c>
      <c r="L1801" s="3">
        <v>0.97916666666666663</v>
      </c>
    </row>
    <row r="1802" spans="1:12" x14ac:dyDescent="0.25">
      <c r="A1802" s="2">
        <v>44988</v>
      </c>
      <c r="B1802" s="2">
        <v>44988</v>
      </c>
      <c r="C1802" t="s">
        <v>21</v>
      </c>
      <c r="D1802" t="s">
        <v>1636</v>
      </c>
      <c r="E1802" s="5">
        <v>58500000</v>
      </c>
      <c r="F1802" s="5">
        <v>61500000</v>
      </c>
      <c r="G1802" s="5">
        <v>3000000</v>
      </c>
      <c r="H1802" s="5">
        <v>5850000</v>
      </c>
      <c r="I1802" s="5">
        <v>6150000</v>
      </c>
      <c r="J1802" s="5">
        <v>59000000</v>
      </c>
      <c r="K1802" s="5">
        <v>62000000</v>
      </c>
      <c r="L1802" s="3">
        <v>0.97916666666666663</v>
      </c>
    </row>
    <row r="1803" spans="1:12" x14ac:dyDescent="0.25">
      <c r="A1803" s="2">
        <v>45080</v>
      </c>
      <c r="B1803" s="2">
        <v>44991</v>
      </c>
      <c r="C1803" t="s">
        <v>16</v>
      </c>
      <c r="D1803" t="s">
        <v>1636</v>
      </c>
      <c r="E1803" s="5">
        <v>58500000</v>
      </c>
      <c r="F1803" s="5">
        <v>61500000</v>
      </c>
      <c r="G1803" s="5">
        <v>3000000</v>
      </c>
      <c r="H1803" s="5">
        <v>5850000</v>
      </c>
      <c r="I1803" s="5">
        <v>6150000</v>
      </c>
      <c r="J1803" s="5">
        <v>59000000</v>
      </c>
      <c r="K1803" s="5">
        <v>62000000</v>
      </c>
      <c r="L1803" s="3">
        <v>0.97916666666666663</v>
      </c>
    </row>
    <row r="1804" spans="1:12" x14ac:dyDescent="0.25">
      <c r="A1804" s="2">
        <v>45110</v>
      </c>
      <c r="B1804" s="2">
        <v>44992</v>
      </c>
      <c r="C1804" t="s">
        <v>18</v>
      </c>
      <c r="D1804" t="s">
        <v>1636</v>
      </c>
      <c r="E1804" s="5">
        <v>57300000</v>
      </c>
      <c r="F1804" s="5">
        <v>60300000</v>
      </c>
      <c r="G1804" s="5">
        <v>3000000</v>
      </c>
      <c r="H1804" s="5">
        <v>5730000</v>
      </c>
      <c r="I1804" s="5">
        <v>6030000</v>
      </c>
      <c r="J1804" s="5">
        <v>57800000</v>
      </c>
      <c r="K1804" s="5">
        <v>60800000</v>
      </c>
      <c r="L1804" s="3">
        <v>0.97916666666666663</v>
      </c>
    </row>
    <row r="1805" spans="1:12" x14ac:dyDescent="0.25">
      <c r="A1805" s="2">
        <v>45141</v>
      </c>
      <c r="B1805" s="2">
        <v>44993</v>
      </c>
      <c r="C1805" t="s">
        <v>19</v>
      </c>
      <c r="D1805" t="s">
        <v>1636</v>
      </c>
      <c r="E1805" s="5">
        <v>57300000</v>
      </c>
      <c r="F1805" s="5">
        <v>60300000</v>
      </c>
      <c r="G1805" s="5">
        <v>3000000</v>
      </c>
      <c r="H1805" s="5">
        <v>5730000</v>
      </c>
      <c r="I1805" s="5">
        <v>6030000</v>
      </c>
      <c r="J1805" s="5">
        <v>57800000</v>
      </c>
      <c r="K1805" s="5">
        <v>60800000</v>
      </c>
      <c r="L1805" s="3">
        <v>0.97916666666666663</v>
      </c>
    </row>
    <row r="1806" spans="1:12" x14ac:dyDescent="0.25">
      <c r="A1806" s="2">
        <v>45172</v>
      </c>
      <c r="B1806" s="2">
        <v>44994</v>
      </c>
      <c r="C1806" t="s">
        <v>20</v>
      </c>
      <c r="D1806" t="s">
        <v>1636</v>
      </c>
      <c r="E1806" s="5">
        <v>57800000</v>
      </c>
      <c r="F1806" s="5">
        <v>60800000</v>
      </c>
      <c r="G1806" s="5">
        <v>3000000</v>
      </c>
      <c r="H1806" s="5">
        <v>5780000</v>
      </c>
      <c r="I1806" s="5">
        <v>6080000</v>
      </c>
      <c r="J1806" s="5">
        <v>58300000</v>
      </c>
      <c r="K1806" s="5">
        <v>61300000</v>
      </c>
      <c r="L1806" s="3">
        <v>0.97916666666666663</v>
      </c>
    </row>
    <row r="1807" spans="1:12" x14ac:dyDescent="0.25">
      <c r="A1807" s="2">
        <v>45202</v>
      </c>
      <c r="B1807" s="2">
        <v>44995</v>
      </c>
      <c r="C1807" t="s">
        <v>21</v>
      </c>
      <c r="D1807" t="s">
        <v>1636</v>
      </c>
      <c r="E1807" s="5">
        <v>58900000</v>
      </c>
      <c r="F1807" s="5">
        <v>61900000</v>
      </c>
      <c r="G1807" s="5">
        <v>3000000</v>
      </c>
      <c r="H1807" s="5">
        <v>5890000</v>
      </c>
      <c r="I1807" s="5">
        <v>6190000</v>
      </c>
      <c r="J1807" s="5">
        <v>59400000</v>
      </c>
      <c r="K1807" s="5">
        <v>62400000</v>
      </c>
      <c r="L1807" s="3">
        <v>0.97916666666666663</v>
      </c>
    </row>
    <row r="1808" spans="1:12" x14ac:dyDescent="0.25">
      <c r="A1808" t="s">
        <v>1110</v>
      </c>
      <c r="B1808" s="2">
        <v>44998</v>
      </c>
      <c r="C1808" t="s">
        <v>16</v>
      </c>
      <c r="D1808" t="s">
        <v>1636</v>
      </c>
      <c r="E1808" s="5">
        <v>60600000</v>
      </c>
      <c r="F1808" s="5">
        <v>63600000</v>
      </c>
      <c r="G1808" s="5">
        <v>3000000</v>
      </c>
      <c r="H1808" s="5">
        <v>6060000</v>
      </c>
      <c r="I1808" s="5">
        <v>6360000</v>
      </c>
      <c r="J1808" s="5">
        <v>61100000</v>
      </c>
      <c r="K1808" s="5">
        <v>64100000</v>
      </c>
      <c r="L1808" s="3">
        <v>0.97916666666666663</v>
      </c>
    </row>
    <row r="1809" spans="1:12" x14ac:dyDescent="0.25">
      <c r="A1809" t="s">
        <v>1111</v>
      </c>
      <c r="B1809" s="2">
        <v>44999</v>
      </c>
      <c r="C1809" t="s">
        <v>18</v>
      </c>
      <c r="D1809" t="s">
        <v>1636</v>
      </c>
      <c r="E1809" s="5">
        <v>60400000</v>
      </c>
      <c r="F1809" s="5">
        <v>63400000</v>
      </c>
      <c r="G1809" s="5">
        <v>3000000</v>
      </c>
      <c r="H1809" s="5">
        <v>6040000</v>
      </c>
      <c r="I1809" s="5">
        <v>6340000</v>
      </c>
      <c r="J1809" s="5">
        <v>60900000</v>
      </c>
      <c r="K1809" s="5">
        <v>63900000</v>
      </c>
      <c r="L1809" s="3">
        <v>0.97916666666666663</v>
      </c>
    </row>
    <row r="1810" spans="1:12" x14ac:dyDescent="0.25">
      <c r="A1810" t="s">
        <v>1112</v>
      </c>
      <c r="B1810" s="2">
        <v>45000</v>
      </c>
      <c r="C1810" t="s">
        <v>19</v>
      </c>
      <c r="D1810" t="s">
        <v>1636</v>
      </c>
      <c r="E1810" s="5">
        <v>61100000</v>
      </c>
      <c r="F1810" s="5">
        <v>64100000</v>
      </c>
      <c r="G1810" s="5">
        <v>3000000</v>
      </c>
      <c r="H1810" s="5">
        <v>6110000</v>
      </c>
      <c r="I1810" s="5">
        <v>6410000</v>
      </c>
      <c r="J1810" s="5">
        <v>61600000</v>
      </c>
      <c r="K1810" s="5">
        <v>64600000</v>
      </c>
      <c r="L1810" s="3">
        <v>0.97916666666666663</v>
      </c>
    </row>
    <row r="1811" spans="1:12" x14ac:dyDescent="0.25">
      <c r="A1811" t="s">
        <v>1113</v>
      </c>
      <c r="B1811" s="2">
        <v>45001</v>
      </c>
      <c r="C1811" t="s">
        <v>20</v>
      </c>
      <c r="D1811" t="s">
        <v>1636</v>
      </c>
      <c r="E1811" s="5">
        <v>60800000</v>
      </c>
      <c r="F1811" s="5">
        <v>63800000</v>
      </c>
      <c r="G1811" s="5">
        <v>3000000</v>
      </c>
      <c r="H1811" s="5">
        <v>6080000</v>
      </c>
      <c r="I1811" s="5">
        <v>6380000</v>
      </c>
      <c r="J1811" s="5">
        <v>61300000</v>
      </c>
      <c r="K1811" s="5">
        <v>64300000</v>
      </c>
      <c r="L1811" s="3">
        <v>0.97916666666666663</v>
      </c>
    </row>
    <row r="1812" spans="1:12" x14ac:dyDescent="0.25">
      <c r="A1812" t="s">
        <v>1114</v>
      </c>
      <c r="B1812" s="2">
        <v>45002</v>
      </c>
      <c r="C1812" t="s">
        <v>21</v>
      </c>
      <c r="D1812" t="s">
        <v>1636</v>
      </c>
      <c r="E1812" s="5">
        <v>62500000</v>
      </c>
      <c r="F1812" s="5">
        <v>65500000</v>
      </c>
      <c r="G1812" s="5">
        <v>3000000</v>
      </c>
      <c r="H1812" s="5">
        <v>6250000</v>
      </c>
      <c r="I1812" s="5">
        <v>6550000</v>
      </c>
      <c r="J1812" s="5">
        <v>63000000</v>
      </c>
      <c r="K1812" s="5">
        <v>66000000</v>
      </c>
      <c r="L1812" s="3">
        <v>0.97916666666666663</v>
      </c>
    </row>
    <row r="1813" spans="1:12" x14ac:dyDescent="0.25">
      <c r="A1813" t="s">
        <v>1115</v>
      </c>
      <c r="B1813" s="2">
        <v>45005</v>
      </c>
      <c r="C1813" t="s">
        <v>16</v>
      </c>
      <c r="D1813" t="s">
        <v>1636</v>
      </c>
      <c r="E1813" s="5">
        <v>62800000</v>
      </c>
      <c r="F1813" s="5">
        <v>65800000</v>
      </c>
      <c r="G1813" s="5">
        <v>3000000</v>
      </c>
      <c r="H1813" s="5">
        <v>6280000</v>
      </c>
      <c r="I1813" s="5">
        <v>6580000</v>
      </c>
      <c r="J1813" s="5">
        <v>63300000</v>
      </c>
      <c r="K1813" s="5">
        <v>66300000</v>
      </c>
      <c r="L1813" s="3">
        <v>0.97916666666666663</v>
      </c>
    </row>
    <row r="1814" spans="1:12" x14ac:dyDescent="0.25">
      <c r="A1814" t="s">
        <v>1116</v>
      </c>
      <c r="B1814" s="2">
        <v>45006</v>
      </c>
      <c r="C1814" t="s">
        <v>18</v>
      </c>
      <c r="D1814" t="s">
        <v>1636</v>
      </c>
      <c r="E1814" s="5">
        <v>61500000</v>
      </c>
      <c r="F1814" s="5">
        <v>64500000</v>
      </c>
      <c r="G1814" s="5">
        <v>3000000</v>
      </c>
      <c r="H1814" s="5">
        <v>6150000</v>
      </c>
      <c r="I1814" s="5">
        <v>6450000</v>
      </c>
      <c r="J1814" s="5">
        <v>62000000</v>
      </c>
      <c r="K1814" s="5">
        <v>65000000</v>
      </c>
      <c r="L1814" s="3">
        <v>0.97916666666666663</v>
      </c>
    </row>
    <row r="1815" spans="1:12" x14ac:dyDescent="0.25">
      <c r="A1815" t="s">
        <v>1117</v>
      </c>
      <c r="B1815" s="2">
        <v>45007</v>
      </c>
      <c r="C1815" t="s">
        <v>19</v>
      </c>
      <c r="D1815" t="s">
        <v>1636</v>
      </c>
      <c r="E1815" s="5">
        <v>61800000</v>
      </c>
      <c r="F1815" s="5">
        <v>64800000</v>
      </c>
      <c r="G1815" s="5">
        <v>3000000</v>
      </c>
      <c r="H1815" s="5">
        <v>6180000</v>
      </c>
      <c r="I1815" s="5">
        <v>6480000</v>
      </c>
      <c r="J1815" s="5">
        <v>62300000</v>
      </c>
      <c r="K1815" s="5">
        <v>65300000</v>
      </c>
      <c r="L1815" s="3">
        <v>0.97916666666666663</v>
      </c>
    </row>
    <row r="1816" spans="1:12" x14ac:dyDescent="0.25">
      <c r="A1816" t="s">
        <v>1118</v>
      </c>
      <c r="B1816" s="2">
        <v>45008</v>
      </c>
      <c r="C1816" t="s">
        <v>20</v>
      </c>
      <c r="D1816" t="s">
        <v>1636</v>
      </c>
      <c r="E1816" s="5">
        <v>63300000</v>
      </c>
      <c r="F1816" s="5">
        <v>66300000</v>
      </c>
      <c r="G1816" s="5">
        <v>3000000</v>
      </c>
      <c r="H1816" s="5">
        <v>6330000</v>
      </c>
      <c r="I1816" s="5">
        <v>6630000</v>
      </c>
      <c r="J1816" s="5">
        <v>63800000</v>
      </c>
      <c r="K1816" s="5">
        <v>66800000</v>
      </c>
      <c r="L1816" s="3">
        <v>0.97916666666666663</v>
      </c>
    </row>
    <row r="1817" spans="1:12" x14ac:dyDescent="0.25">
      <c r="A1817" t="s">
        <v>1119</v>
      </c>
      <c r="B1817" s="2">
        <v>45009</v>
      </c>
      <c r="C1817" t="s">
        <v>21</v>
      </c>
      <c r="D1817" t="s">
        <v>1636</v>
      </c>
      <c r="E1817" s="5">
        <v>62900000</v>
      </c>
      <c r="F1817" s="5">
        <v>65900000</v>
      </c>
      <c r="G1817" s="5">
        <v>3000000</v>
      </c>
      <c r="H1817" s="5">
        <v>6290000</v>
      </c>
      <c r="I1817" s="5">
        <v>6590000</v>
      </c>
      <c r="J1817" s="5">
        <v>63400000</v>
      </c>
      <c r="K1817" s="5">
        <v>66400000</v>
      </c>
      <c r="L1817" s="3">
        <v>0.97916666666666663</v>
      </c>
    </row>
    <row r="1818" spans="1:12" x14ac:dyDescent="0.25">
      <c r="A1818" t="s">
        <v>1120</v>
      </c>
      <c r="B1818" s="2">
        <v>45012</v>
      </c>
      <c r="C1818" t="s">
        <v>16</v>
      </c>
      <c r="D1818" t="s">
        <v>1636</v>
      </c>
      <c r="E1818" s="5">
        <v>61900000</v>
      </c>
      <c r="F1818" s="5">
        <v>64900000</v>
      </c>
      <c r="G1818" s="5">
        <v>3000000</v>
      </c>
      <c r="H1818" s="5">
        <v>6190000</v>
      </c>
      <c r="I1818" s="5">
        <v>6490000</v>
      </c>
      <c r="J1818" s="5">
        <v>62400000</v>
      </c>
      <c r="K1818" s="5">
        <v>65400000</v>
      </c>
      <c r="L1818" s="3">
        <v>0.97916666666666663</v>
      </c>
    </row>
    <row r="1819" spans="1:12" x14ac:dyDescent="0.25">
      <c r="A1819" t="s">
        <v>1121</v>
      </c>
      <c r="B1819" s="2">
        <v>45013</v>
      </c>
      <c r="C1819" t="s">
        <v>18</v>
      </c>
      <c r="D1819" t="s">
        <v>1636</v>
      </c>
      <c r="E1819" s="5">
        <v>62600000</v>
      </c>
      <c r="F1819" s="5">
        <v>65600000</v>
      </c>
      <c r="G1819" s="5">
        <v>3000000</v>
      </c>
      <c r="H1819" s="5">
        <v>6260000</v>
      </c>
      <c r="I1819" s="5">
        <v>6560000</v>
      </c>
      <c r="J1819" s="5">
        <v>63100000</v>
      </c>
      <c r="K1819" s="5">
        <v>66100000</v>
      </c>
      <c r="L1819" s="3">
        <v>0.97916666666666663</v>
      </c>
    </row>
    <row r="1820" spans="1:12" x14ac:dyDescent="0.25">
      <c r="A1820" t="s">
        <v>1122</v>
      </c>
      <c r="B1820" s="2">
        <v>45014</v>
      </c>
      <c r="C1820" t="s">
        <v>19</v>
      </c>
      <c r="D1820" t="s">
        <v>1636</v>
      </c>
      <c r="E1820" s="5">
        <v>62400000</v>
      </c>
      <c r="F1820" s="5">
        <v>65400000</v>
      </c>
      <c r="G1820" s="5">
        <v>3000000</v>
      </c>
      <c r="H1820" s="5">
        <v>6240000</v>
      </c>
      <c r="I1820" s="5">
        <v>6540000</v>
      </c>
      <c r="J1820" s="5">
        <v>62900000</v>
      </c>
      <c r="K1820" s="5">
        <v>65900000</v>
      </c>
      <c r="L1820" s="3">
        <v>0.97916666666666663</v>
      </c>
    </row>
    <row r="1821" spans="1:12" x14ac:dyDescent="0.25">
      <c r="A1821" t="s">
        <v>1123</v>
      </c>
      <c r="B1821" s="2">
        <v>45015</v>
      </c>
      <c r="C1821" t="s">
        <v>20</v>
      </c>
      <c r="D1821" t="s">
        <v>1636</v>
      </c>
      <c r="E1821" s="5">
        <v>62900000</v>
      </c>
      <c r="F1821" s="5">
        <v>65900000</v>
      </c>
      <c r="G1821" s="5">
        <v>3000000</v>
      </c>
      <c r="H1821" s="5">
        <v>6290000</v>
      </c>
      <c r="I1821" s="5">
        <v>6590000</v>
      </c>
      <c r="J1821" s="5">
        <v>63400000</v>
      </c>
      <c r="K1821" s="5">
        <v>66400000</v>
      </c>
      <c r="L1821" s="3">
        <v>0.97916666666666663</v>
      </c>
    </row>
    <row r="1822" spans="1:12" x14ac:dyDescent="0.25">
      <c r="A1822" t="s">
        <v>1124</v>
      </c>
      <c r="B1822" s="2">
        <v>45016</v>
      </c>
      <c r="C1822" t="s">
        <v>21</v>
      </c>
      <c r="D1822" t="s">
        <v>1636</v>
      </c>
      <c r="E1822" s="5">
        <v>62500000</v>
      </c>
      <c r="F1822" s="5">
        <v>65500000</v>
      </c>
      <c r="G1822" s="5">
        <v>3000000</v>
      </c>
      <c r="H1822" s="5">
        <v>6250000</v>
      </c>
      <c r="I1822" s="5">
        <v>6550000</v>
      </c>
      <c r="J1822" s="5">
        <v>63000000</v>
      </c>
      <c r="K1822" s="5">
        <v>66000000</v>
      </c>
      <c r="L1822" s="3">
        <v>0.97916666666666663</v>
      </c>
    </row>
    <row r="1823" spans="1:12" x14ac:dyDescent="0.25">
      <c r="A1823" s="2">
        <v>44989</v>
      </c>
      <c r="B1823" s="2">
        <v>45019</v>
      </c>
      <c r="C1823" t="s">
        <v>16</v>
      </c>
      <c r="D1823" t="s">
        <v>1636</v>
      </c>
      <c r="E1823" s="5">
        <v>63000000</v>
      </c>
      <c r="F1823" s="5">
        <v>66000000</v>
      </c>
      <c r="G1823" s="5">
        <v>3000000</v>
      </c>
      <c r="H1823" s="5">
        <v>6300000</v>
      </c>
      <c r="I1823" s="5">
        <v>6600000</v>
      </c>
      <c r="J1823" s="5">
        <v>63500000</v>
      </c>
      <c r="K1823" s="5">
        <v>66500000</v>
      </c>
      <c r="L1823" s="3">
        <v>0.97916666666666663</v>
      </c>
    </row>
    <row r="1824" spans="1:12" x14ac:dyDescent="0.25">
      <c r="A1824" s="2">
        <v>45020</v>
      </c>
      <c r="B1824" s="2">
        <v>45020</v>
      </c>
      <c r="C1824" t="s">
        <v>18</v>
      </c>
      <c r="D1824" t="s">
        <v>1636</v>
      </c>
      <c r="E1824" s="5">
        <v>64300000</v>
      </c>
      <c r="F1824" s="5">
        <v>67300000</v>
      </c>
      <c r="G1824" s="5">
        <v>3000000</v>
      </c>
      <c r="H1824" s="5">
        <v>6430000</v>
      </c>
      <c r="I1824" s="5">
        <v>6730000</v>
      </c>
      <c r="J1824" s="5">
        <v>64800000</v>
      </c>
      <c r="K1824" s="5">
        <v>67800000</v>
      </c>
      <c r="L1824" s="3">
        <v>0.97916666666666663</v>
      </c>
    </row>
    <row r="1825" spans="1:12" x14ac:dyDescent="0.25">
      <c r="A1825" s="2">
        <v>45050</v>
      </c>
      <c r="B1825" s="2">
        <v>45021</v>
      </c>
      <c r="C1825" t="s">
        <v>19</v>
      </c>
      <c r="D1825" t="s">
        <v>1636</v>
      </c>
      <c r="E1825" s="5">
        <v>64200000</v>
      </c>
      <c r="F1825" s="5">
        <v>67200000</v>
      </c>
      <c r="G1825" s="5">
        <v>3000000</v>
      </c>
      <c r="H1825" s="5">
        <v>6420000</v>
      </c>
      <c r="I1825" s="5">
        <v>6720000</v>
      </c>
      <c r="J1825" s="5">
        <v>64700000</v>
      </c>
      <c r="K1825" s="5">
        <v>67700000</v>
      </c>
      <c r="L1825" s="3">
        <v>0.97916666666666663</v>
      </c>
    </row>
    <row r="1826" spans="1:12" x14ac:dyDescent="0.25">
      <c r="A1826" s="2">
        <v>45081</v>
      </c>
      <c r="B1826" s="2">
        <v>45022</v>
      </c>
      <c r="C1826" t="s">
        <v>20</v>
      </c>
      <c r="D1826" t="s">
        <v>1636</v>
      </c>
      <c r="E1826" s="5">
        <v>63900000</v>
      </c>
      <c r="F1826" s="5">
        <v>66900000</v>
      </c>
      <c r="G1826" s="5">
        <v>3000000</v>
      </c>
      <c r="H1826" s="5">
        <v>6390000</v>
      </c>
      <c r="I1826" s="5">
        <v>6690000</v>
      </c>
      <c r="J1826" s="5">
        <v>64400000</v>
      </c>
      <c r="K1826" s="5">
        <v>67400000</v>
      </c>
      <c r="L1826" s="3">
        <v>0.97916666666666663</v>
      </c>
    </row>
    <row r="1827" spans="1:12" x14ac:dyDescent="0.25">
      <c r="A1827" s="2">
        <v>45203</v>
      </c>
      <c r="B1827" s="2">
        <v>45026</v>
      </c>
      <c r="C1827" t="s">
        <v>16</v>
      </c>
      <c r="D1827" t="s">
        <v>1636</v>
      </c>
      <c r="E1827" s="5">
        <v>63200000</v>
      </c>
      <c r="F1827" s="5">
        <v>66200000</v>
      </c>
      <c r="G1827" s="5">
        <v>3000000</v>
      </c>
      <c r="H1827" s="5">
        <v>6320000</v>
      </c>
      <c r="I1827" s="5">
        <v>6620000</v>
      </c>
      <c r="J1827" s="5">
        <v>63700000</v>
      </c>
      <c r="K1827" s="5">
        <v>66700000</v>
      </c>
      <c r="L1827" s="3">
        <v>0.97916666666666663</v>
      </c>
    </row>
    <row r="1828" spans="1:12" x14ac:dyDescent="0.25">
      <c r="A1828" s="2">
        <v>45234</v>
      </c>
      <c r="B1828" s="2">
        <v>45027</v>
      </c>
      <c r="C1828" t="s">
        <v>18</v>
      </c>
      <c r="D1828" t="s">
        <v>1636</v>
      </c>
      <c r="E1828" s="5">
        <v>63700000</v>
      </c>
      <c r="F1828" s="5">
        <v>66700000</v>
      </c>
      <c r="G1828" s="5">
        <v>3000000</v>
      </c>
      <c r="H1828" s="5">
        <v>6370000</v>
      </c>
      <c r="I1828" s="5">
        <v>6670000</v>
      </c>
      <c r="J1828" s="5">
        <v>64200000</v>
      </c>
      <c r="K1828" s="5">
        <v>67200000</v>
      </c>
      <c r="L1828" s="3">
        <v>0.97916666666666663</v>
      </c>
    </row>
    <row r="1829" spans="1:12" x14ac:dyDescent="0.25">
      <c r="A1829" s="2">
        <v>45264</v>
      </c>
      <c r="B1829" s="2">
        <v>45028</v>
      </c>
      <c r="C1829" t="s">
        <v>19</v>
      </c>
      <c r="D1829" t="s">
        <v>1636</v>
      </c>
      <c r="E1829" s="5">
        <v>63900000</v>
      </c>
      <c r="F1829" s="5">
        <v>66900000</v>
      </c>
      <c r="G1829" s="5">
        <v>3000000</v>
      </c>
      <c r="H1829" s="5">
        <v>6390000</v>
      </c>
      <c r="I1829" s="5">
        <v>6690000</v>
      </c>
      <c r="J1829" s="5">
        <v>64400000</v>
      </c>
      <c r="K1829" s="5">
        <v>67400000</v>
      </c>
      <c r="L1829" s="3">
        <v>0.97916666666666663</v>
      </c>
    </row>
    <row r="1830" spans="1:12" x14ac:dyDescent="0.25">
      <c r="A1830" t="s">
        <v>1125</v>
      </c>
      <c r="B1830" s="2">
        <v>45029</v>
      </c>
      <c r="C1830" t="s">
        <v>20</v>
      </c>
      <c r="D1830" t="s">
        <v>1636</v>
      </c>
      <c r="E1830" s="5">
        <v>64900000</v>
      </c>
      <c r="F1830" s="5">
        <v>67900000</v>
      </c>
      <c r="G1830" s="5">
        <v>3000000</v>
      </c>
      <c r="H1830" s="5">
        <v>6490000</v>
      </c>
      <c r="I1830" s="5">
        <v>6790000</v>
      </c>
      <c r="J1830" s="5">
        <v>65400000</v>
      </c>
      <c r="K1830" s="5">
        <v>68400000</v>
      </c>
      <c r="L1830" s="3">
        <v>0.97916666666666663</v>
      </c>
    </row>
    <row r="1831" spans="1:12" x14ac:dyDescent="0.25">
      <c r="A1831" t="s">
        <v>1126</v>
      </c>
      <c r="B1831" s="2">
        <v>45030</v>
      </c>
      <c r="C1831" t="s">
        <v>21</v>
      </c>
      <c r="D1831" t="s">
        <v>1636</v>
      </c>
      <c r="E1831" s="5">
        <v>63600000</v>
      </c>
      <c r="F1831" s="5">
        <v>66600000</v>
      </c>
      <c r="G1831" s="5">
        <v>3000000</v>
      </c>
      <c r="H1831" s="5">
        <v>6360000</v>
      </c>
      <c r="I1831" s="5">
        <v>6660000</v>
      </c>
      <c r="J1831" s="5">
        <v>64100000</v>
      </c>
      <c r="K1831" s="5">
        <v>67100000</v>
      </c>
      <c r="L1831" s="3">
        <v>0.97916666666666663</v>
      </c>
    </row>
    <row r="1832" spans="1:12" x14ac:dyDescent="0.25">
      <c r="A1832" t="s">
        <v>1127</v>
      </c>
      <c r="B1832" s="2">
        <v>45033</v>
      </c>
      <c r="C1832" t="s">
        <v>16</v>
      </c>
      <c r="D1832" t="s">
        <v>1636</v>
      </c>
      <c r="E1832" s="5">
        <v>63300000</v>
      </c>
      <c r="F1832" s="5">
        <v>66300000</v>
      </c>
      <c r="G1832" s="5">
        <v>3000000</v>
      </c>
      <c r="H1832" s="5">
        <v>6330000</v>
      </c>
      <c r="I1832" s="5">
        <v>6630000</v>
      </c>
      <c r="J1832" s="5">
        <v>63800000</v>
      </c>
      <c r="K1832" s="5">
        <v>66800000</v>
      </c>
      <c r="L1832" s="3">
        <v>0.97916666666666663</v>
      </c>
    </row>
    <row r="1833" spans="1:12" x14ac:dyDescent="0.25">
      <c r="A1833" t="s">
        <v>1128</v>
      </c>
      <c r="B1833" s="2">
        <v>45034</v>
      </c>
      <c r="C1833" t="s">
        <v>18</v>
      </c>
      <c r="D1833" t="s">
        <v>1636</v>
      </c>
      <c r="E1833" s="5">
        <v>63800000</v>
      </c>
      <c r="F1833" s="5">
        <v>66800000</v>
      </c>
      <c r="G1833" s="5">
        <v>3000000</v>
      </c>
      <c r="H1833" s="5">
        <v>6380000</v>
      </c>
      <c r="I1833" s="5">
        <v>6680000</v>
      </c>
      <c r="J1833" s="5">
        <v>64300000</v>
      </c>
      <c r="K1833" s="5">
        <v>67300000</v>
      </c>
      <c r="L1833" s="3">
        <v>0.97916666666666663</v>
      </c>
    </row>
    <row r="1834" spans="1:12" x14ac:dyDescent="0.25">
      <c r="A1834" t="s">
        <v>1129</v>
      </c>
      <c r="B1834" s="2">
        <v>45035</v>
      </c>
      <c r="C1834" t="s">
        <v>19</v>
      </c>
      <c r="D1834" t="s">
        <v>1636</v>
      </c>
      <c r="E1834" s="5">
        <v>63400000</v>
      </c>
      <c r="F1834" s="5">
        <v>66400000</v>
      </c>
      <c r="G1834" s="5">
        <v>3000000</v>
      </c>
      <c r="H1834" s="5">
        <v>6340000</v>
      </c>
      <c r="I1834" s="5">
        <v>6640000</v>
      </c>
      <c r="J1834" s="5">
        <v>63900000</v>
      </c>
      <c r="K1834" s="5">
        <v>66900000</v>
      </c>
      <c r="L1834" s="3">
        <v>0.97916666666666663</v>
      </c>
    </row>
    <row r="1835" spans="1:12" x14ac:dyDescent="0.25">
      <c r="A1835" t="s">
        <v>1130</v>
      </c>
      <c r="B1835" s="2">
        <v>45036</v>
      </c>
      <c r="C1835" t="s">
        <v>20</v>
      </c>
      <c r="D1835" t="s">
        <v>1636</v>
      </c>
      <c r="E1835" s="5">
        <v>63800000</v>
      </c>
      <c r="F1835" s="5">
        <v>66800000</v>
      </c>
      <c r="G1835" s="5">
        <v>3000000</v>
      </c>
      <c r="H1835" s="5">
        <v>6380000</v>
      </c>
      <c r="I1835" s="5">
        <v>6680000</v>
      </c>
      <c r="J1835" s="5">
        <v>64300000</v>
      </c>
      <c r="K1835" s="5">
        <v>67300000</v>
      </c>
      <c r="L1835" s="3">
        <v>0.97916666666666663</v>
      </c>
    </row>
    <row r="1836" spans="1:12" x14ac:dyDescent="0.25">
      <c r="A1836" t="s">
        <v>1131</v>
      </c>
      <c r="B1836" s="2">
        <v>45037</v>
      </c>
      <c r="C1836" t="s">
        <v>21</v>
      </c>
      <c r="D1836" t="s">
        <v>1636</v>
      </c>
      <c r="E1836" s="5">
        <v>62800000</v>
      </c>
      <c r="F1836" s="5">
        <v>65800000</v>
      </c>
      <c r="G1836" s="5">
        <v>3000000</v>
      </c>
      <c r="H1836" s="5">
        <v>6280000</v>
      </c>
      <c r="I1836" s="5">
        <v>6580000</v>
      </c>
      <c r="J1836" s="5">
        <v>63300000</v>
      </c>
      <c r="K1836" s="5">
        <v>66300000</v>
      </c>
      <c r="L1836" s="3">
        <v>0.97916666666666663</v>
      </c>
    </row>
    <row r="1837" spans="1:12" x14ac:dyDescent="0.25">
      <c r="A1837" t="s">
        <v>1132</v>
      </c>
      <c r="B1837" s="2">
        <v>45040</v>
      </c>
      <c r="C1837" t="s">
        <v>16</v>
      </c>
      <c r="D1837" t="s">
        <v>1636</v>
      </c>
      <c r="E1837" s="5">
        <v>63200000</v>
      </c>
      <c r="F1837" s="5">
        <v>66200000</v>
      </c>
      <c r="G1837" s="5">
        <v>3000000</v>
      </c>
      <c r="H1837" s="5">
        <v>6320000</v>
      </c>
      <c r="I1837" s="5">
        <v>6620000</v>
      </c>
      <c r="J1837" s="5">
        <v>63700000</v>
      </c>
      <c r="K1837" s="5">
        <v>66700000</v>
      </c>
      <c r="L1837" s="3">
        <v>0.97916666666666663</v>
      </c>
    </row>
    <row r="1838" spans="1:12" x14ac:dyDescent="0.25">
      <c r="A1838" t="s">
        <v>1133</v>
      </c>
      <c r="B1838" s="2">
        <v>45041</v>
      </c>
      <c r="C1838" t="s">
        <v>18</v>
      </c>
      <c r="D1838" t="s">
        <v>1636</v>
      </c>
      <c r="E1838" s="5">
        <v>63300000</v>
      </c>
      <c r="F1838" s="5">
        <v>66300000</v>
      </c>
      <c r="G1838" s="5">
        <v>3000000</v>
      </c>
      <c r="H1838" s="5">
        <v>6330000</v>
      </c>
      <c r="I1838" s="5">
        <v>6630000</v>
      </c>
      <c r="J1838" s="5">
        <v>63800000</v>
      </c>
      <c r="K1838" s="5">
        <v>66800000</v>
      </c>
      <c r="L1838" s="3">
        <v>0.97916666666666663</v>
      </c>
    </row>
    <row r="1839" spans="1:12" x14ac:dyDescent="0.25">
      <c r="A1839" t="s">
        <v>1134</v>
      </c>
      <c r="B1839" s="2">
        <v>45042</v>
      </c>
      <c r="C1839" t="s">
        <v>19</v>
      </c>
      <c r="D1839" t="s">
        <v>1636</v>
      </c>
      <c r="E1839" s="5">
        <v>63000000</v>
      </c>
      <c r="F1839" s="5">
        <v>66000000</v>
      </c>
      <c r="G1839" s="5">
        <v>3000000</v>
      </c>
      <c r="H1839" s="5">
        <v>6300000</v>
      </c>
      <c r="I1839" s="5">
        <v>6600000</v>
      </c>
      <c r="J1839" s="5">
        <v>63500000</v>
      </c>
      <c r="K1839" s="5">
        <v>66500000</v>
      </c>
      <c r="L1839" s="3">
        <v>0.97916666666666663</v>
      </c>
    </row>
    <row r="1840" spans="1:12" x14ac:dyDescent="0.25">
      <c r="A1840" t="s">
        <v>1135</v>
      </c>
      <c r="B1840" s="2">
        <v>45043</v>
      </c>
      <c r="C1840" t="s">
        <v>20</v>
      </c>
      <c r="D1840" t="s">
        <v>1636</v>
      </c>
      <c r="E1840" s="5">
        <v>63200000</v>
      </c>
      <c r="F1840" s="5">
        <v>66200000</v>
      </c>
      <c r="G1840" s="5">
        <v>3000000</v>
      </c>
      <c r="H1840" s="5">
        <v>6320000</v>
      </c>
      <c r="I1840" s="5">
        <v>6620000</v>
      </c>
      <c r="J1840" s="5">
        <v>63700000</v>
      </c>
      <c r="K1840" s="5">
        <v>66700000</v>
      </c>
      <c r="L1840" s="3">
        <v>0.97916666666666663</v>
      </c>
    </row>
    <row r="1841" spans="1:12" x14ac:dyDescent="0.25">
      <c r="A1841" t="s">
        <v>1136</v>
      </c>
      <c r="B1841" s="2">
        <v>45044</v>
      </c>
      <c r="C1841" t="s">
        <v>21</v>
      </c>
      <c r="D1841" t="s">
        <v>1636</v>
      </c>
      <c r="E1841" s="5">
        <v>63200000</v>
      </c>
      <c r="F1841" s="5">
        <v>66200000</v>
      </c>
      <c r="G1841" s="5">
        <v>3000000</v>
      </c>
      <c r="H1841" s="5">
        <v>6320000</v>
      </c>
      <c r="I1841" s="5">
        <v>6620000</v>
      </c>
      <c r="J1841" s="5">
        <v>63700000</v>
      </c>
      <c r="K1841" s="5">
        <v>66700000</v>
      </c>
      <c r="L1841" s="3">
        <v>0.97916666666666663</v>
      </c>
    </row>
    <row r="1842" spans="1:12" x14ac:dyDescent="0.25">
      <c r="A1842" s="2">
        <v>44931</v>
      </c>
      <c r="B1842" s="2">
        <v>45047</v>
      </c>
      <c r="C1842" t="s">
        <v>16</v>
      </c>
      <c r="D1842" t="s">
        <v>1636</v>
      </c>
      <c r="E1842" s="5">
        <v>63000000</v>
      </c>
      <c r="F1842" s="5">
        <v>66000000</v>
      </c>
      <c r="G1842" s="5">
        <v>3000000</v>
      </c>
      <c r="H1842" s="5">
        <v>6300000</v>
      </c>
      <c r="I1842" s="5">
        <v>6600000</v>
      </c>
      <c r="J1842" s="5">
        <v>63500000</v>
      </c>
      <c r="K1842" s="5">
        <v>66500000</v>
      </c>
      <c r="L1842" s="3">
        <v>0.97916666666666663</v>
      </c>
    </row>
    <row r="1843" spans="1:12" x14ac:dyDescent="0.25">
      <c r="A1843" s="2">
        <v>44962</v>
      </c>
      <c r="B1843" s="2">
        <v>45048</v>
      </c>
      <c r="C1843" t="s">
        <v>18</v>
      </c>
      <c r="D1843" t="s">
        <v>1636</v>
      </c>
      <c r="E1843" s="5">
        <v>64000000</v>
      </c>
      <c r="F1843" s="5">
        <v>67000000</v>
      </c>
      <c r="G1843" s="5">
        <v>3000000</v>
      </c>
      <c r="H1843" s="5">
        <v>6400000</v>
      </c>
      <c r="I1843" s="5">
        <v>6700000</v>
      </c>
      <c r="J1843" s="5">
        <v>64500000</v>
      </c>
      <c r="K1843" s="5">
        <v>67500000</v>
      </c>
      <c r="L1843" s="3">
        <v>0.97916666666666663</v>
      </c>
    </row>
    <row r="1844" spans="1:12" x14ac:dyDescent="0.25">
      <c r="A1844" s="2">
        <v>44990</v>
      </c>
      <c r="B1844" s="2">
        <v>45049</v>
      </c>
      <c r="C1844" t="s">
        <v>19</v>
      </c>
      <c r="D1844" t="s">
        <v>1636</v>
      </c>
      <c r="E1844" s="5">
        <v>64500000</v>
      </c>
      <c r="F1844" s="5">
        <v>67500000</v>
      </c>
      <c r="G1844" s="5">
        <v>3000000</v>
      </c>
      <c r="H1844" s="5">
        <v>6450000</v>
      </c>
      <c r="I1844" s="5">
        <v>6750000</v>
      </c>
      <c r="J1844" s="5">
        <v>65000000</v>
      </c>
      <c r="K1844" s="5">
        <v>68000000</v>
      </c>
      <c r="L1844" s="3">
        <v>0.97916666666666663</v>
      </c>
    </row>
    <row r="1845" spans="1:12" x14ac:dyDescent="0.25">
      <c r="A1845" s="2">
        <v>45021</v>
      </c>
      <c r="B1845" s="2">
        <v>45050</v>
      </c>
      <c r="C1845" t="s">
        <v>20</v>
      </c>
      <c r="D1845" t="s">
        <v>1636</v>
      </c>
      <c r="E1845" s="5">
        <v>65100000</v>
      </c>
      <c r="F1845" s="5">
        <v>68100000</v>
      </c>
      <c r="G1845" s="5">
        <v>3000000</v>
      </c>
      <c r="H1845" s="5">
        <v>6510000</v>
      </c>
      <c r="I1845" s="5">
        <v>6810000</v>
      </c>
      <c r="J1845" s="5">
        <v>65600000</v>
      </c>
      <c r="K1845" s="5">
        <v>68600000</v>
      </c>
      <c r="L1845" s="3">
        <v>0.97916666666666663</v>
      </c>
    </row>
    <row r="1846" spans="1:12" x14ac:dyDescent="0.25">
      <c r="A1846" s="2">
        <v>45051</v>
      </c>
      <c r="B1846" s="2">
        <v>45051</v>
      </c>
      <c r="C1846" t="s">
        <v>21</v>
      </c>
      <c r="D1846" t="s">
        <v>1636</v>
      </c>
      <c r="E1846" s="5">
        <v>64100000</v>
      </c>
      <c r="F1846" s="5">
        <v>67100000</v>
      </c>
      <c r="G1846" s="5">
        <v>3000000</v>
      </c>
      <c r="H1846" s="5">
        <v>6410000</v>
      </c>
      <c r="I1846" s="5">
        <v>6710000</v>
      </c>
      <c r="J1846" s="5">
        <v>64600000</v>
      </c>
      <c r="K1846" s="5">
        <v>67600000</v>
      </c>
      <c r="L1846" s="3">
        <v>0.97916666666666663</v>
      </c>
    </row>
    <row r="1847" spans="1:12" x14ac:dyDescent="0.25">
      <c r="A1847" s="2">
        <v>45143</v>
      </c>
      <c r="B1847" s="2">
        <v>45054</v>
      </c>
      <c r="C1847" t="s">
        <v>16</v>
      </c>
      <c r="D1847" t="s">
        <v>1636</v>
      </c>
      <c r="E1847" s="5">
        <v>64400000</v>
      </c>
      <c r="F1847" s="5">
        <v>67400000</v>
      </c>
      <c r="G1847" s="5">
        <v>3000000</v>
      </c>
      <c r="H1847" s="5">
        <v>6440000</v>
      </c>
      <c r="I1847" s="5">
        <v>6740000</v>
      </c>
      <c r="J1847" s="5">
        <v>64900000</v>
      </c>
      <c r="K1847" s="5">
        <v>67900000</v>
      </c>
      <c r="L1847" s="3">
        <v>0.97916666666666663</v>
      </c>
    </row>
    <row r="1848" spans="1:12" x14ac:dyDescent="0.25">
      <c r="A1848" s="2">
        <v>45174</v>
      </c>
      <c r="B1848" s="2">
        <v>45055</v>
      </c>
      <c r="C1848" t="s">
        <v>18</v>
      </c>
      <c r="D1848" t="s">
        <v>1636</v>
      </c>
      <c r="E1848" s="5">
        <v>64700000</v>
      </c>
      <c r="F1848" s="5">
        <v>67700000</v>
      </c>
      <c r="G1848" s="5">
        <v>3000000</v>
      </c>
      <c r="H1848" s="5">
        <v>6470000</v>
      </c>
      <c r="I1848" s="5">
        <v>6770000</v>
      </c>
      <c r="J1848" s="5">
        <v>65200000</v>
      </c>
      <c r="K1848" s="5">
        <v>68200000</v>
      </c>
      <c r="L1848" s="3">
        <v>0.97916666666666663</v>
      </c>
    </row>
    <row r="1849" spans="1:12" x14ac:dyDescent="0.25">
      <c r="A1849" s="2">
        <v>45204</v>
      </c>
      <c r="B1849" s="2">
        <v>45056</v>
      </c>
      <c r="C1849" t="s">
        <v>19</v>
      </c>
      <c r="D1849" t="s">
        <v>1636</v>
      </c>
      <c r="E1849" s="5">
        <v>64500000</v>
      </c>
      <c r="F1849" s="5">
        <v>67500000</v>
      </c>
      <c r="G1849" s="5">
        <v>3000000</v>
      </c>
      <c r="H1849" s="5">
        <v>6450000</v>
      </c>
      <c r="I1849" s="5">
        <v>6750000</v>
      </c>
      <c r="J1849" s="5">
        <v>65000000</v>
      </c>
      <c r="K1849" s="5">
        <v>68000000</v>
      </c>
      <c r="L1849" s="3">
        <v>0.97916666666666663</v>
      </c>
    </row>
    <row r="1850" spans="1:12" x14ac:dyDescent="0.25">
      <c r="A1850" s="2">
        <v>45235</v>
      </c>
      <c r="B1850" s="2">
        <v>45057</v>
      </c>
      <c r="C1850" t="s">
        <v>20</v>
      </c>
      <c r="D1850" t="s">
        <v>1636</v>
      </c>
      <c r="E1850" s="5">
        <v>64000000</v>
      </c>
      <c r="F1850" s="5">
        <v>67000000</v>
      </c>
      <c r="G1850" s="5">
        <v>3000000</v>
      </c>
      <c r="H1850" s="5">
        <v>6400000</v>
      </c>
      <c r="I1850" s="5">
        <v>6700000</v>
      </c>
      <c r="J1850" s="5">
        <v>64500000</v>
      </c>
      <c r="K1850" s="5">
        <v>67500000</v>
      </c>
      <c r="L1850" s="3">
        <v>0.97916666666666663</v>
      </c>
    </row>
    <row r="1851" spans="1:12" x14ac:dyDescent="0.25">
      <c r="A1851" s="2">
        <v>45265</v>
      </c>
      <c r="B1851" s="2">
        <v>45058</v>
      </c>
      <c r="C1851" t="s">
        <v>21</v>
      </c>
      <c r="D1851" t="s">
        <v>1636</v>
      </c>
      <c r="E1851" s="5">
        <v>64000000</v>
      </c>
      <c r="F1851" s="5">
        <v>67000000</v>
      </c>
      <c r="G1851" s="5">
        <v>3000000</v>
      </c>
      <c r="H1851" s="5">
        <v>6400000</v>
      </c>
      <c r="I1851" s="5">
        <v>6700000</v>
      </c>
      <c r="J1851" s="5">
        <v>64500000</v>
      </c>
      <c r="K1851" s="5">
        <v>67500000</v>
      </c>
      <c r="L1851" s="3">
        <v>0.97916666666666663</v>
      </c>
    </row>
    <row r="1852" spans="1:12" x14ac:dyDescent="0.25">
      <c r="A1852" t="s">
        <v>1137</v>
      </c>
      <c r="B1852" s="2">
        <v>45061</v>
      </c>
      <c r="C1852" t="s">
        <v>16</v>
      </c>
      <c r="D1852" t="s">
        <v>1636</v>
      </c>
      <c r="E1852" s="5">
        <v>64100000</v>
      </c>
      <c r="F1852" s="5">
        <v>67100000</v>
      </c>
      <c r="G1852" s="5">
        <v>3000000</v>
      </c>
      <c r="H1852" s="5">
        <v>6410000</v>
      </c>
      <c r="I1852" s="5">
        <v>6710000</v>
      </c>
      <c r="J1852" s="5">
        <v>64600000</v>
      </c>
      <c r="K1852" s="5">
        <v>67600000</v>
      </c>
      <c r="L1852" s="3">
        <v>0.97916666666666663</v>
      </c>
    </row>
    <row r="1853" spans="1:12" x14ac:dyDescent="0.25">
      <c r="A1853" t="s">
        <v>1138</v>
      </c>
      <c r="B1853" s="2">
        <v>45062</v>
      </c>
      <c r="C1853" t="s">
        <v>18</v>
      </c>
      <c r="D1853" t="s">
        <v>1636</v>
      </c>
      <c r="E1853" s="5">
        <v>63100000</v>
      </c>
      <c r="F1853" s="5">
        <v>66100000</v>
      </c>
      <c r="G1853" s="5">
        <v>3000000</v>
      </c>
      <c r="H1853" s="5">
        <v>6310000</v>
      </c>
      <c r="I1853" s="5">
        <v>6610000</v>
      </c>
      <c r="J1853" s="5">
        <v>63600000</v>
      </c>
      <c r="K1853" s="5">
        <v>66600000</v>
      </c>
      <c r="L1853" s="3">
        <v>0.97916666666666663</v>
      </c>
    </row>
    <row r="1854" spans="1:12" x14ac:dyDescent="0.25">
      <c r="A1854" t="s">
        <v>1139</v>
      </c>
      <c r="B1854" s="2">
        <v>45063</v>
      </c>
      <c r="C1854" t="s">
        <v>19</v>
      </c>
      <c r="D1854" t="s">
        <v>1636</v>
      </c>
      <c r="E1854" s="5">
        <v>62900000</v>
      </c>
      <c r="F1854" s="5">
        <v>65900000</v>
      </c>
      <c r="G1854" s="5">
        <v>3000000</v>
      </c>
      <c r="H1854" s="5">
        <v>6290000</v>
      </c>
      <c r="I1854" s="5">
        <v>6590000</v>
      </c>
      <c r="J1854" s="5">
        <v>63400000</v>
      </c>
      <c r="K1854" s="5">
        <v>66400000</v>
      </c>
      <c r="L1854" s="3">
        <v>0.97916666666666663</v>
      </c>
    </row>
    <row r="1855" spans="1:12" x14ac:dyDescent="0.25">
      <c r="A1855" t="s">
        <v>1140</v>
      </c>
      <c r="B1855" s="2">
        <v>45064</v>
      </c>
      <c r="C1855" t="s">
        <v>20</v>
      </c>
      <c r="D1855" t="s">
        <v>1636</v>
      </c>
      <c r="E1855" s="5">
        <v>62100000</v>
      </c>
      <c r="F1855" s="5">
        <v>65100000</v>
      </c>
      <c r="G1855" s="5">
        <v>3000000</v>
      </c>
      <c r="H1855" s="5">
        <v>6210000</v>
      </c>
      <c r="I1855" s="5">
        <v>6510000</v>
      </c>
      <c r="J1855" s="5">
        <v>62600000</v>
      </c>
      <c r="K1855" s="5">
        <v>65600000</v>
      </c>
      <c r="L1855" s="3">
        <v>0.97916666666666663</v>
      </c>
    </row>
    <row r="1856" spans="1:12" x14ac:dyDescent="0.25">
      <c r="A1856" t="s">
        <v>1141</v>
      </c>
      <c r="B1856" s="2">
        <v>45065</v>
      </c>
      <c r="C1856" t="s">
        <v>21</v>
      </c>
      <c r="D1856" t="s">
        <v>1636</v>
      </c>
      <c r="E1856" s="5">
        <v>62800000</v>
      </c>
      <c r="F1856" s="5">
        <v>65800000</v>
      </c>
      <c r="G1856" s="5">
        <v>3000000</v>
      </c>
      <c r="H1856" s="5">
        <v>6280000</v>
      </c>
      <c r="I1856" s="5">
        <v>6580000</v>
      </c>
      <c r="J1856" s="5">
        <v>63300000</v>
      </c>
      <c r="K1856" s="5">
        <v>66300000</v>
      </c>
      <c r="L1856" s="3">
        <v>0.97916666666666663</v>
      </c>
    </row>
    <row r="1857" spans="1:12" x14ac:dyDescent="0.25">
      <c r="A1857" t="s">
        <v>1142</v>
      </c>
      <c r="B1857" s="2">
        <v>45068</v>
      </c>
      <c r="C1857" t="s">
        <v>16</v>
      </c>
      <c r="D1857" t="s">
        <v>1636</v>
      </c>
      <c r="E1857" s="5">
        <v>62700000</v>
      </c>
      <c r="F1857" s="5">
        <v>65700000</v>
      </c>
      <c r="G1857" s="5">
        <v>3000000</v>
      </c>
      <c r="H1857" s="5">
        <v>6270000</v>
      </c>
      <c r="I1857" s="5">
        <v>6570000</v>
      </c>
      <c r="J1857" s="5">
        <v>63200000</v>
      </c>
      <c r="K1857" s="5">
        <v>66200000</v>
      </c>
      <c r="L1857" s="3">
        <v>0.97916666666666663</v>
      </c>
    </row>
    <row r="1858" spans="1:12" x14ac:dyDescent="0.25">
      <c r="A1858" t="s">
        <v>1143</v>
      </c>
      <c r="B1858" s="2">
        <v>45069</v>
      </c>
      <c r="C1858" t="s">
        <v>18</v>
      </c>
      <c r="D1858" t="s">
        <v>1636</v>
      </c>
      <c r="E1858" s="5">
        <v>62600000</v>
      </c>
      <c r="F1858" s="5">
        <v>65600000</v>
      </c>
      <c r="G1858" s="5">
        <v>3000000</v>
      </c>
      <c r="H1858" s="5">
        <v>6260000</v>
      </c>
      <c r="I1858" s="5">
        <v>6560000</v>
      </c>
      <c r="J1858" s="5">
        <v>63100000</v>
      </c>
      <c r="K1858" s="5">
        <v>66100000</v>
      </c>
      <c r="L1858" s="3">
        <v>0.97916666666666663</v>
      </c>
    </row>
    <row r="1859" spans="1:12" x14ac:dyDescent="0.25">
      <c r="A1859" t="s">
        <v>1144</v>
      </c>
      <c r="B1859" s="2">
        <v>45070</v>
      </c>
      <c r="C1859" t="s">
        <v>19</v>
      </c>
      <c r="D1859" t="s">
        <v>1636</v>
      </c>
      <c r="E1859" s="5">
        <v>62300000</v>
      </c>
      <c r="F1859" s="5">
        <v>65300000</v>
      </c>
      <c r="G1859" s="5">
        <v>3000000</v>
      </c>
      <c r="H1859" s="5">
        <v>6230000</v>
      </c>
      <c r="I1859" s="5">
        <v>6530000</v>
      </c>
      <c r="J1859" s="5">
        <v>62800000</v>
      </c>
      <c r="K1859" s="5">
        <v>65800000</v>
      </c>
      <c r="L1859" s="3">
        <v>0.97916666666666663</v>
      </c>
    </row>
    <row r="1860" spans="1:12" x14ac:dyDescent="0.25">
      <c r="A1860" t="s">
        <v>1145</v>
      </c>
      <c r="B1860" s="2">
        <v>45071</v>
      </c>
      <c r="C1860" t="s">
        <v>20</v>
      </c>
      <c r="D1860" t="s">
        <v>1636</v>
      </c>
      <c r="E1860" s="5">
        <v>61600000</v>
      </c>
      <c r="F1860" s="5">
        <v>64600000</v>
      </c>
      <c r="G1860" s="5">
        <v>3000000</v>
      </c>
      <c r="H1860" s="5">
        <v>6160000</v>
      </c>
      <c r="I1860" s="5">
        <v>6460000</v>
      </c>
      <c r="J1860" s="5">
        <v>62100000</v>
      </c>
      <c r="K1860" s="5">
        <v>65100000</v>
      </c>
      <c r="L1860" s="3">
        <v>0.97916666666666663</v>
      </c>
    </row>
    <row r="1861" spans="1:12" x14ac:dyDescent="0.25">
      <c r="A1861" t="s">
        <v>1146</v>
      </c>
      <c r="B1861" s="2">
        <v>45072</v>
      </c>
      <c r="C1861" t="s">
        <v>21</v>
      </c>
      <c r="D1861" t="s">
        <v>1636</v>
      </c>
      <c r="E1861" s="5">
        <v>61700000</v>
      </c>
      <c r="F1861" s="5">
        <v>64700000</v>
      </c>
      <c r="G1861" s="5">
        <v>3000000</v>
      </c>
      <c r="H1861" s="5">
        <v>6170000</v>
      </c>
      <c r="I1861" s="5">
        <v>6470000</v>
      </c>
      <c r="J1861" s="5">
        <v>62200000</v>
      </c>
      <c r="K1861" s="5">
        <v>65200000</v>
      </c>
      <c r="L1861" s="3">
        <v>0.97916666666666663</v>
      </c>
    </row>
    <row r="1862" spans="1:12" x14ac:dyDescent="0.25">
      <c r="A1862" t="s">
        <v>1147</v>
      </c>
      <c r="B1862" s="2">
        <v>45076</v>
      </c>
      <c r="C1862" t="s">
        <v>18</v>
      </c>
      <c r="D1862" t="s">
        <v>1636</v>
      </c>
      <c r="E1862" s="5">
        <v>62100000</v>
      </c>
      <c r="F1862" s="5">
        <v>65100000</v>
      </c>
      <c r="G1862" s="5">
        <v>3000000</v>
      </c>
      <c r="H1862" s="5">
        <v>6210000</v>
      </c>
      <c r="I1862" s="5">
        <v>6510000</v>
      </c>
      <c r="J1862" s="5">
        <v>62600000</v>
      </c>
      <c r="K1862" s="5">
        <v>65600000</v>
      </c>
      <c r="L1862" s="3">
        <v>0.97916666666666663</v>
      </c>
    </row>
    <row r="1863" spans="1:12" x14ac:dyDescent="0.25">
      <c r="A1863" t="s">
        <v>1148</v>
      </c>
      <c r="B1863" s="2">
        <v>45077</v>
      </c>
      <c r="C1863" t="s">
        <v>19</v>
      </c>
      <c r="D1863" t="s">
        <v>1636</v>
      </c>
      <c r="E1863" s="5">
        <v>62300000</v>
      </c>
      <c r="F1863" s="5">
        <v>65300000</v>
      </c>
      <c r="G1863" s="5">
        <v>3000000</v>
      </c>
      <c r="H1863" s="5">
        <v>6230000</v>
      </c>
      <c r="I1863" s="5">
        <v>6530000</v>
      </c>
      <c r="J1863" s="5">
        <v>62800000</v>
      </c>
      <c r="K1863" s="5">
        <v>65800000</v>
      </c>
      <c r="L1863" s="3">
        <v>0.97916666666666663</v>
      </c>
    </row>
    <row r="1864" spans="1:12" x14ac:dyDescent="0.25">
      <c r="A1864" s="2">
        <v>44932</v>
      </c>
      <c r="B1864" s="2">
        <v>45078</v>
      </c>
      <c r="C1864" t="s">
        <v>20</v>
      </c>
      <c r="D1864" t="s">
        <v>1636</v>
      </c>
      <c r="E1864" s="5">
        <v>62800000</v>
      </c>
      <c r="F1864" s="5">
        <v>65800000</v>
      </c>
      <c r="G1864" s="5">
        <v>3000000</v>
      </c>
      <c r="H1864" s="5">
        <v>6280000</v>
      </c>
      <c r="I1864" s="5">
        <v>6580000</v>
      </c>
      <c r="J1864" s="5">
        <v>63300000</v>
      </c>
      <c r="K1864" s="5">
        <v>66300000</v>
      </c>
      <c r="L1864" s="3">
        <v>0.97916666666666663</v>
      </c>
    </row>
    <row r="1865" spans="1:12" x14ac:dyDescent="0.25">
      <c r="A1865" s="2">
        <v>44963</v>
      </c>
      <c r="B1865" s="2">
        <v>45079</v>
      </c>
      <c r="C1865" t="s">
        <v>21</v>
      </c>
      <c r="D1865" t="s">
        <v>1636</v>
      </c>
      <c r="E1865" s="5">
        <v>61900000</v>
      </c>
      <c r="F1865" s="5">
        <v>64900000</v>
      </c>
      <c r="G1865" s="5">
        <v>3000000</v>
      </c>
      <c r="H1865" s="5">
        <v>6190000</v>
      </c>
      <c r="I1865" s="5">
        <v>6490000</v>
      </c>
      <c r="J1865" s="5">
        <v>62400000</v>
      </c>
      <c r="K1865" s="5">
        <v>65400000</v>
      </c>
      <c r="L1865" s="3">
        <v>0.97916666666666663</v>
      </c>
    </row>
    <row r="1866" spans="1:12" x14ac:dyDescent="0.25">
      <c r="A1866" s="2">
        <v>45052</v>
      </c>
      <c r="B1866" s="2">
        <v>45082</v>
      </c>
      <c r="C1866" t="s">
        <v>16</v>
      </c>
      <c r="D1866" t="s">
        <v>1636</v>
      </c>
      <c r="E1866" s="5">
        <v>62100000</v>
      </c>
      <c r="F1866" s="5">
        <v>65100000</v>
      </c>
      <c r="G1866" s="5">
        <v>3000000</v>
      </c>
      <c r="H1866" s="5">
        <v>6210000</v>
      </c>
      <c r="I1866" s="5">
        <v>6510000</v>
      </c>
      <c r="J1866" s="5">
        <v>62600000</v>
      </c>
      <c r="K1866" s="5">
        <v>65600000</v>
      </c>
      <c r="L1866" s="3">
        <v>0.97916666666666663</v>
      </c>
    </row>
    <row r="1867" spans="1:12" x14ac:dyDescent="0.25">
      <c r="A1867" s="2">
        <v>45083</v>
      </c>
      <c r="B1867" s="2">
        <v>45083</v>
      </c>
      <c r="C1867" t="s">
        <v>18</v>
      </c>
      <c r="D1867" t="s">
        <v>1636</v>
      </c>
      <c r="E1867" s="5">
        <v>62400000</v>
      </c>
      <c r="F1867" s="5">
        <v>65400000</v>
      </c>
      <c r="G1867" s="5">
        <v>3000000</v>
      </c>
      <c r="H1867" s="5">
        <v>6240000</v>
      </c>
      <c r="I1867" s="5">
        <v>6540000</v>
      </c>
      <c r="J1867" s="5">
        <v>62900000</v>
      </c>
      <c r="K1867" s="5">
        <v>65900000</v>
      </c>
      <c r="L1867" s="3">
        <v>0.97916666666666663</v>
      </c>
    </row>
    <row r="1868" spans="1:12" x14ac:dyDescent="0.25">
      <c r="A1868" s="2">
        <v>45113</v>
      </c>
      <c r="B1868" s="2">
        <v>45084</v>
      </c>
      <c r="C1868" t="s">
        <v>19</v>
      </c>
      <c r="D1868" t="s">
        <v>1636</v>
      </c>
      <c r="E1868" s="5">
        <v>61600000</v>
      </c>
      <c r="F1868" s="5">
        <v>64600000</v>
      </c>
      <c r="G1868" s="5">
        <v>3000000</v>
      </c>
      <c r="H1868" s="5">
        <v>6160000</v>
      </c>
      <c r="I1868" s="5">
        <v>6460000</v>
      </c>
      <c r="J1868" s="5">
        <v>62100000</v>
      </c>
      <c r="K1868" s="5">
        <v>65100000</v>
      </c>
      <c r="L1868" s="3">
        <v>0.97916666666666663</v>
      </c>
    </row>
    <row r="1869" spans="1:12" x14ac:dyDescent="0.25">
      <c r="A1869" s="2">
        <v>45144</v>
      </c>
      <c r="B1869" s="2">
        <v>45085</v>
      </c>
      <c r="C1869" t="s">
        <v>20</v>
      </c>
      <c r="D1869" t="s">
        <v>1636</v>
      </c>
      <c r="E1869" s="5">
        <v>62300000</v>
      </c>
      <c r="F1869" s="5">
        <v>65300000</v>
      </c>
      <c r="G1869" s="5">
        <v>3000000</v>
      </c>
      <c r="H1869" s="5">
        <v>6230000</v>
      </c>
      <c r="I1869" s="5">
        <v>6530000</v>
      </c>
      <c r="J1869" s="5">
        <v>62800000</v>
      </c>
      <c r="K1869" s="5">
        <v>65800000</v>
      </c>
      <c r="L1869" s="3">
        <v>0.97916666666666663</v>
      </c>
    </row>
    <row r="1870" spans="1:12" x14ac:dyDescent="0.25">
      <c r="A1870" s="2">
        <v>45175</v>
      </c>
      <c r="B1870" s="2">
        <v>45086</v>
      </c>
      <c r="C1870" t="s">
        <v>21</v>
      </c>
      <c r="D1870" t="s">
        <v>1636</v>
      </c>
      <c r="E1870" s="5">
        <v>62300000</v>
      </c>
      <c r="F1870" s="5">
        <v>65300000</v>
      </c>
      <c r="G1870" s="5">
        <v>3000000</v>
      </c>
      <c r="H1870" s="5">
        <v>6230000</v>
      </c>
      <c r="I1870" s="5">
        <v>6530000</v>
      </c>
      <c r="J1870" s="5">
        <v>62800000</v>
      </c>
      <c r="K1870" s="5">
        <v>65800000</v>
      </c>
      <c r="L1870" s="3">
        <v>0.97916666666666663</v>
      </c>
    </row>
    <row r="1871" spans="1:12" x14ac:dyDescent="0.25">
      <c r="A1871" s="2">
        <v>45266</v>
      </c>
      <c r="B1871" s="2">
        <v>45089</v>
      </c>
      <c r="C1871" t="s">
        <v>16</v>
      </c>
      <c r="D1871" t="s">
        <v>1636</v>
      </c>
      <c r="E1871" s="5">
        <v>62000000</v>
      </c>
      <c r="F1871" s="5">
        <v>65000000</v>
      </c>
      <c r="G1871" s="5">
        <v>3000000</v>
      </c>
      <c r="H1871" s="5">
        <v>6200000</v>
      </c>
      <c r="I1871" s="5">
        <v>6500000</v>
      </c>
      <c r="J1871" s="5">
        <v>62500000</v>
      </c>
      <c r="K1871" s="5">
        <v>65500000</v>
      </c>
      <c r="L1871" s="3">
        <v>0.97916666666666663</v>
      </c>
    </row>
    <row r="1872" spans="1:12" x14ac:dyDescent="0.25">
      <c r="A1872" t="s">
        <v>1149</v>
      </c>
      <c r="B1872" s="2">
        <v>45090</v>
      </c>
      <c r="C1872" t="s">
        <v>18</v>
      </c>
      <c r="D1872" t="s">
        <v>1636</v>
      </c>
      <c r="E1872" s="5">
        <v>61700000</v>
      </c>
      <c r="F1872" s="5">
        <v>64700000</v>
      </c>
      <c r="G1872" s="5">
        <v>3000000</v>
      </c>
      <c r="H1872" s="5">
        <v>6170000</v>
      </c>
      <c r="I1872" s="5">
        <v>6470000</v>
      </c>
      <c r="J1872" s="5">
        <v>62200000</v>
      </c>
      <c r="K1872" s="5">
        <v>65200000</v>
      </c>
      <c r="L1872" s="3">
        <v>0.97916666666666663</v>
      </c>
    </row>
    <row r="1873" spans="1:12" x14ac:dyDescent="0.25">
      <c r="A1873" t="s">
        <v>1150</v>
      </c>
      <c r="B1873" s="2">
        <v>45091</v>
      </c>
      <c r="C1873" t="s">
        <v>19</v>
      </c>
      <c r="D1873" t="s">
        <v>1636</v>
      </c>
      <c r="E1873" s="5">
        <v>62000000</v>
      </c>
      <c r="F1873" s="5">
        <v>65000000</v>
      </c>
      <c r="G1873" s="5">
        <v>3000000</v>
      </c>
      <c r="H1873" s="5">
        <v>6200000</v>
      </c>
      <c r="I1873" s="5">
        <v>6500000</v>
      </c>
      <c r="J1873" s="5">
        <v>62500000</v>
      </c>
      <c r="K1873" s="5">
        <v>65500000</v>
      </c>
      <c r="L1873" s="3">
        <v>0.97916666666666663</v>
      </c>
    </row>
    <row r="1874" spans="1:12" x14ac:dyDescent="0.25">
      <c r="A1874" t="s">
        <v>1151</v>
      </c>
      <c r="B1874" s="2">
        <v>45092</v>
      </c>
      <c r="C1874" t="s">
        <v>20</v>
      </c>
      <c r="D1874" t="s">
        <v>1636</v>
      </c>
      <c r="E1874" s="5">
        <v>62100000</v>
      </c>
      <c r="F1874" s="5">
        <v>65100000</v>
      </c>
      <c r="G1874" s="5">
        <v>3000000</v>
      </c>
      <c r="H1874" s="5">
        <v>6210000</v>
      </c>
      <c r="I1874" s="5">
        <v>6510000</v>
      </c>
      <c r="J1874" s="5">
        <v>62600000</v>
      </c>
      <c r="K1874" s="5">
        <v>65600000</v>
      </c>
      <c r="L1874" s="3">
        <v>0.97916666666666663</v>
      </c>
    </row>
    <row r="1875" spans="1:12" x14ac:dyDescent="0.25">
      <c r="A1875" t="s">
        <v>1152</v>
      </c>
      <c r="B1875" s="2">
        <v>45093</v>
      </c>
      <c r="C1875" t="s">
        <v>21</v>
      </c>
      <c r="D1875" t="s">
        <v>1636</v>
      </c>
      <c r="E1875" s="5">
        <v>62100000</v>
      </c>
      <c r="F1875" s="5">
        <v>65100000</v>
      </c>
      <c r="G1875" s="5">
        <v>3000000</v>
      </c>
      <c r="H1875" s="5">
        <v>6210000</v>
      </c>
      <c r="I1875" s="5">
        <v>6510000</v>
      </c>
      <c r="J1875" s="5">
        <v>62600000</v>
      </c>
      <c r="K1875" s="5">
        <v>65600000</v>
      </c>
      <c r="L1875" s="3">
        <v>0.97916666666666663</v>
      </c>
    </row>
    <row r="1876" spans="1:12" x14ac:dyDescent="0.25">
      <c r="A1876" t="s">
        <v>1153</v>
      </c>
      <c r="B1876" s="2">
        <v>45097</v>
      </c>
      <c r="C1876" t="s">
        <v>18</v>
      </c>
      <c r="D1876" t="s">
        <v>1636</v>
      </c>
      <c r="E1876" s="5">
        <v>61400000</v>
      </c>
      <c r="F1876" s="5">
        <v>64400000</v>
      </c>
      <c r="G1876" s="5">
        <v>3000000</v>
      </c>
      <c r="H1876" s="5">
        <v>6140000</v>
      </c>
      <c r="I1876" s="5">
        <v>6440000</v>
      </c>
      <c r="J1876" s="5">
        <v>61900000</v>
      </c>
      <c r="K1876" s="5">
        <v>64900000</v>
      </c>
      <c r="L1876" s="3">
        <v>0.97916666666666663</v>
      </c>
    </row>
    <row r="1877" spans="1:12" x14ac:dyDescent="0.25">
      <c r="A1877" t="s">
        <v>1154</v>
      </c>
      <c r="B1877" s="2">
        <v>45098</v>
      </c>
      <c r="C1877" t="s">
        <v>19</v>
      </c>
      <c r="D1877" t="s">
        <v>1636</v>
      </c>
      <c r="E1877" s="5">
        <v>61300000</v>
      </c>
      <c r="F1877" s="5">
        <v>64300000</v>
      </c>
      <c r="G1877" s="5">
        <v>3000000</v>
      </c>
      <c r="H1877" s="5">
        <v>6130000</v>
      </c>
      <c r="I1877" s="5">
        <v>6430000</v>
      </c>
      <c r="J1877" s="5">
        <v>61800000</v>
      </c>
      <c r="K1877" s="5">
        <v>64800000</v>
      </c>
      <c r="L1877" s="3">
        <v>0.97916666666666663</v>
      </c>
    </row>
    <row r="1878" spans="1:12" x14ac:dyDescent="0.25">
      <c r="A1878" t="s">
        <v>1155</v>
      </c>
      <c r="B1878" s="2">
        <v>45099</v>
      </c>
      <c r="C1878" t="s">
        <v>20</v>
      </c>
      <c r="D1878" t="s">
        <v>1636</v>
      </c>
      <c r="E1878" s="5">
        <v>60600000</v>
      </c>
      <c r="F1878" s="5">
        <v>63600000</v>
      </c>
      <c r="G1878" s="5">
        <v>3000000</v>
      </c>
      <c r="H1878" s="5">
        <v>6060000</v>
      </c>
      <c r="I1878" s="5">
        <v>6360000</v>
      </c>
      <c r="J1878" s="5">
        <v>61100000</v>
      </c>
      <c r="K1878" s="5">
        <v>64100000</v>
      </c>
      <c r="L1878" s="3">
        <v>0.97916666666666663</v>
      </c>
    </row>
    <row r="1879" spans="1:12" x14ac:dyDescent="0.25">
      <c r="A1879" t="s">
        <v>1156</v>
      </c>
      <c r="B1879" s="2">
        <v>45100</v>
      </c>
      <c r="C1879" t="s">
        <v>21</v>
      </c>
      <c r="D1879" t="s">
        <v>1636</v>
      </c>
      <c r="E1879" s="5">
        <v>60800000</v>
      </c>
      <c r="F1879" s="5">
        <v>63800000</v>
      </c>
      <c r="G1879" s="5">
        <v>3000000</v>
      </c>
      <c r="H1879" s="5">
        <v>6080000</v>
      </c>
      <c r="I1879" s="5">
        <v>6380000</v>
      </c>
      <c r="J1879" s="5">
        <v>61300000</v>
      </c>
      <c r="K1879" s="5">
        <v>64300000</v>
      </c>
      <c r="L1879" s="3">
        <v>0.97916666666666663</v>
      </c>
    </row>
    <row r="1880" spans="1:12" x14ac:dyDescent="0.25">
      <c r="A1880" t="s">
        <v>1157</v>
      </c>
      <c r="B1880" s="2">
        <v>45103</v>
      </c>
      <c r="C1880" t="s">
        <v>16</v>
      </c>
      <c r="D1880" t="s">
        <v>1636</v>
      </c>
      <c r="E1880" s="5">
        <v>61000000</v>
      </c>
      <c r="F1880" s="5">
        <v>64000000</v>
      </c>
      <c r="G1880" s="5">
        <v>3000000</v>
      </c>
      <c r="H1880" s="5">
        <v>6100000</v>
      </c>
      <c r="I1880" s="5">
        <v>6400000</v>
      </c>
      <c r="J1880" s="5">
        <v>61500000</v>
      </c>
      <c r="K1880" s="5">
        <v>64500000</v>
      </c>
      <c r="L1880" s="3">
        <v>0.97916666666666663</v>
      </c>
    </row>
    <row r="1881" spans="1:12" x14ac:dyDescent="0.25">
      <c r="A1881" t="s">
        <v>1158</v>
      </c>
      <c r="B1881" s="2">
        <v>45104</v>
      </c>
      <c r="C1881" t="s">
        <v>18</v>
      </c>
      <c r="D1881" t="s">
        <v>1636</v>
      </c>
      <c r="E1881" s="5">
        <v>60700000</v>
      </c>
      <c r="F1881" s="5">
        <v>63700000</v>
      </c>
      <c r="G1881" s="5">
        <v>3000000</v>
      </c>
      <c r="H1881" s="5">
        <v>6070000</v>
      </c>
      <c r="I1881" s="5">
        <v>6370000</v>
      </c>
      <c r="J1881" s="5">
        <v>61200000</v>
      </c>
      <c r="K1881" s="5">
        <v>64200000</v>
      </c>
      <c r="L1881" s="3">
        <v>0.97916666666666663</v>
      </c>
    </row>
    <row r="1882" spans="1:12" x14ac:dyDescent="0.25">
      <c r="A1882" t="s">
        <v>1159</v>
      </c>
      <c r="B1882" s="2">
        <v>45105</v>
      </c>
      <c r="C1882" t="s">
        <v>19</v>
      </c>
      <c r="D1882" t="s">
        <v>1636</v>
      </c>
      <c r="E1882" s="5">
        <v>60600000</v>
      </c>
      <c r="F1882" s="5">
        <v>63600000</v>
      </c>
      <c r="G1882" s="5">
        <v>3000000</v>
      </c>
      <c r="H1882" s="5">
        <v>6060000</v>
      </c>
      <c r="I1882" s="5">
        <v>6360000</v>
      </c>
      <c r="J1882" s="5">
        <v>61100000</v>
      </c>
      <c r="K1882" s="5">
        <v>64100000</v>
      </c>
      <c r="L1882" s="3">
        <v>0.97916666666666663</v>
      </c>
    </row>
    <row r="1883" spans="1:12" x14ac:dyDescent="0.25">
      <c r="A1883" t="s">
        <v>1160</v>
      </c>
      <c r="B1883" s="2">
        <v>45106</v>
      </c>
      <c r="C1883" t="s">
        <v>20</v>
      </c>
      <c r="D1883" t="s">
        <v>1636</v>
      </c>
      <c r="E1883" s="5">
        <v>60500000</v>
      </c>
      <c r="F1883" s="5">
        <v>63500000</v>
      </c>
      <c r="G1883" s="5">
        <v>3000000</v>
      </c>
      <c r="H1883" s="5">
        <v>6050000</v>
      </c>
      <c r="I1883" s="5">
        <v>6350000</v>
      </c>
      <c r="J1883" s="5">
        <v>61000000</v>
      </c>
      <c r="K1883" s="5">
        <v>64000000</v>
      </c>
      <c r="L1883" s="3">
        <v>0.97916666666666663</v>
      </c>
    </row>
    <row r="1884" spans="1:12" x14ac:dyDescent="0.25">
      <c r="A1884" t="s">
        <v>1161</v>
      </c>
      <c r="B1884" s="2">
        <v>45107</v>
      </c>
      <c r="C1884" t="s">
        <v>21</v>
      </c>
      <c r="D1884" t="s">
        <v>1636</v>
      </c>
      <c r="E1884" s="5">
        <v>60900000</v>
      </c>
      <c r="F1884" s="5">
        <v>63900000</v>
      </c>
      <c r="G1884" s="5">
        <v>3000000</v>
      </c>
      <c r="H1884" s="5">
        <v>6090000</v>
      </c>
      <c r="I1884" s="5">
        <v>6390000</v>
      </c>
      <c r="J1884" s="5">
        <v>61400000</v>
      </c>
      <c r="K1884" s="5">
        <v>64400000</v>
      </c>
      <c r="L1884" s="3">
        <v>0.97916666666666663</v>
      </c>
    </row>
    <row r="1885" spans="1:12" x14ac:dyDescent="0.25">
      <c r="A1885" s="2">
        <v>44992</v>
      </c>
      <c r="B1885" s="2">
        <v>45110</v>
      </c>
      <c r="C1885" t="s">
        <v>16</v>
      </c>
      <c r="D1885" t="s">
        <v>1636</v>
      </c>
      <c r="E1885" s="5">
        <v>60900000</v>
      </c>
      <c r="F1885" s="5">
        <v>63900000</v>
      </c>
      <c r="G1885" s="5">
        <v>3000000</v>
      </c>
      <c r="H1885" s="5">
        <v>6090000</v>
      </c>
      <c r="I1885" s="5">
        <v>6390000</v>
      </c>
      <c r="J1885" s="5">
        <v>61400000</v>
      </c>
      <c r="K1885" s="5">
        <v>64400000</v>
      </c>
      <c r="L1885" s="3">
        <v>0.97916666666666663</v>
      </c>
    </row>
    <row r="1886" spans="1:12" x14ac:dyDescent="0.25">
      <c r="A1886" s="2">
        <v>45053</v>
      </c>
      <c r="B1886" s="2">
        <v>45112</v>
      </c>
      <c r="C1886" t="s">
        <v>19</v>
      </c>
      <c r="D1886" t="s">
        <v>1636</v>
      </c>
      <c r="E1886" s="5">
        <v>60800000</v>
      </c>
      <c r="F1886" s="5">
        <v>63800000</v>
      </c>
      <c r="G1886" s="5">
        <v>3000000</v>
      </c>
      <c r="H1886" s="5">
        <v>6080000</v>
      </c>
      <c r="I1886" s="5">
        <v>6380000</v>
      </c>
      <c r="J1886" s="5">
        <v>61300000</v>
      </c>
      <c r="K1886" s="5">
        <v>64300000</v>
      </c>
      <c r="L1886" s="3">
        <v>0.97916666666666663</v>
      </c>
    </row>
    <row r="1887" spans="1:12" x14ac:dyDescent="0.25">
      <c r="A1887" s="2">
        <v>45084</v>
      </c>
      <c r="B1887" s="2">
        <v>45113</v>
      </c>
      <c r="C1887" t="s">
        <v>20</v>
      </c>
      <c r="D1887" t="s">
        <v>1636</v>
      </c>
      <c r="E1887" s="5">
        <v>60500000</v>
      </c>
      <c r="F1887" s="5">
        <v>63500000</v>
      </c>
      <c r="G1887" s="5">
        <v>3000000</v>
      </c>
      <c r="H1887" s="5">
        <v>6050000</v>
      </c>
      <c r="I1887" s="5">
        <v>6350000</v>
      </c>
      <c r="J1887" s="5">
        <v>61000000</v>
      </c>
      <c r="K1887" s="5">
        <v>64000000</v>
      </c>
      <c r="L1887" s="3">
        <v>0.97916666666666663</v>
      </c>
    </row>
    <row r="1888" spans="1:12" x14ac:dyDescent="0.25">
      <c r="A1888" s="2">
        <v>45114</v>
      </c>
      <c r="B1888" s="2">
        <v>45114</v>
      </c>
      <c r="C1888" t="s">
        <v>21</v>
      </c>
      <c r="D1888" t="s">
        <v>1636</v>
      </c>
      <c r="E1888" s="5">
        <v>61100000</v>
      </c>
      <c r="F1888" s="5">
        <v>64100000</v>
      </c>
      <c r="G1888" s="5">
        <v>3000000</v>
      </c>
      <c r="H1888" s="5">
        <v>6110000</v>
      </c>
      <c r="I1888" s="5">
        <v>6410000</v>
      </c>
      <c r="J1888" s="5">
        <v>61600000</v>
      </c>
      <c r="K1888" s="5">
        <v>64600000</v>
      </c>
      <c r="L1888" s="3">
        <v>0.97916666666666663</v>
      </c>
    </row>
    <row r="1889" spans="1:12" x14ac:dyDescent="0.25">
      <c r="A1889" s="2">
        <v>45206</v>
      </c>
      <c r="B1889" s="2">
        <v>45117</v>
      </c>
      <c r="C1889" t="s">
        <v>16</v>
      </c>
      <c r="D1889" t="s">
        <v>1636</v>
      </c>
      <c r="E1889" s="5">
        <v>61000000</v>
      </c>
      <c r="F1889" s="5">
        <v>64000000</v>
      </c>
      <c r="G1889" s="5">
        <v>3000000</v>
      </c>
      <c r="H1889" s="5">
        <v>6100000</v>
      </c>
      <c r="I1889" s="5">
        <v>6400000</v>
      </c>
      <c r="J1889" s="5">
        <v>61500000</v>
      </c>
      <c r="K1889" s="5">
        <v>64500000</v>
      </c>
      <c r="L1889" s="3">
        <v>0.97916666666666663</v>
      </c>
    </row>
    <row r="1890" spans="1:12" x14ac:dyDescent="0.25">
      <c r="A1890" s="2">
        <v>45237</v>
      </c>
      <c r="B1890" s="2">
        <v>45118</v>
      </c>
      <c r="C1890" t="s">
        <v>18</v>
      </c>
      <c r="D1890" t="s">
        <v>1636</v>
      </c>
      <c r="E1890" s="5">
        <v>61200000</v>
      </c>
      <c r="F1890" s="5">
        <v>64200000</v>
      </c>
      <c r="G1890" s="5">
        <v>3000000</v>
      </c>
      <c r="H1890" s="5">
        <v>6120000</v>
      </c>
      <c r="I1890" s="5">
        <v>6420000</v>
      </c>
      <c r="J1890" s="5">
        <v>61700000</v>
      </c>
      <c r="K1890" s="5">
        <v>64700000</v>
      </c>
      <c r="L1890" s="3">
        <v>0.97916666666666663</v>
      </c>
    </row>
    <row r="1891" spans="1:12" x14ac:dyDescent="0.25">
      <c r="A1891" s="2">
        <v>45267</v>
      </c>
      <c r="B1891" s="2">
        <v>45119</v>
      </c>
      <c r="C1891" t="s">
        <v>19</v>
      </c>
      <c r="D1891" t="s">
        <v>1636</v>
      </c>
      <c r="E1891" s="5">
        <v>62100000</v>
      </c>
      <c r="F1891" s="5">
        <v>65100000</v>
      </c>
      <c r="G1891" s="5">
        <v>3000000</v>
      </c>
      <c r="H1891" s="5">
        <v>6210000</v>
      </c>
      <c r="I1891" s="5">
        <v>6510000</v>
      </c>
      <c r="J1891" s="5">
        <v>62600000</v>
      </c>
      <c r="K1891" s="5">
        <v>65600000</v>
      </c>
      <c r="L1891" s="3">
        <v>0.97916666666666663</v>
      </c>
    </row>
    <row r="1892" spans="1:12" x14ac:dyDescent="0.25">
      <c r="A1892" t="s">
        <v>1162</v>
      </c>
      <c r="B1892" s="2">
        <v>45120</v>
      </c>
      <c r="C1892" t="s">
        <v>20</v>
      </c>
      <c r="D1892" t="s">
        <v>1636</v>
      </c>
      <c r="E1892" s="5">
        <v>62200000</v>
      </c>
      <c r="F1892" s="5">
        <v>65200000</v>
      </c>
      <c r="G1892" s="5">
        <v>3000000</v>
      </c>
      <c r="H1892" s="5">
        <v>6220000</v>
      </c>
      <c r="I1892" s="5">
        <v>6520000</v>
      </c>
      <c r="J1892" s="5">
        <v>62700000</v>
      </c>
      <c r="K1892" s="5">
        <v>65700000</v>
      </c>
      <c r="L1892" s="3">
        <v>0.97916666666666663</v>
      </c>
    </row>
    <row r="1893" spans="1:12" x14ac:dyDescent="0.25">
      <c r="A1893" t="s">
        <v>1163</v>
      </c>
      <c r="B1893" s="2">
        <v>45121</v>
      </c>
      <c r="C1893" t="s">
        <v>21</v>
      </c>
      <c r="D1893" t="s">
        <v>1636</v>
      </c>
      <c r="E1893" s="5">
        <v>62200000</v>
      </c>
      <c r="F1893" s="5">
        <v>65200000</v>
      </c>
      <c r="G1893" s="5">
        <v>3000000</v>
      </c>
      <c r="H1893" s="5">
        <v>6220000</v>
      </c>
      <c r="I1893" s="5">
        <v>6520000</v>
      </c>
      <c r="J1893" s="5">
        <v>62700000</v>
      </c>
      <c r="K1893" s="5">
        <v>65700000</v>
      </c>
      <c r="L1893" s="3">
        <v>0.97916666666666663</v>
      </c>
    </row>
    <row r="1894" spans="1:12" x14ac:dyDescent="0.25">
      <c r="A1894" t="s">
        <v>1164</v>
      </c>
      <c r="B1894" s="2">
        <v>45124</v>
      </c>
      <c r="C1894" t="s">
        <v>16</v>
      </c>
      <c r="D1894" t="s">
        <v>1636</v>
      </c>
      <c r="E1894" s="5">
        <v>61900000</v>
      </c>
      <c r="F1894" s="5">
        <v>64900000</v>
      </c>
      <c r="G1894" s="5">
        <v>3000000</v>
      </c>
      <c r="H1894" s="5">
        <v>6190000</v>
      </c>
      <c r="I1894" s="5">
        <v>6490000</v>
      </c>
      <c r="J1894" s="5">
        <v>62400000</v>
      </c>
      <c r="K1894" s="5">
        <v>65400000</v>
      </c>
      <c r="L1894" s="3">
        <v>0.97916666666666663</v>
      </c>
    </row>
    <row r="1895" spans="1:12" x14ac:dyDescent="0.25">
      <c r="A1895" t="s">
        <v>1165</v>
      </c>
      <c r="B1895" s="2">
        <v>45125</v>
      </c>
      <c r="C1895" t="s">
        <v>18</v>
      </c>
      <c r="D1895" t="s">
        <v>1636</v>
      </c>
      <c r="E1895" s="5">
        <v>62800000</v>
      </c>
      <c r="F1895" s="5">
        <v>65800000</v>
      </c>
      <c r="G1895" s="5">
        <v>3000000</v>
      </c>
      <c r="H1895" s="5">
        <v>6280000</v>
      </c>
      <c r="I1895" s="5">
        <v>6580000</v>
      </c>
      <c r="J1895" s="5">
        <v>63300000</v>
      </c>
      <c r="K1895" s="5">
        <v>66300000</v>
      </c>
      <c r="L1895" s="3">
        <v>0.97916666666666663</v>
      </c>
    </row>
    <row r="1896" spans="1:12" x14ac:dyDescent="0.25">
      <c r="A1896" t="s">
        <v>1166</v>
      </c>
      <c r="B1896" s="2">
        <v>45126</v>
      </c>
      <c r="C1896" t="s">
        <v>19</v>
      </c>
      <c r="D1896" t="s">
        <v>1636</v>
      </c>
      <c r="E1896" s="5">
        <v>62800000</v>
      </c>
      <c r="F1896" s="5">
        <v>65800000</v>
      </c>
      <c r="G1896" s="5">
        <v>3000000</v>
      </c>
      <c r="H1896" s="5">
        <v>6280000</v>
      </c>
      <c r="I1896" s="5">
        <v>6580000</v>
      </c>
      <c r="J1896" s="5">
        <v>63300000</v>
      </c>
      <c r="K1896" s="5">
        <v>66300000</v>
      </c>
      <c r="L1896" s="3">
        <v>0.97916666666666663</v>
      </c>
    </row>
    <row r="1897" spans="1:12" x14ac:dyDescent="0.25">
      <c r="A1897" t="s">
        <v>1167</v>
      </c>
      <c r="B1897" s="2">
        <v>45127</v>
      </c>
      <c r="C1897" t="s">
        <v>20</v>
      </c>
      <c r="D1897" t="s">
        <v>1636</v>
      </c>
      <c r="E1897" s="5">
        <v>62500000</v>
      </c>
      <c r="F1897" s="5">
        <v>65500000</v>
      </c>
      <c r="G1897" s="5">
        <v>3000000</v>
      </c>
      <c r="H1897" s="5">
        <v>6250000</v>
      </c>
      <c r="I1897" s="5">
        <v>6550000</v>
      </c>
      <c r="J1897" s="5">
        <v>63000000</v>
      </c>
      <c r="K1897" s="5">
        <v>66000000</v>
      </c>
      <c r="L1897" s="3">
        <v>0.97916666666666663</v>
      </c>
    </row>
    <row r="1898" spans="1:12" x14ac:dyDescent="0.25">
      <c r="A1898" t="s">
        <v>1168</v>
      </c>
      <c r="B1898" s="2">
        <v>45128</v>
      </c>
      <c r="C1898" t="s">
        <v>21</v>
      </c>
      <c r="D1898" t="s">
        <v>1636</v>
      </c>
      <c r="E1898" s="5">
        <v>62300000</v>
      </c>
      <c r="F1898" s="5">
        <v>65300000</v>
      </c>
      <c r="G1898" s="5">
        <v>3000000</v>
      </c>
      <c r="H1898" s="5">
        <v>6230000</v>
      </c>
      <c r="I1898" s="5">
        <v>6530000</v>
      </c>
      <c r="J1898" s="5">
        <v>62800000</v>
      </c>
      <c r="K1898" s="5">
        <v>65800000</v>
      </c>
      <c r="L1898" s="3">
        <v>0.97916666666666663</v>
      </c>
    </row>
    <row r="1899" spans="1:12" x14ac:dyDescent="0.25">
      <c r="A1899" t="s">
        <v>1169</v>
      </c>
      <c r="B1899" s="2">
        <v>45131</v>
      </c>
      <c r="C1899" t="s">
        <v>16</v>
      </c>
      <c r="D1899" t="s">
        <v>1636</v>
      </c>
      <c r="E1899" s="5">
        <v>62200000</v>
      </c>
      <c r="F1899" s="5">
        <v>65200000</v>
      </c>
      <c r="G1899" s="5">
        <v>3000000</v>
      </c>
      <c r="H1899" s="5">
        <v>6220000</v>
      </c>
      <c r="I1899" s="5">
        <v>6520000</v>
      </c>
      <c r="J1899" s="5">
        <v>62700000</v>
      </c>
      <c r="K1899" s="5">
        <v>65700000</v>
      </c>
      <c r="L1899" s="3">
        <v>0.97916666666666663</v>
      </c>
    </row>
    <row r="1900" spans="1:12" x14ac:dyDescent="0.25">
      <c r="A1900" t="s">
        <v>1170</v>
      </c>
      <c r="B1900" s="2">
        <v>45132</v>
      </c>
      <c r="C1900" t="s">
        <v>18</v>
      </c>
      <c r="D1900" t="s">
        <v>1636</v>
      </c>
      <c r="E1900" s="5">
        <v>62300000</v>
      </c>
      <c r="F1900" s="5">
        <v>65300000</v>
      </c>
      <c r="G1900" s="5">
        <v>3000000</v>
      </c>
      <c r="H1900" s="5">
        <v>6230000</v>
      </c>
      <c r="I1900" s="5">
        <v>6530000</v>
      </c>
      <c r="J1900" s="5">
        <v>62800000</v>
      </c>
      <c r="K1900" s="5">
        <v>65800000</v>
      </c>
      <c r="L1900" s="3">
        <v>0.97916666666666663</v>
      </c>
    </row>
    <row r="1901" spans="1:12" x14ac:dyDescent="0.25">
      <c r="A1901" t="s">
        <v>1171</v>
      </c>
      <c r="B1901" s="2">
        <v>45133</v>
      </c>
      <c r="C1901" t="s">
        <v>19</v>
      </c>
      <c r="D1901" t="s">
        <v>1636</v>
      </c>
      <c r="E1901" s="5">
        <v>62500000</v>
      </c>
      <c r="F1901" s="5">
        <v>65500000</v>
      </c>
      <c r="G1901" s="5">
        <v>3000000</v>
      </c>
      <c r="H1901" s="5">
        <v>6250000</v>
      </c>
      <c r="I1901" s="5">
        <v>6550000</v>
      </c>
      <c r="J1901" s="5">
        <v>63000000</v>
      </c>
      <c r="K1901" s="5">
        <v>66000000</v>
      </c>
      <c r="L1901" s="3">
        <v>0.97916666666666663</v>
      </c>
    </row>
    <row r="1902" spans="1:12" x14ac:dyDescent="0.25">
      <c r="A1902" t="s">
        <v>1172</v>
      </c>
      <c r="B1902" s="2">
        <v>45134</v>
      </c>
      <c r="C1902" t="s">
        <v>20</v>
      </c>
      <c r="D1902" t="s">
        <v>1636</v>
      </c>
      <c r="E1902" s="5">
        <v>61700000</v>
      </c>
      <c r="F1902" s="5">
        <v>64700000</v>
      </c>
      <c r="G1902" s="5">
        <v>3000000</v>
      </c>
      <c r="H1902" s="5">
        <v>6170000</v>
      </c>
      <c r="I1902" s="5">
        <v>6470000</v>
      </c>
      <c r="J1902" s="5">
        <v>62200000</v>
      </c>
      <c r="K1902" s="5">
        <v>65200000</v>
      </c>
      <c r="L1902" s="3">
        <v>0.97916666666666663</v>
      </c>
    </row>
    <row r="1903" spans="1:12" x14ac:dyDescent="0.25">
      <c r="A1903" t="s">
        <v>1173</v>
      </c>
      <c r="B1903" s="2">
        <v>45135</v>
      </c>
      <c r="C1903" t="s">
        <v>21</v>
      </c>
      <c r="D1903" t="s">
        <v>1636</v>
      </c>
      <c r="E1903" s="5">
        <v>62200000</v>
      </c>
      <c r="F1903" s="5">
        <v>65200000</v>
      </c>
      <c r="G1903" s="5">
        <v>3000000</v>
      </c>
      <c r="H1903" s="5">
        <v>6220000</v>
      </c>
      <c r="I1903" s="5">
        <v>6520000</v>
      </c>
      <c r="J1903" s="5">
        <v>62700000</v>
      </c>
      <c r="K1903" s="5">
        <v>65700000</v>
      </c>
      <c r="L1903" s="3">
        <v>0.97916666666666663</v>
      </c>
    </row>
    <row r="1904" spans="1:12" x14ac:dyDescent="0.25">
      <c r="A1904" t="s">
        <v>1174</v>
      </c>
      <c r="B1904" s="2">
        <v>45138</v>
      </c>
      <c r="C1904" t="s">
        <v>16</v>
      </c>
      <c r="D1904" t="s">
        <v>1636</v>
      </c>
      <c r="E1904" s="5">
        <v>62500000</v>
      </c>
      <c r="F1904" s="5">
        <v>65500000</v>
      </c>
      <c r="G1904" s="5">
        <v>3000000</v>
      </c>
      <c r="H1904" s="5">
        <v>6250000</v>
      </c>
      <c r="I1904" s="5">
        <v>6550000</v>
      </c>
      <c r="J1904" s="5">
        <v>63000000</v>
      </c>
      <c r="K1904" s="5">
        <v>66000000</v>
      </c>
      <c r="L1904" s="3">
        <v>0.97916666666666663</v>
      </c>
    </row>
    <row r="1905" spans="1:12" x14ac:dyDescent="0.25">
      <c r="A1905" s="2">
        <v>44934</v>
      </c>
      <c r="B1905" s="2">
        <v>45139</v>
      </c>
      <c r="C1905" t="s">
        <v>18</v>
      </c>
      <c r="D1905" t="s">
        <v>1636</v>
      </c>
      <c r="E1905" s="5">
        <v>61600000</v>
      </c>
      <c r="F1905" s="5">
        <v>64600000</v>
      </c>
      <c r="G1905" s="5">
        <v>3000000</v>
      </c>
      <c r="H1905" s="5">
        <v>6160000</v>
      </c>
      <c r="I1905" s="5">
        <v>6460000</v>
      </c>
      <c r="J1905" s="5">
        <v>62100000</v>
      </c>
      <c r="K1905" s="5">
        <v>65100000</v>
      </c>
      <c r="L1905" s="3">
        <v>0.97916666666666663</v>
      </c>
    </row>
    <row r="1906" spans="1:12" x14ac:dyDescent="0.25">
      <c r="A1906" s="2">
        <v>44965</v>
      </c>
      <c r="B1906" s="2">
        <v>45140</v>
      </c>
      <c r="C1906" t="s">
        <v>19</v>
      </c>
      <c r="D1906" t="s">
        <v>1636</v>
      </c>
      <c r="E1906" s="5">
        <v>61400000</v>
      </c>
      <c r="F1906" s="5">
        <v>64400000</v>
      </c>
      <c r="G1906" s="5">
        <v>3000000</v>
      </c>
      <c r="H1906" s="5">
        <v>6140000</v>
      </c>
      <c r="I1906" s="5">
        <v>6440000</v>
      </c>
      <c r="J1906" s="5">
        <v>61900000</v>
      </c>
      <c r="K1906" s="5">
        <v>64900000</v>
      </c>
      <c r="L1906" s="3">
        <v>0.97916666666666663</v>
      </c>
    </row>
    <row r="1907" spans="1:12" x14ac:dyDescent="0.25">
      <c r="A1907" s="2">
        <v>44993</v>
      </c>
      <c r="B1907" s="2">
        <v>45141</v>
      </c>
      <c r="C1907" t="s">
        <v>20</v>
      </c>
      <c r="D1907" t="s">
        <v>1636</v>
      </c>
      <c r="E1907" s="5">
        <v>61300000</v>
      </c>
      <c r="F1907" s="5">
        <v>64300000</v>
      </c>
      <c r="G1907" s="5">
        <v>3000000</v>
      </c>
      <c r="H1907" s="5">
        <v>6130000</v>
      </c>
      <c r="I1907" s="5">
        <v>6430000</v>
      </c>
      <c r="J1907" s="5">
        <v>61800000</v>
      </c>
      <c r="K1907" s="5">
        <v>64800000</v>
      </c>
      <c r="L1907" s="3">
        <v>0.97916666666666663</v>
      </c>
    </row>
    <row r="1908" spans="1:12" x14ac:dyDescent="0.25">
      <c r="A1908" s="2">
        <v>45024</v>
      </c>
      <c r="B1908" s="2">
        <v>45142</v>
      </c>
      <c r="C1908" t="s">
        <v>21</v>
      </c>
      <c r="D1908" t="s">
        <v>1636</v>
      </c>
      <c r="E1908" s="5">
        <v>61500000</v>
      </c>
      <c r="F1908" s="5">
        <v>64500000</v>
      </c>
      <c r="G1908" s="5">
        <v>3000000</v>
      </c>
      <c r="H1908" s="5">
        <v>6150000</v>
      </c>
      <c r="I1908" s="5">
        <v>6450000</v>
      </c>
      <c r="J1908" s="5">
        <v>62000000</v>
      </c>
      <c r="K1908" s="5">
        <v>65000000</v>
      </c>
      <c r="L1908" s="3">
        <v>0.97916666666666663</v>
      </c>
    </row>
    <row r="1909" spans="1:12" x14ac:dyDescent="0.25">
      <c r="A1909" s="2">
        <v>45115</v>
      </c>
      <c r="B1909" s="2">
        <v>45145</v>
      </c>
      <c r="C1909" t="s">
        <v>16</v>
      </c>
      <c r="D1909" t="s">
        <v>1636</v>
      </c>
      <c r="E1909" s="5">
        <v>61300000</v>
      </c>
      <c r="F1909" s="5">
        <v>64300000</v>
      </c>
      <c r="G1909" s="5">
        <v>3000000</v>
      </c>
      <c r="H1909" s="5">
        <v>6130000</v>
      </c>
      <c r="I1909" s="5">
        <v>6430000</v>
      </c>
      <c r="J1909" s="5">
        <v>61800000</v>
      </c>
      <c r="K1909" s="5">
        <v>64800000</v>
      </c>
      <c r="L1909" s="3">
        <v>0.97916666666666663</v>
      </c>
    </row>
    <row r="1910" spans="1:12" x14ac:dyDescent="0.25">
      <c r="A1910" s="2">
        <v>45146</v>
      </c>
      <c r="B1910" s="2">
        <v>45146</v>
      </c>
      <c r="C1910" t="s">
        <v>18</v>
      </c>
      <c r="D1910" t="s">
        <v>1636</v>
      </c>
      <c r="E1910" s="5">
        <v>61000000</v>
      </c>
      <c r="F1910" s="5">
        <v>64000000</v>
      </c>
      <c r="G1910" s="5">
        <v>3000000</v>
      </c>
      <c r="H1910" s="5">
        <v>6100000</v>
      </c>
      <c r="I1910" s="5">
        <v>6400000</v>
      </c>
      <c r="J1910" s="5">
        <v>61500000</v>
      </c>
      <c r="K1910" s="5">
        <v>64500000</v>
      </c>
      <c r="L1910" s="3">
        <v>0.97916666666666663</v>
      </c>
    </row>
    <row r="1911" spans="1:12" x14ac:dyDescent="0.25">
      <c r="A1911" s="2">
        <v>45177</v>
      </c>
      <c r="B1911" s="2">
        <v>45147</v>
      </c>
      <c r="C1911" t="s">
        <v>19</v>
      </c>
      <c r="D1911" t="s">
        <v>1636</v>
      </c>
      <c r="E1911" s="5">
        <v>60700000</v>
      </c>
      <c r="F1911" s="5">
        <v>63700000</v>
      </c>
      <c r="G1911" s="5">
        <v>3000000</v>
      </c>
      <c r="H1911" s="5">
        <v>6070000</v>
      </c>
      <c r="I1911" s="5">
        <v>6370000</v>
      </c>
      <c r="J1911" s="5">
        <v>61200000</v>
      </c>
      <c r="K1911" s="5">
        <v>64200000</v>
      </c>
      <c r="L1911" s="3">
        <v>0.97916666666666663</v>
      </c>
    </row>
    <row r="1912" spans="1:12" x14ac:dyDescent="0.25">
      <c r="A1912" s="2">
        <v>45207</v>
      </c>
      <c r="B1912" s="2">
        <v>45148</v>
      </c>
      <c r="C1912" t="s">
        <v>20</v>
      </c>
      <c r="D1912" t="s">
        <v>1636</v>
      </c>
      <c r="E1912" s="5">
        <v>60700000</v>
      </c>
      <c r="F1912" s="5">
        <v>63700000</v>
      </c>
      <c r="G1912" s="5">
        <v>3000000</v>
      </c>
      <c r="H1912" s="5">
        <v>6070000</v>
      </c>
      <c r="I1912" s="5">
        <v>6370000</v>
      </c>
      <c r="J1912" s="5">
        <v>61200000</v>
      </c>
      <c r="K1912" s="5">
        <v>64200000</v>
      </c>
      <c r="L1912" s="3">
        <v>0.97916666666666663</v>
      </c>
    </row>
    <row r="1913" spans="1:12" x14ac:dyDescent="0.25">
      <c r="A1913" s="2">
        <v>45238</v>
      </c>
      <c r="B1913" s="2">
        <v>45149</v>
      </c>
      <c r="C1913" t="s">
        <v>21</v>
      </c>
      <c r="D1913" t="s">
        <v>1636</v>
      </c>
      <c r="E1913" s="5">
        <v>60600000</v>
      </c>
      <c r="F1913" s="5">
        <v>63600000</v>
      </c>
      <c r="G1913" s="5">
        <v>3000000</v>
      </c>
      <c r="H1913" s="5">
        <v>6060000</v>
      </c>
      <c r="I1913" s="5">
        <v>6360000</v>
      </c>
      <c r="J1913" s="5">
        <v>61100000</v>
      </c>
      <c r="K1913" s="5">
        <v>64100000</v>
      </c>
      <c r="L1913" s="3">
        <v>0.97916666666666663</v>
      </c>
    </row>
    <row r="1914" spans="1:12" x14ac:dyDescent="0.25">
      <c r="A1914" t="s">
        <v>1175</v>
      </c>
      <c r="B1914" s="2">
        <v>45152</v>
      </c>
      <c r="C1914" t="s">
        <v>16</v>
      </c>
      <c r="D1914" t="s">
        <v>1636</v>
      </c>
      <c r="E1914" s="5">
        <v>60500000</v>
      </c>
      <c r="F1914" s="5">
        <v>63500000</v>
      </c>
      <c r="G1914" s="5">
        <v>3000000</v>
      </c>
      <c r="H1914" s="5">
        <v>6050000</v>
      </c>
      <c r="I1914" s="5">
        <v>6350000</v>
      </c>
      <c r="J1914" s="5">
        <v>61000000</v>
      </c>
      <c r="K1914" s="5">
        <v>64000000</v>
      </c>
      <c r="L1914" s="3">
        <v>0.97916666666666663</v>
      </c>
    </row>
    <row r="1915" spans="1:12" x14ac:dyDescent="0.25">
      <c r="A1915" t="s">
        <v>1176</v>
      </c>
      <c r="B1915" s="2">
        <v>45153</v>
      </c>
      <c r="C1915" t="s">
        <v>18</v>
      </c>
      <c r="D1915" t="s">
        <v>1636</v>
      </c>
      <c r="E1915" s="5">
        <v>60300000</v>
      </c>
      <c r="F1915" s="5">
        <v>63300000</v>
      </c>
      <c r="G1915" s="5">
        <v>3000000</v>
      </c>
      <c r="H1915" s="5">
        <v>6030000</v>
      </c>
      <c r="I1915" s="5">
        <v>6330000</v>
      </c>
      <c r="J1915" s="5">
        <v>60800000</v>
      </c>
      <c r="K1915" s="5">
        <v>63800000</v>
      </c>
      <c r="L1915" s="3">
        <v>0.97916666666666663</v>
      </c>
    </row>
    <row r="1916" spans="1:12" x14ac:dyDescent="0.25">
      <c r="A1916" t="s">
        <v>1177</v>
      </c>
      <c r="B1916" s="2">
        <v>45154</v>
      </c>
      <c r="C1916" t="s">
        <v>19</v>
      </c>
      <c r="D1916" t="s">
        <v>1636</v>
      </c>
      <c r="E1916" s="5">
        <v>60100000</v>
      </c>
      <c r="F1916" s="5">
        <v>63100000</v>
      </c>
      <c r="G1916" s="5">
        <v>3000000</v>
      </c>
      <c r="H1916" s="5">
        <v>6010000</v>
      </c>
      <c r="I1916" s="5">
        <v>6310000</v>
      </c>
      <c r="J1916" s="5">
        <v>60600000</v>
      </c>
      <c r="K1916" s="5">
        <v>63600000</v>
      </c>
      <c r="L1916" s="3">
        <v>0.97916666666666663</v>
      </c>
    </row>
    <row r="1917" spans="1:12" x14ac:dyDescent="0.25">
      <c r="A1917" t="s">
        <v>1178</v>
      </c>
      <c r="B1917" s="2">
        <v>45155</v>
      </c>
      <c r="C1917" t="s">
        <v>20</v>
      </c>
      <c r="D1917" t="s">
        <v>1636</v>
      </c>
      <c r="E1917" s="5">
        <v>59700000</v>
      </c>
      <c r="F1917" s="5">
        <v>62700000</v>
      </c>
      <c r="G1917" s="5">
        <v>3000000</v>
      </c>
      <c r="H1917" s="5">
        <v>5970000</v>
      </c>
      <c r="I1917" s="5">
        <v>6270000</v>
      </c>
      <c r="J1917" s="5">
        <v>60200000</v>
      </c>
      <c r="K1917" s="5">
        <v>63200000</v>
      </c>
      <c r="L1917" s="3">
        <v>0.97916666666666663</v>
      </c>
    </row>
    <row r="1918" spans="1:12" x14ac:dyDescent="0.25">
      <c r="A1918" t="s">
        <v>1179</v>
      </c>
      <c r="B1918" s="2">
        <v>45156</v>
      </c>
      <c r="C1918" t="s">
        <v>21</v>
      </c>
      <c r="D1918" t="s">
        <v>1636</v>
      </c>
      <c r="E1918" s="5">
        <v>59700000</v>
      </c>
      <c r="F1918" s="5">
        <v>62700000</v>
      </c>
      <c r="G1918" s="5">
        <v>3000000</v>
      </c>
      <c r="H1918" s="5">
        <v>5970000</v>
      </c>
      <c r="I1918" s="5">
        <v>6270000</v>
      </c>
      <c r="J1918" s="5">
        <v>60200000</v>
      </c>
      <c r="K1918" s="5">
        <v>63200000</v>
      </c>
      <c r="L1918" s="3">
        <v>0.97916666666666663</v>
      </c>
    </row>
    <row r="1919" spans="1:12" x14ac:dyDescent="0.25">
      <c r="A1919" t="s">
        <v>1180</v>
      </c>
      <c r="B1919" s="2">
        <v>45159</v>
      </c>
      <c r="C1919" t="s">
        <v>16</v>
      </c>
      <c r="D1919" t="s">
        <v>1636</v>
      </c>
      <c r="E1919" s="5">
        <v>60000000</v>
      </c>
      <c r="F1919" s="5">
        <v>63000000</v>
      </c>
      <c r="G1919" s="5">
        <v>3000000</v>
      </c>
      <c r="H1919" s="5">
        <v>6000000</v>
      </c>
      <c r="I1919" s="5">
        <v>6300000</v>
      </c>
      <c r="J1919" s="5">
        <v>60500000</v>
      </c>
      <c r="K1919" s="5">
        <v>63500000</v>
      </c>
      <c r="L1919" s="3">
        <v>0.97916666666666663</v>
      </c>
    </row>
    <row r="1920" spans="1:12" x14ac:dyDescent="0.25">
      <c r="A1920" t="s">
        <v>1181</v>
      </c>
      <c r="B1920" s="2">
        <v>45160</v>
      </c>
      <c r="C1920" t="s">
        <v>18</v>
      </c>
      <c r="D1920" t="s">
        <v>1636</v>
      </c>
      <c r="E1920" s="5">
        <v>60100000</v>
      </c>
      <c r="F1920" s="5">
        <v>63100000</v>
      </c>
      <c r="G1920" s="5">
        <v>3000000</v>
      </c>
      <c r="H1920" s="5">
        <v>6010000</v>
      </c>
      <c r="I1920" s="5">
        <v>6310000</v>
      </c>
      <c r="J1920" s="5">
        <v>60600000</v>
      </c>
      <c r="K1920" s="5">
        <v>63600000</v>
      </c>
      <c r="L1920" s="3">
        <v>0.97916666666666663</v>
      </c>
    </row>
    <row r="1921" spans="1:12" x14ac:dyDescent="0.25">
      <c r="A1921" t="s">
        <v>1182</v>
      </c>
      <c r="B1921" s="2">
        <v>45161</v>
      </c>
      <c r="C1921" t="s">
        <v>19</v>
      </c>
      <c r="D1921" t="s">
        <v>1636</v>
      </c>
      <c r="E1921" s="5">
        <v>60800000</v>
      </c>
      <c r="F1921" s="5">
        <v>63800000</v>
      </c>
      <c r="G1921" s="5">
        <v>3000000</v>
      </c>
      <c r="H1921" s="5">
        <v>6080000</v>
      </c>
      <c r="I1921" s="5">
        <v>6380000</v>
      </c>
      <c r="J1921" s="5">
        <v>61300000</v>
      </c>
      <c r="K1921" s="5">
        <v>64300000</v>
      </c>
      <c r="L1921" s="3">
        <v>0.97916666666666663</v>
      </c>
    </row>
    <row r="1922" spans="1:12" x14ac:dyDescent="0.25">
      <c r="A1922" t="s">
        <v>1183</v>
      </c>
      <c r="B1922" s="2">
        <v>45162</v>
      </c>
      <c r="C1922" t="s">
        <v>20</v>
      </c>
      <c r="D1922" t="s">
        <v>1636</v>
      </c>
      <c r="E1922" s="5">
        <v>60800000</v>
      </c>
      <c r="F1922" s="5">
        <v>63800000</v>
      </c>
      <c r="G1922" s="5">
        <v>3000000</v>
      </c>
      <c r="H1922" s="5">
        <v>6080000</v>
      </c>
      <c r="I1922" s="5">
        <v>6380000</v>
      </c>
      <c r="J1922" s="5">
        <v>61300000</v>
      </c>
      <c r="K1922" s="5">
        <v>64300000</v>
      </c>
      <c r="L1922" s="3">
        <v>0.97916666666666663</v>
      </c>
    </row>
    <row r="1923" spans="1:12" x14ac:dyDescent="0.25">
      <c r="A1923" t="s">
        <v>1184</v>
      </c>
      <c r="B1923" s="2">
        <v>45163</v>
      </c>
      <c r="C1923" t="s">
        <v>21</v>
      </c>
      <c r="D1923" t="s">
        <v>1636</v>
      </c>
      <c r="E1923" s="5">
        <v>60600000</v>
      </c>
      <c r="F1923" s="5">
        <v>63600000</v>
      </c>
      <c r="G1923" s="5">
        <v>3000000</v>
      </c>
      <c r="H1923" s="5">
        <v>6060000</v>
      </c>
      <c r="I1923" s="5">
        <v>6360000</v>
      </c>
      <c r="J1923" s="5">
        <v>61100000</v>
      </c>
      <c r="K1923" s="5">
        <v>64100000</v>
      </c>
      <c r="L1923" s="3">
        <v>0.97916666666666663</v>
      </c>
    </row>
    <row r="1924" spans="1:12" x14ac:dyDescent="0.25">
      <c r="A1924" t="s">
        <v>1185</v>
      </c>
      <c r="B1924" s="2">
        <v>45166</v>
      </c>
      <c r="C1924" t="s">
        <v>16</v>
      </c>
      <c r="D1924" t="s">
        <v>1636</v>
      </c>
      <c r="E1924" s="5">
        <v>60800000</v>
      </c>
      <c r="F1924" s="5">
        <v>63800000</v>
      </c>
      <c r="G1924" s="5">
        <v>3000000</v>
      </c>
      <c r="H1924" s="5">
        <v>6080000</v>
      </c>
      <c r="I1924" s="5">
        <v>6380000</v>
      </c>
      <c r="J1924" s="5">
        <v>61300000</v>
      </c>
      <c r="K1924" s="5">
        <v>64300000</v>
      </c>
      <c r="L1924" s="3">
        <v>0.97916666666666663</v>
      </c>
    </row>
    <row r="1925" spans="1:12" x14ac:dyDescent="0.25">
      <c r="A1925" t="s">
        <v>1186</v>
      </c>
      <c r="B1925" s="2">
        <v>45167</v>
      </c>
      <c r="C1925" t="s">
        <v>18</v>
      </c>
      <c r="D1925" t="s">
        <v>1636</v>
      </c>
      <c r="E1925" s="5">
        <v>61400000</v>
      </c>
      <c r="F1925" s="5">
        <v>64400000</v>
      </c>
      <c r="G1925" s="5">
        <v>3000000</v>
      </c>
      <c r="H1925" s="5">
        <v>6140000</v>
      </c>
      <c r="I1925" s="5">
        <v>6440000</v>
      </c>
      <c r="J1925" s="5">
        <v>61900000</v>
      </c>
      <c r="K1925" s="5">
        <v>64900000</v>
      </c>
      <c r="L1925" s="3">
        <v>0.97916666666666663</v>
      </c>
    </row>
    <row r="1926" spans="1:12" x14ac:dyDescent="0.25">
      <c r="A1926" t="s">
        <v>1187</v>
      </c>
      <c r="B1926" s="2">
        <v>45168</v>
      </c>
      <c r="C1926" t="s">
        <v>19</v>
      </c>
      <c r="D1926" t="s">
        <v>1636</v>
      </c>
      <c r="E1926" s="5">
        <v>61700000</v>
      </c>
      <c r="F1926" s="5">
        <v>64700000</v>
      </c>
      <c r="G1926" s="5">
        <v>3000000</v>
      </c>
      <c r="H1926" s="5">
        <v>6170000</v>
      </c>
      <c r="I1926" s="5">
        <v>6470000</v>
      </c>
      <c r="J1926" s="5">
        <v>62200000</v>
      </c>
      <c r="K1926" s="5">
        <v>65200000</v>
      </c>
      <c r="L1926" s="3">
        <v>0.97916666666666663</v>
      </c>
    </row>
    <row r="1927" spans="1:12" x14ac:dyDescent="0.25">
      <c r="A1927" t="s">
        <v>1188</v>
      </c>
      <c r="B1927" s="2">
        <v>45169</v>
      </c>
      <c r="C1927" t="s">
        <v>20</v>
      </c>
      <c r="D1927" t="s">
        <v>1636</v>
      </c>
      <c r="E1927" s="5">
        <v>61500000</v>
      </c>
      <c r="F1927" s="5">
        <v>64500000</v>
      </c>
      <c r="G1927" s="5">
        <v>3000000</v>
      </c>
      <c r="H1927" s="5">
        <v>6150000</v>
      </c>
      <c r="I1927" s="5">
        <v>6450000</v>
      </c>
      <c r="J1927" s="5">
        <v>62000000</v>
      </c>
      <c r="K1927" s="5">
        <v>65000000</v>
      </c>
      <c r="L1927" s="3">
        <v>0.97916666666666663</v>
      </c>
    </row>
    <row r="1928" spans="1:12" x14ac:dyDescent="0.25">
      <c r="A1928" s="2">
        <v>44935</v>
      </c>
      <c r="B1928" s="2">
        <v>45170</v>
      </c>
      <c r="C1928" t="s">
        <v>21</v>
      </c>
      <c r="D1928" t="s">
        <v>1636</v>
      </c>
      <c r="E1928" s="5">
        <v>61500000</v>
      </c>
      <c r="F1928" s="5">
        <v>64500000</v>
      </c>
      <c r="G1928" s="5">
        <v>3000000</v>
      </c>
      <c r="H1928" s="5">
        <v>6150000</v>
      </c>
      <c r="I1928" s="5">
        <v>6450000</v>
      </c>
      <c r="J1928" s="5">
        <v>62000000</v>
      </c>
      <c r="K1928" s="5">
        <v>65000000</v>
      </c>
      <c r="L1928" s="3">
        <v>0.97916666666666663</v>
      </c>
    </row>
    <row r="1929" spans="1:12" x14ac:dyDescent="0.25">
      <c r="A1929" s="2">
        <v>45055</v>
      </c>
      <c r="B1929" s="2">
        <v>45174</v>
      </c>
      <c r="C1929" t="s">
        <v>18</v>
      </c>
      <c r="D1929" t="s">
        <v>1636</v>
      </c>
      <c r="E1929" s="5">
        <v>61100000</v>
      </c>
      <c r="F1929" s="5">
        <v>64100000</v>
      </c>
      <c r="G1929" s="5">
        <v>3000000</v>
      </c>
      <c r="H1929" s="5">
        <v>6110000</v>
      </c>
      <c r="I1929" s="5">
        <v>6410000</v>
      </c>
      <c r="J1929" s="5">
        <v>61600000</v>
      </c>
      <c r="K1929" s="5">
        <v>64600000</v>
      </c>
      <c r="L1929" s="3">
        <v>0.97916666666666663</v>
      </c>
    </row>
    <row r="1930" spans="1:12" x14ac:dyDescent="0.25">
      <c r="A1930" s="2">
        <v>45086</v>
      </c>
      <c r="B1930" s="2">
        <v>45175</v>
      </c>
      <c r="C1930" t="s">
        <v>19</v>
      </c>
      <c r="D1930" t="s">
        <v>1636</v>
      </c>
      <c r="E1930" s="5">
        <v>60800000</v>
      </c>
      <c r="F1930" s="5">
        <v>63800000</v>
      </c>
      <c r="G1930" s="5">
        <v>3000000</v>
      </c>
      <c r="H1930" s="5">
        <v>6080000</v>
      </c>
      <c r="I1930" s="5">
        <v>6380000</v>
      </c>
      <c r="J1930" s="5">
        <v>61300000</v>
      </c>
      <c r="K1930" s="5">
        <v>64300000</v>
      </c>
      <c r="L1930" s="3">
        <v>0.97916666666666663</v>
      </c>
    </row>
    <row r="1931" spans="1:12" x14ac:dyDescent="0.25">
      <c r="A1931" s="2">
        <v>45116</v>
      </c>
      <c r="B1931" s="2">
        <v>45176</v>
      </c>
      <c r="C1931" t="s">
        <v>20</v>
      </c>
      <c r="D1931" t="s">
        <v>1636</v>
      </c>
      <c r="E1931" s="5">
        <v>60800000</v>
      </c>
      <c r="F1931" s="5">
        <v>63800000</v>
      </c>
      <c r="G1931" s="5">
        <v>3000000</v>
      </c>
      <c r="H1931" s="5">
        <v>6080000</v>
      </c>
      <c r="I1931" s="5">
        <v>6380000</v>
      </c>
      <c r="J1931" s="5">
        <v>61300000</v>
      </c>
      <c r="K1931" s="5">
        <v>64300000</v>
      </c>
      <c r="L1931" s="3">
        <v>0.97916666666666663</v>
      </c>
    </row>
    <row r="1932" spans="1:12" x14ac:dyDescent="0.25">
      <c r="A1932" s="2">
        <v>45147</v>
      </c>
      <c r="B1932" s="2">
        <v>45177</v>
      </c>
      <c r="C1932" t="s">
        <v>21</v>
      </c>
      <c r="D1932" t="s">
        <v>1636</v>
      </c>
      <c r="E1932" s="5">
        <v>60800000</v>
      </c>
      <c r="F1932" s="5">
        <v>63800000</v>
      </c>
      <c r="G1932" s="5">
        <v>3000000</v>
      </c>
      <c r="H1932" s="5">
        <v>6080000</v>
      </c>
      <c r="I1932" s="5">
        <v>6380000</v>
      </c>
      <c r="J1932" s="5">
        <v>61300000</v>
      </c>
      <c r="K1932" s="5">
        <v>64300000</v>
      </c>
      <c r="L1932" s="3">
        <v>0.97916666666666663</v>
      </c>
    </row>
    <row r="1933" spans="1:12" x14ac:dyDescent="0.25">
      <c r="A1933" s="2">
        <v>45239</v>
      </c>
      <c r="B1933" s="2">
        <v>45180</v>
      </c>
      <c r="C1933" t="s">
        <v>16</v>
      </c>
      <c r="D1933" t="s">
        <v>1636</v>
      </c>
      <c r="E1933" s="5">
        <v>61000000</v>
      </c>
      <c r="F1933" s="5">
        <v>64000000</v>
      </c>
      <c r="G1933" s="5">
        <v>3000000</v>
      </c>
      <c r="H1933" s="5">
        <v>6100000</v>
      </c>
      <c r="I1933" s="5">
        <v>6400000</v>
      </c>
      <c r="J1933" s="5">
        <v>61500000</v>
      </c>
      <c r="K1933" s="5">
        <v>64500000</v>
      </c>
      <c r="L1933" s="3">
        <v>0.97916666666666663</v>
      </c>
    </row>
    <row r="1934" spans="1:12" x14ac:dyDescent="0.25">
      <c r="A1934" s="2">
        <v>45269</v>
      </c>
      <c r="B1934" s="2">
        <v>45181</v>
      </c>
      <c r="C1934" t="s">
        <v>18</v>
      </c>
      <c r="D1934" t="s">
        <v>1636</v>
      </c>
      <c r="E1934" s="5">
        <v>60600000</v>
      </c>
      <c r="F1934" s="5">
        <v>63600000</v>
      </c>
      <c r="G1934" s="5">
        <v>3000000</v>
      </c>
      <c r="H1934" s="5">
        <v>6060000</v>
      </c>
      <c r="I1934" s="5">
        <v>6360000</v>
      </c>
      <c r="J1934" s="5">
        <v>61100000</v>
      </c>
      <c r="K1934" s="5">
        <v>64100000</v>
      </c>
      <c r="L1934" s="3">
        <v>0.97916666666666663</v>
      </c>
    </row>
    <row r="1935" spans="1:12" x14ac:dyDescent="0.25">
      <c r="A1935" t="s">
        <v>1189</v>
      </c>
      <c r="B1935" s="2">
        <v>45182</v>
      </c>
      <c r="C1935" t="s">
        <v>19</v>
      </c>
      <c r="D1935" t="s">
        <v>1636</v>
      </c>
      <c r="E1935" s="5">
        <v>60500000</v>
      </c>
      <c r="F1935" s="5">
        <v>63500000</v>
      </c>
      <c r="G1935" s="5">
        <v>3000000</v>
      </c>
      <c r="H1935" s="5">
        <v>6050000</v>
      </c>
      <c r="I1935" s="5">
        <v>6350000</v>
      </c>
      <c r="J1935" s="5">
        <v>61000000</v>
      </c>
      <c r="K1935" s="5">
        <v>64000000</v>
      </c>
      <c r="L1935" s="3">
        <v>0.97916666666666663</v>
      </c>
    </row>
    <row r="1936" spans="1:12" x14ac:dyDescent="0.25">
      <c r="A1936" t="s">
        <v>1190</v>
      </c>
      <c r="B1936" s="2">
        <v>45183</v>
      </c>
      <c r="C1936" t="s">
        <v>20</v>
      </c>
      <c r="D1936" t="s">
        <v>1636</v>
      </c>
      <c r="E1936" s="5">
        <v>60500000</v>
      </c>
      <c r="F1936" s="5">
        <v>63500000</v>
      </c>
      <c r="G1936" s="5">
        <v>3000000</v>
      </c>
      <c r="H1936" s="5">
        <v>6050000</v>
      </c>
      <c r="I1936" s="5">
        <v>6350000</v>
      </c>
      <c r="J1936" s="5">
        <v>61000000</v>
      </c>
      <c r="K1936" s="5">
        <v>64000000</v>
      </c>
      <c r="L1936" s="3">
        <v>0.97916666666666663</v>
      </c>
    </row>
    <row r="1937" spans="1:12" x14ac:dyDescent="0.25">
      <c r="A1937" t="s">
        <v>1191</v>
      </c>
      <c r="B1937" s="2">
        <v>45184</v>
      </c>
      <c r="C1937" t="s">
        <v>21</v>
      </c>
      <c r="D1937" t="s">
        <v>1636</v>
      </c>
      <c r="E1937" s="5">
        <v>61000000</v>
      </c>
      <c r="F1937" s="5">
        <v>64000000</v>
      </c>
      <c r="G1937" s="5">
        <v>3000000</v>
      </c>
      <c r="H1937" s="5">
        <v>6100000</v>
      </c>
      <c r="I1937" s="5">
        <v>6400000</v>
      </c>
      <c r="J1937" s="5">
        <v>61500000</v>
      </c>
      <c r="K1937" s="5">
        <v>64500000</v>
      </c>
      <c r="L1937" s="3">
        <v>0.97916666666666663</v>
      </c>
    </row>
    <row r="1938" spans="1:12" x14ac:dyDescent="0.25">
      <c r="A1938" t="s">
        <v>1192</v>
      </c>
      <c r="B1938" s="2">
        <v>45187</v>
      </c>
      <c r="C1938" t="s">
        <v>16</v>
      </c>
      <c r="D1938" t="s">
        <v>1636</v>
      </c>
      <c r="E1938" s="5">
        <v>61200000</v>
      </c>
      <c r="F1938" s="5">
        <v>64200000</v>
      </c>
      <c r="G1938" s="5">
        <v>3000000</v>
      </c>
      <c r="H1938" s="5">
        <v>6120000</v>
      </c>
      <c r="I1938" s="5">
        <v>6420000</v>
      </c>
      <c r="J1938" s="5">
        <v>61700000</v>
      </c>
      <c r="K1938" s="5">
        <v>64700000</v>
      </c>
      <c r="L1938" s="3">
        <v>0.97916666666666663</v>
      </c>
    </row>
    <row r="1939" spans="1:12" x14ac:dyDescent="0.25">
      <c r="A1939" t="s">
        <v>1193</v>
      </c>
      <c r="B1939" s="2">
        <v>45188</v>
      </c>
      <c r="C1939" t="s">
        <v>18</v>
      </c>
      <c r="D1939" t="s">
        <v>1636</v>
      </c>
      <c r="E1939" s="5">
        <v>61300000</v>
      </c>
      <c r="F1939" s="5">
        <v>64300000</v>
      </c>
      <c r="G1939" s="5">
        <v>3000000</v>
      </c>
      <c r="H1939" s="5">
        <v>6130000</v>
      </c>
      <c r="I1939" s="5">
        <v>6430000</v>
      </c>
      <c r="J1939" s="5">
        <v>61800000</v>
      </c>
      <c r="K1939" s="5">
        <v>64800000</v>
      </c>
      <c r="L1939" s="3">
        <v>0.97916666666666663</v>
      </c>
    </row>
    <row r="1940" spans="1:12" x14ac:dyDescent="0.25">
      <c r="A1940" t="s">
        <v>1194</v>
      </c>
      <c r="B1940" s="2">
        <v>45189</v>
      </c>
      <c r="C1940" t="s">
        <v>19</v>
      </c>
      <c r="D1940" t="s">
        <v>1636</v>
      </c>
      <c r="E1940" s="5">
        <v>61700000</v>
      </c>
      <c r="F1940" s="5">
        <v>64700000</v>
      </c>
      <c r="G1940" s="5">
        <v>3000000</v>
      </c>
      <c r="H1940" s="5">
        <v>6170000</v>
      </c>
      <c r="I1940" s="5">
        <v>6470000</v>
      </c>
      <c r="J1940" s="5">
        <v>62200000</v>
      </c>
      <c r="K1940" s="5">
        <v>65200000</v>
      </c>
      <c r="L1940" s="3">
        <v>0.97916666666666663</v>
      </c>
    </row>
    <row r="1941" spans="1:12" x14ac:dyDescent="0.25">
      <c r="A1941" t="s">
        <v>1195</v>
      </c>
      <c r="B1941" s="2">
        <v>45190</v>
      </c>
      <c r="C1941" t="s">
        <v>20</v>
      </c>
      <c r="D1941" t="s">
        <v>1636</v>
      </c>
      <c r="E1941" s="5">
        <v>60800000</v>
      </c>
      <c r="F1941" s="5">
        <v>63800000</v>
      </c>
      <c r="G1941" s="5">
        <v>3000000</v>
      </c>
      <c r="H1941" s="5">
        <v>6080000</v>
      </c>
      <c r="I1941" s="5">
        <v>6380000</v>
      </c>
      <c r="J1941" s="5">
        <v>61300000</v>
      </c>
      <c r="K1941" s="5">
        <v>64300000</v>
      </c>
      <c r="L1941" s="3">
        <v>0.97916666666666663</v>
      </c>
    </row>
    <row r="1942" spans="1:12" x14ac:dyDescent="0.25">
      <c r="A1942" t="s">
        <v>1196</v>
      </c>
      <c r="B1942" s="2">
        <v>45191</v>
      </c>
      <c r="C1942" t="s">
        <v>21</v>
      </c>
      <c r="D1942" t="s">
        <v>1636</v>
      </c>
      <c r="E1942" s="5">
        <v>61000000</v>
      </c>
      <c r="F1942" s="5">
        <v>64000000</v>
      </c>
      <c r="G1942" s="5">
        <v>3000000</v>
      </c>
      <c r="H1942" s="5">
        <v>6100000</v>
      </c>
      <c r="I1942" s="5">
        <v>6400000</v>
      </c>
      <c r="J1942" s="5">
        <v>61500000</v>
      </c>
      <c r="K1942" s="5">
        <v>64500000</v>
      </c>
      <c r="L1942" s="3">
        <v>0.97916666666666663</v>
      </c>
    </row>
    <row r="1943" spans="1:12" x14ac:dyDescent="0.25">
      <c r="A1943" t="s">
        <v>1197</v>
      </c>
      <c r="B1943" s="2">
        <v>45194</v>
      </c>
      <c r="C1943" t="s">
        <v>16</v>
      </c>
      <c r="D1943" t="s">
        <v>1636</v>
      </c>
      <c r="E1943" s="5">
        <v>60700000</v>
      </c>
      <c r="F1943" s="5">
        <v>63700000</v>
      </c>
      <c r="G1943" s="5">
        <v>3000000</v>
      </c>
      <c r="H1943" s="5">
        <v>6070000</v>
      </c>
      <c r="I1943" s="5">
        <v>6370000</v>
      </c>
      <c r="J1943" s="5">
        <v>61200000</v>
      </c>
      <c r="K1943" s="5">
        <v>64200000</v>
      </c>
      <c r="L1943" s="3">
        <v>0.97916666666666663</v>
      </c>
    </row>
    <row r="1944" spans="1:12" x14ac:dyDescent="0.25">
      <c r="A1944" t="s">
        <v>1198</v>
      </c>
      <c r="B1944" s="2">
        <v>45195</v>
      </c>
      <c r="C1944" t="s">
        <v>18</v>
      </c>
      <c r="D1944" t="s">
        <v>1636</v>
      </c>
      <c r="E1944" s="5">
        <v>60200000</v>
      </c>
      <c r="F1944" s="5">
        <v>63200000</v>
      </c>
      <c r="G1944" s="5">
        <v>3000000</v>
      </c>
      <c r="H1944" s="5">
        <v>6020000</v>
      </c>
      <c r="I1944" s="5">
        <v>6320000</v>
      </c>
      <c r="J1944" s="5">
        <v>60700000</v>
      </c>
      <c r="K1944" s="5">
        <v>63700000</v>
      </c>
      <c r="L1944" s="3">
        <v>0.97916666666666663</v>
      </c>
    </row>
    <row r="1945" spans="1:12" x14ac:dyDescent="0.25">
      <c r="A1945" t="s">
        <v>1199</v>
      </c>
      <c r="B1945" s="2">
        <v>45196</v>
      </c>
      <c r="C1945" t="s">
        <v>19</v>
      </c>
      <c r="D1945" t="s">
        <v>1636</v>
      </c>
      <c r="E1945" s="5">
        <v>59300000</v>
      </c>
      <c r="F1945" s="5">
        <v>62300000</v>
      </c>
      <c r="G1945" s="5">
        <v>3000000</v>
      </c>
      <c r="H1945" s="5">
        <v>5930000</v>
      </c>
      <c r="I1945" s="5">
        <v>6230000</v>
      </c>
      <c r="J1945" s="5">
        <v>59800000</v>
      </c>
      <c r="K1945" s="5">
        <v>62800000</v>
      </c>
      <c r="L1945" s="3">
        <v>0.97916666666666663</v>
      </c>
    </row>
    <row r="1946" spans="1:12" x14ac:dyDescent="0.25">
      <c r="A1946" t="s">
        <v>1200</v>
      </c>
      <c r="B1946" s="2">
        <v>45197</v>
      </c>
      <c r="C1946" t="s">
        <v>20</v>
      </c>
      <c r="D1946" t="s">
        <v>1636</v>
      </c>
      <c r="E1946" s="5">
        <v>58900000</v>
      </c>
      <c r="F1946" s="5">
        <v>61900000</v>
      </c>
      <c r="G1946" s="5">
        <v>3000000</v>
      </c>
      <c r="H1946" s="5">
        <v>5890000</v>
      </c>
      <c r="I1946" s="5">
        <v>6190000</v>
      </c>
      <c r="J1946" s="5">
        <v>59400000</v>
      </c>
      <c r="K1946" s="5">
        <v>62400000</v>
      </c>
      <c r="L1946" s="3">
        <v>0.97916666666666663</v>
      </c>
    </row>
    <row r="1947" spans="1:12" x14ac:dyDescent="0.25">
      <c r="A1947" t="s">
        <v>1201</v>
      </c>
      <c r="B1947" s="2">
        <v>45198</v>
      </c>
      <c r="C1947" t="s">
        <v>21</v>
      </c>
      <c r="D1947" t="s">
        <v>1636</v>
      </c>
      <c r="E1947" s="5">
        <v>58500000</v>
      </c>
      <c r="F1947" s="5">
        <v>61500000</v>
      </c>
      <c r="G1947" s="5">
        <v>3000000</v>
      </c>
      <c r="H1947" s="5">
        <v>5850000</v>
      </c>
      <c r="I1947" s="5">
        <v>6150000</v>
      </c>
      <c r="J1947" s="5">
        <v>59000000</v>
      </c>
      <c r="K1947" s="5">
        <v>62000000</v>
      </c>
      <c r="L1947" s="3">
        <v>0.97916666666666663</v>
      </c>
    </row>
    <row r="1948" spans="1:12" x14ac:dyDescent="0.25">
      <c r="A1948" s="2">
        <v>44967</v>
      </c>
      <c r="B1948" s="2">
        <v>45201</v>
      </c>
      <c r="C1948" t="s">
        <v>16</v>
      </c>
      <c r="D1948" t="s">
        <v>1636</v>
      </c>
      <c r="E1948" s="5">
        <v>57900000</v>
      </c>
      <c r="F1948" s="5">
        <v>60900000</v>
      </c>
      <c r="G1948" s="5">
        <v>3000000</v>
      </c>
      <c r="H1948" s="5">
        <v>5790000</v>
      </c>
      <c r="I1948" s="5">
        <v>6090000</v>
      </c>
      <c r="J1948" s="5">
        <v>58400000</v>
      </c>
      <c r="K1948" s="5">
        <v>61400000</v>
      </c>
      <c r="L1948" s="3">
        <v>0.97916666666666663</v>
      </c>
    </row>
    <row r="1949" spans="1:12" x14ac:dyDescent="0.25">
      <c r="A1949" s="2">
        <v>44995</v>
      </c>
      <c r="B1949" s="2">
        <v>45202</v>
      </c>
      <c r="C1949" t="s">
        <v>18</v>
      </c>
      <c r="D1949" t="s">
        <v>1636</v>
      </c>
      <c r="E1949" s="5">
        <v>57700000</v>
      </c>
      <c r="F1949" s="5">
        <v>60700000</v>
      </c>
      <c r="G1949" s="5">
        <v>3000000</v>
      </c>
      <c r="H1949" s="5">
        <v>5770000</v>
      </c>
      <c r="I1949" s="5">
        <v>6070000</v>
      </c>
      <c r="J1949" s="5">
        <v>58200000</v>
      </c>
      <c r="K1949" s="5">
        <v>61200000</v>
      </c>
      <c r="L1949" s="3">
        <v>0.97916666666666663</v>
      </c>
    </row>
    <row r="1950" spans="1:12" x14ac:dyDescent="0.25">
      <c r="A1950" s="2">
        <v>45026</v>
      </c>
      <c r="B1950" s="2">
        <v>45203</v>
      </c>
      <c r="C1950" t="s">
        <v>19</v>
      </c>
      <c r="D1950" t="s">
        <v>1636</v>
      </c>
      <c r="E1950" s="5">
        <v>57500000</v>
      </c>
      <c r="F1950" s="5">
        <v>60500000</v>
      </c>
      <c r="G1950" s="5">
        <v>3000000</v>
      </c>
      <c r="H1950" s="5">
        <v>5750000</v>
      </c>
      <c r="I1950" s="5">
        <v>6050000</v>
      </c>
      <c r="J1950" s="5">
        <v>58000000</v>
      </c>
      <c r="K1950" s="5">
        <v>61000000</v>
      </c>
      <c r="L1950" s="3">
        <v>0.97916666666666663</v>
      </c>
    </row>
    <row r="1951" spans="1:12" x14ac:dyDescent="0.25">
      <c r="A1951" s="2">
        <v>45056</v>
      </c>
      <c r="B1951" s="2">
        <v>45204</v>
      </c>
      <c r="C1951" t="s">
        <v>20</v>
      </c>
      <c r="D1951" t="s">
        <v>1636</v>
      </c>
      <c r="E1951" s="5">
        <v>57400000</v>
      </c>
      <c r="F1951" s="5">
        <v>60400000</v>
      </c>
      <c r="G1951" s="5">
        <v>3000000</v>
      </c>
      <c r="H1951" s="5">
        <v>5740000</v>
      </c>
      <c r="I1951" s="5">
        <v>6040000</v>
      </c>
      <c r="J1951" s="5">
        <v>57900000</v>
      </c>
      <c r="K1951" s="5">
        <v>60900000</v>
      </c>
      <c r="L1951" s="3">
        <v>0.97916666666666663</v>
      </c>
    </row>
    <row r="1952" spans="1:12" x14ac:dyDescent="0.25">
      <c r="A1952" s="2">
        <v>45087</v>
      </c>
      <c r="B1952" s="2">
        <v>45205</v>
      </c>
      <c r="C1952" t="s">
        <v>21</v>
      </c>
      <c r="D1952" t="s">
        <v>1636</v>
      </c>
      <c r="E1952" s="5">
        <v>57900000</v>
      </c>
      <c r="F1952" s="5">
        <v>60900000</v>
      </c>
      <c r="G1952" s="5">
        <v>3000000</v>
      </c>
      <c r="H1952" s="5">
        <v>5790000</v>
      </c>
      <c r="I1952" s="5">
        <v>6090000</v>
      </c>
      <c r="J1952" s="5">
        <v>58400000</v>
      </c>
      <c r="K1952" s="5">
        <v>61400000</v>
      </c>
      <c r="L1952" s="3">
        <v>0.97916666666666663</v>
      </c>
    </row>
    <row r="1953" spans="1:12" x14ac:dyDescent="0.25">
      <c r="A1953" s="2">
        <v>45179</v>
      </c>
      <c r="B1953" s="2">
        <v>45208</v>
      </c>
      <c r="C1953" t="s">
        <v>16</v>
      </c>
      <c r="D1953" t="s">
        <v>1636</v>
      </c>
      <c r="E1953" s="5">
        <v>58500000</v>
      </c>
      <c r="F1953" s="5">
        <v>61500000</v>
      </c>
      <c r="G1953" s="5">
        <v>3000000</v>
      </c>
      <c r="H1953" s="5">
        <v>5850000</v>
      </c>
      <c r="I1953" s="5">
        <v>6150000</v>
      </c>
      <c r="J1953" s="5">
        <v>59000000</v>
      </c>
      <c r="K1953" s="5">
        <v>62000000</v>
      </c>
      <c r="L1953" s="3">
        <v>0.97916666666666663</v>
      </c>
    </row>
    <row r="1954" spans="1:12" x14ac:dyDescent="0.25">
      <c r="A1954" s="2">
        <v>45209</v>
      </c>
      <c r="B1954" s="2">
        <v>45209</v>
      </c>
      <c r="C1954" t="s">
        <v>18</v>
      </c>
      <c r="D1954" t="s">
        <v>1636</v>
      </c>
      <c r="E1954" s="5">
        <v>58900000</v>
      </c>
      <c r="F1954" s="5">
        <v>61900000</v>
      </c>
      <c r="G1954" s="5">
        <v>3000000</v>
      </c>
      <c r="H1954" s="5">
        <v>5890000</v>
      </c>
      <c r="I1954" s="5">
        <v>6190000</v>
      </c>
      <c r="J1954" s="5">
        <v>59400000</v>
      </c>
      <c r="K1954" s="5">
        <v>62400000</v>
      </c>
      <c r="L1954" s="3">
        <v>0.97916666666666663</v>
      </c>
    </row>
    <row r="1955" spans="1:12" x14ac:dyDescent="0.25">
      <c r="A1955" s="2">
        <v>45240</v>
      </c>
      <c r="B1955" s="2">
        <v>45210</v>
      </c>
      <c r="C1955" t="s">
        <v>19</v>
      </c>
      <c r="D1955" t="s">
        <v>1636</v>
      </c>
      <c r="E1955" s="5">
        <v>59300000</v>
      </c>
      <c r="F1955" s="5">
        <v>62300000</v>
      </c>
      <c r="G1955" s="5">
        <v>3000000</v>
      </c>
      <c r="H1955" s="5">
        <v>5930000</v>
      </c>
      <c r="I1955" s="5">
        <v>6230000</v>
      </c>
      <c r="J1955" s="5">
        <v>59800000</v>
      </c>
      <c r="K1955" s="5">
        <v>62800000</v>
      </c>
      <c r="L1955" s="3">
        <v>0.97916666666666663</v>
      </c>
    </row>
    <row r="1956" spans="1:12" x14ac:dyDescent="0.25">
      <c r="A1956" s="2">
        <v>45270</v>
      </c>
      <c r="B1956" s="2">
        <v>45211</v>
      </c>
      <c r="C1956" t="s">
        <v>20</v>
      </c>
      <c r="D1956" t="s">
        <v>1636</v>
      </c>
      <c r="E1956" s="5">
        <v>59200000</v>
      </c>
      <c r="F1956" s="5">
        <v>62200000</v>
      </c>
      <c r="G1956" s="5">
        <v>3000000</v>
      </c>
      <c r="H1956" s="5">
        <v>5920000</v>
      </c>
      <c r="I1956" s="5">
        <v>6220000</v>
      </c>
      <c r="J1956" s="5">
        <v>59700000</v>
      </c>
      <c r="K1956" s="5">
        <v>62700000</v>
      </c>
      <c r="L1956" s="3">
        <v>0.97916666666666663</v>
      </c>
    </row>
    <row r="1957" spans="1:12" x14ac:dyDescent="0.25">
      <c r="A1957" t="s">
        <v>1202</v>
      </c>
      <c r="B1957" s="2">
        <v>45212</v>
      </c>
      <c r="C1957" t="s">
        <v>21</v>
      </c>
      <c r="D1957" t="s">
        <v>1636</v>
      </c>
      <c r="E1957" s="5">
        <v>61100000</v>
      </c>
      <c r="F1957" s="5">
        <v>64100000</v>
      </c>
      <c r="G1957" s="5">
        <v>3000000</v>
      </c>
      <c r="H1957" s="5">
        <v>6110000</v>
      </c>
      <c r="I1957" s="5">
        <v>6410000</v>
      </c>
      <c r="J1957" s="5">
        <v>61600000</v>
      </c>
      <c r="K1957" s="5">
        <v>64600000</v>
      </c>
      <c r="L1957" s="3">
        <v>0.97916666666666663</v>
      </c>
    </row>
    <row r="1958" spans="1:12" x14ac:dyDescent="0.25">
      <c r="A1958" t="s">
        <v>1203</v>
      </c>
      <c r="B1958" s="2">
        <v>45215</v>
      </c>
      <c r="C1958" t="s">
        <v>16</v>
      </c>
      <c r="D1958" t="s">
        <v>1636</v>
      </c>
      <c r="E1958" s="5">
        <v>60900000</v>
      </c>
      <c r="F1958" s="5">
        <v>63900000</v>
      </c>
      <c r="G1958" s="5">
        <v>3000000</v>
      </c>
      <c r="H1958" s="5">
        <v>6090000</v>
      </c>
      <c r="I1958" s="5">
        <v>6390000</v>
      </c>
      <c r="J1958" s="5">
        <v>61400000</v>
      </c>
      <c r="K1958" s="5">
        <v>64400000</v>
      </c>
      <c r="L1958" s="3">
        <v>0.97916666666666663</v>
      </c>
    </row>
    <row r="1959" spans="1:12" x14ac:dyDescent="0.25">
      <c r="A1959" t="s">
        <v>1204</v>
      </c>
      <c r="B1959" s="2">
        <v>45216</v>
      </c>
      <c r="C1959" t="s">
        <v>18</v>
      </c>
      <c r="D1959" t="s">
        <v>1636</v>
      </c>
      <c r="E1959" s="5">
        <v>61000000</v>
      </c>
      <c r="F1959" s="5">
        <v>64000000</v>
      </c>
      <c r="G1959" s="5">
        <v>3000000</v>
      </c>
      <c r="H1959" s="5">
        <v>6100000</v>
      </c>
      <c r="I1959" s="5">
        <v>6400000</v>
      </c>
      <c r="J1959" s="5">
        <v>61500000</v>
      </c>
      <c r="K1959" s="5">
        <v>64500000</v>
      </c>
      <c r="L1959" s="3">
        <v>0.97916666666666663</v>
      </c>
    </row>
    <row r="1960" spans="1:12" x14ac:dyDescent="0.25">
      <c r="A1960" t="s">
        <v>1205</v>
      </c>
      <c r="B1960" s="2">
        <v>45217</v>
      </c>
      <c r="C1960" t="s">
        <v>19</v>
      </c>
      <c r="D1960" t="s">
        <v>1636</v>
      </c>
      <c r="E1960" s="5">
        <v>62000000</v>
      </c>
      <c r="F1960" s="5">
        <v>65000000</v>
      </c>
      <c r="G1960" s="5">
        <v>3000000</v>
      </c>
      <c r="H1960" s="5">
        <v>6200000</v>
      </c>
      <c r="I1960" s="5">
        <v>6500000</v>
      </c>
      <c r="J1960" s="5">
        <v>62500000</v>
      </c>
      <c r="K1960" s="5">
        <v>65500000</v>
      </c>
      <c r="L1960" s="3">
        <v>0.97916666666666663</v>
      </c>
    </row>
    <row r="1961" spans="1:12" x14ac:dyDescent="0.25">
      <c r="A1961" t="s">
        <v>1206</v>
      </c>
      <c r="B1961" s="2">
        <v>45218</v>
      </c>
      <c r="C1961" t="s">
        <v>20</v>
      </c>
      <c r="D1961" t="s">
        <v>1636</v>
      </c>
      <c r="E1961" s="5">
        <v>62500000</v>
      </c>
      <c r="F1961" s="5">
        <v>65500000</v>
      </c>
      <c r="G1961" s="5">
        <v>3000000</v>
      </c>
      <c r="H1961" s="5">
        <v>6250000</v>
      </c>
      <c r="I1961" s="5">
        <v>6550000</v>
      </c>
      <c r="J1961" s="5">
        <v>63000000</v>
      </c>
      <c r="K1961" s="5">
        <v>66000000</v>
      </c>
      <c r="L1961" s="3">
        <v>0.97916666666666663</v>
      </c>
    </row>
    <row r="1962" spans="1:12" x14ac:dyDescent="0.25">
      <c r="A1962" t="s">
        <v>1207</v>
      </c>
      <c r="B1962" s="2">
        <v>45219</v>
      </c>
      <c r="C1962" t="s">
        <v>21</v>
      </c>
      <c r="D1962" t="s">
        <v>1636</v>
      </c>
      <c r="E1962" s="5">
        <v>62900000</v>
      </c>
      <c r="F1962" s="5">
        <v>65900000</v>
      </c>
      <c r="G1962" s="5">
        <v>3000000</v>
      </c>
      <c r="H1962" s="5">
        <v>6290000</v>
      </c>
      <c r="I1962" s="5">
        <v>6590000</v>
      </c>
      <c r="J1962" s="5">
        <v>63400000</v>
      </c>
      <c r="K1962" s="5">
        <v>66400000</v>
      </c>
      <c r="L1962" s="3">
        <v>0.97916666666666663</v>
      </c>
    </row>
    <row r="1963" spans="1:12" x14ac:dyDescent="0.25">
      <c r="A1963" t="s">
        <v>1208</v>
      </c>
      <c r="B1963" s="2">
        <v>45222</v>
      </c>
      <c r="C1963" t="s">
        <v>16</v>
      </c>
      <c r="D1963" t="s">
        <v>1636</v>
      </c>
      <c r="E1963" s="5">
        <v>62700000</v>
      </c>
      <c r="F1963" s="5">
        <v>65700000</v>
      </c>
      <c r="G1963" s="5">
        <v>3000000</v>
      </c>
      <c r="H1963" s="5">
        <v>6270000</v>
      </c>
      <c r="I1963" s="5">
        <v>6570000</v>
      </c>
      <c r="J1963" s="5">
        <v>63200000</v>
      </c>
      <c r="K1963" s="5">
        <v>66200000</v>
      </c>
      <c r="L1963" s="3">
        <v>0.97916666666666663</v>
      </c>
    </row>
    <row r="1964" spans="1:12" x14ac:dyDescent="0.25">
      <c r="A1964" t="s">
        <v>1209</v>
      </c>
      <c r="B1964" s="2">
        <v>45223</v>
      </c>
      <c r="C1964" t="s">
        <v>18</v>
      </c>
      <c r="D1964" t="s">
        <v>1636</v>
      </c>
      <c r="E1964" s="5">
        <v>62700000</v>
      </c>
      <c r="F1964" s="5">
        <v>65700000</v>
      </c>
      <c r="G1964" s="5">
        <v>3000000</v>
      </c>
      <c r="H1964" s="5">
        <v>6270000</v>
      </c>
      <c r="I1964" s="5">
        <v>6570000</v>
      </c>
      <c r="J1964" s="5">
        <v>63200000</v>
      </c>
      <c r="K1964" s="5">
        <v>66200000</v>
      </c>
      <c r="L1964" s="3">
        <v>0.97916666666666663</v>
      </c>
    </row>
    <row r="1965" spans="1:12" x14ac:dyDescent="0.25">
      <c r="A1965" t="s">
        <v>1210</v>
      </c>
      <c r="B1965" s="2">
        <v>45224</v>
      </c>
      <c r="C1965" t="s">
        <v>19</v>
      </c>
      <c r="D1965" t="s">
        <v>1636</v>
      </c>
      <c r="E1965" s="5">
        <v>63000000</v>
      </c>
      <c r="F1965" s="5">
        <v>66000000</v>
      </c>
      <c r="G1965" s="5">
        <v>3000000</v>
      </c>
      <c r="H1965" s="5">
        <v>6300000</v>
      </c>
      <c r="I1965" s="5">
        <v>6600000</v>
      </c>
      <c r="J1965" s="5">
        <v>63500000</v>
      </c>
      <c r="K1965" s="5">
        <v>66500000</v>
      </c>
      <c r="L1965" s="3">
        <v>0.97916666666666663</v>
      </c>
    </row>
    <row r="1966" spans="1:12" x14ac:dyDescent="0.25">
      <c r="A1966" t="s">
        <v>1211</v>
      </c>
      <c r="B1966" s="2">
        <v>45225</v>
      </c>
      <c r="C1966" t="s">
        <v>20</v>
      </c>
      <c r="D1966" t="s">
        <v>1636</v>
      </c>
      <c r="E1966" s="5">
        <v>63100000</v>
      </c>
      <c r="F1966" s="5">
        <v>66100000</v>
      </c>
      <c r="G1966" s="5">
        <v>3000000</v>
      </c>
      <c r="H1966" s="5">
        <v>6310000</v>
      </c>
      <c r="I1966" s="5">
        <v>6610000</v>
      </c>
      <c r="J1966" s="5">
        <v>63600000</v>
      </c>
      <c r="K1966" s="5">
        <v>66600000</v>
      </c>
      <c r="L1966" s="3">
        <v>0.97916666666666663</v>
      </c>
    </row>
    <row r="1967" spans="1:12" x14ac:dyDescent="0.25">
      <c r="A1967" t="s">
        <v>1212</v>
      </c>
      <c r="B1967" s="2">
        <v>45226</v>
      </c>
      <c r="C1967" t="s">
        <v>21</v>
      </c>
      <c r="D1967" t="s">
        <v>1636</v>
      </c>
      <c r="E1967" s="5">
        <v>63100000</v>
      </c>
      <c r="F1967" s="5">
        <v>66100000</v>
      </c>
      <c r="G1967" s="5">
        <v>3000000</v>
      </c>
      <c r="H1967" s="5">
        <v>6310000</v>
      </c>
      <c r="I1967" s="5">
        <v>6610000</v>
      </c>
      <c r="J1967" s="5">
        <v>63600000</v>
      </c>
      <c r="K1967" s="5">
        <v>66600000</v>
      </c>
      <c r="L1967" s="3">
        <v>0.97916666666666663</v>
      </c>
    </row>
    <row r="1968" spans="1:12" x14ac:dyDescent="0.25">
      <c r="A1968" t="s">
        <v>1213</v>
      </c>
      <c r="B1968" s="2">
        <v>45229</v>
      </c>
      <c r="C1968" t="s">
        <v>16</v>
      </c>
      <c r="D1968" t="s">
        <v>1636</v>
      </c>
      <c r="E1968" s="5">
        <v>63400000</v>
      </c>
      <c r="F1968" s="5">
        <v>66400000</v>
      </c>
      <c r="G1968" s="5">
        <v>3000000</v>
      </c>
      <c r="H1968" s="5">
        <v>6340000</v>
      </c>
      <c r="I1968" s="5">
        <v>6640000</v>
      </c>
      <c r="J1968" s="5">
        <v>63900000</v>
      </c>
      <c r="K1968" s="5">
        <v>66900000</v>
      </c>
      <c r="L1968" s="3">
        <v>0.97916666666666663</v>
      </c>
    </row>
    <row r="1969" spans="1:12" x14ac:dyDescent="0.25">
      <c r="A1969" t="s">
        <v>1214</v>
      </c>
      <c r="B1969" s="2">
        <v>45230</v>
      </c>
      <c r="C1969" t="s">
        <v>18</v>
      </c>
      <c r="D1969" t="s">
        <v>1636</v>
      </c>
      <c r="E1969" s="5">
        <v>63000000</v>
      </c>
      <c r="F1969" s="5">
        <v>66000000</v>
      </c>
      <c r="G1969" s="5">
        <v>3000000</v>
      </c>
      <c r="H1969" s="5">
        <v>6300000</v>
      </c>
      <c r="I1969" s="5">
        <v>6600000</v>
      </c>
      <c r="J1969" s="5">
        <v>63500000</v>
      </c>
      <c r="K1969" s="5">
        <v>66500000</v>
      </c>
      <c r="L1969" s="3">
        <v>0.97916666666666663</v>
      </c>
    </row>
    <row r="1970" spans="1:12" x14ac:dyDescent="0.25">
      <c r="A1970" s="2">
        <v>44937</v>
      </c>
      <c r="B1970" s="2">
        <v>45231</v>
      </c>
      <c r="C1970" t="s">
        <v>19</v>
      </c>
      <c r="D1970" t="s">
        <v>1636</v>
      </c>
      <c r="E1970" s="5">
        <v>62800000</v>
      </c>
      <c r="F1970" s="5">
        <v>65800000</v>
      </c>
      <c r="G1970" s="5">
        <v>3000000</v>
      </c>
      <c r="H1970" s="5">
        <v>6280000</v>
      </c>
      <c r="I1970" s="5">
        <v>6580000</v>
      </c>
      <c r="J1970" s="5">
        <v>63300000</v>
      </c>
      <c r="K1970" s="5">
        <v>66300000</v>
      </c>
      <c r="L1970" s="3">
        <v>0.97916666666666663</v>
      </c>
    </row>
    <row r="1971" spans="1:12" x14ac:dyDescent="0.25">
      <c r="A1971" s="2">
        <v>44968</v>
      </c>
      <c r="B1971" s="2">
        <v>45232</v>
      </c>
      <c r="C1971" t="s">
        <v>20</v>
      </c>
      <c r="D1971" t="s">
        <v>1636</v>
      </c>
      <c r="E1971" s="5">
        <v>63000000</v>
      </c>
      <c r="F1971" s="5">
        <v>66000000</v>
      </c>
      <c r="G1971" s="5">
        <v>3000000</v>
      </c>
      <c r="H1971" s="5">
        <v>6300000</v>
      </c>
      <c r="I1971" s="5">
        <v>6600000</v>
      </c>
      <c r="J1971" s="5">
        <v>63500000</v>
      </c>
      <c r="K1971" s="5">
        <v>66500000</v>
      </c>
      <c r="L1971" s="3">
        <v>0.97916666666666663</v>
      </c>
    </row>
    <row r="1972" spans="1:12" x14ac:dyDescent="0.25">
      <c r="A1972" s="2">
        <v>44996</v>
      </c>
      <c r="B1972" s="2">
        <v>45233</v>
      </c>
      <c r="C1972" t="s">
        <v>21</v>
      </c>
      <c r="D1972" t="s">
        <v>1636</v>
      </c>
      <c r="E1972" s="5">
        <v>63200000</v>
      </c>
      <c r="F1972" s="5">
        <v>66200000</v>
      </c>
      <c r="G1972" s="5">
        <v>3000000</v>
      </c>
      <c r="H1972" s="5">
        <v>6320000</v>
      </c>
      <c r="I1972" s="5">
        <v>6620000</v>
      </c>
      <c r="J1972" s="5">
        <v>63700000</v>
      </c>
      <c r="K1972" s="5">
        <v>66700000</v>
      </c>
      <c r="L1972" s="3">
        <v>0.97916666666666663</v>
      </c>
    </row>
    <row r="1973" spans="1:12" x14ac:dyDescent="0.25">
      <c r="A1973" s="2">
        <v>45088</v>
      </c>
      <c r="B1973" s="2">
        <v>45236</v>
      </c>
      <c r="C1973" t="s">
        <v>16</v>
      </c>
      <c r="D1973" t="s">
        <v>1636</v>
      </c>
      <c r="E1973" s="5">
        <v>62900000</v>
      </c>
      <c r="F1973" s="5">
        <v>65900000</v>
      </c>
      <c r="G1973" s="5">
        <v>3000000</v>
      </c>
      <c r="H1973" s="5">
        <v>6290000</v>
      </c>
      <c r="I1973" s="5">
        <v>6590000</v>
      </c>
      <c r="J1973" s="5">
        <v>63400000</v>
      </c>
      <c r="K1973" s="5">
        <v>66400000</v>
      </c>
      <c r="L1973" s="3">
        <v>0.97916666666666663</v>
      </c>
    </row>
    <row r="1974" spans="1:12" x14ac:dyDescent="0.25">
      <c r="A1974" s="2">
        <v>45118</v>
      </c>
      <c r="B1974" s="2">
        <v>45237</v>
      </c>
      <c r="C1974" t="s">
        <v>18</v>
      </c>
      <c r="D1974" t="s">
        <v>1636</v>
      </c>
      <c r="E1974" s="5">
        <v>62400000</v>
      </c>
      <c r="F1974" s="5">
        <v>65400000</v>
      </c>
      <c r="G1974" s="5">
        <v>3000000</v>
      </c>
      <c r="H1974" s="5">
        <v>6240000</v>
      </c>
      <c r="I1974" s="5">
        <v>6540000</v>
      </c>
      <c r="J1974" s="5">
        <v>62900000</v>
      </c>
      <c r="K1974" s="5">
        <v>65900000</v>
      </c>
      <c r="L1974" s="3">
        <v>0.97916666666666663</v>
      </c>
    </row>
    <row r="1975" spans="1:12" x14ac:dyDescent="0.25">
      <c r="A1975" s="2">
        <v>45149</v>
      </c>
      <c r="B1975" s="2">
        <v>45238</v>
      </c>
      <c r="C1975" t="s">
        <v>19</v>
      </c>
      <c r="D1975" t="s">
        <v>1636</v>
      </c>
      <c r="E1975" s="5">
        <v>61900000</v>
      </c>
      <c r="F1975" s="5">
        <v>64900000</v>
      </c>
      <c r="G1975" s="5">
        <v>3000000</v>
      </c>
      <c r="H1975" s="5">
        <v>6190000</v>
      </c>
      <c r="I1975" s="5">
        <v>6490000</v>
      </c>
      <c r="J1975" s="5">
        <v>62400000</v>
      </c>
      <c r="K1975" s="5">
        <v>65400000</v>
      </c>
      <c r="L1975" s="3">
        <v>0.97916666666666663</v>
      </c>
    </row>
    <row r="1976" spans="1:12" x14ac:dyDescent="0.25">
      <c r="A1976" s="2">
        <v>45180</v>
      </c>
      <c r="B1976" s="2">
        <v>45239</v>
      </c>
      <c r="C1976" t="s">
        <v>20</v>
      </c>
      <c r="D1976" t="s">
        <v>1636</v>
      </c>
      <c r="E1976" s="5">
        <v>62300000</v>
      </c>
      <c r="F1976" s="5">
        <v>65300000</v>
      </c>
      <c r="G1976" s="5">
        <v>3000000</v>
      </c>
      <c r="H1976" s="5">
        <v>6230000</v>
      </c>
      <c r="I1976" s="5">
        <v>6530000</v>
      </c>
      <c r="J1976" s="5">
        <v>62800000</v>
      </c>
      <c r="K1976" s="5">
        <v>65800000</v>
      </c>
      <c r="L1976" s="3">
        <v>0.97916666666666663</v>
      </c>
    </row>
    <row r="1977" spans="1:12" x14ac:dyDescent="0.25">
      <c r="A1977" s="2">
        <v>45210</v>
      </c>
      <c r="B1977" s="2">
        <v>45240</v>
      </c>
      <c r="C1977" t="s">
        <v>21</v>
      </c>
      <c r="D1977" t="s">
        <v>1636</v>
      </c>
      <c r="E1977" s="5">
        <v>61300000</v>
      </c>
      <c r="F1977" s="5">
        <v>64300000</v>
      </c>
      <c r="G1977" s="5">
        <v>3000000</v>
      </c>
      <c r="H1977" s="5">
        <v>6130000</v>
      </c>
      <c r="I1977" s="5">
        <v>6430000</v>
      </c>
      <c r="J1977" s="5">
        <v>61800000</v>
      </c>
      <c r="K1977" s="5">
        <v>64800000</v>
      </c>
      <c r="L1977" s="3">
        <v>0.97916666666666663</v>
      </c>
    </row>
    <row r="1978" spans="1:12" x14ac:dyDescent="0.25">
      <c r="A1978" t="s">
        <v>1215</v>
      </c>
      <c r="B1978" s="2">
        <v>45243</v>
      </c>
      <c r="C1978" t="s">
        <v>16</v>
      </c>
      <c r="D1978" t="s">
        <v>1636</v>
      </c>
      <c r="E1978" s="5">
        <v>61700000</v>
      </c>
      <c r="F1978" s="5">
        <v>64700000</v>
      </c>
      <c r="G1978" s="5">
        <v>3000000</v>
      </c>
      <c r="H1978" s="5">
        <v>6170000</v>
      </c>
      <c r="I1978" s="5">
        <v>6470000</v>
      </c>
      <c r="J1978" s="5">
        <v>62200000</v>
      </c>
      <c r="K1978" s="5">
        <v>65200000</v>
      </c>
      <c r="L1978" s="3">
        <v>0.97916666666666663</v>
      </c>
    </row>
    <row r="1979" spans="1:12" x14ac:dyDescent="0.25">
      <c r="A1979" t="s">
        <v>1216</v>
      </c>
      <c r="B1979" s="2">
        <v>45244</v>
      </c>
      <c r="C1979" t="s">
        <v>18</v>
      </c>
      <c r="D1979" t="s">
        <v>1636</v>
      </c>
      <c r="E1979" s="5">
        <v>62300000</v>
      </c>
      <c r="F1979" s="5">
        <v>65300000</v>
      </c>
      <c r="G1979" s="5">
        <v>3000000</v>
      </c>
      <c r="H1979" s="5">
        <v>6230000</v>
      </c>
      <c r="I1979" s="5">
        <v>6530000</v>
      </c>
      <c r="J1979" s="5">
        <v>62800000</v>
      </c>
      <c r="K1979" s="5">
        <v>65800000</v>
      </c>
      <c r="L1979" s="3">
        <v>0.97916666666666663</v>
      </c>
    </row>
    <row r="1980" spans="1:12" x14ac:dyDescent="0.25">
      <c r="A1980" t="s">
        <v>1217</v>
      </c>
      <c r="B1980" s="2">
        <v>45245</v>
      </c>
      <c r="C1980" t="s">
        <v>19</v>
      </c>
      <c r="D1980" t="s">
        <v>1636</v>
      </c>
      <c r="E1980" s="5">
        <v>62200000</v>
      </c>
      <c r="F1980" s="5">
        <v>65200000</v>
      </c>
      <c r="G1980" s="5">
        <v>3000000</v>
      </c>
      <c r="H1980" s="5">
        <v>6220000</v>
      </c>
      <c r="I1980" s="5">
        <v>6520000</v>
      </c>
      <c r="J1980" s="5">
        <v>62700000</v>
      </c>
      <c r="K1980" s="5">
        <v>65700000</v>
      </c>
      <c r="L1980" s="3">
        <v>0.97916666666666663</v>
      </c>
    </row>
    <row r="1981" spans="1:12" x14ac:dyDescent="0.25">
      <c r="A1981" t="s">
        <v>1218</v>
      </c>
      <c r="B1981" s="2">
        <v>45246</v>
      </c>
      <c r="C1981" t="s">
        <v>20</v>
      </c>
      <c r="D1981" t="s">
        <v>1636</v>
      </c>
      <c r="E1981" s="5">
        <v>63000000</v>
      </c>
      <c r="F1981" s="5">
        <v>66000000</v>
      </c>
      <c r="G1981" s="5">
        <v>3000000</v>
      </c>
      <c r="H1981" s="5">
        <v>6300000</v>
      </c>
      <c r="I1981" s="5">
        <v>6600000</v>
      </c>
      <c r="J1981" s="5">
        <v>63500000</v>
      </c>
      <c r="K1981" s="5">
        <v>66500000</v>
      </c>
      <c r="L1981" s="3">
        <v>0.97916666666666663</v>
      </c>
    </row>
    <row r="1982" spans="1:12" x14ac:dyDescent="0.25">
      <c r="A1982" t="s">
        <v>1219</v>
      </c>
      <c r="B1982" s="2">
        <v>45247</v>
      </c>
      <c r="C1982" t="s">
        <v>21</v>
      </c>
      <c r="D1982" t="s">
        <v>1636</v>
      </c>
      <c r="E1982" s="5">
        <v>62900000</v>
      </c>
      <c r="F1982" s="5">
        <v>65900000</v>
      </c>
      <c r="G1982" s="5">
        <v>3000000</v>
      </c>
      <c r="H1982" s="5">
        <v>6290000</v>
      </c>
      <c r="I1982" s="5">
        <v>6590000</v>
      </c>
      <c r="J1982" s="5">
        <v>63400000</v>
      </c>
      <c r="K1982" s="5">
        <v>66400000</v>
      </c>
      <c r="L1982" s="3">
        <v>0.97916666666666663</v>
      </c>
    </row>
    <row r="1983" spans="1:12" x14ac:dyDescent="0.25">
      <c r="A1983" t="s">
        <v>1220</v>
      </c>
      <c r="B1983" s="2">
        <v>45250</v>
      </c>
      <c r="C1983" t="s">
        <v>16</v>
      </c>
      <c r="D1983" t="s">
        <v>1636</v>
      </c>
      <c r="E1983" s="5">
        <v>62800000</v>
      </c>
      <c r="F1983" s="5">
        <v>65800000</v>
      </c>
      <c r="G1983" s="5">
        <v>3000000</v>
      </c>
      <c r="H1983" s="5">
        <v>6280000</v>
      </c>
      <c r="I1983" s="5">
        <v>6580000</v>
      </c>
      <c r="J1983" s="5">
        <v>63300000</v>
      </c>
      <c r="K1983" s="5">
        <v>66300000</v>
      </c>
      <c r="L1983" s="3">
        <v>0.97916666666666663</v>
      </c>
    </row>
    <row r="1984" spans="1:12" x14ac:dyDescent="0.25">
      <c r="A1984" t="s">
        <v>1221</v>
      </c>
      <c r="B1984" s="2">
        <v>45251</v>
      </c>
      <c r="C1984" t="s">
        <v>18</v>
      </c>
      <c r="D1984" t="s">
        <v>1636</v>
      </c>
      <c r="E1984" s="5">
        <v>63500000</v>
      </c>
      <c r="F1984" s="5">
        <v>66500000</v>
      </c>
      <c r="G1984" s="5">
        <v>3000000</v>
      </c>
      <c r="H1984" s="5">
        <v>6350000</v>
      </c>
      <c r="I1984" s="5">
        <v>6650000</v>
      </c>
      <c r="J1984" s="5">
        <v>64000000</v>
      </c>
      <c r="K1984" s="5">
        <v>67000000</v>
      </c>
      <c r="L1984" s="3">
        <v>0.97916666666666663</v>
      </c>
    </row>
    <row r="1985" spans="1:12" x14ac:dyDescent="0.25">
      <c r="A1985" t="s">
        <v>1222</v>
      </c>
      <c r="B1985" s="2">
        <v>45252</v>
      </c>
      <c r="C1985" t="s">
        <v>19</v>
      </c>
      <c r="D1985" t="s">
        <v>1636</v>
      </c>
      <c r="E1985" s="5">
        <v>63200000</v>
      </c>
      <c r="F1985" s="5">
        <v>66200000</v>
      </c>
      <c r="G1985" s="5">
        <v>3000000</v>
      </c>
      <c r="H1985" s="5">
        <v>6320000</v>
      </c>
      <c r="I1985" s="5">
        <v>6620000</v>
      </c>
      <c r="J1985" s="5">
        <v>63700000</v>
      </c>
      <c r="K1985" s="5">
        <v>66700000</v>
      </c>
      <c r="L1985" s="3">
        <v>0.97916666666666663</v>
      </c>
    </row>
    <row r="1986" spans="1:12" x14ac:dyDescent="0.25">
      <c r="A1986" t="s">
        <v>1223</v>
      </c>
      <c r="B1986" s="2">
        <v>45254</v>
      </c>
      <c r="C1986" t="s">
        <v>21</v>
      </c>
      <c r="D1986" t="s">
        <v>1636</v>
      </c>
      <c r="E1986" s="5">
        <v>63600000</v>
      </c>
      <c r="F1986" s="5">
        <v>66600000</v>
      </c>
      <c r="G1986" s="5">
        <v>3000000</v>
      </c>
      <c r="H1986" s="5">
        <v>6360000</v>
      </c>
      <c r="I1986" s="5">
        <v>6660000</v>
      </c>
      <c r="J1986" s="5">
        <v>64100000</v>
      </c>
      <c r="K1986" s="5">
        <v>67100000</v>
      </c>
      <c r="L1986" s="3">
        <v>0.97916666666666663</v>
      </c>
    </row>
    <row r="1987" spans="1:12" x14ac:dyDescent="0.25">
      <c r="A1987" t="s">
        <v>1224</v>
      </c>
      <c r="B1987" s="2">
        <v>45257</v>
      </c>
      <c r="C1987" t="s">
        <v>16</v>
      </c>
      <c r="D1987" t="s">
        <v>1636</v>
      </c>
      <c r="E1987" s="5">
        <v>63900000</v>
      </c>
      <c r="F1987" s="5">
        <v>66900000</v>
      </c>
      <c r="G1987" s="5">
        <v>3000000</v>
      </c>
      <c r="H1987" s="5">
        <v>6390000</v>
      </c>
      <c r="I1987" s="5">
        <v>6690000</v>
      </c>
      <c r="J1987" s="5">
        <v>64400000</v>
      </c>
      <c r="K1987" s="5">
        <v>67400000</v>
      </c>
      <c r="L1987" s="3">
        <v>0.97916666666666663</v>
      </c>
    </row>
    <row r="1988" spans="1:12" x14ac:dyDescent="0.25">
      <c r="A1988" t="s">
        <v>1225</v>
      </c>
      <c r="B1988" s="2">
        <v>45258</v>
      </c>
      <c r="C1988" t="s">
        <v>18</v>
      </c>
      <c r="D1988" t="s">
        <v>1636</v>
      </c>
      <c r="E1988" s="5">
        <v>64800000</v>
      </c>
      <c r="F1988" s="5">
        <v>67800000</v>
      </c>
      <c r="G1988" s="5">
        <v>3000000</v>
      </c>
      <c r="H1988" s="5">
        <v>6480000</v>
      </c>
      <c r="I1988" s="5">
        <v>6780000</v>
      </c>
      <c r="J1988" s="5">
        <v>65300000</v>
      </c>
      <c r="K1988" s="5">
        <v>68300000</v>
      </c>
      <c r="L1988" s="3">
        <v>0.97916666666666663</v>
      </c>
    </row>
    <row r="1989" spans="1:12" x14ac:dyDescent="0.25">
      <c r="A1989" t="s">
        <v>1226</v>
      </c>
      <c r="B1989" s="2">
        <v>45259</v>
      </c>
      <c r="C1989" t="s">
        <v>19</v>
      </c>
      <c r="D1989" t="s">
        <v>1636</v>
      </c>
      <c r="E1989" s="5">
        <v>65100000</v>
      </c>
      <c r="F1989" s="5">
        <v>68100000</v>
      </c>
      <c r="G1989" s="5">
        <v>3000000</v>
      </c>
      <c r="H1989" s="5">
        <v>6510000</v>
      </c>
      <c r="I1989" s="5">
        <v>6810000</v>
      </c>
      <c r="J1989" s="5">
        <v>65600000</v>
      </c>
      <c r="K1989" s="5">
        <v>68600000</v>
      </c>
      <c r="L1989" s="3">
        <v>0.97916666666666663</v>
      </c>
    </row>
    <row r="1990" spans="1:12" x14ac:dyDescent="0.25">
      <c r="A1990" t="s">
        <v>1227</v>
      </c>
      <c r="B1990" s="2">
        <v>45260</v>
      </c>
      <c r="C1990" t="s">
        <v>20</v>
      </c>
      <c r="D1990" t="s">
        <v>1636</v>
      </c>
      <c r="E1990" s="5">
        <v>64800000</v>
      </c>
      <c r="F1990" s="5">
        <v>67800000</v>
      </c>
      <c r="G1990" s="5">
        <v>3000000</v>
      </c>
      <c r="H1990" s="5">
        <v>6480000</v>
      </c>
      <c r="I1990" s="5">
        <v>6780000</v>
      </c>
      <c r="J1990" s="5">
        <v>65300000</v>
      </c>
      <c r="K1990" s="5">
        <v>68300000</v>
      </c>
      <c r="L1990" s="3">
        <v>0.97916666666666663</v>
      </c>
    </row>
    <row r="1991" spans="1:12" x14ac:dyDescent="0.25">
      <c r="A1991" s="2">
        <v>44938</v>
      </c>
      <c r="B1991" s="2">
        <v>45261</v>
      </c>
      <c r="C1991" t="s">
        <v>21</v>
      </c>
      <c r="D1991" t="s">
        <v>1636</v>
      </c>
      <c r="E1991" s="5">
        <v>65900000</v>
      </c>
      <c r="F1991" s="5">
        <v>68900000</v>
      </c>
      <c r="G1991" s="5">
        <v>3000000</v>
      </c>
      <c r="H1991" s="5">
        <v>6590000</v>
      </c>
      <c r="I1991" s="5">
        <v>6890000</v>
      </c>
      <c r="J1991" s="5">
        <v>66400000</v>
      </c>
      <c r="K1991" s="5">
        <v>69400000</v>
      </c>
      <c r="L1991" s="3">
        <v>0.97916666666666663</v>
      </c>
    </row>
    <row r="1992" spans="1:12" x14ac:dyDescent="0.25">
      <c r="A1992" s="2">
        <v>45028</v>
      </c>
      <c r="B1992" s="2">
        <v>45264</v>
      </c>
      <c r="C1992" t="s">
        <v>16</v>
      </c>
      <c r="D1992" t="s">
        <v>1636</v>
      </c>
      <c r="E1992" s="5">
        <v>64300000</v>
      </c>
      <c r="F1992" s="5">
        <v>67300000</v>
      </c>
      <c r="G1992" s="5">
        <v>3000000</v>
      </c>
      <c r="H1992" s="5">
        <v>6430000</v>
      </c>
      <c r="I1992" s="5">
        <v>6730000</v>
      </c>
      <c r="J1992" s="5">
        <v>64800000</v>
      </c>
      <c r="K1992" s="5">
        <v>67800000</v>
      </c>
      <c r="L1992" s="3">
        <v>0.97916666666666663</v>
      </c>
    </row>
    <row r="1993" spans="1:12" x14ac:dyDescent="0.25">
      <c r="A1993" s="2">
        <v>45058</v>
      </c>
      <c r="B1993" s="2">
        <v>45265</v>
      </c>
      <c r="C1993" t="s">
        <v>18</v>
      </c>
      <c r="D1993" t="s">
        <v>1636</v>
      </c>
      <c r="E1993" s="5">
        <v>64100000</v>
      </c>
      <c r="F1993" s="5">
        <v>67100000</v>
      </c>
      <c r="G1993" s="5">
        <v>3000000</v>
      </c>
      <c r="H1993" s="5">
        <v>6410000</v>
      </c>
      <c r="I1993" s="5">
        <v>6710000</v>
      </c>
      <c r="J1993" s="5">
        <v>64600000</v>
      </c>
      <c r="K1993" s="5">
        <v>67600000</v>
      </c>
      <c r="L1993" s="3">
        <v>0.97916666666666663</v>
      </c>
    </row>
    <row r="1994" spans="1:12" x14ac:dyDescent="0.25">
      <c r="A1994" s="2">
        <v>45089</v>
      </c>
      <c r="B1994" s="2">
        <v>45266</v>
      </c>
      <c r="C1994" t="s">
        <v>19</v>
      </c>
      <c r="D1994" t="s">
        <v>1636</v>
      </c>
      <c r="E1994" s="5">
        <v>64500000</v>
      </c>
      <c r="F1994" s="5">
        <v>67500000</v>
      </c>
      <c r="G1994" s="5">
        <v>3000000</v>
      </c>
      <c r="H1994" s="5">
        <v>6450000</v>
      </c>
      <c r="I1994" s="5">
        <v>6750000</v>
      </c>
      <c r="J1994" s="5">
        <v>65000000</v>
      </c>
      <c r="K1994" s="5">
        <v>68000000</v>
      </c>
      <c r="L1994" s="3">
        <v>0.97916666666666663</v>
      </c>
    </row>
    <row r="1995" spans="1:12" x14ac:dyDescent="0.25">
      <c r="A1995" s="2">
        <v>45119</v>
      </c>
      <c r="B1995" s="2">
        <v>45267</v>
      </c>
      <c r="C1995" t="s">
        <v>20</v>
      </c>
      <c r="D1995" t="s">
        <v>1636</v>
      </c>
      <c r="E1995" s="5">
        <v>64500000</v>
      </c>
      <c r="F1995" s="5">
        <v>67500000</v>
      </c>
      <c r="G1995" s="5">
        <v>3000000</v>
      </c>
      <c r="H1995" s="5">
        <v>6450000</v>
      </c>
      <c r="I1995" s="5">
        <v>6750000</v>
      </c>
      <c r="J1995" s="5">
        <v>65000000</v>
      </c>
      <c r="K1995" s="5">
        <v>68000000</v>
      </c>
      <c r="L1995" s="3">
        <v>0.97916666666666663</v>
      </c>
    </row>
    <row r="1996" spans="1:12" x14ac:dyDescent="0.25">
      <c r="A1996" s="2">
        <v>45150</v>
      </c>
      <c r="B1996" s="2">
        <v>45268</v>
      </c>
      <c r="C1996" t="s">
        <v>21</v>
      </c>
      <c r="D1996" t="s">
        <v>1636</v>
      </c>
      <c r="E1996" s="5">
        <v>63500000</v>
      </c>
      <c r="F1996" s="5">
        <v>66500000</v>
      </c>
      <c r="G1996" s="5">
        <v>3000000</v>
      </c>
      <c r="H1996" s="5">
        <v>6350000</v>
      </c>
      <c r="I1996" s="5">
        <v>6650000</v>
      </c>
      <c r="J1996" s="5">
        <v>64000000</v>
      </c>
      <c r="K1996" s="5">
        <v>67000000</v>
      </c>
      <c r="L1996" s="3">
        <v>0.97916666666666663</v>
      </c>
    </row>
    <row r="1997" spans="1:12" x14ac:dyDescent="0.25">
      <c r="A1997" s="2">
        <v>45242</v>
      </c>
      <c r="B1997" s="2">
        <v>45271</v>
      </c>
      <c r="C1997" t="s">
        <v>16</v>
      </c>
      <c r="D1997" t="s">
        <v>1636</v>
      </c>
      <c r="E1997" s="5">
        <v>62800000</v>
      </c>
      <c r="F1997" s="5">
        <v>65800000</v>
      </c>
      <c r="G1997" s="5">
        <v>3000000</v>
      </c>
      <c r="H1997" s="5">
        <v>6280000</v>
      </c>
      <c r="I1997" s="5">
        <v>6580000</v>
      </c>
      <c r="J1997" s="5">
        <v>63300000</v>
      </c>
      <c r="K1997" s="5">
        <v>66300000</v>
      </c>
      <c r="L1997" s="3">
        <v>0.97916666666666663</v>
      </c>
    </row>
    <row r="1998" spans="1:12" x14ac:dyDescent="0.25">
      <c r="A1998" s="2">
        <v>45272</v>
      </c>
      <c r="B1998" s="2">
        <v>45272</v>
      </c>
      <c r="C1998" t="s">
        <v>18</v>
      </c>
      <c r="D1998" t="s">
        <v>1636</v>
      </c>
      <c r="E1998" s="5">
        <v>62800000</v>
      </c>
      <c r="F1998" s="5">
        <v>65800000</v>
      </c>
      <c r="G1998" s="5">
        <v>3000000</v>
      </c>
      <c r="H1998" s="5">
        <v>6280000</v>
      </c>
      <c r="I1998" s="5">
        <v>6580000</v>
      </c>
      <c r="J1998" s="5">
        <v>63300000</v>
      </c>
      <c r="K1998" s="5">
        <v>66300000</v>
      </c>
      <c r="L1998" s="3">
        <v>0.97916666666666663</v>
      </c>
    </row>
    <row r="1999" spans="1:12" x14ac:dyDescent="0.25">
      <c r="A1999" t="s">
        <v>1228</v>
      </c>
      <c r="B1999" s="2">
        <v>45273</v>
      </c>
      <c r="C1999" t="s">
        <v>19</v>
      </c>
      <c r="D1999" t="s">
        <v>1636</v>
      </c>
      <c r="E1999" s="5">
        <v>62900000</v>
      </c>
      <c r="F1999" s="5">
        <v>65900000</v>
      </c>
      <c r="G1999" s="5">
        <v>3000000</v>
      </c>
      <c r="H1999" s="5">
        <v>6290000</v>
      </c>
      <c r="I1999" s="5">
        <v>6590000</v>
      </c>
      <c r="J1999" s="5">
        <v>63400000</v>
      </c>
      <c r="K1999" s="5">
        <v>66400000</v>
      </c>
      <c r="L1999" s="3">
        <v>0.97916666666666663</v>
      </c>
    </row>
    <row r="2000" spans="1:12" x14ac:dyDescent="0.25">
      <c r="A2000" t="s">
        <v>1229</v>
      </c>
      <c r="B2000" s="2">
        <v>45274</v>
      </c>
      <c r="C2000" t="s">
        <v>20</v>
      </c>
      <c r="D2000" t="s">
        <v>1636</v>
      </c>
      <c r="E2000" s="5">
        <v>64500000</v>
      </c>
      <c r="F2000" s="5">
        <v>67500000</v>
      </c>
      <c r="G2000" s="5">
        <v>3000000</v>
      </c>
      <c r="H2000" s="5">
        <v>6450000</v>
      </c>
      <c r="I2000" s="5">
        <v>6750000</v>
      </c>
      <c r="J2000" s="5">
        <v>65000000</v>
      </c>
      <c r="K2000" s="5">
        <v>68000000</v>
      </c>
      <c r="L2000" s="3">
        <v>0.97916666666666663</v>
      </c>
    </row>
    <row r="2001" spans="1:12" x14ac:dyDescent="0.25">
      <c r="A2001" t="s">
        <v>1230</v>
      </c>
      <c r="B2001" s="2">
        <v>45275</v>
      </c>
      <c r="C2001" t="s">
        <v>21</v>
      </c>
      <c r="D2001" t="s">
        <v>1636</v>
      </c>
      <c r="E2001" s="5">
        <v>64200000</v>
      </c>
      <c r="F2001" s="5">
        <v>67200000</v>
      </c>
      <c r="G2001" s="5">
        <v>3000000</v>
      </c>
      <c r="H2001" s="5">
        <v>6420000</v>
      </c>
      <c r="I2001" s="5">
        <v>6720000</v>
      </c>
      <c r="J2001" s="5">
        <v>64700000</v>
      </c>
      <c r="K2001" s="5">
        <v>67700000</v>
      </c>
      <c r="L2001" s="3">
        <v>0.97916666666666663</v>
      </c>
    </row>
    <row r="2002" spans="1:12" x14ac:dyDescent="0.25">
      <c r="A2002" t="s">
        <v>1231</v>
      </c>
      <c r="B2002" s="2">
        <v>45278</v>
      </c>
      <c r="C2002" t="s">
        <v>16</v>
      </c>
      <c r="D2002" t="s">
        <v>1636</v>
      </c>
      <c r="E2002" s="5">
        <v>64400000</v>
      </c>
      <c r="F2002" s="5">
        <v>67400000</v>
      </c>
      <c r="G2002" s="5">
        <v>3000000</v>
      </c>
      <c r="H2002" s="5">
        <v>6440000</v>
      </c>
      <c r="I2002" s="5">
        <v>6740000</v>
      </c>
      <c r="J2002" s="5">
        <v>64900000</v>
      </c>
      <c r="K2002" s="5">
        <v>67900000</v>
      </c>
      <c r="L2002" s="3">
        <v>0.97916666666666663</v>
      </c>
    </row>
    <row r="2003" spans="1:12" x14ac:dyDescent="0.25">
      <c r="A2003" t="s">
        <v>1232</v>
      </c>
      <c r="B2003" s="2">
        <v>45279</v>
      </c>
      <c r="C2003" t="s">
        <v>18</v>
      </c>
      <c r="D2003" t="s">
        <v>1636</v>
      </c>
      <c r="E2003" s="5">
        <v>64800000</v>
      </c>
      <c r="F2003" s="5">
        <v>67800000</v>
      </c>
      <c r="G2003" s="5">
        <v>3000000</v>
      </c>
      <c r="H2003" s="5">
        <v>6480000</v>
      </c>
      <c r="I2003" s="5">
        <v>6780000</v>
      </c>
      <c r="J2003" s="5">
        <v>65300000</v>
      </c>
      <c r="K2003" s="5">
        <v>68300000</v>
      </c>
      <c r="L2003" s="3">
        <v>0.97916666666666663</v>
      </c>
    </row>
    <row r="2004" spans="1:12" x14ac:dyDescent="0.25">
      <c r="A2004" t="s">
        <v>1233</v>
      </c>
      <c r="B2004" s="2">
        <v>45280</v>
      </c>
      <c r="C2004" t="s">
        <v>19</v>
      </c>
      <c r="D2004" t="s">
        <v>1636</v>
      </c>
      <c r="E2004" s="5">
        <v>64700000</v>
      </c>
      <c r="F2004" s="5">
        <v>67700000</v>
      </c>
      <c r="G2004" s="5">
        <v>3000000</v>
      </c>
      <c r="H2004" s="5">
        <v>6470000</v>
      </c>
      <c r="I2004" s="5">
        <v>6770000</v>
      </c>
      <c r="J2004" s="5">
        <v>65200000</v>
      </c>
      <c r="K2004" s="5">
        <v>68200000</v>
      </c>
      <c r="L2004" s="3">
        <v>0.97916666666666663</v>
      </c>
    </row>
    <row r="2005" spans="1:12" x14ac:dyDescent="0.25">
      <c r="A2005" t="s">
        <v>1234</v>
      </c>
      <c r="B2005" s="2">
        <v>45281</v>
      </c>
      <c r="C2005" t="s">
        <v>20</v>
      </c>
      <c r="D2005" t="s">
        <v>1636</v>
      </c>
      <c r="E2005" s="5">
        <v>64800000</v>
      </c>
      <c r="F2005" s="5">
        <v>67800000</v>
      </c>
      <c r="G2005" s="5">
        <v>3000000</v>
      </c>
      <c r="H2005" s="5">
        <v>6480000</v>
      </c>
      <c r="I2005" s="5">
        <v>6780000</v>
      </c>
      <c r="J2005" s="5">
        <v>65300000</v>
      </c>
      <c r="K2005" s="5">
        <v>68300000</v>
      </c>
      <c r="L2005" s="3">
        <v>0.97916666666666663</v>
      </c>
    </row>
    <row r="2006" spans="1:12" x14ac:dyDescent="0.25">
      <c r="A2006" t="s">
        <v>1235</v>
      </c>
      <c r="B2006" s="2">
        <v>45282</v>
      </c>
      <c r="C2006" t="s">
        <v>21</v>
      </c>
      <c r="D2006" t="s">
        <v>1636</v>
      </c>
      <c r="E2006" s="5">
        <v>65400000</v>
      </c>
      <c r="F2006" s="5">
        <v>68400000</v>
      </c>
      <c r="G2006" s="5">
        <v>3000000</v>
      </c>
      <c r="H2006" s="5">
        <v>6540000</v>
      </c>
      <c r="I2006" s="5">
        <v>6840000</v>
      </c>
      <c r="J2006" s="5">
        <v>65900000</v>
      </c>
      <c r="K2006" s="5">
        <v>68900000</v>
      </c>
      <c r="L2006" s="3">
        <v>0.97916666666666663</v>
      </c>
    </row>
    <row r="2007" spans="1:12" x14ac:dyDescent="0.25">
      <c r="A2007" t="s">
        <v>1236</v>
      </c>
      <c r="B2007" s="2">
        <v>45286</v>
      </c>
      <c r="C2007" t="s">
        <v>18</v>
      </c>
      <c r="D2007" t="s">
        <v>1636</v>
      </c>
      <c r="E2007" s="5">
        <v>65500000</v>
      </c>
      <c r="F2007" s="5">
        <v>68500000</v>
      </c>
      <c r="G2007" s="5">
        <v>3000000</v>
      </c>
      <c r="H2007" s="5">
        <v>6550000</v>
      </c>
      <c r="I2007" s="5">
        <v>6850000</v>
      </c>
      <c r="J2007" s="5">
        <v>66000000</v>
      </c>
      <c r="K2007" s="5">
        <v>69000000</v>
      </c>
      <c r="L2007" s="3">
        <v>0.97916666666666663</v>
      </c>
    </row>
    <row r="2008" spans="1:12" x14ac:dyDescent="0.25">
      <c r="A2008" t="s">
        <v>1237</v>
      </c>
      <c r="B2008" s="2">
        <v>45287</v>
      </c>
      <c r="C2008" t="s">
        <v>19</v>
      </c>
      <c r="D2008" t="s">
        <v>1636</v>
      </c>
      <c r="E2008" s="5">
        <v>66200000</v>
      </c>
      <c r="F2008" s="5">
        <v>69200000</v>
      </c>
      <c r="G2008" s="5">
        <v>3000000</v>
      </c>
      <c r="H2008" s="5">
        <v>6620000</v>
      </c>
      <c r="I2008" s="5">
        <v>6920000</v>
      </c>
      <c r="J2008" s="5">
        <v>66700000</v>
      </c>
      <c r="K2008" s="5">
        <v>69700000</v>
      </c>
      <c r="L2008" s="3">
        <v>0.97916666666666663</v>
      </c>
    </row>
    <row r="2009" spans="1:12" x14ac:dyDescent="0.25">
      <c r="A2009" t="s">
        <v>1238</v>
      </c>
      <c r="B2009" s="2">
        <v>45288</v>
      </c>
      <c r="C2009" t="s">
        <v>20</v>
      </c>
      <c r="D2009" t="s">
        <v>1636</v>
      </c>
      <c r="E2009" s="5">
        <v>66000000</v>
      </c>
      <c r="F2009" s="5">
        <v>69000000</v>
      </c>
      <c r="G2009" s="5">
        <v>3000000</v>
      </c>
      <c r="H2009" s="5">
        <v>6600000</v>
      </c>
      <c r="I2009" s="5">
        <v>6900000</v>
      </c>
      <c r="J2009" s="5">
        <v>66500000</v>
      </c>
      <c r="K2009" s="5">
        <v>69500000</v>
      </c>
      <c r="L2009" s="3">
        <v>0.97916666666666663</v>
      </c>
    </row>
    <row r="2010" spans="1:12" x14ac:dyDescent="0.25">
      <c r="A2010" t="s">
        <v>1239</v>
      </c>
      <c r="B2010" s="2">
        <v>45289</v>
      </c>
      <c r="C2010" t="s">
        <v>21</v>
      </c>
      <c r="D2010" t="s">
        <v>1636</v>
      </c>
      <c r="E2010" s="5">
        <v>65600000</v>
      </c>
      <c r="F2010" s="5">
        <v>68600000</v>
      </c>
      <c r="G2010" s="5">
        <v>3000000</v>
      </c>
      <c r="H2010" s="5">
        <v>6560000</v>
      </c>
      <c r="I2010" s="5">
        <v>6860000</v>
      </c>
      <c r="J2010" s="5">
        <v>66100000</v>
      </c>
      <c r="K2010" s="5">
        <v>69100000</v>
      </c>
      <c r="L2010" s="3">
        <v>0.97916666666666663</v>
      </c>
    </row>
    <row r="2011" spans="1:12" x14ac:dyDescent="0.25">
      <c r="A2011" s="2">
        <v>45323</v>
      </c>
      <c r="B2011" s="2">
        <v>45293</v>
      </c>
      <c r="C2011" t="s">
        <v>18</v>
      </c>
      <c r="D2011" t="s">
        <v>1636</v>
      </c>
      <c r="E2011" s="5">
        <v>68000000</v>
      </c>
      <c r="F2011" s="5">
        <v>71000000</v>
      </c>
      <c r="G2011" s="5">
        <v>3000000</v>
      </c>
      <c r="H2011" s="5">
        <v>6800000</v>
      </c>
      <c r="I2011" s="5">
        <v>7100000</v>
      </c>
      <c r="J2011" s="5">
        <v>68500000</v>
      </c>
      <c r="K2011" s="5">
        <v>71500000</v>
      </c>
      <c r="L2011" s="3">
        <v>0.97916666666666663</v>
      </c>
    </row>
    <row r="2012" spans="1:12" x14ac:dyDescent="0.25">
      <c r="A2012" s="2">
        <v>45352</v>
      </c>
      <c r="B2012" s="2">
        <v>45294</v>
      </c>
      <c r="C2012" t="s">
        <v>19</v>
      </c>
      <c r="D2012" t="s">
        <v>1636</v>
      </c>
      <c r="E2012" s="5">
        <v>67000000</v>
      </c>
      <c r="F2012" s="5">
        <v>70000000</v>
      </c>
      <c r="G2012" s="5">
        <v>3000000</v>
      </c>
      <c r="H2012" s="5">
        <v>6700000</v>
      </c>
      <c r="I2012" s="5">
        <v>7000000</v>
      </c>
      <c r="J2012" s="5">
        <v>67500000</v>
      </c>
      <c r="K2012" s="5">
        <v>70500000</v>
      </c>
      <c r="L2012" s="3">
        <v>0.97916666666666663</v>
      </c>
    </row>
    <row r="2013" spans="1:12" x14ac:dyDescent="0.25">
      <c r="A2013" s="2">
        <v>45383</v>
      </c>
      <c r="B2013" s="2">
        <v>45295</v>
      </c>
      <c r="C2013" t="s">
        <v>20</v>
      </c>
      <c r="D2013" t="s">
        <v>1636</v>
      </c>
      <c r="E2013" s="5">
        <v>67300000</v>
      </c>
      <c r="F2013" s="5">
        <v>70300000</v>
      </c>
      <c r="G2013" s="5">
        <v>3000000</v>
      </c>
      <c r="H2013" s="5">
        <v>6730000</v>
      </c>
      <c r="I2013" s="5">
        <v>7030000</v>
      </c>
      <c r="J2013" s="5">
        <v>67800000</v>
      </c>
      <c r="K2013" s="5">
        <v>70800000</v>
      </c>
      <c r="L2013" s="3">
        <v>0.97916666666666663</v>
      </c>
    </row>
    <row r="2014" spans="1:12" x14ac:dyDescent="0.25">
      <c r="A2014" s="2">
        <v>45413</v>
      </c>
      <c r="B2014" s="2">
        <v>45296</v>
      </c>
      <c r="C2014" t="s">
        <v>21</v>
      </c>
      <c r="D2014" t="s">
        <v>1636</v>
      </c>
      <c r="E2014" s="5">
        <v>67300000</v>
      </c>
      <c r="F2014" s="5">
        <v>70300000</v>
      </c>
      <c r="G2014" s="5">
        <v>3000000</v>
      </c>
      <c r="H2014" s="5">
        <v>6730000</v>
      </c>
      <c r="I2014" s="5">
        <v>7030000</v>
      </c>
      <c r="J2014" s="5">
        <v>67800000</v>
      </c>
      <c r="K2014" s="5">
        <v>70800000</v>
      </c>
      <c r="L2014" s="3">
        <v>0.97916666666666663</v>
      </c>
    </row>
    <row r="2015" spans="1:12" x14ac:dyDescent="0.25">
      <c r="A2015" s="2">
        <v>45505</v>
      </c>
      <c r="B2015" s="2">
        <v>45299</v>
      </c>
      <c r="C2015" t="s">
        <v>16</v>
      </c>
      <c r="D2015" t="s">
        <v>1636</v>
      </c>
      <c r="E2015" s="5">
        <v>66700000</v>
      </c>
      <c r="F2015" s="5">
        <v>69700000</v>
      </c>
      <c r="G2015" s="5">
        <v>3000000</v>
      </c>
      <c r="H2015" s="5">
        <v>6670000</v>
      </c>
      <c r="I2015" s="5">
        <v>6970000</v>
      </c>
      <c r="J2015" s="5">
        <v>67200000</v>
      </c>
      <c r="K2015" s="5">
        <v>70200000</v>
      </c>
      <c r="L2015" s="3">
        <v>0.97916666666666663</v>
      </c>
    </row>
    <row r="2016" spans="1:12" x14ac:dyDescent="0.25">
      <c r="A2016" s="2">
        <v>45536</v>
      </c>
      <c r="B2016" s="2">
        <v>45300</v>
      </c>
      <c r="C2016" t="s">
        <v>18</v>
      </c>
      <c r="D2016" t="s">
        <v>1636</v>
      </c>
      <c r="E2016" s="5">
        <v>66700000</v>
      </c>
      <c r="F2016" s="5">
        <v>69700000</v>
      </c>
      <c r="G2016" s="5">
        <v>3000000</v>
      </c>
      <c r="H2016" s="5">
        <v>6670000</v>
      </c>
      <c r="I2016" s="5">
        <v>6970000</v>
      </c>
      <c r="J2016" s="5">
        <v>67200000</v>
      </c>
      <c r="K2016" s="5">
        <v>70200000</v>
      </c>
      <c r="L2016" s="3">
        <v>0.97916666666666663</v>
      </c>
    </row>
    <row r="2017" spans="1:12" x14ac:dyDescent="0.25">
      <c r="A2017" s="2">
        <v>45566</v>
      </c>
      <c r="B2017" s="2">
        <v>45301</v>
      </c>
      <c r="C2017" t="s">
        <v>19</v>
      </c>
      <c r="D2017" t="s">
        <v>1636</v>
      </c>
      <c r="E2017" s="5">
        <v>66600000</v>
      </c>
      <c r="F2017" s="5">
        <v>69600000</v>
      </c>
      <c r="G2017" s="5">
        <v>3000000</v>
      </c>
      <c r="H2017" s="5">
        <v>6660000</v>
      </c>
      <c r="I2017" s="5">
        <v>6960000</v>
      </c>
      <c r="J2017" s="5">
        <v>67100000</v>
      </c>
      <c r="K2017" s="5">
        <v>70100000</v>
      </c>
      <c r="L2017" s="3">
        <v>0.97916666666666663</v>
      </c>
    </row>
    <row r="2018" spans="1:12" x14ac:dyDescent="0.25">
      <c r="A2018" s="2">
        <v>45597</v>
      </c>
      <c r="B2018" s="2">
        <v>45302</v>
      </c>
      <c r="C2018" t="s">
        <v>20</v>
      </c>
      <c r="D2018" t="s">
        <v>1636</v>
      </c>
      <c r="E2018" s="5">
        <v>66300000</v>
      </c>
      <c r="F2018" s="5">
        <v>69300000</v>
      </c>
      <c r="G2018" s="5">
        <v>3000000</v>
      </c>
      <c r="H2018" s="5">
        <v>6630000</v>
      </c>
      <c r="I2018" s="5">
        <v>6930000</v>
      </c>
      <c r="J2018" s="5">
        <v>66800000</v>
      </c>
      <c r="K2018" s="5">
        <v>69800000</v>
      </c>
      <c r="L2018" s="3">
        <v>0.97916666666666663</v>
      </c>
    </row>
    <row r="2019" spans="1:12" x14ac:dyDescent="0.25">
      <c r="A2019" s="2">
        <v>45627</v>
      </c>
      <c r="B2019" s="2">
        <v>45303</v>
      </c>
      <c r="C2019" t="s">
        <v>21</v>
      </c>
      <c r="D2019" t="s">
        <v>1636</v>
      </c>
      <c r="E2019" s="5">
        <v>67400000</v>
      </c>
      <c r="F2019" s="5">
        <v>70400000</v>
      </c>
      <c r="G2019" s="5">
        <v>3000000</v>
      </c>
      <c r="H2019" s="5">
        <v>6740000</v>
      </c>
      <c r="I2019" s="5">
        <v>7040000</v>
      </c>
      <c r="J2019" s="5">
        <v>67900000</v>
      </c>
      <c r="K2019" s="5">
        <v>70900000</v>
      </c>
      <c r="L2019" s="3">
        <v>0.97916666666666663</v>
      </c>
    </row>
    <row r="2020" spans="1:12" x14ac:dyDescent="0.25">
      <c r="A2020" t="s">
        <v>1240</v>
      </c>
      <c r="B2020" s="2">
        <v>45307</v>
      </c>
      <c r="C2020" t="s">
        <v>18</v>
      </c>
      <c r="D2020" t="s">
        <v>1636</v>
      </c>
      <c r="E2020" s="5">
        <v>66700000</v>
      </c>
      <c r="F2020" s="5">
        <v>69700000</v>
      </c>
      <c r="G2020" s="5">
        <v>3000000</v>
      </c>
      <c r="H2020" s="5">
        <v>6670000</v>
      </c>
      <c r="I2020" s="5">
        <v>6970000</v>
      </c>
      <c r="J2020" s="5">
        <v>67200000</v>
      </c>
      <c r="K2020" s="5">
        <v>70200000</v>
      </c>
      <c r="L2020" s="3">
        <v>0.97916666666666663</v>
      </c>
    </row>
    <row r="2021" spans="1:12" x14ac:dyDescent="0.25">
      <c r="A2021" t="s">
        <v>1241</v>
      </c>
      <c r="B2021" s="2">
        <v>45308</v>
      </c>
      <c r="C2021" t="s">
        <v>19</v>
      </c>
      <c r="D2021" t="s">
        <v>1636</v>
      </c>
      <c r="E2021" s="5">
        <v>65900000</v>
      </c>
      <c r="F2021" s="5">
        <v>68900000</v>
      </c>
      <c r="G2021" s="5">
        <v>3000000</v>
      </c>
      <c r="H2021" s="5">
        <v>6590000</v>
      </c>
      <c r="I2021" s="5">
        <v>6890000</v>
      </c>
      <c r="J2021" s="5">
        <v>66400000</v>
      </c>
      <c r="K2021" s="5">
        <v>69400000</v>
      </c>
      <c r="L2021" s="3">
        <v>0.97916666666666663</v>
      </c>
    </row>
    <row r="2022" spans="1:12" x14ac:dyDescent="0.25">
      <c r="A2022" t="s">
        <v>1242</v>
      </c>
      <c r="B2022" s="2">
        <v>45309</v>
      </c>
      <c r="C2022" t="s">
        <v>20</v>
      </c>
      <c r="D2022" t="s">
        <v>1636</v>
      </c>
      <c r="E2022" s="5">
        <v>66400000</v>
      </c>
      <c r="F2022" s="5">
        <v>69400000</v>
      </c>
      <c r="G2022" s="5">
        <v>3000000</v>
      </c>
      <c r="H2022" s="5">
        <v>6640000</v>
      </c>
      <c r="I2022" s="5">
        <v>6940000</v>
      </c>
      <c r="J2022" s="5">
        <v>66900000</v>
      </c>
      <c r="K2022" s="5">
        <v>69900000</v>
      </c>
      <c r="L2022" s="3">
        <v>0.97916666666666663</v>
      </c>
    </row>
    <row r="2023" spans="1:12" x14ac:dyDescent="0.25">
      <c r="A2023" t="s">
        <v>1243</v>
      </c>
      <c r="B2023" s="2">
        <v>45310</v>
      </c>
      <c r="C2023" t="s">
        <v>21</v>
      </c>
      <c r="D2023" t="s">
        <v>1636</v>
      </c>
      <c r="E2023" s="5">
        <v>66700000</v>
      </c>
      <c r="F2023" s="5">
        <v>69700000</v>
      </c>
      <c r="G2023" s="5">
        <v>3000000</v>
      </c>
      <c r="H2023" s="5">
        <v>6670000</v>
      </c>
      <c r="I2023" s="5">
        <v>6970000</v>
      </c>
      <c r="J2023" s="5">
        <v>67200000</v>
      </c>
      <c r="K2023" s="5">
        <v>70200000</v>
      </c>
      <c r="L2023" s="3">
        <v>0.97916666666666663</v>
      </c>
    </row>
    <row r="2024" spans="1:12" x14ac:dyDescent="0.25">
      <c r="A2024" t="s">
        <v>1244</v>
      </c>
      <c r="B2024" s="2">
        <v>45313</v>
      </c>
      <c r="C2024" t="s">
        <v>16</v>
      </c>
      <c r="D2024" t="s">
        <v>1636</v>
      </c>
      <c r="E2024" s="5">
        <v>66500000</v>
      </c>
      <c r="F2024" s="5">
        <v>69500000</v>
      </c>
      <c r="G2024" s="5">
        <v>3000000</v>
      </c>
      <c r="H2024" s="5">
        <v>6650000</v>
      </c>
      <c r="I2024" s="5">
        <v>6950000</v>
      </c>
      <c r="J2024" s="5">
        <v>67000000</v>
      </c>
      <c r="K2024" s="5">
        <v>70000000</v>
      </c>
      <c r="L2024" s="3">
        <v>0.97916666666666663</v>
      </c>
    </row>
    <row r="2025" spans="1:12" x14ac:dyDescent="0.25">
      <c r="A2025" t="s">
        <v>1245</v>
      </c>
      <c r="B2025" s="2">
        <v>45314</v>
      </c>
      <c r="C2025" t="s">
        <v>18</v>
      </c>
      <c r="D2025" t="s">
        <v>1636</v>
      </c>
      <c r="E2025" s="5">
        <v>66600000</v>
      </c>
      <c r="F2025" s="5">
        <v>69600000</v>
      </c>
      <c r="G2025" s="5">
        <v>3000000</v>
      </c>
      <c r="H2025" s="5">
        <v>6660000</v>
      </c>
      <c r="I2025" s="5">
        <v>6960000</v>
      </c>
      <c r="J2025" s="5">
        <v>67100000</v>
      </c>
      <c r="K2025" s="5">
        <v>70100000</v>
      </c>
      <c r="L2025" s="3">
        <v>0.97916666666666663</v>
      </c>
    </row>
    <row r="2026" spans="1:12" x14ac:dyDescent="0.25">
      <c r="A2026" t="s">
        <v>1246</v>
      </c>
      <c r="B2026" s="2">
        <v>45315</v>
      </c>
      <c r="C2026" t="s">
        <v>19</v>
      </c>
      <c r="D2026" t="s">
        <v>1636</v>
      </c>
      <c r="E2026" s="5">
        <v>66300000</v>
      </c>
      <c r="F2026" s="5">
        <v>69300000</v>
      </c>
      <c r="G2026" s="5">
        <v>3000000</v>
      </c>
      <c r="H2026" s="5">
        <v>6630000</v>
      </c>
      <c r="I2026" s="5">
        <v>6930000</v>
      </c>
      <c r="J2026" s="5">
        <v>66800000</v>
      </c>
      <c r="K2026" s="5">
        <v>69800000</v>
      </c>
      <c r="L2026" s="3">
        <v>0.97916666666666663</v>
      </c>
    </row>
    <row r="2027" spans="1:12" x14ac:dyDescent="0.25">
      <c r="A2027" t="s">
        <v>1247</v>
      </c>
      <c r="B2027" s="2">
        <v>45316</v>
      </c>
      <c r="C2027" t="s">
        <v>20</v>
      </c>
      <c r="D2027" t="s">
        <v>1636</v>
      </c>
      <c r="E2027" s="5">
        <v>66400000</v>
      </c>
      <c r="F2027" s="5">
        <v>69400000</v>
      </c>
      <c r="G2027" s="5">
        <v>3000000</v>
      </c>
      <c r="H2027" s="5">
        <v>6640000</v>
      </c>
      <c r="I2027" s="5">
        <v>6940000</v>
      </c>
      <c r="J2027" s="5">
        <v>66900000</v>
      </c>
      <c r="K2027" s="5">
        <v>69900000</v>
      </c>
      <c r="L2027" s="3">
        <v>0.97916666666666663</v>
      </c>
    </row>
    <row r="2028" spans="1:12" x14ac:dyDescent="0.25">
      <c r="A2028" t="s">
        <v>1248</v>
      </c>
      <c r="B2028" s="2">
        <v>45317</v>
      </c>
      <c r="C2028" t="s">
        <v>21</v>
      </c>
      <c r="D2028" t="s">
        <v>1636</v>
      </c>
      <c r="E2028" s="5">
        <v>66400000</v>
      </c>
      <c r="F2028" s="5">
        <v>69400000</v>
      </c>
      <c r="G2028" s="5">
        <v>3000000</v>
      </c>
      <c r="H2028" s="5">
        <v>6640000</v>
      </c>
      <c r="I2028" s="5">
        <v>6940000</v>
      </c>
      <c r="J2028" s="5">
        <v>66900000</v>
      </c>
      <c r="K2028" s="5">
        <v>69900000</v>
      </c>
      <c r="L2028" s="3">
        <v>0.97916666666666663</v>
      </c>
    </row>
    <row r="2029" spans="1:12" x14ac:dyDescent="0.25">
      <c r="A2029" t="s">
        <v>1249</v>
      </c>
      <c r="B2029" s="2">
        <v>45320</v>
      </c>
      <c r="C2029" t="s">
        <v>16</v>
      </c>
      <c r="D2029" t="s">
        <v>1636</v>
      </c>
      <c r="E2029" s="5">
        <v>66700000</v>
      </c>
      <c r="F2029" s="5">
        <v>69700000</v>
      </c>
      <c r="G2029" s="5">
        <v>3000000</v>
      </c>
      <c r="H2029" s="5">
        <v>6670000</v>
      </c>
      <c r="I2029" s="5">
        <v>6970000</v>
      </c>
      <c r="J2029" s="5">
        <v>67200000</v>
      </c>
      <c r="K2029" s="5">
        <v>70200000</v>
      </c>
      <c r="L2029" s="3">
        <v>0.97916666666666663</v>
      </c>
    </row>
    <row r="2030" spans="1:12" x14ac:dyDescent="0.25">
      <c r="A2030" t="s">
        <v>1250</v>
      </c>
      <c r="B2030" s="2">
        <v>45321</v>
      </c>
      <c r="C2030" t="s">
        <v>18</v>
      </c>
      <c r="D2030" t="s">
        <v>1636</v>
      </c>
      <c r="E2030" s="5">
        <v>66900000</v>
      </c>
      <c r="F2030" s="5">
        <v>69900000</v>
      </c>
      <c r="G2030" s="5">
        <v>3000000</v>
      </c>
      <c r="H2030" s="5">
        <v>6690000</v>
      </c>
      <c r="I2030" s="5">
        <v>6990000</v>
      </c>
      <c r="J2030" s="5">
        <v>67400000</v>
      </c>
      <c r="K2030" s="5">
        <v>70400000</v>
      </c>
      <c r="L2030" s="3">
        <v>0.97916666666666663</v>
      </c>
    </row>
    <row r="2031" spans="1:12" x14ac:dyDescent="0.25">
      <c r="A2031" t="s">
        <v>1251</v>
      </c>
      <c r="B2031" s="2">
        <v>45322</v>
      </c>
      <c r="C2031" t="s">
        <v>19</v>
      </c>
      <c r="D2031" t="s">
        <v>1636</v>
      </c>
      <c r="E2031" s="5">
        <v>67500000</v>
      </c>
      <c r="F2031" s="5">
        <v>70500000</v>
      </c>
      <c r="G2031" s="5">
        <v>3000000</v>
      </c>
      <c r="H2031" s="5">
        <v>6750000</v>
      </c>
      <c r="I2031" s="5">
        <v>7050000</v>
      </c>
      <c r="J2031" s="5">
        <v>68000000</v>
      </c>
      <c r="K2031" s="5">
        <v>71000000</v>
      </c>
      <c r="L2031" s="3">
        <v>0.97916666666666663</v>
      </c>
    </row>
    <row r="2032" spans="1:12" x14ac:dyDescent="0.25">
      <c r="A2032" s="2">
        <v>45293</v>
      </c>
      <c r="B2032" s="2">
        <v>45323</v>
      </c>
      <c r="C2032" t="s">
        <v>20</v>
      </c>
      <c r="D2032" t="s">
        <v>1636</v>
      </c>
      <c r="E2032" s="5">
        <v>67600000</v>
      </c>
      <c r="F2032" s="5">
        <v>70600000</v>
      </c>
      <c r="G2032" s="5">
        <v>3000000</v>
      </c>
      <c r="H2032" s="5">
        <v>6760000</v>
      </c>
      <c r="I2032" s="5">
        <v>7060000</v>
      </c>
      <c r="J2032" s="5">
        <v>68100000</v>
      </c>
      <c r="K2032" s="5">
        <v>71100000</v>
      </c>
      <c r="L2032" s="3">
        <v>0.97916666666666663</v>
      </c>
    </row>
    <row r="2033" spans="1:12" x14ac:dyDescent="0.25">
      <c r="A2033" s="2">
        <v>45324</v>
      </c>
      <c r="B2033" s="2">
        <v>45324</v>
      </c>
      <c r="C2033" t="s">
        <v>21</v>
      </c>
      <c r="D2033" t="s">
        <v>1636</v>
      </c>
      <c r="E2033" s="5">
        <v>67100000</v>
      </c>
      <c r="F2033" s="5">
        <v>70100000</v>
      </c>
      <c r="G2033" s="5">
        <v>3000000</v>
      </c>
      <c r="H2033" s="5">
        <v>6710000</v>
      </c>
      <c r="I2033" s="5">
        <v>7010000</v>
      </c>
      <c r="J2033" s="5">
        <v>67600000</v>
      </c>
      <c r="K2033" s="5">
        <v>70600000</v>
      </c>
      <c r="L2033" s="3">
        <v>0.97916666666666663</v>
      </c>
    </row>
    <row r="2034" spans="1:12" x14ac:dyDescent="0.25">
      <c r="A2034" s="2">
        <v>45414</v>
      </c>
      <c r="B2034" s="2">
        <v>45327</v>
      </c>
      <c r="C2034" t="s">
        <v>16</v>
      </c>
      <c r="D2034" t="s">
        <v>1636</v>
      </c>
      <c r="E2034" s="5">
        <v>66700000</v>
      </c>
      <c r="F2034" s="5">
        <v>69700000</v>
      </c>
      <c r="G2034" s="5">
        <v>3000000</v>
      </c>
      <c r="H2034" s="5">
        <v>6670000</v>
      </c>
      <c r="I2034" s="5">
        <v>6970000</v>
      </c>
      <c r="J2034" s="5">
        <v>67200000</v>
      </c>
      <c r="K2034" s="5">
        <v>70200000</v>
      </c>
      <c r="L2034" s="3">
        <v>0.97916666666666663</v>
      </c>
    </row>
    <row r="2035" spans="1:12" x14ac:dyDescent="0.25">
      <c r="A2035" s="2">
        <v>45445</v>
      </c>
      <c r="B2035" s="2">
        <v>45328</v>
      </c>
      <c r="C2035" t="s">
        <v>18</v>
      </c>
      <c r="D2035" t="s">
        <v>1636</v>
      </c>
      <c r="E2035" s="5">
        <v>67000000</v>
      </c>
      <c r="F2035" s="5">
        <v>70000000</v>
      </c>
      <c r="G2035" s="5">
        <v>3000000</v>
      </c>
      <c r="H2035" s="5">
        <v>6700000</v>
      </c>
      <c r="I2035" s="5">
        <v>7000000</v>
      </c>
      <c r="J2035" s="5">
        <v>67500000</v>
      </c>
      <c r="K2035" s="5">
        <v>70500000</v>
      </c>
      <c r="L2035" s="3">
        <v>0.97916666666666663</v>
      </c>
    </row>
    <row r="2036" spans="1:12" x14ac:dyDescent="0.25">
      <c r="A2036" s="2">
        <v>45475</v>
      </c>
      <c r="B2036" s="2">
        <v>45329</v>
      </c>
      <c r="C2036" t="s">
        <v>19</v>
      </c>
      <c r="D2036" t="s">
        <v>1636</v>
      </c>
      <c r="E2036" s="5">
        <v>67000000</v>
      </c>
      <c r="F2036" s="5">
        <v>70000000</v>
      </c>
      <c r="G2036" s="5">
        <v>3000000</v>
      </c>
      <c r="H2036" s="5">
        <v>6700000</v>
      </c>
      <c r="I2036" s="5">
        <v>7000000</v>
      </c>
      <c r="J2036" s="5">
        <v>67500000</v>
      </c>
      <c r="K2036" s="5">
        <v>70500000</v>
      </c>
      <c r="L2036" s="3">
        <v>0.97916666666666663</v>
      </c>
    </row>
    <row r="2037" spans="1:12" x14ac:dyDescent="0.25">
      <c r="A2037" s="2">
        <v>45506</v>
      </c>
      <c r="B2037" s="2">
        <v>45330</v>
      </c>
      <c r="C2037" t="s">
        <v>20</v>
      </c>
      <c r="D2037" t="s">
        <v>1636</v>
      </c>
      <c r="E2037" s="5">
        <v>66900000</v>
      </c>
      <c r="F2037" s="5">
        <v>69900000</v>
      </c>
      <c r="G2037" s="5">
        <v>3000000</v>
      </c>
      <c r="H2037" s="5">
        <v>6690000</v>
      </c>
      <c r="I2037" s="5">
        <v>6990000</v>
      </c>
      <c r="J2037" s="5">
        <v>67400000</v>
      </c>
      <c r="K2037" s="5">
        <v>70400000</v>
      </c>
      <c r="L2037" s="3">
        <v>0.97916666666666663</v>
      </c>
    </row>
    <row r="2038" spans="1:12" x14ac:dyDescent="0.25">
      <c r="A2038" s="2">
        <v>45537</v>
      </c>
      <c r="B2038" s="2">
        <v>45331</v>
      </c>
      <c r="C2038" t="s">
        <v>21</v>
      </c>
      <c r="D2038" t="s">
        <v>1636</v>
      </c>
      <c r="E2038" s="5">
        <v>66600000</v>
      </c>
      <c r="F2038" s="5">
        <v>69600000</v>
      </c>
      <c r="G2038" s="5">
        <v>3000000</v>
      </c>
      <c r="H2038" s="5">
        <v>6660000</v>
      </c>
      <c r="I2038" s="5">
        <v>6960000</v>
      </c>
      <c r="J2038" s="5">
        <v>67100000</v>
      </c>
      <c r="K2038" s="5">
        <v>70100000</v>
      </c>
      <c r="L2038" s="3">
        <v>0.97916666666666663</v>
      </c>
    </row>
    <row r="2039" spans="1:12" x14ac:dyDescent="0.25">
      <c r="A2039" s="2">
        <v>45628</v>
      </c>
      <c r="B2039" s="2">
        <v>45334</v>
      </c>
      <c r="C2039" t="s">
        <v>16</v>
      </c>
      <c r="D2039" t="s">
        <v>1636</v>
      </c>
      <c r="E2039" s="5">
        <v>66400000</v>
      </c>
      <c r="F2039" s="5">
        <v>69400000</v>
      </c>
      <c r="G2039" s="5">
        <v>3000000</v>
      </c>
      <c r="H2039" s="5">
        <v>6640000</v>
      </c>
      <c r="I2039" s="5">
        <v>6940000</v>
      </c>
      <c r="J2039" s="5">
        <v>66900000</v>
      </c>
      <c r="K2039" s="5">
        <v>69900000</v>
      </c>
      <c r="L2039" s="3">
        <v>0.97916666666666663</v>
      </c>
    </row>
    <row r="2040" spans="1:12" x14ac:dyDescent="0.25">
      <c r="A2040" t="s">
        <v>1252</v>
      </c>
      <c r="B2040" s="2">
        <v>45335</v>
      </c>
      <c r="C2040" t="s">
        <v>18</v>
      </c>
      <c r="D2040" t="s">
        <v>1636</v>
      </c>
      <c r="E2040" s="5">
        <v>65600000</v>
      </c>
      <c r="F2040" s="5">
        <v>68600000</v>
      </c>
      <c r="G2040" s="5">
        <v>3000000</v>
      </c>
      <c r="H2040" s="5">
        <v>6560000</v>
      </c>
      <c r="I2040" s="5">
        <v>6860000</v>
      </c>
      <c r="J2040" s="5">
        <v>66100000</v>
      </c>
      <c r="K2040" s="5">
        <v>69100000</v>
      </c>
      <c r="L2040" s="3">
        <v>0.97916666666666663</v>
      </c>
    </row>
    <row r="2041" spans="1:12" x14ac:dyDescent="0.25">
      <c r="A2041" t="s">
        <v>1253</v>
      </c>
      <c r="B2041" s="2">
        <v>45336</v>
      </c>
      <c r="C2041" t="s">
        <v>19</v>
      </c>
      <c r="D2041" t="s">
        <v>1636</v>
      </c>
      <c r="E2041" s="5">
        <v>65500000</v>
      </c>
      <c r="F2041" s="5">
        <v>68500000</v>
      </c>
      <c r="G2041" s="5">
        <v>3000000</v>
      </c>
      <c r="H2041" s="5">
        <v>6550000</v>
      </c>
      <c r="I2041" s="5">
        <v>6850000</v>
      </c>
      <c r="J2041" s="5">
        <v>66000000</v>
      </c>
      <c r="K2041" s="5">
        <v>69000000</v>
      </c>
      <c r="L2041" s="3">
        <v>0.97916666666666663</v>
      </c>
    </row>
    <row r="2042" spans="1:12" x14ac:dyDescent="0.25">
      <c r="A2042" t="s">
        <v>1254</v>
      </c>
      <c r="B2042" s="2">
        <v>45337</v>
      </c>
      <c r="C2042" t="s">
        <v>20</v>
      </c>
      <c r="D2042" t="s">
        <v>1636</v>
      </c>
      <c r="E2042" s="5">
        <v>65900000</v>
      </c>
      <c r="F2042" s="5">
        <v>68900000</v>
      </c>
      <c r="G2042" s="5">
        <v>3000000</v>
      </c>
      <c r="H2042" s="5">
        <v>6590000</v>
      </c>
      <c r="I2042" s="5">
        <v>6890000</v>
      </c>
      <c r="J2042" s="5">
        <v>66400000</v>
      </c>
      <c r="K2042" s="5">
        <v>69400000</v>
      </c>
      <c r="L2042" s="3">
        <v>0.97916666666666663</v>
      </c>
    </row>
    <row r="2043" spans="1:12" x14ac:dyDescent="0.25">
      <c r="A2043" t="s">
        <v>1255</v>
      </c>
      <c r="B2043" s="2">
        <v>45338</v>
      </c>
      <c r="C2043" t="s">
        <v>21</v>
      </c>
      <c r="D2043" t="s">
        <v>1636</v>
      </c>
      <c r="E2043" s="5">
        <v>66200000</v>
      </c>
      <c r="F2043" s="5">
        <v>69200000</v>
      </c>
      <c r="G2043" s="5">
        <v>3000000</v>
      </c>
      <c r="H2043" s="5">
        <v>6620000</v>
      </c>
      <c r="I2043" s="5">
        <v>6920000</v>
      </c>
      <c r="J2043" s="5">
        <v>66700000</v>
      </c>
      <c r="K2043" s="5">
        <v>69700000</v>
      </c>
      <c r="L2043" s="3">
        <v>0.97916666666666663</v>
      </c>
    </row>
    <row r="2044" spans="1:12" x14ac:dyDescent="0.25">
      <c r="A2044" t="s">
        <v>1256</v>
      </c>
      <c r="B2044" s="2">
        <v>45342</v>
      </c>
      <c r="C2044" t="s">
        <v>18</v>
      </c>
      <c r="D2044" t="s">
        <v>1636</v>
      </c>
      <c r="E2044" s="5">
        <v>66800000</v>
      </c>
      <c r="F2044" s="5">
        <v>69800000</v>
      </c>
      <c r="G2044" s="5">
        <v>3000000</v>
      </c>
      <c r="H2044" s="5">
        <v>6680000</v>
      </c>
      <c r="I2044" s="5">
        <v>6980000</v>
      </c>
      <c r="J2044" s="5">
        <v>67300000</v>
      </c>
      <c r="K2044" s="5">
        <v>70300000</v>
      </c>
      <c r="L2044" s="3">
        <v>0.97916666666666663</v>
      </c>
    </row>
    <row r="2045" spans="1:12" x14ac:dyDescent="0.25">
      <c r="A2045" t="s">
        <v>1257</v>
      </c>
      <c r="B2045" s="2">
        <v>45343</v>
      </c>
      <c r="C2045" t="s">
        <v>19</v>
      </c>
      <c r="D2045" t="s">
        <v>1636</v>
      </c>
      <c r="E2045" s="5">
        <v>66600000</v>
      </c>
      <c r="F2045" s="5">
        <v>69600000</v>
      </c>
      <c r="G2045" s="5">
        <v>3000000</v>
      </c>
      <c r="H2045" s="5">
        <v>6660000</v>
      </c>
      <c r="I2045" s="5">
        <v>6960000</v>
      </c>
      <c r="J2045" s="5">
        <v>67100000</v>
      </c>
      <c r="K2045" s="5">
        <v>70100000</v>
      </c>
      <c r="L2045" s="3">
        <v>0.97916666666666663</v>
      </c>
    </row>
    <row r="2046" spans="1:12" x14ac:dyDescent="0.25">
      <c r="A2046" t="s">
        <v>1258</v>
      </c>
      <c r="B2046" s="2">
        <v>45344</v>
      </c>
      <c r="C2046" t="s">
        <v>20</v>
      </c>
      <c r="D2046" t="s">
        <v>1636</v>
      </c>
      <c r="E2046" s="5">
        <v>66500000</v>
      </c>
      <c r="F2046" s="5">
        <v>69500000</v>
      </c>
      <c r="G2046" s="5">
        <v>3000000</v>
      </c>
      <c r="H2046" s="5">
        <v>6650000</v>
      </c>
      <c r="I2046" s="5">
        <v>6950000</v>
      </c>
      <c r="J2046" s="5">
        <v>67000000</v>
      </c>
      <c r="K2046" s="5">
        <v>70000000</v>
      </c>
      <c r="L2046" s="3">
        <v>0.97916666666666663</v>
      </c>
    </row>
    <row r="2047" spans="1:12" x14ac:dyDescent="0.25">
      <c r="A2047" t="s">
        <v>1259</v>
      </c>
      <c r="B2047" s="2">
        <v>45345</v>
      </c>
      <c r="C2047" t="s">
        <v>21</v>
      </c>
      <c r="D2047" t="s">
        <v>1636</v>
      </c>
      <c r="E2047" s="5">
        <v>67100000</v>
      </c>
      <c r="F2047" s="5">
        <v>70100000</v>
      </c>
      <c r="G2047" s="5">
        <v>3000000</v>
      </c>
      <c r="H2047" s="5">
        <v>6710000</v>
      </c>
      <c r="I2047" s="5">
        <v>7010000</v>
      </c>
      <c r="J2047" s="5">
        <v>67600000</v>
      </c>
      <c r="K2047" s="5">
        <v>70600000</v>
      </c>
      <c r="L2047" s="3">
        <v>0.97916666666666663</v>
      </c>
    </row>
    <row r="2048" spans="1:12" x14ac:dyDescent="0.25">
      <c r="A2048" t="s">
        <v>1260</v>
      </c>
      <c r="B2048" s="2">
        <v>45348</v>
      </c>
      <c r="C2048" t="s">
        <v>16</v>
      </c>
      <c r="D2048" t="s">
        <v>1636</v>
      </c>
      <c r="E2048" s="5">
        <v>66800000</v>
      </c>
      <c r="F2048" s="5">
        <v>69800000</v>
      </c>
      <c r="G2048" s="5">
        <v>3000000</v>
      </c>
      <c r="H2048" s="5">
        <v>6680000</v>
      </c>
      <c r="I2048" s="5">
        <v>6980000</v>
      </c>
      <c r="J2048" s="5">
        <v>67300000</v>
      </c>
      <c r="K2048" s="5">
        <v>70300000</v>
      </c>
      <c r="L2048" s="3">
        <v>0.97916666666666663</v>
      </c>
    </row>
    <row r="2049" spans="1:12" x14ac:dyDescent="0.25">
      <c r="A2049" t="s">
        <v>1261</v>
      </c>
      <c r="B2049" s="2">
        <v>45349</v>
      </c>
      <c r="C2049" t="s">
        <v>18</v>
      </c>
      <c r="D2049" t="s">
        <v>1636</v>
      </c>
      <c r="E2049" s="5">
        <v>67000000</v>
      </c>
      <c r="F2049" s="5">
        <v>70000000</v>
      </c>
      <c r="G2049" s="5">
        <v>3000000</v>
      </c>
      <c r="H2049" s="5">
        <v>6700000</v>
      </c>
      <c r="I2049" s="5">
        <v>7000000</v>
      </c>
      <c r="J2049" s="5">
        <v>67500000</v>
      </c>
      <c r="K2049" s="5">
        <v>70500000</v>
      </c>
      <c r="L2049" s="3">
        <v>0.97916666666666663</v>
      </c>
    </row>
    <row r="2050" spans="1:12" x14ac:dyDescent="0.25">
      <c r="A2050" t="s">
        <v>1262</v>
      </c>
      <c r="B2050" s="2">
        <v>45350</v>
      </c>
      <c r="C2050" t="s">
        <v>19</v>
      </c>
      <c r="D2050" t="s">
        <v>1636</v>
      </c>
      <c r="E2050" s="5">
        <v>66900000</v>
      </c>
      <c r="F2050" s="5">
        <v>69900000</v>
      </c>
      <c r="G2050" s="5">
        <v>3000000</v>
      </c>
      <c r="H2050" s="5">
        <v>6690000</v>
      </c>
      <c r="I2050" s="5">
        <v>6990000</v>
      </c>
      <c r="J2050" s="5">
        <v>67400000</v>
      </c>
      <c r="K2050" s="5">
        <v>70400000</v>
      </c>
      <c r="L2050" s="3">
        <v>0.97916666666666663</v>
      </c>
    </row>
    <row r="2051" spans="1:12" x14ac:dyDescent="0.25">
      <c r="A2051" t="s">
        <v>1263</v>
      </c>
      <c r="B2051" s="2">
        <v>45351</v>
      </c>
      <c r="C2051" t="s">
        <v>20</v>
      </c>
      <c r="D2051" t="s">
        <v>1636</v>
      </c>
      <c r="E2051" s="5">
        <v>67400000</v>
      </c>
      <c r="F2051" s="5">
        <v>70400000</v>
      </c>
      <c r="G2051" s="5">
        <v>3000000</v>
      </c>
      <c r="H2051" s="5">
        <v>6740000</v>
      </c>
      <c r="I2051" s="5">
        <v>7040000</v>
      </c>
      <c r="J2051" s="5">
        <v>67900000</v>
      </c>
      <c r="K2051" s="5">
        <v>70900000</v>
      </c>
      <c r="L2051" s="3">
        <v>0.97916666666666663</v>
      </c>
    </row>
    <row r="2052" spans="1:12" x14ac:dyDescent="0.25">
      <c r="A2052" s="2">
        <v>45294</v>
      </c>
      <c r="B2052" s="2">
        <v>45352</v>
      </c>
      <c r="C2052" t="s">
        <v>21</v>
      </c>
      <c r="D2052" t="s">
        <v>1636</v>
      </c>
      <c r="E2052" s="5">
        <v>68800000</v>
      </c>
      <c r="F2052" s="5">
        <v>71800000</v>
      </c>
      <c r="G2052" s="5">
        <v>3000000</v>
      </c>
      <c r="H2052" s="5">
        <v>6880000</v>
      </c>
      <c r="I2052" s="5">
        <v>7180000</v>
      </c>
      <c r="J2052" s="5">
        <v>69300000</v>
      </c>
      <c r="K2052" s="5">
        <v>72300000</v>
      </c>
      <c r="L2052" s="3">
        <v>0.97916666666666663</v>
      </c>
    </row>
    <row r="2053" spans="1:12" x14ac:dyDescent="0.25">
      <c r="A2053" s="2">
        <v>45385</v>
      </c>
      <c r="B2053" s="2">
        <v>45355</v>
      </c>
      <c r="C2053" t="s">
        <v>16</v>
      </c>
      <c r="D2053" t="s">
        <v>1636</v>
      </c>
      <c r="E2053" s="5">
        <v>69900000</v>
      </c>
      <c r="F2053" s="5">
        <v>72900000</v>
      </c>
      <c r="G2053" s="5">
        <v>3000000</v>
      </c>
      <c r="H2053" s="5">
        <v>6990000</v>
      </c>
      <c r="I2053" s="5">
        <v>7290000</v>
      </c>
      <c r="J2053" s="5">
        <v>70400000</v>
      </c>
      <c r="K2053" s="5">
        <v>73400000</v>
      </c>
      <c r="L2053" s="3">
        <v>0.97916666666666663</v>
      </c>
    </row>
    <row r="2054" spans="1:12" x14ac:dyDescent="0.25">
      <c r="A2054" s="2">
        <v>45415</v>
      </c>
      <c r="B2054" s="2">
        <v>45356</v>
      </c>
      <c r="C2054" t="s">
        <v>18</v>
      </c>
      <c r="D2054" t="s">
        <v>1636</v>
      </c>
      <c r="E2054" s="5">
        <v>70400000</v>
      </c>
      <c r="F2054" s="5">
        <v>73400000</v>
      </c>
      <c r="G2054" s="5">
        <v>3000000</v>
      </c>
      <c r="H2054" s="5">
        <v>7040000</v>
      </c>
      <c r="I2054" s="5">
        <v>7340000</v>
      </c>
      <c r="J2054" s="5">
        <v>70900000</v>
      </c>
      <c r="K2054" s="5">
        <v>73900000</v>
      </c>
      <c r="L2054" s="3">
        <v>0.97916666666666663</v>
      </c>
    </row>
    <row r="2055" spans="1:12" x14ac:dyDescent="0.25">
      <c r="A2055" s="2">
        <v>45446</v>
      </c>
      <c r="B2055" s="2">
        <v>45357</v>
      </c>
      <c r="C2055" t="s">
        <v>19</v>
      </c>
      <c r="D2055" t="s">
        <v>1636</v>
      </c>
      <c r="E2055" s="5">
        <v>71000000</v>
      </c>
      <c r="F2055" s="5">
        <v>74000000</v>
      </c>
      <c r="G2055" s="5">
        <v>3000000</v>
      </c>
      <c r="H2055" s="5">
        <v>7100000</v>
      </c>
      <c r="I2055" s="5">
        <v>7400000</v>
      </c>
      <c r="J2055" s="5">
        <v>71500000</v>
      </c>
      <c r="K2055" s="5">
        <v>74500000</v>
      </c>
      <c r="L2055" s="3">
        <v>0.97916666666666663</v>
      </c>
    </row>
    <row r="2056" spans="1:12" x14ac:dyDescent="0.25">
      <c r="A2056" s="2">
        <v>45476</v>
      </c>
      <c r="B2056" s="2">
        <v>45358</v>
      </c>
      <c r="C2056" t="s">
        <v>20</v>
      </c>
      <c r="D2056" t="s">
        <v>1636</v>
      </c>
      <c r="E2056" s="5">
        <v>71200000</v>
      </c>
      <c r="F2056" s="5">
        <v>74200000</v>
      </c>
      <c r="G2056" s="5">
        <v>3000000</v>
      </c>
      <c r="H2056" s="5">
        <v>7120000</v>
      </c>
      <c r="I2056" s="5">
        <v>7420000</v>
      </c>
      <c r="J2056" s="5">
        <v>71700000</v>
      </c>
      <c r="K2056" s="5">
        <v>74700000</v>
      </c>
      <c r="L2056" s="3">
        <v>0.97916666666666663</v>
      </c>
    </row>
    <row r="2057" spans="1:12" x14ac:dyDescent="0.25">
      <c r="A2057" s="2">
        <v>45507</v>
      </c>
      <c r="B2057" s="2">
        <v>45359</v>
      </c>
      <c r="C2057" t="s">
        <v>21</v>
      </c>
      <c r="D2057" t="s">
        <v>1636</v>
      </c>
      <c r="E2057" s="5">
        <v>72000000</v>
      </c>
      <c r="F2057" s="5">
        <v>75000000</v>
      </c>
      <c r="G2057" s="5">
        <v>3000000</v>
      </c>
      <c r="H2057" s="5">
        <v>7200000</v>
      </c>
      <c r="I2057" s="5">
        <v>7500000</v>
      </c>
      <c r="J2057" s="5">
        <v>72500000</v>
      </c>
      <c r="K2057" s="5">
        <v>75500000</v>
      </c>
      <c r="L2057" s="3">
        <v>0.97916666666666663</v>
      </c>
    </row>
    <row r="2058" spans="1:12" x14ac:dyDescent="0.25">
      <c r="A2058" s="2">
        <v>45599</v>
      </c>
      <c r="B2058" s="2">
        <v>45362</v>
      </c>
      <c r="C2058" t="s">
        <v>16</v>
      </c>
      <c r="D2058" t="s">
        <v>1636</v>
      </c>
      <c r="E2058" s="5">
        <v>72100000</v>
      </c>
      <c r="F2058" s="5">
        <v>75100000</v>
      </c>
      <c r="G2058" s="5">
        <v>3000000</v>
      </c>
      <c r="H2058" s="5">
        <v>7210000</v>
      </c>
      <c r="I2058" s="5">
        <v>7510000</v>
      </c>
      <c r="J2058" s="5">
        <v>72600000</v>
      </c>
      <c r="K2058" s="5">
        <v>75600000</v>
      </c>
      <c r="L2058" s="3">
        <v>0.97916666666666663</v>
      </c>
    </row>
    <row r="2059" spans="1:12" x14ac:dyDescent="0.25">
      <c r="A2059" s="2">
        <v>45629</v>
      </c>
      <c r="B2059" s="2">
        <v>45363</v>
      </c>
      <c r="C2059" t="s">
        <v>18</v>
      </c>
      <c r="D2059" t="s">
        <v>1636</v>
      </c>
      <c r="E2059" s="5">
        <v>71300000</v>
      </c>
      <c r="F2059" s="5">
        <v>74300000</v>
      </c>
      <c r="G2059" s="5">
        <v>3000000</v>
      </c>
      <c r="H2059" s="5">
        <v>7130000</v>
      </c>
      <c r="I2059" s="5">
        <v>7430000</v>
      </c>
      <c r="J2059" s="5">
        <v>71800000</v>
      </c>
      <c r="K2059" s="5">
        <v>74800000</v>
      </c>
      <c r="L2059" s="3">
        <v>0.97916666666666663</v>
      </c>
    </row>
    <row r="2060" spans="1:12" x14ac:dyDescent="0.25">
      <c r="A2060" t="s">
        <v>1264</v>
      </c>
      <c r="B2060" s="2">
        <v>45364</v>
      </c>
      <c r="C2060" t="s">
        <v>19</v>
      </c>
      <c r="D2060" t="s">
        <v>1636</v>
      </c>
      <c r="E2060" s="5">
        <v>71800000</v>
      </c>
      <c r="F2060" s="5">
        <v>74800000</v>
      </c>
      <c r="G2060" s="5">
        <v>3000000</v>
      </c>
      <c r="H2060" s="5">
        <v>7180000</v>
      </c>
      <c r="I2060" s="5">
        <v>7480000</v>
      </c>
      <c r="J2060" s="5">
        <v>72300000</v>
      </c>
      <c r="K2060" s="5">
        <v>75300000</v>
      </c>
      <c r="L2060" s="3">
        <v>0.97916666666666663</v>
      </c>
    </row>
    <row r="2061" spans="1:12" x14ac:dyDescent="0.25">
      <c r="A2061" t="s">
        <v>1265</v>
      </c>
      <c r="B2061" s="2">
        <v>45365</v>
      </c>
      <c r="C2061" t="s">
        <v>20</v>
      </c>
      <c r="D2061" t="s">
        <v>1636</v>
      </c>
      <c r="E2061" s="5">
        <v>71400000</v>
      </c>
      <c r="F2061" s="5">
        <v>74400000</v>
      </c>
      <c r="G2061" s="5">
        <v>3000000</v>
      </c>
      <c r="H2061" s="5">
        <v>7140000</v>
      </c>
      <c r="I2061" s="5">
        <v>7440000</v>
      </c>
      <c r="J2061" s="5">
        <v>71900000</v>
      </c>
      <c r="K2061" s="5">
        <v>74900000</v>
      </c>
      <c r="L2061" s="3">
        <v>0.97916666666666663</v>
      </c>
    </row>
    <row r="2062" spans="1:12" x14ac:dyDescent="0.25">
      <c r="A2062" t="s">
        <v>1266</v>
      </c>
      <c r="B2062" s="2">
        <v>45366</v>
      </c>
      <c r="C2062" t="s">
        <v>21</v>
      </c>
      <c r="D2062" t="s">
        <v>1636</v>
      </c>
      <c r="E2062" s="5">
        <v>71200000</v>
      </c>
      <c r="F2062" s="5">
        <v>74200000</v>
      </c>
      <c r="G2062" s="5">
        <v>3000000</v>
      </c>
      <c r="H2062" s="5">
        <v>7120000</v>
      </c>
      <c r="I2062" s="5">
        <v>7420000</v>
      </c>
      <c r="J2062" s="5">
        <v>71700000</v>
      </c>
      <c r="K2062" s="5">
        <v>74700000</v>
      </c>
      <c r="L2062" s="3">
        <v>0.97916666666666663</v>
      </c>
    </row>
    <row r="2063" spans="1:12" x14ac:dyDescent="0.25">
      <c r="A2063" t="s">
        <v>1267</v>
      </c>
      <c r="B2063" s="2">
        <v>45369</v>
      </c>
      <c r="C2063" t="s">
        <v>16</v>
      </c>
      <c r="D2063" t="s">
        <v>1636</v>
      </c>
      <c r="E2063" s="5">
        <v>71300000</v>
      </c>
      <c r="F2063" s="5">
        <v>74300000</v>
      </c>
      <c r="G2063" s="5">
        <v>3000000</v>
      </c>
      <c r="H2063" s="5">
        <v>7130000</v>
      </c>
      <c r="I2063" s="5">
        <v>7430000</v>
      </c>
      <c r="J2063" s="5">
        <v>71800000</v>
      </c>
      <c r="K2063" s="5">
        <v>74800000</v>
      </c>
      <c r="L2063" s="3">
        <v>0.97916666666666663</v>
      </c>
    </row>
    <row r="2064" spans="1:12" x14ac:dyDescent="0.25">
      <c r="A2064" t="s">
        <v>1268</v>
      </c>
      <c r="B2064" s="2">
        <v>45370</v>
      </c>
      <c r="C2064" t="s">
        <v>18</v>
      </c>
      <c r="D2064" t="s">
        <v>1636</v>
      </c>
      <c r="E2064" s="5">
        <v>71200000</v>
      </c>
      <c r="F2064" s="5">
        <v>74200000</v>
      </c>
      <c r="G2064" s="5">
        <v>3000000</v>
      </c>
      <c r="H2064" s="5">
        <v>7120000</v>
      </c>
      <c r="I2064" s="5">
        <v>7420000</v>
      </c>
      <c r="J2064" s="5">
        <v>71700000</v>
      </c>
      <c r="K2064" s="5">
        <v>74700000</v>
      </c>
      <c r="L2064" s="3">
        <v>0.97916666666666663</v>
      </c>
    </row>
    <row r="2065" spans="1:12" x14ac:dyDescent="0.25">
      <c r="A2065" t="s">
        <v>1269</v>
      </c>
      <c r="B2065" s="2">
        <v>45371</v>
      </c>
      <c r="C2065" t="s">
        <v>19</v>
      </c>
      <c r="D2065" t="s">
        <v>1636</v>
      </c>
      <c r="E2065" s="5">
        <v>71200000</v>
      </c>
      <c r="F2065" s="5">
        <v>74200000</v>
      </c>
      <c r="G2065" s="5">
        <v>3000000</v>
      </c>
      <c r="H2065" s="5">
        <v>7120000</v>
      </c>
      <c r="I2065" s="5">
        <v>7420000</v>
      </c>
      <c r="J2065" s="5">
        <v>71700000</v>
      </c>
      <c r="K2065" s="5">
        <v>74700000</v>
      </c>
      <c r="L2065" s="3">
        <v>0.97916666666666663</v>
      </c>
    </row>
    <row r="2066" spans="1:12" x14ac:dyDescent="0.25">
      <c r="A2066" t="s">
        <v>1270</v>
      </c>
      <c r="B2066" s="2">
        <v>45372</v>
      </c>
      <c r="C2066" t="s">
        <v>20</v>
      </c>
      <c r="D2066" t="s">
        <v>1636</v>
      </c>
      <c r="E2066" s="5">
        <v>72100000</v>
      </c>
      <c r="F2066" s="5">
        <v>75100000</v>
      </c>
      <c r="G2066" s="5">
        <v>3000000</v>
      </c>
      <c r="H2066" s="5">
        <v>7210000</v>
      </c>
      <c r="I2066" s="5">
        <v>7510000</v>
      </c>
      <c r="J2066" s="5">
        <v>72600000</v>
      </c>
      <c r="K2066" s="5">
        <v>75600000</v>
      </c>
      <c r="L2066" s="3">
        <v>0.97916666666666663</v>
      </c>
    </row>
    <row r="2067" spans="1:12" x14ac:dyDescent="0.25">
      <c r="A2067" t="s">
        <v>1271</v>
      </c>
      <c r="B2067" s="2">
        <v>45373</v>
      </c>
      <c r="C2067" t="s">
        <v>21</v>
      </c>
      <c r="D2067" t="s">
        <v>1636</v>
      </c>
      <c r="E2067" s="5">
        <v>71200000</v>
      </c>
      <c r="F2067" s="5">
        <v>74200000</v>
      </c>
      <c r="G2067" s="5">
        <v>3000000</v>
      </c>
      <c r="H2067" s="5">
        <v>7120000</v>
      </c>
      <c r="I2067" s="5">
        <v>7420000</v>
      </c>
      <c r="J2067" s="5">
        <v>71700000</v>
      </c>
      <c r="K2067" s="5">
        <v>74700000</v>
      </c>
      <c r="L2067" s="3">
        <v>0.97916666666666663</v>
      </c>
    </row>
    <row r="2068" spans="1:12" x14ac:dyDescent="0.25">
      <c r="A2068" t="s">
        <v>1272</v>
      </c>
      <c r="B2068" s="2">
        <v>45376</v>
      </c>
      <c r="C2068" t="s">
        <v>16</v>
      </c>
      <c r="D2068" t="s">
        <v>1636</v>
      </c>
      <c r="E2068" s="5">
        <v>71800000</v>
      </c>
      <c r="F2068" s="5">
        <v>74800000</v>
      </c>
      <c r="G2068" s="5">
        <v>3000000</v>
      </c>
      <c r="H2068" s="5">
        <v>7180000</v>
      </c>
      <c r="I2068" s="5">
        <v>7480000</v>
      </c>
      <c r="J2068" s="5">
        <v>72300000</v>
      </c>
      <c r="K2068" s="5">
        <v>75300000</v>
      </c>
      <c r="L2068" s="3">
        <v>0.97916666666666663</v>
      </c>
    </row>
    <row r="2069" spans="1:12" x14ac:dyDescent="0.25">
      <c r="A2069" t="s">
        <v>1273</v>
      </c>
      <c r="B2069" s="2">
        <v>45377</v>
      </c>
      <c r="C2069" t="s">
        <v>18</v>
      </c>
      <c r="D2069" t="s">
        <v>1636</v>
      </c>
      <c r="E2069" s="5">
        <v>71900000</v>
      </c>
      <c r="F2069" s="5">
        <v>74900000</v>
      </c>
      <c r="G2069" s="5">
        <v>3000000</v>
      </c>
      <c r="H2069" s="5">
        <v>7190000</v>
      </c>
      <c r="I2069" s="5">
        <v>7490000</v>
      </c>
      <c r="J2069" s="5">
        <v>72400000</v>
      </c>
      <c r="K2069" s="5">
        <v>75400000</v>
      </c>
      <c r="L2069" s="3">
        <v>0.97916666666666663</v>
      </c>
    </row>
    <row r="2070" spans="1:12" x14ac:dyDescent="0.25">
      <c r="A2070" t="s">
        <v>1274</v>
      </c>
      <c r="B2070" s="2">
        <v>45378</v>
      </c>
      <c r="C2070" t="s">
        <v>19</v>
      </c>
      <c r="D2070" t="s">
        <v>1636</v>
      </c>
      <c r="E2070" s="5">
        <v>72400000</v>
      </c>
      <c r="F2070" s="5">
        <v>75400000</v>
      </c>
      <c r="G2070" s="5">
        <v>3000000</v>
      </c>
      <c r="H2070" s="5">
        <v>7240000</v>
      </c>
      <c r="I2070" s="5">
        <v>7540000</v>
      </c>
      <c r="J2070" s="5">
        <v>72900000</v>
      </c>
      <c r="K2070" s="5">
        <v>75900000</v>
      </c>
      <c r="L2070" s="3">
        <v>0.97916666666666663</v>
      </c>
    </row>
    <row r="2071" spans="1:12" x14ac:dyDescent="0.25">
      <c r="A2071" t="s">
        <v>1275</v>
      </c>
      <c r="B2071" s="2">
        <v>45379</v>
      </c>
      <c r="C2071" t="s">
        <v>20</v>
      </c>
      <c r="D2071" t="s">
        <v>1636</v>
      </c>
      <c r="E2071" s="5">
        <v>73300000</v>
      </c>
      <c r="F2071" s="5">
        <v>76300000</v>
      </c>
      <c r="G2071" s="5">
        <v>3000000</v>
      </c>
      <c r="H2071" s="5">
        <v>7330000</v>
      </c>
      <c r="I2071" s="5">
        <v>7630000</v>
      </c>
      <c r="J2071" s="5">
        <v>73800000</v>
      </c>
      <c r="K2071" s="5">
        <v>76800000</v>
      </c>
      <c r="L2071" s="3">
        <v>0.97916666666666663</v>
      </c>
    </row>
    <row r="2072" spans="1:12" x14ac:dyDescent="0.25">
      <c r="A2072" s="2">
        <v>45295</v>
      </c>
      <c r="B2072" s="2">
        <v>45383</v>
      </c>
      <c r="C2072" t="s">
        <v>16</v>
      </c>
      <c r="D2072" t="s">
        <v>1636</v>
      </c>
      <c r="E2072" s="5">
        <v>73900000</v>
      </c>
      <c r="F2072" s="5">
        <v>76900000</v>
      </c>
      <c r="G2072" s="5">
        <v>3000000</v>
      </c>
      <c r="H2072" s="5">
        <v>7390000</v>
      </c>
      <c r="I2072" s="5">
        <v>7690000</v>
      </c>
      <c r="J2072" s="5">
        <v>74400000</v>
      </c>
      <c r="K2072" s="5">
        <v>77400000</v>
      </c>
      <c r="L2072" s="3">
        <v>0.97916666666666663</v>
      </c>
    </row>
    <row r="2073" spans="1:12" x14ac:dyDescent="0.25">
      <c r="A2073" s="2">
        <v>45326</v>
      </c>
      <c r="B2073" s="2">
        <v>45384</v>
      </c>
      <c r="C2073" t="s">
        <v>18</v>
      </c>
      <c r="D2073" t="s">
        <v>1636</v>
      </c>
      <c r="E2073" s="5">
        <v>74800000</v>
      </c>
      <c r="F2073" s="5">
        <v>77800000</v>
      </c>
      <c r="G2073" s="5">
        <v>3000000</v>
      </c>
      <c r="H2073" s="5">
        <v>7480000</v>
      </c>
      <c r="I2073" s="5">
        <v>7780000</v>
      </c>
      <c r="J2073" s="5">
        <v>75300000</v>
      </c>
      <c r="K2073" s="5">
        <v>78300000</v>
      </c>
      <c r="L2073" s="3">
        <v>0.97916666666666663</v>
      </c>
    </row>
    <row r="2074" spans="1:12" x14ac:dyDescent="0.25">
      <c r="A2074" s="2">
        <v>45355</v>
      </c>
      <c r="B2074" s="2">
        <v>45385</v>
      </c>
      <c r="C2074" t="s">
        <v>19</v>
      </c>
      <c r="D2074" t="s">
        <v>1636</v>
      </c>
      <c r="E2074" s="5">
        <v>75900000</v>
      </c>
      <c r="F2074" s="5">
        <v>78900000</v>
      </c>
      <c r="G2074" s="5">
        <v>3000000</v>
      </c>
      <c r="H2074" s="5">
        <v>7590000</v>
      </c>
      <c r="I2074" s="5">
        <v>7890000</v>
      </c>
      <c r="J2074" s="5">
        <v>76400000</v>
      </c>
      <c r="K2074" s="5">
        <v>79400000</v>
      </c>
      <c r="L2074" s="3">
        <v>0.97916666666666663</v>
      </c>
    </row>
    <row r="2075" spans="1:12" x14ac:dyDescent="0.25">
      <c r="A2075" s="2">
        <v>45386</v>
      </c>
      <c r="B2075" s="2">
        <v>45386</v>
      </c>
      <c r="C2075" t="s">
        <v>20</v>
      </c>
      <c r="D2075" t="s">
        <v>1636</v>
      </c>
      <c r="E2075" s="5">
        <v>75700000</v>
      </c>
      <c r="F2075" s="5">
        <v>78700000</v>
      </c>
      <c r="G2075" s="5">
        <v>3000000</v>
      </c>
      <c r="H2075" s="5">
        <v>7570000</v>
      </c>
      <c r="I2075" s="5">
        <v>7870000</v>
      </c>
      <c r="J2075" s="5">
        <v>76200000</v>
      </c>
      <c r="K2075" s="5">
        <v>79200000</v>
      </c>
      <c r="L2075" s="3">
        <v>0.97916666666666663</v>
      </c>
    </row>
    <row r="2076" spans="1:12" x14ac:dyDescent="0.25">
      <c r="A2076" s="2">
        <v>45416</v>
      </c>
      <c r="B2076" s="2">
        <v>45387</v>
      </c>
      <c r="C2076" t="s">
        <v>21</v>
      </c>
      <c r="D2076" t="s">
        <v>1636</v>
      </c>
      <c r="E2076" s="5">
        <v>77000000</v>
      </c>
      <c r="F2076" s="5">
        <v>80000000</v>
      </c>
      <c r="G2076" s="5">
        <v>3000000</v>
      </c>
      <c r="H2076" s="5">
        <v>7700000</v>
      </c>
      <c r="I2076" s="5">
        <v>8000000</v>
      </c>
      <c r="J2076" s="5">
        <v>77500000</v>
      </c>
      <c r="K2076" s="5">
        <v>80500000</v>
      </c>
      <c r="L2076" s="3">
        <v>0.97916666666666663</v>
      </c>
    </row>
    <row r="2077" spans="1:12" x14ac:dyDescent="0.25">
      <c r="A2077" s="2">
        <v>45508</v>
      </c>
      <c r="B2077" s="2">
        <v>45390</v>
      </c>
      <c r="C2077" t="s">
        <v>16</v>
      </c>
      <c r="D2077" t="s">
        <v>1636</v>
      </c>
      <c r="E2077" s="5">
        <v>77200000</v>
      </c>
      <c r="F2077" s="5">
        <v>80200000</v>
      </c>
      <c r="G2077" s="5">
        <v>3000000</v>
      </c>
      <c r="H2077" s="5">
        <v>7720000</v>
      </c>
      <c r="I2077" s="5">
        <v>8020000</v>
      </c>
      <c r="J2077" s="5">
        <v>77700000</v>
      </c>
      <c r="K2077" s="5">
        <v>80700000</v>
      </c>
      <c r="L2077" s="3">
        <v>0.97916666666666663</v>
      </c>
    </row>
    <row r="2078" spans="1:12" x14ac:dyDescent="0.25">
      <c r="A2078" s="2">
        <v>45539</v>
      </c>
      <c r="B2078" s="2">
        <v>45391</v>
      </c>
      <c r="C2078" t="s">
        <v>18</v>
      </c>
      <c r="D2078" t="s">
        <v>1636</v>
      </c>
      <c r="E2078" s="5">
        <v>77600000</v>
      </c>
      <c r="F2078" s="5">
        <v>80600000</v>
      </c>
      <c r="G2078" s="5">
        <v>3000000</v>
      </c>
      <c r="H2078" s="5">
        <v>7760000</v>
      </c>
      <c r="I2078" s="5">
        <v>8060000</v>
      </c>
      <c r="J2078" s="5">
        <v>78100000</v>
      </c>
      <c r="K2078" s="5">
        <v>81100000</v>
      </c>
      <c r="L2078" s="3">
        <v>0.97916666666666663</v>
      </c>
    </row>
    <row r="2079" spans="1:12" x14ac:dyDescent="0.25">
      <c r="A2079" s="2">
        <v>45569</v>
      </c>
      <c r="B2079" s="2">
        <v>45392</v>
      </c>
      <c r="C2079" t="s">
        <v>19</v>
      </c>
      <c r="D2079" t="s">
        <v>1636</v>
      </c>
      <c r="E2079" s="5">
        <v>77100000</v>
      </c>
      <c r="F2079" s="5">
        <v>80100000</v>
      </c>
      <c r="G2079" s="5">
        <v>3000000</v>
      </c>
      <c r="H2079" s="5">
        <v>7710000</v>
      </c>
      <c r="I2079" s="5">
        <v>8010000</v>
      </c>
      <c r="J2079" s="5">
        <v>77600000</v>
      </c>
      <c r="K2079" s="5">
        <v>80600000</v>
      </c>
      <c r="L2079" s="3">
        <v>0.97916666666666663</v>
      </c>
    </row>
    <row r="2080" spans="1:12" x14ac:dyDescent="0.25">
      <c r="A2080" s="2">
        <v>45600</v>
      </c>
      <c r="B2080" s="2">
        <v>45393</v>
      </c>
      <c r="C2080" t="s">
        <v>20</v>
      </c>
      <c r="D2080" t="s">
        <v>1636</v>
      </c>
      <c r="E2080" s="5">
        <v>78000000</v>
      </c>
      <c r="F2080" s="5">
        <v>81000000</v>
      </c>
      <c r="G2080" s="5">
        <v>3000000</v>
      </c>
      <c r="H2080" s="5">
        <v>7800000</v>
      </c>
      <c r="I2080" s="5">
        <v>8100000</v>
      </c>
      <c r="J2080" s="5">
        <v>78500000</v>
      </c>
      <c r="K2080" s="5">
        <v>81500000</v>
      </c>
      <c r="L2080" s="3">
        <v>0.97916666666666663</v>
      </c>
    </row>
    <row r="2081" spans="1:12" x14ac:dyDescent="0.25">
      <c r="A2081" s="2">
        <v>45630</v>
      </c>
      <c r="B2081" s="2">
        <v>45394</v>
      </c>
      <c r="C2081" t="s">
        <v>21</v>
      </c>
      <c r="D2081" t="s">
        <v>1636</v>
      </c>
      <c r="E2081" s="5">
        <v>78100000</v>
      </c>
      <c r="F2081" s="5">
        <v>81100000</v>
      </c>
      <c r="G2081" s="5">
        <v>3000000</v>
      </c>
      <c r="H2081" s="5">
        <v>7810000</v>
      </c>
      <c r="I2081" s="5">
        <v>8110000</v>
      </c>
      <c r="J2081" s="5">
        <v>78600000</v>
      </c>
      <c r="K2081" s="5">
        <v>81600000</v>
      </c>
      <c r="L2081" s="3">
        <v>0.97916666666666663</v>
      </c>
    </row>
    <row r="2082" spans="1:12" x14ac:dyDescent="0.25">
      <c r="A2082" t="s">
        <v>1276</v>
      </c>
      <c r="B2082" s="2">
        <v>45397</v>
      </c>
      <c r="C2082" t="s">
        <v>16</v>
      </c>
      <c r="D2082" t="s">
        <v>1636</v>
      </c>
      <c r="E2082" s="5">
        <v>78400000</v>
      </c>
      <c r="F2082" s="5">
        <v>81400000</v>
      </c>
      <c r="G2082" s="5">
        <v>3000000</v>
      </c>
      <c r="H2082" s="5">
        <v>7840000</v>
      </c>
      <c r="I2082" s="5">
        <v>8140000</v>
      </c>
      <c r="J2082" s="5">
        <v>78900000</v>
      </c>
      <c r="K2082" s="5">
        <v>81900000</v>
      </c>
      <c r="L2082" s="3">
        <v>0.97916666666666663</v>
      </c>
    </row>
    <row r="2083" spans="1:12" x14ac:dyDescent="0.25">
      <c r="A2083" t="s">
        <v>1277</v>
      </c>
      <c r="B2083" s="2">
        <v>45398</v>
      </c>
      <c r="C2083" t="s">
        <v>18</v>
      </c>
      <c r="D2083" t="s">
        <v>1636</v>
      </c>
      <c r="E2083" s="5">
        <v>79300000</v>
      </c>
      <c r="F2083" s="5">
        <v>82300000</v>
      </c>
      <c r="G2083" s="5">
        <v>3000000</v>
      </c>
      <c r="H2083" s="5">
        <v>7930000</v>
      </c>
      <c r="I2083" s="5">
        <v>8230000</v>
      </c>
      <c r="J2083" s="5">
        <v>79800000</v>
      </c>
      <c r="K2083" s="5">
        <v>82800000</v>
      </c>
      <c r="L2083" s="3">
        <v>0.97916666666666663</v>
      </c>
    </row>
    <row r="2084" spans="1:12" x14ac:dyDescent="0.25">
      <c r="A2084" t="s">
        <v>1278</v>
      </c>
      <c r="B2084" s="2">
        <v>45399</v>
      </c>
      <c r="C2084" t="s">
        <v>19</v>
      </c>
      <c r="D2084" t="s">
        <v>1636</v>
      </c>
      <c r="E2084" s="5">
        <v>78600000</v>
      </c>
      <c r="F2084" s="5">
        <v>81600000</v>
      </c>
      <c r="G2084" s="5">
        <v>3000000</v>
      </c>
      <c r="H2084" s="5">
        <v>7860000</v>
      </c>
      <c r="I2084" s="5">
        <v>8160000</v>
      </c>
      <c r="J2084" s="5">
        <v>79100000</v>
      </c>
      <c r="K2084" s="5">
        <v>82100000</v>
      </c>
      <c r="L2084" s="3">
        <v>0.97916666666666663</v>
      </c>
    </row>
    <row r="2085" spans="1:12" x14ac:dyDescent="0.25">
      <c r="A2085" t="s">
        <v>1279</v>
      </c>
      <c r="B2085" s="2">
        <v>45400</v>
      </c>
      <c r="C2085" t="s">
        <v>20</v>
      </c>
      <c r="D2085" t="s">
        <v>1636</v>
      </c>
      <c r="E2085" s="5">
        <v>79000000</v>
      </c>
      <c r="F2085" s="5">
        <v>82000000</v>
      </c>
      <c r="G2085" s="5">
        <v>3000000</v>
      </c>
      <c r="H2085" s="5">
        <v>7900000</v>
      </c>
      <c r="I2085" s="5">
        <v>8200000</v>
      </c>
      <c r="J2085" s="5">
        <v>79500000</v>
      </c>
      <c r="K2085" s="5">
        <v>82500000</v>
      </c>
      <c r="L2085" s="3">
        <v>0.97916666666666663</v>
      </c>
    </row>
    <row r="2086" spans="1:12" x14ac:dyDescent="0.25">
      <c r="A2086" t="s">
        <v>1280</v>
      </c>
      <c r="B2086" s="2">
        <v>45401</v>
      </c>
      <c r="C2086" t="s">
        <v>21</v>
      </c>
      <c r="D2086" t="s">
        <v>1636</v>
      </c>
      <c r="E2086" s="5">
        <v>79500000</v>
      </c>
      <c r="F2086" s="5">
        <v>82500000</v>
      </c>
      <c r="G2086" s="5">
        <v>3000000</v>
      </c>
      <c r="H2086" s="5">
        <v>7950000</v>
      </c>
      <c r="I2086" s="5">
        <v>8250000</v>
      </c>
      <c r="J2086" s="5">
        <v>80000000</v>
      </c>
      <c r="K2086" s="5">
        <v>83000000</v>
      </c>
      <c r="L2086" s="3">
        <v>0.97916666666666663</v>
      </c>
    </row>
    <row r="2087" spans="1:12" x14ac:dyDescent="0.25">
      <c r="A2087" t="s">
        <v>1281</v>
      </c>
      <c r="B2087" s="2">
        <v>45404</v>
      </c>
      <c r="C2087" t="s">
        <v>16</v>
      </c>
      <c r="D2087" t="s">
        <v>1636</v>
      </c>
      <c r="E2087" s="5">
        <v>77200000</v>
      </c>
      <c r="F2087" s="5">
        <v>80200000</v>
      </c>
      <c r="G2087" s="5">
        <v>3000000</v>
      </c>
      <c r="H2087" s="5">
        <v>7720000</v>
      </c>
      <c r="I2087" s="5">
        <v>8020000</v>
      </c>
      <c r="J2087" s="5">
        <v>77700000</v>
      </c>
      <c r="K2087" s="5">
        <v>80700000</v>
      </c>
      <c r="L2087" s="3">
        <v>0.97916666666666663</v>
      </c>
    </row>
    <row r="2088" spans="1:12" x14ac:dyDescent="0.25">
      <c r="A2088" t="s">
        <v>1282</v>
      </c>
      <c r="B2088" s="2">
        <v>45405</v>
      </c>
      <c r="C2088" t="s">
        <v>18</v>
      </c>
      <c r="D2088" t="s">
        <v>1636</v>
      </c>
      <c r="E2088" s="5">
        <v>77100000</v>
      </c>
      <c r="F2088" s="5">
        <v>80100000</v>
      </c>
      <c r="G2088" s="5">
        <v>3000000</v>
      </c>
      <c r="H2088" s="5">
        <v>7710000</v>
      </c>
      <c r="I2088" s="5">
        <v>8010000</v>
      </c>
      <c r="J2088" s="5">
        <v>77600000</v>
      </c>
      <c r="K2088" s="5">
        <v>80600000</v>
      </c>
      <c r="L2088" s="3">
        <v>0.97916666666666663</v>
      </c>
    </row>
    <row r="2089" spans="1:12" x14ac:dyDescent="0.25">
      <c r="A2089" t="s">
        <v>1283</v>
      </c>
      <c r="B2089" s="2">
        <v>45406</v>
      </c>
      <c r="C2089" t="s">
        <v>19</v>
      </c>
      <c r="D2089" t="s">
        <v>1636</v>
      </c>
      <c r="E2089" s="5">
        <v>77000000</v>
      </c>
      <c r="F2089" s="5">
        <v>80000000</v>
      </c>
      <c r="G2089" s="5">
        <v>3000000</v>
      </c>
      <c r="H2089" s="5">
        <v>7700000</v>
      </c>
      <c r="I2089" s="5">
        <v>8000000</v>
      </c>
      <c r="J2089" s="5">
        <v>77500000</v>
      </c>
      <c r="K2089" s="5">
        <v>80500000</v>
      </c>
      <c r="L2089" s="3">
        <v>0.97916666666666663</v>
      </c>
    </row>
    <row r="2090" spans="1:12" x14ac:dyDescent="0.25">
      <c r="A2090" t="s">
        <v>1284</v>
      </c>
      <c r="B2090" s="2">
        <v>45407</v>
      </c>
      <c r="C2090" t="s">
        <v>20</v>
      </c>
      <c r="D2090" t="s">
        <v>1636</v>
      </c>
      <c r="E2090" s="5">
        <v>77200000</v>
      </c>
      <c r="F2090" s="5">
        <v>80200000</v>
      </c>
      <c r="G2090" s="5">
        <v>3000000</v>
      </c>
      <c r="H2090" s="5">
        <v>7720000</v>
      </c>
      <c r="I2090" s="5">
        <v>8020000</v>
      </c>
      <c r="J2090" s="5">
        <v>77700000</v>
      </c>
      <c r="K2090" s="5">
        <v>80700000</v>
      </c>
      <c r="L2090" s="3">
        <v>0.97916666666666663</v>
      </c>
    </row>
    <row r="2091" spans="1:12" x14ac:dyDescent="0.25">
      <c r="A2091" t="s">
        <v>1285</v>
      </c>
      <c r="B2091" s="2">
        <v>45408</v>
      </c>
      <c r="C2091" t="s">
        <v>21</v>
      </c>
      <c r="D2091" t="s">
        <v>1636</v>
      </c>
      <c r="E2091" s="5">
        <v>77300000</v>
      </c>
      <c r="F2091" s="5">
        <v>80300000</v>
      </c>
      <c r="G2091" s="5">
        <v>3000000</v>
      </c>
      <c r="H2091" s="5">
        <v>7730000</v>
      </c>
      <c r="I2091" s="5">
        <v>8030000</v>
      </c>
      <c r="J2091" s="5">
        <v>77800000</v>
      </c>
      <c r="K2091" s="5">
        <v>80800000</v>
      </c>
      <c r="L2091" s="3">
        <v>0.97916666666666663</v>
      </c>
    </row>
    <row r="2092" spans="1:12" x14ac:dyDescent="0.25">
      <c r="A2092" t="s">
        <v>1286</v>
      </c>
      <c r="B2092" s="2">
        <v>45411</v>
      </c>
      <c r="C2092" t="s">
        <v>16</v>
      </c>
      <c r="D2092" t="s">
        <v>1636</v>
      </c>
      <c r="E2092" s="5">
        <v>77700000</v>
      </c>
      <c r="F2092" s="5">
        <v>80700000</v>
      </c>
      <c r="G2092" s="5">
        <v>3000000</v>
      </c>
      <c r="H2092" s="5">
        <v>7770000</v>
      </c>
      <c r="I2092" s="5">
        <v>8070000</v>
      </c>
      <c r="J2092" s="5">
        <v>78200000</v>
      </c>
      <c r="K2092" s="5">
        <v>81200000</v>
      </c>
      <c r="L2092" s="3">
        <v>0.97916666666666663</v>
      </c>
    </row>
    <row r="2093" spans="1:12" x14ac:dyDescent="0.25">
      <c r="A2093" t="s">
        <v>1287</v>
      </c>
      <c r="B2093" s="2">
        <v>45412</v>
      </c>
      <c r="C2093" t="s">
        <v>18</v>
      </c>
      <c r="D2093" t="s">
        <v>1636</v>
      </c>
      <c r="E2093" s="5">
        <v>75800000</v>
      </c>
      <c r="F2093" s="5">
        <v>78800000</v>
      </c>
      <c r="G2093" s="5">
        <v>3000000</v>
      </c>
      <c r="H2093" s="5">
        <v>7580000</v>
      </c>
      <c r="I2093" s="5">
        <v>7880000</v>
      </c>
      <c r="J2093" s="5">
        <v>76300000</v>
      </c>
      <c r="K2093" s="5">
        <v>79300000</v>
      </c>
      <c r="L2093" s="3">
        <v>0.97916666666666663</v>
      </c>
    </row>
    <row r="2094" spans="1:12" x14ac:dyDescent="0.25">
      <c r="A2094" s="2">
        <v>45296</v>
      </c>
      <c r="B2094" s="2">
        <v>45413</v>
      </c>
      <c r="C2094" t="s">
        <v>19</v>
      </c>
      <c r="D2094" t="s">
        <v>1636</v>
      </c>
      <c r="E2094" s="5">
        <v>76100000</v>
      </c>
      <c r="F2094" s="5">
        <v>79100000</v>
      </c>
      <c r="G2094" s="5">
        <v>3000000</v>
      </c>
      <c r="H2094" s="5">
        <v>7610000</v>
      </c>
      <c r="I2094" s="5">
        <v>7910000</v>
      </c>
      <c r="J2094" s="5">
        <v>76600000</v>
      </c>
      <c r="K2094" s="5">
        <v>79600000</v>
      </c>
      <c r="L2094" s="3">
        <v>0.97916666666666663</v>
      </c>
    </row>
    <row r="2095" spans="1:12" x14ac:dyDescent="0.25">
      <c r="A2095" s="2">
        <v>45327</v>
      </c>
      <c r="B2095" s="2">
        <v>45414</v>
      </c>
      <c r="C2095" t="s">
        <v>20</v>
      </c>
      <c r="D2095" t="s">
        <v>1636</v>
      </c>
      <c r="E2095" s="5">
        <v>76100000</v>
      </c>
      <c r="F2095" s="5">
        <v>79100000</v>
      </c>
      <c r="G2095" s="5">
        <v>3000000</v>
      </c>
      <c r="H2095" s="5">
        <v>7610000</v>
      </c>
      <c r="I2095" s="5">
        <v>7910000</v>
      </c>
      <c r="J2095" s="5">
        <v>76600000</v>
      </c>
      <c r="K2095" s="5">
        <v>79600000</v>
      </c>
      <c r="L2095" s="3">
        <v>0.97916666666666663</v>
      </c>
    </row>
    <row r="2096" spans="1:12" x14ac:dyDescent="0.25">
      <c r="A2096" s="2">
        <v>45356</v>
      </c>
      <c r="B2096" s="2">
        <v>45415</v>
      </c>
      <c r="C2096" t="s">
        <v>21</v>
      </c>
      <c r="D2096" t="s">
        <v>1636</v>
      </c>
      <c r="E2096" s="5">
        <v>76100000</v>
      </c>
      <c r="F2096" s="5">
        <v>79100000</v>
      </c>
      <c r="G2096" s="5">
        <v>3000000</v>
      </c>
      <c r="H2096" s="5">
        <v>7610000</v>
      </c>
      <c r="I2096" s="5">
        <v>7910000</v>
      </c>
      <c r="J2096" s="5">
        <v>76600000</v>
      </c>
      <c r="K2096" s="5">
        <v>79600000</v>
      </c>
      <c r="L2096" s="3">
        <v>0.97916666666666663</v>
      </c>
    </row>
    <row r="2097" spans="1:12" x14ac:dyDescent="0.25">
      <c r="A2097" s="2">
        <v>45448</v>
      </c>
      <c r="B2097" s="2">
        <v>45418</v>
      </c>
      <c r="C2097" t="s">
        <v>16</v>
      </c>
      <c r="D2097" t="s">
        <v>1636</v>
      </c>
      <c r="E2097" s="5">
        <v>76900000</v>
      </c>
      <c r="F2097" s="5">
        <v>79900000</v>
      </c>
      <c r="G2097" s="5">
        <v>3000000</v>
      </c>
      <c r="H2097" s="5">
        <v>7690000</v>
      </c>
      <c r="I2097" s="5">
        <v>7990000</v>
      </c>
      <c r="J2097" s="5">
        <v>77400000</v>
      </c>
      <c r="K2097" s="5">
        <v>80400000</v>
      </c>
      <c r="L2097" s="3">
        <v>0.97916666666666663</v>
      </c>
    </row>
    <row r="2098" spans="1:12" x14ac:dyDescent="0.25">
      <c r="A2098" s="2">
        <v>45478</v>
      </c>
      <c r="B2098" s="2">
        <v>45419</v>
      </c>
      <c r="C2098" t="s">
        <v>18</v>
      </c>
      <c r="D2098" t="s">
        <v>1636</v>
      </c>
      <c r="E2098" s="5">
        <v>76700000</v>
      </c>
      <c r="F2098" s="5">
        <v>79700000</v>
      </c>
      <c r="G2098" s="5">
        <v>3000000</v>
      </c>
      <c r="H2098" s="5">
        <v>7670000</v>
      </c>
      <c r="I2098" s="5">
        <v>7970000</v>
      </c>
      <c r="J2098" s="5">
        <v>77200000</v>
      </c>
      <c r="K2098" s="5">
        <v>80200000</v>
      </c>
      <c r="L2098" s="3">
        <v>0.97916666666666663</v>
      </c>
    </row>
    <row r="2099" spans="1:12" x14ac:dyDescent="0.25">
      <c r="A2099" s="2">
        <v>45509</v>
      </c>
      <c r="B2099" s="2">
        <v>45420</v>
      </c>
      <c r="C2099" t="s">
        <v>19</v>
      </c>
      <c r="D2099" t="s">
        <v>1636</v>
      </c>
      <c r="E2099" s="5">
        <v>76600000</v>
      </c>
      <c r="F2099" s="5">
        <v>79600000</v>
      </c>
      <c r="G2099" s="5">
        <v>3000000</v>
      </c>
      <c r="H2099" s="5">
        <v>7660000</v>
      </c>
      <c r="I2099" s="5">
        <v>7960000</v>
      </c>
      <c r="J2099" s="5">
        <v>77100000</v>
      </c>
      <c r="K2099" s="5">
        <v>80100000</v>
      </c>
      <c r="L2099" s="3">
        <v>0.97916666666666663</v>
      </c>
    </row>
    <row r="2100" spans="1:12" x14ac:dyDescent="0.25">
      <c r="A2100" s="2">
        <v>45540</v>
      </c>
      <c r="B2100" s="2">
        <v>45421</v>
      </c>
      <c r="C2100" t="s">
        <v>20</v>
      </c>
      <c r="D2100" t="s">
        <v>1636</v>
      </c>
      <c r="E2100" s="5">
        <v>77200000</v>
      </c>
      <c r="F2100" s="5">
        <v>80200000</v>
      </c>
      <c r="G2100" s="5">
        <v>3000000</v>
      </c>
      <c r="H2100" s="5">
        <v>7720000</v>
      </c>
      <c r="I2100" s="5">
        <v>8020000</v>
      </c>
      <c r="J2100" s="5">
        <v>77700000</v>
      </c>
      <c r="K2100" s="5">
        <v>80700000</v>
      </c>
      <c r="L2100" s="3">
        <v>0.97916666666666663</v>
      </c>
    </row>
    <row r="2101" spans="1:12" x14ac:dyDescent="0.25">
      <c r="A2101" s="2">
        <v>45570</v>
      </c>
      <c r="B2101" s="2">
        <v>45422</v>
      </c>
      <c r="C2101" t="s">
        <v>21</v>
      </c>
      <c r="D2101" t="s">
        <v>1636</v>
      </c>
      <c r="E2101" s="5">
        <v>78400000</v>
      </c>
      <c r="F2101" s="5">
        <v>81400000</v>
      </c>
      <c r="G2101" s="5">
        <v>3000000</v>
      </c>
      <c r="H2101" s="5">
        <v>7840000</v>
      </c>
      <c r="I2101" s="5">
        <v>8140000</v>
      </c>
      <c r="J2101" s="5">
        <v>78900000</v>
      </c>
      <c r="K2101" s="5">
        <v>81900000</v>
      </c>
      <c r="L2101" s="3">
        <v>0.97916666666666663</v>
      </c>
    </row>
    <row r="2102" spans="1:12" x14ac:dyDescent="0.25">
      <c r="A2102" t="s">
        <v>1288</v>
      </c>
      <c r="B2102" s="2">
        <v>45425</v>
      </c>
      <c r="C2102" t="s">
        <v>16</v>
      </c>
      <c r="D2102" t="s">
        <v>1636</v>
      </c>
      <c r="E2102" s="5">
        <v>77400000</v>
      </c>
      <c r="F2102" s="5">
        <v>80400000</v>
      </c>
      <c r="G2102" s="5">
        <v>3000000</v>
      </c>
      <c r="H2102" s="5">
        <v>7740000</v>
      </c>
      <c r="I2102" s="5">
        <v>8040000</v>
      </c>
      <c r="J2102" s="5">
        <v>77900000</v>
      </c>
      <c r="K2102" s="5">
        <v>80900000</v>
      </c>
      <c r="L2102" s="3">
        <v>0.97916666666666663</v>
      </c>
    </row>
    <row r="2103" spans="1:12" x14ac:dyDescent="0.25">
      <c r="A2103" t="s">
        <v>1289</v>
      </c>
      <c r="B2103" s="2">
        <v>45426</v>
      </c>
      <c r="C2103" t="s">
        <v>18</v>
      </c>
      <c r="D2103" t="s">
        <v>1636</v>
      </c>
      <c r="E2103" s="5">
        <v>78000000</v>
      </c>
      <c r="F2103" s="5">
        <v>81000000</v>
      </c>
      <c r="G2103" s="5">
        <v>3000000</v>
      </c>
      <c r="H2103" s="5">
        <v>7800000</v>
      </c>
      <c r="I2103" s="5">
        <v>8100000</v>
      </c>
      <c r="J2103" s="5">
        <v>78500000</v>
      </c>
      <c r="K2103" s="5">
        <v>81500000</v>
      </c>
      <c r="L2103" s="3">
        <v>0.97916666666666663</v>
      </c>
    </row>
    <row r="2104" spans="1:12" x14ac:dyDescent="0.25">
      <c r="A2104" t="s">
        <v>1290</v>
      </c>
      <c r="B2104" s="2">
        <v>45427</v>
      </c>
      <c r="C2104" t="s">
        <v>19</v>
      </c>
      <c r="D2104" t="s">
        <v>1636</v>
      </c>
      <c r="E2104" s="5">
        <v>79200000</v>
      </c>
      <c r="F2104" s="5">
        <v>82200000</v>
      </c>
      <c r="G2104" s="5">
        <v>3000000</v>
      </c>
      <c r="H2104" s="5">
        <v>7920000</v>
      </c>
      <c r="I2104" s="5">
        <v>8220000</v>
      </c>
      <c r="J2104" s="5">
        <v>79700000</v>
      </c>
      <c r="K2104" s="5">
        <v>82700000</v>
      </c>
      <c r="L2104" s="3">
        <v>0.97916666666666663</v>
      </c>
    </row>
    <row r="2105" spans="1:12" x14ac:dyDescent="0.25">
      <c r="A2105" t="s">
        <v>1291</v>
      </c>
      <c r="B2105" s="2">
        <v>45428</v>
      </c>
      <c r="C2105" t="s">
        <v>20</v>
      </c>
      <c r="D2105" t="s">
        <v>1636</v>
      </c>
      <c r="E2105" s="5">
        <v>78900000</v>
      </c>
      <c r="F2105" s="5">
        <v>81900000</v>
      </c>
      <c r="G2105" s="5">
        <v>3000000</v>
      </c>
      <c r="H2105" s="5">
        <v>7890000</v>
      </c>
      <c r="I2105" s="5">
        <v>8190000</v>
      </c>
      <c r="J2105" s="5">
        <v>79400000</v>
      </c>
      <c r="K2105" s="5">
        <v>82400000</v>
      </c>
      <c r="L2105" s="3">
        <v>0.97916666666666663</v>
      </c>
    </row>
    <row r="2106" spans="1:12" x14ac:dyDescent="0.25">
      <c r="A2106" t="s">
        <v>1292</v>
      </c>
      <c r="B2106" s="2">
        <v>45429</v>
      </c>
      <c r="C2106" t="s">
        <v>21</v>
      </c>
      <c r="D2106" t="s">
        <v>1636</v>
      </c>
      <c r="E2106" s="5">
        <v>80000000</v>
      </c>
      <c r="F2106" s="5">
        <v>83000000</v>
      </c>
      <c r="G2106" s="5">
        <v>3000000</v>
      </c>
      <c r="H2106" s="5">
        <v>8000000</v>
      </c>
      <c r="I2106" s="5">
        <v>8300000</v>
      </c>
      <c r="J2106" s="5">
        <v>80500000</v>
      </c>
      <c r="K2106" s="5">
        <v>83500000</v>
      </c>
      <c r="L2106" s="3">
        <v>0.97916666666666663</v>
      </c>
    </row>
    <row r="2107" spans="1:12" x14ac:dyDescent="0.25">
      <c r="A2107" t="s">
        <v>1293</v>
      </c>
      <c r="B2107" s="2">
        <v>45432</v>
      </c>
      <c r="C2107" t="s">
        <v>16</v>
      </c>
      <c r="D2107" t="s">
        <v>1636</v>
      </c>
      <c r="E2107" s="5">
        <v>80700000</v>
      </c>
      <c r="F2107" s="5">
        <v>83700000</v>
      </c>
      <c r="G2107" s="5">
        <v>3000000</v>
      </c>
      <c r="H2107" s="5">
        <v>8070000</v>
      </c>
      <c r="I2107" s="5">
        <v>8370000</v>
      </c>
      <c r="J2107" s="5">
        <v>81200000</v>
      </c>
      <c r="K2107" s="5">
        <v>84200000</v>
      </c>
      <c r="L2107" s="3">
        <v>0.97916666666666663</v>
      </c>
    </row>
    <row r="2108" spans="1:12" x14ac:dyDescent="0.25">
      <c r="A2108" t="s">
        <v>1294</v>
      </c>
      <c r="B2108" s="2">
        <v>45433</v>
      </c>
      <c r="C2108" t="s">
        <v>18</v>
      </c>
      <c r="D2108" t="s">
        <v>1636</v>
      </c>
      <c r="E2108" s="5">
        <v>80300000</v>
      </c>
      <c r="F2108" s="5">
        <v>83300000</v>
      </c>
      <c r="G2108" s="5">
        <v>3000000</v>
      </c>
      <c r="H2108" s="5">
        <v>8030000</v>
      </c>
      <c r="I2108" s="5">
        <v>8330000</v>
      </c>
      <c r="J2108" s="5">
        <v>80800000</v>
      </c>
      <c r="K2108" s="5">
        <v>83800000</v>
      </c>
      <c r="L2108" s="3">
        <v>0.97916666666666663</v>
      </c>
    </row>
    <row r="2109" spans="1:12" x14ac:dyDescent="0.25">
      <c r="A2109" t="s">
        <v>1295</v>
      </c>
      <c r="B2109" s="2">
        <v>45434</v>
      </c>
      <c r="C2109" t="s">
        <v>19</v>
      </c>
      <c r="D2109" t="s">
        <v>1636</v>
      </c>
      <c r="E2109" s="5">
        <v>79200000</v>
      </c>
      <c r="F2109" s="5">
        <v>82200000</v>
      </c>
      <c r="G2109" s="5">
        <v>3000000</v>
      </c>
      <c r="H2109" s="5">
        <v>7920000</v>
      </c>
      <c r="I2109" s="5">
        <v>8220000</v>
      </c>
      <c r="J2109" s="5">
        <v>79700000</v>
      </c>
      <c r="K2109" s="5">
        <v>82700000</v>
      </c>
      <c r="L2109" s="3">
        <v>0.97916666666666663</v>
      </c>
    </row>
    <row r="2110" spans="1:12" x14ac:dyDescent="0.25">
      <c r="A2110" t="s">
        <v>1296</v>
      </c>
      <c r="B2110" s="2">
        <v>45435</v>
      </c>
      <c r="C2110" t="s">
        <v>20</v>
      </c>
      <c r="D2110" t="s">
        <v>1636</v>
      </c>
      <c r="E2110" s="5">
        <v>77300000</v>
      </c>
      <c r="F2110" s="5">
        <v>80300000</v>
      </c>
      <c r="G2110" s="5">
        <v>3000000</v>
      </c>
      <c r="H2110" s="5">
        <v>7730000</v>
      </c>
      <c r="I2110" s="5">
        <v>8030000</v>
      </c>
      <c r="J2110" s="5">
        <v>77800000</v>
      </c>
      <c r="K2110" s="5">
        <v>80800000</v>
      </c>
      <c r="L2110" s="3">
        <v>0.97916666666666663</v>
      </c>
    </row>
    <row r="2111" spans="1:12" x14ac:dyDescent="0.25">
      <c r="A2111" t="s">
        <v>1297</v>
      </c>
      <c r="B2111" s="2">
        <v>45436</v>
      </c>
      <c r="C2111" t="s">
        <v>21</v>
      </c>
      <c r="D2111" t="s">
        <v>1636</v>
      </c>
      <c r="E2111" s="5">
        <v>77200000</v>
      </c>
      <c r="F2111" s="5">
        <v>80200000</v>
      </c>
      <c r="G2111" s="5">
        <v>3000000</v>
      </c>
      <c r="H2111" s="5">
        <v>7720000</v>
      </c>
      <c r="I2111" s="5">
        <v>8020000</v>
      </c>
      <c r="J2111" s="5">
        <v>77700000</v>
      </c>
      <c r="K2111" s="5">
        <v>80700000</v>
      </c>
      <c r="L2111" s="3">
        <v>0.97916666666666663</v>
      </c>
    </row>
    <row r="2112" spans="1:12" x14ac:dyDescent="0.25">
      <c r="A2112" t="s">
        <v>1298</v>
      </c>
      <c r="B2112" s="2">
        <v>45440</v>
      </c>
      <c r="C2112" t="s">
        <v>18</v>
      </c>
      <c r="D2112" t="s">
        <v>1636</v>
      </c>
      <c r="E2112" s="5">
        <v>78000000</v>
      </c>
      <c r="F2112" s="5">
        <v>81000000</v>
      </c>
      <c r="G2112" s="5">
        <v>3000000</v>
      </c>
      <c r="H2112" s="5">
        <v>7800000</v>
      </c>
      <c r="I2112" s="5">
        <v>8100000</v>
      </c>
      <c r="J2112" s="5">
        <v>78500000</v>
      </c>
      <c r="K2112" s="5">
        <v>81500000</v>
      </c>
      <c r="L2112" s="3">
        <v>0.97916666666666663</v>
      </c>
    </row>
    <row r="2113" spans="1:12" x14ac:dyDescent="0.25">
      <c r="A2113" t="s">
        <v>1299</v>
      </c>
      <c r="B2113" s="2">
        <v>45441</v>
      </c>
      <c r="C2113" t="s">
        <v>19</v>
      </c>
      <c r="D2113" t="s">
        <v>1636</v>
      </c>
      <c r="E2113" s="5">
        <v>77500000</v>
      </c>
      <c r="F2113" s="5">
        <v>80500000</v>
      </c>
      <c r="G2113" s="5">
        <v>3000000</v>
      </c>
      <c r="H2113" s="5">
        <v>7750000</v>
      </c>
      <c r="I2113" s="5">
        <v>8050000</v>
      </c>
      <c r="J2113" s="5">
        <v>78000000</v>
      </c>
      <c r="K2113" s="5">
        <v>81000000</v>
      </c>
      <c r="L2113" s="3">
        <v>0.97916666666666663</v>
      </c>
    </row>
    <row r="2114" spans="1:12" x14ac:dyDescent="0.25">
      <c r="A2114" t="s">
        <v>1300</v>
      </c>
      <c r="B2114" s="2">
        <v>45442</v>
      </c>
      <c r="C2114" t="s">
        <v>20</v>
      </c>
      <c r="D2114" t="s">
        <v>1636</v>
      </c>
      <c r="E2114" s="5">
        <v>77600000</v>
      </c>
      <c r="F2114" s="5">
        <v>80600000</v>
      </c>
      <c r="G2114" s="5">
        <v>3000000</v>
      </c>
      <c r="H2114" s="5">
        <v>7760000</v>
      </c>
      <c r="I2114" s="5">
        <v>8060000</v>
      </c>
      <c r="J2114" s="5">
        <v>78100000</v>
      </c>
      <c r="K2114" s="5">
        <v>81100000</v>
      </c>
      <c r="L2114" s="3">
        <v>0.97916666666666663</v>
      </c>
    </row>
    <row r="2115" spans="1:12" x14ac:dyDescent="0.25">
      <c r="A2115" t="s">
        <v>1301</v>
      </c>
      <c r="B2115" s="2">
        <v>45443</v>
      </c>
      <c r="C2115" t="s">
        <v>21</v>
      </c>
      <c r="D2115" t="s">
        <v>1636</v>
      </c>
      <c r="E2115" s="5">
        <v>76900000</v>
      </c>
      <c r="F2115" s="5">
        <v>79900000</v>
      </c>
      <c r="G2115" s="5">
        <v>3000000</v>
      </c>
      <c r="H2115" s="5">
        <v>7690000</v>
      </c>
      <c r="I2115" s="5">
        <v>7990000</v>
      </c>
      <c r="J2115" s="5">
        <v>77400000</v>
      </c>
      <c r="K2115" s="5">
        <v>80400000</v>
      </c>
      <c r="L2115" s="3">
        <v>0.97916666666666663</v>
      </c>
    </row>
    <row r="2116" spans="1:12" x14ac:dyDescent="0.25">
      <c r="A2116" s="2">
        <v>45357</v>
      </c>
      <c r="B2116" s="2">
        <v>45446</v>
      </c>
      <c r="C2116" t="s">
        <v>16</v>
      </c>
      <c r="D2116" t="s">
        <v>1636</v>
      </c>
      <c r="E2116" s="5">
        <v>77700000</v>
      </c>
      <c r="F2116" s="5">
        <v>80700000</v>
      </c>
      <c r="G2116" s="5">
        <v>3000000</v>
      </c>
      <c r="H2116" s="5">
        <v>7770000</v>
      </c>
      <c r="I2116" s="5">
        <v>8070000</v>
      </c>
      <c r="J2116" s="5">
        <v>78200000</v>
      </c>
      <c r="K2116" s="5">
        <v>81200000</v>
      </c>
      <c r="L2116" s="3">
        <v>0.97916666666666663</v>
      </c>
    </row>
    <row r="2117" spans="1:12" x14ac:dyDescent="0.25">
      <c r="A2117" s="2">
        <v>45388</v>
      </c>
      <c r="B2117" s="2">
        <v>45447</v>
      </c>
      <c r="C2117" t="s">
        <v>18</v>
      </c>
      <c r="D2117" t="s">
        <v>1636</v>
      </c>
      <c r="E2117" s="5">
        <v>77000000</v>
      </c>
      <c r="F2117" s="5">
        <v>80000000</v>
      </c>
      <c r="G2117" s="5">
        <v>3000000</v>
      </c>
      <c r="H2117" s="5">
        <v>7700000</v>
      </c>
      <c r="I2117" s="5">
        <v>8000000</v>
      </c>
      <c r="J2117" s="5">
        <v>77500000</v>
      </c>
      <c r="K2117" s="5">
        <v>80500000</v>
      </c>
      <c r="L2117" s="3">
        <v>0.97916666666666663</v>
      </c>
    </row>
    <row r="2118" spans="1:12" x14ac:dyDescent="0.25">
      <c r="A2118" s="2">
        <v>45418</v>
      </c>
      <c r="B2118" s="2">
        <v>45448</v>
      </c>
      <c r="C2118" t="s">
        <v>19</v>
      </c>
      <c r="D2118" t="s">
        <v>1636</v>
      </c>
      <c r="E2118" s="5">
        <v>78000000</v>
      </c>
      <c r="F2118" s="5">
        <v>81000000</v>
      </c>
      <c r="G2118" s="5">
        <v>3000000</v>
      </c>
      <c r="H2118" s="5">
        <v>7800000</v>
      </c>
      <c r="I2118" s="5">
        <v>8100000</v>
      </c>
      <c r="J2118" s="5">
        <v>78500000</v>
      </c>
      <c r="K2118" s="5">
        <v>81500000</v>
      </c>
      <c r="L2118" s="3">
        <v>0.97916666666666663</v>
      </c>
    </row>
    <row r="2119" spans="1:12" x14ac:dyDescent="0.25">
      <c r="A2119" s="2">
        <v>45449</v>
      </c>
      <c r="B2119" s="2">
        <v>45449</v>
      </c>
      <c r="C2119" t="s">
        <v>20</v>
      </c>
      <c r="D2119" t="s">
        <v>1636</v>
      </c>
      <c r="E2119" s="5">
        <v>78500000</v>
      </c>
      <c r="F2119" s="5">
        <v>81500000</v>
      </c>
      <c r="G2119" s="5">
        <v>3000000</v>
      </c>
      <c r="H2119" s="5">
        <v>7850000</v>
      </c>
      <c r="I2119" s="5">
        <v>8150000</v>
      </c>
      <c r="J2119" s="5">
        <v>79000000</v>
      </c>
      <c r="K2119" s="5">
        <v>82000000</v>
      </c>
      <c r="L2119" s="3">
        <v>0.97916666666666663</v>
      </c>
    </row>
    <row r="2120" spans="1:12" x14ac:dyDescent="0.25">
      <c r="A2120" s="2">
        <v>45479</v>
      </c>
      <c r="B2120" s="2">
        <v>45450</v>
      </c>
      <c r="C2120" t="s">
        <v>21</v>
      </c>
      <c r="D2120" t="s">
        <v>1636</v>
      </c>
      <c r="E2120" s="5">
        <v>76300000</v>
      </c>
      <c r="F2120" s="5">
        <v>79300000</v>
      </c>
      <c r="G2120" s="5">
        <v>3000000</v>
      </c>
      <c r="H2120" s="5">
        <v>7630000</v>
      </c>
      <c r="I2120" s="5">
        <v>7930000</v>
      </c>
      <c r="J2120" s="5">
        <v>76800000</v>
      </c>
      <c r="K2120" s="5">
        <v>79800000</v>
      </c>
      <c r="L2120" s="3">
        <v>0.97916666666666663</v>
      </c>
    </row>
    <row r="2121" spans="1:12" x14ac:dyDescent="0.25">
      <c r="A2121" s="2">
        <v>45571</v>
      </c>
      <c r="B2121" s="2">
        <v>45453</v>
      </c>
      <c r="C2121" t="s">
        <v>16</v>
      </c>
      <c r="D2121" t="s">
        <v>1636</v>
      </c>
      <c r="E2121" s="5">
        <v>76400000</v>
      </c>
      <c r="F2121" s="5">
        <v>79400000</v>
      </c>
      <c r="G2121" s="5">
        <v>3000000</v>
      </c>
      <c r="H2121" s="5">
        <v>7640000</v>
      </c>
      <c r="I2121" s="5">
        <v>7940000</v>
      </c>
      <c r="J2121" s="5">
        <v>76900000</v>
      </c>
      <c r="K2121" s="5">
        <v>79900000</v>
      </c>
      <c r="L2121" s="3">
        <v>0.97916666666666663</v>
      </c>
    </row>
    <row r="2122" spans="1:12" x14ac:dyDescent="0.25">
      <c r="A2122" s="2">
        <v>45602</v>
      </c>
      <c r="B2122" s="2">
        <v>45454</v>
      </c>
      <c r="C2122" t="s">
        <v>18</v>
      </c>
      <c r="D2122" t="s">
        <v>1636</v>
      </c>
      <c r="E2122" s="5">
        <v>76400000</v>
      </c>
      <c r="F2122" s="5">
        <v>79400000</v>
      </c>
      <c r="G2122" s="5">
        <v>3000000</v>
      </c>
      <c r="H2122" s="5">
        <v>7640000</v>
      </c>
      <c r="I2122" s="5">
        <v>7940000</v>
      </c>
      <c r="J2122" s="5">
        <v>76900000</v>
      </c>
      <c r="K2122" s="5">
        <v>79900000</v>
      </c>
      <c r="L2122" s="3">
        <v>0.97916666666666663</v>
      </c>
    </row>
    <row r="2123" spans="1:12" x14ac:dyDescent="0.25">
      <c r="A2123" s="2">
        <v>45632</v>
      </c>
      <c r="B2123" s="2">
        <v>45455</v>
      </c>
      <c r="C2123" t="s">
        <v>19</v>
      </c>
      <c r="D2123" t="s">
        <v>1636</v>
      </c>
      <c r="E2123" s="5">
        <v>77400000</v>
      </c>
      <c r="F2123" s="5">
        <v>80400000</v>
      </c>
      <c r="G2123" s="5">
        <v>3000000</v>
      </c>
      <c r="H2123" s="5">
        <v>7740000</v>
      </c>
      <c r="I2123" s="5">
        <v>8040000</v>
      </c>
      <c r="J2123" s="5">
        <v>77900000</v>
      </c>
      <c r="K2123" s="5">
        <v>80900000</v>
      </c>
      <c r="L2123" s="3">
        <v>0.97916666666666663</v>
      </c>
    </row>
    <row r="2124" spans="1:12" x14ac:dyDescent="0.25">
      <c r="A2124" t="s">
        <v>1302</v>
      </c>
      <c r="B2124" s="2">
        <v>45456</v>
      </c>
      <c r="C2124" t="s">
        <v>20</v>
      </c>
      <c r="D2124" t="s">
        <v>1636</v>
      </c>
      <c r="E2124" s="5">
        <v>76100000</v>
      </c>
      <c r="F2124" s="5">
        <v>79100000</v>
      </c>
      <c r="G2124" s="5">
        <v>3000000</v>
      </c>
      <c r="H2124" s="5">
        <v>7610000</v>
      </c>
      <c r="I2124" s="5">
        <v>7910000</v>
      </c>
      <c r="J2124" s="5">
        <v>76600000</v>
      </c>
      <c r="K2124" s="5">
        <v>79600000</v>
      </c>
      <c r="L2124" s="3">
        <v>0.97916666666666663</v>
      </c>
    </row>
    <row r="2125" spans="1:12" x14ac:dyDescent="0.25">
      <c r="A2125" t="s">
        <v>1303</v>
      </c>
      <c r="B2125" s="2">
        <v>45457</v>
      </c>
      <c r="C2125" t="s">
        <v>21</v>
      </c>
      <c r="D2125" t="s">
        <v>1636</v>
      </c>
      <c r="E2125" s="5">
        <v>77200000</v>
      </c>
      <c r="F2125" s="5">
        <v>80200000</v>
      </c>
      <c r="G2125" s="5">
        <v>3000000</v>
      </c>
      <c r="H2125" s="5">
        <v>7720000</v>
      </c>
      <c r="I2125" s="5">
        <v>8020000</v>
      </c>
      <c r="J2125" s="5">
        <v>77700000</v>
      </c>
      <c r="K2125" s="5">
        <v>80700000</v>
      </c>
      <c r="L2125" s="3">
        <v>0.97916666666666663</v>
      </c>
    </row>
    <row r="2126" spans="1:12" x14ac:dyDescent="0.25">
      <c r="A2126" t="s">
        <v>1304</v>
      </c>
      <c r="B2126" s="2">
        <v>45460</v>
      </c>
      <c r="C2126" t="s">
        <v>16</v>
      </c>
      <c r="D2126" t="s">
        <v>1636</v>
      </c>
      <c r="E2126" s="5">
        <v>76600000</v>
      </c>
      <c r="F2126" s="5">
        <v>79600000</v>
      </c>
      <c r="G2126" s="5">
        <v>3000000</v>
      </c>
      <c r="H2126" s="5">
        <v>7660000</v>
      </c>
      <c r="I2126" s="5">
        <v>7960000</v>
      </c>
      <c r="J2126" s="5">
        <v>77100000</v>
      </c>
      <c r="K2126" s="5">
        <v>80100000</v>
      </c>
      <c r="L2126" s="3">
        <v>0.97916666666666663</v>
      </c>
    </row>
    <row r="2127" spans="1:12" x14ac:dyDescent="0.25">
      <c r="A2127" t="s">
        <v>1305</v>
      </c>
      <c r="B2127" s="2">
        <v>45461</v>
      </c>
      <c r="C2127" t="s">
        <v>18</v>
      </c>
      <c r="D2127" t="s">
        <v>1636</v>
      </c>
      <c r="E2127" s="5">
        <v>77200000</v>
      </c>
      <c r="F2127" s="5">
        <v>80200000</v>
      </c>
      <c r="G2127" s="5">
        <v>3000000</v>
      </c>
      <c r="H2127" s="5">
        <v>7720000</v>
      </c>
      <c r="I2127" s="5">
        <v>8020000</v>
      </c>
      <c r="J2127" s="5">
        <v>77700000</v>
      </c>
      <c r="K2127" s="5">
        <v>80700000</v>
      </c>
      <c r="L2127" s="3">
        <v>0.97916666666666663</v>
      </c>
    </row>
    <row r="2128" spans="1:12" x14ac:dyDescent="0.25">
      <c r="A2128" t="s">
        <v>1306</v>
      </c>
      <c r="B2128" s="2">
        <v>45463</v>
      </c>
      <c r="C2128" t="s">
        <v>20</v>
      </c>
      <c r="D2128" t="s">
        <v>1636</v>
      </c>
      <c r="E2128" s="5">
        <v>78000000</v>
      </c>
      <c r="F2128" s="5">
        <v>81000000</v>
      </c>
      <c r="G2128" s="5">
        <v>3000000</v>
      </c>
      <c r="H2128" s="5">
        <v>7800000</v>
      </c>
      <c r="I2128" s="5">
        <v>8100000</v>
      </c>
      <c r="J2128" s="5">
        <v>78500000</v>
      </c>
      <c r="K2128" s="5">
        <v>81500000</v>
      </c>
      <c r="L2128" s="3">
        <v>0.97916666666666663</v>
      </c>
    </row>
    <row r="2129" spans="1:12" x14ac:dyDescent="0.25">
      <c r="A2129" t="s">
        <v>1307</v>
      </c>
      <c r="B2129" s="2">
        <v>45464</v>
      </c>
      <c r="C2129" t="s">
        <v>21</v>
      </c>
      <c r="D2129" t="s">
        <v>1636</v>
      </c>
      <c r="E2129" s="5">
        <v>76700000</v>
      </c>
      <c r="F2129" s="5">
        <v>79700000</v>
      </c>
      <c r="G2129" s="5">
        <v>3000000</v>
      </c>
      <c r="H2129" s="5">
        <v>7670000</v>
      </c>
      <c r="I2129" s="5">
        <v>7970000</v>
      </c>
      <c r="J2129" s="5">
        <v>77200000</v>
      </c>
      <c r="K2129" s="5">
        <v>80200000</v>
      </c>
      <c r="L2129" s="3">
        <v>0.97916666666666663</v>
      </c>
    </row>
    <row r="2130" spans="1:12" x14ac:dyDescent="0.25">
      <c r="A2130" t="s">
        <v>1308</v>
      </c>
      <c r="B2130" s="2">
        <v>45467</v>
      </c>
      <c r="C2130" t="s">
        <v>16</v>
      </c>
      <c r="D2130" t="s">
        <v>1636</v>
      </c>
      <c r="E2130" s="5">
        <v>77200000</v>
      </c>
      <c r="F2130" s="5">
        <v>80200000</v>
      </c>
      <c r="G2130" s="5">
        <v>3000000</v>
      </c>
      <c r="H2130" s="5">
        <v>7720000</v>
      </c>
      <c r="I2130" s="5">
        <v>8020000</v>
      </c>
      <c r="J2130" s="5">
        <v>77700000</v>
      </c>
      <c r="K2130" s="5">
        <v>80700000</v>
      </c>
      <c r="L2130" s="3">
        <v>0.97916666666666663</v>
      </c>
    </row>
    <row r="2131" spans="1:12" x14ac:dyDescent="0.25">
      <c r="A2131" t="s">
        <v>1309</v>
      </c>
      <c r="B2131" s="2">
        <v>45468</v>
      </c>
      <c r="C2131" t="s">
        <v>18</v>
      </c>
      <c r="D2131" t="s">
        <v>1636</v>
      </c>
      <c r="E2131" s="5">
        <v>76700000</v>
      </c>
      <c r="F2131" s="5">
        <v>79700000</v>
      </c>
      <c r="G2131" s="5">
        <v>3000000</v>
      </c>
      <c r="H2131" s="5">
        <v>7670000</v>
      </c>
      <c r="I2131" s="5">
        <v>7970000</v>
      </c>
      <c r="J2131" s="5">
        <v>77200000</v>
      </c>
      <c r="K2131" s="5">
        <v>80200000</v>
      </c>
      <c r="L2131" s="3">
        <v>0.97916666666666663</v>
      </c>
    </row>
    <row r="2132" spans="1:12" x14ac:dyDescent="0.25">
      <c r="A2132" t="s">
        <v>1310</v>
      </c>
      <c r="B2132" s="2">
        <v>45469</v>
      </c>
      <c r="C2132" t="s">
        <v>19</v>
      </c>
      <c r="D2132" t="s">
        <v>1636</v>
      </c>
      <c r="E2132" s="5">
        <v>76100000</v>
      </c>
      <c r="F2132" s="5">
        <v>79100000</v>
      </c>
      <c r="G2132" s="5">
        <v>3000000</v>
      </c>
      <c r="H2132" s="5">
        <v>7610000</v>
      </c>
      <c r="I2132" s="5">
        <v>7910000</v>
      </c>
      <c r="J2132" s="5">
        <v>76600000</v>
      </c>
      <c r="K2132" s="5">
        <v>79600000</v>
      </c>
      <c r="L2132" s="3">
        <v>0.97916666666666663</v>
      </c>
    </row>
    <row r="2133" spans="1:12" x14ac:dyDescent="0.25">
      <c r="A2133" t="s">
        <v>1311</v>
      </c>
      <c r="B2133" s="2">
        <v>45470</v>
      </c>
      <c r="C2133" t="s">
        <v>20</v>
      </c>
      <c r="D2133" t="s">
        <v>1636</v>
      </c>
      <c r="E2133" s="5">
        <v>77000000</v>
      </c>
      <c r="F2133" s="5">
        <v>80000000</v>
      </c>
      <c r="G2133" s="5">
        <v>3000000</v>
      </c>
      <c r="H2133" s="5">
        <v>7700000</v>
      </c>
      <c r="I2133" s="5">
        <v>8000000</v>
      </c>
      <c r="J2133" s="5">
        <v>77500000</v>
      </c>
      <c r="K2133" s="5">
        <v>80500000</v>
      </c>
      <c r="L2133" s="3">
        <v>0.97916666666666663</v>
      </c>
    </row>
    <row r="2134" spans="1:12" x14ac:dyDescent="0.25">
      <c r="A2134" t="s">
        <v>1312</v>
      </c>
      <c r="B2134" s="2">
        <v>45471</v>
      </c>
      <c r="C2134" t="s">
        <v>21</v>
      </c>
      <c r="D2134" t="s">
        <v>1636</v>
      </c>
      <c r="E2134" s="5">
        <v>77100000</v>
      </c>
      <c r="F2134" s="5">
        <v>80100000</v>
      </c>
      <c r="G2134" s="5">
        <v>3000000</v>
      </c>
      <c r="H2134" s="5">
        <v>7710000</v>
      </c>
      <c r="I2134" s="5">
        <v>8010000</v>
      </c>
      <c r="J2134" s="5">
        <v>77600000</v>
      </c>
      <c r="K2134" s="5">
        <v>80600000</v>
      </c>
      <c r="L2134" s="3">
        <v>0.97916666666666663</v>
      </c>
    </row>
    <row r="2135" spans="1:12" x14ac:dyDescent="0.25">
      <c r="A2135" s="2">
        <v>45298</v>
      </c>
      <c r="B2135" s="2">
        <v>45474</v>
      </c>
      <c r="C2135" t="s">
        <v>16</v>
      </c>
      <c r="D2135" t="s">
        <v>1636</v>
      </c>
      <c r="E2135" s="5">
        <v>77100000</v>
      </c>
      <c r="F2135" s="5">
        <v>80100000</v>
      </c>
      <c r="G2135" s="5">
        <v>3000000</v>
      </c>
      <c r="H2135" s="5">
        <v>7710000</v>
      </c>
      <c r="I2135" s="5">
        <v>8010000</v>
      </c>
      <c r="J2135" s="5">
        <v>77600000</v>
      </c>
      <c r="K2135" s="5">
        <v>80600000</v>
      </c>
      <c r="L2135" s="3">
        <v>0.97916666666666663</v>
      </c>
    </row>
    <row r="2136" spans="1:12" x14ac:dyDescent="0.25">
      <c r="A2136" s="2">
        <v>45329</v>
      </c>
      <c r="B2136" s="2">
        <v>45475</v>
      </c>
      <c r="C2136" t="s">
        <v>18</v>
      </c>
      <c r="D2136" t="s">
        <v>1636</v>
      </c>
      <c r="E2136" s="5">
        <v>76900000</v>
      </c>
      <c r="F2136" s="5">
        <v>79900000</v>
      </c>
      <c r="G2136" s="5">
        <v>3000000</v>
      </c>
      <c r="H2136" s="5">
        <v>7690000</v>
      </c>
      <c r="I2136" s="5">
        <v>7990000</v>
      </c>
      <c r="J2136" s="5">
        <v>77400000</v>
      </c>
      <c r="K2136" s="5">
        <v>80400000</v>
      </c>
      <c r="L2136" s="3">
        <v>0.97916666666666663</v>
      </c>
    </row>
    <row r="2137" spans="1:12" x14ac:dyDescent="0.25">
      <c r="A2137" s="2">
        <v>45358</v>
      </c>
      <c r="B2137" s="2">
        <v>45476</v>
      </c>
      <c r="C2137" t="s">
        <v>19</v>
      </c>
      <c r="D2137" t="s">
        <v>1636</v>
      </c>
      <c r="E2137" s="5">
        <v>78200000</v>
      </c>
      <c r="F2137" s="5">
        <v>81200000</v>
      </c>
      <c r="G2137" s="5">
        <v>3000000</v>
      </c>
      <c r="H2137" s="5">
        <v>7820000</v>
      </c>
      <c r="I2137" s="5">
        <v>8120000</v>
      </c>
      <c r="J2137" s="5">
        <v>78700000</v>
      </c>
      <c r="K2137" s="5">
        <v>81700000</v>
      </c>
      <c r="L2137" s="3">
        <v>0.97916666666666663</v>
      </c>
    </row>
    <row r="2138" spans="1:12" x14ac:dyDescent="0.25">
      <c r="A2138" s="2">
        <v>45419</v>
      </c>
      <c r="B2138" s="2">
        <v>45478</v>
      </c>
      <c r="C2138" t="s">
        <v>21</v>
      </c>
      <c r="D2138" t="s">
        <v>1636</v>
      </c>
      <c r="E2138" s="5">
        <v>79200000</v>
      </c>
      <c r="F2138" s="5">
        <v>82200000</v>
      </c>
      <c r="G2138" s="5">
        <v>3000000</v>
      </c>
      <c r="H2138" s="5">
        <v>7920000</v>
      </c>
      <c r="I2138" s="5">
        <v>8220000</v>
      </c>
      <c r="J2138" s="5">
        <v>79700000</v>
      </c>
      <c r="K2138" s="5">
        <v>82700000</v>
      </c>
      <c r="L2138" s="3">
        <v>0.97916666666666663</v>
      </c>
    </row>
    <row r="2139" spans="1:12" x14ac:dyDescent="0.25">
      <c r="A2139" s="2">
        <v>45511</v>
      </c>
      <c r="B2139" s="2">
        <v>45481</v>
      </c>
      <c r="C2139" t="s">
        <v>16</v>
      </c>
      <c r="D2139" t="s">
        <v>1636</v>
      </c>
      <c r="E2139" s="5">
        <v>78000000</v>
      </c>
      <c r="F2139" s="5">
        <v>81000000</v>
      </c>
      <c r="G2139" s="5">
        <v>3000000</v>
      </c>
      <c r="H2139" s="5">
        <v>7800000</v>
      </c>
      <c r="I2139" s="5">
        <v>8100000</v>
      </c>
      <c r="J2139" s="5">
        <v>78500000</v>
      </c>
      <c r="K2139" s="5">
        <v>81500000</v>
      </c>
      <c r="L2139" s="3">
        <v>0.97916666666666663</v>
      </c>
    </row>
    <row r="2140" spans="1:12" x14ac:dyDescent="0.25">
      <c r="A2140" s="2">
        <v>45542</v>
      </c>
      <c r="B2140" s="2">
        <v>45482</v>
      </c>
      <c r="C2140" t="s">
        <v>18</v>
      </c>
      <c r="D2140" t="s">
        <v>1636</v>
      </c>
      <c r="E2140" s="5">
        <v>78200000</v>
      </c>
      <c r="F2140" s="5">
        <v>81200000</v>
      </c>
      <c r="G2140" s="5">
        <v>3000000</v>
      </c>
      <c r="H2140" s="5">
        <v>7820000</v>
      </c>
      <c r="I2140" s="5">
        <v>8120000</v>
      </c>
      <c r="J2140" s="5">
        <v>78700000</v>
      </c>
      <c r="K2140" s="5">
        <v>81700000</v>
      </c>
      <c r="L2140" s="3">
        <v>0.97916666666666663</v>
      </c>
    </row>
    <row r="2141" spans="1:12" x14ac:dyDescent="0.25">
      <c r="A2141" s="2">
        <v>45572</v>
      </c>
      <c r="B2141" s="2">
        <v>45483</v>
      </c>
      <c r="C2141" t="s">
        <v>19</v>
      </c>
      <c r="D2141" t="s">
        <v>1636</v>
      </c>
      <c r="E2141" s="5">
        <v>78600000</v>
      </c>
      <c r="F2141" s="5">
        <v>81600000</v>
      </c>
      <c r="G2141" s="5">
        <v>3000000</v>
      </c>
      <c r="H2141" s="5">
        <v>7860000</v>
      </c>
      <c r="I2141" s="5">
        <v>8160000</v>
      </c>
      <c r="J2141" s="5">
        <v>79100000</v>
      </c>
      <c r="K2141" s="5">
        <v>82100000</v>
      </c>
      <c r="L2141" s="3">
        <v>0.97916666666666663</v>
      </c>
    </row>
    <row r="2142" spans="1:12" x14ac:dyDescent="0.25">
      <c r="A2142" s="2">
        <v>45603</v>
      </c>
      <c r="B2142" s="2">
        <v>45484</v>
      </c>
      <c r="C2142" t="s">
        <v>20</v>
      </c>
      <c r="D2142" t="s">
        <v>1636</v>
      </c>
      <c r="E2142" s="5">
        <v>80100000</v>
      </c>
      <c r="F2142" s="5">
        <v>83100000</v>
      </c>
      <c r="G2142" s="5">
        <v>3000000</v>
      </c>
      <c r="H2142" s="5">
        <v>8010000</v>
      </c>
      <c r="I2142" s="5">
        <v>8310000</v>
      </c>
      <c r="J2142" s="5">
        <v>80600000</v>
      </c>
      <c r="K2142" s="5">
        <v>83600000</v>
      </c>
      <c r="L2142" s="3">
        <v>0.97916666666666663</v>
      </c>
    </row>
    <row r="2143" spans="1:12" x14ac:dyDescent="0.25">
      <c r="A2143" s="2">
        <v>45633</v>
      </c>
      <c r="B2143" s="2">
        <v>45485</v>
      </c>
      <c r="C2143" t="s">
        <v>21</v>
      </c>
      <c r="D2143" t="s">
        <v>1636</v>
      </c>
      <c r="E2143" s="5">
        <v>80100000</v>
      </c>
      <c r="F2143" s="5">
        <v>83100000</v>
      </c>
      <c r="G2143" s="5">
        <v>3000000</v>
      </c>
      <c r="H2143" s="5">
        <v>8010000</v>
      </c>
      <c r="I2143" s="5">
        <v>8310000</v>
      </c>
      <c r="J2143" s="5">
        <v>80600000</v>
      </c>
      <c r="K2143" s="5">
        <v>83600000</v>
      </c>
      <c r="L2143" s="3">
        <v>0.97916666666666663</v>
      </c>
    </row>
    <row r="2144" spans="1:12" x14ac:dyDescent="0.25">
      <c r="A2144" t="s">
        <v>1313</v>
      </c>
      <c r="B2144" s="2">
        <v>45488</v>
      </c>
      <c r="C2144" t="s">
        <v>16</v>
      </c>
      <c r="D2144" t="s">
        <v>1636</v>
      </c>
      <c r="E2144" s="5">
        <v>80400000</v>
      </c>
      <c r="F2144" s="5">
        <v>83400000</v>
      </c>
      <c r="G2144" s="5">
        <v>3000000</v>
      </c>
      <c r="H2144" s="5">
        <v>8040000</v>
      </c>
      <c r="I2144" s="5">
        <v>8340000</v>
      </c>
      <c r="J2144" s="5">
        <v>80900000</v>
      </c>
      <c r="K2144" s="5">
        <v>83900000</v>
      </c>
      <c r="L2144" s="3">
        <v>0.97916666666666663</v>
      </c>
    </row>
    <row r="2145" spans="1:12" x14ac:dyDescent="0.25">
      <c r="A2145" t="s">
        <v>1314</v>
      </c>
      <c r="B2145" s="2">
        <v>45489</v>
      </c>
      <c r="C2145" t="s">
        <v>18</v>
      </c>
      <c r="D2145" t="s">
        <v>1636</v>
      </c>
      <c r="E2145" s="5">
        <v>81700000</v>
      </c>
      <c r="F2145" s="5">
        <v>84700000</v>
      </c>
      <c r="G2145" s="5">
        <v>3000000</v>
      </c>
      <c r="H2145" s="5">
        <v>8170000</v>
      </c>
      <c r="I2145" s="5">
        <v>8470000</v>
      </c>
      <c r="J2145" s="5">
        <v>82200000</v>
      </c>
      <c r="K2145" s="5">
        <v>85200000</v>
      </c>
      <c r="L2145" s="3">
        <v>0.97916666666666663</v>
      </c>
    </row>
    <row r="2146" spans="1:12" x14ac:dyDescent="0.25">
      <c r="A2146" t="s">
        <v>1315</v>
      </c>
      <c r="B2146" s="2">
        <v>45490</v>
      </c>
      <c r="C2146" t="s">
        <v>19</v>
      </c>
      <c r="D2146" t="s">
        <v>1636</v>
      </c>
      <c r="E2146" s="5">
        <v>81500000</v>
      </c>
      <c r="F2146" s="5">
        <v>84500000</v>
      </c>
      <c r="G2146" s="5">
        <v>3000000</v>
      </c>
      <c r="H2146" s="5">
        <v>8150000</v>
      </c>
      <c r="I2146" s="5">
        <v>8450000</v>
      </c>
      <c r="J2146" s="5">
        <v>82000000</v>
      </c>
      <c r="K2146" s="5">
        <v>85000000</v>
      </c>
      <c r="L2146" s="3">
        <v>0.97916666666666663</v>
      </c>
    </row>
    <row r="2147" spans="1:12" x14ac:dyDescent="0.25">
      <c r="A2147" t="s">
        <v>1316</v>
      </c>
      <c r="B2147" s="2">
        <v>45491</v>
      </c>
      <c r="C2147" t="s">
        <v>20</v>
      </c>
      <c r="D2147" t="s">
        <v>1636</v>
      </c>
      <c r="E2147" s="5">
        <v>81400000</v>
      </c>
      <c r="F2147" s="5">
        <v>84400000</v>
      </c>
      <c r="G2147" s="5">
        <v>3000000</v>
      </c>
      <c r="H2147" s="5">
        <v>8140000</v>
      </c>
      <c r="I2147" s="5">
        <v>8440000</v>
      </c>
      <c r="J2147" s="5">
        <v>81900000</v>
      </c>
      <c r="K2147" s="5">
        <v>84900000</v>
      </c>
      <c r="L2147" s="3">
        <v>0.97916666666666663</v>
      </c>
    </row>
    <row r="2148" spans="1:12" x14ac:dyDescent="0.25">
      <c r="A2148" t="s">
        <v>1317</v>
      </c>
      <c r="B2148" s="2">
        <v>45492</v>
      </c>
      <c r="C2148" t="s">
        <v>21</v>
      </c>
      <c r="D2148" t="s">
        <v>1636</v>
      </c>
      <c r="E2148" s="5">
        <v>79400000</v>
      </c>
      <c r="F2148" s="5">
        <v>82400000</v>
      </c>
      <c r="G2148" s="5">
        <v>3000000</v>
      </c>
      <c r="H2148" s="5">
        <v>7940000</v>
      </c>
      <c r="I2148" s="5">
        <v>8240000</v>
      </c>
      <c r="J2148" s="5">
        <v>79900000</v>
      </c>
      <c r="K2148" s="5">
        <v>82900000</v>
      </c>
      <c r="L2148" s="3">
        <v>0.97916666666666663</v>
      </c>
    </row>
    <row r="2149" spans="1:12" x14ac:dyDescent="0.25">
      <c r="A2149" t="s">
        <v>1318</v>
      </c>
      <c r="B2149" s="2">
        <v>45495</v>
      </c>
      <c r="C2149" t="s">
        <v>16</v>
      </c>
      <c r="D2149" t="s">
        <v>1636</v>
      </c>
      <c r="E2149" s="5">
        <v>79300000</v>
      </c>
      <c r="F2149" s="5">
        <v>82300000</v>
      </c>
      <c r="G2149" s="5">
        <v>3000000</v>
      </c>
      <c r="H2149" s="5">
        <v>7930000</v>
      </c>
      <c r="I2149" s="5">
        <v>8230000</v>
      </c>
      <c r="J2149" s="5">
        <v>79800000</v>
      </c>
      <c r="K2149" s="5">
        <v>82800000</v>
      </c>
      <c r="L2149" s="3">
        <v>0.97916666666666663</v>
      </c>
    </row>
    <row r="2150" spans="1:12" x14ac:dyDescent="0.25">
      <c r="A2150" t="s">
        <v>1319</v>
      </c>
      <c r="B2150" s="2">
        <v>45496</v>
      </c>
      <c r="C2150" t="s">
        <v>18</v>
      </c>
      <c r="D2150" t="s">
        <v>1636</v>
      </c>
      <c r="E2150" s="5">
        <v>79700000</v>
      </c>
      <c r="F2150" s="5">
        <v>82700000</v>
      </c>
      <c r="G2150" s="5">
        <v>3000000</v>
      </c>
      <c r="H2150" s="5">
        <v>7970000</v>
      </c>
      <c r="I2150" s="5">
        <v>8270000</v>
      </c>
      <c r="J2150" s="5">
        <v>80200000</v>
      </c>
      <c r="K2150" s="5">
        <v>83200000</v>
      </c>
      <c r="L2150" s="3">
        <v>0.97916666666666663</v>
      </c>
    </row>
    <row r="2151" spans="1:12" x14ac:dyDescent="0.25">
      <c r="A2151" t="s">
        <v>1320</v>
      </c>
      <c r="B2151" s="2">
        <v>45497</v>
      </c>
      <c r="C2151" t="s">
        <v>19</v>
      </c>
      <c r="D2151" t="s">
        <v>1636</v>
      </c>
      <c r="E2151" s="5">
        <v>80000000</v>
      </c>
      <c r="F2151" s="5">
        <v>83000000</v>
      </c>
      <c r="G2151" s="5">
        <v>3000000</v>
      </c>
      <c r="H2151" s="5">
        <v>8000000</v>
      </c>
      <c r="I2151" s="5">
        <v>8300000</v>
      </c>
      <c r="J2151" s="5">
        <v>80500000</v>
      </c>
      <c r="K2151" s="5">
        <v>83500000</v>
      </c>
      <c r="L2151" s="3">
        <v>0.97916666666666663</v>
      </c>
    </row>
    <row r="2152" spans="1:12" x14ac:dyDescent="0.25">
      <c r="A2152" t="s">
        <v>1321</v>
      </c>
      <c r="B2152" s="2">
        <v>45498</v>
      </c>
      <c r="C2152" t="s">
        <v>20</v>
      </c>
      <c r="D2152" t="s">
        <v>1636</v>
      </c>
      <c r="E2152" s="5">
        <v>77900000</v>
      </c>
      <c r="F2152" s="5">
        <v>80900000</v>
      </c>
      <c r="G2152" s="5">
        <v>3000000</v>
      </c>
      <c r="H2152" s="5">
        <v>7790000</v>
      </c>
      <c r="I2152" s="5">
        <v>8090000</v>
      </c>
      <c r="J2152" s="5">
        <v>78400000</v>
      </c>
      <c r="K2152" s="5">
        <v>81400000</v>
      </c>
      <c r="L2152" s="3">
        <v>0.97916666666666663</v>
      </c>
    </row>
    <row r="2153" spans="1:12" x14ac:dyDescent="0.25">
      <c r="A2153" t="s">
        <v>1322</v>
      </c>
      <c r="B2153" s="2">
        <v>45499</v>
      </c>
      <c r="C2153" t="s">
        <v>21</v>
      </c>
      <c r="D2153" t="s">
        <v>1636</v>
      </c>
      <c r="E2153" s="5">
        <v>78900000</v>
      </c>
      <c r="F2153" s="5">
        <v>81900000</v>
      </c>
      <c r="G2153" s="5">
        <v>3000000</v>
      </c>
      <c r="H2153" s="5">
        <v>7890000</v>
      </c>
      <c r="I2153" s="5">
        <v>8190000</v>
      </c>
      <c r="J2153" s="5">
        <v>79400000</v>
      </c>
      <c r="K2153" s="5">
        <v>82400000</v>
      </c>
      <c r="L2153" s="3">
        <v>0.97916666666666663</v>
      </c>
    </row>
    <row r="2154" spans="1:12" x14ac:dyDescent="0.25">
      <c r="A2154" t="s">
        <v>1323</v>
      </c>
      <c r="B2154" s="2">
        <v>45502</v>
      </c>
      <c r="C2154" t="s">
        <v>16</v>
      </c>
      <c r="D2154" t="s">
        <v>1636</v>
      </c>
      <c r="E2154" s="5">
        <v>78800000</v>
      </c>
      <c r="F2154" s="5">
        <v>81800000</v>
      </c>
      <c r="G2154" s="5">
        <v>3000000</v>
      </c>
      <c r="H2154" s="5">
        <v>7880000</v>
      </c>
      <c r="I2154" s="5">
        <v>8180000</v>
      </c>
      <c r="J2154" s="5">
        <v>79300000</v>
      </c>
      <c r="K2154" s="5">
        <v>82300000</v>
      </c>
      <c r="L2154" s="3">
        <v>0.97916666666666663</v>
      </c>
    </row>
    <row r="2155" spans="1:12" x14ac:dyDescent="0.25">
      <c r="A2155" t="s">
        <v>1324</v>
      </c>
      <c r="B2155" s="2">
        <v>45503</v>
      </c>
      <c r="C2155" t="s">
        <v>18</v>
      </c>
      <c r="D2155" t="s">
        <v>1636</v>
      </c>
      <c r="E2155" s="5">
        <v>79700000</v>
      </c>
      <c r="F2155" s="5">
        <v>82700000</v>
      </c>
      <c r="G2155" s="5">
        <v>3000000</v>
      </c>
      <c r="H2155" s="5">
        <v>7970000</v>
      </c>
      <c r="I2155" s="5">
        <v>8270000</v>
      </c>
      <c r="J2155" s="5">
        <v>80200000</v>
      </c>
      <c r="K2155" s="5">
        <v>83200000</v>
      </c>
      <c r="L2155" s="3">
        <v>0.97916666666666663</v>
      </c>
    </row>
    <row r="2156" spans="1:12" x14ac:dyDescent="0.25">
      <c r="A2156" t="s">
        <v>1325</v>
      </c>
      <c r="B2156" s="2">
        <v>45504</v>
      </c>
      <c r="C2156" t="s">
        <v>19</v>
      </c>
      <c r="D2156" t="s">
        <v>1636</v>
      </c>
      <c r="E2156" s="5">
        <v>80500000</v>
      </c>
      <c r="F2156" s="5">
        <v>83500000</v>
      </c>
      <c r="G2156" s="5">
        <v>3000000</v>
      </c>
      <c r="H2156" s="5">
        <v>8050000</v>
      </c>
      <c r="I2156" s="5">
        <v>8350000</v>
      </c>
      <c r="J2156" s="5">
        <v>81000000</v>
      </c>
      <c r="K2156" s="5">
        <v>84000000</v>
      </c>
      <c r="L2156" s="3">
        <v>0.97916666666666663</v>
      </c>
    </row>
    <row r="2157" spans="1:12" x14ac:dyDescent="0.25">
      <c r="A2157" s="2">
        <v>45299</v>
      </c>
      <c r="B2157" s="2">
        <v>45505</v>
      </c>
      <c r="C2157" t="s">
        <v>20</v>
      </c>
      <c r="D2157" t="s">
        <v>1636</v>
      </c>
      <c r="E2157" s="5">
        <v>80800000</v>
      </c>
      <c r="F2157" s="5">
        <v>83800000</v>
      </c>
      <c r="G2157" s="5">
        <v>3000000</v>
      </c>
      <c r="H2157" s="5">
        <v>8080000</v>
      </c>
      <c r="I2157" s="5">
        <v>8380000</v>
      </c>
      <c r="J2157" s="5">
        <v>81300000</v>
      </c>
      <c r="K2157" s="5">
        <v>84300000</v>
      </c>
      <c r="L2157" s="3">
        <v>0.97916666666666663</v>
      </c>
    </row>
    <row r="2158" spans="1:12" x14ac:dyDescent="0.25">
      <c r="A2158" s="2">
        <v>45330</v>
      </c>
      <c r="B2158" s="2">
        <v>45506</v>
      </c>
      <c r="C2158" t="s">
        <v>21</v>
      </c>
      <c r="D2158" t="s">
        <v>1636</v>
      </c>
      <c r="E2158" s="5">
        <v>80500000</v>
      </c>
      <c r="F2158" s="5">
        <v>83500000</v>
      </c>
      <c r="G2158" s="5">
        <v>3000000</v>
      </c>
      <c r="H2158" s="5">
        <v>8050000</v>
      </c>
      <c r="I2158" s="5">
        <v>8350000</v>
      </c>
      <c r="J2158" s="5">
        <v>81000000</v>
      </c>
      <c r="K2158" s="5">
        <v>84000000</v>
      </c>
      <c r="L2158" s="3">
        <v>0.97916666666666663</v>
      </c>
    </row>
    <row r="2159" spans="1:12" x14ac:dyDescent="0.25">
      <c r="A2159" s="2">
        <v>45420</v>
      </c>
      <c r="B2159" s="2">
        <v>45509</v>
      </c>
      <c r="C2159" t="s">
        <v>16</v>
      </c>
      <c r="D2159" t="s">
        <v>1636</v>
      </c>
      <c r="E2159" s="5">
        <v>79600000</v>
      </c>
      <c r="F2159" s="5">
        <v>82600000</v>
      </c>
      <c r="G2159" s="5">
        <v>3000000</v>
      </c>
      <c r="H2159" s="5">
        <v>7960000</v>
      </c>
      <c r="I2159" s="5">
        <v>8260000</v>
      </c>
      <c r="J2159" s="5">
        <v>80100000</v>
      </c>
      <c r="K2159" s="5">
        <v>83100000</v>
      </c>
      <c r="L2159" s="3">
        <v>0.97916666666666663</v>
      </c>
    </row>
    <row r="2160" spans="1:12" x14ac:dyDescent="0.25">
      <c r="A2160" s="2">
        <v>45451</v>
      </c>
      <c r="B2160" s="2">
        <v>45510</v>
      </c>
      <c r="C2160" t="s">
        <v>18</v>
      </c>
      <c r="D2160" t="s">
        <v>1636</v>
      </c>
      <c r="E2160" s="5">
        <v>79200000</v>
      </c>
      <c r="F2160" s="5">
        <v>82200000</v>
      </c>
      <c r="G2160" s="5">
        <v>3000000</v>
      </c>
      <c r="H2160" s="5">
        <v>7920000</v>
      </c>
      <c r="I2160" s="5">
        <v>8220000</v>
      </c>
      <c r="J2160" s="5">
        <v>79700000</v>
      </c>
      <c r="K2160" s="5">
        <v>82700000</v>
      </c>
      <c r="L2160" s="3">
        <v>0.97916666666666663</v>
      </c>
    </row>
    <row r="2161" spans="1:12" x14ac:dyDescent="0.25">
      <c r="A2161" s="2">
        <v>45481</v>
      </c>
      <c r="B2161" s="2">
        <v>45511</v>
      </c>
      <c r="C2161" t="s">
        <v>19</v>
      </c>
      <c r="D2161" t="s">
        <v>1636</v>
      </c>
      <c r="E2161" s="5">
        <v>79200000</v>
      </c>
      <c r="F2161" s="5">
        <v>82200000</v>
      </c>
      <c r="G2161" s="5">
        <v>3000000</v>
      </c>
      <c r="H2161" s="5">
        <v>7920000</v>
      </c>
      <c r="I2161" s="5">
        <v>8220000</v>
      </c>
      <c r="J2161" s="5">
        <v>79700000</v>
      </c>
      <c r="K2161" s="5">
        <v>82700000</v>
      </c>
      <c r="L2161" s="3">
        <v>0.97916666666666663</v>
      </c>
    </row>
    <row r="2162" spans="1:12" x14ac:dyDescent="0.25">
      <c r="A2162" s="2">
        <v>45512</v>
      </c>
      <c r="B2162" s="2">
        <v>45512</v>
      </c>
      <c r="C2162" t="s">
        <v>20</v>
      </c>
      <c r="D2162" t="s">
        <v>1636</v>
      </c>
      <c r="E2162" s="5">
        <v>80300000</v>
      </c>
      <c r="F2162" s="5">
        <v>83300000</v>
      </c>
      <c r="G2162" s="5">
        <v>3000000</v>
      </c>
      <c r="H2162" s="5">
        <v>8030000</v>
      </c>
      <c r="I2162" s="5">
        <v>8330000</v>
      </c>
      <c r="J2162" s="5">
        <v>80800000</v>
      </c>
      <c r="K2162" s="5">
        <v>83800000</v>
      </c>
      <c r="L2162" s="3">
        <v>0.97916666666666663</v>
      </c>
    </row>
    <row r="2163" spans="1:12" x14ac:dyDescent="0.25">
      <c r="A2163" s="2">
        <v>45543</v>
      </c>
      <c r="B2163" s="2">
        <v>45513</v>
      </c>
      <c r="C2163" t="s">
        <v>21</v>
      </c>
      <c r="D2163" t="s">
        <v>1636</v>
      </c>
      <c r="E2163" s="5">
        <v>80700000</v>
      </c>
      <c r="F2163" s="5">
        <v>83700000</v>
      </c>
      <c r="G2163" s="5">
        <v>3000000</v>
      </c>
      <c r="H2163" s="5">
        <v>8070000</v>
      </c>
      <c r="I2163" s="5">
        <v>8370000</v>
      </c>
      <c r="J2163" s="5">
        <v>81200000</v>
      </c>
      <c r="K2163" s="5">
        <v>84200000</v>
      </c>
      <c r="L2163" s="3">
        <v>0.97916666666666663</v>
      </c>
    </row>
    <row r="2164" spans="1:12" x14ac:dyDescent="0.25">
      <c r="A2164" s="2">
        <v>45634</v>
      </c>
      <c r="B2164" s="2">
        <v>45516</v>
      </c>
      <c r="C2164" t="s">
        <v>16</v>
      </c>
      <c r="D2164" t="s">
        <v>1636</v>
      </c>
      <c r="E2164" s="5">
        <v>81700000</v>
      </c>
      <c r="F2164" s="5">
        <v>84700000</v>
      </c>
      <c r="G2164" s="5">
        <v>3000000</v>
      </c>
      <c r="H2164" s="5">
        <v>8170000</v>
      </c>
      <c r="I2164" s="5">
        <v>8470000</v>
      </c>
      <c r="J2164" s="5">
        <v>82200000</v>
      </c>
      <c r="K2164" s="5">
        <v>85200000</v>
      </c>
      <c r="L2164" s="3">
        <v>0.97916666666666663</v>
      </c>
    </row>
    <row r="2165" spans="1:12" x14ac:dyDescent="0.25">
      <c r="A2165" t="s">
        <v>1326</v>
      </c>
      <c r="B2165" s="2">
        <v>45517</v>
      </c>
      <c r="C2165" t="s">
        <v>18</v>
      </c>
      <c r="D2165" t="s">
        <v>1636</v>
      </c>
      <c r="E2165" s="5">
        <v>81900000</v>
      </c>
      <c r="F2165" s="5">
        <v>84900000</v>
      </c>
      <c r="G2165" s="5">
        <v>3000000</v>
      </c>
      <c r="H2165" s="5">
        <v>8190000</v>
      </c>
      <c r="I2165" s="5">
        <v>8490000</v>
      </c>
      <c r="J2165" s="5">
        <v>82400000</v>
      </c>
      <c r="K2165" s="5">
        <v>85400000</v>
      </c>
      <c r="L2165" s="3">
        <v>0.97916666666666663</v>
      </c>
    </row>
    <row r="2166" spans="1:12" x14ac:dyDescent="0.25">
      <c r="A2166" t="s">
        <v>1327</v>
      </c>
      <c r="B2166" s="2">
        <v>45518</v>
      </c>
      <c r="C2166" t="s">
        <v>19</v>
      </c>
      <c r="D2166" t="s">
        <v>1636</v>
      </c>
      <c r="E2166" s="5">
        <v>80900000</v>
      </c>
      <c r="F2166" s="5">
        <v>83900000</v>
      </c>
      <c r="G2166" s="5">
        <v>3000000</v>
      </c>
      <c r="H2166" s="5">
        <v>8090000</v>
      </c>
      <c r="I2166" s="5">
        <v>8390000</v>
      </c>
      <c r="J2166" s="5">
        <v>81400000</v>
      </c>
      <c r="K2166" s="5">
        <v>84400000</v>
      </c>
      <c r="L2166" s="3">
        <v>0.97916666666666663</v>
      </c>
    </row>
    <row r="2167" spans="1:12" x14ac:dyDescent="0.25">
      <c r="A2167" t="s">
        <v>1328</v>
      </c>
      <c r="B2167" s="2">
        <v>45519</v>
      </c>
      <c r="C2167" t="s">
        <v>20</v>
      </c>
      <c r="D2167" t="s">
        <v>1636</v>
      </c>
      <c r="E2167" s="5">
        <v>81400000</v>
      </c>
      <c r="F2167" s="5">
        <v>84400000</v>
      </c>
      <c r="G2167" s="5">
        <v>3000000</v>
      </c>
      <c r="H2167" s="5">
        <v>8140000</v>
      </c>
      <c r="I2167" s="5">
        <v>8440000</v>
      </c>
      <c r="J2167" s="5">
        <v>81900000</v>
      </c>
      <c r="K2167" s="5">
        <v>84900000</v>
      </c>
      <c r="L2167" s="3">
        <v>0.97916666666666663</v>
      </c>
    </row>
    <row r="2168" spans="1:12" x14ac:dyDescent="0.25">
      <c r="A2168" t="s">
        <v>1329</v>
      </c>
      <c r="B2168" s="2">
        <v>45520</v>
      </c>
      <c r="C2168" t="s">
        <v>21</v>
      </c>
      <c r="D2168" t="s">
        <v>1636</v>
      </c>
      <c r="E2168" s="5">
        <v>83000000</v>
      </c>
      <c r="F2168" s="5">
        <v>86000000</v>
      </c>
      <c r="G2168" s="5">
        <v>3000000</v>
      </c>
      <c r="H2168" s="5">
        <v>8300000</v>
      </c>
      <c r="I2168" s="5">
        <v>8600000</v>
      </c>
      <c r="J2168" s="5">
        <v>83500000</v>
      </c>
      <c r="K2168" s="5">
        <v>86500000</v>
      </c>
      <c r="L2168" s="3">
        <v>0.97916666666666663</v>
      </c>
    </row>
    <row r="2169" spans="1:12" x14ac:dyDescent="0.25">
      <c r="A2169" t="s">
        <v>1330</v>
      </c>
      <c r="B2169" s="2">
        <v>45523</v>
      </c>
      <c r="C2169" t="s">
        <v>16</v>
      </c>
      <c r="D2169" t="s">
        <v>1636</v>
      </c>
      <c r="E2169" s="5">
        <v>83100000</v>
      </c>
      <c r="F2169" s="5">
        <v>86100000</v>
      </c>
      <c r="G2169" s="5">
        <v>3000000</v>
      </c>
      <c r="H2169" s="5">
        <v>8310000</v>
      </c>
      <c r="I2169" s="5">
        <v>8610000</v>
      </c>
      <c r="J2169" s="5">
        <v>83600000</v>
      </c>
      <c r="K2169" s="5">
        <v>86600000</v>
      </c>
      <c r="L2169" s="3">
        <v>0.97916666666666663</v>
      </c>
    </row>
    <row r="2170" spans="1:12" x14ac:dyDescent="0.25">
      <c r="A2170" t="s">
        <v>1331</v>
      </c>
      <c r="B2170" s="2">
        <v>45524</v>
      </c>
      <c r="C2170" t="s">
        <v>18</v>
      </c>
      <c r="D2170" t="s">
        <v>1636</v>
      </c>
      <c r="E2170" s="5">
        <v>83400000</v>
      </c>
      <c r="F2170" s="5">
        <v>86400000</v>
      </c>
      <c r="G2170" s="5">
        <v>3000000</v>
      </c>
      <c r="H2170" s="5">
        <v>8340000</v>
      </c>
      <c r="I2170" s="5">
        <v>8640000</v>
      </c>
      <c r="J2170" s="5">
        <v>83900000</v>
      </c>
      <c r="K2170" s="5">
        <v>86900000</v>
      </c>
      <c r="L2170" s="3">
        <v>0.97916666666666663</v>
      </c>
    </row>
    <row r="2171" spans="1:12" x14ac:dyDescent="0.25">
      <c r="A2171" t="s">
        <v>1332</v>
      </c>
      <c r="B2171" s="2">
        <v>45525</v>
      </c>
      <c r="C2171" t="s">
        <v>19</v>
      </c>
      <c r="D2171" t="s">
        <v>1636</v>
      </c>
      <c r="E2171" s="5">
        <v>83300000</v>
      </c>
      <c r="F2171" s="5">
        <v>86300000</v>
      </c>
      <c r="G2171" s="5">
        <v>3000000</v>
      </c>
      <c r="H2171" s="5">
        <v>8330000</v>
      </c>
      <c r="I2171" s="5">
        <v>8630000</v>
      </c>
      <c r="J2171" s="5">
        <v>83800000</v>
      </c>
      <c r="K2171" s="5">
        <v>86800000</v>
      </c>
      <c r="L2171" s="3">
        <v>0.97916666666666663</v>
      </c>
    </row>
    <row r="2172" spans="1:12" x14ac:dyDescent="0.25">
      <c r="A2172" t="s">
        <v>1333</v>
      </c>
      <c r="B2172" s="2">
        <v>45526</v>
      </c>
      <c r="C2172" t="s">
        <v>20</v>
      </c>
      <c r="D2172" t="s">
        <v>1636</v>
      </c>
      <c r="E2172" s="5">
        <v>82300000</v>
      </c>
      <c r="F2172" s="5">
        <v>85300000</v>
      </c>
      <c r="G2172" s="5">
        <v>3000000</v>
      </c>
      <c r="H2172" s="5">
        <v>8230000</v>
      </c>
      <c r="I2172" s="5">
        <v>8530000</v>
      </c>
      <c r="J2172" s="5">
        <v>82800000</v>
      </c>
      <c r="K2172" s="5">
        <v>85800000</v>
      </c>
      <c r="L2172" s="3">
        <v>0.97916666666666663</v>
      </c>
    </row>
    <row r="2173" spans="1:12" x14ac:dyDescent="0.25">
      <c r="A2173" t="s">
        <v>1334</v>
      </c>
      <c r="B2173" s="2">
        <v>45527</v>
      </c>
      <c r="C2173" t="s">
        <v>21</v>
      </c>
      <c r="D2173" t="s">
        <v>1636</v>
      </c>
      <c r="E2173" s="5">
        <v>83300000</v>
      </c>
      <c r="F2173" s="5">
        <v>86300000</v>
      </c>
      <c r="G2173" s="5">
        <v>3000000</v>
      </c>
      <c r="H2173" s="5">
        <v>8330000</v>
      </c>
      <c r="I2173" s="5">
        <v>8630000</v>
      </c>
      <c r="J2173" s="5">
        <v>83800000</v>
      </c>
      <c r="K2173" s="5">
        <v>86800000</v>
      </c>
      <c r="L2173" s="3">
        <v>0.97916666666666663</v>
      </c>
    </row>
    <row r="2174" spans="1:12" x14ac:dyDescent="0.25">
      <c r="A2174" t="s">
        <v>1335</v>
      </c>
      <c r="B2174" s="2">
        <v>45530</v>
      </c>
      <c r="C2174" t="s">
        <v>16</v>
      </c>
      <c r="D2174" t="s">
        <v>1636</v>
      </c>
      <c r="E2174" s="5">
        <v>83600000</v>
      </c>
      <c r="F2174" s="5">
        <v>86600000</v>
      </c>
      <c r="G2174" s="5">
        <v>3000000</v>
      </c>
      <c r="H2174" s="5">
        <v>8360000</v>
      </c>
      <c r="I2174" s="5">
        <v>8660000</v>
      </c>
      <c r="J2174" s="5">
        <v>84100000</v>
      </c>
      <c r="K2174" s="5">
        <v>87100000</v>
      </c>
      <c r="L2174" s="3">
        <v>0.97916666666666663</v>
      </c>
    </row>
    <row r="2175" spans="1:12" x14ac:dyDescent="0.25">
      <c r="A2175" t="s">
        <v>1336</v>
      </c>
      <c r="B2175" s="2">
        <v>45531</v>
      </c>
      <c r="C2175" t="s">
        <v>18</v>
      </c>
      <c r="D2175" t="s">
        <v>1636</v>
      </c>
      <c r="E2175" s="5">
        <v>83600000</v>
      </c>
      <c r="F2175" s="5">
        <v>86600000</v>
      </c>
      <c r="G2175" s="5">
        <v>3000000</v>
      </c>
      <c r="H2175" s="5">
        <v>8360000</v>
      </c>
      <c r="I2175" s="5">
        <v>8660000</v>
      </c>
      <c r="J2175" s="5">
        <v>84100000</v>
      </c>
      <c r="K2175" s="5">
        <v>87100000</v>
      </c>
      <c r="L2175" s="3">
        <v>0.97916666666666663</v>
      </c>
    </row>
    <row r="2176" spans="1:12" x14ac:dyDescent="0.25">
      <c r="A2176" t="s">
        <v>1337</v>
      </c>
      <c r="B2176" s="2">
        <v>45532</v>
      </c>
      <c r="C2176" t="s">
        <v>19</v>
      </c>
      <c r="D2176" t="s">
        <v>1636</v>
      </c>
      <c r="E2176" s="5">
        <v>83000000</v>
      </c>
      <c r="F2176" s="5">
        <v>86000000</v>
      </c>
      <c r="G2176" s="5">
        <v>3000000</v>
      </c>
      <c r="H2176" s="5">
        <v>8300000</v>
      </c>
      <c r="I2176" s="5">
        <v>8600000</v>
      </c>
      <c r="J2176" s="5">
        <v>83500000</v>
      </c>
      <c r="K2176" s="5">
        <v>86500000</v>
      </c>
      <c r="L2176" s="3">
        <v>0.97916666666666663</v>
      </c>
    </row>
    <row r="2177" spans="1:12" x14ac:dyDescent="0.25">
      <c r="A2177" t="s">
        <v>1338</v>
      </c>
      <c r="B2177" s="2">
        <v>45533</v>
      </c>
      <c r="C2177" t="s">
        <v>20</v>
      </c>
      <c r="D2177" t="s">
        <v>1636</v>
      </c>
      <c r="E2177" s="5">
        <v>83900000</v>
      </c>
      <c r="F2177" s="5">
        <v>86900000</v>
      </c>
      <c r="G2177" s="5">
        <v>3000000</v>
      </c>
      <c r="H2177" s="5">
        <v>8390000</v>
      </c>
      <c r="I2177" s="5">
        <v>8690000</v>
      </c>
      <c r="J2177" s="5">
        <v>84400000</v>
      </c>
      <c r="K2177" s="5">
        <v>87400000</v>
      </c>
      <c r="L2177" s="3">
        <v>0.97916666666666663</v>
      </c>
    </row>
    <row r="2178" spans="1:12" x14ac:dyDescent="0.25">
      <c r="A2178" t="s">
        <v>1339</v>
      </c>
      <c r="B2178" s="2">
        <v>45534</v>
      </c>
      <c r="C2178" t="s">
        <v>21</v>
      </c>
      <c r="D2178" t="s">
        <v>1636</v>
      </c>
      <c r="E2178" s="5">
        <v>82800000</v>
      </c>
      <c r="F2178" s="5">
        <v>85800000</v>
      </c>
      <c r="G2178" s="5">
        <v>3000000</v>
      </c>
      <c r="H2178" s="5">
        <v>8280000</v>
      </c>
      <c r="I2178" s="5">
        <v>8580000</v>
      </c>
      <c r="J2178" s="5">
        <v>83300000</v>
      </c>
      <c r="K2178" s="5">
        <v>86300000</v>
      </c>
      <c r="L2178" s="3">
        <v>0.97916666666666663</v>
      </c>
    </row>
    <row r="2179" spans="1:12" x14ac:dyDescent="0.25">
      <c r="A2179" s="2">
        <v>45360</v>
      </c>
      <c r="B2179" s="2">
        <v>45538</v>
      </c>
      <c r="C2179" t="s">
        <v>18</v>
      </c>
      <c r="D2179" t="s">
        <v>1636</v>
      </c>
      <c r="E2179" s="5">
        <v>82700000</v>
      </c>
      <c r="F2179" s="5">
        <v>85700000</v>
      </c>
      <c r="G2179" s="5">
        <v>3000000</v>
      </c>
      <c r="H2179" s="5">
        <v>8270000</v>
      </c>
      <c r="I2179" s="5">
        <v>8570000</v>
      </c>
      <c r="J2179" s="5">
        <v>83200000</v>
      </c>
      <c r="K2179" s="5">
        <v>86200000</v>
      </c>
      <c r="L2179" s="3">
        <v>0.97916666666666663</v>
      </c>
    </row>
    <row r="2180" spans="1:12" x14ac:dyDescent="0.25">
      <c r="A2180" s="2">
        <v>45391</v>
      </c>
      <c r="B2180" s="2">
        <v>45539</v>
      </c>
      <c r="C2180" t="s">
        <v>19</v>
      </c>
      <c r="D2180" t="s">
        <v>1636</v>
      </c>
      <c r="E2180" s="5">
        <v>82800000</v>
      </c>
      <c r="F2180" s="5">
        <v>85800000</v>
      </c>
      <c r="G2180" s="5">
        <v>3000000</v>
      </c>
      <c r="H2180" s="5">
        <v>8280000</v>
      </c>
      <c r="I2180" s="5">
        <v>8580000</v>
      </c>
      <c r="J2180" s="5">
        <v>83300000</v>
      </c>
      <c r="K2180" s="5">
        <v>86300000</v>
      </c>
      <c r="L2180" s="3">
        <v>0.97916666666666663</v>
      </c>
    </row>
    <row r="2181" spans="1:12" x14ac:dyDescent="0.25">
      <c r="A2181" s="2">
        <v>45421</v>
      </c>
      <c r="B2181" s="2">
        <v>45540</v>
      </c>
      <c r="C2181" t="s">
        <v>20</v>
      </c>
      <c r="D2181" t="s">
        <v>1636</v>
      </c>
      <c r="E2181" s="5">
        <v>83400000</v>
      </c>
      <c r="F2181" s="5">
        <v>86400000</v>
      </c>
      <c r="G2181" s="5">
        <v>3000000</v>
      </c>
      <c r="H2181" s="5">
        <v>8340000</v>
      </c>
      <c r="I2181" s="5">
        <v>8640000</v>
      </c>
      <c r="J2181" s="5">
        <v>83900000</v>
      </c>
      <c r="K2181" s="5">
        <v>86900000</v>
      </c>
      <c r="L2181" s="3">
        <v>0.97916666666666663</v>
      </c>
    </row>
    <row r="2182" spans="1:12" x14ac:dyDescent="0.25">
      <c r="A2182" s="2">
        <v>45452</v>
      </c>
      <c r="B2182" s="2">
        <v>45541</v>
      </c>
      <c r="C2182" t="s">
        <v>21</v>
      </c>
      <c r="D2182" t="s">
        <v>1636</v>
      </c>
      <c r="E2182" s="5">
        <v>82800000</v>
      </c>
      <c r="F2182" s="5">
        <v>85800000</v>
      </c>
      <c r="G2182" s="5">
        <v>3000000</v>
      </c>
      <c r="H2182" s="5">
        <v>8280000</v>
      </c>
      <c r="I2182" s="5">
        <v>8580000</v>
      </c>
      <c r="J2182" s="5">
        <v>83300000</v>
      </c>
      <c r="K2182" s="5">
        <v>86300000</v>
      </c>
      <c r="L2182" s="3">
        <v>0.97916666666666663</v>
      </c>
    </row>
    <row r="2183" spans="1:12" x14ac:dyDescent="0.25">
      <c r="A2183" s="2">
        <v>45544</v>
      </c>
      <c r="B2183" s="2">
        <v>45544</v>
      </c>
      <c r="C2183" t="s">
        <v>16</v>
      </c>
      <c r="D2183" t="s">
        <v>1636</v>
      </c>
      <c r="E2183" s="5">
        <v>83100000</v>
      </c>
      <c r="F2183" s="5">
        <v>86100000</v>
      </c>
      <c r="G2183" s="5">
        <v>3000000</v>
      </c>
      <c r="H2183" s="5">
        <v>8310000</v>
      </c>
      <c r="I2183" s="5">
        <v>8610000</v>
      </c>
      <c r="J2183" s="5">
        <v>83600000</v>
      </c>
      <c r="K2183" s="5">
        <v>86600000</v>
      </c>
      <c r="L2183" s="3">
        <v>0.97916666666666663</v>
      </c>
    </row>
    <row r="2184" spans="1:12" x14ac:dyDescent="0.25">
      <c r="A2184" s="2">
        <v>45574</v>
      </c>
      <c r="B2184" s="2">
        <v>45545</v>
      </c>
      <c r="C2184" t="s">
        <v>18</v>
      </c>
      <c r="D2184" t="s">
        <v>1636</v>
      </c>
      <c r="E2184" s="5">
        <v>83400000</v>
      </c>
      <c r="F2184" s="5">
        <v>86400000</v>
      </c>
      <c r="G2184" s="5">
        <v>3000000</v>
      </c>
      <c r="H2184" s="5">
        <v>8340000</v>
      </c>
      <c r="I2184" s="5">
        <v>8640000</v>
      </c>
      <c r="J2184" s="5">
        <v>83900000</v>
      </c>
      <c r="K2184" s="5">
        <v>86900000</v>
      </c>
      <c r="L2184" s="3">
        <v>0.97916666666666663</v>
      </c>
    </row>
    <row r="2185" spans="1:12" x14ac:dyDescent="0.25">
      <c r="A2185" s="2">
        <v>45605</v>
      </c>
      <c r="B2185" s="2">
        <v>45546</v>
      </c>
      <c r="C2185" t="s">
        <v>19</v>
      </c>
      <c r="D2185" t="s">
        <v>1636</v>
      </c>
      <c r="E2185" s="5">
        <v>83400000</v>
      </c>
      <c r="F2185" s="5">
        <v>86400000</v>
      </c>
      <c r="G2185" s="5">
        <v>3000000</v>
      </c>
      <c r="H2185" s="5">
        <v>8340000</v>
      </c>
      <c r="I2185" s="5">
        <v>8640000</v>
      </c>
      <c r="J2185" s="5">
        <v>83900000</v>
      </c>
      <c r="K2185" s="5">
        <v>86900000</v>
      </c>
      <c r="L2185" s="3">
        <v>0.97916666666666663</v>
      </c>
    </row>
    <row r="2186" spans="1:12" x14ac:dyDescent="0.25">
      <c r="A2186" s="2">
        <v>45635</v>
      </c>
      <c r="B2186" s="2">
        <v>45547</v>
      </c>
      <c r="C2186" t="s">
        <v>20</v>
      </c>
      <c r="D2186" t="s">
        <v>1636</v>
      </c>
      <c r="E2186" s="5">
        <v>84800000</v>
      </c>
      <c r="F2186" s="5">
        <v>87800000</v>
      </c>
      <c r="G2186" s="5">
        <v>3000000</v>
      </c>
      <c r="H2186" s="5">
        <v>8480000</v>
      </c>
      <c r="I2186" s="5">
        <v>8780000</v>
      </c>
      <c r="J2186" s="5">
        <v>85300000</v>
      </c>
      <c r="K2186" s="5">
        <v>88300000</v>
      </c>
      <c r="L2186" s="3">
        <v>0.97916666666666663</v>
      </c>
    </row>
    <row r="2187" spans="1:12" x14ac:dyDescent="0.25">
      <c r="A2187" t="s">
        <v>1340</v>
      </c>
      <c r="B2187" s="2">
        <v>45548</v>
      </c>
      <c r="C2187" t="s">
        <v>21</v>
      </c>
      <c r="D2187" t="s">
        <v>1636</v>
      </c>
      <c r="E2187" s="5">
        <v>85800000</v>
      </c>
      <c r="F2187" s="5">
        <v>88800000</v>
      </c>
      <c r="G2187" s="5">
        <v>3000000</v>
      </c>
      <c r="H2187" s="5">
        <v>8580000</v>
      </c>
      <c r="I2187" s="5">
        <v>8880000</v>
      </c>
      <c r="J2187" s="5">
        <v>86300000</v>
      </c>
      <c r="K2187" s="5">
        <v>89300000</v>
      </c>
      <c r="L2187" s="3">
        <v>0.97916666666666663</v>
      </c>
    </row>
    <row r="2188" spans="1:12" x14ac:dyDescent="0.25">
      <c r="A2188" t="s">
        <v>1341</v>
      </c>
      <c r="B2188" s="2">
        <v>45551</v>
      </c>
      <c r="C2188" t="s">
        <v>16</v>
      </c>
      <c r="D2188" t="s">
        <v>1636</v>
      </c>
      <c r="E2188" s="5">
        <v>85800000</v>
      </c>
      <c r="F2188" s="5">
        <v>88800000</v>
      </c>
      <c r="G2188" s="5">
        <v>3000000</v>
      </c>
      <c r="H2188" s="5">
        <v>8580000</v>
      </c>
      <c r="I2188" s="5">
        <v>8880000</v>
      </c>
      <c r="J2188" s="5">
        <v>86300000</v>
      </c>
      <c r="K2188" s="5">
        <v>89300000</v>
      </c>
      <c r="L2188" s="3">
        <v>0.97916666666666663</v>
      </c>
    </row>
    <row r="2189" spans="1:12" x14ac:dyDescent="0.25">
      <c r="A2189" t="s">
        <v>1342</v>
      </c>
      <c r="B2189" s="2">
        <v>45552</v>
      </c>
      <c r="C2189" t="s">
        <v>18</v>
      </c>
      <c r="D2189" t="s">
        <v>1636</v>
      </c>
      <c r="E2189" s="5">
        <v>85200000</v>
      </c>
      <c r="F2189" s="5">
        <v>88200000</v>
      </c>
      <c r="G2189" s="5">
        <v>3000000</v>
      </c>
      <c r="H2189" s="5">
        <v>8520000</v>
      </c>
      <c r="I2189" s="5">
        <v>8820000</v>
      </c>
      <c r="J2189" s="5">
        <v>85700000</v>
      </c>
      <c r="K2189" s="5">
        <v>88700000</v>
      </c>
      <c r="L2189" s="3">
        <v>0.97916666666666663</v>
      </c>
    </row>
    <row r="2190" spans="1:12" x14ac:dyDescent="0.25">
      <c r="A2190" t="s">
        <v>1343</v>
      </c>
      <c r="B2190" s="2">
        <v>45553</v>
      </c>
      <c r="C2190" t="s">
        <v>19</v>
      </c>
      <c r="D2190" t="s">
        <v>1636</v>
      </c>
      <c r="E2190" s="5">
        <v>85400000</v>
      </c>
      <c r="F2190" s="5">
        <v>88400000</v>
      </c>
      <c r="G2190" s="5">
        <v>3000000</v>
      </c>
      <c r="H2190" s="5">
        <v>8540000</v>
      </c>
      <c r="I2190" s="5">
        <v>8840000</v>
      </c>
      <c r="J2190" s="5">
        <v>85900000</v>
      </c>
      <c r="K2190" s="5">
        <v>88900000</v>
      </c>
      <c r="L2190" s="3">
        <v>0.97916666666666663</v>
      </c>
    </row>
    <row r="2191" spans="1:12" x14ac:dyDescent="0.25">
      <c r="A2191" t="s">
        <v>1344</v>
      </c>
      <c r="B2191" s="2">
        <v>45554</v>
      </c>
      <c r="C2191" t="s">
        <v>20</v>
      </c>
      <c r="D2191" t="s">
        <v>1636</v>
      </c>
      <c r="E2191" s="5">
        <v>86000000</v>
      </c>
      <c r="F2191" s="5">
        <v>89000000</v>
      </c>
      <c r="G2191" s="5">
        <v>3000000</v>
      </c>
      <c r="H2191" s="5">
        <v>8600000</v>
      </c>
      <c r="I2191" s="5">
        <v>8900000</v>
      </c>
      <c r="J2191" s="5">
        <v>86500000</v>
      </c>
      <c r="K2191" s="5">
        <v>89500000</v>
      </c>
      <c r="L2191" s="3">
        <v>0.97916666666666663</v>
      </c>
    </row>
    <row r="2192" spans="1:12" x14ac:dyDescent="0.25">
      <c r="A2192" t="s">
        <v>1345</v>
      </c>
      <c r="B2192" s="2">
        <v>45555</v>
      </c>
      <c r="C2192" t="s">
        <v>21</v>
      </c>
      <c r="D2192" t="s">
        <v>1636</v>
      </c>
      <c r="E2192" s="5">
        <v>87100000</v>
      </c>
      <c r="F2192" s="5">
        <v>90100000</v>
      </c>
      <c r="G2192" s="5">
        <v>3000000</v>
      </c>
      <c r="H2192" s="5">
        <v>8710000</v>
      </c>
      <c r="I2192" s="5">
        <v>9010000</v>
      </c>
      <c r="J2192" s="5">
        <v>87600000</v>
      </c>
      <c r="K2192" s="5">
        <v>90600000</v>
      </c>
      <c r="L2192" s="3">
        <v>0.97916666666666663</v>
      </c>
    </row>
    <row r="2193" spans="1:12" x14ac:dyDescent="0.25">
      <c r="A2193" t="s">
        <v>1346</v>
      </c>
      <c r="B2193" s="2">
        <v>45558</v>
      </c>
      <c r="C2193" t="s">
        <v>16</v>
      </c>
      <c r="D2193" t="s">
        <v>1636</v>
      </c>
      <c r="E2193" s="5">
        <v>87400000</v>
      </c>
      <c r="F2193" s="5">
        <v>90400000</v>
      </c>
      <c r="G2193" s="5">
        <v>3000000</v>
      </c>
      <c r="H2193" s="5">
        <v>8740000</v>
      </c>
      <c r="I2193" s="5">
        <v>9040000</v>
      </c>
      <c r="J2193" s="5">
        <v>87900000</v>
      </c>
      <c r="K2193" s="5">
        <v>90900000</v>
      </c>
      <c r="L2193" s="3">
        <v>0.97916666666666663</v>
      </c>
    </row>
    <row r="2194" spans="1:12" x14ac:dyDescent="0.25">
      <c r="A2194" t="s">
        <v>1347</v>
      </c>
      <c r="B2194" s="2">
        <v>45559</v>
      </c>
      <c r="C2194" t="s">
        <v>18</v>
      </c>
      <c r="D2194" t="s">
        <v>1636</v>
      </c>
      <c r="E2194" s="5">
        <v>88200000</v>
      </c>
      <c r="F2194" s="5">
        <v>91200000</v>
      </c>
      <c r="G2194" s="5">
        <v>3000000</v>
      </c>
      <c r="H2194" s="5">
        <v>8820000</v>
      </c>
      <c r="I2194" s="5">
        <v>9120000</v>
      </c>
      <c r="J2194" s="5">
        <v>88700000</v>
      </c>
      <c r="K2194" s="5">
        <v>91700000</v>
      </c>
      <c r="L2194" s="3">
        <v>0.97916666666666663</v>
      </c>
    </row>
    <row r="2195" spans="1:12" x14ac:dyDescent="0.25">
      <c r="A2195" t="s">
        <v>1348</v>
      </c>
      <c r="B2195" s="2">
        <v>45560</v>
      </c>
      <c r="C2195" t="s">
        <v>19</v>
      </c>
      <c r="D2195" t="s">
        <v>1636</v>
      </c>
      <c r="E2195" s="5">
        <v>88500000</v>
      </c>
      <c r="F2195" s="5">
        <v>91500000</v>
      </c>
      <c r="G2195" s="5">
        <v>3000000</v>
      </c>
      <c r="H2195" s="5">
        <v>8850000</v>
      </c>
      <c r="I2195" s="5">
        <v>9150000</v>
      </c>
      <c r="J2195" s="5">
        <v>89000000</v>
      </c>
      <c r="K2195" s="5">
        <v>92000000</v>
      </c>
      <c r="L2195" s="3">
        <v>0.97916666666666663</v>
      </c>
    </row>
    <row r="2196" spans="1:12" x14ac:dyDescent="0.25">
      <c r="A2196" t="s">
        <v>1349</v>
      </c>
      <c r="B2196" s="2">
        <v>45561</v>
      </c>
      <c r="C2196" t="s">
        <v>20</v>
      </c>
      <c r="D2196" t="s">
        <v>1636</v>
      </c>
      <c r="E2196" s="5">
        <v>88900000</v>
      </c>
      <c r="F2196" s="5">
        <v>91900000</v>
      </c>
      <c r="G2196" s="5">
        <v>3000000</v>
      </c>
      <c r="H2196" s="5">
        <v>8890000</v>
      </c>
      <c r="I2196" s="5">
        <v>9190000</v>
      </c>
      <c r="J2196" s="5">
        <v>89400000</v>
      </c>
      <c r="K2196" s="5">
        <v>92400000</v>
      </c>
      <c r="L2196" s="3">
        <v>0.97916666666666663</v>
      </c>
    </row>
    <row r="2197" spans="1:12" x14ac:dyDescent="0.25">
      <c r="A2197" t="s">
        <v>1350</v>
      </c>
      <c r="B2197" s="2">
        <v>45562</v>
      </c>
      <c r="C2197" t="s">
        <v>21</v>
      </c>
      <c r="D2197" t="s">
        <v>1636</v>
      </c>
      <c r="E2197" s="5">
        <v>88000000</v>
      </c>
      <c r="F2197" s="5">
        <v>91000000</v>
      </c>
      <c r="G2197" s="5">
        <v>3000000</v>
      </c>
      <c r="H2197" s="5">
        <v>8800000</v>
      </c>
      <c r="I2197" s="5">
        <v>9100000</v>
      </c>
      <c r="J2197" s="5">
        <v>88500000</v>
      </c>
      <c r="K2197" s="5">
        <v>91500000</v>
      </c>
      <c r="L2197" s="3">
        <v>0.97916666666666663</v>
      </c>
    </row>
    <row r="2198" spans="1:12" x14ac:dyDescent="0.25">
      <c r="A2198" t="s">
        <v>1351</v>
      </c>
      <c r="B2198" s="2">
        <v>45565</v>
      </c>
      <c r="C2198" t="s">
        <v>16</v>
      </c>
      <c r="D2198" t="s">
        <v>1636</v>
      </c>
      <c r="E2198" s="5">
        <v>87700000</v>
      </c>
      <c r="F2198" s="5">
        <v>90700000</v>
      </c>
      <c r="G2198" s="5">
        <v>3000000</v>
      </c>
      <c r="H2198" s="5">
        <v>8770000</v>
      </c>
      <c r="I2198" s="5">
        <v>9070000</v>
      </c>
      <c r="J2198" s="5">
        <v>88200000</v>
      </c>
      <c r="K2198" s="5">
        <v>91200000</v>
      </c>
      <c r="L2198" s="3">
        <v>0.97916666666666663</v>
      </c>
    </row>
    <row r="2199" spans="1:12" x14ac:dyDescent="0.25">
      <c r="A2199" s="2">
        <v>45301</v>
      </c>
      <c r="B2199" s="2">
        <v>45566</v>
      </c>
      <c r="C2199" t="s">
        <v>18</v>
      </c>
      <c r="D2199" t="s">
        <v>1636</v>
      </c>
      <c r="E2199" s="5">
        <v>88800000</v>
      </c>
      <c r="F2199" s="5">
        <v>91800000</v>
      </c>
      <c r="G2199" s="5">
        <v>3000000</v>
      </c>
      <c r="H2199" s="5">
        <v>8880000</v>
      </c>
      <c r="I2199" s="5">
        <v>9180000</v>
      </c>
      <c r="J2199" s="5">
        <v>89300000</v>
      </c>
      <c r="K2199" s="5">
        <v>92300000</v>
      </c>
      <c r="L2199" s="3">
        <v>0.97916666666666663</v>
      </c>
    </row>
    <row r="2200" spans="1:12" x14ac:dyDescent="0.25">
      <c r="A2200" s="2">
        <v>45332</v>
      </c>
      <c r="B2200" s="2">
        <v>45567</v>
      </c>
      <c r="C2200" t="s">
        <v>19</v>
      </c>
      <c r="D2200" t="s">
        <v>1636</v>
      </c>
      <c r="E2200" s="5">
        <v>88100000</v>
      </c>
      <c r="F2200" s="5">
        <v>91100000</v>
      </c>
      <c r="G2200" s="5">
        <v>3000000</v>
      </c>
      <c r="H2200" s="5">
        <v>8810000</v>
      </c>
      <c r="I2200" s="5">
        <v>9110000</v>
      </c>
      <c r="J2200" s="5">
        <v>88600000</v>
      </c>
      <c r="K2200" s="5">
        <v>91600000</v>
      </c>
      <c r="L2200" s="3">
        <v>0.97916666666666663</v>
      </c>
    </row>
    <row r="2201" spans="1:12" x14ac:dyDescent="0.25">
      <c r="A2201" s="2">
        <v>45361</v>
      </c>
      <c r="B2201" s="2">
        <v>45568</v>
      </c>
      <c r="C2201" t="s">
        <v>20</v>
      </c>
      <c r="D2201" t="s">
        <v>1636</v>
      </c>
      <c r="E2201" s="5">
        <v>88400000</v>
      </c>
      <c r="F2201" s="5">
        <v>91400000</v>
      </c>
      <c r="G2201" s="5">
        <v>3000000</v>
      </c>
      <c r="H2201" s="5">
        <v>8840000</v>
      </c>
      <c r="I2201" s="5">
        <v>9140000</v>
      </c>
      <c r="J2201" s="5">
        <v>88900000</v>
      </c>
      <c r="K2201" s="5">
        <v>91900000</v>
      </c>
      <c r="L2201" s="3">
        <v>0.97916666666666663</v>
      </c>
    </row>
    <row r="2202" spans="1:12" x14ac:dyDescent="0.25">
      <c r="A2202" s="2">
        <v>45392</v>
      </c>
      <c r="B2202" s="2">
        <v>45569</v>
      </c>
      <c r="C2202" t="s">
        <v>21</v>
      </c>
      <c r="D2202" t="s">
        <v>1636</v>
      </c>
      <c r="E2202" s="5">
        <v>88000000</v>
      </c>
      <c r="F2202" s="5">
        <v>91000000</v>
      </c>
      <c r="G2202" s="5">
        <v>3000000</v>
      </c>
      <c r="H2202" s="5">
        <v>8800000</v>
      </c>
      <c r="I2202" s="5">
        <v>9100000</v>
      </c>
      <c r="J2202" s="5">
        <v>88500000</v>
      </c>
      <c r="K2202" s="5">
        <v>91500000</v>
      </c>
      <c r="L2202" s="3">
        <v>0.97916666666666663</v>
      </c>
    </row>
    <row r="2203" spans="1:12" x14ac:dyDescent="0.25">
      <c r="A2203" s="2">
        <v>45483</v>
      </c>
      <c r="B2203" s="2">
        <v>45572</v>
      </c>
      <c r="C2203" t="s">
        <v>16</v>
      </c>
      <c r="D2203" t="s">
        <v>1636</v>
      </c>
      <c r="E2203" s="5">
        <v>88000000</v>
      </c>
      <c r="F2203" s="5">
        <v>91000000</v>
      </c>
      <c r="G2203" s="5">
        <v>3000000</v>
      </c>
      <c r="H2203" s="5">
        <v>8800000</v>
      </c>
      <c r="I2203" s="5">
        <v>9100000</v>
      </c>
      <c r="J2203" s="5">
        <v>88500000</v>
      </c>
      <c r="K2203" s="5">
        <v>91500000</v>
      </c>
      <c r="L2203" s="3">
        <v>0.97916666666666663</v>
      </c>
    </row>
    <row r="2204" spans="1:12" x14ac:dyDescent="0.25">
      <c r="A2204" s="2">
        <v>45514</v>
      </c>
      <c r="B2204" s="2">
        <v>45573</v>
      </c>
      <c r="C2204" t="s">
        <v>18</v>
      </c>
      <c r="D2204" t="s">
        <v>1636</v>
      </c>
      <c r="E2204" s="5">
        <v>87000000</v>
      </c>
      <c r="F2204" s="5">
        <v>90000000</v>
      </c>
      <c r="G2204" s="5">
        <v>3000000</v>
      </c>
      <c r="H2204" s="5">
        <v>8700000</v>
      </c>
      <c r="I2204" s="5">
        <v>9000000</v>
      </c>
      <c r="J2204" s="5">
        <v>87500000</v>
      </c>
      <c r="K2204" s="5">
        <v>90500000</v>
      </c>
      <c r="L2204" s="3">
        <v>0.97916666666666663</v>
      </c>
    </row>
    <row r="2205" spans="1:12" x14ac:dyDescent="0.25">
      <c r="A2205" s="2">
        <v>45545</v>
      </c>
      <c r="B2205" s="2">
        <v>45574</v>
      </c>
      <c r="C2205" t="s">
        <v>19</v>
      </c>
      <c r="D2205" t="s">
        <v>1636</v>
      </c>
      <c r="E2205" s="5">
        <v>86700000</v>
      </c>
      <c r="F2205" s="5">
        <v>89700000</v>
      </c>
      <c r="G2205" s="5">
        <v>3000000</v>
      </c>
      <c r="H2205" s="5">
        <v>8670000</v>
      </c>
      <c r="I2205" s="5">
        <v>8970000</v>
      </c>
      <c r="J2205" s="5">
        <v>87200000</v>
      </c>
      <c r="K2205" s="5">
        <v>90200000</v>
      </c>
      <c r="L2205" s="3">
        <v>0.97916666666666663</v>
      </c>
    </row>
    <row r="2206" spans="1:12" x14ac:dyDescent="0.25">
      <c r="A2206" s="2">
        <v>45575</v>
      </c>
      <c r="B2206" s="2">
        <v>45575</v>
      </c>
      <c r="C2206" t="s">
        <v>20</v>
      </c>
      <c r="D2206" t="s">
        <v>1636</v>
      </c>
      <c r="E2206" s="5">
        <v>87200000</v>
      </c>
      <c r="F2206" s="5">
        <v>90200000</v>
      </c>
      <c r="G2206" s="5">
        <v>3000000</v>
      </c>
      <c r="H2206" s="5">
        <v>8720000</v>
      </c>
      <c r="I2206" s="5">
        <v>9020000</v>
      </c>
      <c r="J2206" s="5">
        <v>87700000</v>
      </c>
      <c r="K2206" s="5">
        <v>90700000</v>
      </c>
      <c r="L2206" s="3">
        <v>0.97916666666666663</v>
      </c>
    </row>
    <row r="2207" spans="1:12" x14ac:dyDescent="0.25">
      <c r="A2207" s="2">
        <v>45606</v>
      </c>
      <c r="B2207" s="2">
        <v>45576</v>
      </c>
      <c r="C2207" t="s">
        <v>21</v>
      </c>
      <c r="D2207" t="s">
        <v>1636</v>
      </c>
      <c r="E2207" s="5">
        <v>88400000</v>
      </c>
      <c r="F2207" s="5">
        <v>91400000</v>
      </c>
      <c r="G2207" s="5">
        <v>3000000</v>
      </c>
      <c r="H2207" s="5">
        <v>8840000</v>
      </c>
      <c r="I2207" s="5">
        <v>9140000</v>
      </c>
      <c r="J2207" s="5">
        <v>88900000</v>
      </c>
      <c r="K2207" s="5">
        <v>91900000</v>
      </c>
      <c r="L2207" s="3">
        <v>0.97916666666666663</v>
      </c>
    </row>
    <row r="2208" spans="1:12" x14ac:dyDescent="0.25">
      <c r="A2208" t="s">
        <v>1352</v>
      </c>
      <c r="B2208" s="2">
        <v>45579</v>
      </c>
      <c r="C2208" t="s">
        <v>16</v>
      </c>
      <c r="D2208" t="s">
        <v>1636</v>
      </c>
      <c r="E2208" s="5">
        <v>88100000</v>
      </c>
      <c r="F2208" s="5">
        <v>91100000</v>
      </c>
      <c r="G2208" s="5">
        <v>3000000</v>
      </c>
      <c r="H2208" s="5">
        <v>8810000</v>
      </c>
      <c r="I2208" s="5">
        <v>9110000</v>
      </c>
      <c r="J2208" s="5">
        <v>88600000</v>
      </c>
      <c r="K2208" s="5">
        <v>91600000</v>
      </c>
      <c r="L2208" s="3">
        <v>0.97916666666666663</v>
      </c>
    </row>
    <row r="2209" spans="1:12" x14ac:dyDescent="0.25">
      <c r="A2209" t="s">
        <v>1353</v>
      </c>
      <c r="B2209" s="2">
        <v>45580</v>
      </c>
      <c r="C2209" t="s">
        <v>18</v>
      </c>
      <c r="D2209" t="s">
        <v>1636</v>
      </c>
      <c r="E2209" s="5">
        <v>88600000</v>
      </c>
      <c r="F2209" s="5">
        <v>91600000</v>
      </c>
      <c r="G2209" s="5">
        <v>3000000</v>
      </c>
      <c r="H2209" s="5">
        <v>8860000</v>
      </c>
      <c r="I2209" s="5">
        <v>9160000</v>
      </c>
      <c r="J2209" s="5">
        <v>89100000</v>
      </c>
      <c r="K2209" s="5">
        <v>92100000</v>
      </c>
      <c r="L2209" s="3">
        <v>0.97916666666666663</v>
      </c>
    </row>
    <row r="2210" spans="1:12" x14ac:dyDescent="0.25">
      <c r="A2210" t="s">
        <v>1354</v>
      </c>
      <c r="B2210" s="2">
        <v>45581</v>
      </c>
      <c r="C2210" t="s">
        <v>19</v>
      </c>
      <c r="D2210" t="s">
        <v>1636</v>
      </c>
      <c r="E2210" s="5">
        <v>89000000</v>
      </c>
      <c r="F2210" s="5">
        <v>92000000</v>
      </c>
      <c r="G2210" s="5">
        <v>3000000</v>
      </c>
      <c r="H2210" s="5">
        <v>8900000</v>
      </c>
      <c r="I2210" s="5">
        <v>9200000</v>
      </c>
      <c r="J2210" s="5">
        <v>89500000</v>
      </c>
      <c r="K2210" s="5">
        <v>92500000</v>
      </c>
      <c r="L2210" s="3">
        <v>0.97916666666666663</v>
      </c>
    </row>
    <row r="2211" spans="1:12" x14ac:dyDescent="0.25">
      <c r="A2211" t="s">
        <v>1355</v>
      </c>
      <c r="B2211" s="2">
        <v>45582</v>
      </c>
      <c r="C2211" t="s">
        <v>20</v>
      </c>
      <c r="D2211" t="s">
        <v>1636</v>
      </c>
      <c r="E2211" s="5">
        <v>89600000</v>
      </c>
      <c r="F2211" s="5">
        <v>92600000</v>
      </c>
      <c r="G2211" s="5">
        <v>3000000</v>
      </c>
      <c r="H2211" s="5">
        <v>8960000</v>
      </c>
      <c r="I2211" s="5">
        <v>9260000</v>
      </c>
      <c r="J2211" s="5">
        <v>90100000</v>
      </c>
      <c r="K2211" s="5">
        <v>93100000</v>
      </c>
      <c r="L2211" s="3">
        <v>0.97916666666666663</v>
      </c>
    </row>
    <row r="2212" spans="1:12" x14ac:dyDescent="0.25">
      <c r="A2212" t="s">
        <v>1356</v>
      </c>
      <c r="B2212" s="2">
        <v>45583</v>
      </c>
      <c r="C2212" t="s">
        <v>21</v>
      </c>
      <c r="D2212" t="s">
        <v>1636</v>
      </c>
      <c r="E2212" s="5">
        <v>90400000</v>
      </c>
      <c r="F2212" s="5">
        <v>93400000</v>
      </c>
      <c r="G2212" s="5">
        <v>3000000</v>
      </c>
      <c r="H2212" s="5">
        <v>9040000</v>
      </c>
      <c r="I2212" s="5">
        <v>9340000</v>
      </c>
      <c r="J2212" s="5">
        <v>90900000</v>
      </c>
      <c r="K2212" s="5">
        <v>93900000</v>
      </c>
      <c r="L2212" s="3">
        <v>0.97916666666666663</v>
      </c>
    </row>
    <row r="2213" spans="1:12" x14ac:dyDescent="0.25">
      <c r="A2213" t="s">
        <v>1357</v>
      </c>
      <c r="B2213" s="2">
        <v>45586</v>
      </c>
      <c r="C2213" t="s">
        <v>16</v>
      </c>
      <c r="D2213" t="s">
        <v>1636</v>
      </c>
      <c r="E2213" s="5">
        <v>90700000</v>
      </c>
      <c r="F2213" s="5">
        <v>93700000</v>
      </c>
      <c r="G2213" s="5">
        <v>3000000</v>
      </c>
      <c r="H2213" s="5">
        <v>9070000</v>
      </c>
      <c r="I2213" s="5">
        <v>9370000</v>
      </c>
      <c r="J2213" s="5">
        <v>91200000</v>
      </c>
      <c r="K2213" s="5">
        <v>94200000</v>
      </c>
      <c r="L2213" s="3">
        <v>0.97916666666666663</v>
      </c>
    </row>
    <row r="2214" spans="1:12" x14ac:dyDescent="0.25">
      <c r="A2214" t="s">
        <v>1358</v>
      </c>
      <c r="B2214" s="2">
        <v>45587</v>
      </c>
      <c r="C2214" t="s">
        <v>18</v>
      </c>
      <c r="D2214" t="s">
        <v>1636</v>
      </c>
      <c r="E2214" s="5">
        <v>91400000</v>
      </c>
      <c r="F2214" s="5">
        <v>94400000</v>
      </c>
      <c r="G2214" s="5">
        <v>3000000</v>
      </c>
      <c r="H2214" s="5">
        <v>9140000</v>
      </c>
      <c r="I2214" s="5">
        <v>9440000</v>
      </c>
      <c r="J2214" s="5">
        <v>91900000</v>
      </c>
      <c r="K2214" s="5">
        <v>94900000</v>
      </c>
      <c r="L2214" s="3">
        <v>0.97916666666666663</v>
      </c>
    </row>
    <row r="2215" spans="1:12" x14ac:dyDescent="0.25">
      <c r="A2215" t="s">
        <v>1359</v>
      </c>
      <c r="B2215" s="2">
        <v>45588</v>
      </c>
      <c r="C2215" t="s">
        <v>19</v>
      </c>
      <c r="D2215" t="s">
        <v>1636</v>
      </c>
      <c r="E2215" s="5">
        <v>90400000</v>
      </c>
      <c r="F2215" s="5">
        <v>93400000</v>
      </c>
      <c r="G2215" s="5">
        <v>3000000</v>
      </c>
      <c r="H2215" s="5">
        <v>9040000</v>
      </c>
      <c r="I2215" s="5">
        <v>9340000</v>
      </c>
      <c r="J2215" s="5">
        <v>90900000</v>
      </c>
      <c r="K2215" s="5">
        <v>93900000</v>
      </c>
      <c r="L2215" s="3">
        <v>0.97916666666666663</v>
      </c>
    </row>
    <row r="2216" spans="1:12" x14ac:dyDescent="0.25">
      <c r="A2216" t="s">
        <v>1360</v>
      </c>
      <c r="B2216" s="2">
        <v>45589</v>
      </c>
      <c r="C2216" t="s">
        <v>20</v>
      </c>
      <c r="D2216" t="s">
        <v>1636</v>
      </c>
      <c r="E2216" s="5">
        <v>91100000</v>
      </c>
      <c r="F2216" s="5">
        <v>94100000</v>
      </c>
      <c r="G2216" s="5">
        <v>3000000</v>
      </c>
      <c r="H2216" s="5">
        <v>9110000</v>
      </c>
      <c r="I2216" s="5">
        <v>9410000</v>
      </c>
      <c r="J2216" s="5">
        <v>91600000</v>
      </c>
      <c r="K2216" s="5">
        <v>94600000</v>
      </c>
      <c r="L2216" s="3">
        <v>0.97916666666666663</v>
      </c>
    </row>
    <row r="2217" spans="1:12" x14ac:dyDescent="0.25">
      <c r="A2217" t="s">
        <v>1361</v>
      </c>
      <c r="B2217" s="2">
        <v>45590</v>
      </c>
      <c r="C2217" t="s">
        <v>21</v>
      </c>
      <c r="D2217" t="s">
        <v>1636</v>
      </c>
      <c r="E2217" s="5">
        <v>91300000</v>
      </c>
      <c r="F2217" s="5">
        <v>94300000</v>
      </c>
      <c r="G2217" s="5">
        <v>3000000</v>
      </c>
      <c r="H2217" s="5">
        <v>9130000</v>
      </c>
      <c r="I2217" s="5">
        <v>9430000</v>
      </c>
      <c r="J2217" s="5">
        <v>91800000</v>
      </c>
      <c r="K2217" s="5">
        <v>94800000</v>
      </c>
      <c r="L2217" s="3">
        <v>0.97916666666666663</v>
      </c>
    </row>
    <row r="2218" spans="1:12" x14ac:dyDescent="0.25">
      <c r="A2218" t="s">
        <v>1362</v>
      </c>
      <c r="B2218" s="2">
        <v>45593</v>
      </c>
      <c r="C2218" t="s">
        <v>16</v>
      </c>
      <c r="D2218" t="s">
        <v>1636</v>
      </c>
      <c r="E2218" s="5">
        <v>91400000</v>
      </c>
      <c r="F2218" s="5">
        <v>94400000</v>
      </c>
      <c r="G2218" s="5">
        <v>3000000</v>
      </c>
      <c r="H2218" s="5">
        <v>9140000</v>
      </c>
      <c r="I2218" s="5">
        <v>9440000</v>
      </c>
      <c r="J2218" s="5">
        <v>91900000</v>
      </c>
      <c r="K2218" s="5">
        <v>94900000</v>
      </c>
      <c r="L2218" s="3">
        <v>0.97916666666666663</v>
      </c>
    </row>
    <row r="2219" spans="1:12" x14ac:dyDescent="0.25">
      <c r="A2219" t="s">
        <v>1363</v>
      </c>
      <c r="B2219" s="2">
        <v>45594</v>
      </c>
      <c r="C2219" t="s">
        <v>18</v>
      </c>
      <c r="D2219" t="s">
        <v>1636</v>
      </c>
      <c r="E2219" s="5">
        <v>92200000</v>
      </c>
      <c r="F2219" s="5">
        <v>95200000</v>
      </c>
      <c r="G2219" s="5">
        <v>3000000</v>
      </c>
      <c r="H2219" s="5">
        <v>9220000</v>
      </c>
      <c r="I2219" s="5">
        <v>9520000</v>
      </c>
      <c r="J2219" s="5">
        <v>92700000</v>
      </c>
      <c r="K2219" s="5">
        <v>95700000</v>
      </c>
      <c r="L2219" s="3">
        <v>0.97916666666666663</v>
      </c>
    </row>
    <row r="2220" spans="1:12" x14ac:dyDescent="0.25">
      <c r="A2220" t="s">
        <v>1364</v>
      </c>
      <c r="B2220" s="2">
        <v>45595</v>
      </c>
      <c r="C2220" t="s">
        <v>19</v>
      </c>
      <c r="D2220" t="s">
        <v>1636</v>
      </c>
      <c r="E2220" s="5">
        <v>92900000</v>
      </c>
      <c r="F2220" s="5">
        <v>95900000</v>
      </c>
      <c r="G2220" s="5">
        <v>3000000</v>
      </c>
      <c r="H2220" s="5">
        <v>9290000</v>
      </c>
      <c r="I2220" s="5">
        <v>9590000</v>
      </c>
      <c r="J2220" s="5">
        <v>93400000</v>
      </c>
      <c r="K2220" s="5">
        <v>96400000</v>
      </c>
      <c r="L2220" s="3">
        <v>0.97916666666666663</v>
      </c>
    </row>
    <row r="2221" spans="1:12" x14ac:dyDescent="0.25">
      <c r="A2221" t="s">
        <v>1365</v>
      </c>
      <c r="B2221" s="2">
        <v>45596</v>
      </c>
      <c r="C2221" t="s">
        <v>20</v>
      </c>
      <c r="D2221" t="s">
        <v>1636</v>
      </c>
      <c r="E2221" s="5">
        <v>91200000</v>
      </c>
      <c r="F2221" s="5">
        <v>94200000</v>
      </c>
      <c r="G2221" s="5">
        <v>3000000</v>
      </c>
      <c r="H2221" s="5">
        <v>9120000</v>
      </c>
      <c r="I2221" s="5">
        <v>9420000</v>
      </c>
      <c r="J2221" s="5">
        <v>91700000</v>
      </c>
      <c r="K2221" s="5">
        <v>94700000</v>
      </c>
      <c r="L2221" s="3">
        <v>0.97916666666666663</v>
      </c>
    </row>
    <row r="2222" spans="1:12" x14ac:dyDescent="0.25">
      <c r="A2222" s="2">
        <v>45302</v>
      </c>
      <c r="B2222" s="2">
        <v>45597</v>
      </c>
      <c r="C2222" t="s">
        <v>21</v>
      </c>
      <c r="D2222" t="s">
        <v>1636</v>
      </c>
      <c r="E2222" s="5">
        <v>91200000</v>
      </c>
      <c r="F2222" s="5">
        <v>94200000</v>
      </c>
      <c r="G2222" s="5">
        <v>3000000</v>
      </c>
      <c r="H2222" s="5">
        <v>9120000</v>
      </c>
      <c r="I2222" s="5">
        <v>9420000</v>
      </c>
      <c r="J2222" s="5">
        <v>91700000</v>
      </c>
      <c r="K2222" s="5">
        <v>94700000</v>
      </c>
      <c r="L2222" s="3">
        <v>0.97916666666666663</v>
      </c>
    </row>
    <row r="2223" spans="1:12" x14ac:dyDescent="0.25">
      <c r="A2223" s="2">
        <v>45393</v>
      </c>
      <c r="B2223" s="2">
        <v>45600</v>
      </c>
      <c r="C2223" t="s">
        <v>16</v>
      </c>
      <c r="D2223" t="s">
        <v>1636</v>
      </c>
      <c r="E2223" s="5">
        <v>91100000</v>
      </c>
      <c r="F2223" s="5">
        <v>94100000</v>
      </c>
      <c r="G2223" s="5">
        <v>3000000</v>
      </c>
      <c r="H2223" s="5">
        <v>9110000</v>
      </c>
      <c r="I2223" s="5">
        <v>9410000</v>
      </c>
      <c r="J2223" s="5">
        <v>91600000</v>
      </c>
      <c r="K2223" s="5">
        <v>94600000</v>
      </c>
      <c r="L2223" s="3">
        <v>0.97916666666666663</v>
      </c>
    </row>
    <row r="2224" spans="1:12" x14ac:dyDescent="0.25">
      <c r="A2224" s="2">
        <v>45423</v>
      </c>
      <c r="B2224" s="2">
        <v>45601</v>
      </c>
      <c r="C2224" t="s">
        <v>18</v>
      </c>
      <c r="D2224" t="s">
        <v>1636</v>
      </c>
      <c r="E2224" s="5">
        <v>91300000</v>
      </c>
      <c r="F2224" s="5">
        <v>94300000</v>
      </c>
      <c r="G2224" s="5">
        <v>3000000</v>
      </c>
      <c r="H2224" s="5">
        <v>9130000</v>
      </c>
      <c r="I2224" s="5">
        <v>9430000</v>
      </c>
      <c r="J2224" s="5">
        <v>91800000</v>
      </c>
      <c r="K2224" s="5">
        <v>94800000</v>
      </c>
      <c r="L2224" s="3">
        <v>0.97916666666666663</v>
      </c>
    </row>
    <row r="2225" spans="1:12" x14ac:dyDescent="0.25">
      <c r="A2225" s="2">
        <v>45454</v>
      </c>
      <c r="B2225" s="2">
        <v>45602</v>
      </c>
      <c r="C2225" t="s">
        <v>19</v>
      </c>
      <c r="D2225" t="s">
        <v>1636</v>
      </c>
      <c r="E2225" s="5">
        <v>88800000</v>
      </c>
      <c r="F2225" s="5">
        <v>91800000</v>
      </c>
      <c r="G2225" s="5">
        <v>3000000</v>
      </c>
      <c r="H2225" s="5">
        <v>8880000</v>
      </c>
      <c r="I2225" s="5">
        <v>9180000</v>
      </c>
      <c r="J2225" s="5">
        <v>89300000</v>
      </c>
      <c r="K2225" s="5">
        <v>92300000</v>
      </c>
      <c r="L2225" s="3">
        <v>0.97916666666666663</v>
      </c>
    </row>
    <row r="2226" spans="1:12" x14ac:dyDescent="0.25">
      <c r="A2226" s="2">
        <v>45484</v>
      </c>
      <c r="B2226" s="2">
        <v>45603</v>
      </c>
      <c r="C2226" t="s">
        <v>20</v>
      </c>
      <c r="D2226" t="s">
        <v>1636</v>
      </c>
      <c r="E2226" s="5">
        <v>89800000</v>
      </c>
      <c r="F2226" s="5">
        <v>92800000</v>
      </c>
      <c r="G2226" s="5">
        <v>3000000</v>
      </c>
      <c r="H2226" s="5">
        <v>8980000</v>
      </c>
      <c r="I2226" s="5">
        <v>9280000</v>
      </c>
      <c r="J2226" s="5">
        <v>90300000</v>
      </c>
      <c r="K2226" s="5">
        <v>93300000</v>
      </c>
      <c r="L2226" s="3">
        <v>0.97916666666666663</v>
      </c>
    </row>
    <row r="2227" spans="1:12" x14ac:dyDescent="0.25">
      <c r="A2227" s="2">
        <v>45515</v>
      </c>
      <c r="B2227" s="2">
        <v>45604</v>
      </c>
      <c r="C2227" t="s">
        <v>21</v>
      </c>
      <c r="D2227" t="s">
        <v>1636</v>
      </c>
      <c r="E2227" s="5">
        <v>89500000</v>
      </c>
      <c r="F2227" s="5">
        <v>92500000</v>
      </c>
      <c r="G2227" s="5">
        <v>3000000</v>
      </c>
      <c r="H2227" s="5">
        <v>8950000</v>
      </c>
      <c r="I2227" s="5">
        <v>9250000</v>
      </c>
      <c r="J2227" s="5">
        <v>90000000</v>
      </c>
      <c r="K2227" s="5">
        <v>93000000</v>
      </c>
      <c r="L2227" s="3">
        <v>0.97916666666666663</v>
      </c>
    </row>
    <row r="2228" spans="1:12" x14ac:dyDescent="0.25">
      <c r="A2228" s="2">
        <v>45607</v>
      </c>
      <c r="B2228" s="2">
        <v>45607</v>
      </c>
      <c r="C2228" t="s">
        <v>16</v>
      </c>
      <c r="D2228" t="s">
        <v>1636</v>
      </c>
      <c r="E2228" s="5">
        <v>86800000</v>
      </c>
      <c r="F2228" s="5">
        <v>89800000</v>
      </c>
      <c r="G2228" s="5">
        <v>3000000</v>
      </c>
      <c r="H2228" s="5">
        <v>8680000</v>
      </c>
      <c r="I2228" s="5">
        <v>8980000</v>
      </c>
      <c r="J2228" s="5">
        <v>87300000</v>
      </c>
      <c r="K2228" s="5">
        <v>90300000</v>
      </c>
      <c r="L2228" s="3">
        <v>0.97916666666666663</v>
      </c>
    </row>
    <row r="2229" spans="1:12" x14ac:dyDescent="0.25">
      <c r="A2229" s="2">
        <v>45637</v>
      </c>
      <c r="B2229" s="2">
        <v>45608</v>
      </c>
      <c r="C2229" t="s">
        <v>18</v>
      </c>
      <c r="D2229" t="s">
        <v>1636</v>
      </c>
      <c r="E2229" s="5">
        <v>86500000</v>
      </c>
      <c r="F2229" s="5">
        <v>89500000</v>
      </c>
      <c r="G2229" s="5">
        <v>3000000</v>
      </c>
      <c r="H2229" s="5">
        <v>8650000</v>
      </c>
      <c r="I2229" s="5">
        <v>8950000</v>
      </c>
      <c r="J2229" s="5">
        <v>87000000</v>
      </c>
      <c r="K2229" s="5">
        <v>90000000</v>
      </c>
      <c r="L2229" s="3">
        <v>0.97916666666666663</v>
      </c>
    </row>
    <row r="2230" spans="1:12" x14ac:dyDescent="0.25">
      <c r="A2230" t="s">
        <v>1366</v>
      </c>
      <c r="B2230" s="2">
        <v>45609</v>
      </c>
      <c r="C2230" t="s">
        <v>19</v>
      </c>
      <c r="D2230" t="s">
        <v>1636</v>
      </c>
      <c r="E2230" s="5">
        <v>85800000</v>
      </c>
      <c r="F2230" s="5">
        <v>88800000</v>
      </c>
      <c r="G2230" s="5">
        <v>3000000</v>
      </c>
      <c r="H2230" s="5">
        <v>8580000</v>
      </c>
      <c r="I2230" s="5">
        <v>8880000</v>
      </c>
      <c r="J2230" s="5">
        <v>86300000</v>
      </c>
      <c r="K2230" s="5">
        <v>89300000</v>
      </c>
      <c r="L2230" s="3">
        <v>0.97916666666666663</v>
      </c>
    </row>
    <row r="2231" spans="1:12" x14ac:dyDescent="0.25">
      <c r="A2231" t="s">
        <v>1367</v>
      </c>
      <c r="B2231" s="2">
        <v>45610</v>
      </c>
      <c r="C2231" t="s">
        <v>20</v>
      </c>
      <c r="D2231" t="s">
        <v>1636</v>
      </c>
      <c r="E2231" s="5">
        <v>85400000</v>
      </c>
      <c r="F2231" s="5">
        <v>88400000</v>
      </c>
      <c r="G2231" s="5">
        <v>3000000</v>
      </c>
      <c r="H2231" s="5">
        <v>8540000</v>
      </c>
      <c r="I2231" s="5">
        <v>8840000</v>
      </c>
      <c r="J2231" s="5">
        <v>85900000</v>
      </c>
      <c r="K2231" s="5">
        <v>88900000</v>
      </c>
      <c r="L2231" s="3">
        <v>0.97916666666666663</v>
      </c>
    </row>
    <row r="2232" spans="1:12" x14ac:dyDescent="0.25">
      <c r="A2232" t="s">
        <v>1368</v>
      </c>
      <c r="B2232" s="2">
        <v>45611</v>
      </c>
      <c r="C2232" t="s">
        <v>21</v>
      </c>
      <c r="D2232" t="s">
        <v>1636</v>
      </c>
      <c r="E2232" s="5">
        <v>85300000</v>
      </c>
      <c r="F2232" s="5">
        <v>88300000</v>
      </c>
      <c r="G2232" s="5">
        <v>3000000</v>
      </c>
      <c r="H2232" s="5">
        <v>8530000</v>
      </c>
      <c r="I2232" s="5">
        <v>8830000</v>
      </c>
      <c r="J2232" s="5">
        <v>85800000</v>
      </c>
      <c r="K2232" s="5">
        <v>88800000</v>
      </c>
      <c r="L2232" s="3">
        <v>0.97916666666666663</v>
      </c>
    </row>
    <row r="2233" spans="1:12" x14ac:dyDescent="0.25">
      <c r="A2233" t="s">
        <v>1369</v>
      </c>
      <c r="B2233" s="2">
        <v>45614</v>
      </c>
      <c r="C2233" t="s">
        <v>16</v>
      </c>
      <c r="D2233" t="s">
        <v>1636</v>
      </c>
      <c r="E2233" s="5">
        <v>86800000</v>
      </c>
      <c r="F2233" s="5">
        <v>89800000</v>
      </c>
      <c r="G2233" s="5">
        <v>3000000</v>
      </c>
      <c r="H2233" s="5">
        <v>8680000</v>
      </c>
      <c r="I2233" s="5">
        <v>8980000</v>
      </c>
      <c r="J2233" s="5">
        <v>87300000</v>
      </c>
      <c r="K2233" s="5">
        <v>90300000</v>
      </c>
      <c r="L2233" s="3">
        <v>0.97916666666666663</v>
      </c>
    </row>
    <row r="2234" spans="1:12" x14ac:dyDescent="0.25">
      <c r="A2234" t="s">
        <v>1370</v>
      </c>
      <c r="B2234" s="2">
        <v>45615</v>
      </c>
      <c r="C2234" t="s">
        <v>18</v>
      </c>
      <c r="D2234" t="s">
        <v>1636</v>
      </c>
      <c r="E2234" s="5">
        <v>87400000</v>
      </c>
      <c r="F2234" s="5">
        <v>90400000</v>
      </c>
      <c r="G2234" s="5">
        <v>3000000</v>
      </c>
      <c r="H2234" s="5">
        <v>8740000</v>
      </c>
      <c r="I2234" s="5">
        <v>9040000</v>
      </c>
      <c r="J2234" s="5">
        <v>87900000</v>
      </c>
      <c r="K2234" s="5">
        <v>90900000</v>
      </c>
      <c r="L2234" s="3">
        <v>0.97916666666666663</v>
      </c>
    </row>
    <row r="2235" spans="1:12" x14ac:dyDescent="0.25">
      <c r="A2235" t="s">
        <v>1371</v>
      </c>
      <c r="B2235" s="2">
        <v>45616</v>
      </c>
      <c r="C2235" t="s">
        <v>19</v>
      </c>
      <c r="D2235" t="s">
        <v>1636</v>
      </c>
      <c r="E2235" s="5">
        <v>88100000</v>
      </c>
      <c r="F2235" s="5">
        <v>91100000</v>
      </c>
      <c r="G2235" s="5">
        <v>3000000</v>
      </c>
      <c r="H2235" s="5">
        <v>8810000</v>
      </c>
      <c r="I2235" s="5">
        <v>9110000</v>
      </c>
      <c r="J2235" s="5">
        <v>88600000</v>
      </c>
      <c r="K2235" s="5">
        <v>91600000</v>
      </c>
      <c r="L2235" s="3">
        <v>0.97916666666666663</v>
      </c>
    </row>
    <row r="2236" spans="1:12" x14ac:dyDescent="0.25">
      <c r="A2236" t="s">
        <v>1372</v>
      </c>
      <c r="B2236" s="2">
        <v>45617</v>
      </c>
      <c r="C2236" t="s">
        <v>20</v>
      </c>
      <c r="D2236" t="s">
        <v>1636</v>
      </c>
      <c r="E2236" s="5">
        <v>88900000</v>
      </c>
      <c r="F2236" s="5">
        <v>91900000</v>
      </c>
      <c r="G2236" s="5">
        <v>3000000</v>
      </c>
      <c r="H2236" s="5">
        <v>8890000</v>
      </c>
      <c r="I2236" s="5">
        <v>9190000</v>
      </c>
      <c r="J2236" s="5">
        <v>89400000</v>
      </c>
      <c r="K2236" s="5">
        <v>92400000</v>
      </c>
      <c r="L2236" s="3">
        <v>0.97916666666666663</v>
      </c>
    </row>
    <row r="2237" spans="1:12" x14ac:dyDescent="0.25">
      <c r="A2237" t="s">
        <v>1373</v>
      </c>
      <c r="B2237" s="2">
        <v>45618</v>
      </c>
      <c r="C2237" t="s">
        <v>21</v>
      </c>
      <c r="D2237" t="s">
        <v>1636</v>
      </c>
      <c r="E2237" s="5">
        <v>90200000</v>
      </c>
      <c r="F2237" s="5">
        <v>93200000</v>
      </c>
      <c r="G2237" s="5">
        <v>3000000</v>
      </c>
      <c r="H2237" s="5">
        <v>9020000</v>
      </c>
      <c r="I2237" s="5">
        <v>9320000</v>
      </c>
      <c r="J2237" s="5">
        <v>90700000</v>
      </c>
      <c r="K2237" s="5">
        <v>93700000</v>
      </c>
      <c r="L2237" s="3">
        <v>0.97916666666666663</v>
      </c>
    </row>
    <row r="2238" spans="1:12" x14ac:dyDescent="0.25">
      <c r="A2238" t="s">
        <v>1374</v>
      </c>
      <c r="B2238" s="2">
        <v>45621</v>
      </c>
      <c r="C2238" t="s">
        <v>16</v>
      </c>
      <c r="D2238" t="s">
        <v>1636</v>
      </c>
      <c r="E2238" s="5">
        <v>87000000</v>
      </c>
      <c r="F2238" s="5">
        <v>90000000</v>
      </c>
      <c r="G2238" s="5">
        <v>3000000</v>
      </c>
      <c r="H2238" s="5">
        <v>8700000</v>
      </c>
      <c r="I2238" s="5">
        <v>9000000</v>
      </c>
      <c r="J2238" s="5">
        <v>87500000</v>
      </c>
      <c r="K2238" s="5">
        <v>90500000</v>
      </c>
      <c r="L2238" s="3">
        <v>0.97916666666666663</v>
      </c>
    </row>
    <row r="2239" spans="1:12" x14ac:dyDescent="0.25">
      <c r="A2239" t="s">
        <v>1375</v>
      </c>
      <c r="B2239" s="2">
        <v>45622</v>
      </c>
      <c r="C2239" t="s">
        <v>18</v>
      </c>
      <c r="D2239" t="s">
        <v>1636</v>
      </c>
      <c r="E2239" s="5">
        <v>87200000</v>
      </c>
      <c r="F2239" s="5">
        <v>90200000</v>
      </c>
      <c r="G2239" s="5">
        <v>3000000</v>
      </c>
      <c r="H2239" s="5">
        <v>8720000</v>
      </c>
      <c r="I2239" s="5">
        <v>9020000</v>
      </c>
      <c r="J2239" s="5">
        <v>87700000</v>
      </c>
      <c r="K2239" s="5">
        <v>90700000</v>
      </c>
      <c r="L2239" s="3">
        <v>0.97916666666666663</v>
      </c>
    </row>
    <row r="2240" spans="1:12" x14ac:dyDescent="0.25">
      <c r="A2240" t="s">
        <v>1376</v>
      </c>
      <c r="B2240" s="2">
        <v>45623</v>
      </c>
      <c r="C2240" t="s">
        <v>19</v>
      </c>
      <c r="D2240" t="s">
        <v>1636</v>
      </c>
      <c r="E2240" s="5">
        <v>87800000</v>
      </c>
      <c r="F2240" s="5">
        <v>90800000</v>
      </c>
      <c r="G2240" s="5">
        <v>3000000</v>
      </c>
      <c r="H2240" s="5">
        <v>8780000</v>
      </c>
      <c r="I2240" s="5">
        <v>9080000</v>
      </c>
      <c r="J2240" s="5">
        <v>88300000</v>
      </c>
      <c r="K2240" s="5">
        <v>91300000</v>
      </c>
      <c r="L2240" s="3">
        <v>0.97916666666666663</v>
      </c>
    </row>
    <row r="2241" spans="1:12" x14ac:dyDescent="0.25">
      <c r="A2241" t="s">
        <v>1377</v>
      </c>
      <c r="B2241" s="2">
        <v>45625</v>
      </c>
      <c r="C2241" t="s">
        <v>21</v>
      </c>
      <c r="D2241" t="s">
        <v>1636</v>
      </c>
      <c r="E2241" s="5">
        <v>88400000</v>
      </c>
      <c r="F2241" s="5">
        <v>91400000</v>
      </c>
      <c r="G2241" s="5">
        <v>3000000</v>
      </c>
      <c r="H2241" s="5">
        <v>8840000</v>
      </c>
      <c r="I2241" s="5">
        <v>9140000</v>
      </c>
      <c r="J2241" s="5">
        <v>88900000</v>
      </c>
      <c r="K2241" s="5">
        <v>91900000</v>
      </c>
      <c r="L2241" s="3">
        <v>0.97916666666666663</v>
      </c>
    </row>
    <row r="2242" spans="1:12" x14ac:dyDescent="0.25">
      <c r="A2242" s="2">
        <v>45334</v>
      </c>
      <c r="B2242" s="2">
        <v>45628</v>
      </c>
      <c r="C2242" t="s">
        <v>16</v>
      </c>
      <c r="D2242" t="s">
        <v>1636</v>
      </c>
      <c r="E2242" s="5">
        <v>87700000</v>
      </c>
      <c r="F2242" s="5">
        <v>90700000</v>
      </c>
      <c r="G2242" s="5">
        <v>3000000</v>
      </c>
      <c r="H2242" s="5">
        <v>8770000</v>
      </c>
      <c r="I2242" s="5">
        <v>9070000</v>
      </c>
      <c r="J2242" s="5">
        <v>88200000</v>
      </c>
      <c r="K2242" s="5">
        <v>91200000</v>
      </c>
      <c r="L2242" s="3">
        <v>0.97916666666666663</v>
      </c>
    </row>
    <row r="2243" spans="1:12" x14ac:dyDescent="0.25">
      <c r="A2243" s="2">
        <v>45363</v>
      </c>
      <c r="B2243" s="2">
        <v>45629</v>
      </c>
      <c r="C2243" t="s">
        <v>18</v>
      </c>
      <c r="D2243" t="s">
        <v>1636</v>
      </c>
      <c r="E2243" s="5">
        <v>88000000</v>
      </c>
      <c r="F2243" s="5">
        <v>91000000</v>
      </c>
      <c r="G2243" s="5">
        <v>3000000</v>
      </c>
      <c r="H2243" s="5">
        <v>8800000</v>
      </c>
      <c r="I2243" s="5">
        <v>9100000</v>
      </c>
      <c r="J2243" s="5">
        <v>88500000</v>
      </c>
      <c r="K2243" s="5">
        <v>91500000</v>
      </c>
      <c r="L2243" s="3">
        <v>0.97916666666666663</v>
      </c>
    </row>
    <row r="2244" spans="1:12" x14ac:dyDescent="0.25">
      <c r="A2244" s="2">
        <v>45394</v>
      </c>
      <c r="B2244" s="2">
        <v>45630</v>
      </c>
      <c r="C2244" t="s">
        <v>19</v>
      </c>
      <c r="D2244" t="s">
        <v>1636</v>
      </c>
      <c r="E2244" s="5">
        <v>88300000</v>
      </c>
      <c r="F2244" s="5">
        <v>91300000</v>
      </c>
      <c r="G2244" s="5">
        <v>3000000</v>
      </c>
      <c r="H2244" s="5">
        <v>8830000</v>
      </c>
      <c r="I2244" s="5">
        <v>9130000</v>
      </c>
      <c r="J2244" s="5">
        <v>88800000</v>
      </c>
      <c r="K2244" s="5">
        <v>91800000</v>
      </c>
      <c r="L2244" s="3">
        <v>0.97916666666666663</v>
      </c>
    </row>
    <row r="2245" spans="1:12" x14ac:dyDescent="0.25">
      <c r="A2245" s="2">
        <v>45424</v>
      </c>
      <c r="B2245" s="2">
        <v>45631</v>
      </c>
      <c r="C2245" t="s">
        <v>20</v>
      </c>
      <c r="D2245" t="s">
        <v>1636</v>
      </c>
      <c r="E2245" s="5">
        <v>87400000</v>
      </c>
      <c r="F2245" s="5">
        <v>90400000</v>
      </c>
      <c r="G2245" s="5">
        <v>3000000</v>
      </c>
      <c r="H2245" s="5">
        <v>8740000</v>
      </c>
      <c r="I2245" s="5">
        <v>9040000</v>
      </c>
      <c r="J2245" s="5">
        <v>87900000</v>
      </c>
      <c r="K2245" s="5">
        <v>90900000</v>
      </c>
      <c r="L2245" s="3">
        <v>0.97916666666666663</v>
      </c>
    </row>
    <row r="2246" spans="1:12" x14ac:dyDescent="0.25">
      <c r="A2246" s="2">
        <v>45455</v>
      </c>
      <c r="B2246" s="2">
        <v>45632</v>
      </c>
      <c r="C2246" t="s">
        <v>21</v>
      </c>
      <c r="D2246" t="s">
        <v>1636</v>
      </c>
      <c r="E2246" s="5">
        <v>87800000</v>
      </c>
      <c r="F2246" s="5">
        <v>90800000</v>
      </c>
      <c r="G2246" s="5">
        <v>3000000</v>
      </c>
      <c r="H2246" s="5">
        <v>8780000</v>
      </c>
      <c r="I2246" s="5">
        <v>9080000</v>
      </c>
      <c r="J2246" s="5">
        <v>88300000</v>
      </c>
      <c r="K2246" s="5">
        <v>91300000</v>
      </c>
      <c r="L2246" s="3">
        <v>0.97916666666666663</v>
      </c>
    </row>
    <row r="2247" spans="1:12" x14ac:dyDescent="0.25">
      <c r="A2247" s="2">
        <v>45547</v>
      </c>
      <c r="B2247" s="2">
        <v>45635</v>
      </c>
      <c r="C2247" t="s">
        <v>16</v>
      </c>
      <c r="D2247" t="s">
        <v>1636</v>
      </c>
      <c r="E2247" s="5">
        <v>88700000</v>
      </c>
      <c r="F2247" s="5">
        <v>91700000</v>
      </c>
      <c r="G2247" s="5">
        <v>3000000</v>
      </c>
      <c r="H2247" s="5">
        <v>8870000</v>
      </c>
      <c r="I2247" s="5">
        <v>9170000</v>
      </c>
      <c r="J2247" s="5">
        <v>89200000</v>
      </c>
      <c r="K2247" s="5">
        <v>92200000</v>
      </c>
      <c r="L2247" s="3">
        <v>0.97916666666666663</v>
      </c>
    </row>
    <row r="2248" spans="1:12" x14ac:dyDescent="0.25">
      <c r="A2248" s="2">
        <v>45577</v>
      </c>
      <c r="B2248" s="2">
        <v>45636</v>
      </c>
      <c r="C2248" t="s">
        <v>18</v>
      </c>
      <c r="D2248" t="s">
        <v>1636</v>
      </c>
      <c r="E2248" s="5">
        <v>89800000</v>
      </c>
      <c r="F2248" s="5">
        <v>92800000</v>
      </c>
      <c r="G2248" s="5">
        <v>3000000</v>
      </c>
      <c r="H2248" s="5">
        <v>8980000</v>
      </c>
      <c r="I2248" s="5">
        <v>9280000</v>
      </c>
      <c r="J2248" s="5">
        <v>90300000</v>
      </c>
      <c r="K2248" s="5">
        <v>93300000</v>
      </c>
      <c r="L2248" s="3">
        <v>0.97916666666666663</v>
      </c>
    </row>
    <row r="2249" spans="1:12" x14ac:dyDescent="0.25">
      <c r="A2249" s="2">
        <v>45608</v>
      </c>
      <c r="B2249" s="2">
        <v>45637</v>
      </c>
      <c r="C2249" t="s">
        <v>19</v>
      </c>
      <c r="D2249" t="s">
        <v>1636</v>
      </c>
      <c r="E2249" s="5">
        <v>91100000</v>
      </c>
      <c r="F2249" s="5">
        <v>94100000</v>
      </c>
      <c r="G2249" s="5">
        <v>3000000</v>
      </c>
      <c r="H2249" s="5">
        <v>9110000</v>
      </c>
      <c r="I2249" s="5">
        <v>9410000</v>
      </c>
      <c r="J2249" s="5">
        <v>91600000</v>
      </c>
      <c r="K2249" s="5">
        <v>94600000</v>
      </c>
      <c r="L2249" s="3">
        <v>0.97916666666666663</v>
      </c>
    </row>
    <row r="2250" spans="1:12" x14ac:dyDescent="0.25">
      <c r="A2250" s="2">
        <v>45638</v>
      </c>
      <c r="B2250" s="2">
        <v>45638</v>
      </c>
      <c r="C2250" t="s">
        <v>20</v>
      </c>
      <c r="D2250" t="s">
        <v>1636</v>
      </c>
      <c r="E2250" s="5">
        <v>89500000</v>
      </c>
      <c r="F2250" s="5">
        <v>92500000</v>
      </c>
      <c r="G2250" s="5">
        <v>3000000</v>
      </c>
      <c r="H2250" s="5">
        <v>8950000</v>
      </c>
      <c r="I2250" s="5">
        <v>9250000</v>
      </c>
      <c r="J2250" s="5">
        <v>90000000</v>
      </c>
      <c r="K2250" s="5">
        <v>93000000</v>
      </c>
      <c r="L2250" s="3">
        <v>0.97916666666666663</v>
      </c>
    </row>
    <row r="2251" spans="1:12" x14ac:dyDescent="0.25">
      <c r="A2251" t="s">
        <v>1378</v>
      </c>
      <c r="B2251" s="2">
        <v>45639</v>
      </c>
      <c r="C2251" t="s">
        <v>21</v>
      </c>
      <c r="D2251" t="s">
        <v>1636</v>
      </c>
      <c r="E2251" s="5">
        <v>88400000</v>
      </c>
      <c r="F2251" s="5">
        <v>91400000</v>
      </c>
      <c r="G2251" s="5">
        <v>3000000</v>
      </c>
      <c r="H2251" s="5">
        <v>8840000</v>
      </c>
      <c r="I2251" s="5">
        <v>9140000</v>
      </c>
      <c r="J2251" s="5">
        <v>88900000</v>
      </c>
      <c r="K2251" s="5">
        <v>91900000</v>
      </c>
      <c r="L2251" s="3">
        <v>0.97916666666666663</v>
      </c>
    </row>
    <row r="2252" spans="1:12" x14ac:dyDescent="0.25">
      <c r="A2252" t="s">
        <v>1379</v>
      </c>
      <c r="B2252" s="2">
        <v>45642</v>
      </c>
      <c r="C2252" t="s">
        <v>16</v>
      </c>
      <c r="D2252" t="s">
        <v>1636</v>
      </c>
      <c r="E2252" s="5">
        <v>88200000</v>
      </c>
      <c r="F2252" s="5">
        <v>91200000</v>
      </c>
      <c r="G2252" s="5">
        <v>3000000</v>
      </c>
      <c r="H2252" s="5">
        <v>8820000</v>
      </c>
      <c r="I2252" s="5">
        <v>9120000</v>
      </c>
      <c r="J2252" s="5">
        <v>88700000</v>
      </c>
      <c r="K2252" s="5">
        <v>91700000</v>
      </c>
      <c r="L2252" s="3">
        <v>0.97916666666666663</v>
      </c>
    </row>
    <row r="2253" spans="1:12" x14ac:dyDescent="0.25">
      <c r="A2253" t="s">
        <v>1380</v>
      </c>
      <c r="B2253" s="2">
        <v>45643</v>
      </c>
      <c r="C2253" t="s">
        <v>18</v>
      </c>
      <c r="D2253" t="s">
        <v>1636</v>
      </c>
      <c r="E2253" s="5">
        <v>88000000</v>
      </c>
      <c r="F2253" s="5">
        <v>91000000</v>
      </c>
      <c r="G2253" s="5">
        <v>3000000</v>
      </c>
      <c r="H2253" s="5">
        <v>8800000</v>
      </c>
      <c r="I2253" s="5">
        <v>9100000</v>
      </c>
      <c r="J2253" s="5">
        <v>88500000</v>
      </c>
      <c r="K2253" s="5">
        <v>91500000</v>
      </c>
      <c r="L2253" s="3">
        <v>0.97916666666666663</v>
      </c>
    </row>
    <row r="2254" spans="1:12" x14ac:dyDescent="0.25">
      <c r="A2254" t="s">
        <v>1381</v>
      </c>
      <c r="B2254" s="2">
        <v>45644</v>
      </c>
      <c r="C2254" t="s">
        <v>19</v>
      </c>
      <c r="D2254" t="s">
        <v>1636</v>
      </c>
      <c r="E2254" s="5">
        <v>87700000</v>
      </c>
      <c r="F2254" s="5">
        <v>90700000</v>
      </c>
      <c r="G2254" s="5">
        <v>3000000</v>
      </c>
      <c r="H2254" s="5">
        <v>8770000</v>
      </c>
      <c r="I2254" s="5">
        <v>9070000</v>
      </c>
      <c r="J2254" s="5">
        <v>88200000</v>
      </c>
      <c r="K2254" s="5">
        <v>91200000</v>
      </c>
      <c r="L2254" s="3">
        <v>0.97916666666666663</v>
      </c>
    </row>
    <row r="2255" spans="1:12" x14ac:dyDescent="0.25">
      <c r="A2255" t="s">
        <v>1382</v>
      </c>
      <c r="B2255" s="2">
        <v>45645</v>
      </c>
      <c r="C2255" t="s">
        <v>20</v>
      </c>
      <c r="D2255" t="s">
        <v>1636</v>
      </c>
      <c r="E2255" s="5">
        <v>86200000</v>
      </c>
      <c r="F2255" s="5">
        <v>89200000</v>
      </c>
      <c r="G2255" s="5">
        <v>3000000</v>
      </c>
      <c r="H2255" s="5">
        <v>8620000</v>
      </c>
      <c r="I2255" s="5">
        <v>8920000</v>
      </c>
      <c r="J2255" s="5">
        <v>86700000</v>
      </c>
      <c r="K2255" s="5">
        <v>89700000</v>
      </c>
      <c r="L2255" s="3">
        <v>0.97916666666666663</v>
      </c>
    </row>
    <row r="2256" spans="1:12" x14ac:dyDescent="0.25">
      <c r="A2256" t="s">
        <v>1383</v>
      </c>
      <c r="B2256" s="2">
        <v>45646</v>
      </c>
      <c r="C2256" t="s">
        <v>21</v>
      </c>
      <c r="D2256" t="s">
        <v>1636</v>
      </c>
      <c r="E2256" s="5">
        <v>87400000</v>
      </c>
      <c r="F2256" s="5">
        <v>90400000</v>
      </c>
      <c r="G2256" s="5">
        <v>3000000</v>
      </c>
      <c r="H2256" s="5">
        <v>8740000</v>
      </c>
      <c r="I2256" s="5">
        <v>9040000</v>
      </c>
      <c r="J2256" s="5">
        <v>87900000</v>
      </c>
      <c r="K2256" s="5">
        <v>90900000</v>
      </c>
      <c r="L2256" s="3">
        <v>0.97916666666666663</v>
      </c>
    </row>
    <row r="2257" spans="1:12" x14ac:dyDescent="0.25">
      <c r="A2257" t="s">
        <v>1384</v>
      </c>
      <c r="B2257" s="2">
        <v>45649</v>
      </c>
      <c r="C2257" t="s">
        <v>16</v>
      </c>
      <c r="D2257" t="s">
        <v>1636</v>
      </c>
      <c r="E2257" s="5">
        <v>86900000</v>
      </c>
      <c r="F2257" s="5">
        <v>89900000</v>
      </c>
      <c r="G2257" s="5">
        <v>3000000</v>
      </c>
      <c r="H2257" s="5">
        <v>8690000</v>
      </c>
      <c r="I2257" s="5">
        <v>8990000</v>
      </c>
      <c r="J2257" s="5">
        <v>87400000</v>
      </c>
      <c r="K2257" s="5">
        <v>90400000</v>
      </c>
      <c r="L2257" s="3">
        <v>0.97916666666666663</v>
      </c>
    </row>
    <row r="2258" spans="1:12" x14ac:dyDescent="0.25">
      <c r="A2258" t="s">
        <v>1385</v>
      </c>
      <c r="B2258" s="2">
        <v>45650</v>
      </c>
      <c r="C2258" t="s">
        <v>18</v>
      </c>
      <c r="D2258" t="s">
        <v>1636</v>
      </c>
      <c r="E2258" s="5">
        <v>87100000</v>
      </c>
      <c r="F2258" s="5">
        <v>90100000</v>
      </c>
      <c r="G2258" s="5">
        <v>3000000</v>
      </c>
      <c r="H2258" s="5">
        <v>8710000</v>
      </c>
      <c r="I2258" s="5">
        <v>9010000</v>
      </c>
      <c r="J2258" s="5">
        <v>87600000</v>
      </c>
      <c r="K2258" s="5">
        <v>90600000</v>
      </c>
      <c r="L2258" s="3">
        <v>0.97916666666666663</v>
      </c>
    </row>
    <row r="2259" spans="1:12" x14ac:dyDescent="0.25">
      <c r="A2259" t="s">
        <v>1386</v>
      </c>
      <c r="B2259" s="2">
        <v>45652</v>
      </c>
      <c r="C2259" t="s">
        <v>20</v>
      </c>
      <c r="D2259" t="s">
        <v>1636</v>
      </c>
      <c r="E2259" s="5">
        <v>87800000</v>
      </c>
      <c r="F2259" s="5">
        <v>90800000</v>
      </c>
      <c r="G2259" s="5">
        <v>3000000</v>
      </c>
      <c r="H2259" s="5">
        <v>8780000</v>
      </c>
      <c r="I2259" s="5">
        <v>9080000</v>
      </c>
      <c r="J2259" s="5">
        <v>88300000</v>
      </c>
      <c r="K2259" s="5">
        <v>91300000</v>
      </c>
      <c r="L2259" s="3">
        <v>0.97916666666666663</v>
      </c>
    </row>
    <row r="2260" spans="1:12" x14ac:dyDescent="0.25">
      <c r="A2260" t="s">
        <v>1387</v>
      </c>
      <c r="B2260" s="2">
        <v>45653</v>
      </c>
      <c r="C2260" t="s">
        <v>21</v>
      </c>
      <c r="D2260" t="s">
        <v>1636</v>
      </c>
      <c r="E2260" s="5">
        <v>87000000</v>
      </c>
      <c r="F2260" s="5">
        <v>90000000</v>
      </c>
      <c r="G2260" s="5">
        <v>3000000</v>
      </c>
      <c r="H2260" s="5">
        <v>8700000</v>
      </c>
      <c r="I2260" s="5">
        <v>9000000</v>
      </c>
      <c r="J2260" s="5">
        <v>87500000</v>
      </c>
      <c r="K2260" s="5">
        <v>90500000</v>
      </c>
      <c r="L2260" s="3">
        <v>0.97916666666666663</v>
      </c>
    </row>
    <row r="2261" spans="1:12" x14ac:dyDescent="0.25">
      <c r="A2261" t="s">
        <v>1388</v>
      </c>
      <c r="B2261" s="2">
        <v>45656</v>
      </c>
      <c r="C2261" t="s">
        <v>16</v>
      </c>
      <c r="D2261" t="s">
        <v>1636</v>
      </c>
      <c r="E2261" s="5">
        <v>86700000</v>
      </c>
      <c r="F2261" s="5">
        <v>89700000</v>
      </c>
      <c r="G2261" s="5">
        <v>3000000</v>
      </c>
      <c r="H2261" s="5">
        <v>8670000</v>
      </c>
      <c r="I2261" s="5">
        <v>8970000</v>
      </c>
      <c r="J2261" s="5">
        <v>87200000</v>
      </c>
      <c r="K2261" s="5">
        <v>90200000</v>
      </c>
      <c r="L2261" s="3">
        <v>0.97916666666666663</v>
      </c>
    </row>
    <row r="2262" spans="1:12" x14ac:dyDescent="0.25">
      <c r="A2262" t="s">
        <v>1389</v>
      </c>
      <c r="B2262" s="2">
        <v>45657</v>
      </c>
      <c r="C2262" t="s">
        <v>18</v>
      </c>
      <c r="D2262" t="s">
        <v>1636</v>
      </c>
      <c r="E2262" s="5">
        <v>87500000</v>
      </c>
      <c r="F2262" s="5">
        <v>90500000</v>
      </c>
      <c r="G2262" s="5">
        <v>3000000</v>
      </c>
      <c r="H2262" s="5">
        <v>8750000</v>
      </c>
      <c r="I2262" s="5">
        <v>9050000</v>
      </c>
      <c r="J2262" s="5">
        <v>88000000</v>
      </c>
      <c r="K2262" s="5">
        <v>91000000</v>
      </c>
      <c r="L2262" s="3">
        <v>0.97916666666666663</v>
      </c>
    </row>
    <row r="2263" spans="1:12" x14ac:dyDescent="0.25">
      <c r="A2263" s="2">
        <v>45689</v>
      </c>
      <c r="B2263" s="2">
        <v>45659</v>
      </c>
      <c r="C2263" t="s">
        <v>20</v>
      </c>
      <c r="D2263" t="s">
        <v>1636</v>
      </c>
      <c r="E2263" s="5">
        <v>93100000</v>
      </c>
      <c r="F2263" s="5">
        <v>96100000</v>
      </c>
      <c r="G2263" s="5">
        <v>3000000</v>
      </c>
      <c r="H2263" s="5">
        <v>9310000</v>
      </c>
      <c r="I2263" s="5">
        <v>9610000</v>
      </c>
      <c r="J2263" s="5">
        <v>93600000</v>
      </c>
      <c r="K2263" s="5">
        <v>96600000</v>
      </c>
      <c r="L2263" s="3">
        <v>0.97916666666666663</v>
      </c>
    </row>
    <row r="2264" spans="1:12" x14ac:dyDescent="0.25">
      <c r="A2264" s="2">
        <v>45717</v>
      </c>
      <c r="B2264" s="2">
        <v>45660</v>
      </c>
      <c r="C2264" t="s">
        <v>21</v>
      </c>
      <c r="D2264" t="s">
        <v>1636</v>
      </c>
      <c r="E2264" s="5">
        <v>92600000</v>
      </c>
      <c r="F2264" s="5">
        <v>95600000</v>
      </c>
      <c r="G2264" s="5">
        <v>3000000</v>
      </c>
      <c r="H2264" s="5">
        <v>9260000</v>
      </c>
      <c r="I2264" s="5">
        <v>9560000</v>
      </c>
      <c r="J2264" s="5">
        <v>93100000</v>
      </c>
      <c r="K2264" s="5">
        <v>96100000</v>
      </c>
      <c r="L2264" s="3">
        <v>0.97916666666666663</v>
      </c>
    </row>
    <row r="2265" spans="1:12" x14ac:dyDescent="0.25">
      <c r="A2265" s="2">
        <v>45809</v>
      </c>
      <c r="B2265" s="2">
        <v>45663</v>
      </c>
      <c r="C2265" t="s">
        <v>16</v>
      </c>
      <c r="D2265" t="s">
        <v>1636</v>
      </c>
      <c r="E2265" s="5">
        <v>92300000</v>
      </c>
      <c r="F2265" s="5">
        <v>95300000</v>
      </c>
      <c r="G2265" s="5">
        <v>3000000</v>
      </c>
      <c r="H2265" s="5">
        <v>9230000</v>
      </c>
      <c r="I2265" s="5">
        <v>9530000</v>
      </c>
      <c r="J2265" s="5">
        <v>92800000</v>
      </c>
      <c r="K2265" s="5">
        <v>95800000</v>
      </c>
      <c r="L2265" s="3">
        <v>0.97916666666666663</v>
      </c>
    </row>
    <row r="2266" spans="1:12" x14ac:dyDescent="0.25">
      <c r="A2266" s="2">
        <v>45839</v>
      </c>
      <c r="B2266" s="2">
        <v>45664</v>
      </c>
      <c r="C2266" t="s">
        <v>18</v>
      </c>
      <c r="D2266" t="s">
        <v>1636</v>
      </c>
      <c r="E2266" s="5">
        <v>93000000</v>
      </c>
      <c r="F2266" s="5">
        <v>96000000</v>
      </c>
      <c r="G2266" s="5">
        <v>3000000</v>
      </c>
      <c r="H2266" s="5">
        <v>9300000</v>
      </c>
      <c r="I2266" s="5">
        <v>9600000</v>
      </c>
      <c r="J2266" s="5">
        <v>93500000</v>
      </c>
      <c r="K2266" s="5">
        <v>96500000</v>
      </c>
      <c r="L2266" s="3">
        <v>0.97916666666666663</v>
      </c>
    </row>
    <row r="2267" spans="1:12" x14ac:dyDescent="0.25">
      <c r="A2267" s="2">
        <v>45870</v>
      </c>
      <c r="B2267" s="2">
        <v>45665</v>
      </c>
      <c r="C2267" t="s">
        <v>19</v>
      </c>
      <c r="D2267" t="s">
        <v>1636</v>
      </c>
      <c r="E2267" s="5">
        <v>93300000</v>
      </c>
      <c r="F2267" s="5">
        <v>96300000</v>
      </c>
      <c r="G2267" s="5">
        <v>3000000</v>
      </c>
      <c r="H2267" s="5">
        <v>9330000</v>
      </c>
      <c r="I2267" s="5">
        <v>9630000</v>
      </c>
      <c r="J2267" s="5">
        <v>93800000</v>
      </c>
      <c r="K2267" s="5">
        <v>96800000</v>
      </c>
      <c r="L2267" s="3">
        <v>0.97916666666666663</v>
      </c>
    </row>
    <row r="2268" spans="1:12" x14ac:dyDescent="0.25">
      <c r="A2268" s="2">
        <v>45901</v>
      </c>
      <c r="B2268" s="2">
        <v>45666</v>
      </c>
      <c r="C2268" t="s">
        <v>20</v>
      </c>
      <c r="D2268" t="s">
        <v>1636</v>
      </c>
      <c r="E2268" s="5">
        <v>94000000</v>
      </c>
      <c r="F2268" s="5">
        <v>97000000</v>
      </c>
      <c r="G2268" s="5">
        <v>3000000</v>
      </c>
      <c r="H2268" s="5">
        <v>9400000</v>
      </c>
      <c r="I2268" s="5">
        <v>9700000</v>
      </c>
      <c r="J2268" s="5">
        <v>94500000</v>
      </c>
      <c r="K2268" s="5">
        <v>97500000</v>
      </c>
      <c r="L2268" s="3">
        <v>0.97916666666666663</v>
      </c>
    </row>
    <row r="2269" spans="1:12" x14ac:dyDescent="0.25">
      <c r="A2269" s="2">
        <v>45931</v>
      </c>
      <c r="B2269" s="2">
        <v>45667</v>
      </c>
      <c r="C2269" t="s">
        <v>21</v>
      </c>
      <c r="D2269" t="s">
        <v>1636</v>
      </c>
      <c r="E2269" s="5">
        <v>94900000</v>
      </c>
      <c r="F2269" s="5">
        <v>97900000</v>
      </c>
      <c r="G2269" s="5">
        <v>3000000</v>
      </c>
      <c r="H2269" s="5">
        <v>9490000</v>
      </c>
      <c r="I2269" s="5">
        <v>9790000</v>
      </c>
      <c r="J2269" s="5">
        <v>95400000</v>
      </c>
      <c r="K2269" s="5">
        <v>98400000</v>
      </c>
      <c r="L2269" s="3">
        <v>0.97916666666666663</v>
      </c>
    </row>
    <row r="2270" spans="1:12" x14ac:dyDescent="0.25">
      <c r="A2270" t="s">
        <v>1390</v>
      </c>
      <c r="B2270" s="2">
        <v>45670</v>
      </c>
      <c r="C2270" t="s">
        <v>16</v>
      </c>
      <c r="D2270" t="s">
        <v>1636</v>
      </c>
      <c r="E2270" s="5">
        <v>93600000</v>
      </c>
      <c r="F2270" s="5">
        <v>96600000</v>
      </c>
      <c r="G2270" s="5">
        <v>3000000</v>
      </c>
      <c r="H2270" s="5">
        <v>9360000</v>
      </c>
      <c r="I2270" s="5">
        <v>9660000</v>
      </c>
      <c r="J2270" s="5">
        <v>94100000</v>
      </c>
      <c r="K2270" s="5">
        <v>97100000</v>
      </c>
      <c r="L2270" s="3">
        <v>0.97916666666666663</v>
      </c>
    </row>
    <row r="2271" spans="1:12" x14ac:dyDescent="0.25">
      <c r="A2271" t="s">
        <v>1391</v>
      </c>
      <c r="B2271" s="2">
        <v>45671</v>
      </c>
      <c r="C2271" t="s">
        <v>18</v>
      </c>
      <c r="D2271" t="s">
        <v>1636</v>
      </c>
      <c r="E2271" s="5">
        <v>93800000</v>
      </c>
      <c r="F2271" s="5">
        <v>96800000</v>
      </c>
      <c r="G2271" s="5">
        <v>3000000</v>
      </c>
      <c r="H2271" s="5">
        <v>9380000</v>
      </c>
      <c r="I2271" s="5">
        <v>9680000</v>
      </c>
      <c r="J2271" s="5">
        <v>94300000</v>
      </c>
      <c r="K2271" s="5">
        <v>97300000</v>
      </c>
      <c r="L2271" s="3">
        <v>0.97916666666666663</v>
      </c>
    </row>
    <row r="2272" spans="1:12" x14ac:dyDescent="0.25">
      <c r="A2272" t="s">
        <v>1392</v>
      </c>
      <c r="B2272" s="2">
        <v>45672</v>
      </c>
      <c r="C2272" t="s">
        <v>19</v>
      </c>
      <c r="D2272" t="s">
        <v>1636</v>
      </c>
      <c r="E2272" s="5">
        <v>95000000</v>
      </c>
      <c r="F2272" s="5">
        <v>98000000</v>
      </c>
      <c r="G2272" s="5">
        <v>3000000</v>
      </c>
      <c r="H2272" s="5">
        <v>9500000</v>
      </c>
      <c r="I2272" s="5">
        <v>9800000</v>
      </c>
      <c r="J2272" s="5">
        <v>95500000</v>
      </c>
      <c r="K2272" s="5">
        <v>98500000</v>
      </c>
      <c r="L2272" s="3">
        <v>0.97916666666666663</v>
      </c>
    </row>
    <row r="2273" spans="1:12" x14ac:dyDescent="0.25">
      <c r="A2273" t="s">
        <v>1393</v>
      </c>
      <c r="B2273" s="2">
        <v>45673</v>
      </c>
      <c r="C2273" t="s">
        <v>20</v>
      </c>
      <c r="D2273" t="s">
        <v>1636</v>
      </c>
      <c r="E2273" s="5">
        <v>96200000</v>
      </c>
      <c r="F2273" s="5">
        <v>99200000</v>
      </c>
      <c r="G2273" s="5">
        <v>3000000</v>
      </c>
      <c r="H2273" s="5">
        <v>9620000</v>
      </c>
      <c r="I2273" s="5">
        <v>9920000</v>
      </c>
      <c r="J2273" s="5">
        <v>96700000</v>
      </c>
      <c r="K2273" s="5">
        <v>99700000</v>
      </c>
      <c r="L2273" s="3">
        <v>0.97916666666666663</v>
      </c>
    </row>
    <row r="2274" spans="1:12" x14ac:dyDescent="0.25">
      <c r="A2274" t="s">
        <v>1394</v>
      </c>
      <c r="B2274" s="2">
        <v>45674</v>
      </c>
      <c r="C2274" t="s">
        <v>21</v>
      </c>
      <c r="D2274" t="s">
        <v>1636</v>
      </c>
      <c r="E2274" s="5">
        <v>96200000</v>
      </c>
      <c r="F2274" s="5">
        <v>99200000</v>
      </c>
      <c r="G2274" s="5">
        <v>3000000</v>
      </c>
      <c r="H2274" s="5">
        <v>9620000</v>
      </c>
      <c r="I2274" s="5">
        <v>9920000</v>
      </c>
      <c r="J2274" s="5">
        <v>96700000</v>
      </c>
      <c r="K2274" s="5">
        <v>99700000</v>
      </c>
      <c r="L2274" s="3">
        <v>0.97916666666666663</v>
      </c>
    </row>
    <row r="2275" spans="1:12" x14ac:dyDescent="0.25">
      <c r="A2275" t="s">
        <v>1395</v>
      </c>
      <c r="B2275" s="2">
        <v>45678</v>
      </c>
      <c r="C2275" t="s">
        <v>18</v>
      </c>
      <c r="D2275" t="s">
        <v>1636</v>
      </c>
      <c r="E2275" s="5">
        <v>96600000</v>
      </c>
      <c r="F2275" s="5">
        <v>99600000</v>
      </c>
      <c r="G2275" s="5">
        <v>3000000</v>
      </c>
      <c r="H2275" s="5">
        <v>9660000</v>
      </c>
      <c r="I2275" s="5">
        <v>9960000</v>
      </c>
      <c r="J2275" s="5">
        <v>97100000</v>
      </c>
      <c r="K2275" s="5">
        <v>100100000</v>
      </c>
      <c r="L2275" s="3">
        <v>0.97916666666666663</v>
      </c>
    </row>
    <row r="2276" spans="1:12" x14ac:dyDescent="0.25">
      <c r="A2276" t="s">
        <v>1396</v>
      </c>
      <c r="B2276" s="2">
        <v>45679</v>
      </c>
      <c r="C2276" t="s">
        <v>19</v>
      </c>
      <c r="D2276" t="s">
        <v>1636</v>
      </c>
      <c r="E2276" s="5">
        <v>97000000</v>
      </c>
      <c r="F2276" s="5">
        <v>100000000</v>
      </c>
      <c r="G2276" s="5">
        <v>3000000</v>
      </c>
      <c r="H2276" s="5">
        <v>9700000</v>
      </c>
      <c r="I2276" s="5">
        <v>10000000</v>
      </c>
      <c r="J2276" s="5">
        <v>97500000</v>
      </c>
      <c r="K2276" s="5">
        <v>100500000</v>
      </c>
      <c r="L2276" s="3">
        <v>0.97916666666666663</v>
      </c>
    </row>
    <row r="2277" spans="1:12" x14ac:dyDescent="0.25">
      <c r="A2277" t="s">
        <v>1397</v>
      </c>
      <c r="B2277" s="2">
        <v>45680</v>
      </c>
      <c r="C2277" t="s">
        <v>20</v>
      </c>
      <c r="D2277" t="s">
        <v>1636</v>
      </c>
      <c r="E2277" s="5">
        <v>96800000</v>
      </c>
      <c r="F2277" s="5">
        <v>99800000</v>
      </c>
      <c r="G2277" s="5">
        <v>3000000</v>
      </c>
      <c r="H2277" s="5">
        <v>9680000</v>
      </c>
      <c r="I2277" s="5">
        <v>9980000</v>
      </c>
      <c r="J2277" s="5">
        <v>97300000</v>
      </c>
      <c r="K2277" s="5">
        <v>100300000</v>
      </c>
      <c r="L2277" s="3">
        <v>0.97916666666666663</v>
      </c>
    </row>
    <row r="2278" spans="1:12" x14ac:dyDescent="0.25">
      <c r="A2278" t="s">
        <v>1398</v>
      </c>
      <c r="B2278" s="2">
        <v>45681</v>
      </c>
      <c r="C2278" t="s">
        <v>21</v>
      </c>
      <c r="D2278" t="s">
        <v>1636</v>
      </c>
      <c r="E2278" s="5">
        <v>97400000</v>
      </c>
      <c r="F2278" s="5">
        <v>100400000</v>
      </c>
      <c r="G2278" s="5">
        <v>3000000</v>
      </c>
      <c r="H2278" s="5">
        <v>9740000</v>
      </c>
      <c r="I2278" s="5">
        <v>10040000</v>
      </c>
      <c r="J2278" s="5">
        <v>97900000</v>
      </c>
      <c r="K2278" s="5">
        <v>100900000</v>
      </c>
      <c r="L2278" s="3">
        <v>0.97916666666666663</v>
      </c>
    </row>
    <row r="2279" spans="1:12" x14ac:dyDescent="0.25">
      <c r="A2279" t="s">
        <v>1399</v>
      </c>
      <c r="B2279" s="2">
        <v>45684</v>
      </c>
      <c r="C2279" t="s">
        <v>16</v>
      </c>
      <c r="D2279" t="s">
        <v>1636</v>
      </c>
      <c r="E2279" s="5">
        <v>95900000</v>
      </c>
      <c r="F2279" s="5">
        <v>98900000</v>
      </c>
      <c r="G2279" s="5">
        <v>3000000</v>
      </c>
      <c r="H2279" s="5">
        <v>9590000</v>
      </c>
      <c r="I2279" s="5">
        <v>9890000</v>
      </c>
      <c r="J2279" s="5">
        <v>96400000</v>
      </c>
      <c r="K2279" s="5">
        <v>99400000</v>
      </c>
      <c r="L2279" s="3">
        <v>0.97916666666666663</v>
      </c>
    </row>
    <row r="2280" spans="1:12" x14ac:dyDescent="0.25">
      <c r="A2280" t="s">
        <v>1400</v>
      </c>
      <c r="B2280" s="2">
        <v>45685</v>
      </c>
      <c r="C2280" t="s">
        <v>18</v>
      </c>
      <c r="D2280" t="s">
        <v>1636</v>
      </c>
      <c r="E2280" s="5">
        <v>97000000</v>
      </c>
      <c r="F2280" s="5">
        <v>100000000</v>
      </c>
      <c r="G2280" s="5">
        <v>3000000</v>
      </c>
      <c r="H2280" s="5">
        <v>9700000</v>
      </c>
      <c r="I2280" s="5">
        <v>10000000</v>
      </c>
      <c r="J2280" s="5">
        <v>97500000</v>
      </c>
      <c r="K2280" s="5">
        <v>100500000</v>
      </c>
      <c r="L2280" s="3">
        <v>0.97916666666666663</v>
      </c>
    </row>
    <row r="2281" spans="1:12" x14ac:dyDescent="0.25">
      <c r="A2281" t="s">
        <v>1401</v>
      </c>
      <c r="B2281" s="2">
        <v>45686</v>
      </c>
      <c r="C2281" t="s">
        <v>19</v>
      </c>
      <c r="D2281" t="s">
        <v>1636</v>
      </c>
      <c r="E2281" s="5">
        <v>97100000</v>
      </c>
      <c r="F2281" s="5">
        <v>100100000</v>
      </c>
      <c r="G2281" s="5">
        <v>3000000</v>
      </c>
      <c r="H2281" s="5">
        <v>9710000</v>
      </c>
      <c r="I2281" s="5">
        <v>10010000</v>
      </c>
      <c r="J2281" s="5">
        <v>97600000</v>
      </c>
      <c r="K2281" s="5">
        <v>100600000</v>
      </c>
      <c r="L2281" s="3">
        <v>0.97916666666666663</v>
      </c>
    </row>
    <row r="2282" spans="1:12" x14ac:dyDescent="0.25">
      <c r="A2282" t="s">
        <v>1402</v>
      </c>
      <c r="B2282" s="2">
        <v>45687</v>
      </c>
      <c r="C2282" t="s">
        <v>20</v>
      </c>
      <c r="D2282" t="s">
        <v>1636</v>
      </c>
      <c r="E2282" s="5">
        <v>99000000</v>
      </c>
      <c r="F2282" s="5">
        <v>102000000</v>
      </c>
      <c r="G2282" s="5">
        <v>3000000</v>
      </c>
      <c r="H2282" s="5">
        <v>9900000</v>
      </c>
      <c r="I2282" s="5">
        <v>10200000</v>
      </c>
      <c r="J2282" s="5">
        <v>99500000</v>
      </c>
      <c r="K2282" s="5">
        <v>102500000</v>
      </c>
      <c r="L2282" s="3">
        <v>0.97916666666666663</v>
      </c>
    </row>
    <row r="2283" spans="1:12" x14ac:dyDescent="0.25">
      <c r="A2283" t="s">
        <v>1403</v>
      </c>
      <c r="B2283" s="2">
        <v>45688</v>
      </c>
      <c r="C2283" t="s">
        <v>21</v>
      </c>
      <c r="D2283" t="s">
        <v>1636</v>
      </c>
      <c r="E2283" s="5">
        <v>98600000</v>
      </c>
      <c r="F2283" s="5">
        <v>101600000</v>
      </c>
      <c r="G2283" s="5">
        <v>3000000</v>
      </c>
      <c r="H2283" s="5">
        <v>9860000</v>
      </c>
      <c r="I2283" s="5">
        <v>10160000</v>
      </c>
      <c r="J2283" s="5">
        <v>99100000</v>
      </c>
      <c r="K2283" s="5">
        <v>102100000</v>
      </c>
      <c r="L2283" s="3">
        <v>0.97916666666666663</v>
      </c>
    </row>
    <row r="2284" spans="1:12" x14ac:dyDescent="0.25">
      <c r="A2284" s="2">
        <v>45718</v>
      </c>
      <c r="B2284" s="2">
        <v>45691</v>
      </c>
      <c r="C2284" t="s">
        <v>16</v>
      </c>
      <c r="D2284" t="s">
        <v>1636</v>
      </c>
      <c r="E2284" s="5">
        <v>99400000</v>
      </c>
      <c r="F2284" s="5">
        <v>102400000</v>
      </c>
      <c r="G2284" s="5">
        <v>3000000</v>
      </c>
      <c r="H2284" s="5">
        <v>9940000</v>
      </c>
      <c r="I2284" s="5">
        <v>10240000</v>
      </c>
      <c r="J2284" s="5">
        <v>99900000</v>
      </c>
      <c r="K2284" s="5">
        <v>102900000</v>
      </c>
      <c r="L2284" s="3">
        <v>0.97916666666666663</v>
      </c>
    </row>
    <row r="2285" spans="1:12" x14ac:dyDescent="0.25">
      <c r="A2285" s="2">
        <v>45749</v>
      </c>
      <c r="B2285" s="2">
        <v>45692</v>
      </c>
      <c r="C2285" t="s">
        <v>18</v>
      </c>
      <c r="D2285" t="s">
        <v>1636</v>
      </c>
      <c r="E2285" s="5">
        <v>100100000</v>
      </c>
      <c r="F2285" s="5">
        <v>103100000</v>
      </c>
      <c r="G2285" s="5">
        <v>3000000</v>
      </c>
      <c r="H2285" s="5">
        <v>10010000</v>
      </c>
      <c r="I2285" s="5">
        <v>10310000</v>
      </c>
      <c r="J2285" s="5">
        <v>100600000</v>
      </c>
      <c r="K2285" s="5">
        <v>103600000</v>
      </c>
      <c r="L2285" s="3">
        <v>0.97916666666666663</v>
      </c>
    </row>
    <row r="2286" spans="1:12" x14ac:dyDescent="0.25">
      <c r="A2286" s="2">
        <v>45779</v>
      </c>
      <c r="B2286" s="2">
        <v>45693</v>
      </c>
      <c r="C2286" t="s">
        <v>19</v>
      </c>
      <c r="D2286" t="s">
        <v>1636</v>
      </c>
      <c r="E2286" s="5">
        <v>100800000</v>
      </c>
      <c r="F2286" s="5">
        <v>103800000</v>
      </c>
      <c r="G2286" s="5">
        <v>3000000</v>
      </c>
      <c r="H2286" s="5">
        <v>10080000</v>
      </c>
      <c r="I2286" s="5">
        <v>10380000</v>
      </c>
      <c r="J2286" s="5">
        <v>101300000</v>
      </c>
      <c r="K2286" s="5">
        <v>104300000</v>
      </c>
      <c r="L2286" s="3">
        <v>0.97916666666666663</v>
      </c>
    </row>
    <row r="2287" spans="1:12" x14ac:dyDescent="0.25">
      <c r="A2287" s="2">
        <v>45810</v>
      </c>
      <c r="B2287" s="2">
        <v>45694</v>
      </c>
      <c r="C2287" t="s">
        <v>20</v>
      </c>
      <c r="D2287" t="s">
        <v>1636</v>
      </c>
      <c r="E2287" s="5">
        <v>100200000</v>
      </c>
      <c r="F2287" s="5">
        <v>103200000</v>
      </c>
      <c r="G2287" s="5">
        <v>3000000</v>
      </c>
      <c r="H2287" s="5">
        <v>10020000</v>
      </c>
      <c r="I2287" s="5">
        <v>10320000</v>
      </c>
      <c r="J2287" s="5">
        <v>100700000</v>
      </c>
      <c r="K2287" s="5">
        <v>103700000</v>
      </c>
      <c r="L2287" s="3">
        <v>0.97916666666666663</v>
      </c>
    </row>
    <row r="2288" spans="1:12" x14ac:dyDescent="0.25">
      <c r="A2288" s="2">
        <v>45840</v>
      </c>
      <c r="B2288" s="2">
        <v>45695</v>
      </c>
      <c r="C2288" t="s">
        <v>21</v>
      </c>
      <c r="D2288" t="s">
        <v>1636</v>
      </c>
      <c r="E2288" s="5">
        <v>100600000</v>
      </c>
      <c r="F2288" s="5">
        <v>103600000</v>
      </c>
      <c r="G2288" s="5">
        <v>3000000</v>
      </c>
      <c r="H2288" s="5">
        <v>10060000</v>
      </c>
      <c r="I2288" s="5">
        <v>10360000</v>
      </c>
      <c r="J2288" s="5">
        <v>101100000</v>
      </c>
      <c r="K2288" s="5">
        <v>104100000</v>
      </c>
      <c r="L2288" s="3">
        <v>0.97916666666666663</v>
      </c>
    </row>
    <row r="2289" spans="1:12" x14ac:dyDescent="0.25">
      <c r="A2289" s="2">
        <v>45932</v>
      </c>
      <c r="B2289" s="2">
        <v>45698</v>
      </c>
      <c r="C2289" t="s">
        <v>16</v>
      </c>
      <c r="D2289" t="s">
        <v>1636</v>
      </c>
      <c r="E2289" s="5">
        <v>102300000</v>
      </c>
      <c r="F2289" s="5">
        <v>105300000</v>
      </c>
      <c r="G2289" s="5">
        <v>3000000</v>
      </c>
      <c r="H2289" s="5">
        <v>10230000</v>
      </c>
      <c r="I2289" s="5">
        <v>10530000</v>
      </c>
      <c r="J2289" s="5">
        <v>102800000</v>
      </c>
      <c r="K2289" s="5">
        <v>105800000</v>
      </c>
      <c r="L2289" s="3">
        <v>0.97916666666666663</v>
      </c>
    </row>
    <row r="2290" spans="1:12" x14ac:dyDescent="0.25">
      <c r="A2290" s="2">
        <v>45963</v>
      </c>
      <c r="B2290" s="2">
        <v>45699</v>
      </c>
      <c r="C2290" t="s">
        <v>18</v>
      </c>
      <c r="D2290" t="s">
        <v>1636</v>
      </c>
      <c r="E2290" s="5">
        <v>102200000</v>
      </c>
      <c r="F2290" s="5">
        <v>105200000</v>
      </c>
      <c r="G2290" s="5">
        <v>3000000</v>
      </c>
      <c r="H2290" s="5">
        <v>10220000</v>
      </c>
      <c r="I2290" s="5">
        <v>10520000</v>
      </c>
      <c r="J2290" s="5">
        <v>102700000</v>
      </c>
      <c r="K2290" s="5">
        <v>105700000</v>
      </c>
      <c r="L2290" s="3">
        <v>0.97916666666666663</v>
      </c>
    </row>
    <row r="2291" spans="1:12" x14ac:dyDescent="0.25">
      <c r="A2291" s="2">
        <v>45993</v>
      </c>
      <c r="B2291" s="2">
        <v>45700</v>
      </c>
      <c r="C2291" t="s">
        <v>19</v>
      </c>
      <c r="D2291" t="s">
        <v>1636</v>
      </c>
      <c r="E2291" s="5">
        <v>102100000</v>
      </c>
      <c r="F2291" s="5">
        <v>105100000</v>
      </c>
      <c r="G2291" s="5">
        <v>3000000</v>
      </c>
      <c r="H2291" s="5">
        <v>10210000</v>
      </c>
      <c r="I2291" s="5">
        <v>10510000</v>
      </c>
      <c r="J2291" s="5">
        <v>102600000</v>
      </c>
      <c r="K2291" s="5">
        <v>105600000</v>
      </c>
      <c r="L2291" s="3">
        <v>0.97916666666666663</v>
      </c>
    </row>
    <row r="2292" spans="1:12" x14ac:dyDescent="0.25">
      <c r="A2292" t="s">
        <v>1404</v>
      </c>
      <c r="B2292" s="2">
        <v>45701</v>
      </c>
      <c r="C2292" t="s">
        <v>20</v>
      </c>
      <c r="D2292" t="s">
        <v>1636</v>
      </c>
      <c r="E2292" s="5">
        <v>102700000</v>
      </c>
      <c r="F2292" s="5">
        <v>105700000</v>
      </c>
      <c r="G2292" s="5">
        <v>3000000</v>
      </c>
      <c r="H2292" s="5">
        <v>10270000</v>
      </c>
      <c r="I2292" s="5">
        <v>10570000</v>
      </c>
      <c r="J2292" s="5">
        <v>103200000</v>
      </c>
      <c r="K2292" s="5">
        <v>106200000</v>
      </c>
      <c r="L2292" s="3">
        <v>0.97916666666666663</v>
      </c>
    </row>
    <row r="2293" spans="1:12" x14ac:dyDescent="0.25">
      <c r="A2293" t="s">
        <v>1405</v>
      </c>
      <c r="B2293" s="2">
        <v>45702</v>
      </c>
      <c r="C2293" t="s">
        <v>21</v>
      </c>
      <c r="D2293" t="s">
        <v>1636</v>
      </c>
      <c r="E2293" s="5">
        <v>101200000</v>
      </c>
      <c r="F2293" s="5">
        <v>104200000</v>
      </c>
      <c r="G2293" s="5">
        <v>3000000</v>
      </c>
      <c r="H2293" s="5">
        <v>10120000</v>
      </c>
      <c r="I2293" s="5">
        <v>10420000</v>
      </c>
      <c r="J2293" s="5">
        <v>101700000</v>
      </c>
      <c r="K2293" s="5">
        <v>104700000</v>
      </c>
      <c r="L2293" s="3">
        <v>0.97916666666666663</v>
      </c>
    </row>
    <row r="2294" spans="1:12" x14ac:dyDescent="0.25">
      <c r="A2294" t="s">
        <v>1406</v>
      </c>
      <c r="B2294" s="2">
        <v>45706</v>
      </c>
      <c r="C2294" t="s">
        <v>18</v>
      </c>
      <c r="D2294" t="s">
        <v>1636</v>
      </c>
      <c r="E2294" s="5">
        <v>102900000</v>
      </c>
      <c r="F2294" s="5">
        <v>105900000</v>
      </c>
      <c r="G2294" s="5">
        <v>3000000</v>
      </c>
      <c r="H2294" s="5">
        <v>10290000</v>
      </c>
      <c r="I2294" s="5">
        <v>10590000</v>
      </c>
      <c r="J2294" s="5">
        <v>103400000</v>
      </c>
      <c r="K2294" s="5">
        <v>106400000</v>
      </c>
      <c r="L2294" s="3">
        <v>0.97916666666666663</v>
      </c>
    </row>
    <row r="2295" spans="1:12" x14ac:dyDescent="0.25">
      <c r="A2295" t="s">
        <v>1407</v>
      </c>
      <c r="B2295" s="2">
        <v>45707</v>
      </c>
      <c r="C2295" t="s">
        <v>19</v>
      </c>
      <c r="D2295" t="s">
        <v>1636</v>
      </c>
      <c r="E2295" s="5">
        <v>102500000</v>
      </c>
      <c r="F2295" s="5">
        <v>105500000</v>
      </c>
      <c r="G2295" s="5">
        <v>3000000</v>
      </c>
      <c r="H2295" s="5">
        <v>10250000</v>
      </c>
      <c r="I2295" s="5">
        <v>10550000</v>
      </c>
      <c r="J2295" s="5">
        <v>103000000</v>
      </c>
      <c r="K2295" s="5">
        <v>106000000</v>
      </c>
      <c r="L2295" s="3">
        <v>0.97916666666666663</v>
      </c>
    </row>
    <row r="2296" spans="1:12" x14ac:dyDescent="0.25">
      <c r="A2296" t="s">
        <v>1408</v>
      </c>
      <c r="B2296" s="2">
        <v>45708</v>
      </c>
      <c r="C2296" t="s">
        <v>20</v>
      </c>
      <c r="D2296" t="s">
        <v>1636</v>
      </c>
      <c r="E2296" s="5">
        <v>103200000</v>
      </c>
      <c r="F2296" s="5">
        <v>106200000</v>
      </c>
      <c r="G2296" s="5">
        <v>3000000</v>
      </c>
      <c r="H2296" s="5">
        <v>10320000</v>
      </c>
      <c r="I2296" s="5">
        <v>10620000</v>
      </c>
      <c r="J2296" s="5">
        <v>103700000</v>
      </c>
      <c r="K2296" s="5">
        <v>106700000</v>
      </c>
      <c r="L2296" s="3">
        <v>0.97916666666666663</v>
      </c>
    </row>
    <row r="2297" spans="1:12" x14ac:dyDescent="0.25">
      <c r="A2297" t="s">
        <v>1409</v>
      </c>
      <c r="B2297" s="2">
        <v>45709</v>
      </c>
      <c r="C2297" t="s">
        <v>21</v>
      </c>
      <c r="D2297" t="s">
        <v>1636</v>
      </c>
      <c r="E2297" s="5">
        <v>103200000</v>
      </c>
      <c r="F2297" s="5">
        <v>106200000</v>
      </c>
      <c r="G2297" s="5">
        <v>3000000</v>
      </c>
      <c r="H2297" s="5">
        <v>10320000</v>
      </c>
      <c r="I2297" s="5">
        <v>10620000</v>
      </c>
      <c r="J2297" s="5">
        <v>103700000</v>
      </c>
      <c r="K2297" s="5">
        <v>106700000</v>
      </c>
      <c r="L2297" s="3">
        <v>0.97916666666666663</v>
      </c>
    </row>
    <row r="2298" spans="1:12" x14ac:dyDescent="0.25">
      <c r="A2298" t="s">
        <v>1410</v>
      </c>
      <c r="B2298" s="2">
        <v>45712</v>
      </c>
      <c r="C2298" t="s">
        <v>16</v>
      </c>
      <c r="D2298" t="s">
        <v>1636</v>
      </c>
      <c r="E2298" s="5">
        <v>103500000</v>
      </c>
      <c r="F2298" s="5">
        <v>106500000</v>
      </c>
      <c r="G2298" s="5">
        <v>3000000</v>
      </c>
      <c r="H2298" s="5">
        <v>10350000</v>
      </c>
      <c r="I2298" s="5">
        <v>10650000</v>
      </c>
      <c r="J2298" s="5">
        <v>104000000</v>
      </c>
      <c r="K2298" s="5">
        <v>107000000</v>
      </c>
      <c r="L2298" s="3">
        <v>0.97916666666666663</v>
      </c>
    </row>
    <row r="2299" spans="1:12" x14ac:dyDescent="0.25">
      <c r="A2299" t="s">
        <v>1411</v>
      </c>
      <c r="B2299" s="2">
        <v>45713</v>
      </c>
      <c r="C2299" t="s">
        <v>18</v>
      </c>
      <c r="D2299" t="s">
        <v>1636</v>
      </c>
      <c r="E2299" s="5">
        <v>102000000</v>
      </c>
      <c r="F2299" s="5">
        <v>105000000</v>
      </c>
      <c r="G2299" s="5">
        <v>3000000</v>
      </c>
      <c r="H2299" s="5">
        <v>10200000</v>
      </c>
      <c r="I2299" s="5">
        <v>10500000</v>
      </c>
      <c r="J2299" s="5">
        <v>102500000</v>
      </c>
      <c r="K2299" s="5">
        <v>105500000</v>
      </c>
      <c r="L2299" s="3">
        <v>0.97916666666666663</v>
      </c>
    </row>
    <row r="2300" spans="1:12" x14ac:dyDescent="0.25">
      <c r="A2300" t="s">
        <v>1412</v>
      </c>
      <c r="B2300" s="2">
        <v>45714</v>
      </c>
      <c r="C2300" t="s">
        <v>19</v>
      </c>
      <c r="D2300" t="s">
        <v>1636</v>
      </c>
      <c r="E2300" s="5">
        <v>102400000</v>
      </c>
      <c r="F2300" s="5">
        <v>105400000</v>
      </c>
      <c r="G2300" s="5">
        <v>3000000</v>
      </c>
      <c r="H2300" s="5">
        <v>10240000</v>
      </c>
      <c r="I2300" s="5">
        <v>10540000</v>
      </c>
      <c r="J2300" s="5">
        <v>102900000</v>
      </c>
      <c r="K2300" s="5">
        <v>105900000</v>
      </c>
      <c r="L2300" s="3">
        <v>0.97916666666666663</v>
      </c>
    </row>
    <row r="2301" spans="1:12" x14ac:dyDescent="0.25">
      <c r="A2301" t="s">
        <v>1413</v>
      </c>
      <c r="B2301" s="2">
        <v>45715</v>
      </c>
      <c r="C2301" t="s">
        <v>20</v>
      </c>
      <c r="D2301" t="s">
        <v>1636</v>
      </c>
      <c r="E2301" s="5">
        <v>101200000</v>
      </c>
      <c r="F2301" s="5">
        <v>104200000</v>
      </c>
      <c r="G2301" s="5">
        <v>3000000</v>
      </c>
      <c r="H2301" s="5">
        <v>10120000</v>
      </c>
      <c r="I2301" s="5">
        <v>10420000</v>
      </c>
      <c r="J2301" s="5">
        <v>101700000</v>
      </c>
      <c r="K2301" s="5">
        <v>104700000</v>
      </c>
      <c r="L2301" s="3">
        <v>0.97916666666666663</v>
      </c>
    </row>
    <row r="2302" spans="1:12" x14ac:dyDescent="0.25">
      <c r="A2302" t="s">
        <v>1414</v>
      </c>
      <c r="B2302" s="2">
        <v>45716</v>
      </c>
      <c r="C2302" t="s">
        <v>21</v>
      </c>
      <c r="D2302" t="s">
        <v>1636</v>
      </c>
      <c r="E2302" s="5">
        <v>99500000</v>
      </c>
      <c r="F2302" s="5">
        <v>102500000</v>
      </c>
      <c r="G2302" s="5">
        <v>3000000</v>
      </c>
      <c r="H2302" s="5">
        <v>9950000</v>
      </c>
      <c r="I2302" s="5">
        <v>10250000</v>
      </c>
      <c r="J2302" s="5">
        <v>100000000</v>
      </c>
      <c r="K2302" s="5">
        <v>103000000</v>
      </c>
      <c r="L2302" s="3">
        <v>0.97916666666666663</v>
      </c>
    </row>
    <row r="2303" spans="1:12" x14ac:dyDescent="0.25">
      <c r="A2303" s="2">
        <v>45719</v>
      </c>
      <c r="B2303" s="2">
        <v>45719</v>
      </c>
      <c r="C2303" t="s">
        <v>16</v>
      </c>
      <c r="D2303" t="s">
        <v>1636</v>
      </c>
      <c r="E2303" s="5">
        <v>101400000</v>
      </c>
      <c r="F2303" s="5">
        <v>104400000</v>
      </c>
      <c r="G2303" s="5">
        <v>3000000</v>
      </c>
      <c r="H2303" s="5">
        <v>10140000</v>
      </c>
      <c r="I2303" s="5">
        <v>10440000</v>
      </c>
      <c r="J2303" s="5">
        <v>101900000</v>
      </c>
      <c r="K2303" s="5">
        <v>104900000</v>
      </c>
      <c r="L2303" s="3">
        <v>0.97916666666666663</v>
      </c>
    </row>
    <row r="2304" spans="1:12" x14ac:dyDescent="0.25">
      <c r="A2304" s="2">
        <v>45750</v>
      </c>
      <c r="B2304" s="2">
        <v>45720</v>
      </c>
      <c r="C2304" t="s">
        <v>18</v>
      </c>
      <c r="D2304" t="s">
        <v>1636</v>
      </c>
      <c r="E2304" s="5">
        <v>102100000</v>
      </c>
      <c r="F2304" s="5">
        <v>105100000</v>
      </c>
      <c r="G2304" s="5">
        <v>3000000</v>
      </c>
      <c r="H2304" s="5">
        <v>10210000</v>
      </c>
      <c r="I2304" s="5">
        <v>10510000</v>
      </c>
      <c r="J2304" s="5">
        <v>102600000</v>
      </c>
      <c r="K2304" s="5">
        <v>105600000</v>
      </c>
      <c r="L2304" s="3">
        <v>0.97916666666666663</v>
      </c>
    </row>
    <row r="2305" spans="1:12" x14ac:dyDescent="0.25">
      <c r="A2305" s="2">
        <v>45780</v>
      </c>
      <c r="B2305" s="2">
        <v>45721</v>
      </c>
      <c r="C2305" t="s">
        <v>19</v>
      </c>
      <c r="D2305" t="s">
        <v>1636</v>
      </c>
      <c r="E2305" s="5">
        <v>102300000</v>
      </c>
      <c r="F2305" s="5">
        <v>105300000</v>
      </c>
      <c r="G2305" s="5">
        <v>3000000</v>
      </c>
      <c r="H2305" s="5">
        <v>10230000</v>
      </c>
      <c r="I2305" s="5">
        <v>10530000</v>
      </c>
      <c r="J2305" s="5">
        <v>102800000</v>
      </c>
      <c r="K2305" s="5">
        <v>105800000</v>
      </c>
      <c r="L2305" s="3">
        <v>0.97916666666666663</v>
      </c>
    </row>
    <row r="2306" spans="1:12" x14ac:dyDescent="0.25">
      <c r="A2306" s="2">
        <v>45811</v>
      </c>
      <c r="B2306" s="2">
        <v>45722</v>
      </c>
      <c r="C2306" t="s">
        <v>20</v>
      </c>
      <c r="D2306" t="s">
        <v>1636</v>
      </c>
      <c r="E2306" s="5">
        <v>102400000</v>
      </c>
      <c r="F2306" s="5">
        <v>105400000</v>
      </c>
      <c r="G2306" s="5">
        <v>3000000</v>
      </c>
      <c r="H2306" s="5">
        <v>10240000</v>
      </c>
      <c r="I2306" s="5">
        <v>10540000</v>
      </c>
      <c r="J2306" s="5">
        <v>102900000</v>
      </c>
      <c r="K2306" s="5">
        <v>105900000</v>
      </c>
      <c r="L2306" s="3">
        <v>0.97916666666666663</v>
      </c>
    </row>
    <row r="2307" spans="1:12" x14ac:dyDescent="0.25">
      <c r="A2307" s="2">
        <v>45841</v>
      </c>
      <c r="B2307" s="2">
        <v>45723</v>
      </c>
      <c r="C2307" t="s">
        <v>21</v>
      </c>
      <c r="D2307" t="s">
        <v>1636</v>
      </c>
      <c r="E2307" s="5">
        <v>102000000</v>
      </c>
      <c r="F2307" s="5">
        <v>105000000</v>
      </c>
      <c r="G2307" s="5">
        <v>3000000</v>
      </c>
      <c r="H2307" s="5">
        <v>10200000</v>
      </c>
      <c r="I2307" s="5">
        <v>10500000</v>
      </c>
      <c r="J2307" s="5">
        <v>102500000</v>
      </c>
      <c r="K2307" s="5">
        <v>105500000</v>
      </c>
      <c r="L2307" s="3">
        <v>0.97916666666666663</v>
      </c>
    </row>
    <row r="2308" spans="1:12" x14ac:dyDescent="0.25">
      <c r="A2308" s="2">
        <v>45933</v>
      </c>
      <c r="B2308" s="2">
        <v>45726</v>
      </c>
      <c r="C2308" t="s">
        <v>16</v>
      </c>
      <c r="D2308" t="s">
        <v>1636</v>
      </c>
      <c r="E2308" s="5">
        <v>101500000</v>
      </c>
      <c r="F2308" s="5">
        <v>104500000</v>
      </c>
      <c r="G2308" s="5">
        <v>3000000</v>
      </c>
      <c r="H2308" s="5">
        <v>10150000</v>
      </c>
      <c r="I2308" s="5">
        <v>10450000</v>
      </c>
      <c r="J2308" s="5">
        <v>102000000</v>
      </c>
      <c r="K2308" s="5">
        <v>105000000</v>
      </c>
      <c r="L2308" s="3">
        <v>0.97916666666666663</v>
      </c>
    </row>
    <row r="2309" spans="1:12" x14ac:dyDescent="0.25">
      <c r="A2309" s="2">
        <v>45964</v>
      </c>
      <c r="B2309" s="2">
        <v>45727</v>
      </c>
      <c r="C2309" t="s">
        <v>18</v>
      </c>
      <c r="D2309" t="s">
        <v>1636</v>
      </c>
      <c r="E2309" s="5">
        <v>102300000</v>
      </c>
      <c r="F2309" s="5">
        <v>105300000</v>
      </c>
      <c r="G2309" s="5">
        <v>3000000</v>
      </c>
      <c r="H2309" s="5">
        <v>10230000</v>
      </c>
      <c r="I2309" s="5">
        <v>10530000</v>
      </c>
      <c r="J2309" s="5">
        <v>102800000</v>
      </c>
      <c r="K2309" s="5">
        <v>105800000</v>
      </c>
      <c r="L2309" s="3">
        <v>0.97916666666666663</v>
      </c>
    </row>
    <row r="2310" spans="1:12" x14ac:dyDescent="0.25">
      <c r="A2310" s="2">
        <v>45994</v>
      </c>
      <c r="B2310" s="2">
        <v>45728</v>
      </c>
      <c r="C2310" t="s">
        <v>19</v>
      </c>
      <c r="D2310" t="s">
        <v>1636</v>
      </c>
      <c r="E2310" s="5">
        <v>103200000</v>
      </c>
      <c r="F2310" s="5">
        <v>106200000</v>
      </c>
      <c r="G2310" s="5">
        <v>3000000</v>
      </c>
      <c r="H2310" s="5">
        <v>10320000</v>
      </c>
      <c r="I2310" s="5">
        <v>10620000</v>
      </c>
      <c r="J2310" s="5">
        <v>103700000</v>
      </c>
      <c r="K2310" s="5">
        <v>106700000</v>
      </c>
      <c r="L2310" s="3">
        <v>0.97916666666666663</v>
      </c>
    </row>
    <row r="2311" spans="1:12" x14ac:dyDescent="0.25">
      <c r="A2311" t="s">
        <v>1415</v>
      </c>
      <c r="B2311" s="2">
        <v>45729</v>
      </c>
      <c r="C2311" t="s">
        <v>20</v>
      </c>
      <c r="D2311" t="s">
        <v>1636</v>
      </c>
      <c r="E2311" s="5">
        <v>104800000</v>
      </c>
      <c r="F2311" s="5">
        <v>107800000</v>
      </c>
      <c r="G2311" s="5">
        <v>3000000</v>
      </c>
      <c r="H2311" s="5">
        <v>10480000</v>
      </c>
      <c r="I2311" s="5">
        <v>10780000</v>
      </c>
      <c r="J2311" s="5">
        <v>105300000</v>
      </c>
      <c r="K2311" s="5">
        <v>108300000</v>
      </c>
      <c r="L2311" s="3">
        <v>0.97916666666666663</v>
      </c>
    </row>
    <row r="2312" spans="1:12" x14ac:dyDescent="0.25">
      <c r="A2312" t="s">
        <v>1416</v>
      </c>
      <c r="B2312" s="2">
        <v>45730</v>
      </c>
      <c r="C2312" t="s">
        <v>21</v>
      </c>
      <c r="D2312" t="s">
        <v>1636</v>
      </c>
      <c r="E2312" s="5">
        <v>105200000</v>
      </c>
      <c r="F2312" s="5">
        <v>108200000</v>
      </c>
      <c r="G2312" s="5">
        <v>3000000</v>
      </c>
      <c r="H2312" s="5">
        <v>10520000</v>
      </c>
      <c r="I2312" s="5">
        <v>10820000</v>
      </c>
      <c r="J2312" s="5">
        <v>105700000</v>
      </c>
      <c r="K2312" s="5">
        <v>108700000</v>
      </c>
      <c r="L2312" s="3">
        <v>0.97916666666666663</v>
      </c>
    </row>
    <row r="2313" spans="1:12" x14ac:dyDescent="0.25">
      <c r="A2313" t="s">
        <v>1417</v>
      </c>
      <c r="B2313" s="2">
        <v>45733</v>
      </c>
      <c r="C2313" t="s">
        <v>16</v>
      </c>
      <c r="D2313" t="s">
        <v>1636</v>
      </c>
      <c r="E2313" s="5">
        <v>105400000</v>
      </c>
      <c r="F2313" s="5">
        <v>108400000</v>
      </c>
      <c r="G2313" s="5">
        <v>3000000</v>
      </c>
      <c r="H2313" s="5">
        <v>10540000</v>
      </c>
      <c r="I2313" s="5">
        <v>10840000</v>
      </c>
      <c r="J2313" s="5">
        <v>105900000</v>
      </c>
      <c r="K2313" s="5">
        <v>108900000</v>
      </c>
      <c r="L2313" s="3">
        <v>0.97916666666666663</v>
      </c>
    </row>
    <row r="2314" spans="1:12" x14ac:dyDescent="0.25">
      <c r="A2314" t="s">
        <v>1418</v>
      </c>
      <c r="B2314" s="2">
        <v>45734</v>
      </c>
      <c r="C2314" t="s">
        <v>18</v>
      </c>
      <c r="D2314" t="s">
        <v>1636</v>
      </c>
      <c r="E2314" s="5">
        <v>106700000</v>
      </c>
      <c r="F2314" s="5">
        <v>109700000</v>
      </c>
      <c r="G2314" s="5">
        <v>3000000</v>
      </c>
      <c r="H2314" s="5">
        <v>10670000</v>
      </c>
      <c r="I2314" s="5">
        <v>10970000</v>
      </c>
      <c r="J2314" s="5">
        <v>107200000</v>
      </c>
      <c r="K2314" s="5">
        <v>110200000</v>
      </c>
      <c r="L2314" s="3">
        <v>0.97916666666666663</v>
      </c>
    </row>
    <row r="2315" spans="1:12" x14ac:dyDescent="0.25">
      <c r="A2315" t="s">
        <v>1419</v>
      </c>
      <c r="B2315" s="2">
        <v>45735</v>
      </c>
      <c r="C2315" t="s">
        <v>19</v>
      </c>
      <c r="D2315" t="s">
        <v>1636</v>
      </c>
      <c r="E2315" s="5">
        <v>106700000</v>
      </c>
      <c r="F2315" s="5">
        <v>109700000</v>
      </c>
      <c r="G2315" s="5">
        <v>3000000</v>
      </c>
      <c r="H2315" s="5">
        <v>10670000</v>
      </c>
      <c r="I2315" s="5">
        <v>10970000</v>
      </c>
      <c r="J2315" s="5">
        <v>107200000</v>
      </c>
      <c r="K2315" s="5">
        <v>110200000</v>
      </c>
      <c r="L2315" s="3">
        <v>0.97916666666666663</v>
      </c>
    </row>
    <row r="2316" spans="1:12" x14ac:dyDescent="0.25">
      <c r="A2316" t="s">
        <v>1420</v>
      </c>
      <c r="B2316" s="2">
        <v>45736</v>
      </c>
      <c r="C2316" t="s">
        <v>20</v>
      </c>
      <c r="D2316" t="s">
        <v>1636</v>
      </c>
      <c r="E2316" s="5">
        <v>106900000</v>
      </c>
      <c r="F2316" s="5">
        <v>109900000</v>
      </c>
      <c r="G2316" s="5">
        <v>3000000</v>
      </c>
      <c r="H2316" s="5">
        <v>10690000</v>
      </c>
      <c r="I2316" s="5">
        <v>10990000</v>
      </c>
      <c r="J2316" s="5">
        <v>107400000</v>
      </c>
      <c r="K2316" s="5">
        <v>110400000</v>
      </c>
      <c r="L2316" s="3">
        <v>0.97916666666666663</v>
      </c>
    </row>
    <row r="2317" spans="1:12" x14ac:dyDescent="0.25">
      <c r="A2317" t="s">
        <v>1421</v>
      </c>
      <c r="B2317" s="2">
        <v>45737</v>
      </c>
      <c r="C2317" t="s">
        <v>21</v>
      </c>
      <c r="D2317" t="s">
        <v>1636</v>
      </c>
      <c r="E2317" s="5">
        <v>106100000</v>
      </c>
      <c r="F2317" s="5">
        <v>109100000</v>
      </c>
      <c r="G2317" s="5">
        <v>3000000</v>
      </c>
      <c r="H2317" s="5">
        <v>10610000</v>
      </c>
      <c r="I2317" s="5">
        <v>10910000</v>
      </c>
      <c r="J2317" s="5">
        <v>106600000</v>
      </c>
      <c r="K2317" s="5">
        <v>109600000</v>
      </c>
      <c r="L2317" s="3">
        <v>0.97916666666666663</v>
      </c>
    </row>
    <row r="2318" spans="1:12" x14ac:dyDescent="0.25">
      <c r="A2318" t="s">
        <v>1422</v>
      </c>
      <c r="B2318" s="2">
        <v>45740</v>
      </c>
      <c r="C2318" t="s">
        <v>16</v>
      </c>
      <c r="D2318" t="s">
        <v>1636</v>
      </c>
      <c r="E2318" s="5">
        <v>105900000</v>
      </c>
      <c r="F2318" s="5">
        <v>108900000</v>
      </c>
      <c r="G2318" s="5">
        <v>3000000</v>
      </c>
      <c r="H2318" s="5">
        <v>10590000</v>
      </c>
      <c r="I2318" s="5">
        <v>10890000</v>
      </c>
      <c r="J2318" s="5">
        <v>106400000</v>
      </c>
      <c r="K2318" s="5">
        <v>109400000</v>
      </c>
      <c r="L2318" s="3">
        <v>0.97916666666666663</v>
      </c>
    </row>
    <row r="2319" spans="1:12" x14ac:dyDescent="0.25">
      <c r="A2319" t="s">
        <v>1423</v>
      </c>
      <c r="B2319" s="2">
        <v>45741</v>
      </c>
      <c r="C2319" t="s">
        <v>18</v>
      </c>
      <c r="D2319" t="s">
        <v>1636</v>
      </c>
      <c r="E2319" s="5">
        <v>106300000</v>
      </c>
      <c r="F2319" s="5">
        <v>109300000</v>
      </c>
      <c r="G2319" s="5">
        <v>3000000</v>
      </c>
      <c r="H2319" s="5">
        <v>10630000</v>
      </c>
      <c r="I2319" s="5">
        <v>10930000</v>
      </c>
      <c r="J2319" s="5">
        <v>106800000</v>
      </c>
      <c r="K2319" s="5">
        <v>109800000</v>
      </c>
      <c r="L2319" s="3">
        <v>0.97916666666666663</v>
      </c>
    </row>
    <row r="2320" spans="1:12" x14ac:dyDescent="0.25">
      <c r="A2320" t="s">
        <v>1424</v>
      </c>
      <c r="B2320" s="2">
        <v>45742</v>
      </c>
      <c r="C2320" t="s">
        <v>19</v>
      </c>
      <c r="D2320" t="s">
        <v>1636</v>
      </c>
      <c r="E2320" s="5">
        <v>106200000</v>
      </c>
      <c r="F2320" s="5">
        <v>109200000</v>
      </c>
      <c r="G2320" s="5">
        <v>3000000</v>
      </c>
      <c r="H2320" s="5">
        <v>10620000</v>
      </c>
      <c r="I2320" s="5">
        <v>10920000</v>
      </c>
      <c r="J2320" s="5">
        <v>106700000</v>
      </c>
      <c r="K2320" s="5">
        <v>109700000</v>
      </c>
      <c r="L2320" s="3">
        <v>0.97916666666666663</v>
      </c>
    </row>
    <row r="2321" spans="1:12" x14ac:dyDescent="0.25">
      <c r="A2321" t="s">
        <v>1425</v>
      </c>
      <c r="B2321" s="2">
        <v>45743</v>
      </c>
      <c r="C2321" t="s">
        <v>20</v>
      </c>
      <c r="D2321" t="s">
        <v>1636</v>
      </c>
      <c r="E2321" s="5">
        <v>107600000</v>
      </c>
      <c r="F2321" s="5">
        <v>110600000</v>
      </c>
      <c r="G2321" s="5">
        <v>3000000</v>
      </c>
      <c r="H2321" s="5">
        <v>10760000</v>
      </c>
      <c r="I2321" s="5">
        <v>11060000</v>
      </c>
      <c r="J2321" s="5">
        <v>108100000</v>
      </c>
      <c r="K2321" s="5">
        <v>111100000</v>
      </c>
      <c r="L2321" s="3">
        <v>0.97916666666666663</v>
      </c>
    </row>
    <row r="2322" spans="1:12" x14ac:dyDescent="0.25">
      <c r="A2322" t="s">
        <v>1426</v>
      </c>
      <c r="B2322" s="2">
        <v>45744</v>
      </c>
      <c r="C2322" t="s">
        <v>21</v>
      </c>
      <c r="D2322" t="s">
        <v>1636</v>
      </c>
      <c r="E2322" s="5">
        <v>108500000</v>
      </c>
      <c r="F2322" s="5">
        <v>111500000</v>
      </c>
      <c r="G2322" s="5">
        <v>3000000</v>
      </c>
      <c r="H2322" s="5">
        <v>10850000</v>
      </c>
      <c r="I2322" s="5">
        <v>11150000</v>
      </c>
      <c r="J2322" s="5">
        <v>109000000</v>
      </c>
      <c r="K2322" s="5">
        <v>112000000</v>
      </c>
      <c r="L2322" s="3">
        <v>0.97916666666666663</v>
      </c>
    </row>
    <row r="2323" spans="1:12" x14ac:dyDescent="0.25">
      <c r="A2323" t="s">
        <v>1427</v>
      </c>
      <c r="B2323" s="2">
        <v>45747</v>
      </c>
      <c r="C2323" t="s">
        <v>16</v>
      </c>
      <c r="D2323" t="s">
        <v>1636</v>
      </c>
      <c r="E2323" s="5">
        <v>109800000</v>
      </c>
      <c r="F2323" s="5">
        <v>112800000</v>
      </c>
      <c r="G2323" s="5">
        <v>3000000</v>
      </c>
      <c r="H2323" s="5">
        <v>10980000</v>
      </c>
      <c r="I2323" s="5">
        <v>11280000</v>
      </c>
      <c r="J2323" s="5">
        <v>110300000</v>
      </c>
      <c r="K2323" s="5">
        <v>113300000</v>
      </c>
      <c r="L2323" s="3">
        <v>0.97916666666666663</v>
      </c>
    </row>
    <row r="2324" spans="1:12" x14ac:dyDescent="0.25">
      <c r="A2324" s="2">
        <v>45661</v>
      </c>
      <c r="B2324" s="2">
        <v>45748</v>
      </c>
      <c r="C2324" t="s">
        <v>18</v>
      </c>
      <c r="D2324" t="s">
        <v>1636</v>
      </c>
      <c r="E2324" s="5">
        <v>109700000</v>
      </c>
      <c r="F2324" s="5">
        <v>112700000</v>
      </c>
      <c r="G2324" s="5">
        <v>3000000</v>
      </c>
      <c r="H2324" s="5">
        <v>10970000</v>
      </c>
      <c r="I2324" s="5">
        <v>11270000</v>
      </c>
      <c r="J2324" s="5">
        <v>110200000</v>
      </c>
      <c r="K2324" s="5">
        <v>113200000</v>
      </c>
      <c r="L2324" s="3">
        <v>0.97916666666666663</v>
      </c>
    </row>
    <row r="2325" spans="1:12" x14ac:dyDescent="0.25">
      <c r="A2325" s="2">
        <v>45692</v>
      </c>
      <c r="B2325" s="2">
        <v>45749</v>
      </c>
      <c r="C2325" t="s">
        <v>19</v>
      </c>
      <c r="D2325" t="s">
        <v>1636</v>
      </c>
      <c r="E2325" s="5">
        <v>110500000</v>
      </c>
      <c r="F2325" s="5">
        <v>113500000</v>
      </c>
      <c r="G2325" s="5">
        <v>3000000</v>
      </c>
      <c r="H2325" s="5">
        <v>11050000</v>
      </c>
      <c r="I2325" s="5">
        <v>11350000</v>
      </c>
      <c r="J2325" s="5">
        <v>111000000</v>
      </c>
      <c r="K2325" s="5">
        <v>114000000</v>
      </c>
      <c r="L2325" s="3">
        <v>0.97916666666666663</v>
      </c>
    </row>
    <row r="2326" spans="1:12" x14ac:dyDescent="0.25">
      <c r="A2326" s="2">
        <v>45720</v>
      </c>
      <c r="B2326" s="2">
        <v>45750</v>
      </c>
      <c r="C2326" t="s">
        <v>20</v>
      </c>
      <c r="D2326" t="s">
        <v>1636</v>
      </c>
      <c r="E2326" s="5">
        <v>108900000</v>
      </c>
      <c r="F2326" s="5">
        <v>111900000</v>
      </c>
      <c r="G2326" s="5">
        <v>3000000</v>
      </c>
      <c r="H2326" s="5">
        <v>10890000</v>
      </c>
      <c r="I2326" s="5">
        <v>11190000</v>
      </c>
      <c r="J2326" s="5">
        <v>109400000</v>
      </c>
      <c r="K2326" s="5">
        <v>112400000</v>
      </c>
      <c r="L2326" s="3">
        <v>0.97916666666666663</v>
      </c>
    </row>
    <row r="2327" spans="1:12" x14ac:dyDescent="0.25">
      <c r="A2327" s="2">
        <v>45751</v>
      </c>
      <c r="B2327" s="2">
        <v>45751</v>
      </c>
      <c r="C2327" t="s">
        <v>21</v>
      </c>
      <c r="D2327" t="s">
        <v>1636</v>
      </c>
      <c r="E2327" s="5">
        <v>105800000</v>
      </c>
      <c r="F2327" s="5">
        <v>108800000</v>
      </c>
      <c r="G2327" s="5">
        <v>3000000</v>
      </c>
      <c r="H2327" s="5">
        <v>10580000</v>
      </c>
      <c r="I2327" s="5">
        <v>10880000</v>
      </c>
      <c r="J2327" s="5">
        <v>106300000</v>
      </c>
      <c r="K2327" s="5">
        <v>109300000</v>
      </c>
      <c r="L2327" s="3">
        <v>0.97916666666666663</v>
      </c>
    </row>
    <row r="2328" spans="1:12" x14ac:dyDescent="0.25">
      <c r="A2328" s="2">
        <v>45842</v>
      </c>
      <c r="B2328" s="2">
        <v>45754</v>
      </c>
      <c r="C2328" t="s">
        <v>16</v>
      </c>
      <c r="D2328" t="s">
        <v>1636</v>
      </c>
      <c r="E2328" s="5">
        <v>103600000</v>
      </c>
      <c r="F2328" s="5">
        <v>106600000</v>
      </c>
      <c r="G2328" s="5">
        <v>3000000</v>
      </c>
      <c r="H2328" s="5">
        <v>10360000</v>
      </c>
      <c r="I2328" s="5">
        <v>10660000</v>
      </c>
      <c r="J2328" s="5">
        <v>104100000</v>
      </c>
      <c r="K2328" s="5">
        <v>107100000</v>
      </c>
      <c r="L2328" s="3">
        <v>0.97916666666666663</v>
      </c>
    </row>
    <row r="2329" spans="1:12" x14ac:dyDescent="0.25">
      <c r="A2329" s="2">
        <v>45873</v>
      </c>
      <c r="B2329" s="2">
        <v>45755</v>
      </c>
      <c r="C2329" t="s">
        <v>18</v>
      </c>
      <c r="D2329" t="s">
        <v>1636</v>
      </c>
      <c r="E2329" s="5">
        <v>104300000</v>
      </c>
      <c r="F2329" s="5">
        <v>107300000</v>
      </c>
      <c r="G2329" s="5">
        <v>3000000</v>
      </c>
      <c r="H2329" s="5">
        <v>10430000</v>
      </c>
      <c r="I2329" s="5">
        <v>10730000</v>
      </c>
      <c r="J2329" s="5">
        <v>104800000</v>
      </c>
      <c r="K2329" s="5">
        <v>107800000</v>
      </c>
      <c r="L2329" s="3">
        <v>0.97916666666666663</v>
      </c>
    </row>
    <row r="2330" spans="1:12" x14ac:dyDescent="0.25">
      <c r="A2330" s="2">
        <v>45904</v>
      </c>
      <c r="B2330" s="2">
        <v>45756</v>
      </c>
      <c r="C2330" t="s">
        <v>19</v>
      </c>
      <c r="D2330" t="s">
        <v>1636</v>
      </c>
      <c r="E2330" s="5">
        <v>107400000</v>
      </c>
      <c r="F2330" s="5">
        <v>110400000</v>
      </c>
      <c r="G2330" s="5">
        <v>3000000</v>
      </c>
      <c r="H2330" s="5">
        <v>10740000</v>
      </c>
      <c r="I2330" s="5">
        <v>11040000</v>
      </c>
      <c r="J2330" s="5">
        <v>107900000</v>
      </c>
      <c r="K2330" s="5">
        <v>110900000</v>
      </c>
      <c r="L2330" s="3">
        <v>0.97916666666666663</v>
      </c>
    </row>
    <row r="2331" spans="1:12" x14ac:dyDescent="0.25">
      <c r="A2331" s="2">
        <v>45934</v>
      </c>
      <c r="B2331" s="2">
        <v>45757</v>
      </c>
      <c r="C2331" t="s">
        <v>20</v>
      </c>
      <c r="D2331" t="s">
        <v>1636</v>
      </c>
      <c r="E2331" s="5">
        <v>111000000</v>
      </c>
      <c r="F2331" s="5">
        <v>114000000</v>
      </c>
      <c r="G2331" s="5">
        <v>3000000</v>
      </c>
      <c r="H2331" s="5">
        <v>11100000</v>
      </c>
      <c r="I2331" s="5">
        <v>11400000</v>
      </c>
      <c r="J2331" s="5">
        <v>111500000</v>
      </c>
      <c r="K2331" s="5">
        <v>114500000</v>
      </c>
      <c r="L2331" s="3">
        <v>0.97916666666666663</v>
      </c>
    </row>
    <row r="2332" spans="1:12" x14ac:dyDescent="0.25">
      <c r="A2332" s="2">
        <v>45965</v>
      </c>
      <c r="B2332" s="2">
        <v>45758</v>
      </c>
      <c r="C2332" t="s">
        <v>21</v>
      </c>
      <c r="D2332" t="s">
        <v>1636</v>
      </c>
      <c r="E2332" s="5">
        <v>113400000</v>
      </c>
      <c r="F2332" s="5">
        <v>116400000</v>
      </c>
      <c r="G2332" s="5">
        <v>3000000</v>
      </c>
      <c r="H2332" s="5">
        <v>11340000</v>
      </c>
      <c r="I2332" s="5">
        <v>11640000</v>
      </c>
      <c r="J2332" s="5">
        <v>113900000</v>
      </c>
      <c r="K2332" s="5">
        <v>116900000</v>
      </c>
      <c r="L2332" s="3">
        <v>0.97916666666666663</v>
      </c>
    </row>
    <row r="2333" spans="1:12" x14ac:dyDescent="0.25">
      <c r="A2333" t="s">
        <v>1428</v>
      </c>
      <c r="B2333" s="2">
        <v>45761</v>
      </c>
      <c r="C2333" t="s">
        <v>16</v>
      </c>
      <c r="D2333" t="s">
        <v>1636</v>
      </c>
      <c r="E2333" s="5">
        <v>112800000</v>
      </c>
      <c r="F2333" s="5">
        <v>115800000</v>
      </c>
      <c r="G2333" s="5">
        <v>3000000</v>
      </c>
      <c r="H2333" s="5">
        <v>11280000</v>
      </c>
      <c r="I2333" s="5">
        <v>11580000</v>
      </c>
      <c r="J2333" s="5">
        <v>113300000</v>
      </c>
      <c r="K2333" s="5">
        <v>116300000</v>
      </c>
      <c r="L2333" s="3">
        <v>0.97916666666666663</v>
      </c>
    </row>
    <row r="2334" spans="1:12" x14ac:dyDescent="0.25">
      <c r="A2334" t="s">
        <v>1429</v>
      </c>
      <c r="B2334" s="2">
        <v>45762</v>
      </c>
      <c r="C2334" t="s">
        <v>18</v>
      </c>
      <c r="D2334" t="s">
        <v>1636</v>
      </c>
      <c r="E2334" s="5">
        <v>113300000</v>
      </c>
      <c r="F2334" s="5">
        <v>116300000</v>
      </c>
      <c r="G2334" s="5">
        <v>3000000</v>
      </c>
      <c r="H2334" s="5">
        <v>11330000</v>
      </c>
      <c r="I2334" s="5">
        <v>11630000</v>
      </c>
      <c r="J2334" s="5">
        <v>113800000</v>
      </c>
      <c r="K2334" s="5">
        <v>116800000</v>
      </c>
      <c r="L2334" s="3">
        <v>0.97916666666666663</v>
      </c>
    </row>
    <row r="2335" spans="1:12" x14ac:dyDescent="0.25">
      <c r="A2335" t="s">
        <v>1430</v>
      </c>
      <c r="B2335" s="2">
        <v>45763</v>
      </c>
      <c r="C2335" t="s">
        <v>19</v>
      </c>
      <c r="D2335" t="s">
        <v>1636</v>
      </c>
      <c r="E2335" s="5">
        <v>117200000</v>
      </c>
      <c r="F2335" s="5">
        <v>120200000</v>
      </c>
      <c r="G2335" s="5">
        <v>3000000</v>
      </c>
      <c r="H2335" s="5">
        <v>11720000</v>
      </c>
      <c r="I2335" s="5">
        <v>12020000</v>
      </c>
      <c r="J2335" s="5">
        <v>117700000</v>
      </c>
      <c r="K2335" s="5">
        <v>120700000</v>
      </c>
      <c r="L2335" s="3">
        <v>0.97916666666666663</v>
      </c>
    </row>
    <row r="2336" spans="1:12" x14ac:dyDescent="0.25">
      <c r="A2336" t="s">
        <v>1431</v>
      </c>
      <c r="B2336" s="2">
        <v>45764</v>
      </c>
      <c r="C2336" t="s">
        <v>20</v>
      </c>
      <c r="D2336" t="s">
        <v>1636</v>
      </c>
      <c r="E2336" s="5">
        <v>116600000</v>
      </c>
      <c r="F2336" s="5">
        <v>119600000</v>
      </c>
      <c r="G2336" s="5">
        <v>3000000</v>
      </c>
      <c r="H2336" s="5">
        <v>11660000</v>
      </c>
      <c r="I2336" s="5">
        <v>11960000</v>
      </c>
      <c r="J2336" s="5">
        <v>117100000</v>
      </c>
      <c r="K2336" s="5">
        <v>120100000</v>
      </c>
      <c r="L2336" s="3">
        <v>0.97916666666666663</v>
      </c>
    </row>
    <row r="2337" spans="1:12" x14ac:dyDescent="0.25">
      <c r="A2337" t="s">
        <v>1432</v>
      </c>
      <c r="B2337" s="2">
        <v>45768</v>
      </c>
      <c r="C2337" t="s">
        <v>16</v>
      </c>
      <c r="D2337" t="s">
        <v>1636</v>
      </c>
      <c r="E2337" s="5">
        <v>120100000</v>
      </c>
      <c r="F2337" s="5">
        <v>123100000</v>
      </c>
      <c r="G2337" s="5">
        <v>3000000</v>
      </c>
      <c r="H2337" s="5">
        <v>12010000</v>
      </c>
      <c r="I2337" s="5">
        <v>12310000</v>
      </c>
      <c r="J2337" s="5">
        <v>120600000</v>
      </c>
      <c r="K2337" s="5">
        <v>123600000</v>
      </c>
      <c r="L2337" s="3">
        <v>0.97916666666666663</v>
      </c>
    </row>
    <row r="2338" spans="1:12" x14ac:dyDescent="0.25">
      <c r="A2338" t="s">
        <v>1433</v>
      </c>
      <c r="B2338" s="2">
        <v>45769</v>
      </c>
      <c r="C2338" t="s">
        <v>18</v>
      </c>
      <c r="D2338" t="s">
        <v>1636</v>
      </c>
      <c r="E2338" s="5">
        <v>119900000</v>
      </c>
      <c r="F2338" s="5">
        <v>122900000</v>
      </c>
      <c r="G2338" s="5">
        <v>3000000</v>
      </c>
      <c r="H2338" s="5">
        <v>11990000</v>
      </c>
      <c r="I2338" s="5">
        <v>12290000</v>
      </c>
      <c r="J2338" s="5">
        <v>120400000</v>
      </c>
      <c r="K2338" s="5">
        <v>123400000</v>
      </c>
      <c r="L2338" s="3">
        <v>0.97916666666666663</v>
      </c>
    </row>
    <row r="2339" spans="1:12" x14ac:dyDescent="0.25">
      <c r="A2339" t="s">
        <v>1434</v>
      </c>
      <c r="B2339" s="2">
        <v>45770</v>
      </c>
      <c r="C2339" t="s">
        <v>19</v>
      </c>
      <c r="D2339" t="s">
        <v>1636</v>
      </c>
      <c r="E2339" s="5">
        <v>115400000</v>
      </c>
      <c r="F2339" s="5">
        <v>118400000</v>
      </c>
      <c r="G2339" s="5">
        <v>3000000</v>
      </c>
      <c r="H2339" s="5">
        <v>11540000</v>
      </c>
      <c r="I2339" s="5">
        <v>11840000</v>
      </c>
      <c r="J2339" s="5">
        <v>115900000</v>
      </c>
      <c r="K2339" s="5">
        <v>118900000</v>
      </c>
      <c r="L2339" s="3">
        <v>0.97916666666666663</v>
      </c>
    </row>
    <row r="2340" spans="1:12" x14ac:dyDescent="0.25">
      <c r="A2340" t="s">
        <v>1435</v>
      </c>
      <c r="B2340" s="2">
        <v>45771</v>
      </c>
      <c r="C2340" t="s">
        <v>20</v>
      </c>
      <c r="D2340" t="s">
        <v>1636</v>
      </c>
      <c r="E2340" s="5">
        <v>117400000</v>
      </c>
      <c r="F2340" s="5">
        <v>120400000</v>
      </c>
      <c r="G2340" s="5">
        <v>3000000</v>
      </c>
      <c r="H2340" s="5">
        <v>11740000</v>
      </c>
      <c r="I2340" s="5">
        <v>12040000</v>
      </c>
      <c r="J2340" s="5">
        <v>117900000</v>
      </c>
      <c r="K2340" s="5">
        <v>120900000</v>
      </c>
      <c r="L2340" s="3">
        <v>0.97916666666666663</v>
      </c>
    </row>
    <row r="2341" spans="1:12" x14ac:dyDescent="0.25">
      <c r="A2341" t="s">
        <v>1436</v>
      </c>
      <c r="B2341" s="2">
        <v>45772</v>
      </c>
      <c r="C2341" t="s">
        <v>21</v>
      </c>
      <c r="D2341" t="s">
        <v>1636</v>
      </c>
      <c r="E2341" s="5">
        <v>115600000</v>
      </c>
      <c r="F2341" s="5">
        <v>118600000</v>
      </c>
      <c r="G2341" s="5">
        <v>3000000</v>
      </c>
      <c r="H2341" s="5">
        <v>11560000</v>
      </c>
      <c r="I2341" s="5">
        <v>11860000</v>
      </c>
      <c r="J2341" s="5">
        <v>116100000</v>
      </c>
      <c r="K2341" s="5">
        <v>119100000</v>
      </c>
      <c r="L2341" s="3">
        <v>0.97916666666666663</v>
      </c>
    </row>
    <row r="2342" spans="1:12" x14ac:dyDescent="0.25">
      <c r="A2342" t="s">
        <v>1437</v>
      </c>
      <c r="B2342" s="2">
        <v>45775</v>
      </c>
      <c r="C2342" t="s">
        <v>16</v>
      </c>
      <c r="D2342" t="s">
        <v>1636</v>
      </c>
      <c r="E2342" s="5">
        <v>117400000</v>
      </c>
      <c r="F2342" s="5">
        <v>120400000</v>
      </c>
      <c r="G2342" s="5">
        <v>3000000</v>
      </c>
      <c r="H2342" s="5">
        <v>11740000</v>
      </c>
      <c r="I2342" s="5">
        <v>12040000</v>
      </c>
      <c r="J2342" s="5">
        <v>117900000</v>
      </c>
      <c r="K2342" s="5">
        <v>120900000</v>
      </c>
      <c r="L2342" s="3">
        <v>0.97916666666666663</v>
      </c>
    </row>
    <row r="2343" spans="1:12" x14ac:dyDescent="0.25">
      <c r="A2343" t="s">
        <v>1438</v>
      </c>
      <c r="B2343" s="2">
        <v>45776</v>
      </c>
      <c r="C2343" t="s">
        <v>18</v>
      </c>
      <c r="D2343" t="s">
        <v>1636</v>
      </c>
      <c r="E2343" s="5">
        <v>116900000</v>
      </c>
      <c r="F2343" s="5">
        <v>119900000</v>
      </c>
      <c r="G2343" s="5">
        <v>3000000</v>
      </c>
      <c r="H2343" s="5">
        <v>11690000</v>
      </c>
      <c r="I2343" s="5">
        <v>11990000</v>
      </c>
      <c r="J2343" s="5">
        <v>117400000</v>
      </c>
      <c r="K2343" s="5">
        <v>120400000</v>
      </c>
      <c r="L2343" s="3">
        <v>0.97916666666666663</v>
      </c>
    </row>
    <row r="2344" spans="1:12" x14ac:dyDescent="0.25">
      <c r="A2344" t="s">
        <v>1439</v>
      </c>
      <c r="B2344" s="2">
        <v>45777</v>
      </c>
      <c r="C2344" t="s">
        <v>19</v>
      </c>
      <c r="D2344" t="s">
        <v>1636</v>
      </c>
      <c r="E2344" s="5">
        <v>116400000</v>
      </c>
      <c r="F2344" s="5">
        <v>119400000</v>
      </c>
      <c r="G2344" s="5">
        <v>3000000</v>
      </c>
      <c r="H2344" s="5">
        <v>11640000</v>
      </c>
      <c r="I2344" s="5">
        <v>11940000</v>
      </c>
      <c r="J2344" s="5">
        <v>116900000</v>
      </c>
      <c r="K2344" s="5">
        <v>119900000</v>
      </c>
      <c r="L2344" s="3">
        <v>0.97916666666666663</v>
      </c>
    </row>
    <row r="2345" spans="1:12" x14ac:dyDescent="0.25">
      <c r="A2345" s="2">
        <v>45662</v>
      </c>
      <c r="B2345" s="2">
        <v>45778</v>
      </c>
      <c r="C2345" t="s">
        <v>20</v>
      </c>
      <c r="D2345" t="s">
        <v>1636</v>
      </c>
      <c r="E2345" s="5">
        <v>113000000</v>
      </c>
      <c r="F2345" s="5">
        <v>116000000</v>
      </c>
      <c r="G2345" s="5">
        <v>3000000</v>
      </c>
      <c r="H2345" s="5">
        <v>11300000</v>
      </c>
      <c r="I2345" s="5">
        <v>11600000</v>
      </c>
      <c r="J2345" s="5">
        <v>113500000</v>
      </c>
      <c r="K2345" s="5">
        <v>116500000</v>
      </c>
      <c r="L2345" s="3">
        <v>0.97916666666666663</v>
      </c>
    </row>
    <row r="2346" spans="1:12" x14ac:dyDescent="0.25">
      <c r="A2346" s="2">
        <v>45693</v>
      </c>
      <c r="B2346" s="2">
        <v>45779</v>
      </c>
      <c r="C2346" t="s">
        <v>21</v>
      </c>
      <c r="D2346" t="s">
        <v>1636</v>
      </c>
      <c r="E2346" s="5">
        <v>113800000</v>
      </c>
      <c r="F2346" s="5">
        <v>116800000</v>
      </c>
      <c r="G2346" s="5">
        <v>3000000</v>
      </c>
      <c r="H2346" s="5">
        <v>11380000</v>
      </c>
      <c r="I2346" s="5">
        <v>11680000</v>
      </c>
      <c r="J2346" s="5">
        <v>114300000</v>
      </c>
      <c r="K2346" s="5">
        <v>117300000</v>
      </c>
      <c r="L2346" s="3">
        <v>0.97916666666666663</v>
      </c>
    </row>
    <row r="2347" spans="1:12" x14ac:dyDescent="0.25">
      <c r="A2347" s="2">
        <v>45782</v>
      </c>
      <c r="B2347" s="2">
        <v>45782</v>
      </c>
      <c r="C2347" t="s">
        <v>16</v>
      </c>
      <c r="D2347" t="s">
        <v>1636</v>
      </c>
      <c r="E2347" s="5">
        <v>116700000</v>
      </c>
      <c r="F2347" s="5">
        <v>119700000</v>
      </c>
      <c r="G2347" s="5">
        <v>3000000</v>
      </c>
      <c r="H2347" s="5">
        <v>11670000</v>
      </c>
      <c r="I2347" s="5">
        <v>11970000</v>
      </c>
      <c r="J2347" s="5">
        <v>117200000</v>
      </c>
      <c r="K2347" s="5">
        <v>120200000</v>
      </c>
      <c r="L2347" s="3">
        <v>0.97916666666666663</v>
      </c>
    </row>
    <row r="2348" spans="1:12" x14ac:dyDescent="0.25">
      <c r="A2348" s="2">
        <v>45813</v>
      </c>
      <c r="B2348" s="2">
        <v>45783</v>
      </c>
      <c r="C2348" t="s">
        <v>18</v>
      </c>
      <c r="D2348" t="s">
        <v>1636</v>
      </c>
      <c r="E2348" s="5">
        <v>120300000</v>
      </c>
      <c r="F2348" s="5">
        <v>123300000</v>
      </c>
      <c r="G2348" s="5">
        <v>3000000</v>
      </c>
      <c r="H2348" s="5">
        <v>12030000</v>
      </c>
      <c r="I2348" s="5">
        <v>12330000</v>
      </c>
      <c r="J2348" s="5">
        <v>120800000</v>
      </c>
      <c r="K2348" s="5">
        <v>123800000</v>
      </c>
      <c r="L2348" s="3">
        <v>0.97916666666666663</v>
      </c>
    </row>
    <row r="2349" spans="1:12" x14ac:dyDescent="0.25">
      <c r="A2349" s="2">
        <v>45843</v>
      </c>
      <c r="B2349" s="2">
        <v>45784</v>
      </c>
      <c r="C2349" t="s">
        <v>19</v>
      </c>
      <c r="D2349" t="s">
        <v>1636</v>
      </c>
      <c r="E2349" s="5">
        <v>119200000</v>
      </c>
      <c r="F2349" s="5">
        <v>122200000</v>
      </c>
      <c r="G2349" s="5">
        <v>3000000</v>
      </c>
      <c r="H2349" s="5">
        <v>11920000</v>
      </c>
      <c r="I2349" s="5">
        <v>12220000</v>
      </c>
      <c r="J2349" s="5">
        <v>119700000</v>
      </c>
      <c r="K2349" s="5">
        <v>122700000</v>
      </c>
      <c r="L2349" s="3">
        <v>0.97916666666666663</v>
      </c>
    </row>
    <row r="2350" spans="1:12" x14ac:dyDescent="0.25">
      <c r="A2350" s="2">
        <v>45874</v>
      </c>
      <c r="B2350" s="2">
        <v>45785</v>
      </c>
      <c r="C2350" t="s">
        <v>20</v>
      </c>
      <c r="D2350" t="s">
        <v>1636</v>
      </c>
      <c r="E2350" s="5">
        <v>116100000</v>
      </c>
      <c r="F2350" s="5">
        <v>119100000</v>
      </c>
      <c r="G2350" s="5">
        <v>3000000</v>
      </c>
      <c r="H2350" s="5">
        <v>11610000</v>
      </c>
      <c r="I2350" s="5">
        <v>11910000</v>
      </c>
      <c r="J2350" s="5">
        <v>116600000</v>
      </c>
      <c r="K2350" s="5">
        <v>119600000</v>
      </c>
      <c r="L2350" s="3">
        <v>0.97916666666666663</v>
      </c>
    </row>
    <row r="2351" spans="1:12" x14ac:dyDescent="0.25">
      <c r="A2351" s="2">
        <v>45905</v>
      </c>
      <c r="B2351" s="2">
        <v>45786</v>
      </c>
      <c r="C2351" t="s">
        <v>21</v>
      </c>
      <c r="D2351" t="s">
        <v>1636</v>
      </c>
      <c r="E2351" s="5">
        <v>117500000</v>
      </c>
      <c r="F2351" s="5">
        <v>120500000</v>
      </c>
      <c r="G2351" s="5">
        <v>3000000</v>
      </c>
      <c r="H2351" s="5">
        <v>11750000</v>
      </c>
      <c r="I2351" s="5">
        <v>12050000</v>
      </c>
      <c r="J2351" s="5">
        <v>118000000</v>
      </c>
      <c r="K2351" s="5">
        <v>121000000</v>
      </c>
      <c r="L2351" s="3">
        <v>0.97916666666666663</v>
      </c>
    </row>
    <row r="2352" spans="1:12" x14ac:dyDescent="0.25">
      <c r="A2352" s="2">
        <v>45996</v>
      </c>
      <c r="B2352" s="2">
        <v>45789</v>
      </c>
      <c r="C2352" t="s">
        <v>16</v>
      </c>
      <c r="D2352" t="s">
        <v>1636</v>
      </c>
      <c r="E2352" s="5">
        <v>113400000</v>
      </c>
      <c r="F2352" s="5">
        <v>116400000</v>
      </c>
      <c r="G2352" s="5">
        <v>3000000</v>
      </c>
      <c r="H2352" s="5">
        <v>11340000</v>
      </c>
      <c r="I2352" s="5">
        <v>11640000</v>
      </c>
      <c r="J2352" s="5">
        <v>113900000</v>
      </c>
      <c r="K2352" s="5">
        <v>116900000</v>
      </c>
      <c r="L2352" s="3">
        <v>0.97916666666666663</v>
      </c>
    </row>
    <row r="2353" spans="1:12" x14ac:dyDescent="0.25">
      <c r="A2353" t="s">
        <v>1440</v>
      </c>
      <c r="B2353" s="2">
        <v>45790</v>
      </c>
      <c r="C2353" t="s">
        <v>18</v>
      </c>
      <c r="D2353" t="s">
        <v>1636</v>
      </c>
      <c r="E2353" s="5">
        <v>114100000</v>
      </c>
      <c r="F2353" s="5">
        <v>117100000</v>
      </c>
      <c r="G2353" s="5">
        <v>3000000</v>
      </c>
      <c r="H2353" s="5">
        <v>11410000</v>
      </c>
      <c r="I2353" s="5">
        <v>11710000</v>
      </c>
      <c r="J2353" s="5">
        <v>114600000</v>
      </c>
      <c r="K2353" s="5">
        <v>117600000</v>
      </c>
      <c r="L2353" s="3">
        <v>0.97916666666666663</v>
      </c>
    </row>
    <row r="2354" spans="1:12" x14ac:dyDescent="0.25">
      <c r="A2354" t="s">
        <v>1441</v>
      </c>
      <c r="B2354" s="2">
        <v>45791</v>
      </c>
      <c r="C2354" t="s">
        <v>19</v>
      </c>
      <c r="D2354" t="s">
        <v>1636</v>
      </c>
      <c r="E2354" s="5">
        <v>112000000</v>
      </c>
      <c r="F2354" s="5">
        <v>115000000</v>
      </c>
      <c r="G2354" s="5">
        <v>3000000</v>
      </c>
      <c r="H2354" s="5">
        <v>11200000</v>
      </c>
      <c r="I2354" s="5">
        <v>11500000</v>
      </c>
      <c r="J2354" s="5">
        <v>112500000</v>
      </c>
      <c r="K2354" s="5">
        <v>115500000</v>
      </c>
      <c r="L2354" s="3">
        <v>0.97916666666666663</v>
      </c>
    </row>
    <row r="2355" spans="1:12" x14ac:dyDescent="0.25">
      <c r="A2355" t="s">
        <v>1442</v>
      </c>
      <c r="B2355" s="2">
        <v>45792</v>
      </c>
      <c r="C2355" t="s">
        <v>20</v>
      </c>
      <c r="D2355" t="s">
        <v>1636</v>
      </c>
      <c r="E2355" s="5">
        <v>113400000</v>
      </c>
      <c r="F2355" s="5">
        <v>116400000</v>
      </c>
      <c r="G2355" s="5">
        <v>3000000</v>
      </c>
      <c r="H2355" s="5">
        <v>11340000</v>
      </c>
      <c r="I2355" s="5">
        <v>11640000</v>
      </c>
      <c r="J2355" s="5">
        <v>113900000</v>
      </c>
      <c r="K2355" s="5">
        <v>116900000</v>
      </c>
      <c r="L2355" s="3">
        <v>0.97916666666666663</v>
      </c>
    </row>
    <row r="2356" spans="1:12" x14ac:dyDescent="0.25">
      <c r="A2356" t="s">
        <v>1443</v>
      </c>
      <c r="B2356" s="2">
        <v>45793</v>
      </c>
      <c r="C2356" t="s">
        <v>21</v>
      </c>
      <c r="D2356" t="s">
        <v>1636</v>
      </c>
      <c r="E2356" s="5">
        <v>112000000</v>
      </c>
      <c r="F2356" s="5">
        <v>115000000</v>
      </c>
      <c r="G2356" s="5">
        <v>3000000</v>
      </c>
      <c r="H2356" s="5">
        <v>11200000</v>
      </c>
      <c r="I2356" s="5">
        <v>11500000</v>
      </c>
      <c r="J2356" s="5">
        <v>112500000</v>
      </c>
      <c r="K2356" s="5">
        <v>115500000</v>
      </c>
      <c r="L2356" s="3">
        <v>0.97916666666666663</v>
      </c>
    </row>
    <row r="2357" spans="1:12" x14ac:dyDescent="0.25">
      <c r="A2357" t="s">
        <v>1444</v>
      </c>
      <c r="B2357" s="2">
        <v>45796</v>
      </c>
      <c r="C2357" t="s">
        <v>16</v>
      </c>
      <c r="D2357" t="s">
        <v>1636</v>
      </c>
      <c r="E2357" s="5">
        <v>113700000</v>
      </c>
      <c r="F2357" s="5">
        <v>116700000</v>
      </c>
      <c r="G2357" s="5">
        <v>3000000</v>
      </c>
      <c r="H2357" s="5">
        <v>11370000</v>
      </c>
      <c r="I2357" s="5">
        <v>11670000</v>
      </c>
      <c r="J2357" s="5">
        <v>114200000</v>
      </c>
      <c r="K2357" s="5">
        <v>117200000</v>
      </c>
      <c r="L2357" s="3">
        <v>0.97916666666666663</v>
      </c>
    </row>
    <row r="2358" spans="1:12" x14ac:dyDescent="0.25">
      <c r="A2358" t="s">
        <v>1445</v>
      </c>
      <c r="B2358" s="2">
        <v>45797</v>
      </c>
      <c r="C2358" t="s">
        <v>18</v>
      </c>
      <c r="D2358" t="s">
        <v>1636</v>
      </c>
      <c r="E2358" s="5">
        <v>115500000</v>
      </c>
      <c r="F2358" s="5">
        <v>118500000</v>
      </c>
      <c r="G2358" s="5">
        <v>3000000</v>
      </c>
      <c r="H2358" s="5">
        <v>11550000</v>
      </c>
      <c r="I2358" s="5">
        <v>11850000</v>
      </c>
      <c r="J2358" s="5">
        <v>116000000</v>
      </c>
      <c r="K2358" s="5">
        <v>119000000</v>
      </c>
      <c r="L2358" s="3">
        <v>0.97916666666666663</v>
      </c>
    </row>
    <row r="2359" spans="1:12" x14ac:dyDescent="0.25">
      <c r="A2359" t="s">
        <v>1446</v>
      </c>
      <c r="B2359" s="2">
        <v>45798</v>
      </c>
      <c r="C2359" t="s">
        <v>19</v>
      </c>
      <c r="D2359" t="s">
        <v>1636</v>
      </c>
      <c r="E2359" s="5">
        <v>116600000</v>
      </c>
      <c r="F2359" s="5">
        <v>119600000</v>
      </c>
      <c r="G2359" s="5">
        <v>3000000</v>
      </c>
      <c r="H2359" s="5">
        <v>11660000</v>
      </c>
      <c r="I2359" s="5">
        <v>11960000</v>
      </c>
      <c r="J2359" s="5">
        <v>117100000</v>
      </c>
      <c r="K2359" s="5">
        <v>120100000</v>
      </c>
      <c r="L2359" s="3">
        <v>0.97916666666666663</v>
      </c>
    </row>
    <row r="2360" spans="1:12" x14ac:dyDescent="0.25">
      <c r="A2360" t="s">
        <v>1447</v>
      </c>
      <c r="B2360" s="2">
        <v>45799</v>
      </c>
      <c r="C2360" t="s">
        <v>20</v>
      </c>
      <c r="D2360" t="s">
        <v>1636</v>
      </c>
      <c r="E2360" s="5">
        <v>116000000</v>
      </c>
      <c r="F2360" s="5">
        <v>119000000</v>
      </c>
      <c r="G2360" s="5">
        <v>3000000</v>
      </c>
      <c r="H2360" s="5">
        <v>11600000</v>
      </c>
      <c r="I2360" s="5">
        <v>11900000</v>
      </c>
      <c r="J2360" s="5">
        <v>116500000</v>
      </c>
      <c r="K2360" s="5">
        <v>119500000</v>
      </c>
      <c r="L2360" s="3">
        <v>0.97916666666666663</v>
      </c>
    </row>
    <row r="2361" spans="1:12" x14ac:dyDescent="0.25">
      <c r="A2361" t="s">
        <v>1448</v>
      </c>
      <c r="B2361" s="2">
        <v>45800</v>
      </c>
      <c r="C2361" t="s">
        <v>21</v>
      </c>
      <c r="D2361" t="s">
        <v>1636</v>
      </c>
      <c r="E2361" s="5">
        <v>118500000</v>
      </c>
      <c r="F2361" s="5">
        <v>121500000</v>
      </c>
      <c r="G2361" s="5">
        <v>3000000</v>
      </c>
      <c r="H2361" s="5">
        <v>11850000</v>
      </c>
      <c r="I2361" s="5">
        <v>12150000</v>
      </c>
      <c r="J2361" s="5">
        <v>119000000</v>
      </c>
      <c r="K2361" s="5">
        <v>122000000</v>
      </c>
      <c r="L2361" s="3">
        <v>0.97916666666666663</v>
      </c>
    </row>
    <row r="2362" spans="1:12" x14ac:dyDescent="0.25">
      <c r="A2362" t="s">
        <v>1449</v>
      </c>
      <c r="B2362" s="2">
        <v>45804</v>
      </c>
      <c r="C2362" t="s">
        <v>18</v>
      </c>
      <c r="D2362" t="s">
        <v>1636</v>
      </c>
      <c r="E2362" s="5">
        <v>116200000</v>
      </c>
      <c r="F2362" s="5">
        <v>119200000</v>
      </c>
      <c r="G2362" s="5">
        <v>3000000</v>
      </c>
      <c r="H2362" s="5">
        <v>11620000</v>
      </c>
      <c r="I2362" s="5">
        <v>11920000</v>
      </c>
      <c r="J2362" s="5">
        <v>116700000</v>
      </c>
      <c r="K2362" s="5">
        <v>119700000</v>
      </c>
      <c r="L2362" s="3">
        <v>0.97916666666666663</v>
      </c>
    </row>
    <row r="2363" spans="1:12" x14ac:dyDescent="0.25">
      <c r="A2363" t="s">
        <v>1450</v>
      </c>
      <c r="B2363" s="2">
        <v>45805</v>
      </c>
      <c r="C2363" t="s">
        <v>19</v>
      </c>
      <c r="D2363" t="s">
        <v>1636</v>
      </c>
      <c r="E2363" s="5">
        <v>116000000</v>
      </c>
      <c r="F2363" s="5">
        <v>119000000</v>
      </c>
      <c r="G2363" s="5">
        <v>3000000</v>
      </c>
      <c r="H2363" s="5">
        <v>11600000</v>
      </c>
      <c r="I2363" s="5">
        <v>11900000</v>
      </c>
      <c r="J2363" s="5">
        <v>116500000</v>
      </c>
      <c r="K2363" s="5">
        <v>119500000</v>
      </c>
      <c r="L2363" s="3">
        <v>0.97916666666666663</v>
      </c>
    </row>
    <row r="2364" spans="1:12" x14ac:dyDescent="0.25">
      <c r="A2364" t="s">
        <v>1451</v>
      </c>
      <c r="B2364" s="2">
        <v>45806</v>
      </c>
      <c r="C2364" t="s">
        <v>20</v>
      </c>
      <c r="D2364" t="s">
        <v>1636</v>
      </c>
      <c r="E2364" s="5">
        <v>116900000</v>
      </c>
      <c r="F2364" s="5">
        <v>119900000</v>
      </c>
      <c r="G2364" s="5">
        <v>3000000</v>
      </c>
      <c r="H2364" s="5">
        <v>11690000</v>
      </c>
      <c r="I2364" s="5">
        <v>11990000</v>
      </c>
      <c r="J2364" s="5">
        <v>117400000</v>
      </c>
      <c r="K2364" s="5">
        <v>120400000</v>
      </c>
      <c r="L2364" s="3">
        <v>0.97916666666666663</v>
      </c>
    </row>
    <row r="2365" spans="1:12" x14ac:dyDescent="0.25">
      <c r="A2365" t="s">
        <v>1452</v>
      </c>
      <c r="B2365" s="2">
        <v>45807</v>
      </c>
      <c r="C2365" t="s">
        <v>21</v>
      </c>
      <c r="D2365" t="s">
        <v>1636</v>
      </c>
      <c r="E2365" s="5">
        <v>115800000</v>
      </c>
      <c r="F2365" s="5">
        <v>118800000</v>
      </c>
      <c r="G2365" s="5">
        <v>3000000</v>
      </c>
      <c r="H2365" s="5">
        <v>11580000</v>
      </c>
      <c r="I2365" s="5">
        <v>11880000</v>
      </c>
      <c r="J2365" s="5">
        <v>116300000</v>
      </c>
      <c r="K2365" s="5">
        <v>119300000</v>
      </c>
      <c r="L2365" s="3">
        <v>0.97916666666666663</v>
      </c>
    </row>
    <row r="2366" spans="1:12" x14ac:dyDescent="0.25">
      <c r="A2366" s="2">
        <v>45694</v>
      </c>
      <c r="B2366" s="2">
        <v>45810</v>
      </c>
      <c r="C2366" t="s">
        <v>16</v>
      </c>
      <c r="D2366" t="s">
        <v>1636</v>
      </c>
      <c r="E2366" s="5">
        <v>118800000</v>
      </c>
      <c r="F2366" s="5">
        <v>121800000</v>
      </c>
      <c r="G2366" s="5">
        <v>3000000</v>
      </c>
      <c r="H2366" s="5">
        <v>11880000</v>
      </c>
      <c r="I2366" s="5">
        <v>12180000</v>
      </c>
      <c r="J2366" s="5">
        <v>119300000</v>
      </c>
      <c r="K2366" s="5">
        <v>122300000</v>
      </c>
      <c r="L2366" s="3">
        <v>0.97916666666666663</v>
      </c>
    </row>
    <row r="2367" spans="1:12" x14ac:dyDescent="0.25">
      <c r="A2367" s="2">
        <v>45722</v>
      </c>
      <c r="B2367" s="2">
        <v>45811</v>
      </c>
      <c r="C2367" t="s">
        <v>18</v>
      </c>
      <c r="D2367" t="s">
        <v>1636</v>
      </c>
      <c r="E2367" s="5">
        <v>118100000</v>
      </c>
      <c r="F2367" s="5">
        <v>121100000</v>
      </c>
      <c r="G2367" s="5">
        <v>3000000</v>
      </c>
      <c r="H2367" s="5">
        <v>11810000</v>
      </c>
      <c r="I2367" s="5">
        <v>12110000</v>
      </c>
      <c r="J2367" s="5">
        <v>118600000</v>
      </c>
      <c r="K2367" s="5">
        <v>121600000</v>
      </c>
      <c r="L2367" s="3">
        <v>0.97916666666666663</v>
      </c>
    </row>
    <row r="2368" spans="1:12" x14ac:dyDescent="0.25">
      <c r="A2368" s="2">
        <v>45753</v>
      </c>
      <c r="B2368" s="2">
        <v>45812</v>
      </c>
      <c r="C2368" t="s">
        <v>19</v>
      </c>
      <c r="D2368" t="s">
        <v>1636</v>
      </c>
      <c r="E2368" s="5">
        <v>118900000</v>
      </c>
      <c r="F2368" s="5">
        <v>121900000</v>
      </c>
      <c r="G2368" s="5">
        <v>3000000</v>
      </c>
      <c r="H2368" s="5">
        <v>11890000</v>
      </c>
      <c r="I2368" s="5">
        <v>12190000</v>
      </c>
      <c r="J2368" s="5">
        <v>119400000</v>
      </c>
      <c r="K2368" s="5">
        <v>122400000</v>
      </c>
      <c r="L2368" s="3">
        <v>0.97916666666666663</v>
      </c>
    </row>
    <row r="2369" spans="1:12" x14ac:dyDescent="0.25">
      <c r="A2369" s="2">
        <v>45783</v>
      </c>
      <c r="B2369" s="2">
        <v>45813</v>
      </c>
      <c r="C2369" t="s">
        <v>20</v>
      </c>
      <c r="D2369" t="s">
        <v>1636</v>
      </c>
      <c r="E2369" s="5">
        <v>118100000</v>
      </c>
      <c r="F2369" s="5">
        <v>121100000</v>
      </c>
      <c r="G2369" s="5">
        <v>3000000</v>
      </c>
      <c r="H2369" s="5">
        <v>11810000</v>
      </c>
      <c r="I2369" s="5">
        <v>12110000</v>
      </c>
      <c r="J2369" s="5">
        <v>118600000</v>
      </c>
      <c r="K2369" s="5">
        <v>121600000</v>
      </c>
      <c r="L2369" s="3">
        <v>0.97916666666666663</v>
      </c>
    </row>
    <row r="2370" spans="1:12" x14ac:dyDescent="0.25">
      <c r="A2370" s="2">
        <v>45814</v>
      </c>
      <c r="B2370" s="2">
        <v>45814</v>
      </c>
      <c r="C2370" t="s">
        <v>21</v>
      </c>
      <c r="D2370" t="s">
        <v>1636</v>
      </c>
      <c r="E2370" s="5">
        <v>117100000</v>
      </c>
      <c r="F2370" s="5">
        <v>120100000</v>
      </c>
      <c r="G2370" s="5">
        <v>3000000</v>
      </c>
      <c r="H2370" s="5">
        <v>11710000</v>
      </c>
      <c r="I2370" s="5">
        <v>12010000</v>
      </c>
      <c r="J2370" s="5">
        <v>117600000</v>
      </c>
      <c r="K2370" s="5">
        <v>120600000</v>
      </c>
      <c r="L2370" s="3">
        <v>0.97916666666666663</v>
      </c>
    </row>
    <row r="2371" spans="1:12" x14ac:dyDescent="0.25">
      <c r="A2371" s="2">
        <v>45906</v>
      </c>
      <c r="B2371" s="2">
        <v>45817</v>
      </c>
      <c r="C2371" t="s">
        <v>16</v>
      </c>
      <c r="D2371" t="s">
        <v>1636</v>
      </c>
      <c r="E2371" s="5">
        <v>117400000</v>
      </c>
      <c r="F2371" s="5">
        <v>120400000</v>
      </c>
      <c r="G2371" s="5">
        <v>3000000</v>
      </c>
      <c r="H2371" s="5">
        <v>11740000</v>
      </c>
      <c r="I2371" s="5">
        <v>12040000</v>
      </c>
      <c r="J2371" s="5">
        <v>117900000</v>
      </c>
      <c r="K2371" s="5">
        <v>120900000</v>
      </c>
      <c r="L2371" s="3">
        <v>0.97916666666666663</v>
      </c>
    </row>
    <row r="2372" spans="1:12" x14ac:dyDescent="0.25">
      <c r="A2372" s="2">
        <v>45936</v>
      </c>
      <c r="B2372" s="2">
        <v>45818</v>
      </c>
      <c r="C2372" t="s">
        <v>18</v>
      </c>
      <c r="D2372" t="s">
        <v>1636</v>
      </c>
      <c r="E2372" s="5">
        <v>117000000</v>
      </c>
      <c r="F2372" s="5">
        <v>120000000</v>
      </c>
      <c r="G2372" s="5">
        <v>3000000</v>
      </c>
      <c r="H2372" s="5">
        <v>11700000</v>
      </c>
      <c r="I2372" s="5">
        <v>12000000</v>
      </c>
      <c r="J2372" s="5">
        <v>117500000</v>
      </c>
      <c r="K2372" s="5">
        <v>120500000</v>
      </c>
      <c r="L2372" s="3">
        <v>0.97916666666666663</v>
      </c>
    </row>
    <row r="2373" spans="1:12" x14ac:dyDescent="0.25">
      <c r="A2373" s="2">
        <v>45967</v>
      </c>
      <c r="B2373" s="2">
        <v>45819</v>
      </c>
      <c r="C2373" t="s">
        <v>19</v>
      </c>
      <c r="D2373" t="s">
        <v>1636</v>
      </c>
      <c r="E2373" s="5">
        <v>117000000</v>
      </c>
      <c r="F2373" s="5">
        <v>120000000</v>
      </c>
      <c r="G2373" s="5">
        <v>3000000</v>
      </c>
      <c r="H2373" s="5">
        <v>11700000</v>
      </c>
      <c r="I2373" s="5">
        <v>12000000</v>
      </c>
      <c r="J2373" s="5">
        <v>117500000</v>
      </c>
      <c r="K2373" s="5">
        <v>120500000</v>
      </c>
      <c r="L2373" s="3">
        <v>0.97916666666666663</v>
      </c>
    </row>
    <row r="2374" spans="1:12" x14ac:dyDescent="0.25">
      <c r="A2374" s="2">
        <v>45997</v>
      </c>
      <c r="B2374" s="2">
        <v>45820</v>
      </c>
      <c r="C2374" t="s">
        <v>20</v>
      </c>
      <c r="D2374" t="s">
        <v>1636</v>
      </c>
      <c r="E2374" s="5">
        <v>119200000</v>
      </c>
      <c r="F2374" s="5">
        <v>122200000</v>
      </c>
      <c r="G2374" s="5">
        <v>3000000</v>
      </c>
      <c r="H2374" s="5">
        <v>11920000</v>
      </c>
      <c r="I2374" s="5">
        <v>12220000</v>
      </c>
      <c r="J2374" s="5">
        <v>119700000</v>
      </c>
      <c r="K2374" s="5">
        <v>122700000</v>
      </c>
      <c r="L2374" s="3">
        <v>0.97916666666666663</v>
      </c>
    </row>
    <row r="2375" spans="1:12" x14ac:dyDescent="0.25">
      <c r="A2375" t="s">
        <v>1453</v>
      </c>
      <c r="B2375" s="2">
        <v>45821</v>
      </c>
      <c r="C2375" t="s">
        <v>21</v>
      </c>
      <c r="D2375" t="s">
        <v>1636</v>
      </c>
      <c r="E2375" s="5">
        <v>121000000</v>
      </c>
      <c r="F2375" s="5">
        <v>124000000</v>
      </c>
      <c r="G2375" s="5">
        <v>3000000</v>
      </c>
      <c r="H2375" s="5">
        <v>12100000</v>
      </c>
      <c r="I2375" s="5">
        <v>12400000</v>
      </c>
      <c r="J2375" s="5">
        <v>121500000</v>
      </c>
      <c r="K2375" s="5">
        <v>124500000</v>
      </c>
      <c r="L2375" s="3">
        <v>0.97916666666666663</v>
      </c>
    </row>
    <row r="2376" spans="1:12" x14ac:dyDescent="0.25">
      <c r="A2376" t="s">
        <v>1454</v>
      </c>
      <c r="B2376" s="2">
        <v>45824</v>
      </c>
      <c r="C2376" t="s">
        <v>16</v>
      </c>
      <c r="D2376" t="s">
        <v>1636</v>
      </c>
      <c r="E2376" s="5">
        <v>119700000</v>
      </c>
      <c r="F2376" s="5">
        <v>122700000</v>
      </c>
      <c r="G2376" s="5">
        <v>3000000</v>
      </c>
      <c r="H2376" s="5">
        <v>11970000</v>
      </c>
      <c r="I2376" s="5">
        <v>12270000</v>
      </c>
      <c r="J2376" s="5">
        <v>120200000</v>
      </c>
      <c r="K2376" s="5">
        <v>123200000</v>
      </c>
      <c r="L2376" s="3">
        <v>0.97916666666666663</v>
      </c>
    </row>
    <row r="2377" spans="1:12" x14ac:dyDescent="0.25">
      <c r="A2377" t="s">
        <v>1455</v>
      </c>
      <c r="B2377" s="2">
        <v>45825</v>
      </c>
      <c r="C2377" t="s">
        <v>18</v>
      </c>
      <c r="D2377" t="s">
        <v>1636</v>
      </c>
      <c r="E2377" s="5">
        <v>119400000</v>
      </c>
      <c r="F2377" s="5">
        <v>122400000</v>
      </c>
      <c r="G2377" s="5">
        <v>3000000</v>
      </c>
      <c r="H2377" s="5">
        <v>11940000</v>
      </c>
      <c r="I2377" s="5">
        <v>12240000</v>
      </c>
      <c r="J2377" s="5">
        <v>119900000</v>
      </c>
      <c r="K2377" s="5">
        <v>122900000</v>
      </c>
      <c r="L2377" s="3">
        <v>0.97916666666666663</v>
      </c>
    </row>
    <row r="2378" spans="1:12" x14ac:dyDescent="0.25">
      <c r="A2378" t="s">
        <v>1456</v>
      </c>
      <c r="B2378" s="2">
        <v>45826</v>
      </c>
      <c r="C2378" t="s">
        <v>19</v>
      </c>
      <c r="D2378" t="s">
        <v>1636</v>
      </c>
      <c r="E2378" s="5">
        <v>119500000</v>
      </c>
      <c r="F2378" s="5">
        <v>122500000</v>
      </c>
      <c r="G2378" s="5">
        <v>3000000</v>
      </c>
      <c r="H2378" s="5">
        <v>11950000</v>
      </c>
      <c r="I2378" s="5">
        <v>12250000</v>
      </c>
      <c r="J2378" s="5">
        <v>120000000</v>
      </c>
      <c r="K2378" s="5">
        <v>123000000</v>
      </c>
      <c r="L2378" s="3">
        <v>0.97916666666666663</v>
      </c>
    </row>
    <row r="2379" spans="1:12" x14ac:dyDescent="0.25">
      <c r="A2379" t="s">
        <v>1457</v>
      </c>
      <c r="B2379" s="2">
        <v>45828</v>
      </c>
      <c r="C2379" t="s">
        <v>21</v>
      </c>
      <c r="D2379" t="s">
        <v>1636</v>
      </c>
      <c r="E2379" s="5">
        <v>118700000</v>
      </c>
      <c r="F2379" s="5">
        <v>121700000</v>
      </c>
      <c r="G2379" s="5">
        <v>3000000</v>
      </c>
      <c r="H2379" s="5">
        <v>11870000</v>
      </c>
      <c r="I2379" s="5">
        <v>12170000</v>
      </c>
      <c r="J2379" s="5">
        <v>119200000</v>
      </c>
      <c r="K2379" s="5">
        <v>122200000</v>
      </c>
      <c r="L2379" s="3">
        <v>0.97916666666666663</v>
      </c>
    </row>
    <row r="2380" spans="1:12" x14ac:dyDescent="0.25">
      <c r="A2380" t="s">
        <v>1458</v>
      </c>
      <c r="B2380" s="2">
        <v>45831</v>
      </c>
      <c r="C2380" t="s">
        <v>16</v>
      </c>
      <c r="D2380" t="s">
        <v>1636</v>
      </c>
      <c r="E2380" s="5">
        <v>119100000</v>
      </c>
      <c r="F2380" s="5">
        <v>122100000</v>
      </c>
      <c r="G2380" s="5">
        <v>3000000</v>
      </c>
      <c r="H2380" s="5">
        <v>11910000</v>
      </c>
      <c r="I2380" s="5">
        <v>12210000</v>
      </c>
      <c r="J2380" s="5">
        <v>119600000</v>
      </c>
      <c r="K2380" s="5">
        <v>122600000</v>
      </c>
      <c r="L2380" s="3">
        <v>0.97916666666666663</v>
      </c>
    </row>
    <row r="2381" spans="1:12" x14ac:dyDescent="0.25">
      <c r="A2381" t="s">
        <v>1459</v>
      </c>
      <c r="B2381" s="2">
        <v>45832</v>
      </c>
      <c r="C2381" t="s">
        <v>18</v>
      </c>
      <c r="D2381" t="s">
        <v>1636</v>
      </c>
      <c r="E2381" s="5">
        <v>116900000</v>
      </c>
      <c r="F2381" s="5">
        <v>119900000</v>
      </c>
      <c r="G2381" s="5">
        <v>3000000</v>
      </c>
      <c r="H2381" s="5">
        <v>11690000</v>
      </c>
      <c r="I2381" s="5">
        <v>11990000</v>
      </c>
      <c r="J2381" s="5">
        <v>117400000</v>
      </c>
      <c r="K2381" s="5">
        <v>120400000</v>
      </c>
      <c r="L2381" s="3">
        <v>0.97916666666666663</v>
      </c>
    </row>
    <row r="2382" spans="1:12" x14ac:dyDescent="0.25">
      <c r="A2382" t="s">
        <v>1460</v>
      </c>
      <c r="B2382" s="2">
        <v>45833</v>
      </c>
      <c r="C2382" t="s">
        <v>19</v>
      </c>
      <c r="D2382" t="s">
        <v>1636</v>
      </c>
      <c r="E2382" s="5">
        <v>117200000</v>
      </c>
      <c r="F2382" s="5">
        <v>120200000</v>
      </c>
      <c r="G2382" s="5">
        <v>3000000</v>
      </c>
      <c r="H2382" s="5">
        <v>11720000</v>
      </c>
      <c r="I2382" s="5">
        <v>12020000</v>
      </c>
      <c r="J2382" s="5">
        <v>117700000</v>
      </c>
      <c r="K2382" s="5">
        <v>120700000</v>
      </c>
      <c r="L2382" s="3">
        <v>0.97916666666666663</v>
      </c>
    </row>
    <row r="2383" spans="1:12" x14ac:dyDescent="0.25">
      <c r="A2383" t="s">
        <v>1461</v>
      </c>
      <c r="B2383" s="2">
        <v>45834</v>
      </c>
      <c r="C2383" t="s">
        <v>20</v>
      </c>
      <c r="D2383" t="s">
        <v>1636</v>
      </c>
      <c r="E2383" s="5">
        <v>117500000</v>
      </c>
      <c r="F2383" s="5">
        <v>120500000</v>
      </c>
      <c r="G2383" s="5">
        <v>3000000</v>
      </c>
      <c r="H2383" s="5">
        <v>11750000</v>
      </c>
      <c r="I2383" s="5">
        <v>12050000</v>
      </c>
      <c r="J2383" s="5">
        <v>118000000</v>
      </c>
      <c r="K2383" s="5">
        <v>121000000</v>
      </c>
      <c r="L2383" s="3">
        <v>0.97916666666666663</v>
      </c>
    </row>
    <row r="2384" spans="1:12" x14ac:dyDescent="0.25">
      <c r="A2384" t="s">
        <v>1462</v>
      </c>
      <c r="B2384" s="2">
        <v>45835</v>
      </c>
      <c r="C2384" t="s">
        <v>21</v>
      </c>
      <c r="D2384" t="s">
        <v>1636</v>
      </c>
      <c r="E2384" s="5">
        <v>115300000</v>
      </c>
      <c r="F2384" s="5">
        <v>118300000</v>
      </c>
      <c r="G2384" s="5">
        <v>3000000</v>
      </c>
      <c r="H2384" s="5">
        <v>11530000</v>
      </c>
      <c r="I2384" s="5">
        <v>11830000</v>
      </c>
      <c r="J2384" s="5">
        <v>115800000</v>
      </c>
      <c r="K2384" s="5">
        <v>118800000</v>
      </c>
      <c r="L2384" s="3">
        <v>0.97916666666666663</v>
      </c>
    </row>
    <row r="2385" spans="1:12" x14ac:dyDescent="0.25">
      <c r="A2385" t="s">
        <v>1463</v>
      </c>
      <c r="B2385" s="2">
        <v>45838</v>
      </c>
      <c r="C2385" t="s">
        <v>16</v>
      </c>
      <c r="D2385" t="s">
        <v>1636</v>
      </c>
      <c r="E2385" s="5">
        <v>116000000</v>
      </c>
      <c r="F2385" s="5">
        <v>119000000</v>
      </c>
      <c r="G2385" s="5">
        <v>3000000</v>
      </c>
      <c r="H2385" s="5">
        <v>11600000</v>
      </c>
      <c r="I2385" s="5">
        <v>11900000</v>
      </c>
      <c r="J2385" s="5">
        <v>116500000</v>
      </c>
      <c r="K2385" s="5">
        <v>119500000</v>
      </c>
      <c r="L2385" s="3">
        <v>0.97916666666666663</v>
      </c>
    </row>
    <row r="2386" spans="1:12" x14ac:dyDescent="0.25">
      <c r="A2386" s="2">
        <v>45664</v>
      </c>
      <c r="B2386" s="2">
        <v>45839</v>
      </c>
      <c r="C2386" t="s">
        <v>18</v>
      </c>
      <c r="D2386" t="s">
        <v>1636</v>
      </c>
      <c r="E2386" s="5">
        <v>117600000</v>
      </c>
      <c r="F2386" s="5">
        <v>120600000</v>
      </c>
      <c r="G2386" s="5">
        <v>3000000</v>
      </c>
      <c r="H2386" s="5">
        <v>11760000</v>
      </c>
      <c r="I2386" s="5">
        <v>12060000</v>
      </c>
      <c r="J2386" s="5">
        <v>118100000</v>
      </c>
      <c r="K2386" s="5">
        <v>121100000</v>
      </c>
      <c r="L2386" s="3">
        <v>0.97916666666666663</v>
      </c>
    </row>
    <row r="2387" spans="1:12" x14ac:dyDescent="0.25">
      <c r="A2387" s="2">
        <v>45695</v>
      </c>
      <c r="B2387" s="2">
        <v>45840</v>
      </c>
      <c r="C2387" t="s">
        <v>19</v>
      </c>
      <c r="D2387" t="s">
        <v>1636</v>
      </c>
      <c r="E2387" s="5">
        <v>118000000</v>
      </c>
      <c r="F2387" s="5">
        <v>121000000</v>
      </c>
      <c r="G2387" s="5">
        <v>3000000</v>
      </c>
      <c r="H2387" s="5">
        <v>11800000</v>
      </c>
      <c r="I2387" s="5">
        <v>12100000</v>
      </c>
      <c r="J2387" s="5">
        <v>118500000</v>
      </c>
      <c r="K2387" s="5">
        <v>121500000</v>
      </c>
      <c r="L2387" s="3">
        <v>0.97916666666666663</v>
      </c>
    </row>
    <row r="2388" spans="1:12" x14ac:dyDescent="0.25">
      <c r="A2388" s="2">
        <v>45723</v>
      </c>
      <c r="B2388" s="2">
        <v>45841</v>
      </c>
      <c r="C2388" t="s">
        <v>20</v>
      </c>
      <c r="D2388" t="s">
        <v>1636</v>
      </c>
      <c r="E2388" s="5">
        <v>117400000</v>
      </c>
      <c r="F2388" s="5">
        <v>120400000</v>
      </c>
      <c r="G2388" s="5">
        <v>3000000</v>
      </c>
      <c r="H2388" s="5">
        <v>11740000</v>
      </c>
      <c r="I2388" s="5">
        <v>12040000</v>
      </c>
      <c r="J2388" s="5">
        <v>117900000</v>
      </c>
      <c r="K2388" s="5">
        <v>120900000</v>
      </c>
      <c r="L2388" s="3">
        <v>0.97916666666666663</v>
      </c>
    </row>
    <row r="2389" spans="1:12" x14ac:dyDescent="0.25">
      <c r="A2389" s="2">
        <v>45754</v>
      </c>
      <c r="B2389" s="2">
        <v>45842</v>
      </c>
      <c r="C2389" t="s">
        <v>21</v>
      </c>
      <c r="D2389" t="s">
        <v>1636</v>
      </c>
      <c r="E2389" s="5">
        <v>117400000</v>
      </c>
      <c r="F2389" s="5">
        <v>120400000</v>
      </c>
      <c r="G2389" s="5">
        <v>3000000</v>
      </c>
      <c r="H2389" s="5">
        <v>11740000</v>
      </c>
      <c r="I2389" s="5">
        <v>12040000</v>
      </c>
      <c r="J2389" s="5">
        <v>117900000</v>
      </c>
      <c r="K2389" s="5">
        <v>120900000</v>
      </c>
      <c r="L2389" s="3">
        <v>0.97916666666666663</v>
      </c>
    </row>
    <row r="2390" spans="1:12" x14ac:dyDescent="0.25">
      <c r="A2390" s="2">
        <v>45845</v>
      </c>
      <c r="B2390" s="2">
        <v>45845</v>
      </c>
      <c r="C2390" t="s">
        <v>16</v>
      </c>
      <c r="D2390" t="s">
        <v>1636</v>
      </c>
      <c r="E2390" s="5">
        <v>117400000</v>
      </c>
      <c r="F2390" s="5">
        <v>120400000</v>
      </c>
      <c r="G2390" s="5">
        <v>3000000</v>
      </c>
      <c r="H2390" s="5">
        <v>11740000</v>
      </c>
      <c r="I2390" s="5">
        <v>12040000</v>
      </c>
      <c r="J2390" s="5">
        <v>117900000</v>
      </c>
      <c r="K2390" s="5">
        <v>120900000</v>
      </c>
      <c r="L2390" s="3">
        <v>0.97916666666666663</v>
      </c>
    </row>
    <row r="2391" spans="1:12" x14ac:dyDescent="0.25">
      <c r="A2391" s="2">
        <v>45876</v>
      </c>
      <c r="B2391" s="2">
        <v>45846</v>
      </c>
      <c r="C2391" t="s">
        <v>18</v>
      </c>
      <c r="D2391" t="s">
        <v>1636</v>
      </c>
      <c r="E2391" s="5">
        <v>116500000</v>
      </c>
      <c r="F2391" s="5">
        <v>119500000</v>
      </c>
      <c r="G2391" s="5">
        <v>3000000</v>
      </c>
      <c r="H2391" s="5">
        <v>11650000</v>
      </c>
      <c r="I2391" s="5">
        <v>11950000</v>
      </c>
      <c r="J2391" s="5">
        <v>117000000</v>
      </c>
      <c r="K2391" s="5">
        <v>120000000</v>
      </c>
      <c r="L2391" s="3">
        <v>0.97916666666666663</v>
      </c>
    </row>
    <row r="2392" spans="1:12" x14ac:dyDescent="0.25">
      <c r="A2392" s="2">
        <v>45907</v>
      </c>
      <c r="B2392" s="2">
        <v>45847</v>
      </c>
      <c r="C2392" t="s">
        <v>19</v>
      </c>
      <c r="D2392" t="s">
        <v>1636</v>
      </c>
      <c r="E2392" s="5">
        <v>116700000</v>
      </c>
      <c r="F2392" s="5">
        <v>119700000</v>
      </c>
      <c r="G2392" s="5">
        <v>3000000</v>
      </c>
      <c r="H2392" s="5">
        <v>11670000</v>
      </c>
      <c r="I2392" s="5">
        <v>11970000</v>
      </c>
      <c r="J2392" s="5">
        <v>117200000</v>
      </c>
      <c r="K2392" s="5">
        <v>120200000</v>
      </c>
      <c r="L2392" s="3">
        <v>0.97916666666666663</v>
      </c>
    </row>
    <row r="2393" spans="1:12" x14ac:dyDescent="0.25">
      <c r="A2393" s="2">
        <v>45937</v>
      </c>
      <c r="B2393" s="2">
        <v>45848</v>
      </c>
      <c r="C2393" t="s">
        <v>20</v>
      </c>
      <c r="D2393" t="s">
        <v>1636</v>
      </c>
      <c r="E2393" s="5">
        <v>116900000</v>
      </c>
      <c r="F2393" s="5">
        <v>119900000</v>
      </c>
      <c r="G2393" s="5">
        <v>3000000</v>
      </c>
      <c r="H2393" s="5">
        <v>11690000</v>
      </c>
      <c r="I2393" s="5">
        <v>11990000</v>
      </c>
      <c r="J2393" s="5">
        <v>117400000</v>
      </c>
      <c r="K2393" s="5">
        <v>120400000</v>
      </c>
      <c r="L2393" s="3">
        <v>0.97916666666666663</v>
      </c>
    </row>
    <row r="2394" spans="1:12" x14ac:dyDescent="0.25">
      <c r="A2394" s="2">
        <v>45968</v>
      </c>
      <c r="B2394" s="2">
        <v>45849</v>
      </c>
      <c r="C2394" t="s">
        <v>21</v>
      </c>
      <c r="D2394" t="s">
        <v>1636</v>
      </c>
      <c r="E2394" s="5">
        <v>118300000</v>
      </c>
      <c r="F2394" s="5">
        <v>121300000</v>
      </c>
      <c r="G2394" s="5">
        <v>3000000</v>
      </c>
      <c r="H2394" s="5">
        <v>11830000</v>
      </c>
      <c r="I2394" s="5">
        <v>12130000</v>
      </c>
      <c r="J2394" s="5">
        <v>118800000</v>
      </c>
      <c r="K2394" s="5">
        <v>121800000</v>
      </c>
      <c r="L2394" s="3">
        <v>0.97916666666666663</v>
      </c>
    </row>
    <row r="2395" spans="1:12" x14ac:dyDescent="0.25">
      <c r="A2395" t="s">
        <v>1464</v>
      </c>
      <c r="B2395" s="2">
        <v>45852</v>
      </c>
      <c r="C2395" t="s">
        <v>16</v>
      </c>
      <c r="D2395" t="s">
        <v>1636</v>
      </c>
      <c r="E2395" s="5">
        <v>118100000</v>
      </c>
      <c r="F2395" s="5">
        <v>121100000</v>
      </c>
      <c r="G2395" s="5">
        <v>3000000</v>
      </c>
      <c r="H2395" s="5">
        <v>11810000</v>
      </c>
      <c r="I2395" s="5">
        <v>12110000</v>
      </c>
      <c r="J2395" s="5">
        <v>118600000</v>
      </c>
      <c r="K2395" s="5">
        <v>121600000</v>
      </c>
      <c r="L2395" s="3">
        <v>0.97916666666666663</v>
      </c>
    </row>
    <row r="2396" spans="1:12" x14ac:dyDescent="0.25">
      <c r="A2396" t="s">
        <v>1465</v>
      </c>
      <c r="B2396" s="2">
        <v>45853</v>
      </c>
      <c r="C2396" t="s">
        <v>18</v>
      </c>
      <c r="D2396" t="s">
        <v>1636</v>
      </c>
      <c r="E2396" s="5">
        <v>117300000</v>
      </c>
      <c r="F2396" s="5">
        <v>120300000</v>
      </c>
      <c r="G2396" s="5">
        <v>3000000</v>
      </c>
      <c r="H2396" s="5">
        <v>11730000</v>
      </c>
      <c r="I2396" s="5">
        <v>12030000</v>
      </c>
      <c r="J2396" s="5">
        <v>117800000</v>
      </c>
      <c r="K2396" s="5">
        <v>120800000</v>
      </c>
      <c r="L2396" s="3">
        <v>0.97916666666666663</v>
      </c>
    </row>
    <row r="2397" spans="1:12" x14ac:dyDescent="0.25">
      <c r="A2397" t="s">
        <v>1466</v>
      </c>
      <c r="B2397" s="2">
        <v>45854</v>
      </c>
      <c r="C2397" t="s">
        <v>19</v>
      </c>
      <c r="D2397" t="s">
        <v>1636</v>
      </c>
      <c r="E2397" s="5">
        <v>118100000</v>
      </c>
      <c r="F2397" s="5">
        <v>121100000</v>
      </c>
      <c r="G2397" s="5">
        <v>3000000</v>
      </c>
      <c r="H2397" s="5">
        <v>11810000</v>
      </c>
      <c r="I2397" s="5">
        <v>12110000</v>
      </c>
      <c r="J2397" s="5">
        <v>118600000</v>
      </c>
      <c r="K2397" s="5">
        <v>121600000</v>
      </c>
      <c r="L2397" s="3">
        <v>0.97916666666666663</v>
      </c>
    </row>
    <row r="2398" spans="1:12" x14ac:dyDescent="0.25">
      <c r="A2398" t="s">
        <v>1467</v>
      </c>
      <c r="B2398" s="2">
        <v>45855</v>
      </c>
      <c r="C2398" t="s">
        <v>20</v>
      </c>
      <c r="D2398" t="s">
        <v>1636</v>
      </c>
      <c r="E2398" s="5">
        <v>117700000</v>
      </c>
      <c r="F2398" s="5">
        <v>120700000</v>
      </c>
      <c r="G2398" s="5">
        <v>3000000</v>
      </c>
      <c r="H2398" s="5">
        <v>11770000</v>
      </c>
      <c r="I2398" s="5">
        <v>12070000</v>
      </c>
      <c r="J2398" s="5">
        <v>118200000</v>
      </c>
      <c r="K2398" s="5">
        <v>121200000</v>
      </c>
      <c r="L2398" s="3">
        <v>0.97916666666666663</v>
      </c>
    </row>
    <row r="2399" spans="1:12" x14ac:dyDescent="0.25">
      <c r="A2399" t="s">
        <v>1468</v>
      </c>
      <c r="B2399" s="2">
        <v>45856</v>
      </c>
      <c r="C2399" t="s">
        <v>21</v>
      </c>
      <c r="D2399" t="s">
        <v>1636</v>
      </c>
      <c r="E2399" s="5">
        <v>118200000</v>
      </c>
      <c r="F2399" s="5">
        <v>121200000</v>
      </c>
      <c r="G2399" s="5">
        <v>3000000</v>
      </c>
      <c r="H2399" s="5">
        <v>11820000</v>
      </c>
      <c r="I2399" s="5">
        <v>12120000</v>
      </c>
      <c r="J2399" s="5">
        <v>118700000</v>
      </c>
      <c r="K2399" s="5">
        <v>121700000</v>
      </c>
      <c r="L2399" s="3">
        <v>0.97916666666666663</v>
      </c>
    </row>
    <row r="2400" spans="1:12" x14ac:dyDescent="0.25">
      <c r="A2400" t="s">
        <v>1469</v>
      </c>
      <c r="B2400" s="2">
        <v>45859</v>
      </c>
      <c r="C2400" t="s">
        <v>16</v>
      </c>
      <c r="D2400" t="s">
        <v>1636</v>
      </c>
      <c r="E2400" s="5">
        <v>119900000</v>
      </c>
      <c r="F2400" s="5">
        <v>122900000</v>
      </c>
      <c r="G2400" s="5">
        <v>3000000</v>
      </c>
      <c r="H2400" s="5">
        <v>11990000</v>
      </c>
      <c r="I2400" s="5">
        <v>12290000</v>
      </c>
      <c r="J2400" s="5">
        <v>120400000</v>
      </c>
      <c r="K2400" s="5">
        <v>123400000</v>
      </c>
      <c r="L2400" s="3">
        <v>0.97916666666666663</v>
      </c>
    </row>
    <row r="2401" spans="1:12" x14ac:dyDescent="0.25">
      <c r="A2401" t="s">
        <v>1470</v>
      </c>
      <c r="B2401" s="2">
        <v>45860</v>
      </c>
      <c r="C2401" t="s">
        <v>18</v>
      </c>
      <c r="D2401" t="s">
        <v>1636</v>
      </c>
      <c r="E2401" s="5">
        <v>121300000</v>
      </c>
      <c r="F2401" s="5">
        <v>124300000</v>
      </c>
      <c r="G2401" s="5">
        <v>3000000</v>
      </c>
      <c r="H2401" s="5">
        <v>12130000</v>
      </c>
      <c r="I2401" s="5">
        <v>12430000</v>
      </c>
      <c r="J2401" s="5">
        <v>121800000</v>
      </c>
      <c r="K2401" s="5">
        <v>124800000</v>
      </c>
      <c r="L2401" s="3">
        <v>0.97916666666666663</v>
      </c>
    </row>
    <row r="2402" spans="1:12" x14ac:dyDescent="0.25">
      <c r="A2402" t="s">
        <v>1471</v>
      </c>
      <c r="B2402" s="2">
        <v>45861</v>
      </c>
      <c r="C2402" t="s">
        <v>19</v>
      </c>
      <c r="D2402" t="s">
        <v>1636</v>
      </c>
      <c r="E2402" s="5">
        <v>119600000</v>
      </c>
      <c r="F2402" s="5">
        <v>122600000</v>
      </c>
      <c r="G2402" s="5">
        <v>3000000</v>
      </c>
      <c r="H2402" s="5">
        <v>11960000</v>
      </c>
      <c r="I2402" s="5">
        <v>12260000</v>
      </c>
      <c r="J2402" s="5">
        <v>120100000</v>
      </c>
      <c r="K2402" s="5">
        <v>123100000</v>
      </c>
      <c r="L2402" s="3">
        <v>0.97916666666666663</v>
      </c>
    </row>
    <row r="2403" spans="1:12" x14ac:dyDescent="0.25">
      <c r="A2403" t="s">
        <v>1472</v>
      </c>
      <c r="B2403" s="2">
        <v>45862</v>
      </c>
      <c r="C2403" t="s">
        <v>20</v>
      </c>
      <c r="D2403" t="s">
        <v>1636</v>
      </c>
      <c r="E2403" s="5">
        <v>118800000</v>
      </c>
      <c r="F2403" s="5">
        <v>121800000</v>
      </c>
      <c r="G2403" s="5">
        <v>3000000</v>
      </c>
      <c r="H2403" s="5">
        <v>11880000</v>
      </c>
      <c r="I2403" s="5">
        <v>12180000</v>
      </c>
      <c r="J2403" s="5">
        <v>119300000</v>
      </c>
      <c r="K2403" s="5">
        <v>122300000</v>
      </c>
      <c r="L2403" s="3">
        <v>0.97916666666666663</v>
      </c>
    </row>
    <row r="2404" spans="1:12" x14ac:dyDescent="0.25">
      <c r="A2404" t="s">
        <v>1473</v>
      </c>
      <c r="B2404" s="2">
        <v>45863</v>
      </c>
      <c r="C2404" t="s">
        <v>21</v>
      </c>
      <c r="D2404" t="s">
        <v>1636</v>
      </c>
      <c r="E2404" s="5">
        <v>117500000</v>
      </c>
      <c r="F2404" s="5">
        <v>120500000</v>
      </c>
      <c r="G2404" s="5">
        <v>3000000</v>
      </c>
      <c r="H2404" s="5">
        <v>11750000</v>
      </c>
      <c r="I2404" s="5">
        <v>12050000</v>
      </c>
      <c r="J2404" s="5">
        <v>118000000</v>
      </c>
      <c r="K2404" s="5">
        <v>121000000</v>
      </c>
      <c r="L2404" s="3">
        <v>0.97916666666666663</v>
      </c>
    </row>
    <row r="2405" spans="1:12" x14ac:dyDescent="0.25">
      <c r="A2405" t="s">
        <v>1474</v>
      </c>
      <c r="B2405" s="2">
        <v>45866</v>
      </c>
      <c r="C2405" t="s">
        <v>16</v>
      </c>
      <c r="D2405" t="s">
        <v>1636</v>
      </c>
      <c r="E2405" s="5">
        <v>116600000</v>
      </c>
      <c r="F2405" s="5">
        <v>119600000</v>
      </c>
      <c r="G2405" s="5">
        <v>3000000</v>
      </c>
      <c r="H2405" s="5">
        <v>11660000</v>
      </c>
      <c r="I2405" s="5">
        <v>11960000</v>
      </c>
      <c r="J2405" s="5">
        <v>117100000</v>
      </c>
      <c r="K2405" s="5">
        <v>120100000</v>
      </c>
      <c r="L2405" s="3">
        <v>0.97916666666666663</v>
      </c>
    </row>
    <row r="2406" spans="1:12" x14ac:dyDescent="0.25">
      <c r="A2406" t="s">
        <v>1475</v>
      </c>
      <c r="B2406" s="2">
        <v>45867</v>
      </c>
      <c r="C2406" t="s">
        <v>18</v>
      </c>
      <c r="D2406" t="s">
        <v>1636</v>
      </c>
      <c r="E2406" s="5">
        <v>117100000</v>
      </c>
      <c r="F2406" s="5">
        <v>120100000</v>
      </c>
      <c r="G2406" s="5">
        <v>3000000</v>
      </c>
      <c r="H2406" s="5">
        <v>11710000</v>
      </c>
      <c r="I2406" s="5">
        <v>12010000</v>
      </c>
      <c r="J2406" s="5">
        <v>117600000</v>
      </c>
      <c r="K2406" s="5">
        <v>120600000</v>
      </c>
      <c r="L2406" s="3">
        <v>0.97916666666666663</v>
      </c>
    </row>
    <row r="2407" spans="1:12" x14ac:dyDescent="0.25">
      <c r="A2407" t="s">
        <v>1476</v>
      </c>
      <c r="B2407" s="2">
        <v>45868</v>
      </c>
      <c r="C2407" t="s">
        <v>19</v>
      </c>
      <c r="D2407" t="s">
        <v>1636</v>
      </c>
      <c r="E2407" s="5">
        <v>116100000</v>
      </c>
      <c r="F2407" s="5">
        <v>119100000</v>
      </c>
      <c r="G2407" s="5">
        <v>3000000</v>
      </c>
      <c r="H2407" s="5">
        <v>11610000</v>
      </c>
      <c r="I2407" s="5">
        <v>11910000</v>
      </c>
      <c r="J2407" s="5">
        <v>116600000</v>
      </c>
      <c r="K2407" s="5">
        <v>119600000</v>
      </c>
      <c r="L2407" s="3">
        <v>0.97916666666666663</v>
      </c>
    </row>
    <row r="2408" spans="1:12" x14ac:dyDescent="0.25">
      <c r="A2408" t="s">
        <v>1477</v>
      </c>
      <c r="B2408" s="2">
        <v>45869</v>
      </c>
      <c r="C2408" t="s">
        <v>20</v>
      </c>
      <c r="D2408" t="s">
        <v>1636</v>
      </c>
      <c r="E2408" s="5">
        <v>116000000</v>
      </c>
      <c r="F2408" s="5">
        <v>119000000</v>
      </c>
      <c r="G2408" s="5">
        <v>3000000</v>
      </c>
      <c r="H2408" s="5">
        <v>11600000</v>
      </c>
      <c r="I2408" s="5">
        <v>11900000</v>
      </c>
      <c r="J2408" s="5">
        <v>116500000</v>
      </c>
      <c r="K2408" s="5">
        <v>119500000</v>
      </c>
      <c r="L2408" s="3">
        <v>0.97916666666666663</v>
      </c>
    </row>
    <row r="2409" spans="1:12" x14ac:dyDescent="0.25">
      <c r="A2409" s="2">
        <v>45665</v>
      </c>
      <c r="B2409" s="2">
        <v>45870</v>
      </c>
      <c r="C2409" t="s">
        <v>21</v>
      </c>
      <c r="D2409" t="s">
        <v>1636</v>
      </c>
      <c r="E2409" s="5">
        <v>118000000</v>
      </c>
      <c r="F2409" s="5">
        <v>121000000</v>
      </c>
      <c r="G2409" s="5">
        <v>3000000</v>
      </c>
      <c r="H2409" s="5">
        <v>11800000</v>
      </c>
      <c r="I2409" s="5">
        <v>12100000</v>
      </c>
      <c r="J2409" s="5">
        <v>118500000</v>
      </c>
      <c r="K2409" s="5">
        <v>121500000</v>
      </c>
      <c r="L2409" s="3">
        <v>0.97916666666666663</v>
      </c>
    </row>
    <row r="2410" spans="1:12" x14ac:dyDescent="0.25">
      <c r="A2410" s="2">
        <v>45755</v>
      </c>
      <c r="B2410" s="2">
        <v>45873</v>
      </c>
      <c r="C2410" t="s">
        <v>16</v>
      </c>
      <c r="D2410" t="s">
        <v>1636</v>
      </c>
      <c r="E2410" s="5">
        <v>118900000</v>
      </c>
      <c r="F2410" s="5">
        <v>121900000</v>
      </c>
      <c r="G2410" s="5">
        <v>3000000</v>
      </c>
      <c r="H2410" s="5">
        <v>11890000</v>
      </c>
      <c r="I2410" s="5">
        <v>12190000</v>
      </c>
      <c r="J2410" s="5">
        <v>119400000</v>
      </c>
      <c r="K2410" s="5">
        <v>122400000</v>
      </c>
      <c r="L2410" s="3">
        <v>0.97916666666666663</v>
      </c>
    </row>
    <row r="2411" spans="1:12" x14ac:dyDescent="0.25">
      <c r="A2411" s="2">
        <v>45785</v>
      </c>
      <c r="B2411" s="2">
        <v>45874</v>
      </c>
      <c r="C2411" t="s">
        <v>18</v>
      </c>
      <c r="D2411" t="s">
        <v>1636</v>
      </c>
      <c r="E2411" s="5">
        <v>119200000</v>
      </c>
      <c r="F2411" s="5">
        <v>122200000</v>
      </c>
      <c r="G2411" s="5">
        <v>3000000</v>
      </c>
      <c r="H2411" s="5">
        <v>11920000</v>
      </c>
      <c r="I2411" s="5">
        <v>12220000</v>
      </c>
      <c r="J2411" s="5">
        <v>119700000</v>
      </c>
      <c r="K2411" s="5">
        <v>122700000</v>
      </c>
      <c r="L2411" s="3">
        <v>0.97916666666666663</v>
      </c>
    </row>
    <row r="2412" spans="1:12" x14ac:dyDescent="0.25">
      <c r="A2412" s="2">
        <v>45816</v>
      </c>
      <c r="B2412" s="2">
        <v>45875</v>
      </c>
      <c r="C2412" t="s">
        <v>19</v>
      </c>
      <c r="D2412" t="s">
        <v>1636</v>
      </c>
      <c r="E2412" s="5">
        <v>119100000</v>
      </c>
      <c r="F2412" s="5">
        <v>122100000</v>
      </c>
      <c r="G2412" s="5">
        <v>3000000</v>
      </c>
      <c r="H2412" s="5">
        <v>11910000</v>
      </c>
      <c r="I2412" s="5">
        <v>12210000</v>
      </c>
      <c r="J2412" s="5">
        <v>119600000</v>
      </c>
      <c r="K2412" s="5">
        <v>122600000</v>
      </c>
      <c r="L2412" s="3">
        <v>0.97916666666666663</v>
      </c>
    </row>
    <row r="2413" spans="1:12" x14ac:dyDescent="0.25">
      <c r="A2413" s="2">
        <v>45846</v>
      </c>
      <c r="B2413" s="2">
        <v>45876</v>
      </c>
      <c r="C2413" t="s">
        <v>20</v>
      </c>
      <c r="D2413" t="s">
        <v>1636</v>
      </c>
      <c r="E2413" s="5">
        <v>119900000</v>
      </c>
      <c r="F2413" s="5">
        <v>122900000</v>
      </c>
      <c r="G2413" s="5">
        <v>3000000</v>
      </c>
      <c r="H2413" s="5">
        <v>11990000</v>
      </c>
      <c r="I2413" s="5">
        <v>12290000</v>
      </c>
      <c r="J2413" s="5">
        <v>120400000</v>
      </c>
      <c r="K2413" s="5">
        <v>123400000</v>
      </c>
      <c r="L2413" s="3">
        <v>0.97916666666666663</v>
      </c>
    </row>
    <row r="2414" spans="1:12" x14ac:dyDescent="0.25">
      <c r="A2414" s="2">
        <v>45877</v>
      </c>
      <c r="B2414" s="2">
        <v>45877</v>
      </c>
      <c r="C2414" t="s">
        <v>21</v>
      </c>
      <c r="D2414" t="s">
        <v>1636</v>
      </c>
      <c r="E2414" s="5">
        <v>121300000</v>
      </c>
      <c r="F2414" s="5">
        <v>124300000</v>
      </c>
      <c r="G2414" s="5">
        <v>3000000</v>
      </c>
      <c r="H2414" s="5">
        <v>12130000</v>
      </c>
      <c r="I2414" s="5">
        <v>12430000</v>
      </c>
      <c r="J2414" s="5">
        <v>121800000</v>
      </c>
      <c r="K2414" s="5">
        <v>124800000</v>
      </c>
      <c r="L2414" s="3">
        <v>0.97916666666666663</v>
      </c>
    </row>
    <row r="2415" spans="1:12" x14ac:dyDescent="0.25">
      <c r="A2415" s="2">
        <v>45969</v>
      </c>
      <c r="B2415" s="2">
        <v>45880</v>
      </c>
      <c r="C2415" t="s">
        <v>16</v>
      </c>
      <c r="D2415" t="s">
        <v>1636</v>
      </c>
      <c r="E2415" s="5">
        <v>118200000</v>
      </c>
      <c r="F2415" s="5">
        <v>121200000</v>
      </c>
      <c r="G2415" s="5">
        <v>3000000</v>
      </c>
      <c r="H2415" s="5">
        <v>11820000</v>
      </c>
      <c r="I2415" s="5">
        <v>12120000</v>
      </c>
      <c r="J2415" s="5">
        <v>118700000</v>
      </c>
      <c r="K2415" s="5">
        <v>121700000</v>
      </c>
      <c r="L2415" s="3">
        <v>0.97916666666666663</v>
      </c>
    </row>
    <row r="2416" spans="1:12" x14ac:dyDescent="0.25">
      <c r="A2416" s="2">
        <v>45999</v>
      </c>
      <c r="B2416" s="2">
        <v>45881</v>
      </c>
      <c r="C2416" t="s">
        <v>18</v>
      </c>
      <c r="D2416" t="s">
        <v>1636</v>
      </c>
      <c r="E2416" s="5">
        <v>118000000</v>
      </c>
      <c r="F2416" s="5">
        <v>121000000</v>
      </c>
      <c r="G2416" s="5">
        <v>3000000</v>
      </c>
      <c r="H2416" s="5">
        <v>11800000</v>
      </c>
      <c r="I2416" s="5">
        <v>12100000</v>
      </c>
      <c r="J2416" s="5">
        <v>118500000</v>
      </c>
      <c r="K2416" s="5">
        <v>121500000</v>
      </c>
      <c r="L2416" s="3">
        <v>0.97916666666666663</v>
      </c>
    </row>
    <row r="2417" spans="1:12" x14ac:dyDescent="0.25">
      <c r="A2417" t="s">
        <v>1478</v>
      </c>
      <c r="B2417" s="2">
        <v>45882</v>
      </c>
      <c r="C2417" t="s">
        <v>19</v>
      </c>
      <c r="D2417" t="s">
        <v>1636</v>
      </c>
      <c r="E2417" s="5">
        <v>118400000</v>
      </c>
      <c r="F2417" s="5">
        <v>121400000</v>
      </c>
      <c r="G2417" s="5">
        <v>3000000</v>
      </c>
      <c r="H2417" s="5">
        <v>11840000</v>
      </c>
      <c r="I2417" s="5">
        <v>12140000</v>
      </c>
      <c r="J2417" s="5">
        <v>118900000</v>
      </c>
      <c r="K2417" s="5">
        <v>121900000</v>
      </c>
      <c r="L2417" s="3">
        <v>0.97916666666666663</v>
      </c>
    </row>
    <row r="2418" spans="1:12" x14ac:dyDescent="0.25">
      <c r="A2418" t="s">
        <v>1479</v>
      </c>
      <c r="B2418" s="2">
        <v>45883</v>
      </c>
      <c r="C2418" t="s">
        <v>20</v>
      </c>
      <c r="D2418" t="s">
        <v>1636</v>
      </c>
      <c r="E2418" s="5">
        <v>117500000</v>
      </c>
      <c r="F2418" s="5">
        <v>120500000</v>
      </c>
      <c r="G2418" s="5">
        <v>3000000</v>
      </c>
      <c r="H2418" s="5">
        <v>11750000</v>
      </c>
      <c r="I2418" s="5">
        <v>12050000</v>
      </c>
      <c r="J2418" s="5">
        <v>118000000</v>
      </c>
      <c r="K2418" s="5">
        <v>121000000</v>
      </c>
      <c r="L2418" s="3">
        <v>0.97916666666666663</v>
      </c>
    </row>
    <row r="2419" spans="1:12" x14ac:dyDescent="0.25">
      <c r="A2419" t="s">
        <v>1480</v>
      </c>
      <c r="B2419" s="2">
        <v>45884</v>
      </c>
      <c r="C2419" t="s">
        <v>21</v>
      </c>
      <c r="D2419" t="s">
        <v>1636</v>
      </c>
      <c r="E2419" s="5">
        <v>117500000</v>
      </c>
      <c r="F2419" s="5">
        <v>120500000</v>
      </c>
      <c r="G2419" s="5">
        <v>3000000</v>
      </c>
      <c r="H2419" s="5">
        <v>11750000</v>
      </c>
      <c r="I2419" s="5">
        <v>12050000</v>
      </c>
      <c r="J2419" s="5">
        <v>118000000</v>
      </c>
      <c r="K2419" s="5">
        <v>121000000</v>
      </c>
      <c r="L2419" s="3">
        <v>0.97916666666666663</v>
      </c>
    </row>
    <row r="2420" spans="1:12" x14ac:dyDescent="0.25">
      <c r="A2420" t="s">
        <v>1481</v>
      </c>
      <c r="B2420" s="2">
        <v>45887</v>
      </c>
      <c r="C2420" t="s">
        <v>16</v>
      </c>
      <c r="D2420" t="s">
        <v>1636</v>
      </c>
      <c r="E2420" s="5">
        <v>117400000</v>
      </c>
      <c r="F2420" s="5">
        <v>120400000</v>
      </c>
      <c r="G2420" s="5">
        <v>3000000</v>
      </c>
      <c r="H2420" s="5">
        <v>11740000</v>
      </c>
      <c r="I2420" s="5">
        <v>12040000</v>
      </c>
      <c r="J2420" s="5">
        <v>117900000</v>
      </c>
      <c r="K2420" s="5">
        <v>120900000</v>
      </c>
      <c r="L2420" s="3">
        <v>0.97916666666666663</v>
      </c>
    </row>
    <row r="2421" spans="1:12" x14ac:dyDescent="0.25">
      <c r="A2421" t="s">
        <v>1482</v>
      </c>
      <c r="B2421" s="2">
        <v>45888</v>
      </c>
      <c r="C2421" t="s">
        <v>18</v>
      </c>
      <c r="D2421" t="s">
        <v>1636</v>
      </c>
      <c r="E2421" s="5">
        <v>116700000</v>
      </c>
      <c r="F2421" s="5">
        <v>119700000</v>
      </c>
      <c r="G2421" s="5">
        <v>3000000</v>
      </c>
      <c r="H2421" s="5">
        <v>11670000</v>
      </c>
      <c r="I2421" s="5">
        <v>11970000</v>
      </c>
      <c r="J2421" s="5">
        <v>117200000</v>
      </c>
      <c r="K2421" s="5">
        <v>120200000</v>
      </c>
      <c r="L2421" s="3">
        <v>0.97916666666666663</v>
      </c>
    </row>
    <row r="2422" spans="1:12" x14ac:dyDescent="0.25">
      <c r="A2422" t="s">
        <v>1483</v>
      </c>
      <c r="B2422" s="2">
        <v>45889</v>
      </c>
      <c r="C2422" t="s">
        <v>19</v>
      </c>
      <c r="D2422" t="s">
        <v>1636</v>
      </c>
      <c r="E2422" s="5">
        <v>117800000</v>
      </c>
      <c r="F2422" s="5">
        <v>120800000</v>
      </c>
      <c r="G2422" s="5">
        <v>3000000</v>
      </c>
      <c r="H2422" s="5">
        <v>11780000</v>
      </c>
      <c r="I2422" s="5">
        <v>12080000</v>
      </c>
      <c r="J2422" s="5">
        <v>118300000</v>
      </c>
      <c r="K2422" s="5">
        <v>121300000</v>
      </c>
      <c r="L2422" s="3">
        <v>0.97916666666666663</v>
      </c>
    </row>
    <row r="2423" spans="1:12" x14ac:dyDescent="0.25">
      <c r="A2423" t="s">
        <v>1484</v>
      </c>
      <c r="B2423" s="2">
        <v>45890</v>
      </c>
      <c r="C2423" t="s">
        <v>20</v>
      </c>
      <c r="D2423" t="s">
        <v>1636</v>
      </c>
      <c r="E2423" s="5">
        <v>117600000</v>
      </c>
      <c r="F2423" s="5">
        <v>120600000</v>
      </c>
      <c r="G2423" s="5">
        <v>3000000</v>
      </c>
      <c r="H2423" s="5">
        <v>11760000</v>
      </c>
      <c r="I2423" s="5">
        <v>12060000</v>
      </c>
      <c r="J2423" s="5">
        <v>118100000</v>
      </c>
      <c r="K2423" s="5">
        <v>121100000</v>
      </c>
      <c r="L2423" s="3">
        <v>0.97916666666666663</v>
      </c>
    </row>
    <row r="2424" spans="1:12" x14ac:dyDescent="0.25">
      <c r="A2424" t="s">
        <v>1485</v>
      </c>
      <c r="B2424" s="2">
        <v>45891</v>
      </c>
      <c r="C2424" t="s">
        <v>21</v>
      </c>
      <c r="D2424" t="s">
        <v>1636</v>
      </c>
      <c r="E2424" s="5">
        <v>118900000</v>
      </c>
      <c r="F2424" s="5">
        <v>121900000</v>
      </c>
      <c r="G2424" s="5">
        <v>3000000</v>
      </c>
      <c r="H2424" s="5">
        <v>11890000</v>
      </c>
      <c r="I2424" s="5">
        <v>12190000</v>
      </c>
      <c r="J2424" s="5">
        <v>119400000</v>
      </c>
      <c r="K2424" s="5">
        <v>122400000</v>
      </c>
      <c r="L2424" s="3">
        <v>0.97916666666666663</v>
      </c>
    </row>
    <row r="2425" spans="1:12" x14ac:dyDescent="0.25">
      <c r="A2425" t="s">
        <v>1486</v>
      </c>
      <c r="B2425" s="2">
        <v>45894</v>
      </c>
      <c r="C2425" t="s">
        <v>16</v>
      </c>
      <c r="D2425" t="s">
        <v>1636</v>
      </c>
      <c r="E2425" s="5">
        <v>118900000</v>
      </c>
      <c r="F2425" s="5">
        <v>121900000</v>
      </c>
      <c r="G2425" s="5">
        <v>3000000</v>
      </c>
      <c r="H2425" s="5">
        <v>11890000</v>
      </c>
      <c r="I2425" s="5">
        <v>12190000</v>
      </c>
      <c r="J2425" s="5">
        <v>119400000</v>
      </c>
      <c r="K2425" s="5">
        <v>122400000</v>
      </c>
      <c r="L2425" s="3">
        <v>0.97916666666666663</v>
      </c>
    </row>
    <row r="2426" spans="1:12" x14ac:dyDescent="0.25">
      <c r="A2426" t="s">
        <v>1487</v>
      </c>
      <c r="B2426" s="2">
        <v>45895</v>
      </c>
      <c r="C2426" t="s">
        <v>18</v>
      </c>
      <c r="D2426" t="s">
        <v>1636</v>
      </c>
      <c r="E2426" s="5">
        <v>119400000</v>
      </c>
      <c r="F2426" s="5">
        <v>122400000</v>
      </c>
      <c r="G2426" s="5">
        <v>3000000</v>
      </c>
      <c r="H2426" s="5">
        <v>11940000</v>
      </c>
      <c r="I2426" s="5">
        <v>12240000</v>
      </c>
      <c r="J2426" s="5">
        <v>119900000</v>
      </c>
      <c r="K2426" s="5">
        <v>122900000</v>
      </c>
      <c r="L2426" s="3">
        <v>0.97916666666666663</v>
      </c>
    </row>
    <row r="2427" spans="1:12" x14ac:dyDescent="0.25">
      <c r="A2427" t="s">
        <v>1488</v>
      </c>
      <c r="B2427" s="2">
        <v>45896</v>
      </c>
      <c r="C2427" t="s">
        <v>19</v>
      </c>
      <c r="D2427" t="s">
        <v>1636</v>
      </c>
      <c r="E2427" s="5">
        <v>120000000</v>
      </c>
      <c r="F2427" s="5">
        <v>123000000</v>
      </c>
      <c r="G2427" s="5">
        <v>3000000</v>
      </c>
      <c r="H2427" s="5">
        <v>12000000</v>
      </c>
      <c r="I2427" s="5">
        <v>12300000</v>
      </c>
      <c r="J2427" s="5">
        <v>120500000</v>
      </c>
      <c r="K2427" s="5">
        <v>123500000</v>
      </c>
      <c r="L2427" s="3">
        <v>0.97916666666666663</v>
      </c>
    </row>
    <row r="2428" spans="1:12" x14ac:dyDescent="0.25">
      <c r="A2428" t="s">
        <v>1489</v>
      </c>
      <c r="B2428" s="2">
        <v>45897</v>
      </c>
      <c r="C2428" t="s">
        <v>20</v>
      </c>
      <c r="D2428" t="s">
        <v>1636</v>
      </c>
      <c r="E2428" s="5">
        <v>121000000</v>
      </c>
      <c r="F2428" s="5">
        <v>124000000</v>
      </c>
      <c r="G2428" s="5">
        <v>3000000</v>
      </c>
      <c r="H2428" s="5">
        <v>12100000</v>
      </c>
      <c r="I2428" s="5">
        <v>12400000</v>
      </c>
      <c r="J2428" s="5">
        <v>121500000</v>
      </c>
      <c r="K2428" s="5">
        <v>124500000</v>
      </c>
      <c r="L2428" s="3">
        <v>0.97916666666666663</v>
      </c>
    </row>
    <row r="2429" spans="1:12" x14ac:dyDescent="0.25">
      <c r="A2429" t="s">
        <v>1490</v>
      </c>
      <c r="B2429" s="2">
        <v>45898</v>
      </c>
      <c r="C2429" t="s">
        <v>21</v>
      </c>
      <c r="D2429" t="s">
        <v>1636</v>
      </c>
      <c r="E2429" s="5">
        <v>122500000</v>
      </c>
      <c r="F2429" s="5">
        <v>125500000</v>
      </c>
      <c r="G2429" s="5">
        <v>3000000</v>
      </c>
      <c r="H2429" s="5">
        <v>12250000</v>
      </c>
      <c r="I2429" s="5">
        <v>12550000</v>
      </c>
      <c r="J2429" s="5">
        <v>123000000</v>
      </c>
      <c r="K2429" s="5">
        <v>126000000</v>
      </c>
      <c r="L2429" s="3">
        <v>0.97916666666666663</v>
      </c>
    </row>
    <row r="2430" spans="1:12" x14ac:dyDescent="0.25">
      <c r="A2430" s="2">
        <v>45697</v>
      </c>
      <c r="B2430" s="2">
        <v>45902</v>
      </c>
      <c r="C2430" t="s">
        <v>18</v>
      </c>
      <c r="D2430" t="s">
        <v>1636</v>
      </c>
      <c r="E2430" s="5">
        <v>125300000</v>
      </c>
      <c r="F2430" s="5">
        <v>128300000</v>
      </c>
      <c r="G2430" s="5">
        <v>3000000</v>
      </c>
      <c r="H2430" s="5">
        <v>12530000</v>
      </c>
      <c r="I2430" s="5">
        <v>12830000</v>
      </c>
      <c r="J2430" s="5">
        <v>125800000</v>
      </c>
      <c r="K2430" s="5">
        <v>128800000</v>
      </c>
      <c r="L2430" s="3">
        <v>0.97916666666666663</v>
      </c>
    </row>
    <row r="2431" spans="1:12" x14ac:dyDescent="0.25">
      <c r="A2431" s="2">
        <v>45725</v>
      </c>
      <c r="B2431" s="2">
        <v>45903</v>
      </c>
      <c r="C2431" t="s">
        <v>19</v>
      </c>
      <c r="D2431" t="s">
        <v>1636</v>
      </c>
      <c r="E2431" s="5">
        <v>126800000</v>
      </c>
      <c r="F2431" s="5">
        <v>129800000</v>
      </c>
      <c r="G2431" s="5">
        <v>3000000</v>
      </c>
      <c r="H2431" s="5">
        <v>12680000</v>
      </c>
      <c r="I2431" s="5">
        <v>12980000</v>
      </c>
      <c r="J2431" s="5">
        <v>127300000</v>
      </c>
      <c r="K2431" s="5">
        <v>130300000</v>
      </c>
      <c r="L2431" s="3">
        <v>0.97916666666666663</v>
      </c>
    </row>
    <row r="2432" spans="1:12" x14ac:dyDescent="0.25">
      <c r="A2432" s="2">
        <v>45756</v>
      </c>
      <c r="B2432" s="2">
        <v>45904</v>
      </c>
      <c r="C2432" t="s">
        <v>20</v>
      </c>
      <c r="D2432" t="s">
        <v>1636</v>
      </c>
      <c r="E2432" s="5">
        <v>125900000</v>
      </c>
      <c r="F2432" s="5">
        <v>128900000</v>
      </c>
      <c r="G2432" s="5">
        <v>3000000</v>
      </c>
      <c r="H2432" s="5">
        <v>12590000</v>
      </c>
      <c r="I2432" s="5">
        <v>12890000</v>
      </c>
      <c r="J2432" s="5">
        <v>126400000</v>
      </c>
      <c r="K2432" s="5">
        <v>129400000</v>
      </c>
      <c r="L2432" s="3">
        <v>0.97916666666666663</v>
      </c>
    </row>
    <row r="2433" spans="1:12" x14ac:dyDescent="0.25">
      <c r="A2433" s="2">
        <v>45786</v>
      </c>
      <c r="B2433" s="2">
        <v>45905</v>
      </c>
      <c r="C2433" t="s">
        <v>21</v>
      </c>
      <c r="D2433" t="s">
        <v>1636</v>
      </c>
      <c r="E2433" s="5">
        <v>127600000</v>
      </c>
      <c r="F2433" s="5">
        <v>130600000</v>
      </c>
      <c r="G2433" s="5">
        <v>3000000</v>
      </c>
      <c r="H2433" s="5">
        <v>12760000</v>
      </c>
      <c r="I2433" s="5">
        <v>13060000</v>
      </c>
      <c r="J2433" s="5">
        <v>128100000</v>
      </c>
      <c r="K2433" s="5">
        <v>131100000</v>
      </c>
      <c r="L2433" s="3">
        <v>0.97916666666666663</v>
      </c>
    </row>
    <row r="2434" spans="1:12" x14ac:dyDescent="0.25">
      <c r="A2434" s="2">
        <v>45878</v>
      </c>
      <c r="B2434" s="2">
        <v>45908</v>
      </c>
      <c r="C2434" t="s">
        <v>16</v>
      </c>
      <c r="D2434" t="s">
        <v>1636</v>
      </c>
      <c r="E2434" s="5">
        <v>128500000</v>
      </c>
      <c r="F2434" s="5">
        <v>131500000</v>
      </c>
      <c r="G2434" s="5">
        <v>3000000</v>
      </c>
      <c r="H2434" s="5">
        <v>12850000</v>
      </c>
      <c r="I2434" s="5">
        <v>13150000</v>
      </c>
      <c r="J2434" s="5">
        <v>129000000</v>
      </c>
      <c r="K2434" s="5">
        <v>132000000</v>
      </c>
      <c r="L2434" s="3">
        <v>0.97916666666666663</v>
      </c>
    </row>
    <row r="2435" spans="1:12" x14ac:dyDescent="0.25">
      <c r="A2435" s="2">
        <v>45909</v>
      </c>
      <c r="B2435" s="2">
        <v>45909</v>
      </c>
      <c r="C2435" t="s">
        <v>18</v>
      </c>
      <c r="D2435" t="s">
        <v>1636</v>
      </c>
      <c r="E2435" s="5">
        <v>128700000</v>
      </c>
      <c r="F2435" s="5">
        <v>131700000</v>
      </c>
      <c r="G2435" s="5">
        <v>3000000</v>
      </c>
      <c r="H2435" s="5">
        <v>12870000</v>
      </c>
      <c r="I2435" s="5">
        <v>13170000</v>
      </c>
      <c r="J2435" s="5">
        <v>129200000</v>
      </c>
      <c r="K2435" s="5">
        <v>132200000</v>
      </c>
      <c r="L2435" s="3">
        <v>0.97916666666666663</v>
      </c>
    </row>
    <row r="2436" spans="1:12" x14ac:dyDescent="0.25">
      <c r="A2436" s="2">
        <v>45939</v>
      </c>
      <c r="B2436" s="2">
        <v>45910</v>
      </c>
      <c r="C2436" t="s">
        <v>19</v>
      </c>
      <c r="D2436" t="s">
        <v>1636</v>
      </c>
      <c r="E2436" s="5">
        <v>128700000</v>
      </c>
      <c r="F2436" s="5">
        <v>131700000</v>
      </c>
      <c r="G2436" s="5">
        <v>3000000</v>
      </c>
      <c r="H2436" s="5">
        <v>12870000</v>
      </c>
      <c r="I2436" s="5">
        <v>13170000</v>
      </c>
      <c r="J2436" s="5">
        <v>129200000</v>
      </c>
      <c r="K2436" s="5">
        <v>132200000</v>
      </c>
      <c r="L2436" s="3">
        <v>0.97916666666666663</v>
      </c>
    </row>
    <row r="2437" spans="1:12" x14ac:dyDescent="0.25">
      <c r="A2437" s="2">
        <v>45970</v>
      </c>
      <c r="B2437" s="2">
        <v>45911</v>
      </c>
      <c r="C2437" t="s">
        <v>20</v>
      </c>
      <c r="D2437" t="s">
        <v>1636</v>
      </c>
      <c r="E2437" s="5">
        <v>128400000</v>
      </c>
      <c r="F2437" s="5">
        <v>131400000</v>
      </c>
      <c r="G2437" s="5">
        <v>3000000</v>
      </c>
      <c r="H2437" s="5">
        <v>12840000</v>
      </c>
      <c r="I2437" s="5">
        <v>13140000</v>
      </c>
      <c r="J2437" s="5">
        <v>128900000</v>
      </c>
      <c r="K2437" s="5">
        <v>131900000</v>
      </c>
      <c r="L2437" s="3">
        <v>0.97916666666666663</v>
      </c>
    </row>
    <row r="2438" spans="1:12" x14ac:dyDescent="0.25">
      <c r="A2438" s="2">
        <v>46000</v>
      </c>
      <c r="B2438" s="2">
        <v>45912</v>
      </c>
      <c r="C2438" t="s">
        <v>21</v>
      </c>
      <c r="D2438" t="s">
        <v>1636</v>
      </c>
      <c r="E2438" s="5">
        <v>128900000</v>
      </c>
      <c r="F2438" s="5">
        <v>131900000</v>
      </c>
      <c r="G2438" s="5">
        <v>3000000</v>
      </c>
      <c r="H2438" s="5">
        <v>12890000</v>
      </c>
      <c r="I2438" s="5">
        <v>13190000</v>
      </c>
      <c r="J2438" s="5">
        <v>129400000</v>
      </c>
      <c r="K2438" s="5">
        <v>132400000</v>
      </c>
      <c r="L2438" s="3">
        <v>0.97916666666666663</v>
      </c>
    </row>
    <row r="2439" spans="1:12" x14ac:dyDescent="0.25">
      <c r="A2439" t="s">
        <v>1491</v>
      </c>
      <c r="B2439" s="2">
        <v>45915</v>
      </c>
      <c r="C2439" t="s">
        <v>16</v>
      </c>
      <c r="D2439" t="s">
        <v>1636</v>
      </c>
      <c r="E2439" s="5">
        <v>130100000</v>
      </c>
      <c r="F2439" s="5">
        <v>133100000</v>
      </c>
      <c r="G2439" s="5">
        <v>3000000</v>
      </c>
      <c r="H2439" s="5">
        <v>13010000</v>
      </c>
      <c r="I2439" s="5">
        <v>13310000</v>
      </c>
      <c r="J2439" s="5">
        <v>130600000</v>
      </c>
      <c r="K2439" s="5">
        <v>133600000</v>
      </c>
      <c r="L2439" s="3">
        <v>0.97916666666666663</v>
      </c>
    </row>
    <row r="2440" spans="1:12" x14ac:dyDescent="0.25">
      <c r="A2440" t="s">
        <v>1492</v>
      </c>
      <c r="B2440" s="2">
        <v>45916</v>
      </c>
      <c r="C2440" t="s">
        <v>18</v>
      </c>
      <c r="D2440" t="s">
        <v>1636</v>
      </c>
      <c r="E2440" s="5">
        <v>130300000</v>
      </c>
      <c r="F2440" s="5">
        <v>133300000</v>
      </c>
      <c r="G2440" s="5">
        <v>3000000</v>
      </c>
      <c r="H2440" s="5">
        <v>13030000</v>
      </c>
      <c r="I2440" s="5">
        <v>13330000</v>
      </c>
      <c r="J2440" s="5">
        <v>130800000</v>
      </c>
      <c r="K2440" s="5">
        <v>133800000</v>
      </c>
      <c r="L2440" s="3">
        <v>0.97916666666666663</v>
      </c>
    </row>
    <row r="2441" spans="1:12" x14ac:dyDescent="0.25">
      <c r="A2441" t="s">
        <v>1493</v>
      </c>
      <c r="B2441" s="2">
        <v>45917</v>
      </c>
      <c r="C2441" t="s">
        <v>19</v>
      </c>
      <c r="D2441" t="s">
        <v>1636</v>
      </c>
      <c r="E2441" s="5">
        <v>130000000</v>
      </c>
      <c r="F2441" s="5">
        <v>133000000</v>
      </c>
      <c r="G2441" s="5">
        <v>3000000</v>
      </c>
      <c r="H2441" s="5">
        <v>13000000</v>
      </c>
      <c r="I2441" s="5">
        <v>13300000</v>
      </c>
      <c r="J2441" s="5">
        <v>130500000</v>
      </c>
      <c r="K2441" s="5">
        <v>133500000</v>
      </c>
      <c r="L2441" s="3">
        <v>0.97916666666666663</v>
      </c>
    </row>
    <row r="2442" spans="1:12" x14ac:dyDescent="0.25">
      <c r="A2442" t="s">
        <v>1494</v>
      </c>
      <c r="B2442" s="2">
        <v>45918</v>
      </c>
      <c r="C2442" t="s">
        <v>20</v>
      </c>
      <c r="D2442" t="s">
        <v>1636</v>
      </c>
      <c r="E2442" s="5">
        <v>128700000</v>
      </c>
      <c r="F2442" s="5">
        <v>131700000</v>
      </c>
      <c r="G2442" s="5">
        <v>3000000</v>
      </c>
      <c r="H2442" s="5">
        <v>12870000</v>
      </c>
      <c r="I2442" s="5">
        <v>13170000</v>
      </c>
      <c r="J2442" s="5">
        <v>129200000</v>
      </c>
      <c r="K2442" s="5">
        <v>132200000</v>
      </c>
      <c r="L2442" s="3">
        <v>0.97916666666666663</v>
      </c>
    </row>
    <row r="2443" spans="1:12" x14ac:dyDescent="0.25">
      <c r="A2443" t="s">
        <v>1495</v>
      </c>
      <c r="B2443" s="2">
        <v>45919</v>
      </c>
      <c r="C2443" t="s">
        <v>21</v>
      </c>
      <c r="D2443" t="s">
        <v>1636</v>
      </c>
      <c r="E2443" s="5">
        <v>129700000</v>
      </c>
      <c r="F2443" s="5">
        <v>132700000</v>
      </c>
      <c r="G2443" s="5">
        <v>3000000</v>
      </c>
      <c r="H2443" s="5">
        <v>12970000</v>
      </c>
      <c r="I2443" s="5">
        <v>13270000</v>
      </c>
      <c r="J2443" s="5">
        <v>130200000</v>
      </c>
      <c r="K2443" s="5">
        <v>133200000</v>
      </c>
      <c r="L2443" s="3">
        <v>0.97916666666666663</v>
      </c>
    </row>
    <row r="2444" spans="1:12" x14ac:dyDescent="0.25">
      <c r="A2444" t="s">
        <v>1496</v>
      </c>
      <c r="B2444" s="2">
        <v>45922</v>
      </c>
      <c r="C2444" t="s">
        <v>16</v>
      </c>
      <c r="D2444" t="s">
        <v>1636</v>
      </c>
      <c r="E2444" s="5">
        <v>132200000</v>
      </c>
      <c r="F2444" s="5">
        <v>135200000</v>
      </c>
      <c r="G2444" s="5">
        <v>3000000</v>
      </c>
      <c r="H2444" s="5">
        <v>13220000</v>
      </c>
      <c r="I2444" s="5">
        <v>13520000</v>
      </c>
      <c r="J2444" s="5">
        <v>132700000</v>
      </c>
      <c r="K2444" s="5">
        <v>135700000</v>
      </c>
      <c r="L2444" s="3">
        <v>0.97916666666666663</v>
      </c>
    </row>
    <row r="2445" spans="1:12" x14ac:dyDescent="0.25">
      <c r="A2445" t="s">
        <v>1497</v>
      </c>
      <c r="B2445" s="2">
        <v>45923</v>
      </c>
      <c r="C2445" t="s">
        <v>18</v>
      </c>
      <c r="D2445" t="s">
        <v>1636</v>
      </c>
      <c r="E2445" s="5">
        <v>133600000</v>
      </c>
      <c r="F2445" s="5">
        <v>136600000</v>
      </c>
      <c r="G2445" s="5">
        <v>3000000</v>
      </c>
      <c r="H2445" s="5">
        <v>13360000</v>
      </c>
      <c r="I2445" s="5">
        <v>13660000</v>
      </c>
      <c r="J2445" s="5">
        <v>134100000</v>
      </c>
      <c r="K2445" s="5">
        <v>137100000</v>
      </c>
      <c r="L2445" s="3">
        <v>0.97916666666666663</v>
      </c>
    </row>
    <row r="2446" spans="1:12" x14ac:dyDescent="0.25">
      <c r="A2446" t="s">
        <v>1498</v>
      </c>
      <c r="B2446" s="2">
        <v>45924</v>
      </c>
      <c r="C2446" t="s">
        <v>19</v>
      </c>
      <c r="D2446" t="s">
        <v>1636</v>
      </c>
      <c r="E2446" s="5">
        <v>131900000</v>
      </c>
      <c r="F2446" s="5">
        <v>134900000</v>
      </c>
      <c r="G2446" s="5">
        <v>3000000</v>
      </c>
      <c r="H2446" s="5">
        <v>13190000</v>
      </c>
      <c r="I2446" s="5">
        <v>13490000</v>
      </c>
      <c r="J2446" s="5">
        <v>132400000</v>
      </c>
      <c r="K2446" s="5">
        <v>135400000</v>
      </c>
      <c r="L2446" s="3">
        <v>0.97916666666666663</v>
      </c>
    </row>
    <row r="2447" spans="1:12" x14ac:dyDescent="0.25">
      <c r="A2447" t="s">
        <v>1499</v>
      </c>
      <c r="B2447" s="2">
        <v>45925</v>
      </c>
      <c r="C2447" t="s">
        <v>20</v>
      </c>
      <c r="D2447" t="s">
        <v>1636</v>
      </c>
      <c r="E2447" s="5">
        <v>132000000</v>
      </c>
      <c r="F2447" s="5">
        <v>135000000</v>
      </c>
      <c r="G2447" s="5">
        <v>3000000</v>
      </c>
      <c r="H2447" s="5">
        <v>13200000</v>
      </c>
      <c r="I2447" s="5">
        <v>13500000</v>
      </c>
      <c r="J2447" s="5">
        <v>132500000</v>
      </c>
      <c r="K2447" s="5">
        <v>135500000</v>
      </c>
      <c r="L2447" s="3">
        <v>0.97916666666666663</v>
      </c>
    </row>
    <row r="2448" spans="1:12" x14ac:dyDescent="0.25">
      <c r="A2448" t="s">
        <v>1500</v>
      </c>
      <c r="B2448" s="2">
        <v>45926</v>
      </c>
      <c r="C2448" t="s">
        <v>21</v>
      </c>
      <c r="D2448" t="s">
        <v>1636</v>
      </c>
      <c r="E2448" s="5">
        <v>133400000</v>
      </c>
      <c r="F2448" s="5">
        <v>136400000</v>
      </c>
      <c r="G2448" s="5">
        <v>3000000</v>
      </c>
      <c r="H2448" s="5">
        <v>13340000</v>
      </c>
      <c r="I2448" s="5">
        <v>13640000</v>
      </c>
      <c r="J2448" s="5">
        <v>133900000</v>
      </c>
      <c r="K2448" s="5">
        <v>136900000</v>
      </c>
      <c r="L2448" s="3">
        <v>0.97916666666666663</v>
      </c>
    </row>
    <row r="2449" spans="1:12" x14ac:dyDescent="0.25">
      <c r="A2449" t="s">
        <v>1501</v>
      </c>
      <c r="B2449" s="2">
        <v>45929</v>
      </c>
      <c r="C2449" t="s">
        <v>16</v>
      </c>
      <c r="D2449" t="s">
        <v>1636</v>
      </c>
      <c r="E2449" s="5">
        <v>135100000</v>
      </c>
      <c r="F2449" s="5">
        <v>138100000</v>
      </c>
      <c r="G2449" s="5">
        <v>3000000</v>
      </c>
      <c r="H2449" s="5">
        <v>13510000</v>
      </c>
      <c r="I2449" s="5">
        <v>13810000</v>
      </c>
      <c r="J2449" s="5">
        <v>135600000</v>
      </c>
      <c r="K2449" s="5">
        <v>138600000</v>
      </c>
      <c r="L2449" s="3">
        <v>0.97916666666666663</v>
      </c>
    </row>
    <row r="2450" spans="1:12" x14ac:dyDescent="0.25">
      <c r="A2450" t="s">
        <v>1502</v>
      </c>
      <c r="B2450" s="2">
        <v>45930</v>
      </c>
      <c r="C2450" t="s">
        <v>18</v>
      </c>
      <c r="D2450" t="s">
        <v>1636</v>
      </c>
      <c r="E2450" s="5">
        <v>135800000</v>
      </c>
      <c r="F2450" s="5">
        <v>138800000</v>
      </c>
      <c r="G2450" s="5">
        <v>3000000</v>
      </c>
      <c r="H2450" s="5">
        <v>13580000</v>
      </c>
      <c r="I2450" s="5">
        <v>13880000</v>
      </c>
      <c r="J2450" s="5">
        <v>136300000</v>
      </c>
      <c r="K2450" s="5">
        <v>139300000</v>
      </c>
      <c r="L2450" s="3">
        <v>0.97916666666666663</v>
      </c>
    </row>
    <row r="2451" spans="1:12" x14ac:dyDescent="0.25">
      <c r="A2451" s="2">
        <v>45667</v>
      </c>
      <c r="B2451" s="2">
        <v>45931</v>
      </c>
      <c r="C2451" t="s">
        <v>19</v>
      </c>
      <c r="D2451" t="s">
        <v>1636</v>
      </c>
      <c r="E2451" s="5">
        <v>136800000</v>
      </c>
      <c r="F2451" s="5">
        <v>139800000</v>
      </c>
      <c r="G2451" s="5">
        <v>3000000</v>
      </c>
      <c r="H2451" s="5">
        <v>13680000</v>
      </c>
      <c r="I2451" s="5">
        <v>13980000</v>
      </c>
      <c r="J2451" s="5">
        <v>137300000</v>
      </c>
      <c r="K2451" s="5">
        <v>140300000</v>
      </c>
      <c r="L2451" s="3">
        <v>0.97916666666666663</v>
      </c>
    </row>
    <row r="2452" spans="1:12" x14ac:dyDescent="0.25">
      <c r="A2452" s="2">
        <v>45698</v>
      </c>
      <c r="B2452" s="2">
        <v>45932</v>
      </c>
      <c r="C2452" t="s">
        <v>20</v>
      </c>
      <c r="D2452" t="s">
        <v>1636</v>
      </c>
      <c r="E2452" s="5">
        <v>135800000</v>
      </c>
      <c r="F2452" s="5">
        <v>138800000</v>
      </c>
      <c r="G2452" s="5">
        <v>3000000</v>
      </c>
      <c r="H2452" s="5">
        <v>13580000</v>
      </c>
      <c r="I2452" s="5">
        <v>13880000</v>
      </c>
      <c r="J2452" s="5">
        <v>136300000</v>
      </c>
      <c r="K2452" s="5">
        <v>139300000</v>
      </c>
      <c r="L2452" s="3">
        <v>0.97916666666666663</v>
      </c>
    </row>
    <row r="2453" spans="1:12" x14ac:dyDescent="0.25">
      <c r="A2453" s="2">
        <v>45726</v>
      </c>
      <c r="B2453" s="2">
        <v>45933</v>
      </c>
      <c r="C2453" t="s">
        <v>21</v>
      </c>
      <c r="D2453" t="s">
        <v>1636</v>
      </c>
      <c r="E2453" s="5">
        <v>137200000</v>
      </c>
      <c r="F2453" s="5">
        <v>140200000</v>
      </c>
      <c r="G2453" s="5">
        <v>3000000</v>
      </c>
      <c r="H2453" s="5">
        <v>13720000</v>
      </c>
      <c r="I2453" s="5">
        <v>14020000</v>
      </c>
      <c r="J2453" s="5">
        <v>137700000</v>
      </c>
      <c r="K2453" s="5">
        <v>140700000</v>
      </c>
      <c r="L2453" s="3">
        <v>0.97916666666666663</v>
      </c>
    </row>
    <row r="2454" spans="1:12" x14ac:dyDescent="0.25">
      <c r="A2454" s="2">
        <v>45818</v>
      </c>
      <c r="B2454" s="2">
        <v>45936</v>
      </c>
      <c r="C2454" t="s">
        <v>16</v>
      </c>
      <c r="D2454" t="s">
        <v>1636</v>
      </c>
      <c r="E2454" s="5">
        <v>139700000</v>
      </c>
      <c r="F2454" s="5">
        <v>142700000</v>
      </c>
      <c r="G2454" s="5">
        <v>3000000</v>
      </c>
      <c r="H2454" s="5">
        <v>13970000</v>
      </c>
      <c r="I2454" s="5">
        <v>14270000</v>
      </c>
      <c r="J2454" s="5">
        <v>140200000</v>
      </c>
      <c r="K2454" s="5">
        <v>143200000</v>
      </c>
      <c r="L2454" s="3">
        <v>0.97916666666666663</v>
      </c>
    </row>
    <row r="2455" spans="1:12" x14ac:dyDescent="0.25">
      <c r="A2455" s="2">
        <v>45848</v>
      </c>
      <c r="B2455" s="2">
        <v>45937</v>
      </c>
      <c r="C2455" t="s">
        <v>18</v>
      </c>
      <c r="D2455" t="s">
        <v>1636</v>
      </c>
      <c r="E2455" s="5">
        <v>140700000</v>
      </c>
      <c r="F2455" s="5">
        <v>143700000</v>
      </c>
      <c r="G2455" s="5">
        <v>3000000</v>
      </c>
      <c r="H2455" s="5">
        <v>14070000</v>
      </c>
      <c r="I2455" s="5">
        <v>14370000</v>
      </c>
      <c r="J2455" s="5">
        <v>141200000</v>
      </c>
      <c r="K2455" s="5">
        <v>144200000</v>
      </c>
      <c r="L2455" s="3">
        <v>0.97916666666666663</v>
      </c>
    </row>
    <row r="2456" spans="1:12" x14ac:dyDescent="0.25">
      <c r="A2456" s="2">
        <v>45879</v>
      </c>
      <c r="B2456" s="2">
        <v>45938</v>
      </c>
      <c r="C2456" t="s">
        <v>19</v>
      </c>
      <c r="D2456" t="s">
        <v>1636</v>
      </c>
      <c r="E2456" s="5">
        <v>143100000</v>
      </c>
      <c r="F2456" s="5">
        <v>146100000</v>
      </c>
      <c r="G2456" s="5">
        <v>3000000</v>
      </c>
      <c r="H2456" s="5">
        <v>14310000</v>
      </c>
      <c r="I2456" s="5">
        <v>14610000</v>
      </c>
      <c r="J2456" s="5">
        <v>143600000</v>
      </c>
      <c r="K2456" s="5">
        <v>146600000</v>
      </c>
      <c r="L2456" s="3">
        <v>0.97916666666666663</v>
      </c>
    </row>
    <row r="2457" spans="1:12" x14ac:dyDescent="0.25">
      <c r="A2457" s="2">
        <v>45910</v>
      </c>
      <c r="B2457" s="2">
        <v>45939</v>
      </c>
      <c r="C2457" t="s">
        <v>20</v>
      </c>
      <c r="D2457" t="s">
        <v>1636</v>
      </c>
      <c r="E2457" s="5">
        <v>139600000</v>
      </c>
      <c r="F2457" s="5">
        <v>142600000</v>
      </c>
      <c r="G2457" s="5">
        <v>3000000</v>
      </c>
      <c r="H2457" s="5">
        <v>13960000</v>
      </c>
      <c r="I2457" s="5">
        <v>14260000</v>
      </c>
      <c r="J2457" s="5">
        <v>140100000</v>
      </c>
      <c r="K2457" s="5">
        <v>143100000</v>
      </c>
      <c r="L2457" s="3">
        <v>0.97916666666666663</v>
      </c>
    </row>
    <row r="2458" spans="1:12" x14ac:dyDescent="0.25">
      <c r="A2458" s="2">
        <v>45940</v>
      </c>
      <c r="B2458" s="2">
        <v>45940</v>
      </c>
      <c r="C2458" t="s">
        <v>21</v>
      </c>
      <c r="D2458" t="s">
        <v>1636</v>
      </c>
      <c r="E2458" s="5">
        <v>140700000</v>
      </c>
      <c r="F2458" s="5">
        <v>143700000</v>
      </c>
      <c r="G2458" s="5">
        <v>3000000</v>
      </c>
      <c r="H2458" s="5">
        <v>14070000</v>
      </c>
      <c r="I2458" s="5">
        <v>14370000</v>
      </c>
      <c r="J2458" s="5">
        <v>141200000</v>
      </c>
      <c r="K2458" s="5">
        <v>144200000</v>
      </c>
      <c r="L2458" s="3">
        <v>0.97916666666666663</v>
      </c>
    </row>
    <row r="2459" spans="1:12" x14ac:dyDescent="0.25">
      <c r="A2459" t="s">
        <v>1503</v>
      </c>
      <c r="B2459" s="2">
        <v>45943</v>
      </c>
      <c r="C2459" t="s">
        <v>16</v>
      </c>
      <c r="D2459" t="s">
        <v>1636</v>
      </c>
      <c r="E2459" s="5">
        <v>145500000</v>
      </c>
      <c r="F2459" s="5">
        <v>148500000</v>
      </c>
      <c r="G2459" s="5">
        <v>3000000</v>
      </c>
      <c r="H2459" s="5">
        <v>14550000</v>
      </c>
      <c r="I2459" s="5">
        <v>14850000</v>
      </c>
      <c r="J2459" s="5">
        <v>146000000</v>
      </c>
      <c r="K2459" s="5">
        <v>149000000</v>
      </c>
      <c r="L2459" s="3">
        <v>0.97916666666666663</v>
      </c>
    </row>
    <row r="2460" spans="1:12" x14ac:dyDescent="0.25">
      <c r="A2460" t="s">
        <v>1504</v>
      </c>
      <c r="B2460" s="2">
        <v>45944</v>
      </c>
      <c r="C2460" t="s">
        <v>18</v>
      </c>
      <c r="D2460" t="s">
        <v>1636</v>
      </c>
      <c r="E2460" s="5">
        <v>146600000</v>
      </c>
      <c r="F2460" s="5">
        <v>149600000</v>
      </c>
      <c r="G2460" s="5">
        <v>3000000</v>
      </c>
      <c r="H2460" s="5">
        <v>14660000</v>
      </c>
      <c r="I2460" s="5">
        <v>14960000</v>
      </c>
      <c r="J2460" s="5">
        <v>147100000</v>
      </c>
      <c r="K2460" s="5">
        <v>150100000</v>
      </c>
      <c r="L2460" s="3">
        <v>0.97916666666666663</v>
      </c>
    </row>
    <row r="2461" spans="1:12" x14ac:dyDescent="0.25">
      <c r="A2461" t="s">
        <v>1505</v>
      </c>
      <c r="B2461" s="2">
        <v>45945</v>
      </c>
      <c r="C2461" t="s">
        <v>19</v>
      </c>
      <c r="D2461" t="s">
        <v>1636</v>
      </c>
      <c r="E2461" s="5">
        <v>147900000</v>
      </c>
      <c r="F2461" s="5">
        <v>150900000</v>
      </c>
      <c r="G2461" s="5">
        <v>3000000</v>
      </c>
      <c r="H2461" s="5">
        <v>14790000</v>
      </c>
      <c r="I2461" s="5">
        <v>15090000</v>
      </c>
      <c r="J2461" s="5">
        <v>148400000</v>
      </c>
      <c r="K2461" s="5">
        <v>151400000</v>
      </c>
      <c r="L2461" s="3">
        <v>0.97916666666666663</v>
      </c>
    </row>
    <row r="2462" spans="1:12" x14ac:dyDescent="0.25">
      <c r="A2462" t="s">
        <v>1506</v>
      </c>
      <c r="B2462" s="2">
        <v>45946</v>
      </c>
      <c r="C2462" t="s">
        <v>20</v>
      </c>
      <c r="D2462" t="s">
        <v>1636</v>
      </c>
      <c r="E2462" s="5">
        <v>151700000</v>
      </c>
      <c r="F2462" s="5">
        <v>154700000</v>
      </c>
      <c r="G2462" s="5">
        <v>3000000</v>
      </c>
      <c r="H2462" s="5">
        <v>15170000</v>
      </c>
      <c r="I2462" s="5">
        <v>15470000</v>
      </c>
      <c r="J2462" s="5">
        <v>152200000</v>
      </c>
      <c r="K2462" s="5">
        <v>155200000</v>
      </c>
      <c r="L2462" s="3">
        <v>0.97916666666666663</v>
      </c>
    </row>
    <row r="2463" spans="1:12" x14ac:dyDescent="0.25">
      <c r="A2463" t="s">
        <v>1507</v>
      </c>
      <c r="B2463" s="2">
        <v>45947</v>
      </c>
      <c r="C2463" t="s">
        <v>21</v>
      </c>
      <c r="D2463" t="s">
        <v>1636</v>
      </c>
      <c r="E2463" s="5">
        <v>148400000</v>
      </c>
      <c r="F2463" s="5">
        <v>151400000</v>
      </c>
      <c r="G2463" s="5">
        <v>3000000</v>
      </c>
      <c r="H2463" s="5">
        <v>14840000</v>
      </c>
      <c r="I2463" s="5">
        <v>15140000</v>
      </c>
      <c r="J2463" s="5">
        <v>148900000</v>
      </c>
      <c r="K2463" s="5">
        <v>151900000</v>
      </c>
      <c r="L2463" s="3">
        <v>0.97916666666666663</v>
      </c>
    </row>
    <row r="2464" spans="1:12" x14ac:dyDescent="0.25">
      <c r="A2464" t="s">
        <v>1508</v>
      </c>
      <c r="B2464" s="2">
        <v>45950</v>
      </c>
      <c r="C2464" t="s">
        <v>16</v>
      </c>
      <c r="D2464" t="s">
        <v>1636</v>
      </c>
      <c r="E2464" s="5">
        <v>153700000</v>
      </c>
      <c r="F2464" s="5">
        <v>156700000</v>
      </c>
      <c r="G2464" s="5">
        <v>3000000</v>
      </c>
      <c r="H2464" s="5">
        <v>15370000</v>
      </c>
      <c r="I2464" s="5">
        <v>15670000</v>
      </c>
      <c r="J2464" s="5">
        <v>154200000</v>
      </c>
      <c r="K2464" s="5">
        <v>157200000</v>
      </c>
      <c r="L2464" s="3">
        <v>0.97916666666666663</v>
      </c>
    </row>
    <row r="2465" spans="1:12" x14ac:dyDescent="0.25">
      <c r="A2465" t="s">
        <v>1509</v>
      </c>
      <c r="B2465" s="2">
        <v>45951</v>
      </c>
      <c r="C2465" t="s">
        <v>18</v>
      </c>
      <c r="D2465" t="s">
        <v>1636</v>
      </c>
      <c r="E2465" s="5">
        <v>144700000</v>
      </c>
      <c r="F2465" s="5">
        <v>147700000</v>
      </c>
      <c r="G2465" s="5">
        <v>3000000</v>
      </c>
      <c r="H2465" s="5">
        <v>14470000</v>
      </c>
      <c r="I2465" s="5">
        <v>14770000</v>
      </c>
      <c r="J2465" s="5">
        <v>145200000</v>
      </c>
      <c r="K2465" s="5">
        <v>148200000</v>
      </c>
      <c r="L2465" s="3">
        <v>0.97916666666666663</v>
      </c>
    </row>
    <row r="2466" spans="1:12" x14ac:dyDescent="0.25">
      <c r="A2466" t="s">
        <v>1510</v>
      </c>
      <c r="B2466" s="2">
        <v>45952</v>
      </c>
      <c r="C2466" t="s">
        <v>19</v>
      </c>
      <c r="D2466" t="s">
        <v>1636</v>
      </c>
      <c r="E2466" s="5">
        <v>143100000</v>
      </c>
      <c r="F2466" s="5">
        <v>146100000</v>
      </c>
      <c r="G2466" s="5">
        <v>3000000</v>
      </c>
      <c r="H2466" s="5">
        <v>14310000</v>
      </c>
      <c r="I2466" s="5">
        <v>14610000</v>
      </c>
      <c r="J2466" s="5">
        <v>143600000</v>
      </c>
      <c r="K2466" s="5">
        <v>146600000</v>
      </c>
      <c r="L2466" s="3">
        <v>0.97916666666666663</v>
      </c>
    </row>
    <row r="2467" spans="1:12" x14ac:dyDescent="0.25">
      <c r="A2467" t="s">
        <v>1511</v>
      </c>
      <c r="B2467" s="2">
        <v>45953</v>
      </c>
      <c r="C2467" t="s">
        <v>20</v>
      </c>
      <c r="D2467" t="s">
        <v>1636</v>
      </c>
      <c r="E2467" s="5">
        <v>146100000</v>
      </c>
      <c r="F2467" s="5">
        <v>149100000</v>
      </c>
      <c r="G2467" s="5">
        <v>3000000</v>
      </c>
      <c r="H2467" s="5">
        <v>14610000</v>
      </c>
      <c r="I2467" s="5">
        <v>14910000</v>
      </c>
      <c r="J2467" s="5">
        <v>146600000</v>
      </c>
      <c r="K2467" s="5">
        <v>149600000</v>
      </c>
      <c r="L2467" s="3">
        <v>0.97916666666666663</v>
      </c>
    </row>
    <row r="2468" spans="1:12" x14ac:dyDescent="0.25">
      <c r="A2468" t="s">
        <v>1512</v>
      </c>
      <c r="B2468" s="2">
        <v>45954</v>
      </c>
      <c r="C2468" t="s">
        <v>21</v>
      </c>
      <c r="D2468" t="s">
        <v>1636</v>
      </c>
      <c r="E2468" s="5">
        <v>145800000</v>
      </c>
      <c r="F2468" s="5">
        <v>148800000</v>
      </c>
      <c r="G2468" s="5">
        <v>3000000</v>
      </c>
      <c r="H2468" s="5">
        <v>14580000</v>
      </c>
      <c r="I2468" s="5">
        <v>14880000</v>
      </c>
      <c r="J2468" s="5">
        <v>146300000</v>
      </c>
      <c r="K2468" s="5">
        <v>149300000</v>
      </c>
      <c r="L2468" s="3">
        <v>0.97916666666666663</v>
      </c>
    </row>
    <row r="2469" spans="1:12" x14ac:dyDescent="0.25">
      <c r="A2469" t="s">
        <v>1513</v>
      </c>
      <c r="B2469" s="2">
        <v>45957</v>
      </c>
      <c r="C2469" t="s">
        <v>16</v>
      </c>
      <c r="D2469" t="s">
        <v>1636</v>
      </c>
      <c r="E2469" s="5">
        <v>141600000</v>
      </c>
      <c r="F2469" s="5">
        <v>144600000</v>
      </c>
      <c r="G2469" s="5">
        <v>3000000</v>
      </c>
      <c r="H2469" s="5">
        <v>14160000</v>
      </c>
      <c r="I2469" s="5">
        <v>14460000</v>
      </c>
      <c r="J2469" s="5">
        <v>142100000</v>
      </c>
      <c r="K2469" s="5">
        <v>145100000</v>
      </c>
      <c r="L2469" s="3">
        <v>0.97916666666666663</v>
      </c>
    </row>
    <row r="2470" spans="1:12" x14ac:dyDescent="0.25">
      <c r="A2470" t="s">
        <v>1514</v>
      </c>
      <c r="B2470" s="2">
        <v>45958</v>
      </c>
      <c r="C2470" t="s">
        <v>18</v>
      </c>
      <c r="D2470" t="s">
        <v>1636</v>
      </c>
      <c r="E2470" s="5">
        <v>140300000</v>
      </c>
      <c r="F2470" s="5">
        <v>143300000</v>
      </c>
      <c r="G2470" s="5">
        <v>3000000</v>
      </c>
      <c r="H2470" s="5">
        <v>14030000</v>
      </c>
      <c r="I2470" s="5">
        <v>14330000</v>
      </c>
      <c r="J2470" s="5">
        <v>140800000</v>
      </c>
      <c r="K2470" s="5">
        <v>143800000</v>
      </c>
      <c r="L2470" s="3">
        <v>0.97916666666666663</v>
      </c>
    </row>
    <row r="2471" spans="1:12" x14ac:dyDescent="0.25">
      <c r="A2471" t="s">
        <v>1515</v>
      </c>
      <c r="B2471" s="2">
        <v>45959</v>
      </c>
      <c r="C2471" t="s">
        <v>19</v>
      </c>
      <c r="D2471" t="s">
        <v>1636</v>
      </c>
      <c r="E2471" s="5">
        <v>141000000</v>
      </c>
      <c r="F2471" s="5">
        <v>144000000</v>
      </c>
      <c r="G2471" s="5">
        <v>3000000</v>
      </c>
      <c r="H2471" s="5">
        <v>14100000</v>
      </c>
      <c r="I2471" s="5">
        <v>14400000</v>
      </c>
      <c r="J2471" s="5">
        <v>141500000</v>
      </c>
      <c r="K2471" s="5">
        <v>144500000</v>
      </c>
      <c r="L2471" s="3">
        <v>0.97916666666666663</v>
      </c>
    </row>
    <row r="2472" spans="1:12" x14ac:dyDescent="0.25">
      <c r="A2472" t="s">
        <v>1516</v>
      </c>
      <c r="B2472" s="2">
        <v>45960</v>
      </c>
      <c r="C2472" t="s">
        <v>20</v>
      </c>
      <c r="D2472" t="s">
        <v>1636</v>
      </c>
      <c r="E2472" s="5">
        <v>141600000</v>
      </c>
      <c r="F2472" s="5">
        <v>144600000</v>
      </c>
      <c r="G2472" s="5">
        <v>3000000</v>
      </c>
      <c r="H2472" s="5">
        <v>14160000</v>
      </c>
      <c r="I2472" s="5">
        <v>14460000</v>
      </c>
      <c r="J2472" s="5">
        <v>142100000</v>
      </c>
      <c r="K2472" s="5">
        <v>145100000</v>
      </c>
      <c r="L2472" s="3">
        <v>0.97916666666666663</v>
      </c>
    </row>
    <row r="2473" spans="1:12" x14ac:dyDescent="0.25">
      <c r="A2473" t="s">
        <v>1517</v>
      </c>
      <c r="B2473" s="2">
        <v>45961</v>
      </c>
      <c r="C2473" t="s">
        <v>21</v>
      </c>
      <c r="D2473" t="s">
        <v>1636</v>
      </c>
      <c r="E2473" s="5">
        <v>140900000</v>
      </c>
      <c r="F2473" s="5">
        <v>143900000</v>
      </c>
      <c r="G2473" s="5">
        <v>3000000</v>
      </c>
      <c r="H2473" s="5">
        <v>14090000</v>
      </c>
      <c r="I2473" s="5">
        <v>14390000</v>
      </c>
      <c r="J2473" s="5">
        <v>141400000</v>
      </c>
      <c r="K2473" s="5">
        <v>144400000</v>
      </c>
      <c r="L2473" s="3">
        <v>0.97916666666666663</v>
      </c>
    </row>
    <row r="2474" spans="1:12" x14ac:dyDescent="0.25">
      <c r="A2474" s="2">
        <v>45727</v>
      </c>
      <c r="B2474" s="2">
        <v>45964</v>
      </c>
      <c r="C2474" t="s">
        <v>16</v>
      </c>
      <c r="D2474" t="s">
        <v>1636</v>
      </c>
      <c r="E2474" s="5">
        <v>141600000</v>
      </c>
      <c r="F2474" s="5">
        <v>144600000</v>
      </c>
      <c r="G2474" s="5">
        <v>3000000</v>
      </c>
      <c r="H2474" s="5">
        <v>14160000</v>
      </c>
      <c r="I2474" s="5">
        <v>14460000</v>
      </c>
      <c r="J2474" s="5">
        <v>142100000</v>
      </c>
      <c r="K2474" s="5">
        <v>145100000</v>
      </c>
      <c r="L2474" s="3">
        <v>0.97916666666666663</v>
      </c>
    </row>
    <row r="2475" spans="1:12" x14ac:dyDescent="0.25">
      <c r="A2475" s="2">
        <v>45758</v>
      </c>
      <c r="B2475" s="2">
        <v>45965</v>
      </c>
      <c r="C2475" t="s">
        <v>18</v>
      </c>
      <c r="D2475" t="s">
        <v>1636</v>
      </c>
      <c r="E2475" s="5">
        <v>139700000</v>
      </c>
      <c r="F2475" s="5">
        <v>142700000</v>
      </c>
      <c r="G2475" s="5">
        <v>3000000</v>
      </c>
      <c r="H2475" s="5">
        <v>13970000</v>
      </c>
      <c r="I2475" s="5">
        <v>14270000</v>
      </c>
      <c r="J2475" s="5">
        <v>140200000</v>
      </c>
      <c r="K2475" s="5">
        <v>143200000</v>
      </c>
      <c r="L2475" s="3">
        <v>0.97916666666666663</v>
      </c>
    </row>
    <row r="2476" spans="1:12" x14ac:dyDescent="0.25">
      <c r="A2476" s="2">
        <v>45788</v>
      </c>
      <c r="B2476" s="2">
        <v>45966</v>
      </c>
      <c r="C2476" t="s">
        <v>19</v>
      </c>
      <c r="D2476" t="s">
        <v>1636</v>
      </c>
      <c r="E2476" s="5">
        <v>140800000</v>
      </c>
      <c r="F2476" s="5">
        <v>143800000</v>
      </c>
      <c r="G2476" s="5">
        <v>3000000</v>
      </c>
      <c r="H2476" s="5">
        <v>14080000</v>
      </c>
      <c r="I2476" s="5">
        <v>14380000</v>
      </c>
      <c r="J2476" s="5">
        <v>141300000</v>
      </c>
      <c r="K2476" s="5">
        <v>144300000</v>
      </c>
      <c r="L2476" s="3">
        <v>0.97916666666666663</v>
      </c>
    </row>
    <row r="2477" spans="1:12" x14ac:dyDescent="0.25">
      <c r="A2477" s="2">
        <v>45819</v>
      </c>
      <c r="B2477" s="2">
        <v>45967</v>
      </c>
      <c r="C2477" t="s">
        <v>20</v>
      </c>
      <c r="D2477" t="s">
        <v>1636</v>
      </c>
      <c r="E2477" s="5">
        <v>140800000</v>
      </c>
      <c r="F2477" s="5">
        <v>143800000</v>
      </c>
      <c r="G2477" s="5">
        <v>3000000</v>
      </c>
      <c r="H2477" s="5">
        <v>14080000</v>
      </c>
      <c r="I2477" s="5">
        <v>14380000</v>
      </c>
      <c r="J2477" s="5">
        <v>141300000</v>
      </c>
      <c r="K2477" s="5">
        <v>144300000</v>
      </c>
      <c r="L2477" s="3">
        <v>0.97916666666666663</v>
      </c>
    </row>
    <row r="2478" spans="1:12" x14ac:dyDescent="0.25">
      <c r="A2478" s="2">
        <v>45849</v>
      </c>
      <c r="B2478" s="2">
        <v>45968</v>
      </c>
      <c r="C2478" t="s">
        <v>21</v>
      </c>
      <c r="D2478" t="s">
        <v>1636</v>
      </c>
      <c r="E2478" s="5">
        <v>141500000</v>
      </c>
      <c r="F2478" s="5">
        <v>144500000</v>
      </c>
      <c r="G2478" s="5">
        <v>3000000</v>
      </c>
      <c r="H2478" s="5">
        <v>14150000</v>
      </c>
      <c r="I2478" s="5">
        <v>14450000</v>
      </c>
      <c r="J2478" s="5">
        <v>142000000</v>
      </c>
      <c r="K2478" s="5">
        <v>145000000</v>
      </c>
      <c r="L2478" s="3">
        <v>0.97916666666666663</v>
      </c>
    </row>
    <row r="2479" spans="1:12" x14ac:dyDescent="0.25">
      <c r="A2479" s="2">
        <v>45941</v>
      </c>
      <c r="B2479" s="2">
        <v>45971</v>
      </c>
      <c r="C2479" t="s">
        <v>16</v>
      </c>
      <c r="D2479" t="s">
        <v>1636</v>
      </c>
      <c r="E2479" s="5">
        <v>145600000</v>
      </c>
      <c r="F2479" s="5">
        <v>148600000</v>
      </c>
      <c r="G2479" s="5">
        <v>3000000</v>
      </c>
      <c r="H2479" s="5">
        <v>14560000</v>
      </c>
      <c r="I2479" s="5">
        <v>14860000</v>
      </c>
      <c r="J2479" s="5">
        <v>146100000</v>
      </c>
      <c r="K2479" s="5">
        <v>149100000</v>
      </c>
      <c r="L2479" s="3">
        <v>0.97916666666666663</v>
      </c>
    </row>
    <row r="2480" spans="1:12" x14ac:dyDescent="0.25">
      <c r="A2480" s="2">
        <v>45972</v>
      </c>
      <c r="B2480" s="2">
        <v>45972</v>
      </c>
      <c r="C2480" t="s">
        <v>18</v>
      </c>
      <c r="D2480" t="s">
        <v>1636</v>
      </c>
      <c r="E2480" s="5">
        <v>145400000</v>
      </c>
      <c r="F2480" s="5">
        <v>148400000</v>
      </c>
      <c r="G2480" s="5">
        <v>3000000</v>
      </c>
      <c r="H2480" s="5">
        <v>14540000</v>
      </c>
      <c r="I2480" s="5">
        <v>14840000</v>
      </c>
      <c r="J2480" s="5">
        <v>145900000</v>
      </c>
      <c r="K2480" s="5">
        <v>148900000</v>
      </c>
      <c r="L2480" s="3">
        <v>0.97916666666666663</v>
      </c>
    </row>
    <row r="2481" spans="1:12" x14ac:dyDescent="0.25">
      <c r="A2481" s="2">
        <v>46002</v>
      </c>
      <c r="B2481" s="2">
        <v>45973</v>
      </c>
      <c r="C2481" t="s">
        <v>19</v>
      </c>
      <c r="D2481" t="s">
        <v>1636</v>
      </c>
      <c r="E2481" s="5">
        <v>148900000</v>
      </c>
      <c r="F2481" s="5">
        <v>151900000</v>
      </c>
      <c r="G2481" s="5">
        <v>3000000</v>
      </c>
      <c r="H2481" s="5">
        <v>14890000</v>
      </c>
      <c r="I2481" s="5">
        <v>15190000</v>
      </c>
      <c r="J2481" s="5">
        <v>149400000</v>
      </c>
      <c r="K2481" s="5">
        <v>152400000</v>
      </c>
      <c r="L2481" s="3">
        <v>0.97916666666666663</v>
      </c>
    </row>
    <row r="2482" spans="1:12" x14ac:dyDescent="0.25">
      <c r="A2482" t="s">
        <v>1518</v>
      </c>
      <c r="B2482" s="2">
        <v>45974</v>
      </c>
      <c r="C2482" t="s">
        <v>20</v>
      </c>
      <c r="D2482" t="s">
        <v>1636</v>
      </c>
      <c r="E2482" s="5">
        <v>148300000</v>
      </c>
      <c r="F2482" s="5">
        <v>151300000</v>
      </c>
      <c r="G2482" s="5">
        <v>3000000</v>
      </c>
      <c r="H2482" s="5">
        <v>14830000</v>
      </c>
      <c r="I2482" s="5">
        <v>15130000</v>
      </c>
      <c r="J2482" s="5">
        <v>148800000</v>
      </c>
      <c r="K2482" s="5">
        <v>151800000</v>
      </c>
      <c r="L2482" s="3">
        <v>0.97916666666666663</v>
      </c>
    </row>
    <row r="2483" spans="1:12" x14ac:dyDescent="0.25">
      <c r="A2483" t="s">
        <v>1519</v>
      </c>
      <c r="B2483" s="2">
        <v>45975</v>
      </c>
      <c r="C2483" t="s">
        <v>21</v>
      </c>
      <c r="D2483" t="s">
        <v>1636</v>
      </c>
      <c r="E2483" s="5">
        <v>144700000</v>
      </c>
      <c r="F2483" s="5">
        <v>147700000</v>
      </c>
      <c r="G2483" s="5">
        <v>3000000</v>
      </c>
      <c r="H2483" s="5">
        <v>14470000</v>
      </c>
      <c r="I2483" s="5">
        <v>14770000</v>
      </c>
      <c r="J2483" s="5">
        <v>145200000</v>
      </c>
      <c r="K2483" s="5">
        <v>148200000</v>
      </c>
      <c r="L2483" s="3">
        <v>0.97916666666666663</v>
      </c>
    </row>
    <row r="2484" spans="1:12" x14ac:dyDescent="0.25">
      <c r="A2484" t="s">
        <v>1520</v>
      </c>
      <c r="B2484" s="2">
        <v>45978</v>
      </c>
      <c r="C2484" t="s">
        <v>16</v>
      </c>
      <c r="D2484" t="s">
        <v>1636</v>
      </c>
      <c r="E2484" s="5">
        <v>144000000</v>
      </c>
      <c r="F2484" s="5">
        <v>147000000</v>
      </c>
      <c r="G2484" s="5">
        <v>3000000</v>
      </c>
      <c r="H2484" s="5">
        <v>14400000</v>
      </c>
      <c r="I2484" s="5">
        <v>14700000</v>
      </c>
      <c r="J2484" s="5">
        <v>144500000</v>
      </c>
      <c r="K2484" s="5">
        <v>147500000</v>
      </c>
      <c r="L2484" s="3">
        <v>0.97916666666666663</v>
      </c>
    </row>
    <row r="2485" spans="1:12" x14ac:dyDescent="0.25">
      <c r="A2485" t="s">
        <v>1521</v>
      </c>
      <c r="B2485" s="2">
        <v>45979</v>
      </c>
      <c r="C2485" t="s">
        <v>18</v>
      </c>
      <c r="D2485" t="s">
        <v>1636</v>
      </c>
      <c r="E2485" s="5">
        <v>143800000</v>
      </c>
      <c r="F2485" s="5">
        <v>146800000</v>
      </c>
      <c r="G2485" s="5">
        <v>3000000</v>
      </c>
      <c r="H2485" s="5">
        <v>14380000</v>
      </c>
      <c r="I2485" s="5">
        <v>14680000</v>
      </c>
      <c r="J2485" s="5">
        <v>144300000</v>
      </c>
      <c r="K2485" s="5">
        <v>147300000</v>
      </c>
      <c r="L2485" s="3">
        <v>0.97916666666666663</v>
      </c>
    </row>
    <row r="2486" spans="1:12" x14ac:dyDescent="0.25">
      <c r="A2486" t="s">
        <v>1522</v>
      </c>
      <c r="B2486" s="2">
        <v>45980</v>
      </c>
      <c r="C2486" t="s">
        <v>19</v>
      </c>
      <c r="D2486" t="s">
        <v>1636</v>
      </c>
      <c r="E2486" s="5">
        <v>144400000</v>
      </c>
      <c r="F2486" s="5">
        <v>147400000</v>
      </c>
      <c r="G2486" s="5">
        <v>3000000</v>
      </c>
      <c r="H2486" s="5">
        <v>14440000</v>
      </c>
      <c r="I2486" s="5">
        <v>14740000</v>
      </c>
      <c r="J2486" s="5">
        <v>144900000</v>
      </c>
      <c r="K2486" s="5">
        <v>147900000</v>
      </c>
      <c r="L2486" s="3">
        <v>0.97916666666666663</v>
      </c>
    </row>
    <row r="2487" spans="1:12" x14ac:dyDescent="0.25">
      <c r="A2487" t="s">
        <v>1523</v>
      </c>
      <c r="B2487" s="2">
        <v>45981</v>
      </c>
      <c r="C2487" t="s">
        <v>20</v>
      </c>
      <c r="D2487" t="s">
        <v>1636</v>
      </c>
      <c r="E2487" s="5">
        <v>143600000</v>
      </c>
      <c r="F2487" s="5">
        <v>146600000</v>
      </c>
      <c r="G2487" s="5">
        <v>3000000</v>
      </c>
      <c r="H2487" s="5">
        <v>14360000</v>
      </c>
      <c r="I2487" s="5">
        <v>14660000</v>
      </c>
      <c r="J2487" s="5">
        <v>144100000</v>
      </c>
      <c r="K2487" s="5">
        <v>147100000</v>
      </c>
      <c r="L2487" s="3">
        <v>0.97916666666666663</v>
      </c>
    </row>
    <row r="2488" spans="1:12" x14ac:dyDescent="0.25">
      <c r="A2488" t="s">
        <v>1524</v>
      </c>
      <c r="B2488" s="2">
        <v>45982</v>
      </c>
      <c r="C2488" t="s">
        <v>21</v>
      </c>
      <c r="D2488" t="s">
        <v>1636</v>
      </c>
      <c r="E2488" s="5">
        <v>144300000</v>
      </c>
      <c r="F2488" s="5">
        <v>147300000</v>
      </c>
      <c r="G2488" s="5">
        <v>3000000</v>
      </c>
      <c r="H2488" s="5">
        <v>14430000</v>
      </c>
      <c r="I2488" s="5">
        <v>14730000</v>
      </c>
      <c r="J2488" s="5">
        <v>144800000</v>
      </c>
      <c r="K2488" s="5">
        <v>147800000</v>
      </c>
      <c r="L2488" s="3">
        <v>0.97916666666666663</v>
      </c>
    </row>
    <row r="2489" spans="1:12" x14ac:dyDescent="0.25">
      <c r="A2489" t="s">
        <v>1525</v>
      </c>
      <c r="B2489" s="2">
        <v>45985</v>
      </c>
      <c r="C2489" t="s">
        <v>16</v>
      </c>
      <c r="D2489" t="s">
        <v>1636</v>
      </c>
      <c r="E2489" s="5">
        <v>144900000</v>
      </c>
      <c r="F2489" s="5">
        <v>147900000</v>
      </c>
      <c r="G2489" s="5">
        <v>3000000</v>
      </c>
      <c r="H2489" s="5">
        <v>14490000</v>
      </c>
      <c r="I2489" s="5">
        <v>14790000</v>
      </c>
      <c r="J2489" s="5">
        <v>145400000</v>
      </c>
      <c r="K2489" s="5">
        <v>148400000</v>
      </c>
      <c r="L2489" s="3">
        <v>0.97916666666666663</v>
      </c>
    </row>
    <row r="2490" spans="1:12" x14ac:dyDescent="0.25">
      <c r="A2490" t="s">
        <v>1526</v>
      </c>
      <c r="B2490" s="2">
        <v>45986</v>
      </c>
      <c r="C2490" t="s">
        <v>18</v>
      </c>
      <c r="D2490" t="s">
        <v>1636</v>
      </c>
      <c r="E2490" s="5">
        <v>146600000</v>
      </c>
      <c r="F2490" s="5">
        <v>149600000</v>
      </c>
      <c r="G2490" s="5">
        <v>3000000</v>
      </c>
      <c r="H2490" s="5">
        <v>14660000</v>
      </c>
      <c r="I2490" s="5">
        <v>14960000</v>
      </c>
      <c r="J2490" s="5">
        <v>147100000</v>
      </c>
      <c r="K2490" s="5">
        <v>150100000</v>
      </c>
      <c r="L2490" s="3">
        <v>0.97916666666666663</v>
      </c>
    </row>
    <row r="2491" spans="1:12" x14ac:dyDescent="0.25">
      <c r="A2491" t="s">
        <v>1527</v>
      </c>
      <c r="B2491" s="2">
        <v>45987</v>
      </c>
      <c r="C2491" t="s">
        <v>19</v>
      </c>
      <c r="D2491" t="s">
        <v>1636</v>
      </c>
      <c r="E2491" s="5">
        <v>147500000</v>
      </c>
      <c r="F2491" s="5">
        <v>150500000</v>
      </c>
      <c r="G2491" s="5">
        <v>3000000</v>
      </c>
      <c r="H2491" s="5">
        <v>14750000</v>
      </c>
      <c r="I2491" s="5">
        <v>15050000</v>
      </c>
      <c r="J2491" s="5">
        <v>148000000</v>
      </c>
      <c r="K2491" s="5">
        <v>151000000</v>
      </c>
      <c r="L2491" s="3">
        <v>0.97916666666666663</v>
      </c>
    </row>
    <row r="2492" spans="1:12" x14ac:dyDescent="0.25">
      <c r="A2492" t="s">
        <v>1528</v>
      </c>
      <c r="B2492" s="2">
        <v>45989</v>
      </c>
      <c r="C2492" t="s">
        <v>21</v>
      </c>
      <c r="D2492" t="s">
        <v>1636</v>
      </c>
      <c r="E2492" s="5">
        <v>149400000</v>
      </c>
      <c r="F2492" s="5">
        <v>152400000</v>
      </c>
      <c r="G2492" s="5">
        <v>3000000</v>
      </c>
      <c r="H2492" s="5">
        <v>14940000</v>
      </c>
      <c r="I2492" s="5">
        <v>15240000</v>
      </c>
      <c r="J2492" s="5">
        <v>149900000</v>
      </c>
      <c r="K2492" s="5">
        <v>152900000</v>
      </c>
      <c r="L2492" s="3">
        <v>0.97916666666666663</v>
      </c>
    </row>
    <row r="2493" spans="1:12" x14ac:dyDescent="0.25">
      <c r="A2493" s="2">
        <v>45669</v>
      </c>
      <c r="B2493" s="2">
        <v>45992</v>
      </c>
      <c r="C2493" t="s">
        <v>16</v>
      </c>
      <c r="D2493" t="s">
        <v>1636</v>
      </c>
      <c r="E2493" s="5">
        <v>150200000</v>
      </c>
      <c r="F2493" s="5">
        <v>153200000</v>
      </c>
      <c r="G2493" s="5">
        <v>3000000</v>
      </c>
      <c r="H2493" s="5">
        <v>15020000</v>
      </c>
      <c r="I2493" s="5">
        <v>15320000</v>
      </c>
      <c r="J2493" s="5">
        <v>150700000</v>
      </c>
      <c r="K2493" s="5">
        <v>153700000</v>
      </c>
      <c r="L2493" s="3">
        <v>0.97916666666666663</v>
      </c>
    </row>
    <row r="2494" spans="1:12" x14ac:dyDescent="0.25">
      <c r="A2494" s="2">
        <v>45700</v>
      </c>
      <c r="B2494" s="2">
        <v>45993</v>
      </c>
      <c r="C2494" t="s">
        <v>18</v>
      </c>
      <c r="D2494" t="s">
        <v>1636</v>
      </c>
      <c r="E2494" s="5">
        <v>148300000</v>
      </c>
      <c r="F2494" s="5">
        <v>151300000</v>
      </c>
      <c r="G2494" s="5">
        <v>3000000</v>
      </c>
      <c r="H2494" s="5">
        <v>14830000</v>
      </c>
      <c r="I2494" s="5">
        <v>15130000</v>
      </c>
      <c r="J2494" s="5">
        <v>148800000</v>
      </c>
      <c r="K2494" s="5">
        <v>151800000</v>
      </c>
      <c r="L2494" s="3">
        <v>0.97916666666666663</v>
      </c>
    </row>
    <row r="2495" spans="1:12" x14ac:dyDescent="0.25">
      <c r="A2495" s="2">
        <v>45728</v>
      </c>
      <c r="B2495" s="2">
        <v>45994</v>
      </c>
      <c r="C2495" t="s">
        <v>19</v>
      </c>
      <c r="D2495" t="s">
        <v>1636</v>
      </c>
      <c r="E2495" s="5">
        <v>148700000</v>
      </c>
      <c r="F2495" s="5">
        <v>151700000</v>
      </c>
      <c r="G2495" s="5">
        <v>3000000</v>
      </c>
      <c r="H2495" s="5">
        <v>14870000</v>
      </c>
      <c r="I2495" s="5">
        <v>15170000</v>
      </c>
      <c r="J2495" s="5">
        <v>149200000</v>
      </c>
      <c r="K2495" s="5">
        <v>152200000</v>
      </c>
      <c r="L2495" s="3">
        <v>0.97916666666666663</v>
      </c>
    </row>
    <row r="2496" spans="1:12" x14ac:dyDescent="0.25">
      <c r="A2496" s="2">
        <v>45759</v>
      </c>
      <c r="B2496" s="2">
        <v>45995</v>
      </c>
      <c r="C2496" t="s">
        <v>20</v>
      </c>
      <c r="D2496" t="s">
        <v>1636</v>
      </c>
      <c r="E2496" s="5">
        <v>149200000</v>
      </c>
      <c r="F2496" s="5">
        <v>152200000</v>
      </c>
      <c r="G2496" s="5">
        <v>3000000</v>
      </c>
      <c r="H2496" s="5">
        <v>14920000</v>
      </c>
      <c r="I2496" s="5">
        <v>15220000</v>
      </c>
      <c r="J2496" s="5">
        <v>149700000</v>
      </c>
      <c r="K2496" s="5">
        <v>152700000</v>
      </c>
      <c r="L2496" s="3">
        <v>0.97916666666666663</v>
      </c>
    </row>
    <row r="2497" spans="1:12" x14ac:dyDescent="0.25">
      <c r="A2497" s="2">
        <v>45789</v>
      </c>
      <c r="B2497" s="2">
        <v>45996</v>
      </c>
      <c r="C2497" t="s">
        <v>21</v>
      </c>
      <c r="D2497" t="s">
        <v>1636</v>
      </c>
      <c r="E2497" s="5">
        <v>149200000</v>
      </c>
      <c r="F2497" s="5">
        <v>152200000</v>
      </c>
      <c r="G2497" s="5">
        <v>3000000</v>
      </c>
      <c r="H2497" s="5">
        <v>14920000</v>
      </c>
      <c r="I2497" s="5">
        <v>15220000</v>
      </c>
      <c r="J2497" s="5">
        <v>149700000</v>
      </c>
      <c r="K2497" s="5">
        <v>152700000</v>
      </c>
      <c r="L2497" s="3">
        <v>0.97916666666666663</v>
      </c>
    </row>
    <row r="2498" spans="1:12" x14ac:dyDescent="0.25">
      <c r="A2498" s="2">
        <v>45881</v>
      </c>
      <c r="B2498" s="2">
        <v>45999</v>
      </c>
      <c r="C2498" t="s">
        <v>16</v>
      </c>
      <c r="D2498" t="s">
        <v>1636</v>
      </c>
      <c r="E2498" s="5">
        <v>148300000</v>
      </c>
      <c r="F2498" s="5">
        <v>151300000</v>
      </c>
      <c r="G2498" s="5">
        <v>3000000</v>
      </c>
      <c r="H2498" s="5">
        <v>14830000</v>
      </c>
      <c r="I2498" s="5">
        <v>15130000</v>
      </c>
      <c r="J2498" s="5">
        <v>148800000</v>
      </c>
      <c r="K2498" s="5">
        <v>151800000</v>
      </c>
      <c r="L2498" s="3">
        <v>0.97916666666666663</v>
      </c>
    </row>
    <row r="2499" spans="1:12" x14ac:dyDescent="0.25">
      <c r="A2499" s="2">
        <v>45912</v>
      </c>
      <c r="B2499" s="2">
        <v>46000</v>
      </c>
      <c r="C2499" t="s">
        <v>18</v>
      </c>
      <c r="D2499" t="s">
        <v>1636</v>
      </c>
      <c r="E2499" s="5">
        <v>149000000</v>
      </c>
      <c r="F2499" s="5">
        <v>152000000</v>
      </c>
      <c r="G2499" s="5">
        <v>3000000</v>
      </c>
      <c r="H2499" s="5">
        <v>14900000</v>
      </c>
      <c r="I2499" s="5">
        <v>15200000</v>
      </c>
      <c r="J2499" s="5">
        <v>149500000</v>
      </c>
      <c r="K2499" s="5">
        <v>152500000</v>
      </c>
      <c r="L2499" s="3">
        <v>0.97916666666666663</v>
      </c>
    </row>
    <row r="2500" spans="1:12" x14ac:dyDescent="0.25">
      <c r="A2500" s="2">
        <v>45942</v>
      </c>
      <c r="B2500" s="2">
        <v>46001</v>
      </c>
      <c r="C2500" t="s">
        <v>19</v>
      </c>
      <c r="D2500" t="s">
        <v>1636</v>
      </c>
      <c r="E2500" s="5">
        <v>148600000</v>
      </c>
      <c r="F2500" s="5">
        <v>151600000</v>
      </c>
      <c r="G2500" s="5">
        <v>3000000</v>
      </c>
      <c r="H2500" s="5">
        <v>14860000</v>
      </c>
      <c r="I2500" s="5">
        <v>15160000</v>
      </c>
      <c r="J2500" s="5">
        <v>149100000</v>
      </c>
      <c r="K2500" s="5">
        <v>152100000</v>
      </c>
      <c r="L2500" s="3">
        <v>0.97916666666666663</v>
      </c>
    </row>
    <row r="2501" spans="1:12" x14ac:dyDescent="0.25">
      <c r="A2501" s="2">
        <v>45973</v>
      </c>
      <c r="B2501" s="2">
        <v>46002</v>
      </c>
      <c r="C2501" t="s">
        <v>20</v>
      </c>
      <c r="D2501" t="s">
        <v>1636</v>
      </c>
      <c r="E2501" s="5">
        <v>151900000</v>
      </c>
      <c r="F2501" s="5">
        <v>154900000</v>
      </c>
      <c r="G2501" s="5">
        <v>3000000</v>
      </c>
      <c r="H2501" s="5">
        <v>15190000</v>
      </c>
      <c r="I2501" s="5">
        <v>15490000</v>
      </c>
      <c r="J2501" s="5">
        <v>152400000</v>
      </c>
      <c r="K2501" s="5">
        <v>155400000</v>
      </c>
      <c r="L2501" s="3">
        <v>0.97916666666666663</v>
      </c>
    </row>
    <row r="2502" spans="1:12" x14ac:dyDescent="0.25">
      <c r="A2502" s="2">
        <v>46003</v>
      </c>
      <c r="B2502" s="2">
        <v>46003</v>
      </c>
      <c r="C2502" t="s">
        <v>21</v>
      </c>
      <c r="D2502" t="s">
        <v>1636</v>
      </c>
      <c r="E2502" s="5">
        <v>152400000</v>
      </c>
      <c r="F2502" s="5">
        <v>155400000</v>
      </c>
      <c r="G2502" s="5">
        <v>3000000</v>
      </c>
      <c r="H2502" s="5">
        <v>15240000</v>
      </c>
      <c r="I2502" s="5">
        <v>15540000</v>
      </c>
      <c r="J2502" s="5">
        <v>152900000</v>
      </c>
      <c r="K2502" s="5">
        <v>155900000</v>
      </c>
      <c r="L2502" s="3">
        <v>0.97916666666666663</v>
      </c>
    </row>
    <row r="2503" spans="1:12" x14ac:dyDescent="0.25">
      <c r="A2503" t="s">
        <v>1529</v>
      </c>
      <c r="B2503" s="2">
        <v>46006</v>
      </c>
      <c r="C2503" t="s">
        <v>16</v>
      </c>
      <c r="D2503" t="s">
        <v>1636</v>
      </c>
      <c r="E2503" s="5">
        <v>152600000</v>
      </c>
      <c r="F2503" s="5">
        <v>155600000</v>
      </c>
      <c r="G2503" s="5">
        <v>3000000</v>
      </c>
      <c r="H2503" s="5">
        <v>15260000</v>
      </c>
      <c r="I2503" s="5">
        <v>15560000</v>
      </c>
      <c r="J2503" s="5">
        <v>153100000</v>
      </c>
      <c r="K2503" s="5">
        <v>156100000</v>
      </c>
      <c r="L2503" s="3">
        <v>0.97916666666666663</v>
      </c>
    </row>
    <row r="2504" spans="1:12" x14ac:dyDescent="0.25">
      <c r="A2504" t="s">
        <v>1530</v>
      </c>
      <c r="B2504" s="2">
        <v>46007</v>
      </c>
      <c r="C2504" t="s">
        <v>18</v>
      </c>
      <c r="D2504" t="s">
        <v>1636</v>
      </c>
      <c r="E2504" s="5">
        <v>152500000</v>
      </c>
      <c r="F2504" s="5">
        <v>155500000</v>
      </c>
      <c r="G2504" s="5">
        <v>3000000</v>
      </c>
      <c r="H2504" s="5">
        <v>15250000</v>
      </c>
      <c r="I2504" s="5">
        <v>15550000</v>
      </c>
      <c r="J2504" s="5">
        <v>153000000</v>
      </c>
      <c r="K2504" s="5">
        <v>156000000</v>
      </c>
      <c r="L2504" s="3">
        <v>0.97916666666666663</v>
      </c>
    </row>
    <row r="2505" spans="1:12" x14ac:dyDescent="0.25">
      <c r="A2505" t="s">
        <v>1531</v>
      </c>
      <c r="B2505" s="2">
        <v>46008</v>
      </c>
      <c r="C2505" t="s">
        <v>19</v>
      </c>
      <c r="D2505" t="s">
        <v>1636</v>
      </c>
      <c r="E2505" s="5">
        <v>154100000</v>
      </c>
      <c r="F2505" s="5">
        <v>157100000</v>
      </c>
      <c r="G2505" s="5">
        <v>3000000</v>
      </c>
      <c r="H2505" s="5">
        <v>15410000</v>
      </c>
      <c r="I2505" s="5">
        <v>15710000</v>
      </c>
      <c r="J2505" s="5">
        <v>154600000</v>
      </c>
      <c r="K2505" s="5">
        <v>157600000</v>
      </c>
      <c r="L2505" s="3">
        <v>0.97916666666666663</v>
      </c>
    </row>
    <row r="2506" spans="1:12" x14ac:dyDescent="0.25">
      <c r="A2506" t="s">
        <v>1532</v>
      </c>
      <c r="B2506" s="2">
        <v>46009</v>
      </c>
      <c r="C2506" t="s">
        <v>20</v>
      </c>
      <c r="D2506" t="s">
        <v>1636</v>
      </c>
      <c r="E2506" s="5">
        <v>153800000</v>
      </c>
      <c r="F2506" s="5">
        <v>156800000</v>
      </c>
      <c r="G2506" s="5">
        <v>3000000</v>
      </c>
      <c r="H2506" s="5">
        <v>15380000</v>
      </c>
      <c r="I2506" s="5">
        <v>15680000</v>
      </c>
      <c r="J2506" s="5">
        <v>154300000</v>
      </c>
      <c r="K2506" s="5">
        <v>157300000</v>
      </c>
      <c r="L2506" s="3">
        <v>0.97916666666666663</v>
      </c>
    </row>
    <row r="2507" spans="1:12" x14ac:dyDescent="0.25">
      <c r="A2507" t="s">
        <v>1533</v>
      </c>
      <c r="B2507" s="2">
        <v>46010</v>
      </c>
      <c r="C2507" t="s">
        <v>21</v>
      </c>
      <c r="D2507" t="s">
        <v>1636</v>
      </c>
      <c r="E2507" s="5">
        <v>154600000</v>
      </c>
      <c r="F2507" s="5">
        <v>157600000</v>
      </c>
      <c r="G2507" s="5">
        <v>3000000</v>
      </c>
      <c r="H2507" s="5">
        <v>15460000</v>
      </c>
      <c r="I2507" s="5">
        <v>15760000</v>
      </c>
      <c r="J2507" s="5">
        <v>155100000</v>
      </c>
      <c r="K2507" s="5">
        <v>158100000</v>
      </c>
      <c r="L2507" s="3">
        <v>0.97916666666666663</v>
      </c>
    </row>
    <row r="2508" spans="1:12" x14ac:dyDescent="0.25">
      <c r="A2508" t="s">
        <v>1534</v>
      </c>
      <c r="B2508" s="2">
        <v>46013</v>
      </c>
      <c r="C2508" t="s">
        <v>16</v>
      </c>
      <c r="D2508" t="s">
        <v>1636</v>
      </c>
      <c r="E2508" s="5">
        <v>157600000</v>
      </c>
      <c r="F2508" s="5">
        <v>160600000</v>
      </c>
      <c r="G2508" s="5">
        <v>3000000</v>
      </c>
      <c r="H2508" s="5">
        <v>15760000</v>
      </c>
      <c r="I2508" s="5">
        <v>16060000</v>
      </c>
      <c r="J2508" s="5">
        <v>158100000</v>
      </c>
      <c r="K2508" s="5">
        <v>161100000</v>
      </c>
      <c r="L2508" s="3">
        <v>0.97916666666666663</v>
      </c>
    </row>
    <row r="2509" spans="1:12" x14ac:dyDescent="0.25">
      <c r="A2509" t="s">
        <v>1535</v>
      </c>
      <c r="B2509" s="2">
        <v>46014</v>
      </c>
      <c r="C2509" t="s">
        <v>18</v>
      </c>
      <c r="D2509" t="s">
        <v>1636</v>
      </c>
      <c r="E2509" s="5">
        <v>159000000</v>
      </c>
      <c r="F2509" s="5">
        <v>162000000</v>
      </c>
      <c r="G2509" s="5">
        <v>3000000</v>
      </c>
      <c r="H2509" s="5">
        <v>15900000</v>
      </c>
      <c r="I2509" s="5">
        <v>16200000</v>
      </c>
      <c r="J2509" s="5">
        <v>159500000</v>
      </c>
      <c r="K2509" s="5">
        <v>162500000</v>
      </c>
      <c r="L2509" s="3">
        <v>0.97916666666666663</v>
      </c>
    </row>
    <row r="2510" spans="1:12" x14ac:dyDescent="0.25">
      <c r="A2510" t="s">
        <v>1536</v>
      </c>
      <c r="B2510" s="2">
        <v>46015</v>
      </c>
      <c r="C2510" t="s">
        <v>19</v>
      </c>
      <c r="D2510" t="s">
        <v>1636</v>
      </c>
      <c r="E2510" s="5">
        <v>158900000</v>
      </c>
      <c r="F2510" s="5">
        <v>161900000</v>
      </c>
      <c r="G2510" s="5">
        <v>3000000</v>
      </c>
      <c r="H2510" s="5">
        <v>15890000</v>
      </c>
      <c r="I2510" s="5">
        <v>16190000</v>
      </c>
      <c r="J2510" s="5">
        <v>159400000</v>
      </c>
      <c r="K2510" s="5">
        <v>162400000</v>
      </c>
      <c r="L2510" s="3">
        <v>0.97916666666666663</v>
      </c>
    </row>
    <row r="2511" spans="1:12" x14ac:dyDescent="0.25">
      <c r="A2511" t="s">
        <v>1537</v>
      </c>
      <c r="B2511" s="2">
        <v>46017</v>
      </c>
      <c r="C2511" t="s">
        <v>21</v>
      </c>
      <c r="D2511" t="s">
        <v>1636</v>
      </c>
      <c r="E2511" s="5">
        <v>160700000</v>
      </c>
      <c r="F2511" s="5">
        <v>163700000</v>
      </c>
      <c r="G2511" s="5">
        <v>3000000</v>
      </c>
      <c r="H2511" s="5">
        <v>16070000</v>
      </c>
      <c r="I2511" s="5">
        <v>16370000</v>
      </c>
      <c r="J2511" s="5">
        <v>161200000</v>
      </c>
      <c r="K2511" s="5">
        <v>164200000</v>
      </c>
      <c r="L2511" s="3">
        <v>0.97916666666666663</v>
      </c>
    </row>
    <row r="2512" spans="1:12" x14ac:dyDescent="0.25">
      <c r="A2512" t="s">
        <v>1538</v>
      </c>
      <c r="B2512" s="2">
        <v>46020</v>
      </c>
      <c r="C2512" t="s">
        <v>16</v>
      </c>
      <c r="D2512" t="s">
        <v>1636</v>
      </c>
      <c r="E2512" s="5">
        <v>153300000</v>
      </c>
      <c r="F2512" s="5">
        <v>156300000</v>
      </c>
      <c r="G2512" s="5">
        <v>3000000</v>
      </c>
      <c r="H2512" s="5">
        <v>15330000</v>
      </c>
      <c r="I2512" s="5">
        <v>15630000</v>
      </c>
      <c r="J2512" s="5">
        <v>153800000</v>
      </c>
      <c r="K2512" s="5">
        <v>156800000</v>
      </c>
      <c r="L2512" s="3">
        <v>0.97916666666666663</v>
      </c>
    </row>
    <row r="2513" spans="1:12" x14ac:dyDescent="0.25">
      <c r="A2513" t="s">
        <v>1539</v>
      </c>
      <c r="B2513" s="2">
        <v>46021</v>
      </c>
      <c r="C2513" t="s">
        <v>18</v>
      </c>
      <c r="D2513" t="s">
        <v>1636</v>
      </c>
      <c r="E2513" s="5">
        <v>154900000</v>
      </c>
      <c r="F2513" s="5">
        <v>157900000</v>
      </c>
      <c r="G2513" s="5">
        <v>3000000</v>
      </c>
      <c r="H2513" s="5">
        <v>15490000</v>
      </c>
      <c r="I2513" s="5">
        <v>15790000</v>
      </c>
      <c r="J2513" s="5">
        <v>155400000</v>
      </c>
      <c r="K2513" s="5">
        <v>158400000</v>
      </c>
      <c r="L2513" s="3">
        <v>0.97916666666666663</v>
      </c>
    </row>
    <row r="2514" spans="1:12" x14ac:dyDescent="0.25">
      <c r="A2514" t="s">
        <v>1540</v>
      </c>
      <c r="B2514" s="2">
        <v>46022</v>
      </c>
      <c r="C2514" t="s">
        <v>19</v>
      </c>
      <c r="D2514" t="s">
        <v>1636</v>
      </c>
      <c r="E2514" s="5">
        <v>153300000</v>
      </c>
      <c r="F2514" s="5">
        <v>156300000</v>
      </c>
      <c r="G2514" s="5">
        <v>3000000</v>
      </c>
      <c r="H2514" s="5">
        <v>15330000</v>
      </c>
      <c r="I2514" s="5">
        <v>15630000</v>
      </c>
      <c r="J2514" s="5">
        <v>153800000</v>
      </c>
      <c r="K2514" s="5">
        <v>156800000</v>
      </c>
      <c r="L2514" s="3">
        <v>0.97916666666666663</v>
      </c>
    </row>
    <row r="2515" spans="1:12" x14ac:dyDescent="0.25">
      <c r="A2515" s="2">
        <v>46054</v>
      </c>
      <c r="B2515" s="2">
        <v>46024</v>
      </c>
      <c r="C2515" t="s">
        <v>21</v>
      </c>
      <c r="D2515" t="s">
        <v>1636</v>
      </c>
      <c r="E2515" s="5">
        <v>145900000</v>
      </c>
      <c r="F2515" s="5">
        <v>148900000</v>
      </c>
      <c r="G2515" s="5">
        <v>3000000</v>
      </c>
      <c r="H2515" s="5">
        <v>14590000</v>
      </c>
      <c r="I2515" s="5">
        <v>14890000</v>
      </c>
      <c r="J2515" s="5">
        <v>0</v>
      </c>
      <c r="K2515" s="5">
        <v>0</v>
      </c>
      <c r="L2515" s="3">
        <v>0.97916666666666663</v>
      </c>
    </row>
    <row r="2516" spans="1:12" x14ac:dyDescent="0.25">
      <c r="A2516" s="2">
        <v>46143</v>
      </c>
      <c r="B2516" s="2">
        <v>46027</v>
      </c>
      <c r="C2516" t="s">
        <v>16</v>
      </c>
      <c r="D2516" t="s">
        <v>1636</v>
      </c>
      <c r="E2516" s="5">
        <v>149900000</v>
      </c>
      <c r="F2516" s="5">
        <v>152900000</v>
      </c>
      <c r="G2516" s="5">
        <v>3000000</v>
      </c>
      <c r="H2516" s="5">
        <v>14990000</v>
      </c>
      <c r="I2516" s="5">
        <v>15290000</v>
      </c>
      <c r="J2516" s="5">
        <v>0</v>
      </c>
      <c r="K2516" s="5">
        <v>0</v>
      </c>
      <c r="L2516" s="3">
        <v>0.97916666666666663</v>
      </c>
    </row>
    <row r="2517" spans="1:12" x14ac:dyDescent="0.25">
      <c r="A2517" s="2">
        <v>46174</v>
      </c>
      <c r="B2517" s="2">
        <v>46028</v>
      </c>
      <c r="C2517" t="s">
        <v>18</v>
      </c>
      <c r="D2517" t="s">
        <v>1636</v>
      </c>
      <c r="E2517" s="5">
        <v>151000000</v>
      </c>
      <c r="F2517" s="5">
        <v>154000000</v>
      </c>
      <c r="G2517" s="5">
        <v>3000000</v>
      </c>
      <c r="H2517" s="5">
        <v>15100000</v>
      </c>
      <c r="I2517" s="5">
        <v>15400000</v>
      </c>
      <c r="J2517" s="5">
        <v>0</v>
      </c>
      <c r="K2517" s="5">
        <v>0</v>
      </c>
      <c r="L2517" s="3">
        <v>0.97916666666666663</v>
      </c>
    </row>
    <row r="2518" spans="1:12" x14ac:dyDescent="0.25">
      <c r="A2518" s="2">
        <v>46204</v>
      </c>
      <c r="B2518" s="2">
        <v>46029</v>
      </c>
      <c r="C2518" t="s">
        <v>19</v>
      </c>
      <c r="D2518" t="s">
        <v>1636</v>
      </c>
      <c r="E2518" s="5">
        <v>152100000</v>
      </c>
      <c r="F2518" s="5">
        <v>154600000</v>
      </c>
      <c r="G2518" s="5">
        <v>2500000</v>
      </c>
      <c r="H2518" s="5">
        <v>15210000</v>
      </c>
      <c r="I2518" s="5">
        <v>15460000</v>
      </c>
      <c r="J2518" s="5">
        <v>0</v>
      </c>
      <c r="K2518" s="5">
        <v>0</v>
      </c>
      <c r="L2518" s="3">
        <v>0.97916666666666663</v>
      </c>
    </row>
    <row r="2519" spans="1:12" x14ac:dyDescent="0.25">
      <c r="A2519" s="2">
        <v>46235</v>
      </c>
      <c r="B2519" s="2">
        <v>46030</v>
      </c>
      <c r="C2519" t="s">
        <v>20</v>
      </c>
      <c r="D2519" t="s">
        <v>1636</v>
      </c>
      <c r="E2519" s="5">
        <v>151900000</v>
      </c>
      <c r="F2519" s="5">
        <v>154400000</v>
      </c>
      <c r="G2519" s="5">
        <v>2500000</v>
      </c>
      <c r="H2519" s="5">
        <v>15190000</v>
      </c>
      <c r="I2519" s="5">
        <v>15440000</v>
      </c>
      <c r="J2519" s="5">
        <v>0</v>
      </c>
      <c r="K2519" s="5">
        <v>0</v>
      </c>
      <c r="L2519" s="3">
        <v>0.97916666666666663</v>
      </c>
    </row>
    <row r="2520" spans="1:12" x14ac:dyDescent="0.25">
      <c r="A2520" s="2">
        <v>46266</v>
      </c>
      <c r="B2520" s="2">
        <v>46031</v>
      </c>
      <c r="C2520" t="s">
        <v>21</v>
      </c>
      <c r="D2520" t="s">
        <v>1636</v>
      </c>
      <c r="E2520" s="5">
        <v>152800000</v>
      </c>
      <c r="F2520" s="5">
        <v>155300000</v>
      </c>
      <c r="G2520" s="5">
        <v>2500000</v>
      </c>
      <c r="H2520" s="5">
        <v>15280000</v>
      </c>
      <c r="I2520" s="5">
        <v>15530000</v>
      </c>
      <c r="J2520" s="5">
        <v>0</v>
      </c>
      <c r="K2520" s="5">
        <v>0</v>
      </c>
      <c r="L2520" s="3">
        <v>0.97916666666666663</v>
      </c>
    </row>
    <row r="2521" spans="1:12" x14ac:dyDescent="0.25">
      <c r="A2521" s="2">
        <v>46357</v>
      </c>
      <c r="B2521" s="2">
        <v>46034</v>
      </c>
      <c r="C2521" t="s">
        <v>16</v>
      </c>
      <c r="D2521" t="s">
        <v>1636</v>
      </c>
      <c r="E2521" s="5">
        <v>156500000</v>
      </c>
      <c r="F2521" s="5">
        <v>159000000</v>
      </c>
      <c r="G2521" s="5">
        <v>2500000</v>
      </c>
      <c r="H2521" s="5">
        <v>15650000</v>
      </c>
      <c r="I2521" s="5">
        <v>15900000</v>
      </c>
      <c r="J2521" s="5">
        <v>0</v>
      </c>
      <c r="K2521" s="5">
        <v>0</v>
      </c>
      <c r="L2521" s="3">
        <v>0.95833333333333337</v>
      </c>
    </row>
    <row r="2522" spans="1:12" x14ac:dyDescent="0.25">
      <c r="A2522" t="s">
        <v>1541</v>
      </c>
      <c r="B2522" s="2">
        <v>46035</v>
      </c>
      <c r="C2522" t="s">
        <v>18</v>
      </c>
      <c r="D2522" t="s">
        <v>1636</v>
      </c>
      <c r="E2522" s="5">
        <v>156500000</v>
      </c>
      <c r="F2522" s="5">
        <v>159000000</v>
      </c>
      <c r="G2522" s="5">
        <v>2500000</v>
      </c>
      <c r="H2522" s="5">
        <v>15650000</v>
      </c>
      <c r="I2522" s="5">
        <v>15900000</v>
      </c>
      <c r="J2522" s="5">
        <v>0</v>
      </c>
      <c r="K2522" s="5">
        <v>0</v>
      </c>
      <c r="L2522" s="3">
        <v>0.97916666666666663</v>
      </c>
    </row>
    <row r="2523" spans="1:12" x14ac:dyDescent="0.25">
      <c r="A2523" t="s">
        <v>1542</v>
      </c>
      <c r="B2523" s="2">
        <v>46036</v>
      </c>
      <c r="C2523" t="s">
        <v>19</v>
      </c>
      <c r="D2523" t="s">
        <v>1636</v>
      </c>
      <c r="E2523" s="5">
        <v>157900000</v>
      </c>
      <c r="F2523" s="5">
        <v>160400000</v>
      </c>
      <c r="G2523" s="5">
        <v>2500000</v>
      </c>
      <c r="H2523" s="5">
        <v>15790000</v>
      </c>
      <c r="I2523" s="5">
        <v>16040000</v>
      </c>
      <c r="J2523" s="5">
        <v>0</v>
      </c>
      <c r="K2523" s="5">
        <v>0</v>
      </c>
      <c r="L2523" s="3">
        <v>0.97916666666666663</v>
      </c>
    </row>
    <row r="2524" spans="1:12" x14ac:dyDescent="0.25">
      <c r="A2524" t="s">
        <v>1543</v>
      </c>
      <c r="B2524" s="2">
        <v>46037</v>
      </c>
      <c r="C2524" t="s">
        <v>20</v>
      </c>
      <c r="D2524" t="s">
        <v>1636</v>
      </c>
      <c r="E2524" s="5">
        <v>157200000</v>
      </c>
      <c r="F2524" s="5">
        <v>159700000</v>
      </c>
      <c r="G2524" s="5">
        <v>2500000</v>
      </c>
      <c r="H2524" s="5">
        <v>15720000</v>
      </c>
      <c r="I2524" s="5">
        <v>15970000</v>
      </c>
      <c r="J2524" s="5">
        <v>0</v>
      </c>
      <c r="K2524" s="5">
        <v>0</v>
      </c>
      <c r="L2524" s="3">
        <v>0.97916666666666663</v>
      </c>
    </row>
    <row r="2525" spans="1:12" x14ac:dyDescent="0.25">
      <c r="A2525" t="s">
        <v>1544</v>
      </c>
      <c r="B2525" s="2">
        <v>46038</v>
      </c>
      <c r="C2525" t="s">
        <v>21</v>
      </c>
      <c r="D2525" t="s">
        <v>1636</v>
      </c>
      <c r="E2525" s="5">
        <v>157200000</v>
      </c>
      <c r="F2525" s="5">
        <v>159700000</v>
      </c>
      <c r="G2525" s="5">
        <v>2500000</v>
      </c>
      <c r="H2525" s="5">
        <v>15720000</v>
      </c>
      <c r="I2525" s="5">
        <v>15970000</v>
      </c>
      <c r="J2525" s="5">
        <v>0</v>
      </c>
      <c r="K2525" s="5">
        <v>0</v>
      </c>
      <c r="L2525" s="3">
        <v>0.97916666666666663</v>
      </c>
    </row>
    <row r="2526" spans="1:12" x14ac:dyDescent="0.25">
      <c r="A2526" t="s">
        <v>1545</v>
      </c>
      <c r="B2526" s="2">
        <v>46042</v>
      </c>
      <c r="C2526" t="s">
        <v>18</v>
      </c>
      <c r="D2526" t="s">
        <v>1636</v>
      </c>
      <c r="E2526" s="5">
        <v>161000000</v>
      </c>
      <c r="F2526" s="5">
        <v>163500000</v>
      </c>
      <c r="G2526" s="5">
        <v>2500000</v>
      </c>
      <c r="H2526" s="5">
        <v>16100000</v>
      </c>
      <c r="I2526" s="5">
        <v>16350000</v>
      </c>
      <c r="J2526" s="5">
        <v>0</v>
      </c>
      <c r="K2526" s="5">
        <v>0</v>
      </c>
      <c r="L2526" s="3">
        <v>0.97916666666666663</v>
      </c>
    </row>
    <row r="2527" spans="1:12" x14ac:dyDescent="0.25">
      <c r="A2527" t="s">
        <v>1546</v>
      </c>
      <c r="B2527" s="2">
        <v>46043</v>
      </c>
      <c r="C2527" t="s">
        <v>19</v>
      </c>
      <c r="D2527" t="s">
        <v>1636</v>
      </c>
      <c r="E2527" s="5">
        <v>165900000</v>
      </c>
      <c r="F2527" s="5">
        <v>168400000</v>
      </c>
      <c r="G2527" s="5">
        <v>2500000</v>
      </c>
      <c r="H2527" s="5">
        <v>16590000</v>
      </c>
      <c r="I2527" s="5">
        <v>16840000</v>
      </c>
      <c r="J2527" s="5">
        <v>0</v>
      </c>
      <c r="K2527" s="5">
        <v>0</v>
      </c>
      <c r="L2527" s="3">
        <v>0.97916666666666663</v>
      </c>
    </row>
    <row r="2528" spans="1:12" x14ac:dyDescent="0.25">
      <c r="A2528" t="s">
        <v>1547</v>
      </c>
      <c r="B2528" s="2">
        <v>46044</v>
      </c>
      <c r="C2528" t="s">
        <v>20</v>
      </c>
      <c r="D2528" t="s">
        <v>1636</v>
      </c>
      <c r="E2528" s="5">
        <v>165200000</v>
      </c>
      <c r="F2528" s="5">
        <v>167700000</v>
      </c>
      <c r="G2528" s="5">
        <v>2500000</v>
      </c>
      <c r="H2528" s="5">
        <v>16520000</v>
      </c>
      <c r="I2528" s="5">
        <v>16770000</v>
      </c>
      <c r="J2528" s="5">
        <v>0</v>
      </c>
      <c r="K2528" s="5">
        <v>0</v>
      </c>
      <c r="L2528" s="3">
        <v>0.97916666666666663</v>
      </c>
    </row>
    <row r="2529" spans="1:12" x14ac:dyDescent="0.25">
      <c r="A2529" t="s">
        <v>1548</v>
      </c>
      <c r="B2529" s="2">
        <v>46045</v>
      </c>
      <c r="C2529" t="s">
        <v>21</v>
      </c>
      <c r="D2529" t="s">
        <v>1636</v>
      </c>
      <c r="E2529" s="5">
        <v>168300000</v>
      </c>
      <c r="F2529" s="5">
        <v>170800000</v>
      </c>
      <c r="G2529" s="5">
        <v>2500000</v>
      </c>
      <c r="H2529" s="5">
        <v>16830000</v>
      </c>
      <c r="I2529" s="5">
        <v>17080000</v>
      </c>
      <c r="J2529" s="5">
        <v>0</v>
      </c>
      <c r="K2529" s="5">
        <v>0</v>
      </c>
      <c r="L2529" s="3">
        <v>0.97916666666666663</v>
      </c>
    </row>
    <row r="2530" spans="1:12" x14ac:dyDescent="0.25">
      <c r="A2530" t="s">
        <v>1549</v>
      </c>
      <c r="B2530" s="2">
        <v>46048</v>
      </c>
      <c r="C2530" t="s">
        <v>16</v>
      </c>
      <c r="D2530" t="s">
        <v>1636</v>
      </c>
      <c r="E2530" s="5">
        <v>173500000</v>
      </c>
      <c r="F2530" s="5">
        <v>176000000</v>
      </c>
      <c r="G2530" s="5">
        <v>2500000</v>
      </c>
      <c r="H2530" s="5">
        <v>17350000</v>
      </c>
      <c r="I2530" s="5">
        <v>17600000</v>
      </c>
      <c r="J2530" s="5">
        <v>0</v>
      </c>
      <c r="K2530" s="5">
        <v>0</v>
      </c>
      <c r="L2530" s="3">
        <v>0.97916666666666663</v>
      </c>
    </row>
    <row r="2531" spans="1:12" x14ac:dyDescent="0.25">
      <c r="A2531" t="s">
        <v>1550</v>
      </c>
      <c r="B2531" s="2">
        <v>46049</v>
      </c>
      <c r="C2531" t="s">
        <v>18</v>
      </c>
      <c r="D2531" t="s">
        <v>1636</v>
      </c>
      <c r="E2531" s="5">
        <v>174100000</v>
      </c>
      <c r="F2531" s="5">
        <v>176600000</v>
      </c>
      <c r="G2531" s="5">
        <v>2500000</v>
      </c>
      <c r="H2531" s="5">
        <v>17410000</v>
      </c>
      <c r="I2531" s="5">
        <v>17660000</v>
      </c>
      <c r="J2531" s="5">
        <v>0</v>
      </c>
      <c r="K2531" s="5">
        <v>0</v>
      </c>
      <c r="L2531" s="3">
        <v>0.97916666666666663</v>
      </c>
    </row>
    <row r="2532" spans="1:12" x14ac:dyDescent="0.25">
      <c r="A2532" t="s">
        <v>1551</v>
      </c>
      <c r="B2532" s="2">
        <v>46050</v>
      </c>
      <c r="C2532" t="s">
        <v>19</v>
      </c>
      <c r="D2532" t="s">
        <v>1636</v>
      </c>
      <c r="E2532" s="5">
        <v>180700000</v>
      </c>
      <c r="F2532" s="5">
        <v>183700000</v>
      </c>
      <c r="G2532" s="5">
        <v>3000000</v>
      </c>
      <c r="H2532" s="5">
        <v>18070000</v>
      </c>
      <c r="I2532" s="5">
        <v>18370000</v>
      </c>
      <c r="J2532" s="5">
        <v>0</v>
      </c>
      <c r="K2532" s="5">
        <v>0</v>
      </c>
      <c r="L2532" s="3">
        <v>0.97916666666666663</v>
      </c>
    </row>
    <row r="2533" spans="1:12" x14ac:dyDescent="0.25">
      <c r="A2533" t="s">
        <v>1552</v>
      </c>
      <c r="B2533" s="2">
        <v>46051</v>
      </c>
      <c r="C2533" t="s">
        <v>20</v>
      </c>
      <c r="D2533" t="s">
        <v>1636</v>
      </c>
      <c r="E2533" s="5">
        <v>186300000</v>
      </c>
      <c r="F2533" s="5">
        <v>189300000</v>
      </c>
      <c r="G2533" s="5">
        <v>3000000</v>
      </c>
      <c r="H2533" s="5">
        <v>18630000</v>
      </c>
      <c r="I2533" s="5">
        <v>18930000</v>
      </c>
      <c r="J2533" s="5">
        <v>0</v>
      </c>
      <c r="K2533" s="5">
        <v>0</v>
      </c>
      <c r="L2533" s="3">
        <v>0.97916666666666663</v>
      </c>
    </row>
    <row r="2534" spans="1:12" x14ac:dyDescent="0.25">
      <c r="A2534" t="s">
        <v>1553</v>
      </c>
      <c r="B2534" s="2">
        <v>46052</v>
      </c>
      <c r="C2534" t="s">
        <v>21</v>
      </c>
      <c r="D2534" t="s">
        <v>1636</v>
      </c>
      <c r="E2534" s="5">
        <v>177000000</v>
      </c>
      <c r="F2534" s="5">
        <v>180000000</v>
      </c>
      <c r="G2534" s="5">
        <v>3000000</v>
      </c>
      <c r="H2534" s="5">
        <v>17700000</v>
      </c>
      <c r="I2534" s="5">
        <v>18000000</v>
      </c>
      <c r="J2534" s="5">
        <v>0</v>
      </c>
      <c r="K2534" s="5">
        <v>0</v>
      </c>
      <c r="L2534" s="3">
        <v>0.97916666666666663</v>
      </c>
    </row>
    <row r="2535" spans="1:12" x14ac:dyDescent="0.25">
      <c r="A2535" s="2">
        <v>46055</v>
      </c>
      <c r="B2535" s="2">
        <v>46055</v>
      </c>
      <c r="C2535" t="s">
        <v>16</v>
      </c>
      <c r="D2535" t="s">
        <v>1636</v>
      </c>
      <c r="E2535" s="5">
        <v>162500000</v>
      </c>
      <c r="F2535" s="5">
        <v>165500000</v>
      </c>
      <c r="G2535" s="5">
        <v>3000000</v>
      </c>
      <c r="H2535" s="5">
        <v>16250000</v>
      </c>
      <c r="I2535" s="5">
        <v>16550000</v>
      </c>
      <c r="J2535" s="5">
        <v>0</v>
      </c>
      <c r="K2535" s="5">
        <v>0</v>
      </c>
      <c r="L2535" s="3">
        <v>0.97916666666666663</v>
      </c>
    </row>
    <row r="2536" spans="1:12" x14ac:dyDescent="0.25">
      <c r="A2536" s="2">
        <v>46083</v>
      </c>
      <c r="B2536" s="2">
        <v>46056</v>
      </c>
      <c r="C2536" t="s">
        <v>18</v>
      </c>
      <c r="D2536" t="s">
        <v>1636</v>
      </c>
      <c r="E2536" s="5">
        <v>171500000</v>
      </c>
      <c r="F2536" s="5">
        <v>174500000</v>
      </c>
      <c r="G2536" s="5">
        <v>3000000</v>
      </c>
      <c r="H2536" s="5">
        <v>17150000</v>
      </c>
      <c r="I2536" s="5">
        <v>17450000</v>
      </c>
      <c r="J2536" s="5">
        <v>0</v>
      </c>
      <c r="K2536" s="5">
        <v>0</v>
      </c>
      <c r="L2536" s="3">
        <v>0.97916666666666663</v>
      </c>
    </row>
    <row r="2537" spans="1:12" x14ac:dyDescent="0.25">
      <c r="A2537" s="2">
        <v>46114</v>
      </c>
      <c r="B2537" s="2">
        <v>46057</v>
      </c>
      <c r="C2537" t="s">
        <v>19</v>
      </c>
      <c r="D2537" t="s">
        <v>1636</v>
      </c>
      <c r="E2537" s="5">
        <v>176700000</v>
      </c>
      <c r="F2537" s="5">
        <v>179700000</v>
      </c>
      <c r="G2537" s="5">
        <v>3000000</v>
      </c>
      <c r="H2537" s="5">
        <v>17670000</v>
      </c>
      <c r="I2537" s="5">
        <v>17970000</v>
      </c>
      <c r="J2537" s="5">
        <v>0</v>
      </c>
      <c r="K2537" s="5">
        <v>0</v>
      </c>
      <c r="L2537" s="3">
        <v>0.97916666666666663</v>
      </c>
    </row>
    <row r="2538" spans="1:12" x14ac:dyDescent="0.25">
      <c r="A2538" s="2">
        <v>46144</v>
      </c>
      <c r="B2538" s="2">
        <v>46058</v>
      </c>
      <c r="C2538" t="s">
        <v>20</v>
      </c>
      <c r="D2538" t="s">
        <v>1636</v>
      </c>
      <c r="E2538" s="5">
        <v>171500000</v>
      </c>
      <c r="F2538" s="5">
        <v>174500000</v>
      </c>
      <c r="G2538" s="5">
        <v>3000000</v>
      </c>
      <c r="H2538" s="5">
        <v>17150000</v>
      </c>
      <c r="I2538" s="5">
        <v>17450000</v>
      </c>
      <c r="J2538" s="5">
        <v>0</v>
      </c>
      <c r="K2538" s="5">
        <v>0</v>
      </c>
      <c r="L2538" s="3">
        <v>0.97916666666666663</v>
      </c>
    </row>
    <row r="2539" spans="1:12" x14ac:dyDescent="0.25">
      <c r="A2539" s="2">
        <v>46175</v>
      </c>
      <c r="B2539" s="2">
        <v>46059</v>
      </c>
      <c r="C2539" t="s">
        <v>21</v>
      </c>
      <c r="D2539" t="s">
        <v>1636</v>
      </c>
      <c r="E2539" s="5">
        <v>173000000</v>
      </c>
      <c r="F2539" s="5">
        <v>176000000</v>
      </c>
      <c r="G2539" s="5">
        <v>3000000</v>
      </c>
      <c r="H2539" s="5">
        <v>17300000</v>
      </c>
      <c r="I2539" s="5">
        <v>17600000</v>
      </c>
      <c r="J2539" s="5">
        <v>0</v>
      </c>
      <c r="K2539" s="5">
        <v>0</v>
      </c>
      <c r="L2539" s="3">
        <v>0.97916666666666663</v>
      </c>
    </row>
    <row r="2540" spans="1:12" x14ac:dyDescent="0.25">
      <c r="A2540" s="2">
        <v>46267</v>
      </c>
      <c r="B2540" s="2">
        <v>46062</v>
      </c>
      <c r="C2540" t="s">
        <v>16</v>
      </c>
      <c r="D2540" t="s">
        <v>1636</v>
      </c>
      <c r="E2540" s="5">
        <v>176900000</v>
      </c>
      <c r="F2540" s="5">
        <v>179900000</v>
      </c>
      <c r="G2540" s="5">
        <v>3000000</v>
      </c>
      <c r="H2540" s="5">
        <v>17690000</v>
      </c>
      <c r="I2540" s="5">
        <v>17990000</v>
      </c>
      <c r="J2540" s="5">
        <v>0</v>
      </c>
      <c r="K2540" s="5">
        <v>0</v>
      </c>
      <c r="L2540" s="3">
        <v>0.97916666666666663</v>
      </c>
    </row>
    <row r="2541" spans="1:12" x14ac:dyDescent="0.25">
      <c r="A2541" s="2">
        <v>46297</v>
      </c>
      <c r="B2541" s="2">
        <v>46063</v>
      </c>
      <c r="C2541" t="s">
        <v>18</v>
      </c>
      <c r="D2541" t="s">
        <v>1636</v>
      </c>
      <c r="E2541" s="5">
        <v>177500000</v>
      </c>
      <c r="F2541" s="5">
        <v>180500000</v>
      </c>
      <c r="G2541" s="5">
        <v>3000000</v>
      </c>
      <c r="H2541" s="5">
        <v>17750000</v>
      </c>
      <c r="I2541" s="5">
        <v>18050000</v>
      </c>
      <c r="J2541" s="5">
        <v>0</v>
      </c>
      <c r="K2541" s="5">
        <v>0</v>
      </c>
      <c r="L2541" s="3">
        <v>0.97916666666666663</v>
      </c>
    </row>
    <row r="2542" spans="1:12" x14ac:dyDescent="0.25">
      <c r="A2542" s="2">
        <v>46328</v>
      </c>
      <c r="B2542" s="2">
        <v>46064</v>
      </c>
      <c r="C2542" t="s">
        <v>19</v>
      </c>
      <c r="D2542" t="s">
        <v>1636</v>
      </c>
      <c r="E2542" s="5">
        <v>177500000</v>
      </c>
      <c r="F2542" s="5">
        <v>180500000</v>
      </c>
      <c r="G2542" s="5">
        <v>3000000</v>
      </c>
      <c r="H2542" s="5">
        <v>17750000</v>
      </c>
      <c r="I2542" s="5">
        <v>18050000</v>
      </c>
      <c r="J2542" s="5">
        <v>0</v>
      </c>
      <c r="K2542" s="5">
        <v>0</v>
      </c>
      <c r="L2542" s="3">
        <v>0.97916666666666663</v>
      </c>
    </row>
    <row r="2543" spans="1:12" x14ac:dyDescent="0.25">
      <c r="A2543" s="2">
        <v>46358</v>
      </c>
      <c r="B2543" s="2">
        <v>46065</v>
      </c>
      <c r="C2543" t="s">
        <v>20</v>
      </c>
      <c r="D2543" t="s">
        <v>1636</v>
      </c>
      <c r="E2543" s="5">
        <v>177500000</v>
      </c>
      <c r="F2543" s="5">
        <v>180500000</v>
      </c>
      <c r="G2543" s="5">
        <v>3000000</v>
      </c>
      <c r="H2543" s="5">
        <v>17750000</v>
      </c>
      <c r="I2543" s="5">
        <v>18050000</v>
      </c>
      <c r="J2543" s="5">
        <v>0</v>
      </c>
      <c r="K2543" s="5">
        <v>0</v>
      </c>
      <c r="L2543" s="3">
        <v>0.97916666666666663</v>
      </c>
    </row>
    <row r="2544" spans="1:12" x14ac:dyDescent="0.25">
      <c r="A2544" t="s">
        <v>1554</v>
      </c>
      <c r="B2544" s="2">
        <v>46066</v>
      </c>
      <c r="C2544" t="s">
        <v>21</v>
      </c>
      <c r="D2544" t="s">
        <v>1636</v>
      </c>
      <c r="E2544" s="5">
        <v>175500000</v>
      </c>
      <c r="F2544" s="5">
        <v>178500000</v>
      </c>
      <c r="G2544" s="5">
        <v>3000000</v>
      </c>
      <c r="H2544" s="5">
        <v>17550000</v>
      </c>
      <c r="I2544" s="5">
        <v>17850000</v>
      </c>
      <c r="J2544" s="5">
        <v>0</v>
      </c>
      <c r="K2544" s="5">
        <v>0</v>
      </c>
      <c r="L2544" s="3">
        <v>0.97916666666666663</v>
      </c>
    </row>
    <row r="2545" spans="1:12" x14ac:dyDescent="0.25">
      <c r="A2545" t="s">
        <v>1555</v>
      </c>
      <c r="B2545" s="2">
        <v>46070</v>
      </c>
      <c r="C2545" t="s">
        <v>18</v>
      </c>
      <c r="D2545" t="s">
        <v>1636</v>
      </c>
      <c r="E2545" s="5">
        <v>177500000</v>
      </c>
      <c r="F2545" s="5">
        <v>180500000</v>
      </c>
      <c r="G2545" s="5">
        <v>3000000</v>
      </c>
      <c r="H2545" s="5">
        <v>17750000</v>
      </c>
      <c r="I2545" s="5">
        <v>18050000</v>
      </c>
      <c r="J2545" s="5">
        <v>0</v>
      </c>
      <c r="K2545" s="5">
        <v>0</v>
      </c>
      <c r="L2545" s="3">
        <v>0.97916666666666663</v>
      </c>
    </row>
    <row r="2546" spans="1:12" x14ac:dyDescent="0.25">
      <c r="A2546" t="s">
        <v>1556</v>
      </c>
      <c r="B2546" s="2">
        <v>46071</v>
      </c>
      <c r="C2546" t="s">
        <v>19</v>
      </c>
      <c r="D2546" t="s">
        <v>1636</v>
      </c>
      <c r="E2546" s="5">
        <v>177500000</v>
      </c>
      <c r="F2546" s="5">
        <v>180500000</v>
      </c>
      <c r="G2546" s="5">
        <v>3000000</v>
      </c>
      <c r="H2546" s="5">
        <v>17750000</v>
      </c>
      <c r="I2546" s="5">
        <v>18050000</v>
      </c>
      <c r="J2546" s="5">
        <v>0</v>
      </c>
      <c r="K2546" s="5">
        <v>0</v>
      </c>
      <c r="L2546" s="3">
        <v>0.97916666666666663</v>
      </c>
    </row>
    <row r="2547" spans="1:12" x14ac:dyDescent="0.25">
      <c r="A2547" t="s">
        <v>1557</v>
      </c>
      <c r="B2547" s="2">
        <v>46072</v>
      </c>
      <c r="C2547" t="s">
        <v>20</v>
      </c>
      <c r="D2547" t="s">
        <v>1636</v>
      </c>
      <c r="E2547" s="5">
        <v>177500000</v>
      </c>
      <c r="F2547" s="5">
        <v>180500000</v>
      </c>
      <c r="G2547" s="5">
        <v>3000000</v>
      </c>
      <c r="H2547" s="5">
        <v>17750000</v>
      </c>
      <c r="I2547" s="5">
        <v>18050000</v>
      </c>
      <c r="J2547" s="5">
        <v>0</v>
      </c>
      <c r="K2547" s="5">
        <v>0</v>
      </c>
      <c r="L2547" s="3">
        <v>0.97916666666666663</v>
      </c>
    </row>
    <row r="2548" spans="1:12" x14ac:dyDescent="0.25">
      <c r="A2548" t="s">
        <v>1558</v>
      </c>
      <c r="B2548" s="2">
        <v>46073</v>
      </c>
      <c r="C2548" t="s">
        <v>21</v>
      </c>
      <c r="D2548" t="s">
        <v>1636</v>
      </c>
      <c r="E2548" s="5">
        <v>177500000</v>
      </c>
      <c r="F2548" s="5">
        <v>180500000</v>
      </c>
      <c r="G2548" s="5">
        <v>3000000</v>
      </c>
      <c r="H2548" s="5">
        <v>17750000</v>
      </c>
      <c r="I2548" s="5">
        <v>18050000</v>
      </c>
      <c r="J2548" s="5">
        <v>0</v>
      </c>
      <c r="K2548" s="5">
        <v>0</v>
      </c>
      <c r="L2548" s="3">
        <v>0.97916666666666663</v>
      </c>
    </row>
    <row r="2549" spans="1:12" x14ac:dyDescent="0.25">
      <c r="A2549" t="s">
        <v>1559</v>
      </c>
      <c r="B2549" s="2">
        <v>46076</v>
      </c>
      <c r="C2549" t="s">
        <v>16</v>
      </c>
      <c r="D2549" t="s">
        <v>1636</v>
      </c>
      <c r="E2549" s="5">
        <v>181100000</v>
      </c>
      <c r="F2549" s="5">
        <v>184100000</v>
      </c>
      <c r="G2549" s="5">
        <v>3000000</v>
      </c>
      <c r="H2549" s="5">
        <v>18110000</v>
      </c>
      <c r="I2549" s="5">
        <v>18410000</v>
      </c>
      <c r="J2549" s="5">
        <v>0</v>
      </c>
      <c r="K2549" s="5">
        <v>0</v>
      </c>
      <c r="L2549" s="3">
        <v>0.97916666666666663</v>
      </c>
    </row>
    <row r="2550" spans="1:12" x14ac:dyDescent="0.25">
      <c r="A2550" t="s">
        <v>1560</v>
      </c>
      <c r="B2550" s="2">
        <v>46077</v>
      </c>
      <c r="C2550" t="s">
        <v>18</v>
      </c>
      <c r="D2550" t="s">
        <v>1636</v>
      </c>
      <c r="E2550" s="5">
        <v>181100000</v>
      </c>
      <c r="F2550" s="5">
        <v>184100000</v>
      </c>
      <c r="G2550" s="5">
        <v>3000000</v>
      </c>
      <c r="H2550" s="5">
        <v>18110000</v>
      </c>
      <c r="I2550" s="5">
        <v>18410000</v>
      </c>
      <c r="J2550" s="5">
        <v>0</v>
      </c>
      <c r="K2550" s="5">
        <v>0</v>
      </c>
      <c r="L2550" s="3">
        <v>0.97916666666666663</v>
      </c>
    </row>
    <row r="2551" spans="1:12" x14ac:dyDescent="0.25">
      <c r="A2551" t="s">
        <v>1561</v>
      </c>
      <c r="B2551" s="2">
        <v>46078</v>
      </c>
      <c r="C2551" t="s">
        <v>19</v>
      </c>
      <c r="D2551" t="s">
        <v>1636</v>
      </c>
      <c r="E2551" s="5">
        <v>181800000</v>
      </c>
      <c r="F2551" s="5">
        <v>184800000</v>
      </c>
      <c r="G2551" s="5">
        <v>3000000</v>
      </c>
      <c r="H2551" s="5">
        <v>18180000</v>
      </c>
      <c r="I2551" s="5">
        <v>18480000</v>
      </c>
      <c r="J2551" s="5">
        <v>0</v>
      </c>
      <c r="K2551" s="5">
        <v>0</v>
      </c>
      <c r="L2551" s="3">
        <v>0.97916666666666663</v>
      </c>
    </row>
    <row r="2552" spans="1:12" x14ac:dyDescent="0.25">
      <c r="A2552" t="s">
        <v>1562</v>
      </c>
      <c r="B2552" s="2">
        <v>46079</v>
      </c>
      <c r="C2552" t="s">
        <v>20</v>
      </c>
      <c r="D2552" t="s">
        <v>1636</v>
      </c>
      <c r="E2552" s="5">
        <v>181000000</v>
      </c>
      <c r="F2552" s="5">
        <v>184000000</v>
      </c>
      <c r="G2552" s="5">
        <v>3000000</v>
      </c>
      <c r="H2552" s="5">
        <v>18100000</v>
      </c>
      <c r="I2552" s="5">
        <v>18400000</v>
      </c>
      <c r="J2552" s="5">
        <v>0</v>
      </c>
      <c r="K2552" s="5">
        <v>0</v>
      </c>
      <c r="L2552" s="3">
        <v>0.97916666666666663</v>
      </c>
    </row>
    <row r="2553" spans="1:12" x14ac:dyDescent="0.25">
      <c r="A2553" t="s">
        <v>1563</v>
      </c>
      <c r="B2553" s="2">
        <v>46080</v>
      </c>
      <c r="C2553" t="s">
        <v>21</v>
      </c>
      <c r="D2553" t="s">
        <v>1636</v>
      </c>
      <c r="E2553" s="5">
        <v>180800000</v>
      </c>
      <c r="F2553" s="5">
        <v>183800000</v>
      </c>
      <c r="G2553" s="5">
        <v>3000000</v>
      </c>
      <c r="H2553" s="5">
        <v>18080000</v>
      </c>
      <c r="I2553" s="5">
        <v>18380000</v>
      </c>
      <c r="J2553" s="5">
        <v>0</v>
      </c>
      <c r="K2553" s="5">
        <v>0</v>
      </c>
      <c r="L2553" s="3">
        <v>0.97916666666666663</v>
      </c>
    </row>
    <row r="2554" spans="1:12" x14ac:dyDescent="0.25">
      <c r="A2554" s="2">
        <v>46056</v>
      </c>
      <c r="B2554" s="2">
        <v>46083</v>
      </c>
      <c r="C2554" t="s">
        <v>16</v>
      </c>
      <c r="D2554" t="s">
        <v>1636</v>
      </c>
      <c r="E2554" s="5">
        <v>186400000</v>
      </c>
      <c r="F2554" s="5">
        <v>189400000</v>
      </c>
      <c r="G2554" s="5">
        <v>3000000</v>
      </c>
      <c r="H2554" s="5">
        <v>18640000</v>
      </c>
      <c r="I2554" s="5">
        <v>18940000</v>
      </c>
      <c r="J2554" s="5">
        <v>0</v>
      </c>
      <c r="K2554" s="5">
        <v>0</v>
      </c>
      <c r="L2554" s="3">
        <v>0.97916666666666663</v>
      </c>
    </row>
    <row r="2555" spans="1:12" x14ac:dyDescent="0.25">
      <c r="A2555" s="2">
        <v>46084</v>
      </c>
      <c r="B2555" s="2">
        <v>46084</v>
      </c>
      <c r="C2555" t="s">
        <v>18</v>
      </c>
      <c r="D2555" t="s">
        <v>1636</v>
      </c>
      <c r="E2555" s="5">
        <v>184900000</v>
      </c>
      <c r="F2555" s="5">
        <v>187900000</v>
      </c>
      <c r="G2555" s="5">
        <v>3000000</v>
      </c>
      <c r="H2555" s="5">
        <v>18490000</v>
      </c>
      <c r="I2555" s="5">
        <v>18790000</v>
      </c>
      <c r="J2555" s="5">
        <v>0</v>
      </c>
      <c r="K2555" s="5">
        <v>0</v>
      </c>
      <c r="L2555" s="3">
        <v>0.97916666666666663</v>
      </c>
    </row>
    <row r="2556" spans="1:12" x14ac:dyDescent="0.25">
      <c r="A2556" s="2">
        <v>46115</v>
      </c>
      <c r="B2556" s="2">
        <v>46085</v>
      </c>
      <c r="C2556" t="s">
        <v>19</v>
      </c>
      <c r="D2556" t="s">
        <v>1636</v>
      </c>
      <c r="E2556" s="5">
        <v>180900000</v>
      </c>
      <c r="F2556" s="5">
        <v>183900000</v>
      </c>
      <c r="G2556" s="5">
        <v>3000000</v>
      </c>
      <c r="H2556" s="5">
        <v>18090000</v>
      </c>
      <c r="I2556" s="5">
        <v>18390000</v>
      </c>
      <c r="J2556" s="5">
        <v>0</v>
      </c>
      <c r="K2556" s="5">
        <v>0</v>
      </c>
      <c r="L2556" s="3">
        <v>0.97916666666666663</v>
      </c>
    </row>
    <row r="2557" spans="1:12" x14ac:dyDescent="0.25">
      <c r="A2557" s="2">
        <v>46145</v>
      </c>
      <c r="B2557" s="2">
        <v>46086</v>
      </c>
      <c r="C2557" t="s">
        <v>20</v>
      </c>
      <c r="D2557" t="s">
        <v>1636</v>
      </c>
      <c r="E2557" s="5">
        <v>181400000</v>
      </c>
      <c r="F2557" s="5">
        <v>184400000</v>
      </c>
      <c r="G2557" s="5">
        <v>3000000</v>
      </c>
      <c r="H2557" s="5">
        <v>18140000</v>
      </c>
      <c r="I2557" s="5">
        <v>18440000</v>
      </c>
      <c r="J2557" s="5">
        <v>0</v>
      </c>
      <c r="K2557" s="5">
        <v>0</v>
      </c>
      <c r="L2557" s="3">
        <v>0.97916666666666663</v>
      </c>
    </row>
    <row r="2558" spans="1:12" x14ac:dyDescent="0.25">
      <c r="A2558" s="2">
        <v>46176</v>
      </c>
      <c r="B2558" s="2">
        <v>46087</v>
      </c>
      <c r="C2558" t="s">
        <v>21</v>
      </c>
      <c r="D2558" t="s">
        <v>1636</v>
      </c>
      <c r="E2558" s="5">
        <v>180500000</v>
      </c>
      <c r="F2558" s="5">
        <v>183500000</v>
      </c>
      <c r="G2558" s="5">
        <v>3000000</v>
      </c>
      <c r="H2558" s="5">
        <v>18050000</v>
      </c>
      <c r="I2558" s="5">
        <v>18350000</v>
      </c>
      <c r="J2558" s="5">
        <v>0</v>
      </c>
      <c r="K2558" s="5">
        <v>0</v>
      </c>
      <c r="L2558" s="3">
        <v>0.97916666666666663</v>
      </c>
    </row>
    <row r="2559" spans="1:12" x14ac:dyDescent="0.25">
      <c r="A2559" s="2">
        <v>46268</v>
      </c>
      <c r="B2559" s="2">
        <v>46090</v>
      </c>
      <c r="C2559" t="s">
        <v>16</v>
      </c>
      <c r="D2559" t="s">
        <v>1636</v>
      </c>
      <c r="E2559" s="5">
        <v>180800000</v>
      </c>
      <c r="F2559" s="5">
        <v>183800000</v>
      </c>
      <c r="G2559" s="5">
        <v>3000000</v>
      </c>
      <c r="H2559" s="5">
        <v>18080000</v>
      </c>
      <c r="I2559" s="5">
        <v>18380000</v>
      </c>
      <c r="J2559" s="5">
        <v>0</v>
      </c>
      <c r="K2559" s="5">
        <v>0</v>
      </c>
      <c r="L2559" s="3">
        <v>0.97916666666666663</v>
      </c>
    </row>
    <row r="2560" spans="1:12" x14ac:dyDescent="0.25">
      <c r="A2560" s="2">
        <v>46298</v>
      </c>
      <c r="B2560" s="2">
        <v>46091</v>
      </c>
      <c r="C2560" t="s">
        <v>18</v>
      </c>
      <c r="D2560" t="s">
        <v>1636</v>
      </c>
      <c r="E2560" s="5">
        <v>182800000</v>
      </c>
      <c r="F2560" s="5">
        <v>185800000</v>
      </c>
      <c r="G2560" s="5">
        <v>3000000</v>
      </c>
      <c r="H2560" s="5">
        <v>18280000</v>
      </c>
      <c r="I2560" s="5">
        <v>18580000</v>
      </c>
      <c r="J2560" s="5">
        <v>0</v>
      </c>
      <c r="K2560" s="5">
        <v>0</v>
      </c>
      <c r="L2560" s="3">
        <v>0.97916666666666663</v>
      </c>
    </row>
    <row r="2561" spans="1:12" x14ac:dyDescent="0.25">
      <c r="A2561" s="2">
        <v>46329</v>
      </c>
      <c r="B2561" s="2">
        <v>46092</v>
      </c>
      <c r="C2561" t="s">
        <v>19</v>
      </c>
      <c r="D2561" t="s">
        <v>1636</v>
      </c>
      <c r="E2561" s="5">
        <v>183900000</v>
      </c>
      <c r="F2561" s="5">
        <v>186900000</v>
      </c>
      <c r="G2561" s="5">
        <v>3000000</v>
      </c>
      <c r="H2561" s="5">
        <v>18390000</v>
      </c>
      <c r="I2561" s="5">
        <v>18690000</v>
      </c>
      <c r="J2561" s="5">
        <v>0</v>
      </c>
      <c r="K2561" s="5">
        <v>0</v>
      </c>
      <c r="L2561" s="3">
        <v>0.97916666666666663</v>
      </c>
    </row>
    <row r="2562" spans="1:12" x14ac:dyDescent="0.25">
      <c r="A2562" s="2">
        <v>46359</v>
      </c>
      <c r="B2562" s="2">
        <v>46093</v>
      </c>
      <c r="C2562" t="s">
        <v>20</v>
      </c>
      <c r="D2562" t="s">
        <v>1636</v>
      </c>
      <c r="E2562" s="5">
        <v>183000000</v>
      </c>
      <c r="F2562" s="5">
        <v>186000000</v>
      </c>
      <c r="G2562" s="5">
        <v>3000000</v>
      </c>
      <c r="H2562" s="5">
        <v>18300000</v>
      </c>
      <c r="I2562" s="5">
        <v>18600000</v>
      </c>
      <c r="J2562" s="5">
        <v>0</v>
      </c>
      <c r="K2562" s="5">
        <v>0</v>
      </c>
      <c r="L2562" s="3">
        <v>0.97916666666666663</v>
      </c>
    </row>
    <row r="2563" spans="1:12" x14ac:dyDescent="0.25">
      <c r="A2563" t="s">
        <v>1564</v>
      </c>
      <c r="B2563" s="2">
        <v>46094</v>
      </c>
      <c r="C2563" t="s">
        <v>21</v>
      </c>
      <c r="D2563" t="s">
        <v>1636</v>
      </c>
      <c r="E2563" s="5">
        <v>181500000</v>
      </c>
      <c r="F2563" s="5">
        <v>184500000</v>
      </c>
      <c r="G2563" s="5">
        <v>3000000</v>
      </c>
      <c r="H2563" s="5">
        <v>18150000</v>
      </c>
      <c r="I2563" s="5">
        <v>18450000</v>
      </c>
      <c r="J2563" s="5">
        <v>0</v>
      </c>
      <c r="K2563" s="5">
        <v>0</v>
      </c>
      <c r="L2563" s="3">
        <v>0.97916666666666663</v>
      </c>
    </row>
    <row r="2564" spans="1:12" x14ac:dyDescent="0.25">
      <c r="A2564" t="s">
        <v>1565</v>
      </c>
      <c r="B2564" s="2">
        <v>46097</v>
      </c>
      <c r="C2564" t="s">
        <v>16</v>
      </c>
      <c r="D2564" t="s">
        <v>1636</v>
      </c>
      <c r="E2564" s="5">
        <v>179800000</v>
      </c>
      <c r="F2564" s="5">
        <v>182800000</v>
      </c>
      <c r="G2564" s="5">
        <v>3000000</v>
      </c>
      <c r="H2564" s="5">
        <v>17980000</v>
      </c>
      <c r="I2564" s="5">
        <v>18280000</v>
      </c>
      <c r="J2564" s="5">
        <v>0</v>
      </c>
      <c r="K2564" s="5">
        <v>0</v>
      </c>
      <c r="L2564" s="3">
        <v>0.97916666666666663</v>
      </c>
    </row>
    <row r="2565" spans="1:12" x14ac:dyDescent="0.25">
      <c r="A2565" t="s">
        <v>1566</v>
      </c>
      <c r="B2565" s="2">
        <v>46098</v>
      </c>
      <c r="C2565" t="s">
        <v>18</v>
      </c>
      <c r="D2565" t="s">
        <v>1636</v>
      </c>
      <c r="E2565" s="5">
        <v>179700000</v>
      </c>
      <c r="F2565" s="5">
        <v>182700000</v>
      </c>
      <c r="G2565" s="5">
        <v>3000000</v>
      </c>
      <c r="H2565" s="5">
        <v>17970000</v>
      </c>
      <c r="I2565" s="5">
        <v>18270000</v>
      </c>
      <c r="J2565" s="5">
        <v>0</v>
      </c>
      <c r="K2565" s="5">
        <v>0</v>
      </c>
      <c r="L2565" s="3">
        <v>0.97916666666666663</v>
      </c>
    </row>
    <row r="2566" spans="1:12" x14ac:dyDescent="0.25">
      <c r="A2566" t="s">
        <v>1567</v>
      </c>
      <c r="B2566" s="2">
        <v>46099</v>
      </c>
      <c r="C2566" t="s">
        <v>19</v>
      </c>
      <c r="D2566" t="s">
        <v>1636</v>
      </c>
      <c r="E2566" s="5">
        <v>179700000</v>
      </c>
      <c r="F2566" s="5">
        <v>182700000</v>
      </c>
      <c r="G2566" s="5">
        <v>3000000</v>
      </c>
      <c r="H2566" s="5">
        <v>17970000</v>
      </c>
      <c r="I2566" s="5">
        <v>18270000</v>
      </c>
      <c r="J2566" s="5">
        <v>0</v>
      </c>
      <c r="K2566" s="5">
        <v>0</v>
      </c>
      <c r="L2566" s="3">
        <v>0.97916666666666663</v>
      </c>
    </row>
    <row r="2567" spans="1:12" x14ac:dyDescent="0.25">
      <c r="A2567" t="s">
        <v>1568</v>
      </c>
      <c r="B2567" s="2">
        <v>46100</v>
      </c>
      <c r="C2567" t="s">
        <v>20</v>
      </c>
      <c r="D2567" t="s">
        <v>1636</v>
      </c>
      <c r="E2567" s="5">
        <v>172200000</v>
      </c>
      <c r="F2567" s="5">
        <v>175200000</v>
      </c>
      <c r="G2567" s="5">
        <v>3000000</v>
      </c>
      <c r="H2567" s="5">
        <v>17220000</v>
      </c>
      <c r="I2567" s="5">
        <v>17520000</v>
      </c>
      <c r="J2567" s="5">
        <v>0</v>
      </c>
      <c r="K2567" s="5">
        <v>0</v>
      </c>
      <c r="L2567" s="3">
        <v>0.97916666666666663</v>
      </c>
    </row>
    <row r="2568" spans="1:12" x14ac:dyDescent="0.25">
      <c r="A2568" t="s">
        <v>1569</v>
      </c>
      <c r="B2568" s="2">
        <v>46101</v>
      </c>
      <c r="C2568" t="s">
        <v>21</v>
      </c>
      <c r="D2568" t="s">
        <v>1636</v>
      </c>
      <c r="E2568" s="5">
        <v>172800000</v>
      </c>
      <c r="F2568" s="5">
        <v>175800000</v>
      </c>
      <c r="G2568" s="5">
        <v>3000000</v>
      </c>
      <c r="H2568" s="5">
        <v>17280000</v>
      </c>
      <c r="I2568" s="5">
        <v>17580000</v>
      </c>
      <c r="J2568" s="5">
        <v>0</v>
      </c>
      <c r="K2568" s="5">
        <v>0</v>
      </c>
      <c r="L2568" s="3">
        <v>0.97916666666666663</v>
      </c>
    </row>
    <row r="2569" spans="1:12" x14ac:dyDescent="0.25">
      <c r="A2569" t="s">
        <v>1570</v>
      </c>
      <c r="B2569" s="2">
        <v>46104</v>
      </c>
      <c r="C2569" t="s">
        <v>16</v>
      </c>
      <c r="D2569" t="s">
        <v>1636</v>
      </c>
      <c r="E2569" s="5">
        <v>162800000</v>
      </c>
      <c r="F2569" s="5">
        <v>165800000</v>
      </c>
      <c r="G2569" s="5">
        <v>3000000</v>
      </c>
      <c r="H2569" s="5">
        <v>16280000</v>
      </c>
      <c r="I2569" s="5">
        <v>16580000</v>
      </c>
      <c r="J2569" s="5">
        <v>0</v>
      </c>
      <c r="K2569" s="5">
        <v>0</v>
      </c>
      <c r="L2569" s="3">
        <v>0.97916666666666663</v>
      </c>
    </row>
    <row r="2570" spans="1:12" x14ac:dyDescent="0.25">
      <c r="A2570" t="s">
        <v>1571</v>
      </c>
      <c r="B2570" s="2">
        <v>46105</v>
      </c>
      <c r="C2570" t="s">
        <v>18</v>
      </c>
      <c r="D2570" t="s">
        <v>1636</v>
      </c>
      <c r="E2570" s="5">
        <v>167000000</v>
      </c>
      <c r="F2570" s="5">
        <v>170000000</v>
      </c>
      <c r="G2570" s="5">
        <v>3000000</v>
      </c>
      <c r="H2570" s="5">
        <v>16700000</v>
      </c>
      <c r="I2570" s="5">
        <v>17000000</v>
      </c>
      <c r="J2570" s="5">
        <v>0</v>
      </c>
      <c r="K2570" s="5">
        <v>0</v>
      </c>
      <c r="L2570" s="3">
        <v>0.97916666666666663</v>
      </c>
    </row>
    <row r="2571" spans="1:12" x14ac:dyDescent="0.25">
      <c r="A2571" t="s">
        <v>1572</v>
      </c>
      <c r="B2571" s="2">
        <v>46106</v>
      </c>
      <c r="C2571" t="s">
        <v>19</v>
      </c>
      <c r="D2571" t="s">
        <v>1636</v>
      </c>
      <c r="E2571" s="5">
        <v>170300000</v>
      </c>
      <c r="F2571" s="5">
        <v>173300000</v>
      </c>
      <c r="G2571" s="5">
        <v>3000000</v>
      </c>
      <c r="H2571" s="5">
        <v>17030000</v>
      </c>
      <c r="I2571" s="5">
        <v>17330000</v>
      </c>
      <c r="J2571" s="5">
        <v>0</v>
      </c>
      <c r="K2571" s="5">
        <v>0</v>
      </c>
      <c r="L2571" s="3">
        <v>0.97916666666666663</v>
      </c>
    </row>
    <row r="2572" spans="1:12" x14ac:dyDescent="0.25">
      <c r="A2572" t="s">
        <v>1573</v>
      </c>
      <c r="B2572" s="2">
        <v>46107</v>
      </c>
      <c r="C2572" t="s">
        <v>20</v>
      </c>
      <c r="D2572" t="s">
        <v>1636</v>
      </c>
      <c r="E2572" s="5">
        <v>168300000</v>
      </c>
      <c r="F2572" s="5">
        <v>171300000</v>
      </c>
      <c r="G2572" s="5">
        <v>3000000</v>
      </c>
      <c r="H2572" s="5">
        <v>16830000</v>
      </c>
      <c r="I2572" s="5">
        <v>17130000</v>
      </c>
      <c r="J2572" s="5">
        <v>0</v>
      </c>
      <c r="K2572" s="5">
        <v>0</v>
      </c>
      <c r="L2572" s="3">
        <v>0.97916666666666663</v>
      </c>
    </row>
    <row r="2573" spans="1:12" x14ac:dyDescent="0.25">
      <c r="A2573" t="s">
        <v>1574</v>
      </c>
      <c r="B2573" s="2">
        <v>46108</v>
      </c>
      <c r="C2573" t="s">
        <v>21</v>
      </c>
      <c r="D2573" t="s">
        <v>1636</v>
      </c>
      <c r="E2573" s="5">
        <v>168400000</v>
      </c>
      <c r="F2573" s="5">
        <v>171400000</v>
      </c>
      <c r="G2573" s="5">
        <v>3000000</v>
      </c>
      <c r="H2573" s="5">
        <v>16840000</v>
      </c>
      <c r="I2573" s="5">
        <v>17140000</v>
      </c>
      <c r="J2573" s="5">
        <v>0</v>
      </c>
      <c r="K2573" s="5">
        <v>0</v>
      </c>
      <c r="L2573" s="3">
        <v>0.97916666666666663</v>
      </c>
    </row>
    <row r="2574" spans="1:12" x14ac:dyDescent="0.25">
      <c r="A2574" t="s">
        <v>1575</v>
      </c>
      <c r="B2574" s="2">
        <v>46111</v>
      </c>
      <c r="C2574" t="s">
        <v>16</v>
      </c>
      <c r="D2574" t="s">
        <v>1636</v>
      </c>
      <c r="E2574" s="5">
        <v>170600000</v>
      </c>
      <c r="F2574" s="5">
        <v>173600000</v>
      </c>
      <c r="G2574" s="5">
        <v>3000000</v>
      </c>
      <c r="H2574" s="5">
        <v>17060000</v>
      </c>
      <c r="I2574" s="5">
        <v>17360000</v>
      </c>
      <c r="J2574" s="5">
        <v>0</v>
      </c>
      <c r="K2574" s="5">
        <v>0</v>
      </c>
      <c r="L2574" s="3">
        <v>0.97916666666666663</v>
      </c>
    </row>
    <row r="2575" spans="1:12" x14ac:dyDescent="0.25">
      <c r="A2575" t="s">
        <v>1576</v>
      </c>
      <c r="B2575" s="2">
        <v>46112</v>
      </c>
      <c r="C2575" t="s">
        <v>18</v>
      </c>
      <c r="D2575" t="s">
        <v>1636</v>
      </c>
      <c r="E2575" s="5">
        <v>171700000</v>
      </c>
      <c r="F2575" s="5">
        <v>174700000</v>
      </c>
      <c r="G2575" s="5">
        <v>3000000</v>
      </c>
      <c r="H2575" s="5">
        <v>17170000</v>
      </c>
      <c r="I2575" s="5">
        <v>17470000</v>
      </c>
      <c r="J2575" s="5">
        <v>0</v>
      </c>
      <c r="K2575" s="5">
        <v>0</v>
      </c>
      <c r="L2575" s="3">
        <v>0.97916666666666663</v>
      </c>
    </row>
    <row r="2576" spans="1:12" x14ac:dyDescent="0.25">
      <c r="A2576" s="2">
        <v>46026</v>
      </c>
      <c r="B2576" s="2">
        <v>46113</v>
      </c>
      <c r="C2576" t="s">
        <v>19</v>
      </c>
      <c r="D2576" t="s">
        <v>1636</v>
      </c>
      <c r="E2576" s="5">
        <v>173500000</v>
      </c>
      <c r="F2576" s="5">
        <v>176500000</v>
      </c>
      <c r="G2576" s="5">
        <v>3000000</v>
      </c>
      <c r="H2576" s="5">
        <v>17350000</v>
      </c>
      <c r="I2576" s="5">
        <v>17650000</v>
      </c>
      <c r="J2576" s="5">
        <v>0</v>
      </c>
      <c r="K2576" s="5">
        <v>0</v>
      </c>
      <c r="L2576" s="3">
        <v>0.95833333333333337</v>
      </c>
    </row>
    <row r="2577" spans="1:12" x14ac:dyDescent="0.25">
      <c r="A2577" s="2">
        <v>46057</v>
      </c>
      <c r="B2577" s="2">
        <v>46114</v>
      </c>
      <c r="C2577" t="s">
        <v>20</v>
      </c>
      <c r="D2577" t="s">
        <v>1636</v>
      </c>
      <c r="E2577" s="5">
        <v>169800000</v>
      </c>
      <c r="F2577" s="5">
        <v>173300000</v>
      </c>
      <c r="G2577" s="5">
        <v>3500000</v>
      </c>
      <c r="H2577" s="5">
        <v>16980000</v>
      </c>
      <c r="I2577" s="5">
        <v>17330000</v>
      </c>
      <c r="J2577" s="5">
        <v>0</v>
      </c>
      <c r="K2577" s="5">
        <v>0</v>
      </c>
      <c r="L2577" s="3">
        <v>0.97916666666666663</v>
      </c>
    </row>
    <row r="2578" spans="1:12" x14ac:dyDescent="0.25">
      <c r="A2578" s="2">
        <v>46177</v>
      </c>
      <c r="B2578" s="2">
        <v>46118</v>
      </c>
      <c r="C2578" t="s">
        <v>16</v>
      </c>
      <c r="D2578" t="s">
        <v>1636</v>
      </c>
      <c r="E2578" s="5">
        <v>169600000</v>
      </c>
      <c r="F2578" s="5">
        <v>172600000</v>
      </c>
      <c r="G2578" s="5">
        <v>3000000</v>
      </c>
      <c r="H2578" s="5">
        <v>16960000</v>
      </c>
      <c r="I2578" s="5">
        <v>17260000</v>
      </c>
      <c r="J2578" s="5">
        <v>0</v>
      </c>
      <c r="K2578" s="5">
        <v>0</v>
      </c>
      <c r="L2578" s="3">
        <v>0.97916666666666663</v>
      </c>
    </row>
    <row r="2579" spans="1:12" x14ac:dyDescent="0.25">
      <c r="A2579" s="2">
        <v>46207</v>
      </c>
      <c r="B2579" s="2">
        <v>46119</v>
      </c>
      <c r="C2579" t="s">
        <v>18</v>
      </c>
      <c r="D2579" t="s">
        <v>1636</v>
      </c>
      <c r="E2579" s="5">
        <v>169000000</v>
      </c>
      <c r="F2579" s="5">
        <v>172000000</v>
      </c>
      <c r="G2579" s="5">
        <v>3000000</v>
      </c>
      <c r="H2579" s="5">
        <v>16900000</v>
      </c>
      <c r="I2579" s="5">
        <v>17200000</v>
      </c>
      <c r="J2579" s="5">
        <v>0</v>
      </c>
      <c r="K2579" s="5">
        <v>0</v>
      </c>
      <c r="L2579" s="3">
        <v>0.97916666666666663</v>
      </c>
    </row>
    <row r="2580" spans="1:12" x14ac:dyDescent="0.25">
      <c r="A2580" s="2">
        <v>46238</v>
      </c>
      <c r="B2580" s="2">
        <v>46120</v>
      </c>
      <c r="C2580" t="s">
        <v>19</v>
      </c>
      <c r="D2580" t="s">
        <v>1636</v>
      </c>
      <c r="E2580" s="5">
        <v>170500000</v>
      </c>
      <c r="F2580" s="5">
        <v>174500000</v>
      </c>
      <c r="G2580" s="5">
        <v>4000000</v>
      </c>
      <c r="H2580" s="5">
        <v>17050000</v>
      </c>
      <c r="I2580" s="5">
        <v>17450000</v>
      </c>
      <c r="J2580" s="5">
        <v>0</v>
      </c>
      <c r="K2580" s="5">
        <v>0</v>
      </c>
      <c r="L2580" s="3">
        <v>0.97916666666666663</v>
      </c>
    </row>
    <row r="2581" spans="1:12" x14ac:dyDescent="0.25">
      <c r="A2581" s="2">
        <v>46269</v>
      </c>
      <c r="B2581" s="2">
        <v>46121</v>
      </c>
      <c r="C2581" t="s">
        <v>20</v>
      </c>
      <c r="D2581" t="s">
        <v>1636</v>
      </c>
      <c r="E2581" s="5">
        <v>168000000</v>
      </c>
      <c r="F2581" s="5">
        <v>171000000</v>
      </c>
      <c r="G2581" s="5">
        <v>3000000</v>
      </c>
      <c r="H2581" s="5">
        <v>16800000</v>
      </c>
      <c r="I2581" s="5">
        <v>17100000</v>
      </c>
      <c r="J2581" s="5">
        <v>0</v>
      </c>
      <c r="K2581" s="5">
        <v>0</v>
      </c>
      <c r="L2581" s="3">
        <v>0.97916666666666663</v>
      </c>
    </row>
    <row r="2582" spans="1:12" x14ac:dyDescent="0.25">
      <c r="A2582" s="2">
        <v>46299</v>
      </c>
      <c r="B2582" s="2">
        <v>46122</v>
      </c>
      <c r="C2582" t="s">
        <v>21</v>
      </c>
      <c r="D2582" t="s">
        <v>1636</v>
      </c>
      <c r="E2582" s="5">
        <v>169400000</v>
      </c>
      <c r="F2582" s="5">
        <v>172400000</v>
      </c>
      <c r="G2582" s="5">
        <v>3000000</v>
      </c>
      <c r="H2582" s="5">
        <v>16940000</v>
      </c>
      <c r="I2582" s="5">
        <v>17240000</v>
      </c>
      <c r="J2582" s="5">
        <v>0</v>
      </c>
      <c r="K2582" s="5">
        <v>0</v>
      </c>
      <c r="L2582" s="3">
        <v>0.97916666666666663</v>
      </c>
    </row>
    <row r="2583" spans="1:12" x14ac:dyDescent="0.25">
      <c r="A2583" t="s">
        <v>1577</v>
      </c>
      <c r="B2583" s="2">
        <v>46125</v>
      </c>
      <c r="C2583" t="s">
        <v>16</v>
      </c>
      <c r="D2583" t="s">
        <v>1636</v>
      </c>
      <c r="E2583" s="5">
        <v>168200000</v>
      </c>
      <c r="F2583" s="5">
        <v>171200000</v>
      </c>
      <c r="G2583" s="5">
        <v>3000000</v>
      </c>
      <c r="H2583" s="5">
        <v>16820000</v>
      </c>
      <c r="I2583" s="5">
        <v>17120000</v>
      </c>
      <c r="J2583" s="5">
        <v>0</v>
      </c>
      <c r="K2583" s="5">
        <v>0</v>
      </c>
      <c r="L2583" s="3">
        <v>0.97916666666666663</v>
      </c>
    </row>
    <row r="2584" spans="1:12" x14ac:dyDescent="0.25">
      <c r="A2584" t="s">
        <v>1578</v>
      </c>
      <c r="B2584" s="2">
        <v>46126</v>
      </c>
      <c r="C2584" t="s">
        <v>18</v>
      </c>
      <c r="D2584" t="s">
        <v>1636</v>
      </c>
      <c r="E2584" s="5">
        <v>170200000</v>
      </c>
      <c r="F2584" s="5">
        <v>172700000</v>
      </c>
      <c r="G2584" s="5">
        <v>2500000</v>
      </c>
      <c r="H2584" s="5">
        <v>17020000</v>
      </c>
      <c r="I2584" s="5">
        <v>17270000</v>
      </c>
      <c r="J2584" s="5">
        <v>0</v>
      </c>
      <c r="K2584" s="5">
        <v>0</v>
      </c>
      <c r="L2584" s="3">
        <v>0.97916666666666663</v>
      </c>
    </row>
    <row r="2585" spans="1:12" x14ac:dyDescent="0.25">
      <c r="A2585" t="s">
        <v>1579</v>
      </c>
      <c r="B2585" s="2">
        <v>46127</v>
      </c>
      <c r="C2585" t="s">
        <v>19</v>
      </c>
      <c r="D2585" t="s">
        <v>1636</v>
      </c>
      <c r="E2585" s="5">
        <v>169700000</v>
      </c>
      <c r="F2585" s="5">
        <v>173200000</v>
      </c>
      <c r="G2585" s="5">
        <v>3500000</v>
      </c>
      <c r="H2585" s="5">
        <v>16970000</v>
      </c>
      <c r="I2585" s="5">
        <v>17320000</v>
      </c>
      <c r="J2585" s="5">
        <v>0</v>
      </c>
      <c r="K2585" s="5">
        <v>0</v>
      </c>
      <c r="L2585" s="3">
        <v>0.97916666666666663</v>
      </c>
    </row>
    <row r="2586" spans="1:12" x14ac:dyDescent="0.25">
      <c r="A2586" t="s">
        <v>1580</v>
      </c>
      <c r="B2586" s="2">
        <v>46128</v>
      </c>
      <c r="C2586" t="s">
        <v>20</v>
      </c>
      <c r="D2586" t="s">
        <v>1636</v>
      </c>
      <c r="E2586" s="5">
        <v>167200000</v>
      </c>
      <c r="F2586" s="5">
        <v>170700000</v>
      </c>
      <c r="G2586" s="5">
        <v>3500000</v>
      </c>
      <c r="H2586" s="5">
        <v>16720000</v>
      </c>
      <c r="I2586" s="5">
        <v>17070000</v>
      </c>
      <c r="J2586" s="5">
        <v>0</v>
      </c>
      <c r="K2586" s="5">
        <v>0</v>
      </c>
      <c r="L2586" s="3">
        <v>0.97916666666666663</v>
      </c>
    </row>
    <row r="2587" spans="1:12" x14ac:dyDescent="0.25">
      <c r="A2587" t="s">
        <v>1581</v>
      </c>
      <c r="B2587" s="2">
        <v>46129</v>
      </c>
      <c r="C2587" t="s">
        <v>21</v>
      </c>
      <c r="D2587" t="s">
        <v>1636</v>
      </c>
      <c r="E2587" s="5">
        <v>167000000</v>
      </c>
      <c r="F2587" s="5">
        <v>170500000</v>
      </c>
      <c r="G2587" s="5">
        <v>3500000</v>
      </c>
      <c r="H2587" s="5">
        <v>16700000</v>
      </c>
      <c r="I2587" s="5">
        <v>17050000</v>
      </c>
      <c r="J2587" s="5">
        <v>0</v>
      </c>
      <c r="K2587" s="5">
        <v>0</v>
      </c>
      <c r="L2587" s="3">
        <v>0.97916666666666663</v>
      </c>
    </row>
    <row r="2588" spans="1:12" x14ac:dyDescent="0.25">
      <c r="A2588" t="s">
        <v>1582</v>
      </c>
      <c r="B2588" s="2">
        <v>46132</v>
      </c>
      <c r="C2588" t="s">
        <v>16</v>
      </c>
      <c r="D2588" t="s">
        <v>1636</v>
      </c>
      <c r="E2588" s="5">
        <v>167800000</v>
      </c>
      <c r="F2588" s="5">
        <v>170800000</v>
      </c>
      <c r="G2588" s="5">
        <v>3000000</v>
      </c>
      <c r="H2588" s="5">
        <v>16780000</v>
      </c>
      <c r="I2588" s="5">
        <v>17080000</v>
      </c>
      <c r="J2588" s="5">
        <v>0</v>
      </c>
      <c r="K2588" s="5">
        <v>0</v>
      </c>
      <c r="L2588" s="3">
        <v>0.97916666666666663</v>
      </c>
    </row>
    <row r="2589" spans="1:12" x14ac:dyDescent="0.25">
      <c r="A2589" t="s">
        <v>1583</v>
      </c>
      <c r="B2589" s="2">
        <v>46133</v>
      </c>
      <c r="C2589" t="s">
        <v>18</v>
      </c>
      <c r="D2589" t="s">
        <v>1636</v>
      </c>
      <c r="E2589" s="5">
        <v>167900000</v>
      </c>
      <c r="F2589" s="5">
        <v>170400000</v>
      </c>
      <c r="G2589" s="5">
        <v>2500000</v>
      </c>
      <c r="H2589" s="5">
        <v>16790000</v>
      </c>
      <c r="I2589" s="5">
        <v>17040000</v>
      </c>
      <c r="J2589" s="5">
        <v>0</v>
      </c>
      <c r="K2589" s="5">
        <v>0</v>
      </c>
      <c r="L2589" s="3">
        <v>0.97916666666666663</v>
      </c>
    </row>
    <row r="2590" spans="1:12" x14ac:dyDescent="0.25">
      <c r="A2590" t="s">
        <v>1584</v>
      </c>
      <c r="B2590" s="2">
        <v>46134</v>
      </c>
      <c r="C2590" t="s">
        <v>19</v>
      </c>
      <c r="D2590" t="s">
        <v>1636</v>
      </c>
      <c r="E2590" s="5">
        <v>167300000</v>
      </c>
      <c r="F2590" s="5">
        <v>169800000</v>
      </c>
      <c r="G2590" s="5">
        <v>2500000</v>
      </c>
      <c r="H2590" s="5">
        <v>16730000</v>
      </c>
      <c r="I2590" s="5">
        <v>16980000</v>
      </c>
      <c r="J2590" s="5">
        <v>0</v>
      </c>
      <c r="K2590" s="5">
        <v>0</v>
      </c>
      <c r="L2590" s="3">
        <v>0.97916666666666663</v>
      </c>
    </row>
    <row r="2591" spans="1:12" x14ac:dyDescent="0.25">
      <c r="A2591" t="s">
        <v>1585</v>
      </c>
      <c r="B2591" s="2">
        <v>46135</v>
      </c>
      <c r="C2591" t="s">
        <v>20</v>
      </c>
      <c r="D2591" t="s">
        <v>1636</v>
      </c>
      <c r="E2591" s="5">
        <v>166500000</v>
      </c>
      <c r="F2591" s="5">
        <v>169000000</v>
      </c>
      <c r="G2591" s="5">
        <v>2500000</v>
      </c>
      <c r="H2591" s="5">
        <v>16650000</v>
      </c>
      <c r="I2591" s="5">
        <v>16900000</v>
      </c>
      <c r="J2591" s="5">
        <v>0</v>
      </c>
      <c r="K2591" s="5">
        <v>0</v>
      </c>
      <c r="L2591" s="3">
        <v>0.97916666666666663</v>
      </c>
    </row>
    <row r="2592" spans="1:12" x14ac:dyDescent="0.25">
      <c r="A2592" t="s">
        <v>1586</v>
      </c>
      <c r="B2592" s="2">
        <v>46136</v>
      </c>
      <c r="C2592" t="s">
        <v>21</v>
      </c>
      <c r="D2592" t="s">
        <v>1636</v>
      </c>
      <c r="E2592" s="5">
        <v>165000000</v>
      </c>
      <c r="F2592" s="5">
        <v>167500000</v>
      </c>
      <c r="G2592" s="5">
        <v>2500000</v>
      </c>
      <c r="H2592" s="5">
        <v>16500000</v>
      </c>
      <c r="I2592" s="5">
        <v>16750000</v>
      </c>
      <c r="J2592" s="5">
        <v>0</v>
      </c>
      <c r="K2592" s="5">
        <v>0</v>
      </c>
      <c r="L2592" s="3">
        <v>0.97916666666666663</v>
      </c>
    </row>
    <row r="2593" spans="1:12" x14ac:dyDescent="0.25">
      <c r="A2593" t="s">
        <v>1587</v>
      </c>
      <c r="B2593" s="2">
        <v>46139</v>
      </c>
      <c r="C2593" t="s">
        <v>16</v>
      </c>
      <c r="D2593" t="s">
        <v>1636</v>
      </c>
      <c r="E2593" s="5">
        <v>165800000</v>
      </c>
      <c r="F2593" s="5">
        <v>168300000</v>
      </c>
      <c r="G2593" s="5">
        <v>2500000</v>
      </c>
      <c r="H2593" s="5">
        <v>16580000</v>
      </c>
      <c r="I2593" s="5">
        <v>16830000</v>
      </c>
      <c r="J2593" s="5">
        <v>0</v>
      </c>
      <c r="K2593" s="5">
        <v>0</v>
      </c>
      <c r="L2593" s="3">
        <v>0.97916666666666663</v>
      </c>
    </row>
    <row r="2594" spans="1:12" x14ac:dyDescent="0.25">
      <c r="A2594" t="s">
        <v>1588</v>
      </c>
      <c r="B2594" s="2">
        <v>46140</v>
      </c>
      <c r="C2594" t="s">
        <v>18</v>
      </c>
      <c r="D2594" t="s">
        <v>1636</v>
      </c>
      <c r="E2594" s="5">
        <v>165800000</v>
      </c>
      <c r="F2594" s="5">
        <v>168300000</v>
      </c>
      <c r="G2594" s="5">
        <v>2500000</v>
      </c>
      <c r="H2594" s="5">
        <v>16580000</v>
      </c>
      <c r="I2594" s="5">
        <v>16830000</v>
      </c>
      <c r="J2594" s="5">
        <v>0</v>
      </c>
      <c r="K2594" s="5">
        <v>0</v>
      </c>
      <c r="L2594" s="3">
        <v>0.97916666666666663</v>
      </c>
    </row>
    <row r="2595" spans="1:12" x14ac:dyDescent="0.25">
      <c r="A2595" t="s">
        <v>1589</v>
      </c>
      <c r="B2595" s="2">
        <v>46141</v>
      </c>
      <c r="C2595" t="s">
        <v>19</v>
      </c>
      <c r="D2595" t="s">
        <v>1636</v>
      </c>
      <c r="E2595" s="5">
        <v>165800000</v>
      </c>
      <c r="F2595" s="5">
        <v>168300000</v>
      </c>
      <c r="G2595" s="5">
        <v>2500000</v>
      </c>
      <c r="H2595" s="5">
        <v>16580000</v>
      </c>
      <c r="I2595" s="5">
        <v>16830000</v>
      </c>
      <c r="J2595" s="5">
        <v>0</v>
      </c>
      <c r="K2595" s="5">
        <v>0</v>
      </c>
      <c r="L2595" s="3">
        <v>0.97916666666666663</v>
      </c>
    </row>
    <row r="2596" spans="1:12" x14ac:dyDescent="0.25">
      <c r="A2596" t="s">
        <v>1590</v>
      </c>
      <c r="B2596" s="2">
        <v>46142</v>
      </c>
      <c r="C2596" t="s">
        <v>20</v>
      </c>
      <c r="D2596" t="s">
        <v>1636</v>
      </c>
      <c r="E2596" s="5">
        <v>162500000</v>
      </c>
      <c r="F2596" s="5">
        <v>165500000</v>
      </c>
      <c r="G2596" s="5">
        <v>3000000</v>
      </c>
      <c r="H2596" s="5">
        <v>16250000</v>
      </c>
      <c r="I2596" s="5">
        <v>16550000</v>
      </c>
      <c r="J2596" s="5">
        <v>0</v>
      </c>
      <c r="K2596" s="5">
        <v>0</v>
      </c>
      <c r="L2596" s="3">
        <v>0.97916666666666663</v>
      </c>
    </row>
    <row r="2597" spans="1:12" x14ac:dyDescent="0.25">
      <c r="A2597" s="2">
        <v>46027</v>
      </c>
      <c r="B2597" s="2">
        <v>46143</v>
      </c>
      <c r="C2597" t="s">
        <v>21</v>
      </c>
      <c r="D2597" t="s">
        <v>1636</v>
      </c>
      <c r="E2597" s="5">
        <v>162500000</v>
      </c>
      <c r="F2597" s="5">
        <v>165500000</v>
      </c>
      <c r="G2597" s="5">
        <v>3000000</v>
      </c>
      <c r="H2597" s="5">
        <v>16250000</v>
      </c>
      <c r="I2597" s="5">
        <v>16550000</v>
      </c>
      <c r="J2597" s="5">
        <v>0</v>
      </c>
      <c r="K2597" s="5">
        <v>0</v>
      </c>
      <c r="L2597" s="3">
        <v>0.97916666666666663</v>
      </c>
    </row>
    <row r="2598" spans="1:12" x14ac:dyDescent="0.25">
      <c r="A2598" s="2">
        <v>46117</v>
      </c>
      <c r="B2598" s="2">
        <v>46146</v>
      </c>
      <c r="C2598" t="s">
        <v>16</v>
      </c>
      <c r="D2598" t="s">
        <v>1636</v>
      </c>
      <c r="E2598" s="5">
        <v>162800000</v>
      </c>
      <c r="F2598" s="5">
        <v>165800000</v>
      </c>
      <c r="G2598" s="5">
        <v>3000000</v>
      </c>
      <c r="H2598" s="5">
        <v>16280000</v>
      </c>
      <c r="I2598" s="5">
        <v>16580000</v>
      </c>
      <c r="J2598" s="5">
        <v>0</v>
      </c>
      <c r="K2598" s="5">
        <v>0</v>
      </c>
      <c r="L2598" s="3">
        <v>0.97916666666666663</v>
      </c>
    </row>
    <row r="2599" spans="1:12" x14ac:dyDescent="0.25">
      <c r="A2599" s="2">
        <v>46147</v>
      </c>
      <c r="B2599" s="2">
        <v>46147</v>
      </c>
      <c r="C2599" t="s">
        <v>18</v>
      </c>
      <c r="D2599" t="s">
        <v>1636</v>
      </c>
      <c r="E2599" s="5">
        <v>161500000</v>
      </c>
      <c r="F2599" s="5">
        <v>164500000</v>
      </c>
      <c r="G2599" s="5">
        <v>3000000</v>
      </c>
      <c r="H2599" s="5">
        <v>16150000</v>
      </c>
      <c r="I2599" s="5">
        <v>16450000</v>
      </c>
      <c r="J2599" s="5">
        <v>0</v>
      </c>
      <c r="K2599" s="5">
        <v>0</v>
      </c>
      <c r="L2599" s="3">
        <v>0.97916666666666663</v>
      </c>
    </row>
    <row r="2600" spans="1:12" x14ac:dyDescent="0.25">
      <c r="A2600" s="2">
        <v>46178</v>
      </c>
      <c r="B2600" s="2">
        <v>46148</v>
      </c>
      <c r="C2600" t="s">
        <v>19</v>
      </c>
      <c r="D2600" t="s">
        <v>1636</v>
      </c>
      <c r="E2600" s="5">
        <v>162500000</v>
      </c>
      <c r="F2600" s="5">
        <v>165500000</v>
      </c>
      <c r="G2600" s="5">
        <v>3000000</v>
      </c>
      <c r="H2600" s="5">
        <v>16250000</v>
      </c>
      <c r="I2600" s="5">
        <v>16550000</v>
      </c>
      <c r="J2600" s="5">
        <v>0</v>
      </c>
      <c r="K2600" s="5">
        <v>0</v>
      </c>
      <c r="L2600" s="3">
        <v>0.97916666666666663</v>
      </c>
    </row>
    <row r="2601" spans="1:12" x14ac:dyDescent="0.25">
      <c r="A2601" s="2">
        <v>46208</v>
      </c>
      <c r="B2601" s="2">
        <v>46149</v>
      </c>
      <c r="C2601" t="s">
        <v>20</v>
      </c>
      <c r="D2601" t="s">
        <v>1636</v>
      </c>
      <c r="E2601" s="5">
        <v>164000000</v>
      </c>
      <c r="F2601" s="5">
        <v>167000000</v>
      </c>
      <c r="G2601" s="5">
        <v>3000000</v>
      </c>
      <c r="H2601" s="5">
        <v>16400000</v>
      </c>
      <c r="I2601" s="5">
        <v>16700000</v>
      </c>
      <c r="J2601" s="5">
        <v>0</v>
      </c>
      <c r="K2601" s="5">
        <v>0</v>
      </c>
      <c r="L2601" s="3">
        <v>0.97916666666666663</v>
      </c>
    </row>
    <row r="2602" spans="1:12" x14ac:dyDescent="0.25">
      <c r="A2602" s="2">
        <v>46239</v>
      </c>
      <c r="B2602" s="2">
        <v>46150</v>
      </c>
      <c r="C2602" t="s">
        <v>21</v>
      </c>
      <c r="D2602" t="s">
        <v>1636</v>
      </c>
      <c r="E2602" s="5">
        <v>164000000</v>
      </c>
      <c r="F2602" s="5">
        <v>167000000</v>
      </c>
      <c r="G2602" s="5">
        <v>3000000</v>
      </c>
      <c r="H2602" s="5">
        <v>16400000</v>
      </c>
      <c r="I2602" s="5">
        <v>16700000</v>
      </c>
      <c r="J2602" s="5">
        <v>0</v>
      </c>
      <c r="K2602" s="5">
        <v>0</v>
      </c>
      <c r="L2602" s="3">
        <v>0.97916666666666663</v>
      </c>
    </row>
    <row r="2603" spans="1:12" x14ac:dyDescent="0.25">
      <c r="A2603" s="2">
        <v>46331</v>
      </c>
      <c r="B2603" s="2">
        <v>46153</v>
      </c>
      <c r="C2603" t="s">
        <v>16</v>
      </c>
      <c r="D2603" t="s">
        <v>1636</v>
      </c>
      <c r="E2603" s="5">
        <v>161700000</v>
      </c>
      <c r="F2603" s="5">
        <v>164700000</v>
      </c>
      <c r="G2603" s="5">
        <v>3000000</v>
      </c>
      <c r="H2603" s="5">
        <v>16170000</v>
      </c>
      <c r="I2603" s="5">
        <v>16470000</v>
      </c>
      <c r="J2603" s="5">
        <v>0</v>
      </c>
      <c r="K2603" s="5">
        <v>0</v>
      </c>
      <c r="L2603" s="3">
        <v>0.97916666666666663</v>
      </c>
    </row>
    <row r="2604" spans="1:12" x14ac:dyDescent="0.25">
      <c r="A2604" s="2">
        <v>46361</v>
      </c>
      <c r="B2604" s="2">
        <v>46154</v>
      </c>
      <c r="C2604" t="s">
        <v>18</v>
      </c>
      <c r="D2604" t="s">
        <v>1636</v>
      </c>
      <c r="E2604" s="5">
        <v>162300000</v>
      </c>
      <c r="F2604" s="5">
        <v>165300000</v>
      </c>
      <c r="G2604" s="5">
        <v>3000000</v>
      </c>
      <c r="H2604" s="5">
        <v>16230000</v>
      </c>
      <c r="I2604" s="5">
        <v>16530000</v>
      </c>
      <c r="J2604" s="5">
        <v>0</v>
      </c>
      <c r="K2604" s="5">
        <v>0</v>
      </c>
      <c r="L2604" s="3">
        <v>0.97916666666666663</v>
      </c>
    </row>
    <row r="2605" spans="1:12" x14ac:dyDescent="0.25">
      <c r="A2605" t="s">
        <v>1591</v>
      </c>
      <c r="B2605" s="2">
        <v>46155</v>
      </c>
      <c r="C2605" t="s">
        <v>19</v>
      </c>
      <c r="D2605" t="s">
        <v>1636</v>
      </c>
      <c r="E2605" s="5">
        <v>161800000</v>
      </c>
      <c r="F2605" s="5">
        <v>164800000</v>
      </c>
      <c r="G2605" s="5">
        <v>3000000</v>
      </c>
      <c r="H2605" s="5">
        <v>16180000</v>
      </c>
      <c r="I2605" s="5">
        <v>16480000</v>
      </c>
      <c r="J2605" s="5">
        <v>0</v>
      </c>
      <c r="K2605" s="5">
        <v>0</v>
      </c>
      <c r="L2605" s="3">
        <v>0.97916666666666663</v>
      </c>
    </row>
    <row r="2606" spans="1:12" x14ac:dyDescent="0.25">
      <c r="A2606" t="s">
        <v>1592</v>
      </c>
      <c r="B2606" s="2">
        <v>46156</v>
      </c>
      <c r="C2606" t="s">
        <v>20</v>
      </c>
      <c r="D2606" t="s">
        <v>1636</v>
      </c>
      <c r="E2606" s="5">
        <v>161800000</v>
      </c>
      <c r="F2606" s="5">
        <v>164800000</v>
      </c>
      <c r="G2606" s="5">
        <v>3000000</v>
      </c>
      <c r="H2606" s="5">
        <v>16180000</v>
      </c>
      <c r="I2606" s="5">
        <v>16480000</v>
      </c>
      <c r="J2606" s="5">
        <v>0</v>
      </c>
      <c r="K2606" s="5">
        <v>0</v>
      </c>
      <c r="L2606" s="3">
        <v>0.97916666666666663</v>
      </c>
    </row>
    <row r="2607" spans="1:12" x14ac:dyDescent="0.25">
      <c r="A2607" t="s">
        <v>1593</v>
      </c>
      <c r="B2607" s="2">
        <v>46157</v>
      </c>
      <c r="C2607" t="s">
        <v>21</v>
      </c>
      <c r="D2607" t="s">
        <v>1636</v>
      </c>
      <c r="E2607" s="5">
        <v>160800000</v>
      </c>
      <c r="F2607" s="5">
        <v>163800000</v>
      </c>
      <c r="G2607" s="5">
        <v>3000000</v>
      </c>
      <c r="H2607" s="5">
        <v>16080000</v>
      </c>
      <c r="I2607" s="5">
        <v>16380000</v>
      </c>
      <c r="J2607" s="5">
        <v>0</v>
      </c>
      <c r="K2607" s="5">
        <v>0</v>
      </c>
      <c r="L2607" s="3">
        <v>0.97916666666666663</v>
      </c>
    </row>
    <row r="2608" spans="1:12" x14ac:dyDescent="0.25">
      <c r="A2608" t="s">
        <v>1594</v>
      </c>
      <c r="B2608" s="2">
        <v>46160</v>
      </c>
      <c r="C2608" t="s">
        <v>16</v>
      </c>
      <c r="D2608" t="s">
        <v>1636</v>
      </c>
      <c r="E2608" s="5">
        <v>160300000</v>
      </c>
      <c r="F2608" s="5">
        <v>163300000</v>
      </c>
      <c r="G2608" s="5">
        <v>3000000</v>
      </c>
      <c r="H2608" s="5">
        <v>16030000</v>
      </c>
      <c r="I2608" s="5">
        <v>16330000</v>
      </c>
      <c r="J2608" s="5">
        <v>0</v>
      </c>
      <c r="K2608" s="5">
        <v>0</v>
      </c>
      <c r="L2608" s="3">
        <v>0.97916666666666663</v>
      </c>
    </row>
    <row r="2609" spans="1:12" x14ac:dyDescent="0.25">
      <c r="A2609" t="s">
        <v>1595</v>
      </c>
      <c r="B2609" s="2">
        <v>46161</v>
      </c>
      <c r="C2609" t="s">
        <v>18</v>
      </c>
      <c r="D2609" t="s">
        <v>1636</v>
      </c>
      <c r="E2609" s="5">
        <v>160300000</v>
      </c>
      <c r="F2609" s="5">
        <v>163300000</v>
      </c>
      <c r="G2609" s="5">
        <v>3000000</v>
      </c>
      <c r="H2609" s="5">
        <v>16030000</v>
      </c>
      <c r="I2609" s="5">
        <v>16330000</v>
      </c>
      <c r="J2609" s="5">
        <v>0</v>
      </c>
      <c r="K2609" s="5">
        <v>0</v>
      </c>
      <c r="L2609" s="3">
        <v>0.97916666666666663</v>
      </c>
    </row>
    <row r="2610" spans="1:12" x14ac:dyDescent="0.25">
      <c r="A2610" t="s">
        <v>1596</v>
      </c>
      <c r="B2610" s="2">
        <v>46162</v>
      </c>
      <c r="C2610" t="s">
        <v>19</v>
      </c>
      <c r="D2610" t="s">
        <v>1636</v>
      </c>
      <c r="E2610" s="5">
        <v>158000000</v>
      </c>
      <c r="F2610" s="5">
        <v>161000000</v>
      </c>
      <c r="G2610" s="5">
        <v>3000000</v>
      </c>
      <c r="H2610" s="5">
        <v>15800000</v>
      </c>
      <c r="I2610" s="5">
        <v>16100000</v>
      </c>
      <c r="J2610" s="5">
        <v>0</v>
      </c>
      <c r="K2610" s="5">
        <v>0</v>
      </c>
      <c r="L2610" s="3">
        <v>0.97916666666666663</v>
      </c>
    </row>
    <row r="2611" spans="1:12" x14ac:dyDescent="0.25">
      <c r="A2611" t="s">
        <v>1597</v>
      </c>
      <c r="B2611" s="2">
        <v>46163</v>
      </c>
      <c r="C2611" t="s">
        <v>20</v>
      </c>
      <c r="D2611" t="s">
        <v>1636</v>
      </c>
      <c r="E2611" s="5">
        <v>158900000</v>
      </c>
      <c r="F2611" s="5">
        <v>161900000</v>
      </c>
      <c r="G2611" s="5">
        <v>3000000</v>
      </c>
      <c r="H2611" s="5">
        <v>15890000</v>
      </c>
      <c r="I2611" s="5">
        <v>16190000</v>
      </c>
      <c r="J2611" s="5">
        <v>0</v>
      </c>
      <c r="K2611" s="5">
        <v>0</v>
      </c>
      <c r="L2611" s="3">
        <v>0.97916666666666663</v>
      </c>
    </row>
    <row r="2612" spans="1:12" x14ac:dyDescent="0.25">
      <c r="A2612" t="s">
        <v>1598</v>
      </c>
      <c r="B2612" s="2">
        <v>46164</v>
      </c>
      <c r="C2612" t="s">
        <v>21</v>
      </c>
      <c r="D2612" t="s">
        <v>1636</v>
      </c>
      <c r="E2612" s="5">
        <v>158500000</v>
      </c>
      <c r="F2612" s="5">
        <v>161500000</v>
      </c>
      <c r="G2612" s="5">
        <v>3000000</v>
      </c>
      <c r="H2612" s="5">
        <v>15850000</v>
      </c>
      <c r="I2612" s="5">
        <v>16150000</v>
      </c>
      <c r="J2612" s="5">
        <v>0</v>
      </c>
      <c r="K2612" s="5">
        <v>0</v>
      </c>
      <c r="L2612" s="3">
        <v>0.97916666666666663</v>
      </c>
    </row>
    <row r="2613" spans="1:12" x14ac:dyDescent="0.25">
      <c r="A2613" t="s">
        <v>1599</v>
      </c>
      <c r="B2613" s="2">
        <v>46168</v>
      </c>
      <c r="C2613" t="s">
        <v>18</v>
      </c>
      <c r="D2613" t="s">
        <v>1636</v>
      </c>
      <c r="E2613" s="5">
        <v>158000000</v>
      </c>
      <c r="F2613" s="5">
        <v>161000000</v>
      </c>
      <c r="G2613" s="5">
        <v>3000000</v>
      </c>
      <c r="H2613" s="5">
        <v>15800000</v>
      </c>
      <c r="I2613" s="5">
        <v>16100000</v>
      </c>
      <c r="J2613" s="5">
        <v>0</v>
      </c>
      <c r="K2613" s="5">
        <v>0</v>
      </c>
      <c r="L2613" s="3">
        <v>0.97916666666666663</v>
      </c>
    </row>
    <row r="2614" spans="1:12" x14ac:dyDescent="0.25">
      <c r="A2614" t="s">
        <v>1600</v>
      </c>
      <c r="B2614" s="2">
        <v>46169</v>
      </c>
      <c r="C2614" t="s">
        <v>19</v>
      </c>
      <c r="D2614" t="s">
        <v>1636</v>
      </c>
      <c r="E2614" s="5">
        <v>157200000</v>
      </c>
      <c r="F2614" s="5">
        <v>160200000</v>
      </c>
      <c r="G2614" s="5">
        <v>3000000</v>
      </c>
      <c r="H2614" s="5">
        <v>15720000</v>
      </c>
      <c r="I2614" s="5">
        <v>16020000</v>
      </c>
      <c r="J2614" s="5">
        <v>0</v>
      </c>
      <c r="K2614" s="5">
        <v>0</v>
      </c>
      <c r="L2614" s="3">
        <v>0.97916666666666663</v>
      </c>
    </row>
    <row r="2615" spans="1:12" x14ac:dyDescent="0.25">
      <c r="A2615" t="s">
        <v>1601</v>
      </c>
      <c r="B2615" s="2">
        <v>46170</v>
      </c>
      <c r="C2615" t="s">
        <v>20</v>
      </c>
      <c r="D2615" t="s">
        <v>1636</v>
      </c>
      <c r="E2615" s="5">
        <v>154300000</v>
      </c>
      <c r="F2615" s="5">
        <v>157300000</v>
      </c>
      <c r="G2615" s="5">
        <v>3000000</v>
      </c>
      <c r="H2615" s="5">
        <v>15430000</v>
      </c>
      <c r="I2615" s="5">
        <v>15730000</v>
      </c>
      <c r="J2615" s="5">
        <v>0</v>
      </c>
      <c r="K2615" s="5">
        <v>0</v>
      </c>
      <c r="L2615" s="3">
        <v>0.97916666666666663</v>
      </c>
    </row>
    <row r="2616" spans="1:12" x14ac:dyDescent="0.25">
      <c r="A2616" t="s">
        <v>1602</v>
      </c>
      <c r="B2616" s="2">
        <v>46171</v>
      </c>
      <c r="C2616" t="s">
        <v>21</v>
      </c>
      <c r="D2616" t="s">
        <v>1636</v>
      </c>
      <c r="E2616" s="5">
        <v>155300000</v>
      </c>
      <c r="F2616" s="5">
        <v>158300000</v>
      </c>
      <c r="G2616" s="5">
        <v>3000000</v>
      </c>
      <c r="H2616" s="5">
        <v>15530000</v>
      </c>
      <c r="I2616" s="5">
        <v>15830000</v>
      </c>
      <c r="J2616" s="5">
        <v>0</v>
      </c>
      <c r="K2616" s="5">
        <v>0</v>
      </c>
      <c r="L2616" s="3">
        <v>0.97916666666666663</v>
      </c>
    </row>
    <row r="2617" spans="1:12" x14ac:dyDescent="0.25">
      <c r="A2617" s="2">
        <v>46028</v>
      </c>
      <c r="B2617" s="2">
        <v>46174</v>
      </c>
      <c r="C2617" t="s">
        <v>16</v>
      </c>
      <c r="D2617" t="s">
        <v>1636</v>
      </c>
      <c r="E2617" s="5">
        <v>155300000</v>
      </c>
      <c r="F2617" s="5">
        <v>158300000</v>
      </c>
      <c r="G2617" s="5">
        <v>3000000</v>
      </c>
      <c r="H2617" s="5">
        <v>15530000</v>
      </c>
      <c r="I2617" s="5">
        <v>15830000</v>
      </c>
      <c r="J2617" s="5">
        <v>0</v>
      </c>
      <c r="K2617" s="5">
        <v>0</v>
      </c>
      <c r="L2617" s="3">
        <v>0.97916666666666663</v>
      </c>
    </row>
    <row r="2618" spans="1:12" x14ac:dyDescent="0.25">
      <c r="A2618" s="2">
        <v>46059</v>
      </c>
      <c r="B2618" s="2">
        <v>46175</v>
      </c>
      <c r="C2618" t="s">
        <v>18</v>
      </c>
      <c r="D2618" t="s">
        <v>1636</v>
      </c>
      <c r="E2618" s="5">
        <v>154300000</v>
      </c>
      <c r="F2618" s="5">
        <v>157300000</v>
      </c>
      <c r="G2618" s="5">
        <v>3000000</v>
      </c>
      <c r="H2618" s="5">
        <v>15430000</v>
      </c>
      <c r="I2618" s="5">
        <v>15730000</v>
      </c>
      <c r="J2618" s="5">
        <v>0</v>
      </c>
      <c r="K2618" s="5">
        <v>0</v>
      </c>
      <c r="L2618" s="3">
        <v>0.97916666666666663</v>
      </c>
    </row>
    <row r="2619" spans="1:12" x14ac:dyDescent="0.25">
      <c r="A2619" s="2">
        <v>46087</v>
      </c>
      <c r="B2619" s="2">
        <v>46176</v>
      </c>
      <c r="C2619" t="s">
        <v>19</v>
      </c>
      <c r="D2619" t="s">
        <v>1636</v>
      </c>
      <c r="E2619" s="5">
        <v>153800000</v>
      </c>
      <c r="F2619" s="5">
        <v>156800000</v>
      </c>
      <c r="G2619" s="5">
        <v>3000000</v>
      </c>
      <c r="H2619" s="5">
        <v>15380000</v>
      </c>
      <c r="I2619" s="5">
        <v>15680000</v>
      </c>
      <c r="J2619" s="5">
        <v>0</v>
      </c>
      <c r="K2619" s="5">
        <v>0</v>
      </c>
      <c r="L2619" s="3">
        <v>0.97916666666666663</v>
      </c>
    </row>
    <row r="2620" spans="1:12" x14ac:dyDescent="0.25">
      <c r="A2620" s="2">
        <v>46118</v>
      </c>
      <c r="B2620" s="2">
        <v>46177</v>
      </c>
      <c r="C2620" t="s">
        <v>20</v>
      </c>
      <c r="D2620" t="s">
        <v>1636</v>
      </c>
      <c r="E2620" s="5">
        <v>152800000</v>
      </c>
      <c r="F2620" s="5">
        <v>155800000</v>
      </c>
      <c r="G2620" s="5">
        <v>3000000</v>
      </c>
      <c r="H2620" s="5">
        <v>15280000</v>
      </c>
      <c r="I2620" s="5">
        <v>15580000</v>
      </c>
      <c r="J2620" s="5">
        <v>0</v>
      </c>
      <c r="K2620" s="5">
        <v>0</v>
      </c>
      <c r="L2620" s="3">
        <v>0.97916666666666663</v>
      </c>
    </row>
    <row r="2621" spans="1:12" x14ac:dyDescent="0.25">
      <c r="A2621" s="2">
        <v>46148</v>
      </c>
      <c r="B2621" s="2">
        <v>46178</v>
      </c>
      <c r="C2621" t="s">
        <v>21</v>
      </c>
      <c r="D2621" t="s">
        <v>1636</v>
      </c>
      <c r="E2621" s="5">
        <v>149000000</v>
      </c>
      <c r="F2621" s="5">
        <v>153000000</v>
      </c>
      <c r="G2621" s="5">
        <v>4000000</v>
      </c>
      <c r="H2621" s="5">
        <v>14900000</v>
      </c>
      <c r="I2621" s="5">
        <v>15300000</v>
      </c>
      <c r="J2621" s="5">
        <v>0</v>
      </c>
      <c r="K2621" s="5">
        <v>0</v>
      </c>
      <c r="L2621" s="3">
        <v>0.97916666666666663</v>
      </c>
    </row>
    <row r="2622" spans="1:12" x14ac:dyDescent="0.25">
      <c r="A2622" s="2">
        <v>46240</v>
      </c>
      <c r="B2622" s="2">
        <v>46181</v>
      </c>
      <c r="C2622" t="s">
        <v>16</v>
      </c>
      <c r="D2622" t="s">
        <v>1636</v>
      </c>
      <c r="E2622" s="5">
        <v>138600000</v>
      </c>
      <c r="F2622" s="5">
        <v>143600000</v>
      </c>
      <c r="G2622" s="5">
        <v>5000000</v>
      </c>
      <c r="H2622" s="5">
        <v>13860000</v>
      </c>
      <c r="I2622" s="5">
        <v>14360000</v>
      </c>
      <c r="J2622" s="5">
        <v>0</v>
      </c>
      <c r="K2622" s="5">
        <v>0</v>
      </c>
      <c r="L2622" s="3">
        <v>0.97916666666666663</v>
      </c>
    </row>
    <row r="2623" spans="1:12" x14ac:dyDescent="0.25">
      <c r="A2623" s="2">
        <v>46271</v>
      </c>
      <c r="B2623" s="2">
        <v>46182</v>
      </c>
      <c r="C2623" t="s">
        <v>18</v>
      </c>
      <c r="D2623" t="s">
        <v>1636</v>
      </c>
      <c r="E2623" s="5">
        <v>138600000</v>
      </c>
      <c r="F2623" s="5">
        <v>143600000</v>
      </c>
      <c r="G2623" s="5">
        <v>5000000</v>
      </c>
      <c r="H2623" s="5">
        <v>13860000</v>
      </c>
      <c r="I2623" s="5">
        <v>14360000</v>
      </c>
      <c r="J2623" s="5">
        <v>0</v>
      </c>
      <c r="K2623" s="5">
        <v>0</v>
      </c>
      <c r="L2623" s="3">
        <v>0.97916666666666663</v>
      </c>
    </row>
    <row r="2624" spans="1:12" x14ac:dyDescent="0.25">
      <c r="A2624" s="2">
        <v>46301</v>
      </c>
      <c r="B2624" s="2">
        <v>46183</v>
      </c>
      <c r="C2624" t="s">
        <v>19</v>
      </c>
      <c r="D2624" t="s">
        <v>1636</v>
      </c>
      <c r="E2624" s="5">
        <v>133200000</v>
      </c>
      <c r="F2624" s="5">
        <v>138200000</v>
      </c>
      <c r="G2624" s="5">
        <v>5000000</v>
      </c>
      <c r="H2624" s="5">
        <v>13320000</v>
      </c>
      <c r="I2624" s="5">
        <v>13820000</v>
      </c>
      <c r="J2624" s="5">
        <v>0</v>
      </c>
      <c r="K2624" s="5">
        <v>0</v>
      </c>
      <c r="L2624" s="3">
        <v>0.97916666666666663</v>
      </c>
    </row>
    <row r="2625" spans="1:12" x14ac:dyDescent="0.25">
      <c r="A2625" s="2">
        <v>46332</v>
      </c>
      <c r="B2625" s="2">
        <v>46184</v>
      </c>
      <c r="C2625" t="s">
        <v>20</v>
      </c>
      <c r="D2625" t="s">
        <v>1636</v>
      </c>
      <c r="E2625" s="5">
        <v>133300000</v>
      </c>
      <c r="F2625" s="5">
        <v>138300000</v>
      </c>
      <c r="G2625" s="5">
        <v>5000000</v>
      </c>
      <c r="H2625" s="5">
        <v>13330000</v>
      </c>
      <c r="I2625" s="5">
        <v>13830000</v>
      </c>
      <c r="J2625" s="5">
        <v>0</v>
      </c>
      <c r="K2625" s="5">
        <v>0</v>
      </c>
      <c r="L2625" s="3">
        <v>0.97916666666666663</v>
      </c>
    </row>
    <row r="2626" spans="1:12" x14ac:dyDescent="0.25">
      <c r="A2626" s="2">
        <v>46362</v>
      </c>
      <c r="B2626" s="2">
        <v>46185</v>
      </c>
      <c r="C2626" t="s">
        <v>21</v>
      </c>
      <c r="D2626" t="s">
        <v>1636</v>
      </c>
      <c r="E2626" s="5">
        <v>142300000</v>
      </c>
      <c r="F2626" s="5">
        <v>145300000</v>
      </c>
      <c r="G2626" s="5">
        <v>3000000</v>
      </c>
      <c r="H2626" s="5">
        <v>14230000</v>
      </c>
      <c r="I2626" s="5">
        <v>14530000</v>
      </c>
      <c r="J2626" s="5">
        <v>0</v>
      </c>
      <c r="K2626" s="5">
        <v>0</v>
      </c>
      <c r="L2626" s="3">
        <v>0.97916666666666663</v>
      </c>
    </row>
    <row r="2627" spans="1:12" x14ac:dyDescent="0.25">
      <c r="A2627" t="s">
        <v>1603</v>
      </c>
      <c r="B2627" s="2">
        <v>46188</v>
      </c>
      <c r="C2627" t="s">
        <v>16</v>
      </c>
      <c r="D2627" t="s">
        <v>1636</v>
      </c>
      <c r="E2627" s="5">
        <v>147900000</v>
      </c>
      <c r="F2627" s="5">
        <v>150400000</v>
      </c>
      <c r="G2627" s="5">
        <v>2500000</v>
      </c>
      <c r="H2627" s="5">
        <v>14790000</v>
      </c>
      <c r="I2627" s="5">
        <v>15040000</v>
      </c>
      <c r="J2627" s="5">
        <v>0</v>
      </c>
      <c r="K2627" s="5">
        <v>0</v>
      </c>
      <c r="L2627" s="3">
        <v>0.97916666666666663</v>
      </c>
    </row>
    <row r="2628" spans="1:12" x14ac:dyDescent="0.25">
      <c r="A2628" t="s">
        <v>1604</v>
      </c>
      <c r="B2628" s="2">
        <v>46189</v>
      </c>
      <c r="C2628" t="s">
        <v>18</v>
      </c>
      <c r="D2628" t="s">
        <v>1636</v>
      </c>
      <c r="E2628" s="5">
        <v>149400000</v>
      </c>
      <c r="F2628" s="5">
        <v>151400000</v>
      </c>
      <c r="G2628" s="5">
        <v>2000000</v>
      </c>
      <c r="H2628" s="5">
        <v>14940000</v>
      </c>
      <c r="I2628" s="5">
        <v>15140000</v>
      </c>
      <c r="J2628" s="5">
        <v>0</v>
      </c>
      <c r="K2628" s="5">
        <v>0</v>
      </c>
      <c r="L2628" s="3">
        <v>0.97916666666666663</v>
      </c>
    </row>
    <row r="2629" spans="1:12" x14ac:dyDescent="0.25">
      <c r="A2629" t="s">
        <v>1605</v>
      </c>
      <c r="B2629" s="2">
        <v>46190</v>
      </c>
      <c r="C2629" t="s">
        <v>19</v>
      </c>
      <c r="D2629" t="s">
        <v>1636</v>
      </c>
      <c r="E2629" s="5">
        <v>148700000</v>
      </c>
      <c r="F2629" s="5">
        <v>151200000</v>
      </c>
      <c r="G2629" s="5">
        <v>2500000</v>
      </c>
      <c r="H2629" s="5">
        <v>14870000</v>
      </c>
      <c r="I2629" s="5">
        <v>15120000</v>
      </c>
      <c r="J2629" s="5">
        <v>0</v>
      </c>
      <c r="K2629" s="5">
        <v>0</v>
      </c>
      <c r="L2629" s="3">
        <v>0.97916666666666663</v>
      </c>
    </row>
    <row r="2630" spans="1:12" x14ac:dyDescent="0.25">
      <c r="A2630" t="s">
        <v>1606</v>
      </c>
      <c r="B2630" s="2">
        <v>46191</v>
      </c>
      <c r="C2630" t="s">
        <v>20</v>
      </c>
      <c r="D2630" t="s">
        <v>1636</v>
      </c>
      <c r="E2630" s="5">
        <v>148700000</v>
      </c>
      <c r="F2630" s="5">
        <v>151200000</v>
      </c>
      <c r="G2630" s="5">
        <v>2500000</v>
      </c>
      <c r="H2630" s="5">
        <v>14870000</v>
      </c>
      <c r="I2630" s="5">
        <v>15120000</v>
      </c>
      <c r="J2630" s="5">
        <v>0</v>
      </c>
      <c r="K2630" s="5">
        <v>0</v>
      </c>
      <c r="L2630" s="3">
        <v>0.97916666666666663</v>
      </c>
    </row>
    <row r="2631" spans="1:12" x14ac:dyDescent="0.25">
      <c r="A2631" t="s">
        <v>1607</v>
      </c>
      <c r="B2631" s="2">
        <v>46195</v>
      </c>
      <c r="C2631" t="s">
        <v>16</v>
      </c>
      <c r="D2631" t="s">
        <v>1636</v>
      </c>
      <c r="E2631" s="5">
        <v>145500000</v>
      </c>
      <c r="F2631" s="5">
        <v>148500000</v>
      </c>
      <c r="G2631" s="5">
        <v>3000000</v>
      </c>
      <c r="H2631" s="5">
        <v>14550000</v>
      </c>
      <c r="I2631" s="5">
        <v>14850000</v>
      </c>
      <c r="J2631" s="5">
        <v>0</v>
      </c>
      <c r="K2631" s="5">
        <v>0</v>
      </c>
      <c r="L2631" s="3">
        <v>0.97916666666666663</v>
      </c>
    </row>
    <row r="2632" spans="1:12" x14ac:dyDescent="0.25">
      <c r="A2632" t="s">
        <v>1608</v>
      </c>
      <c r="B2632" s="2">
        <v>46196</v>
      </c>
      <c r="C2632" t="s">
        <v>18</v>
      </c>
      <c r="D2632" t="s">
        <v>1636</v>
      </c>
      <c r="E2632" s="5">
        <v>143900000</v>
      </c>
      <c r="F2632" s="5">
        <v>146900000</v>
      </c>
      <c r="G2632" s="5">
        <v>3000000</v>
      </c>
      <c r="H2632" s="5">
        <v>14390000</v>
      </c>
      <c r="I2632" s="5">
        <v>14690000</v>
      </c>
      <c r="J2632" s="5">
        <v>0</v>
      </c>
      <c r="K2632" s="5">
        <v>0</v>
      </c>
      <c r="L2632" s="3">
        <v>0.97916666666666663</v>
      </c>
    </row>
    <row r="2633" spans="1:12" x14ac:dyDescent="0.25">
      <c r="A2633" t="s">
        <v>1609</v>
      </c>
      <c r="B2633" s="2">
        <v>46197</v>
      </c>
      <c r="C2633" t="s">
        <v>19</v>
      </c>
      <c r="D2633" t="s">
        <v>1636</v>
      </c>
      <c r="E2633" s="5">
        <v>143900000</v>
      </c>
      <c r="F2633" s="5">
        <v>146900000</v>
      </c>
      <c r="G2633" s="5">
        <v>3000000</v>
      </c>
      <c r="H2633" s="5">
        <v>14390000</v>
      </c>
      <c r="I2633" s="5">
        <v>14690000</v>
      </c>
      <c r="J2633" s="5">
        <v>0</v>
      </c>
      <c r="K2633" s="5">
        <v>0</v>
      </c>
      <c r="L2633" s="3">
        <v>0.97916666666666663</v>
      </c>
    </row>
    <row r="2634" spans="1:12" x14ac:dyDescent="0.25">
      <c r="A2634" t="s">
        <v>1610</v>
      </c>
      <c r="B2634" s="2">
        <v>46198</v>
      </c>
      <c r="C2634" t="s">
        <v>20</v>
      </c>
      <c r="D2634" t="s">
        <v>1636</v>
      </c>
      <c r="E2634" s="5">
        <v>143100000</v>
      </c>
      <c r="F2634" s="5">
        <v>146100000</v>
      </c>
      <c r="G2634" s="5">
        <v>3000000</v>
      </c>
      <c r="H2634" s="5">
        <v>14310000</v>
      </c>
      <c r="I2634" s="5">
        <v>14610000</v>
      </c>
      <c r="J2634" s="5">
        <v>0</v>
      </c>
      <c r="K2634" s="5">
        <v>0</v>
      </c>
      <c r="L2634" s="3">
        <v>0.97916666666666663</v>
      </c>
    </row>
    <row r="2635" spans="1:12" x14ac:dyDescent="0.25">
      <c r="A2635" t="s">
        <v>1611</v>
      </c>
      <c r="B2635" s="2">
        <v>46199</v>
      </c>
      <c r="C2635" t="s">
        <v>21</v>
      </c>
      <c r="D2635" t="s">
        <v>1636</v>
      </c>
      <c r="E2635" s="5">
        <v>143900000</v>
      </c>
      <c r="F2635" s="5">
        <v>146900000</v>
      </c>
      <c r="G2635" s="5">
        <v>3000000</v>
      </c>
      <c r="H2635" s="5">
        <v>14390000</v>
      </c>
      <c r="I2635" s="5">
        <v>14690000</v>
      </c>
      <c r="J2635" s="5">
        <v>0</v>
      </c>
      <c r="K2635" s="5">
        <v>0</v>
      </c>
      <c r="L2635" s="3">
        <v>0.97916666666666663</v>
      </c>
    </row>
    <row r="2636" spans="1:12" x14ac:dyDescent="0.25">
      <c r="A2636" t="s">
        <v>1612</v>
      </c>
      <c r="B2636" s="2">
        <v>46202</v>
      </c>
      <c r="C2636" t="s">
        <v>16</v>
      </c>
      <c r="D2636" t="s">
        <v>1636</v>
      </c>
      <c r="E2636" s="5">
        <v>144900000</v>
      </c>
      <c r="F2636" s="5">
        <v>147900000</v>
      </c>
      <c r="G2636" s="5">
        <v>3000000</v>
      </c>
      <c r="H2636" s="5">
        <v>14490000</v>
      </c>
      <c r="I2636" s="5">
        <v>14790000</v>
      </c>
      <c r="J2636" s="5">
        <v>0</v>
      </c>
      <c r="K2636" s="5">
        <v>0</v>
      </c>
      <c r="L2636" s="3">
        <v>0.97916666666666663</v>
      </c>
    </row>
    <row r="2637" spans="1:12" x14ac:dyDescent="0.25">
      <c r="A2637" t="s">
        <v>1613</v>
      </c>
      <c r="B2637" s="2">
        <v>46203</v>
      </c>
      <c r="C2637" t="s">
        <v>18</v>
      </c>
      <c r="D2637" t="s">
        <v>1636</v>
      </c>
      <c r="E2637" s="5">
        <v>143900000</v>
      </c>
      <c r="F2637" s="5">
        <v>146900000</v>
      </c>
      <c r="G2637" s="5">
        <v>3000000</v>
      </c>
      <c r="H2637" s="5">
        <v>14390000</v>
      </c>
      <c r="I2637" s="5">
        <v>14690000</v>
      </c>
      <c r="J2637" s="5">
        <v>0</v>
      </c>
      <c r="K2637" s="5">
        <v>0</v>
      </c>
      <c r="L2637" s="3">
        <v>0.97916666666666663</v>
      </c>
    </row>
    <row r="2638" spans="1:12" x14ac:dyDescent="0.25">
      <c r="A2638" s="2">
        <v>46029</v>
      </c>
      <c r="B2638" s="2">
        <v>46204</v>
      </c>
      <c r="C2638" t="s">
        <v>19</v>
      </c>
      <c r="D2638" t="s">
        <v>1636</v>
      </c>
      <c r="E2638" s="5">
        <v>143300000</v>
      </c>
      <c r="F2638" s="5">
        <v>146300000</v>
      </c>
      <c r="G2638" s="5">
        <v>3000000</v>
      </c>
      <c r="H2638" s="5">
        <v>14330000</v>
      </c>
      <c r="I2638" s="5">
        <v>14630000</v>
      </c>
      <c r="J2638" s="5">
        <v>0</v>
      </c>
      <c r="K2638" s="5">
        <v>0</v>
      </c>
      <c r="L2638" s="3">
        <v>0.97916666666666663</v>
      </c>
    </row>
    <row r="2639" spans="1:12" x14ac:dyDescent="0.25">
      <c r="A2639" s="2">
        <v>46060</v>
      </c>
      <c r="B2639" s="2">
        <v>46205</v>
      </c>
      <c r="C2639" t="s">
        <v>20</v>
      </c>
      <c r="D2639" t="s">
        <v>1636</v>
      </c>
      <c r="E2639" s="5">
        <v>145300000</v>
      </c>
      <c r="F2639" s="5">
        <v>148300000</v>
      </c>
      <c r="G2639" s="5">
        <v>3000000</v>
      </c>
      <c r="H2639" s="5">
        <v>14530000</v>
      </c>
      <c r="I2639" s="5">
        <v>14830000</v>
      </c>
      <c r="J2639" s="5">
        <v>0</v>
      </c>
      <c r="K2639" s="5">
        <v>0</v>
      </c>
      <c r="L2639" s="3">
        <v>0.97916666666666663</v>
      </c>
    </row>
    <row r="2640" spans="1:12" x14ac:dyDescent="0.25">
      <c r="A2640" s="2">
        <v>46180</v>
      </c>
      <c r="B2640" s="2">
        <v>46209</v>
      </c>
      <c r="C2640" t="s">
        <v>16</v>
      </c>
      <c r="D2640" t="s">
        <v>1636</v>
      </c>
      <c r="E2640" s="5">
        <v>147900000</v>
      </c>
      <c r="F2640" s="5">
        <v>150900000</v>
      </c>
      <c r="G2640" s="5">
        <v>3000000</v>
      </c>
      <c r="H2640" s="5">
        <v>14790000</v>
      </c>
      <c r="I2640" s="5">
        <v>15090000</v>
      </c>
      <c r="J2640" s="5">
        <v>0</v>
      </c>
      <c r="K2640" s="5">
        <v>0</v>
      </c>
      <c r="L2640" s="3">
        <v>0.97916666666666663</v>
      </c>
    </row>
    <row r="2641" spans="1:12" x14ac:dyDescent="0.25">
      <c r="A2641" s="2">
        <v>46210</v>
      </c>
      <c r="B2641" s="2">
        <v>46210</v>
      </c>
      <c r="C2641" t="s">
        <v>18</v>
      </c>
      <c r="D2641" t="s">
        <v>1636</v>
      </c>
      <c r="E2641" s="5">
        <v>146700000</v>
      </c>
      <c r="F2641" s="5">
        <v>149700000</v>
      </c>
      <c r="G2641" s="5">
        <v>3000000</v>
      </c>
      <c r="H2641" s="5">
        <v>14670000</v>
      </c>
      <c r="I2641" s="5">
        <v>14970000</v>
      </c>
      <c r="J2641" s="5">
        <v>0</v>
      </c>
      <c r="K2641" s="5">
        <v>0</v>
      </c>
      <c r="L2641" s="3">
        <v>0.97916666666666663</v>
      </c>
    </row>
    <row r="2642" spans="1:12" x14ac:dyDescent="0.25">
      <c r="A2642" s="2">
        <v>46241</v>
      </c>
      <c r="B2642" s="2">
        <v>46211</v>
      </c>
      <c r="C2642" t="s">
        <v>19</v>
      </c>
      <c r="D2642" t="s">
        <v>1636</v>
      </c>
      <c r="E2642" s="5">
        <v>145200000</v>
      </c>
      <c r="F2642" s="5">
        <v>148200000</v>
      </c>
      <c r="G2642" s="5">
        <v>3000000</v>
      </c>
      <c r="H2642" s="5">
        <v>14520000</v>
      </c>
      <c r="I2642" s="5">
        <v>14820000</v>
      </c>
      <c r="J2642" s="5">
        <v>0</v>
      </c>
      <c r="K2642" s="5">
        <v>0</v>
      </c>
      <c r="L2642" s="3">
        <v>0.97916666666666663</v>
      </c>
    </row>
    <row r="2643" spans="1:12" x14ac:dyDescent="0.25">
      <c r="A2643" s="2">
        <v>46272</v>
      </c>
      <c r="B2643" s="2">
        <v>46212</v>
      </c>
      <c r="C2643" t="s">
        <v>20</v>
      </c>
      <c r="D2643" t="s">
        <v>1636</v>
      </c>
      <c r="E2643" s="5">
        <v>145700000</v>
      </c>
      <c r="F2643" s="5">
        <v>148700000</v>
      </c>
      <c r="G2643" s="5">
        <v>3000000</v>
      </c>
      <c r="H2643" s="5">
        <v>14570000</v>
      </c>
      <c r="I2643" s="5">
        <v>14870000</v>
      </c>
      <c r="J2643" s="5">
        <v>0</v>
      </c>
      <c r="K2643" s="5">
        <v>0</v>
      </c>
      <c r="L2643" s="3">
        <v>0.97916666666666663</v>
      </c>
    </row>
    <row r="2644" spans="1:12" x14ac:dyDescent="0.25">
      <c r="A2644" s="2">
        <v>46302</v>
      </c>
      <c r="B2644" s="2">
        <v>46213</v>
      </c>
      <c r="C2644" t="s">
        <v>21</v>
      </c>
      <c r="D2644" t="s">
        <v>1636</v>
      </c>
      <c r="E2644" s="5">
        <v>146400000</v>
      </c>
      <c r="F2644" s="5">
        <v>149400000</v>
      </c>
      <c r="G2644" s="5">
        <v>3000000</v>
      </c>
      <c r="H2644" s="5">
        <v>14640000</v>
      </c>
      <c r="I2644" s="5">
        <v>14940000</v>
      </c>
      <c r="J2644" s="5">
        <v>0</v>
      </c>
      <c r="K2644" s="5">
        <v>0</v>
      </c>
      <c r="L2644" s="3">
        <v>0.9375</v>
      </c>
    </row>
    <row r="2645" spans="1:12" x14ac:dyDescent="0.25">
      <c r="A2645" t="s">
        <v>1614</v>
      </c>
      <c r="B2645" s="2">
        <v>46216</v>
      </c>
      <c r="C2645" t="s">
        <v>16</v>
      </c>
      <c r="D2645" t="s">
        <v>1636</v>
      </c>
      <c r="E2645" s="5">
        <v>144400000</v>
      </c>
      <c r="F2645" s="5">
        <v>147900000</v>
      </c>
      <c r="G2645" s="5">
        <v>3500000</v>
      </c>
      <c r="H2645" s="5">
        <v>14440000</v>
      </c>
      <c r="I2645" s="5">
        <v>14790000</v>
      </c>
      <c r="J2645" s="5">
        <v>0</v>
      </c>
      <c r="K2645" s="5">
        <v>0</v>
      </c>
      <c r="L2645" s="3">
        <v>0.91666666666666663</v>
      </c>
    </row>
    <row r="2646" spans="1:12" x14ac:dyDescent="0.25">
      <c r="A2646" t="s">
        <v>1615</v>
      </c>
      <c r="B2646" s="2">
        <v>46217</v>
      </c>
      <c r="C2646" t="s">
        <v>18</v>
      </c>
      <c r="D2646" t="s">
        <v>1636</v>
      </c>
      <c r="E2646" s="5">
        <v>143500000</v>
      </c>
      <c r="F2646" s="5">
        <v>147000000</v>
      </c>
      <c r="G2646" s="5">
        <v>3500000</v>
      </c>
      <c r="H2646" s="5">
        <v>14350000</v>
      </c>
      <c r="I2646" s="5">
        <v>14700000</v>
      </c>
      <c r="J2646" s="5">
        <v>0</v>
      </c>
      <c r="K2646" s="5">
        <v>0</v>
      </c>
      <c r="L2646" s="3">
        <v>0.97916666666666663</v>
      </c>
    </row>
    <row r="2647" spans="1:12" x14ac:dyDescent="0.25">
      <c r="A2647" t="s">
        <v>1616</v>
      </c>
      <c r="B2647" s="2">
        <v>46218</v>
      </c>
      <c r="C2647" t="s">
        <v>19</v>
      </c>
      <c r="D2647" t="s">
        <v>1636</v>
      </c>
      <c r="E2647" s="5">
        <v>144500000</v>
      </c>
      <c r="F2647" s="5">
        <v>148000000</v>
      </c>
      <c r="G2647" s="5">
        <v>3500000</v>
      </c>
      <c r="H2647" s="5">
        <v>14450000</v>
      </c>
      <c r="I2647" s="5">
        <v>14800000</v>
      </c>
      <c r="J2647" s="5">
        <v>0</v>
      </c>
      <c r="K2647" s="5">
        <v>0</v>
      </c>
      <c r="L2647" s="3">
        <v>0.97916666666666663</v>
      </c>
    </row>
    <row r="2648" spans="1:12" x14ac:dyDescent="0.25">
      <c r="A2648" t="s">
        <v>1617</v>
      </c>
      <c r="B2648" s="2">
        <v>46219</v>
      </c>
      <c r="C2648" t="s">
        <v>20</v>
      </c>
      <c r="D2648" t="s">
        <v>1636</v>
      </c>
      <c r="E2648" s="5">
        <v>143700000</v>
      </c>
      <c r="F2648" s="5">
        <v>147200000</v>
      </c>
      <c r="G2648" s="5">
        <v>3500000</v>
      </c>
      <c r="H2648" s="5">
        <v>14370000</v>
      </c>
      <c r="I2648" s="5">
        <v>14720000</v>
      </c>
      <c r="J2648" s="5">
        <v>0</v>
      </c>
      <c r="K2648" s="5">
        <v>0</v>
      </c>
      <c r="L2648" s="3">
        <v>0.97916666666666663</v>
      </c>
    </row>
    <row r="2649" spans="1:12" x14ac:dyDescent="0.25">
      <c r="A2649" t="s">
        <v>1618</v>
      </c>
      <c r="B2649" s="2">
        <v>46220</v>
      </c>
      <c r="C2649" t="s">
        <v>21</v>
      </c>
      <c r="D2649" t="s">
        <v>1636</v>
      </c>
      <c r="E2649" s="5">
        <v>142100000</v>
      </c>
      <c r="F2649" s="5">
        <v>145600000</v>
      </c>
      <c r="G2649" s="5">
        <v>3500000</v>
      </c>
      <c r="H2649" s="5">
        <v>14210000</v>
      </c>
      <c r="I2649" s="5">
        <v>14560000</v>
      </c>
      <c r="J2649" s="5">
        <v>0</v>
      </c>
      <c r="K2649" s="5">
        <v>0</v>
      </c>
      <c r="L2649" s="3">
        <v>0.97916666666666663</v>
      </c>
    </row>
    <row r="2650" spans="1:12" x14ac:dyDescent="0.25">
      <c r="A2650" t="s">
        <v>1619</v>
      </c>
      <c r="B2650" s="2">
        <v>46223</v>
      </c>
      <c r="C2650" t="s">
        <v>16</v>
      </c>
      <c r="D2650" t="s">
        <v>1636</v>
      </c>
      <c r="E2650" s="5">
        <v>141500000</v>
      </c>
      <c r="F2650" s="5">
        <v>145000000</v>
      </c>
      <c r="G2650" s="5">
        <v>3500000</v>
      </c>
      <c r="H2650" s="5">
        <v>14150000</v>
      </c>
      <c r="I2650" s="5">
        <v>14500000</v>
      </c>
      <c r="J2650" s="5">
        <v>0</v>
      </c>
      <c r="K2650" s="5">
        <v>0</v>
      </c>
      <c r="L2650" s="3">
        <v>0.97916666666666663</v>
      </c>
    </row>
    <row r="2651" spans="1:12" x14ac:dyDescent="0.25">
      <c r="A2651" t="s">
        <v>1620</v>
      </c>
      <c r="B2651" s="2">
        <v>46224</v>
      </c>
      <c r="C2651" t="s">
        <v>18</v>
      </c>
      <c r="D2651" t="s">
        <v>1636</v>
      </c>
      <c r="E2651" s="5">
        <v>141900000</v>
      </c>
      <c r="F2651" s="5">
        <v>145400000</v>
      </c>
      <c r="G2651" s="5">
        <v>3500000</v>
      </c>
      <c r="H2651" s="5">
        <v>14190000</v>
      </c>
      <c r="I2651" s="5">
        <v>14540000</v>
      </c>
      <c r="J2651" s="5">
        <v>0</v>
      </c>
      <c r="K2651" s="5">
        <v>0</v>
      </c>
      <c r="L2651" s="3">
        <v>0.97916666666666663</v>
      </c>
    </row>
    <row r="2652" spans="1:12" x14ac:dyDescent="0.25">
      <c r="A2652" t="s">
        <v>1621</v>
      </c>
      <c r="B2652" s="2">
        <v>46225</v>
      </c>
      <c r="C2652" t="s">
        <v>19</v>
      </c>
      <c r="D2652" t="s">
        <v>1636</v>
      </c>
      <c r="E2652" s="5">
        <v>141000000</v>
      </c>
      <c r="F2652" s="5">
        <v>145000000</v>
      </c>
      <c r="G2652" s="5">
        <v>4000000</v>
      </c>
      <c r="H2652" s="5">
        <v>14100000</v>
      </c>
      <c r="I2652" s="5">
        <v>14500000</v>
      </c>
      <c r="J2652" s="5">
        <v>0</v>
      </c>
      <c r="K2652" s="5">
        <v>0</v>
      </c>
      <c r="L2652" s="3">
        <v>0.97916666666666663</v>
      </c>
    </row>
    <row r="2653" spans="1:12" x14ac:dyDescent="0.25">
      <c r="A2653" t="s">
        <v>1622</v>
      </c>
      <c r="B2653" s="2">
        <v>46226</v>
      </c>
      <c r="C2653" t="s">
        <v>20</v>
      </c>
      <c r="D2653" t="s">
        <v>1636</v>
      </c>
      <c r="E2653" s="5">
        <v>134000000</v>
      </c>
      <c r="F2653" s="5">
        <v>139000000</v>
      </c>
      <c r="G2653" s="5">
        <v>5000000</v>
      </c>
      <c r="H2653" s="5">
        <v>13400000</v>
      </c>
      <c r="I2653" s="5">
        <v>13900000</v>
      </c>
      <c r="J2653" s="5">
        <v>0</v>
      </c>
      <c r="K2653" s="5">
        <v>0</v>
      </c>
      <c r="L2653" s="3">
        <v>0.97916666666666663</v>
      </c>
    </row>
    <row r="2654" spans="1:12" x14ac:dyDescent="0.25">
      <c r="A2654" t="s">
        <v>1623</v>
      </c>
      <c r="B2654" s="2">
        <v>46227</v>
      </c>
      <c r="C2654" t="s">
        <v>21</v>
      </c>
      <c r="D2654" t="s">
        <v>1636</v>
      </c>
      <c r="E2654" s="5">
        <v>135000000</v>
      </c>
      <c r="F2654" s="5">
        <v>140000000</v>
      </c>
      <c r="G2654" s="5">
        <v>5000000</v>
      </c>
      <c r="H2654" s="5">
        <v>13500000</v>
      </c>
      <c r="I2654" s="5">
        <v>14000000</v>
      </c>
      <c r="J2654" s="5">
        <v>0</v>
      </c>
      <c r="K2654" s="5">
        <v>0</v>
      </c>
      <c r="L2654" s="3">
        <v>0.97916666666666663</v>
      </c>
    </row>
    <row r="2655" spans="1:12" x14ac:dyDescent="0.25">
      <c r="A2655" t="s">
        <v>1624</v>
      </c>
      <c r="B2655" s="2">
        <v>46230</v>
      </c>
      <c r="C2655" t="s">
        <v>16</v>
      </c>
      <c r="D2655" t="s">
        <v>1636</v>
      </c>
      <c r="E2655" s="5">
        <v>138500000</v>
      </c>
      <c r="F2655" s="5">
        <v>142500000</v>
      </c>
      <c r="G2655" s="5">
        <v>4000000</v>
      </c>
      <c r="H2655" s="5">
        <v>13850000</v>
      </c>
      <c r="I2655" s="5">
        <v>14250000</v>
      </c>
      <c r="J2655" s="5">
        <v>0</v>
      </c>
      <c r="K2655" s="5">
        <v>0</v>
      </c>
      <c r="L2655" s="3">
        <v>0.97916666666666663</v>
      </c>
    </row>
    <row r="2656" spans="1:12" x14ac:dyDescent="0.25">
      <c r="A2656" t="s">
        <v>1625</v>
      </c>
      <c r="B2656" s="2">
        <v>46231</v>
      </c>
      <c r="C2656" t="s">
        <v>18</v>
      </c>
      <c r="D2656" t="s">
        <v>1636</v>
      </c>
      <c r="E2656" s="5">
        <v>137000000</v>
      </c>
      <c r="F2656" s="5">
        <v>141000000</v>
      </c>
      <c r="G2656" s="5">
        <v>4000000</v>
      </c>
      <c r="H2656" s="5">
        <v>13700000</v>
      </c>
      <c r="I2656" s="5">
        <v>14100000</v>
      </c>
      <c r="J2656" s="5">
        <v>0</v>
      </c>
      <c r="K2656" s="5">
        <v>0</v>
      </c>
      <c r="L2656" s="3">
        <v>0.97916666666666663</v>
      </c>
    </row>
    <row r="2657" spans="1:12" x14ac:dyDescent="0.25">
      <c r="A2657" t="s">
        <v>1626</v>
      </c>
      <c r="B2657" s="2">
        <v>46232</v>
      </c>
      <c r="C2657" t="s">
        <v>19</v>
      </c>
      <c r="D2657" t="s">
        <v>1636</v>
      </c>
      <c r="E2657" s="5">
        <v>137000000</v>
      </c>
      <c r="F2657" s="5">
        <v>141000000</v>
      </c>
      <c r="G2657" s="5">
        <v>4000000</v>
      </c>
      <c r="H2657" s="5">
        <v>13700000</v>
      </c>
      <c r="I2657" s="5">
        <v>14100000</v>
      </c>
      <c r="J2657" s="5">
        <v>0</v>
      </c>
      <c r="K2657" s="5">
        <v>0</v>
      </c>
      <c r="L2657" s="3">
        <v>0.97916666666666663</v>
      </c>
    </row>
    <row r="2658" spans="1:12" x14ac:dyDescent="0.25">
      <c r="A2658" t="s">
        <v>1627</v>
      </c>
      <c r="B2658" s="2">
        <v>46233</v>
      </c>
      <c r="C2658" t="s">
        <v>20</v>
      </c>
      <c r="D2658" t="s">
        <v>1636</v>
      </c>
      <c r="E2658" s="5">
        <v>137200000</v>
      </c>
      <c r="F2658" s="5">
        <v>141200000</v>
      </c>
      <c r="G2658" s="5">
        <v>4000000</v>
      </c>
      <c r="H2658" s="5">
        <v>13720000</v>
      </c>
      <c r="I2658" s="5">
        <v>14120000</v>
      </c>
      <c r="J2658" s="5">
        <v>0</v>
      </c>
      <c r="K2658" s="5">
        <v>0</v>
      </c>
      <c r="L2658" s="3">
        <v>0.97916666666666663</v>
      </c>
    </row>
    <row r="2659" spans="1:12" x14ac:dyDescent="0.25">
      <c r="A2659" t="s">
        <v>1628</v>
      </c>
      <c r="B2659" s="2">
        <v>46234</v>
      </c>
      <c r="C2659" t="s">
        <v>21</v>
      </c>
      <c r="D2659" t="s">
        <v>1636</v>
      </c>
      <c r="E2659" s="5">
        <v>137400000</v>
      </c>
      <c r="F2659" s="5">
        <v>141400000</v>
      </c>
      <c r="G2659" s="5">
        <v>4000000</v>
      </c>
      <c r="H2659" s="5">
        <v>13740000</v>
      </c>
      <c r="I2659" s="5">
        <v>14140000</v>
      </c>
      <c r="J2659" s="5">
        <v>0</v>
      </c>
      <c r="K2659" s="5">
        <v>0</v>
      </c>
      <c r="L2659" s="3">
        <v>0.97916666666666663</v>
      </c>
    </row>
    <row r="2660" spans="1:12" x14ac:dyDescent="0.25">
      <c r="A2660" s="2">
        <v>46089</v>
      </c>
      <c r="B2660" s="2">
        <v>46237</v>
      </c>
      <c r="C2660" t="s">
        <v>16</v>
      </c>
      <c r="D2660" t="s">
        <v>1636</v>
      </c>
      <c r="E2660" s="5">
        <v>136500000</v>
      </c>
      <c r="F2660" s="5">
        <v>140500000</v>
      </c>
      <c r="G2660" s="5">
        <v>4000000</v>
      </c>
      <c r="H2660" s="5">
        <v>13650000</v>
      </c>
      <c r="I2660" s="5">
        <v>14050000</v>
      </c>
      <c r="J2660" s="5">
        <v>0</v>
      </c>
      <c r="K2660" s="5">
        <v>0</v>
      </c>
      <c r="L2660" s="3">
        <v>0.97916666666666663</v>
      </c>
    </row>
    <row r="2661" spans="1:12" x14ac:dyDescent="0.25">
      <c r="A2661" s="2">
        <v>46120</v>
      </c>
      <c r="B2661" s="2">
        <v>46238</v>
      </c>
      <c r="C2661" t="s">
        <v>18</v>
      </c>
      <c r="D2661" t="s">
        <v>1636</v>
      </c>
      <c r="E2661" s="5">
        <v>136500000</v>
      </c>
      <c r="F2661" s="5">
        <v>140000000</v>
      </c>
      <c r="G2661" s="5">
        <v>3500000</v>
      </c>
      <c r="H2661" s="5">
        <v>13650000</v>
      </c>
      <c r="I2661" s="5">
        <v>14000000</v>
      </c>
      <c r="J2661" s="5">
        <v>0</v>
      </c>
      <c r="K2661" s="5">
        <v>0</v>
      </c>
      <c r="L2661" s="3">
        <v>0.97916666666666663</v>
      </c>
    </row>
    <row r="2662" spans="1:12" x14ac:dyDescent="0.25">
      <c r="A2662" s="2">
        <v>46150</v>
      </c>
      <c r="B2662" s="2">
        <v>46239</v>
      </c>
      <c r="C2662" t="s">
        <v>19</v>
      </c>
      <c r="D2662" t="s">
        <v>1636</v>
      </c>
      <c r="E2662" s="5">
        <v>138300000</v>
      </c>
      <c r="F2662" s="5">
        <v>141300000</v>
      </c>
      <c r="G2662" s="5">
        <v>3000000</v>
      </c>
      <c r="H2662" s="5">
        <v>13830000</v>
      </c>
      <c r="I2662" s="5">
        <v>14130000</v>
      </c>
      <c r="J2662" s="5">
        <v>0</v>
      </c>
      <c r="K2662" s="5">
        <v>0</v>
      </c>
      <c r="L2662" s="3">
        <v>0.97916666666666663</v>
      </c>
    </row>
    <row r="2663" spans="1:12" x14ac:dyDescent="0.25">
      <c r="A2663" s="2">
        <v>46181</v>
      </c>
      <c r="B2663" s="2">
        <v>46240</v>
      </c>
      <c r="C2663" t="s">
        <v>20</v>
      </c>
      <c r="D2663" t="s">
        <v>1636</v>
      </c>
      <c r="E2663" s="5">
        <v>139200000</v>
      </c>
      <c r="F2663" s="5">
        <v>142200000</v>
      </c>
      <c r="G2663" s="5">
        <v>3000000</v>
      </c>
      <c r="H2663" s="5">
        <v>13920000</v>
      </c>
      <c r="I2663" s="5">
        <v>14220000</v>
      </c>
      <c r="J2663" s="5">
        <v>0</v>
      </c>
      <c r="K2663" s="5">
        <v>0</v>
      </c>
      <c r="L2663" s="3">
        <v>0.97916666666666663</v>
      </c>
    </row>
    <row r="2664" spans="1:12" x14ac:dyDescent="0.25">
      <c r="A2664" s="2">
        <v>46211</v>
      </c>
      <c r="B2664" s="2">
        <v>46241</v>
      </c>
      <c r="C2664" t="s">
        <v>21</v>
      </c>
      <c r="D2664" t="s">
        <v>1636</v>
      </c>
      <c r="E2664" s="5">
        <v>138700000</v>
      </c>
      <c r="F2664" s="5">
        <v>141700000</v>
      </c>
      <c r="G2664" s="5">
        <v>3000000</v>
      </c>
      <c r="H2664" s="5">
        <v>13870000</v>
      </c>
      <c r="I2664" s="5">
        <v>14170000</v>
      </c>
      <c r="J2664" s="5">
        <v>0</v>
      </c>
      <c r="K2664" s="5">
        <v>0</v>
      </c>
      <c r="L2664" s="3">
        <v>0.97916666666666663</v>
      </c>
    </row>
    <row r="2665" spans="1:12" x14ac:dyDescent="0.25">
      <c r="A2665" s="2">
        <v>46303</v>
      </c>
      <c r="B2665" s="2">
        <v>46244</v>
      </c>
      <c r="C2665" t="s">
        <v>16</v>
      </c>
      <c r="D2665" t="s">
        <v>1636</v>
      </c>
      <c r="E2665" s="5">
        <v>140600000</v>
      </c>
      <c r="F2665" s="5">
        <v>143600000</v>
      </c>
      <c r="G2665" s="5">
        <v>3000000</v>
      </c>
      <c r="H2665" s="5">
        <v>14060000</v>
      </c>
      <c r="I2665" s="5">
        <v>14360000</v>
      </c>
      <c r="J2665" s="5">
        <v>0</v>
      </c>
      <c r="K2665" s="5">
        <v>0</v>
      </c>
      <c r="L2665" s="3">
        <v>0.97916666666666663</v>
      </c>
    </row>
    <row r="2666" spans="1:12" x14ac:dyDescent="0.25">
      <c r="A2666" s="2">
        <v>46334</v>
      </c>
      <c r="B2666" s="2">
        <v>46245</v>
      </c>
      <c r="C2666" t="s">
        <v>18</v>
      </c>
      <c r="D2666" t="s">
        <v>1636</v>
      </c>
      <c r="E2666" s="5">
        <v>140000000</v>
      </c>
      <c r="F2666" s="5">
        <v>143000000</v>
      </c>
      <c r="G2666" s="5">
        <v>3000000</v>
      </c>
      <c r="H2666" s="5">
        <v>14000000</v>
      </c>
      <c r="I2666" s="5">
        <v>14300000</v>
      </c>
      <c r="J2666" s="5">
        <v>0</v>
      </c>
      <c r="K2666" s="5">
        <v>0</v>
      </c>
      <c r="L2666" s="3">
        <v>0.97916666666666663</v>
      </c>
    </row>
    <row r="2667" spans="1:12" x14ac:dyDescent="0.25">
      <c r="A2667" s="2">
        <v>46364</v>
      </c>
      <c r="B2667" s="2">
        <v>46246</v>
      </c>
      <c r="C2667" t="s">
        <v>19</v>
      </c>
      <c r="D2667" t="s">
        <v>1636</v>
      </c>
      <c r="E2667" s="5">
        <v>140800000</v>
      </c>
      <c r="F2667" s="5">
        <v>143800000</v>
      </c>
      <c r="G2667" s="5">
        <v>3000000</v>
      </c>
      <c r="H2667" s="5">
        <v>14080000</v>
      </c>
      <c r="I2667" s="5">
        <v>14380000</v>
      </c>
      <c r="J2667" s="5">
        <v>0</v>
      </c>
      <c r="K2667" s="5">
        <v>0</v>
      </c>
      <c r="L2667" s="3">
        <v>0.97916666666666663</v>
      </c>
    </row>
    <row r="2668" spans="1:12" x14ac:dyDescent="0.25">
      <c r="A2668" t="s">
        <v>1629</v>
      </c>
      <c r="B2668" s="2">
        <v>46247</v>
      </c>
      <c r="C2668" t="s">
        <v>20</v>
      </c>
      <c r="D2668" t="s">
        <v>1636</v>
      </c>
      <c r="E2668" s="5">
        <v>140800000</v>
      </c>
      <c r="F2668" s="5">
        <v>143800000</v>
      </c>
      <c r="G2668" s="5">
        <v>3000000</v>
      </c>
      <c r="H2668" s="5">
        <v>14080000</v>
      </c>
      <c r="I2668" s="5">
        <v>14380000</v>
      </c>
      <c r="J2668" s="5">
        <v>0</v>
      </c>
      <c r="K2668" s="5">
        <v>0</v>
      </c>
      <c r="L2668" s="3">
        <v>0.97916666666666663</v>
      </c>
    </row>
    <row r="2669" spans="1:12" x14ac:dyDescent="0.25">
      <c r="A2669" t="s">
        <v>1630</v>
      </c>
      <c r="B2669" s="2">
        <v>46248</v>
      </c>
      <c r="C2669" t="s">
        <v>21</v>
      </c>
      <c r="D2669" t="s">
        <v>1636</v>
      </c>
      <c r="E2669" s="5">
        <v>139800000</v>
      </c>
      <c r="F2669" s="5">
        <v>142800000</v>
      </c>
      <c r="G2669" s="5">
        <v>3000000</v>
      </c>
      <c r="H2669" s="5">
        <v>13980000</v>
      </c>
      <c r="I2669" s="5">
        <v>14280000</v>
      </c>
      <c r="J2669" s="5">
        <v>0</v>
      </c>
      <c r="K2669" s="5">
        <v>0</v>
      </c>
      <c r="L2669" s="3">
        <v>0.97916666666666663</v>
      </c>
    </row>
    <row r="2670" spans="1:12" x14ac:dyDescent="0.25">
      <c r="A2670" t="s">
        <v>1631</v>
      </c>
      <c r="B2670" s="2">
        <v>46251</v>
      </c>
      <c r="C2670" t="s">
        <v>16</v>
      </c>
      <c r="D2670" t="s">
        <v>1636</v>
      </c>
      <c r="E2670" s="5">
        <v>140700000</v>
      </c>
      <c r="F2670" s="5">
        <v>143700000</v>
      </c>
      <c r="G2670" s="5">
        <v>3000000</v>
      </c>
      <c r="H2670" s="5">
        <v>14070000</v>
      </c>
      <c r="I2670" s="5">
        <v>14370000</v>
      </c>
      <c r="J2670" s="5">
        <v>0</v>
      </c>
      <c r="K2670" s="5">
        <v>0</v>
      </c>
      <c r="L2670" s="3">
        <v>0.97916666666666663</v>
      </c>
    </row>
    <row r="2671" spans="1:12" x14ac:dyDescent="0.25">
      <c r="A2671" t="s">
        <v>1632</v>
      </c>
      <c r="B2671" s="2">
        <v>46252</v>
      </c>
      <c r="C2671" t="s">
        <v>18</v>
      </c>
      <c r="D2671" t="s">
        <v>1636</v>
      </c>
      <c r="E2671" s="5">
        <v>140800000</v>
      </c>
      <c r="F2671" s="5">
        <v>143800000</v>
      </c>
      <c r="G2671" s="5">
        <v>3000000</v>
      </c>
      <c r="H2671" s="5">
        <v>14080000</v>
      </c>
      <c r="I2671" s="5">
        <v>14380000</v>
      </c>
      <c r="J2671" s="5">
        <v>0</v>
      </c>
      <c r="K2671" s="5">
        <v>0</v>
      </c>
      <c r="L2671" s="3">
        <v>0.97916666666666663</v>
      </c>
    </row>
    <row r="2672" spans="1:12" x14ac:dyDescent="0.25">
      <c r="A2672" t="s">
        <v>1633</v>
      </c>
      <c r="B2672" s="2">
        <v>46253</v>
      </c>
      <c r="C2672" t="s">
        <v>19</v>
      </c>
      <c r="D2672" t="s">
        <v>1636</v>
      </c>
      <c r="E2672" s="5">
        <v>139200000</v>
      </c>
      <c r="F2672" s="5">
        <v>142200000</v>
      </c>
      <c r="G2672" s="5">
        <v>3000000</v>
      </c>
      <c r="H2672" s="5">
        <v>13920000</v>
      </c>
      <c r="I2672" s="5">
        <v>14220000</v>
      </c>
      <c r="J2672" s="5">
        <v>0</v>
      </c>
      <c r="K2672" s="5">
        <v>0</v>
      </c>
      <c r="L2672" s="3">
        <v>0.97916666666666663</v>
      </c>
    </row>
    <row r="2673" spans="1:12" x14ac:dyDescent="0.25">
      <c r="A2673" t="s">
        <v>1634</v>
      </c>
      <c r="B2673" s="2">
        <v>46254</v>
      </c>
      <c r="C2673" t="s">
        <v>20</v>
      </c>
      <c r="D2673" t="s">
        <v>1636</v>
      </c>
      <c r="E2673" s="5">
        <v>142500000</v>
      </c>
      <c r="F2673" s="5">
        <v>145500000</v>
      </c>
      <c r="G2673" s="5">
        <v>3000000</v>
      </c>
      <c r="H2673" s="5">
        <v>14250000</v>
      </c>
      <c r="I2673" s="5">
        <v>14550000</v>
      </c>
      <c r="J2673" s="5">
        <v>0</v>
      </c>
      <c r="K2673" s="5">
        <v>0</v>
      </c>
      <c r="L2673" s="3">
        <v>0.9375</v>
      </c>
    </row>
    <row r="2674" spans="1:12" x14ac:dyDescent="0.25">
      <c r="A2674" t="s">
        <v>1635</v>
      </c>
      <c r="B2674" s="2">
        <v>46255</v>
      </c>
      <c r="C2674" t="s">
        <v>21</v>
      </c>
      <c r="D2674" t="s">
        <v>1636</v>
      </c>
      <c r="E2674" s="5">
        <v>143500000</v>
      </c>
      <c r="F2674" s="5">
        <v>146500000</v>
      </c>
      <c r="G2674" s="5">
        <v>3000000</v>
      </c>
      <c r="H2674" s="5">
        <v>14350000</v>
      </c>
      <c r="I2674" s="5">
        <v>14650000</v>
      </c>
      <c r="J2674" s="5">
        <v>0</v>
      </c>
      <c r="K2674" s="5">
        <v>0</v>
      </c>
      <c r="L2674" s="3">
        <v>0.97916666666666663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Theo DÃµi Theo Tuáº§n</vt:lpstr>
      <vt:lpstr>PhÃ¢n TÃ­ch Theo ThÃ¡ng</vt:lpstr>
      <vt:lpstr>Dá»¯ Liá»‡u ThÃ´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Nguyễn Đức Luân</dc:creator>
  <cp:lastModifiedBy>Nguyễn Đức Luân</cp:lastModifiedBy>
  <dcterms:created xsi:type="dcterms:W3CDTF">2026-08-23T09:37:18Z</dcterms:created>
  <dcterms:modified xsi:type="dcterms:W3CDTF">2026-08-23T09:46:06Z</dcterms:modified>
</cp:coreProperties>
</file>